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 &amp; Legend" sheetId="1" state="visible" r:id="rId1"/>
    <sheet xmlns:r="http://schemas.openxmlformats.org/officeDocument/2006/relationships" name="Access Control Assessment" sheetId="2" state="visible" r:id="rId2"/>
    <sheet xmlns:r="http://schemas.openxmlformats.org/officeDocument/2006/relationships" name="Integrity Protection" sheetId="3" state="visible" r:id="rId3"/>
    <sheet xmlns:r="http://schemas.openxmlformats.org/officeDocument/2006/relationships" name="Secure Transmission" sheetId="4" state="visible" r:id="rId4"/>
    <sheet xmlns:r="http://schemas.openxmlformats.org/officeDocument/2006/relationships" name="Retention Period Compliance" sheetId="5" state="visible" r:id="rId5"/>
    <sheet xmlns:r="http://schemas.openxmlformats.org/officeDocument/2006/relationships" name="Storage Tier Implementation" sheetId="6" state="visible" r:id="rId6"/>
    <sheet xmlns:r="http://schemas.openxmlformats.org/officeDocument/2006/relationships" name="Log Backup &amp; Recovery" sheetId="7" state="visible" r:id="rId7"/>
    <sheet xmlns:r="http://schemas.openxmlformats.org/officeDocument/2006/relationships" name="Disposal Procedures" sheetId="8" state="visible" r:id="rId8"/>
    <sheet xmlns:r="http://schemas.openxmlformats.org/officeDocument/2006/relationships" name="Separation of Duties" sheetId="9" state="visible" r:id="rId9"/>
    <sheet xmlns:r="http://schemas.openxmlformats.org/officeDocument/2006/relationships" name="Legal Hold Management" sheetId="10" state="visible" r:id="rId10"/>
    <sheet xmlns:r="http://schemas.openxmlformats.org/officeDocument/2006/relationships" name="Privacy Impact Assessment" sheetId="11" state="visible" r:id="rId11"/>
    <sheet xmlns:r="http://schemas.openxmlformats.org/officeDocument/2006/relationships" name="Gap Analysis" sheetId="12" state="visible" r:id="rId12"/>
    <sheet xmlns:r="http://schemas.openxmlformats.org/officeDocument/2006/relationships" name="Evidence Register" sheetId="13" state="visible" r:id="rId13"/>
    <sheet xmlns:r="http://schemas.openxmlformats.org/officeDocument/2006/relationships" name="Summary Dashboard" sheetId="14" state="visible" r:id="rId14"/>
    <sheet xmlns:r="http://schemas.openxmlformats.org/officeDocument/2006/relationships" name="Approval &amp; Sign-Off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0.0%"/>
  </numFmts>
  <fonts count="11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b val="1"/>
      <sz val="10"/>
    </font>
    <font>
      <name val="Calibri"/>
      <color rgb="00000000"/>
      <sz val="10"/>
    </font>
    <font>
      <name val="Calibri"/>
      <b val="1"/>
      <color rgb="00FFFFFF"/>
      <sz val="11"/>
    </font>
    <font>
      <name val="Calibri"/>
      <b val="1"/>
      <color rgb="00000000"/>
      <sz val="10"/>
    </font>
    <font>
      <name val="Calibri"/>
      <i val="1"/>
      <color rgb="00666666"/>
      <sz val="10"/>
    </font>
    <font>
      <i val="1"/>
      <sz val="9"/>
    </font>
    <font>
      <b val="1"/>
      <sz val="11"/>
    </font>
    <font>
      <b val="1"/>
    </font>
    <font>
      <sz val="9"/>
    </font>
  </fonts>
  <fills count="7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E7E6E6"/>
        <bgColor rgb="00E7E6E6"/>
      </patternFill>
    </fill>
    <fill>
      <patternFill patternType="solid">
        <fgColor rgb="00FFFFCC"/>
        <bgColor rgb="00FFFFCC"/>
      </patternFill>
    </fill>
    <fill>
      <patternFill patternType="solid">
        <fgColor rgb="004472C4"/>
        <bgColor rgb="004472C4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1" applyAlignment="1" pivotButton="0" quotePrefix="0" xfId="0">
      <alignment horizontal="left" vertical="top" wrapText="1"/>
    </xf>
    <xf numFmtId="164" fontId="0" fillId="4" borderId="1" applyAlignment="1" pivotButton="0" quotePrefix="0" xfId="0">
      <alignment horizontal="left" vertical="top" wrapText="1"/>
    </xf>
    <xf numFmtId="0" fontId="0" fillId="4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left" vertical="top"/>
    </xf>
    <xf numFmtId="165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0" fontId="7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8" fillId="0" borderId="0" pivotButton="0" quotePrefix="0" xfId="0"/>
    <xf numFmtId="0" fontId="9" fillId="3" borderId="1" applyAlignment="1" pivotButton="0" quotePrefix="0" xfId="0">
      <alignment horizontal="center" vertical="center"/>
    </xf>
    <xf numFmtId="165" fontId="9" fillId="3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dxfs count="3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EB9C"/>
          <bgColor rgb="00FFEB9C"/>
        </patternFill>
      </fill>
    </dxf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60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 ht="40" customHeight="1">
      <c r="A1" s="1" t="inlineStr">
        <is>
          <t>ISMS-IMP-A.8.15.3  -  Log Protection &amp; Retention Assessment
ISO/IEC 27001:2022 - Control A.8.15: Logging</t>
        </is>
      </c>
    </row>
    <row r="4">
      <c r="A4" s="2" t="inlineStr">
        <is>
          <t>Document ID:</t>
        </is>
      </c>
      <c r="B4" s="3" t="inlineStr">
        <is>
          <t>ISMS-IMP-A.8.15.3</t>
        </is>
      </c>
    </row>
    <row r="5">
      <c r="A5" s="2" t="inlineStr">
        <is>
          <t>Assessment Area:</t>
        </is>
      </c>
      <c r="B5" s="3" t="inlineStr">
        <is>
          <t>Log Protection, Integrity, and Retention Compliance</t>
        </is>
      </c>
    </row>
    <row r="6">
      <c r="A6" s="2" t="inlineStr">
        <is>
          <t>Related Policy:</t>
        </is>
      </c>
      <c r="B6" s="3" t="inlineStr">
        <is>
          <t>ISMS-POL-A.8.15-S2.2, S2.3</t>
        </is>
      </c>
    </row>
    <row r="7">
      <c r="A7" s="2" t="inlineStr">
        <is>
          <t>Version:</t>
        </is>
      </c>
      <c r="B7" s="3" t="inlineStr">
        <is>
          <t>1.0</t>
        </is>
      </c>
    </row>
    <row r="8">
      <c r="A8" s="2" t="inlineStr">
        <is>
          <t>Assessment Date:</t>
        </is>
      </c>
      <c r="B8" s="4" t="inlineStr">
        <is>
          <t>[USER INPUT - DD.MM.YYYY]</t>
        </is>
      </c>
    </row>
    <row r="9">
      <c r="A9" s="2" t="inlineStr">
        <is>
          <t>Completed By:</t>
        </is>
      </c>
      <c r="B9" s="5" t="inlineStr">
        <is>
          <t>[USER INPUT]</t>
        </is>
      </c>
    </row>
    <row r="10">
      <c r="A10" s="2" t="inlineStr">
        <is>
          <t>Organization:</t>
        </is>
      </c>
      <c r="B10" s="5" t="inlineStr">
        <is>
          <t>[USER INPUT]</t>
        </is>
      </c>
    </row>
    <row r="11">
      <c r="A11" s="2" t="inlineStr">
        <is>
          <t>Review Cycle:</t>
        </is>
      </c>
      <c r="B11" s="3" t="inlineStr">
        <is>
          <t>Semi-annual</t>
        </is>
      </c>
    </row>
    <row r="14">
      <c r="A14" s="6" t="inlineStr">
        <is>
          <t>KEY DEFINITIONS</t>
        </is>
      </c>
    </row>
    <row r="15">
      <c r="A15" s="2" t="inlineStr">
        <is>
          <t>WORM</t>
        </is>
      </c>
      <c r="B15" s="7" t="inlineStr">
        <is>
          <t>Write-Once-Read-Many (immutable storage)</t>
        </is>
      </c>
    </row>
    <row r="16">
      <c r="A16" s="2" t="inlineStr">
        <is>
          <t>Cryptographic Hashing</t>
        </is>
      </c>
      <c r="B16" s="7" t="inlineStr">
        <is>
          <t>SHA-256/SHA-512 for integrity verification</t>
        </is>
      </c>
    </row>
    <row r="17">
      <c r="A17" s="2" t="inlineStr">
        <is>
          <t>Digital Signature</t>
        </is>
      </c>
      <c r="B17" s="7" t="inlineStr">
        <is>
          <t>Cryptographic proof of authenticity</t>
        </is>
      </c>
    </row>
    <row r="18">
      <c r="A18" s="2" t="inlineStr">
        <is>
          <t>Hot/Warm/Cold Storage</t>
        </is>
      </c>
      <c r="B18" s="7" t="inlineStr">
        <is>
          <t>Tiered retention based on access frequency</t>
        </is>
      </c>
    </row>
    <row r="19">
      <c r="A19" s="2" t="inlineStr">
        <is>
          <t>Legal Hold</t>
        </is>
      </c>
      <c r="B19" s="7" t="inlineStr">
        <is>
          <t>Suspension of normal retention/disposal for litigation</t>
        </is>
      </c>
    </row>
    <row r="20">
      <c r="A20" s="2" t="inlineStr">
        <is>
          <t>Separation of Duties</t>
        </is>
      </c>
      <c r="B20" s="7" t="inlineStr">
        <is>
          <t>System admins cannot modify their own logs</t>
        </is>
      </c>
    </row>
    <row r="21">
      <c r="A21" s="2" t="inlineStr">
        <is>
          <t>Secure Disposal</t>
        </is>
      </c>
      <c r="B21" s="7" t="inlineStr">
        <is>
          <t>Cryptographic erasure or physical destruction</t>
        </is>
      </c>
    </row>
  </sheetData>
  <mergeCells count="2">
    <mergeCell ref="A14:F14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00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18" customWidth="1" min="3" max="3"/>
    <col width="20" customWidth="1" min="4" max="4"/>
    <col width="18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18" customWidth="1" min="11" max="11"/>
    <col width="20" customWidth="1" min="12" max="12"/>
    <col width="40" customWidth="1" min="13" max="13"/>
    <col width="15" customWidth="1" min="14" max="14"/>
    <col width="18" customWidth="1" min="15" max="15"/>
    <col width="40" customWidth="1" min="16" max="16"/>
  </cols>
  <sheetData>
    <row r="1" ht="40" customHeight="1">
      <c r="A1" s="1" t="inlineStr">
        <is>
          <t>ACCESS CONTROL ASSESSMENT</t>
        </is>
      </c>
    </row>
    <row r="2" ht="30" customHeight="1">
      <c r="A2" s="6" t="inlineStr">
        <is>
          <t>Assess log access controls per ISMS-POL-A.8.15-S2.2.2</t>
        </is>
      </c>
    </row>
    <row r="7" ht="35" customHeight="1">
      <c r="A7" s="8" t="inlineStr">
        <is>
          <t>Log Source / SIEM Component</t>
        </is>
      </c>
      <c r="B7" s="8" t="inlineStr">
        <is>
          <t>Access Control Type</t>
        </is>
      </c>
      <c r="C7" s="8" t="inlineStr">
        <is>
          <t>Authentication Required</t>
        </is>
      </c>
      <c r="D7" s="8" t="inlineStr">
        <is>
          <t>Authorization Model</t>
        </is>
      </c>
      <c r="E7" s="8" t="inlineStr">
        <is>
          <t>Read Access Controlled</t>
        </is>
      </c>
      <c r="F7" s="8" t="inlineStr">
        <is>
          <t>Write Access Prevented</t>
        </is>
      </c>
      <c r="G7" s="8" t="inlineStr">
        <is>
          <t>Delete Access Controlled</t>
        </is>
      </c>
      <c r="H7" s="8" t="inlineStr">
        <is>
          <t>Admin Separation</t>
        </is>
      </c>
      <c r="I7" s="8" t="inlineStr">
        <is>
          <t>Access Logged (Meta)</t>
        </is>
      </c>
      <c r="J7" s="8" t="inlineStr">
        <is>
          <t>MFA Required for Admin</t>
        </is>
      </c>
      <c r="K7" s="8" t="inlineStr">
        <is>
          <t>Last Access Review</t>
        </is>
      </c>
      <c r="L7" s="8" t="inlineStr">
        <is>
          <t>Review Frequency</t>
        </is>
      </c>
      <c r="M7" s="8" t="inlineStr">
        <is>
          <t>Non-Compliance Issues</t>
        </is>
      </c>
      <c r="N7" s="8" t="inlineStr">
        <is>
          <t>Compliance Score</t>
        </is>
      </c>
      <c r="O7" s="8" t="inlineStr">
        <is>
          <t>Remediation Required</t>
        </is>
      </c>
      <c r="P7" s="8" t="inlineStr">
        <is>
          <t>Notes</t>
        </is>
      </c>
    </row>
    <row r="8">
      <c r="A8" s="9" t="inlineStr">
        <is>
          <t>SIEM Core</t>
        </is>
      </c>
      <c r="B8" s="9" t="inlineStr">
        <is>
          <t>RBAC</t>
        </is>
      </c>
      <c r="C8" s="9" t="inlineStr">
        <is>
          <t>Yes</t>
        </is>
      </c>
      <c r="D8" s="9" t="inlineStr">
        <is>
          <t>Role-Based</t>
        </is>
      </c>
      <c r="E8" s="9" t="inlineStr">
        <is>
          <t>Yes</t>
        </is>
      </c>
      <c r="F8" s="9" t="inlineStr">
        <is>
          <t>Yes (read-only)</t>
        </is>
      </c>
      <c r="G8" s="9" t="inlineStr">
        <is>
          <t>Yes (restricted)</t>
        </is>
      </c>
      <c r="H8" s="9" t="inlineStr">
        <is>
          <t>Yes (separated)</t>
        </is>
      </c>
      <c r="I8" s="9" t="inlineStr">
        <is>
          <t>Yes</t>
        </is>
      </c>
      <c r="J8" s="9" t="inlineStr">
        <is>
          <t>Yes</t>
        </is>
      </c>
      <c r="K8" s="9" t="inlineStr">
        <is>
          <t>15.12.2025</t>
        </is>
      </c>
      <c r="L8" s="9" t="inlineStr">
        <is>
          <t>Quarterly</t>
        </is>
      </c>
      <c r="M8" s="9" t="inlineStr">
        <is>
          <t>None</t>
        </is>
      </c>
      <c r="N8" s="9" t="inlineStr">
        <is>
          <t>100%</t>
        </is>
      </c>
      <c r="O8" s="9" t="inlineStr">
        <is>
          <t>No</t>
        </is>
      </c>
      <c r="P8" s="9" t="inlineStr">
        <is>
          <t>Full compliance</t>
        </is>
      </c>
    </row>
    <row r="9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4" t="n"/>
      <c r="L9" s="5" t="n"/>
      <c r="M9" s="5" t="n"/>
      <c r="N9" s="10">
        <f>IF(A9="","",(COUNTIF(C9:J9,"*Yes*")+COUNTIF(C9:J9,"Yes*"))/8)</f>
        <v/>
      </c>
      <c r="O9" s="5" t="n"/>
      <c r="P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4" t="n"/>
      <c r="L10" s="5" t="n"/>
      <c r="M10" s="5" t="n"/>
      <c r="N10" s="10">
        <f>IF(A10="","",(COUNTIF(C10:J10,"*Yes*")+COUNTIF(C10:J10,"Yes*"))/8)</f>
        <v/>
      </c>
      <c r="O10" s="5" t="n"/>
      <c r="P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4" t="n"/>
      <c r="L11" s="5" t="n"/>
      <c r="M11" s="5" t="n"/>
      <c r="N11" s="10">
        <f>IF(A11="","",(COUNTIF(C11:J11,"*Yes*")+COUNTIF(C11:J11,"Yes*"))/8)</f>
        <v/>
      </c>
      <c r="O11" s="5" t="n"/>
      <c r="P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4" t="n"/>
      <c r="L12" s="5" t="n"/>
      <c r="M12" s="5" t="n"/>
      <c r="N12" s="10">
        <f>IF(A12="","",(COUNTIF(C12:J12,"*Yes*")+COUNTIF(C12:J12,"Yes*"))/8)</f>
        <v/>
      </c>
      <c r="O12" s="5" t="n"/>
      <c r="P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4" t="n"/>
      <c r="L13" s="5" t="n"/>
      <c r="M13" s="5" t="n"/>
      <c r="N13" s="10">
        <f>IF(A13="","",(COUNTIF(C13:J13,"*Yes*")+COUNTIF(C13:J13,"Yes*"))/8)</f>
        <v/>
      </c>
      <c r="O13" s="5" t="n"/>
      <c r="P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4" t="n"/>
      <c r="L14" s="5" t="n"/>
      <c r="M14" s="5" t="n"/>
      <c r="N14" s="10">
        <f>IF(A14="","",(COUNTIF(C14:J14,"*Yes*")+COUNTIF(C14:J14,"Yes*"))/8)</f>
        <v/>
      </c>
      <c r="O14" s="5" t="n"/>
      <c r="P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4" t="n"/>
      <c r="L15" s="5" t="n"/>
      <c r="M15" s="5" t="n"/>
      <c r="N15" s="10">
        <f>IF(A15="","",(COUNTIF(C15:J15,"*Yes*")+COUNTIF(C15:J15,"Yes*"))/8)</f>
        <v/>
      </c>
      <c r="O15" s="5" t="n"/>
      <c r="P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4" t="n"/>
      <c r="L16" s="5" t="n"/>
      <c r="M16" s="5" t="n"/>
      <c r="N16" s="10">
        <f>IF(A16="","",(COUNTIF(C16:J16,"*Yes*")+COUNTIF(C16:J16,"Yes*"))/8)</f>
        <v/>
      </c>
      <c r="O16" s="5" t="n"/>
      <c r="P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4" t="n"/>
      <c r="L17" s="5" t="n"/>
      <c r="M17" s="5" t="n"/>
      <c r="N17" s="10">
        <f>IF(A17="","",(COUNTIF(C17:J17,"*Yes*")+COUNTIF(C17:J17,"Yes*"))/8)</f>
        <v/>
      </c>
      <c r="O17" s="5" t="n"/>
      <c r="P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4" t="n"/>
      <c r="L18" s="5" t="n"/>
      <c r="M18" s="5" t="n"/>
      <c r="N18" s="10">
        <f>IF(A18="","",(COUNTIF(C18:J18,"*Yes*")+COUNTIF(C18:J18,"Yes*"))/8)</f>
        <v/>
      </c>
      <c r="O18" s="5" t="n"/>
      <c r="P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4" t="n"/>
      <c r="L19" s="5" t="n"/>
      <c r="M19" s="5" t="n"/>
      <c r="N19" s="10">
        <f>IF(A19="","",(COUNTIF(C19:J19,"*Yes*")+COUNTIF(C19:J19,"Yes*"))/8)</f>
        <v/>
      </c>
      <c r="O19" s="5" t="n"/>
      <c r="P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4" t="n"/>
      <c r="L20" s="5" t="n"/>
      <c r="M20" s="5" t="n"/>
      <c r="N20" s="10">
        <f>IF(A20="","",(COUNTIF(C20:J20,"*Yes*")+COUNTIF(C20:J20,"Yes*"))/8)</f>
        <v/>
      </c>
      <c r="O20" s="5" t="n"/>
      <c r="P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4" t="n"/>
      <c r="L21" s="5" t="n"/>
      <c r="M21" s="5" t="n"/>
      <c r="N21" s="10">
        <f>IF(A21="","",(COUNTIF(C21:J21,"*Yes*")+COUNTIF(C21:J21,"Yes*"))/8)</f>
        <v/>
      </c>
      <c r="O21" s="5" t="n"/>
      <c r="P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4" t="n"/>
      <c r="L22" s="5" t="n"/>
      <c r="M22" s="5" t="n"/>
      <c r="N22" s="10">
        <f>IF(A22="","",(COUNTIF(C22:J22,"*Yes*")+COUNTIF(C22:J22,"Yes*"))/8)</f>
        <v/>
      </c>
      <c r="O22" s="5" t="n"/>
      <c r="P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4" t="n"/>
      <c r="L23" s="5" t="n"/>
      <c r="M23" s="5" t="n"/>
      <c r="N23" s="10">
        <f>IF(A23="","",(COUNTIF(C23:J23,"*Yes*")+COUNTIF(C23:J23,"Yes*"))/8)</f>
        <v/>
      </c>
      <c r="O23" s="5" t="n"/>
      <c r="P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4" t="n"/>
      <c r="L24" s="5" t="n"/>
      <c r="M24" s="5" t="n"/>
      <c r="N24" s="10">
        <f>IF(A24="","",(COUNTIF(C24:J24,"*Yes*")+COUNTIF(C24:J24,"Yes*"))/8)</f>
        <v/>
      </c>
      <c r="O24" s="5" t="n"/>
      <c r="P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4" t="n"/>
      <c r="L25" s="5" t="n"/>
      <c r="M25" s="5" t="n"/>
      <c r="N25" s="10">
        <f>IF(A25="","",(COUNTIF(C25:J25,"*Yes*")+COUNTIF(C25:J25,"Yes*"))/8)</f>
        <v/>
      </c>
      <c r="O25" s="5" t="n"/>
      <c r="P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4" t="n"/>
      <c r="L26" s="5" t="n"/>
      <c r="M26" s="5" t="n"/>
      <c r="N26" s="10">
        <f>IF(A26="","",(COUNTIF(C26:J26,"*Yes*")+COUNTIF(C26:J26,"Yes*"))/8)</f>
        <v/>
      </c>
      <c r="O26" s="5" t="n"/>
      <c r="P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4" t="n"/>
      <c r="L27" s="5" t="n"/>
      <c r="M27" s="5" t="n"/>
      <c r="N27" s="10">
        <f>IF(A27="","",(COUNTIF(C27:J27,"*Yes*")+COUNTIF(C27:J27,"Yes*"))/8)</f>
        <v/>
      </c>
      <c r="O27" s="5" t="n"/>
      <c r="P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4" t="n"/>
      <c r="L28" s="5" t="n"/>
      <c r="M28" s="5" t="n"/>
      <c r="N28" s="10">
        <f>IF(A28="","",(COUNTIF(C28:J28,"*Yes*")+COUNTIF(C28:J28,"Yes*"))/8)</f>
        <v/>
      </c>
      <c r="O28" s="5" t="n"/>
      <c r="P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4" t="n"/>
      <c r="L29" s="5" t="n"/>
      <c r="M29" s="5" t="n"/>
      <c r="N29" s="10">
        <f>IF(A29="","",(COUNTIF(C29:J29,"*Yes*")+COUNTIF(C29:J29,"Yes*"))/8)</f>
        <v/>
      </c>
      <c r="O29" s="5" t="n"/>
      <c r="P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4" t="n"/>
      <c r="L30" s="5" t="n"/>
      <c r="M30" s="5" t="n"/>
      <c r="N30" s="10">
        <f>IF(A30="","",(COUNTIF(C30:J30,"*Yes*")+COUNTIF(C30:J30,"Yes*"))/8)</f>
        <v/>
      </c>
      <c r="O30" s="5" t="n"/>
      <c r="P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4" t="n"/>
      <c r="L31" s="5" t="n"/>
      <c r="M31" s="5" t="n"/>
      <c r="N31" s="10">
        <f>IF(A31="","",(COUNTIF(C31:J31,"*Yes*")+COUNTIF(C31:J31,"Yes*"))/8)</f>
        <v/>
      </c>
      <c r="O31" s="5" t="n"/>
      <c r="P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4" t="n"/>
      <c r="L32" s="5" t="n"/>
      <c r="M32" s="5" t="n"/>
      <c r="N32" s="10">
        <f>IF(A32="","",(COUNTIF(C32:J32,"*Yes*")+COUNTIF(C32:J32,"Yes*"))/8)</f>
        <v/>
      </c>
      <c r="O32" s="5" t="n"/>
      <c r="P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4" t="n"/>
      <c r="L33" s="5" t="n"/>
      <c r="M33" s="5" t="n"/>
      <c r="N33" s="10">
        <f>IF(A33="","",(COUNTIF(C33:J33,"*Yes*")+COUNTIF(C33:J33,"Yes*"))/8)</f>
        <v/>
      </c>
      <c r="O33" s="5" t="n"/>
      <c r="P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4" t="n"/>
      <c r="L34" s="5" t="n"/>
      <c r="M34" s="5" t="n"/>
      <c r="N34" s="10">
        <f>IF(A34="","",(COUNTIF(C34:J34,"*Yes*")+COUNTIF(C34:J34,"Yes*"))/8)</f>
        <v/>
      </c>
      <c r="O34" s="5" t="n"/>
      <c r="P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4" t="n"/>
      <c r="L35" s="5" t="n"/>
      <c r="M35" s="5" t="n"/>
      <c r="N35" s="10">
        <f>IF(A35="","",(COUNTIF(C35:J35,"*Yes*")+COUNTIF(C35:J35,"Yes*"))/8)</f>
        <v/>
      </c>
      <c r="O35" s="5" t="n"/>
      <c r="P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4" t="n"/>
      <c r="L36" s="5" t="n"/>
      <c r="M36" s="5" t="n"/>
      <c r="N36" s="10">
        <f>IF(A36="","",(COUNTIF(C36:J36,"*Yes*")+COUNTIF(C36:J36,"Yes*"))/8)</f>
        <v/>
      </c>
      <c r="O36" s="5" t="n"/>
      <c r="P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4" t="n"/>
      <c r="L37" s="5" t="n"/>
      <c r="M37" s="5" t="n"/>
      <c r="N37" s="10">
        <f>IF(A37="","",(COUNTIF(C37:J37,"*Yes*")+COUNTIF(C37:J37,"Yes*"))/8)</f>
        <v/>
      </c>
      <c r="O37" s="5" t="n"/>
      <c r="P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4" t="n"/>
      <c r="L38" s="5" t="n"/>
      <c r="M38" s="5" t="n"/>
      <c r="N38" s="10">
        <f>IF(A38="","",(COUNTIF(C38:J38,"*Yes*")+COUNTIF(C38:J38,"Yes*"))/8)</f>
        <v/>
      </c>
      <c r="O38" s="5" t="n"/>
      <c r="P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4" t="n"/>
      <c r="L39" s="5" t="n"/>
      <c r="M39" s="5" t="n"/>
      <c r="N39" s="10">
        <f>IF(A39="","",(COUNTIF(C39:J39,"*Yes*")+COUNTIF(C39:J39,"Yes*"))/8)</f>
        <v/>
      </c>
      <c r="O39" s="5" t="n"/>
      <c r="P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4" t="n"/>
      <c r="L40" s="5" t="n"/>
      <c r="M40" s="5" t="n"/>
      <c r="N40" s="10">
        <f>IF(A40="","",(COUNTIF(C40:J40,"*Yes*")+COUNTIF(C40:J40,"Yes*"))/8)</f>
        <v/>
      </c>
      <c r="O40" s="5" t="n"/>
      <c r="P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4" t="n"/>
      <c r="L41" s="5" t="n"/>
      <c r="M41" s="5" t="n"/>
      <c r="N41" s="10">
        <f>IF(A41="","",(COUNTIF(C41:J41,"*Yes*")+COUNTIF(C41:J41,"Yes*"))/8)</f>
        <v/>
      </c>
      <c r="O41" s="5" t="n"/>
      <c r="P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4" t="n"/>
      <c r="L42" s="5" t="n"/>
      <c r="M42" s="5" t="n"/>
      <c r="N42" s="10">
        <f>IF(A42="","",(COUNTIF(C42:J42,"*Yes*")+COUNTIF(C42:J42,"Yes*"))/8)</f>
        <v/>
      </c>
      <c r="O42" s="5" t="n"/>
      <c r="P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4" t="n"/>
      <c r="L43" s="5" t="n"/>
      <c r="M43" s="5" t="n"/>
      <c r="N43" s="10">
        <f>IF(A43="","",(COUNTIF(C43:J43,"*Yes*")+COUNTIF(C43:J43,"Yes*"))/8)</f>
        <v/>
      </c>
      <c r="O43" s="5" t="n"/>
      <c r="P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4" t="n"/>
      <c r="L44" s="5" t="n"/>
      <c r="M44" s="5" t="n"/>
      <c r="N44" s="10">
        <f>IF(A44="","",(COUNTIF(C44:J44,"*Yes*")+COUNTIF(C44:J44,"Yes*"))/8)</f>
        <v/>
      </c>
      <c r="O44" s="5" t="n"/>
      <c r="P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4" t="n"/>
      <c r="L45" s="5" t="n"/>
      <c r="M45" s="5" t="n"/>
      <c r="N45" s="10">
        <f>IF(A45="","",(COUNTIF(C45:J45,"*Yes*")+COUNTIF(C45:J45,"Yes*"))/8)</f>
        <v/>
      </c>
      <c r="O45" s="5" t="n"/>
      <c r="P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4" t="n"/>
      <c r="L46" s="5" t="n"/>
      <c r="M46" s="5" t="n"/>
      <c r="N46" s="10">
        <f>IF(A46="","",(COUNTIF(C46:J46,"*Yes*")+COUNTIF(C46:J46,"Yes*"))/8)</f>
        <v/>
      </c>
      <c r="O46" s="5" t="n"/>
      <c r="P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4" t="n"/>
      <c r="L47" s="5" t="n"/>
      <c r="M47" s="5" t="n"/>
      <c r="N47" s="10">
        <f>IF(A47="","",(COUNTIF(C47:J47,"*Yes*")+COUNTIF(C47:J47,"Yes*"))/8)</f>
        <v/>
      </c>
      <c r="O47" s="5" t="n"/>
      <c r="P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4" t="n"/>
      <c r="L48" s="5" t="n"/>
      <c r="M48" s="5" t="n"/>
      <c r="N48" s="10">
        <f>IF(A48="","",(COUNTIF(C48:J48,"*Yes*")+COUNTIF(C48:J48,"Yes*"))/8)</f>
        <v/>
      </c>
      <c r="O48" s="5" t="n"/>
      <c r="P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4" t="n"/>
      <c r="L49" s="5" t="n"/>
      <c r="M49" s="5" t="n"/>
      <c r="N49" s="10">
        <f>IF(A49="","",(COUNTIF(C49:J49,"*Yes*")+COUNTIF(C49:J49,"Yes*"))/8)</f>
        <v/>
      </c>
      <c r="O49" s="5" t="n"/>
      <c r="P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4" t="n"/>
      <c r="L50" s="5" t="n"/>
      <c r="M50" s="5" t="n"/>
      <c r="N50" s="10">
        <f>IF(A50="","",(COUNTIF(C50:J50,"*Yes*")+COUNTIF(C50:J50,"Yes*"))/8)</f>
        <v/>
      </c>
      <c r="O50" s="5" t="n"/>
      <c r="P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4" t="n"/>
      <c r="L51" s="5" t="n"/>
      <c r="M51" s="5" t="n"/>
      <c r="N51" s="10">
        <f>IF(A51="","",(COUNTIF(C51:J51,"*Yes*")+COUNTIF(C51:J51,"Yes*"))/8)</f>
        <v/>
      </c>
      <c r="O51" s="5" t="n"/>
      <c r="P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4" t="n"/>
      <c r="L52" s="5" t="n"/>
      <c r="M52" s="5" t="n"/>
      <c r="N52" s="10">
        <f>IF(A52="","",(COUNTIF(C52:J52,"*Yes*")+COUNTIF(C52:J52,"Yes*"))/8)</f>
        <v/>
      </c>
      <c r="O52" s="5" t="n"/>
      <c r="P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4" t="n"/>
      <c r="L53" s="5" t="n"/>
      <c r="M53" s="5" t="n"/>
      <c r="N53" s="10">
        <f>IF(A53="","",(COUNTIF(C53:J53,"*Yes*")+COUNTIF(C53:J53,"Yes*"))/8)</f>
        <v/>
      </c>
      <c r="O53" s="5" t="n"/>
      <c r="P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4" t="n"/>
      <c r="L54" s="5" t="n"/>
      <c r="M54" s="5" t="n"/>
      <c r="N54" s="10">
        <f>IF(A54="","",(COUNTIF(C54:J54,"*Yes*")+COUNTIF(C54:J54,"Yes*"))/8)</f>
        <v/>
      </c>
      <c r="O54" s="5" t="n"/>
      <c r="P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4" t="n"/>
      <c r="L55" s="5" t="n"/>
      <c r="M55" s="5" t="n"/>
      <c r="N55" s="10">
        <f>IF(A55="","",(COUNTIF(C55:J55,"*Yes*")+COUNTIF(C55:J55,"Yes*"))/8)</f>
        <v/>
      </c>
      <c r="O55" s="5" t="n"/>
      <c r="P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4" t="n"/>
      <c r="L56" s="5" t="n"/>
      <c r="M56" s="5" t="n"/>
      <c r="N56" s="10">
        <f>IF(A56="","",(COUNTIF(C56:J56,"*Yes*")+COUNTIF(C56:J56,"Yes*"))/8)</f>
        <v/>
      </c>
      <c r="O56" s="5" t="n"/>
      <c r="P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4" t="n"/>
      <c r="L57" s="5" t="n"/>
      <c r="M57" s="5" t="n"/>
      <c r="N57" s="10">
        <f>IF(A57="","",(COUNTIF(C57:J57,"*Yes*")+COUNTIF(C57:J57,"Yes*"))/8)</f>
        <v/>
      </c>
      <c r="O57" s="5" t="n"/>
      <c r="P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4" t="n"/>
      <c r="L58" s="5" t="n"/>
      <c r="M58" s="5" t="n"/>
      <c r="N58" s="10">
        <f>IF(A58="","",(COUNTIF(C58:J58,"*Yes*")+COUNTIF(C58:J58,"Yes*"))/8)</f>
        <v/>
      </c>
      <c r="O58" s="5" t="n"/>
      <c r="P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4" t="n"/>
      <c r="L59" s="5" t="n"/>
      <c r="M59" s="5" t="n"/>
      <c r="N59" s="10">
        <f>IF(A59="","",(COUNTIF(C59:J59,"*Yes*")+COUNTIF(C59:J59,"Yes*"))/8)</f>
        <v/>
      </c>
      <c r="O59" s="5" t="n"/>
      <c r="P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4" t="n"/>
      <c r="L60" s="5" t="n"/>
      <c r="M60" s="5" t="n"/>
      <c r="N60" s="10">
        <f>IF(A60="","",(COUNTIF(C60:J60,"*Yes*")+COUNTIF(C60:J60,"Yes*"))/8)</f>
        <v/>
      </c>
      <c r="O60" s="5" t="n"/>
      <c r="P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4" t="n"/>
      <c r="L61" s="5" t="n"/>
      <c r="M61" s="5" t="n"/>
      <c r="N61" s="10">
        <f>IF(A61="","",(COUNTIF(C61:J61,"*Yes*")+COUNTIF(C61:J61,"Yes*"))/8)</f>
        <v/>
      </c>
      <c r="O61" s="5" t="n"/>
      <c r="P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4" t="n"/>
      <c r="L62" s="5" t="n"/>
      <c r="M62" s="5" t="n"/>
      <c r="N62" s="10">
        <f>IF(A62="","",(COUNTIF(C62:J62,"*Yes*")+COUNTIF(C62:J62,"Yes*"))/8)</f>
        <v/>
      </c>
      <c r="O62" s="5" t="n"/>
      <c r="P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4" t="n"/>
      <c r="L63" s="5" t="n"/>
      <c r="M63" s="5" t="n"/>
      <c r="N63" s="10">
        <f>IF(A63="","",(COUNTIF(C63:J63,"*Yes*")+COUNTIF(C63:J63,"Yes*"))/8)</f>
        <v/>
      </c>
      <c r="O63" s="5" t="n"/>
      <c r="P63" s="5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4" t="n"/>
      <c r="L64" s="5" t="n"/>
      <c r="M64" s="5" t="n"/>
      <c r="N64" s="10">
        <f>IF(A64="","",(COUNTIF(C64:J64,"*Yes*")+COUNTIF(C64:J64,"Yes*"))/8)</f>
        <v/>
      </c>
      <c r="O64" s="5" t="n"/>
      <c r="P64" s="5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4" t="n"/>
      <c r="L65" s="5" t="n"/>
      <c r="M65" s="5" t="n"/>
      <c r="N65" s="10">
        <f>IF(A65="","",(COUNTIF(C65:J65,"*Yes*")+COUNTIF(C65:J65,"Yes*"))/8)</f>
        <v/>
      </c>
      <c r="O65" s="5" t="n"/>
      <c r="P65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4" t="n"/>
      <c r="L66" s="5" t="n"/>
      <c r="M66" s="5" t="n"/>
      <c r="N66" s="10">
        <f>IF(A66="","",(COUNTIF(C66:J66,"*Yes*")+COUNTIF(C66:J66,"Yes*"))/8)</f>
        <v/>
      </c>
      <c r="O66" s="5" t="n"/>
      <c r="P66" s="5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4" t="n"/>
      <c r="L67" s="5" t="n"/>
      <c r="M67" s="5" t="n"/>
      <c r="N67" s="10">
        <f>IF(A67="","",(COUNTIF(C67:J67,"*Yes*")+COUNTIF(C67:J67,"Yes*"))/8)</f>
        <v/>
      </c>
      <c r="O67" s="5" t="n"/>
      <c r="P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4" t="n"/>
      <c r="L68" s="5" t="n"/>
      <c r="M68" s="5" t="n"/>
      <c r="N68" s="10">
        <f>IF(A68="","",(COUNTIF(C68:J68,"*Yes*")+COUNTIF(C68:J68,"Yes*"))/8)</f>
        <v/>
      </c>
      <c r="O68" s="5" t="n"/>
      <c r="P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4" t="n"/>
      <c r="L69" s="5" t="n"/>
      <c r="M69" s="5" t="n"/>
      <c r="N69" s="10">
        <f>IF(A69="","",(COUNTIF(C69:J69,"*Yes*")+COUNTIF(C69:J69,"Yes*"))/8)</f>
        <v/>
      </c>
      <c r="O69" s="5" t="n"/>
      <c r="P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4" t="n"/>
      <c r="L70" s="5" t="n"/>
      <c r="M70" s="5" t="n"/>
      <c r="N70" s="10">
        <f>IF(A70="","",(COUNTIF(C70:J70,"*Yes*")+COUNTIF(C70:J70,"Yes*"))/8)</f>
        <v/>
      </c>
      <c r="O70" s="5" t="n"/>
      <c r="P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4" t="n"/>
      <c r="L71" s="5" t="n"/>
      <c r="M71" s="5" t="n"/>
      <c r="N71" s="10">
        <f>IF(A71="","",(COUNTIF(C71:J71,"*Yes*")+COUNTIF(C71:J71,"Yes*"))/8)</f>
        <v/>
      </c>
      <c r="O71" s="5" t="n"/>
      <c r="P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4" t="n"/>
      <c r="L72" s="5" t="n"/>
      <c r="M72" s="5" t="n"/>
      <c r="N72" s="10">
        <f>IF(A72="","",(COUNTIF(C72:J72,"*Yes*")+COUNTIF(C72:J72,"Yes*"))/8)</f>
        <v/>
      </c>
      <c r="O72" s="5" t="n"/>
      <c r="P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4" t="n"/>
      <c r="L73" s="5" t="n"/>
      <c r="M73" s="5" t="n"/>
      <c r="N73" s="10">
        <f>IF(A73="","",(COUNTIF(C73:J73,"*Yes*")+COUNTIF(C73:J73,"Yes*"))/8)</f>
        <v/>
      </c>
      <c r="O73" s="5" t="n"/>
      <c r="P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4" t="n"/>
      <c r="L74" s="5" t="n"/>
      <c r="M74" s="5" t="n"/>
      <c r="N74" s="10">
        <f>IF(A74="","",(COUNTIF(C74:J74,"*Yes*")+COUNTIF(C74:J74,"Yes*"))/8)</f>
        <v/>
      </c>
      <c r="O74" s="5" t="n"/>
      <c r="P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4" t="n"/>
      <c r="L75" s="5" t="n"/>
      <c r="M75" s="5" t="n"/>
      <c r="N75" s="10">
        <f>IF(A75="","",(COUNTIF(C75:J75,"*Yes*")+COUNTIF(C75:J75,"Yes*"))/8)</f>
        <v/>
      </c>
      <c r="O75" s="5" t="n"/>
      <c r="P75" s="5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4" t="n"/>
      <c r="L76" s="5" t="n"/>
      <c r="M76" s="5" t="n"/>
      <c r="N76" s="10">
        <f>IF(A76="","",(COUNTIF(C76:J76,"*Yes*")+COUNTIF(C76:J76,"Yes*"))/8)</f>
        <v/>
      </c>
      <c r="O76" s="5" t="n"/>
      <c r="P76" s="5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4" t="n"/>
      <c r="L77" s="5" t="n"/>
      <c r="M77" s="5" t="n"/>
      <c r="N77" s="10">
        <f>IF(A77="","",(COUNTIF(C77:J77,"*Yes*")+COUNTIF(C77:J77,"Yes*"))/8)</f>
        <v/>
      </c>
      <c r="O77" s="5" t="n"/>
      <c r="P77" s="5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4" t="n"/>
      <c r="L78" s="5" t="n"/>
      <c r="M78" s="5" t="n"/>
      <c r="N78" s="10">
        <f>IF(A78="","",(COUNTIF(C78:J78,"*Yes*")+COUNTIF(C78:J78,"Yes*"))/8)</f>
        <v/>
      </c>
      <c r="O78" s="5" t="n"/>
      <c r="P78" s="5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4" t="n"/>
      <c r="L79" s="5" t="n"/>
      <c r="M79" s="5" t="n"/>
      <c r="N79" s="10">
        <f>IF(A79="","",(COUNTIF(C79:J79,"*Yes*")+COUNTIF(C79:J79,"Yes*"))/8)</f>
        <v/>
      </c>
      <c r="O79" s="5" t="n"/>
      <c r="P79" s="5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4" t="n"/>
      <c r="L80" s="5" t="n"/>
      <c r="M80" s="5" t="n"/>
      <c r="N80" s="10">
        <f>IF(A80="","",(COUNTIF(C80:J80,"*Yes*")+COUNTIF(C80:J80,"Yes*"))/8)</f>
        <v/>
      </c>
      <c r="O80" s="5" t="n"/>
      <c r="P80" s="5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4" t="n"/>
      <c r="L81" s="5" t="n"/>
      <c r="M81" s="5" t="n"/>
      <c r="N81" s="10">
        <f>IF(A81="","",(COUNTIF(C81:J81,"*Yes*")+COUNTIF(C81:J81,"Yes*"))/8)</f>
        <v/>
      </c>
      <c r="O81" s="5" t="n"/>
      <c r="P81" s="5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4" t="n"/>
      <c r="L82" s="5" t="n"/>
      <c r="M82" s="5" t="n"/>
      <c r="N82" s="10">
        <f>IF(A82="","",(COUNTIF(C82:J82,"*Yes*")+COUNTIF(C82:J82,"Yes*"))/8)</f>
        <v/>
      </c>
      <c r="O82" s="5" t="n"/>
      <c r="P82" s="5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4" t="n"/>
      <c r="L83" s="5" t="n"/>
      <c r="M83" s="5" t="n"/>
      <c r="N83" s="10">
        <f>IF(A83="","",(COUNTIF(C83:J83,"*Yes*")+COUNTIF(C83:J83,"Yes*"))/8)</f>
        <v/>
      </c>
      <c r="O83" s="5" t="n"/>
      <c r="P83" s="5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4" t="n"/>
      <c r="L84" s="5" t="n"/>
      <c r="M84" s="5" t="n"/>
      <c r="N84" s="10">
        <f>IF(A84="","",(COUNTIF(C84:J84,"*Yes*")+COUNTIF(C84:J84,"Yes*"))/8)</f>
        <v/>
      </c>
      <c r="O84" s="5" t="n"/>
      <c r="P84" s="5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4" t="n"/>
      <c r="L85" s="5" t="n"/>
      <c r="M85" s="5" t="n"/>
      <c r="N85" s="10">
        <f>IF(A85="","",(COUNTIF(C85:J85,"*Yes*")+COUNTIF(C85:J85,"Yes*"))/8)</f>
        <v/>
      </c>
      <c r="O85" s="5" t="n"/>
      <c r="P85" s="5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4" t="n"/>
      <c r="L86" s="5" t="n"/>
      <c r="M86" s="5" t="n"/>
      <c r="N86" s="10">
        <f>IF(A86="","",(COUNTIF(C86:J86,"*Yes*")+COUNTIF(C86:J86,"Yes*"))/8)</f>
        <v/>
      </c>
      <c r="O86" s="5" t="n"/>
      <c r="P86" s="5" t="n"/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4" t="n"/>
      <c r="L87" s="5" t="n"/>
      <c r="M87" s="5" t="n"/>
      <c r="N87" s="10">
        <f>IF(A87="","",(COUNTIF(C87:J87,"*Yes*")+COUNTIF(C87:J87,"Yes*"))/8)</f>
        <v/>
      </c>
      <c r="O87" s="5" t="n"/>
      <c r="P87" s="5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4" t="n"/>
      <c r="L88" s="5" t="n"/>
      <c r="M88" s="5" t="n"/>
      <c r="N88" s="10">
        <f>IF(A88="","",(COUNTIF(C88:J88,"*Yes*")+COUNTIF(C88:J88,"Yes*"))/8)</f>
        <v/>
      </c>
      <c r="O88" s="5" t="n"/>
      <c r="P88" s="5" t="n"/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4" t="n"/>
      <c r="L89" s="5" t="n"/>
      <c r="M89" s="5" t="n"/>
      <c r="N89" s="10">
        <f>IF(A89="","",(COUNTIF(C89:J89,"*Yes*")+COUNTIF(C89:J89,"Yes*"))/8)</f>
        <v/>
      </c>
      <c r="O89" s="5" t="n"/>
      <c r="P89" s="5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4" t="n"/>
      <c r="L90" s="5" t="n"/>
      <c r="M90" s="5" t="n"/>
      <c r="N90" s="10">
        <f>IF(A90="","",(COUNTIF(C90:J90,"*Yes*")+COUNTIF(C90:J90,"Yes*"))/8)</f>
        <v/>
      </c>
      <c r="O90" s="5" t="n"/>
      <c r="P90" s="5" t="n"/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4" t="n"/>
      <c r="L91" s="5" t="n"/>
      <c r="M91" s="5" t="n"/>
      <c r="N91" s="10">
        <f>IF(A91="","",(COUNTIF(C91:J91,"*Yes*")+COUNTIF(C91:J91,"Yes*"))/8)</f>
        <v/>
      </c>
      <c r="O91" s="5" t="n"/>
      <c r="P91" s="5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4" t="n"/>
      <c r="L92" s="5" t="n"/>
      <c r="M92" s="5" t="n"/>
      <c r="N92" s="10">
        <f>IF(A92="","",(COUNTIF(C92:J92,"*Yes*")+COUNTIF(C92:J92,"Yes*"))/8)</f>
        <v/>
      </c>
      <c r="O92" s="5" t="n"/>
      <c r="P92" s="5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4" t="n"/>
      <c r="L93" s="5" t="n"/>
      <c r="M93" s="5" t="n"/>
      <c r="N93" s="10">
        <f>IF(A93="","",(COUNTIF(C93:J93,"*Yes*")+COUNTIF(C93:J93,"Yes*"))/8)</f>
        <v/>
      </c>
      <c r="O93" s="5" t="n"/>
      <c r="P93" s="5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4" t="n"/>
      <c r="L94" s="5" t="n"/>
      <c r="M94" s="5" t="n"/>
      <c r="N94" s="10">
        <f>IF(A94="","",(COUNTIF(C94:J94,"*Yes*")+COUNTIF(C94:J94,"Yes*"))/8)</f>
        <v/>
      </c>
      <c r="O94" s="5" t="n"/>
      <c r="P94" s="5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4" t="n"/>
      <c r="L95" s="5" t="n"/>
      <c r="M95" s="5" t="n"/>
      <c r="N95" s="10">
        <f>IF(A95="","",(COUNTIF(C95:J95,"*Yes*")+COUNTIF(C95:J95,"Yes*"))/8)</f>
        <v/>
      </c>
      <c r="O95" s="5" t="n"/>
      <c r="P95" s="5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4" t="n"/>
      <c r="L96" s="5" t="n"/>
      <c r="M96" s="5" t="n"/>
      <c r="N96" s="10">
        <f>IF(A96="","",(COUNTIF(C96:J96,"*Yes*")+COUNTIF(C96:J96,"Yes*"))/8)</f>
        <v/>
      </c>
      <c r="O96" s="5" t="n"/>
      <c r="P96" s="5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4" t="n"/>
      <c r="L97" s="5" t="n"/>
      <c r="M97" s="5" t="n"/>
      <c r="N97" s="10">
        <f>IF(A97="","",(COUNTIF(C97:J97,"*Yes*")+COUNTIF(C97:J97,"Yes*"))/8)</f>
        <v/>
      </c>
      <c r="O97" s="5" t="n"/>
      <c r="P97" s="5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4" t="n"/>
      <c r="L98" s="5" t="n"/>
      <c r="M98" s="5" t="n"/>
      <c r="N98" s="10">
        <f>IF(A98="","",(COUNTIF(C98:J98,"*Yes*")+COUNTIF(C98:J98,"Yes*"))/8)</f>
        <v/>
      </c>
      <c r="O98" s="5" t="n"/>
      <c r="P98" s="5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4" t="n"/>
      <c r="L99" s="5" t="n"/>
      <c r="M99" s="5" t="n"/>
      <c r="N99" s="10">
        <f>IF(A99="","",(COUNTIF(C99:J99,"*Yes*")+COUNTIF(C99:J99,"Yes*"))/8)</f>
        <v/>
      </c>
      <c r="O99" s="5" t="n"/>
      <c r="P99" s="5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4" t="n"/>
      <c r="L100" s="5" t="n"/>
      <c r="M100" s="5" t="n"/>
      <c r="N100" s="10">
        <f>IF(A100="","",(COUNTIF(C100:J100,"*Yes*")+COUNTIF(C100:J100,"Yes*"))/8)</f>
        <v/>
      </c>
      <c r="O100" s="5" t="n"/>
      <c r="P100" s="5" t="n"/>
    </row>
  </sheetData>
  <mergeCells count="2">
    <mergeCell ref="A1:P1"/>
    <mergeCell ref="A2:P2"/>
  </mergeCells>
  <conditionalFormatting sqref="N9:N100">
    <cfRule type="cellIs" priority="1" operator="greaterThanOrEqual" dxfId="0">
      <formula>0.95</formula>
    </cfRule>
    <cfRule type="cellIs" priority="2" operator="between" dxfId="1">
      <formula>0.8</formula>
      <formula>0.94</formula>
    </cfRule>
    <cfRule type="cellIs" priority="3" operator="lessThan" dxfId="2">
      <formula>0.8</formula>
    </cfRule>
  </conditionalFormatting>
  <dataValidations count="10">
    <dataValidation sqref="B9:B100" showDropDown="0" showInputMessage="0" showErrorMessage="0" allowBlank="1" type="list">
      <formula1>"RBAC,ACL,None,Other"</formula1>
    </dataValidation>
    <dataValidation sqref="C9:C100 O9:O100" showDropDown="0" showInputMessage="0" showErrorMessage="0" allowBlank="1" type="list">
      <formula1>"Yes,No"</formula1>
    </dataValidation>
    <dataValidation sqref="D9:D100" showDropDown="0" showInputMessage="0" showErrorMessage="0" allowBlank="1" type="list">
      <formula1>"Role-Based,User-Based,Group-Based,None"</formula1>
    </dataValidation>
    <dataValidation sqref="E9:E100" showDropDown="0" showInputMessage="0" showErrorMessage="0" allowBlank="1" type="list">
      <formula1>"Yes,No,Partial"</formula1>
    </dataValidation>
    <dataValidation sqref="F9:F100" showDropDown="0" showInputMessage="0" showErrorMessage="0" allowBlank="1" type="list">
      <formula1>"Yes (read-only),No,Partial"</formula1>
    </dataValidation>
    <dataValidation sqref="G9:G100" showDropDown="0" showInputMessage="0" showErrorMessage="0" allowBlank="1" type="list">
      <formula1>"Yes (restricted),No"</formula1>
    </dataValidation>
    <dataValidation sqref="H9:H100" showDropDown="0" showInputMessage="0" showErrorMessage="0" allowBlank="1" type="list">
      <formula1>"Yes (separated),No,N/A"</formula1>
    </dataValidation>
    <dataValidation sqref="I9:I100" showDropDown="0" showInputMessage="0" showErrorMessage="0" allowBlank="1" type="list">
      <formula1>"Yes,No"</formula1>
    </dataValidation>
    <dataValidation sqref="J9:J100" showDropDown="0" showInputMessage="0" showErrorMessage="0" allowBlank="1" type="list">
      <formula1>"✅ Yes,❌ No,➖ N/A"</formula1>
    </dataValidation>
    <dataValidation sqref="L9:L100" showDropDown="0" showInputMessage="0" showErrorMessage="0" allowBlank="1" type="list">
      <formula1>"Quarterly,Semi-annual,Annual,None"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00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20" customWidth="1" min="3" max="3"/>
    <col width="25" customWidth="1" min="4" max="4"/>
    <col width="20" customWidth="1" min="5" max="5"/>
    <col width="18" customWidth="1" min="6" max="6"/>
    <col width="25" customWidth="1" min="7" max="7"/>
    <col width="18" customWidth="1" min="8" max="8"/>
    <col width="18" customWidth="1" min="9" max="9"/>
    <col width="20" customWidth="1" min="10" max="10"/>
    <col width="18" customWidth="1" min="11" max="11"/>
    <col width="18" customWidth="1" min="12" max="12"/>
    <col width="18" customWidth="1" min="13" max="13"/>
    <col width="20" customWidth="1" min="14" max="14"/>
    <col width="40" customWidth="1" min="15" max="15"/>
    <col width="40" customWidth="1" min="16" max="16"/>
    <col width="40" customWidth="1" min="17" max="17"/>
  </cols>
  <sheetData>
    <row r="1" ht="40" customHeight="1">
      <c r="A1" s="1" t="inlineStr">
        <is>
          <t>INTEGRITY PROTECTION MECHANISMS</t>
        </is>
      </c>
    </row>
    <row r="2" ht="30" customHeight="1">
      <c r="A2" s="6" t="inlineStr">
        <is>
          <t>Assess integrity protection per ISMS-POL-A.8.15-S2.2.4</t>
        </is>
      </c>
    </row>
    <row r="7" ht="35" customHeight="1">
      <c r="A7" s="8" t="inlineStr">
        <is>
          <t>Log Source / Storage</t>
        </is>
      </c>
      <c r="B7" s="8" t="inlineStr">
        <is>
          <t>Log Criticality</t>
        </is>
      </c>
      <c r="C7" s="8" t="inlineStr">
        <is>
          <t>Write-Once Storage (WORM)</t>
        </is>
      </c>
      <c r="D7" s="8" t="inlineStr">
        <is>
          <t>WORM Technology</t>
        </is>
      </c>
      <c r="E7" s="8" t="inlineStr">
        <is>
          <t>Cryptographic Hashing</t>
        </is>
      </c>
      <c r="F7" s="8" t="inlineStr">
        <is>
          <t>Hash Algorithm</t>
        </is>
      </c>
      <c r="G7" s="8" t="inlineStr">
        <is>
          <t>Hash Storage Location</t>
        </is>
      </c>
      <c r="H7" s="8" t="inlineStr">
        <is>
          <t>Digital Signatures</t>
        </is>
      </c>
      <c r="I7" s="8" t="inlineStr">
        <is>
          <t>File Sealing</t>
        </is>
      </c>
      <c r="J7" s="8" t="inlineStr">
        <is>
          <t>Integrity Check Frequency</t>
        </is>
      </c>
      <c r="K7" s="8" t="inlineStr">
        <is>
          <t>Last Integrity Check</t>
        </is>
      </c>
      <c r="L7" s="8" t="inlineStr">
        <is>
          <t>Tampering Detected</t>
        </is>
      </c>
      <c r="M7" s="8" t="inlineStr">
        <is>
          <t>Backup Protected</t>
        </is>
      </c>
      <c r="N7" s="8" t="inlineStr">
        <is>
          <t>Compliance with Policy</t>
        </is>
      </c>
      <c r="O7" s="8" t="inlineStr">
        <is>
          <t>Gap Description</t>
        </is>
      </c>
      <c r="P7" s="8" t="inlineStr">
        <is>
          <t>Remediation Plan</t>
        </is>
      </c>
      <c r="Q7" s="8" t="inlineStr">
        <is>
          <t>Notes</t>
        </is>
      </c>
    </row>
    <row r="8">
      <c r="A8" s="9" t="inlineStr">
        <is>
          <t>Security Logs - Hot Storage</t>
        </is>
      </c>
      <c r="B8" s="9" t="inlineStr">
        <is>
          <t>Critical</t>
        </is>
      </c>
      <c r="C8" s="9" t="inlineStr">
        <is>
          <t>Yes</t>
        </is>
      </c>
      <c r="D8" s="9" t="inlineStr">
        <is>
          <t>Cloud Object Lock</t>
        </is>
      </c>
      <c r="E8" s="9" t="inlineStr">
        <is>
          <t>Yes</t>
        </is>
      </c>
      <c r="F8" s="9" t="inlineStr">
        <is>
          <t>SHA-256</t>
        </is>
      </c>
      <c r="G8" s="9" t="inlineStr">
        <is>
          <t>Separate integrity DB</t>
        </is>
      </c>
      <c r="H8" s="9" t="inlineStr">
        <is>
          <t>No</t>
        </is>
      </c>
      <c r="I8" s="9" t="inlineStr">
        <is>
          <t>N/A</t>
        </is>
      </c>
      <c r="J8" s="9" t="inlineStr">
        <is>
          <t>Daily</t>
        </is>
      </c>
      <c r="K8" s="9" t="inlineStr">
        <is>
          <t>06.01.2026</t>
        </is>
      </c>
      <c r="L8" s="9" t="inlineStr">
        <is>
          <t>Never</t>
        </is>
      </c>
      <c r="M8" s="9" t="inlineStr">
        <is>
          <t>Yes</t>
        </is>
      </c>
      <c r="N8" s="9" t="inlineStr">
        <is>
          <t>Compliant</t>
        </is>
      </c>
      <c r="O8" s="9" t="inlineStr"/>
      <c r="P8" s="9" t="inlineStr"/>
      <c r="Q8" s="9" t="inlineStr">
        <is>
          <t>Full protection</t>
        </is>
      </c>
    </row>
    <row r="9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4" t="n"/>
      <c r="L9" s="5" t="n"/>
      <c r="M9" s="5" t="n"/>
      <c r="N9" s="11">
        <f>IF(A9="","",
            IF(B9="Critical",
                IF(AND(C9="Yes",E9="Yes",J9="Daily"),"Compliant","Non-Compliant"),
            IF(B9="High",
                IF(AND(E9="Yes",OR(J9="Daily",J9="Weekly")),"Compliant","Non-Compliant"),
            IF(B9="Medium",
                IF(OR(J9="Daily",J9="Weekly",J9="Monthly"),"Compliant","Non-Compliant"),
                "Compliant"))))</f>
        <v/>
      </c>
      <c r="O9" s="5" t="n"/>
      <c r="P9" s="5" t="n"/>
      <c r="Q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4" t="n"/>
      <c r="L10" s="5" t="n"/>
      <c r="M10" s="5" t="n"/>
      <c r="N10" s="11">
        <f>IF(A10="","",
            IF(B10="Critical",
                IF(AND(C10="Yes",E10="Yes",J10="Daily"),"Compliant","Non-Compliant"),
            IF(B10="High",
                IF(AND(E10="Yes",OR(J10="Daily",J10="Weekly")),"Compliant","Non-Compliant"),
            IF(B10="Medium",
                IF(OR(J10="Daily",J10="Weekly",J10="Monthly"),"Compliant","Non-Compliant"),
                "Compliant"))))</f>
        <v/>
      </c>
      <c r="O10" s="5" t="n"/>
      <c r="P10" s="5" t="n"/>
      <c r="Q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4" t="n"/>
      <c r="L11" s="5" t="n"/>
      <c r="M11" s="5" t="n"/>
      <c r="N11" s="11">
        <f>IF(A11="","",
            IF(B11="Critical",
                IF(AND(C11="Yes",E11="Yes",J11="Daily"),"Compliant","Non-Compliant"),
            IF(B11="High",
                IF(AND(E11="Yes",OR(J11="Daily",J11="Weekly")),"Compliant","Non-Compliant"),
            IF(B11="Medium",
                IF(OR(J11="Daily",J11="Weekly",J11="Monthly"),"Compliant","Non-Compliant"),
                "Compliant"))))</f>
        <v/>
      </c>
      <c r="O11" s="5" t="n"/>
      <c r="P11" s="5" t="n"/>
      <c r="Q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4" t="n"/>
      <c r="L12" s="5" t="n"/>
      <c r="M12" s="5" t="n"/>
      <c r="N12" s="11">
        <f>IF(A12="","",
            IF(B12="Critical",
                IF(AND(C12="Yes",E12="Yes",J12="Daily"),"Compliant","Non-Compliant"),
            IF(B12="High",
                IF(AND(E12="Yes",OR(J12="Daily",J12="Weekly")),"Compliant","Non-Compliant"),
            IF(B12="Medium",
                IF(OR(J12="Daily",J12="Weekly",J12="Monthly"),"Compliant","Non-Compliant"),
                "Compliant"))))</f>
        <v/>
      </c>
      <c r="O12" s="5" t="n"/>
      <c r="P12" s="5" t="n"/>
      <c r="Q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4" t="n"/>
      <c r="L13" s="5" t="n"/>
      <c r="M13" s="5" t="n"/>
      <c r="N13" s="11">
        <f>IF(A13="","",
            IF(B13="Critical",
                IF(AND(C13="Yes",E13="Yes",J13="Daily"),"Compliant","Non-Compliant"),
            IF(B13="High",
                IF(AND(E13="Yes",OR(J13="Daily",J13="Weekly")),"Compliant","Non-Compliant"),
            IF(B13="Medium",
                IF(OR(J13="Daily",J13="Weekly",J13="Monthly"),"Compliant","Non-Compliant"),
                "Compliant"))))</f>
        <v/>
      </c>
      <c r="O13" s="5" t="n"/>
      <c r="P13" s="5" t="n"/>
      <c r="Q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4" t="n"/>
      <c r="L14" s="5" t="n"/>
      <c r="M14" s="5" t="n"/>
      <c r="N14" s="11">
        <f>IF(A14="","",
            IF(B14="Critical",
                IF(AND(C14="Yes",E14="Yes",J14="Daily"),"Compliant","Non-Compliant"),
            IF(B14="High",
                IF(AND(E14="Yes",OR(J14="Daily",J14="Weekly")),"Compliant","Non-Compliant"),
            IF(B14="Medium",
                IF(OR(J14="Daily",J14="Weekly",J14="Monthly"),"Compliant","Non-Compliant"),
                "Compliant"))))</f>
        <v/>
      </c>
      <c r="O14" s="5" t="n"/>
      <c r="P14" s="5" t="n"/>
      <c r="Q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4" t="n"/>
      <c r="L15" s="5" t="n"/>
      <c r="M15" s="5" t="n"/>
      <c r="N15" s="11">
        <f>IF(A15="","",
            IF(B15="Critical",
                IF(AND(C15="Yes",E15="Yes",J15="Daily"),"Compliant","Non-Compliant"),
            IF(B15="High",
                IF(AND(E15="Yes",OR(J15="Daily",J15="Weekly")),"Compliant","Non-Compliant"),
            IF(B15="Medium",
                IF(OR(J15="Daily",J15="Weekly",J15="Monthly"),"Compliant","Non-Compliant"),
                "Compliant"))))</f>
        <v/>
      </c>
      <c r="O15" s="5" t="n"/>
      <c r="P15" s="5" t="n"/>
      <c r="Q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4" t="n"/>
      <c r="L16" s="5" t="n"/>
      <c r="M16" s="5" t="n"/>
      <c r="N16" s="11">
        <f>IF(A16="","",
            IF(B16="Critical",
                IF(AND(C16="Yes",E16="Yes",J16="Daily"),"Compliant","Non-Compliant"),
            IF(B16="High",
                IF(AND(E16="Yes",OR(J16="Daily",J16="Weekly")),"Compliant","Non-Compliant"),
            IF(B16="Medium",
                IF(OR(J16="Daily",J16="Weekly",J16="Monthly"),"Compliant","Non-Compliant"),
                "Compliant"))))</f>
        <v/>
      </c>
      <c r="O16" s="5" t="n"/>
      <c r="P16" s="5" t="n"/>
      <c r="Q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4" t="n"/>
      <c r="L17" s="5" t="n"/>
      <c r="M17" s="5" t="n"/>
      <c r="N17" s="11">
        <f>IF(A17="","",
            IF(B17="Critical",
                IF(AND(C17="Yes",E17="Yes",J17="Daily"),"Compliant","Non-Compliant"),
            IF(B17="High",
                IF(AND(E17="Yes",OR(J17="Daily",J17="Weekly")),"Compliant","Non-Compliant"),
            IF(B17="Medium",
                IF(OR(J17="Daily",J17="Weekly",J17="Monthly"),"Compliant","Non-Compliant"),
                "Compliant"))))</f>
        <v/>
      </c>
      <c r="O17" s="5" t="n"/>
      <c r="P17" s="5" t="n"/>
      <c r="Q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4" t="n"/>
      <c r="L18" s="5" t="n"/>
      <c r="M18" s="5" t="n"/>
      <c r="N18" s="11">
        <f>IF(A18="","",
            IF(B18="Critical",
                IF(AND(C18="Yes",E18="Yes",J18="Daily"),"Compliant","Non-Compliant"),
            IF(B18="High",
                IF(AND(E18="Yes",OR(J18="Daily",J18="Weekly")),"Compliant","Non-Compliant"),
            IF(B18="Medium",
                IF(OR(J18="Daily",J18="Weekly",J18="Monthly"),"Compliant","Non-Compliant"),
                "Compliant"))))</f>
        <v/>
      </c>
      <c r="O18" s="5" t="n"/>
      <c r="P18" s="5" t="n"/>
      <c r="Q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4" t="n"/>
      <c r="L19" s="5" t="n"/>
      <c r="M19" s="5" t="n"/>
      <c r="N19" s="11">
        <f>IF(A19="","",
            IF(B19="Critical",
                IF(AND(C19="Yes",E19="Yes",J19="Daily"),"Compliant","Non-Compliant"),
            IF(B19="High",
                IF(AND(E19="Yes",OR(J19="Daily",J19="Weekly")),"Compliant","Non-Compliant"),
            IF(B19="Medium",
                IF(OR(J19="Daily",J19="Weekly",J19="Monthly"),"Compliant","Non-Compliant"),
                "Compliant"))))</f>
        <v/>
      </c>
      <c r="O19" s="5" t="n"/>
      <c r="P19" s="5" t="n"/>
      <c r="Q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4" t="n"/>
      <c r="L20" s="5" t="n"/>
      <c r="M20" s="5" t="n"/>
      <c r="N20" s="11">
        <f>IF(A20="","",
            IF(B20="Critical",
                IF(AND(C20="Yes",E20="Yes",J20="Daily"),"Compliant","Non-Compliant"),
            IF(B20="High",
                IF(AND(E20="Yes",OR(J20="Daily",J20="Weekly")),"Compliant","Non-Compliant"),
            IF(B20="Medium",
                IF(OR(J20="Daily",J20="Weekly",J20="Monthly"),"Compliant","Non-Compliant"),
                "Compliant"))))</f>
        <v/>
      </c>
      <c r="O20" s="5" t="n"/>
      <c r="P20" s="5" t="n"/>
      <c r="Q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4" t="n"/>
      <c r="L21" s="5" t="n"/>
      <c r="M21" s="5" t="n"/>
      <c r="N21" s="11">
        <f>IF(A21="","",
            IF(B21="Critical",
                IF(AND(C21="Yes",E21="Yes",J21="Daily"),"Compliant","Non-Compliant"),
            IF(B21="High",
                IF(AND(E21="Yes",OR(J21="Daily",J21="Weekly")),"Compliant","Non-Compliant"),
            IF(B21="Medium",
                IF(OR(J21="Daily",J21="Weekly",J21="Monthly"),"Compliant","Non-Compliant"),
                "Compliant"))))</f>
        <v/>
      </c>
      <c r="O21" s="5" t="n"/>
      <c r="P21" s="5" t="n"/>
      <c r="Q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4" t="n"/>
      <c r="L22" s="5" t="n"/>
      <c r="M22" s="5" t="n"/>
      <c r="N22" s="11">
        <f>IF(A22="","",
            IF(B22="Critical",
                IF(AND(C22="Yes",E22="Yes",J22="Daily"),"Compliant","Non-Compliant"),
            IF(B22="High",
                IF(AND(E22="Yes",OR(J22="Daily",J22="Weekly")),"Compliant","Non-Compliant"),
            IF(B22="Medium",
                IF(OR(J22="Daily",J22="Weekly",J22="Monthly"),"Compliant","Non-Compliant"),
                "Compliant"))))</f>
        <v/>
      </c>
      <c r="O22" s="5" t="n"/>
      <c r="P22" s="5" t="n"/>
      <c r="Q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4" t="n"/>
      <c r="L23" s="5" t="n"/>
      <c r="M23" s="5" t="n"/>
      <c r="N23" s="11">
        <f>IF(A23="","",
            IF(B23="Critical",
                IF(AND(C23="Yes",E23="Yes",J23="Daily"),"Compliant","Non-Compliant"),
            IF(B23="High",
                IF(AND(E23="Yes",OR(J23="Daily",J23="Weekly")),"Compliant","Non-Compliant"),
            IF(B23="Medium",
                IF(OR(J23="Daily",J23="Weekly",J23="Monthly"),"Compliant","Non-Compliant"),
                "Compliant"))))</f>
        <v/>
      </c>
      <c r="O23" s="5" t="n"/>
      <c r="P23" s="5" t="n"/>
      <c r="Q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4" t="n"/>
      <c r="L24" s="5" t="n"/>
      <c r="M24" s="5" t="n"/>
      <c r="N24" s="11">
        <f>IF(A24="","",
            IF(B24="Critical",
                IF(AND(C24="Yes",E24="Yes",J24="Daily"),"Compliant","Non-Compliant"),
            IF(B24="High",
                IF(AND(E24="Yes",OR(J24="Daily",J24="Weekly")),"Compliant","Non-Compliant"),
            IF(B24="Medium",
                IF(OR(J24="Daily",J24="Weekly",J24="Monthly"),"Compliant","Non-Compliant"),
                "Compliant"))))</f>
        <v/>
      </c>
      <c r="O24" s="5" t="n"/>
      <c r="P24" s="5" t="n"/>
      <c r="Q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4" t="n"/>
      <c r="L25" s="5" t="n"/>
      <c r="M25" s="5" t="n"/>
      <c r="N25" s="11">
        <f>IF(A25="","",
            IF(B25="Critical",
                IF(AND(C25="Yes",E25="Yes",J25="Daily"),"Compliant","Non-Compliant"),
            IF(B25="High",
                IF(AND(E25="Yes",OR(J25="Daily",J25="Weekly")),"Compliant","Non-Compliant"),
            IF(B25="Medium",
                IF(OR(J25="Daily",J25="Weekly",J25="Monthly"),"Compliant","Non-Compliant"),
                "Compliant"))))</f>
        <v/>
      </c>
      <c r="O25" s="5" t="n"/>
      <c r="P25" s="5" t="n"/>
      <c r="Q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4" t="n"/>
      <c r="L26" s="5" t="n"/>
      <c r="M26" s="5" t="n"/>
      <c r="N26" s="11">
        <f>IF(A26="","",
            IF(B26="Critical",
                IF(AND(C26="Yes",E26="Yes",J26="Daily"),"Compliant","Non-Compliant"),
            IF(B26="High",
                IF(AND(E26="Yes",OR(J26="Daily",J26="Weekly")),"Compliant","Non-Compliant"),
            IF(B26="Medium",
                IF(OR(J26="Daily",J26="Weekly",J26="Monthly"),"Compliant","Non-Compliant"),
                "Compliant"))))</f>
        <v/>
      </c>
      <c r="O26" s="5" t="n"/>
      <c r="P26" s="5" t="n"/>
      <c r="Q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4" t="n"/>
      <c r="L27" s="5" t="n"/>
      <c r="M27" s="5" t="n"/>
      <c r="N27" s="11">
        <f>IF(A27="","",
            IF(B27="Critical",
                IF(AND(C27="Yes",E27="Yes",J27="Daily"),"Compliant","Non-Compliant"),
            IF(B27="High",
                IF(AND(E27="Yes",OR(J27="Daily",J27="Weekly")),"Compliant","Non-Compliant"),
            IF(B27="Medium",
                IF(OR(J27="Daily",J27="Weekly",J27="Monthly"),"Compliant","Non-Compliant"),
                "Compliant"))))</f>
        <v/>
      </c>
      <c r="O27" s="5" t="n"/>
      <c r="P27" s="5" t="n"/>
      <c r="Q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4" t="n"/>
      <c r="L28" s="5" t="n"/>
      <c r="M28" s="5" t="n"/>
      <c r="N28" s="11">
        <f>IF(A28="","",
            IF(B28="Critical",
                IF(AND(C28="Yes",E28="Yes",J28="Daily"),"Compliant","Non-Compliant"),
            IF(B28="High",
                IF(AND(E28="Yes",OR(J28="Daily",J28="Weekly")),"Compliant","Non-Compliant"),
            IF(B28="Medium",
                IF(OR(J28="Daily",J28="Weekly",J28="Monthly"),"Compliant","Non-Compliant"),
                "Compliant"))))</f>
        <v/>
      </c>
      <c r="O28" s="5" t="n"/>
      <c r="P28" s="5" t="n"/>
      <c r="Q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4" t="n"/>
      <c r="L29" s="5" t="n"/>
      <c r="M29" s="5" t="n"/>
      <c r="N29" s="11">
        <f>IF(A29="","",
            IF(B29="Critical",
                IF(AND(C29="Yes",E29="Yes",J29="Daily"),"Compliant","Non-Compliant"),
            IF(B29="High",
                IF(AND(E29="Yes",OR(J29="Daily",J29="Weekly")),"Compliant","Non-Compliant"),
            IF(B29="Medium",
                IF(OR(J29="Daily",J29="Weekly",J29="Monthly"),"Compliant","Non-Compliant"),
                "Compliant"))))</f>
        <v/>
      </c>
      <c r="O29" s="5" t="n"/>
      <c r="P29" s="5" t="n"/>
      <c r="Q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4" t="n"/>
      <c r="L30" s="5" t="n"/>
      <c r="M30" s="5" t="n"/>
      <c r="N30" s="11">
        <f>IF(A30="","",
            IF(B30="Critical",
                IF(AND(C30="Yes",E30="Yes",J30="Daily"),"Compliant","Non-Compliant"),
            IF(B30="High",
                IF(AND(E30="Yes",OR(J30="Daily",J30="Weekly")),"Compliant","Non-Compliant"),
            IF(B30="Medium",
                IF(OR(J30="Daily",J30="Weekly",J30="Monthly"),"Compliant","Non-Compliant"),
                "Compliant"))))</f>
        <v/>
      </c>
      <c r="O30" s="5" t="n"/>
      <c r="P30" s="5" t="n"/>
      <c r="Q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4" t="n"/>
      <c r="L31" s="5" t="n"/>
      <c r="M31" s="5" t="n"/>
      <c r="N31" s="11">
        <f>IF(A31="","",
            IF(B31="Critical",
                IF(AND(C31="Yes",E31="Yes",J31="Daily"),"Compliant","Non-Compliant"),
            IF(B31="High",
                IF(AND(E31="Yes",OR(J31="Daily",J31="Weekly")),"Compliant","Non-Compliant"),
            IF(B31="Medium",
                IF(OR(J31="Daily",J31="Weekly",J31="Monthly"),"Compliant","Non-Compliant"),
                "Compliant"))))</f>
        <v/>
      </c>
      <c r="O31" s="5" t="n"/>
      <c r="P31" s="5" t="n"/>
      <c r="Q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4" t="n"/>
      <c r="L32" s="5" t="n"/>
      <c r="M32" s="5" t="n"/>
      <c r="N32" s="11">
        <f>IF(A32="","",
            IF(B32="Critical",
                IF(AND(C32="Yes",E32="Yes",J32="Daily"),"Compliant","Non-Compliant"),
            IF(B32="High",
                IF(AND(E32="Yes",OR(J32="Daily",J32="Weekly")),"Compliant","Non-Compliant"),
            IF(B32="Medium",
                IF(OR(J32="Daily",J32="Weekly",J32="Monthly"),"Compliant","Non-Compliant"),
                "Compliant"))))</f>
        <v/>
      </c>
      <c r="O32" s="5" t="n"/>
      <c r="P32" s="5" t="n"/>
      <c r="Q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4" t="n"/>
      <c r="L33" s="5" t="n"/>
      <c r="M33" s="5" t="n"/>
      <c r="N33" s="11">
        <f>IF(A33="","",
            IF(B33="Critical",
                IF(AND(C33="Yes",E33="Yes",J33="Daily"),"Compliant","Non-Compliant"),
            IF(B33="High",
                IF(AND(E33="Yes",OR(J33="Daily",J33="Weekly")),"Compliant","Non-Compliant"),
            IF(B33="Medium",
                IF(OR(J33="Daily",J33="Weekly",J33="Monthly"),"Compliant","Non-Compliant"),
                "Compliant"))))</f>
        <v/>
      </c>
      <c r="O33" s="5" t="n"/>
      <c r="P33" s="5" t="n"/>
      <c r="Q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4" t="n"/>
      <c r="L34" s="5" t="n"/>
      <c r="M34" s="5" t="n"/>
      <c r="N34" s="11">
        <f>IF(A34="","",
            IF(B34="Critical",
                IF(AND(C34="Yes",E34="Yes",J34="Daily"),"Compliant","Non-Compliant"),
            IF(B34="High",
                IF(AND(E34="Yes",OR(J34="Daily",J34="Weekly")),"Compliant","Non-Compliant"),
            IF(B34="Medium",
                IF(OR(J34="Daily",J34="Weekly",J34="Monthly"),"Compliant","Non-Compliant"),
                "Compliant"))))</f>
        <v/>
      </c>
      <c r="O34" s="5" t="n"/>
      <c r="P34" s="5" t="n"/>
      <c r="Q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4" t="n"/>
      <c r="L35" s="5" t="n"/>
      <c r="M35" s="5" t="n"/>
      <c r="N35" s="11">
        <f>IF(A35="","",
            IF(B35="Critical",
                IF(AND(C35="Yes",E35="Yes",J35="Daily"),"Compliant","Non-Compliant"),
            IF(B35="High",
                IF(AND(E35="Yes",OR(J35="Daily",J35="Weekly")),"Compliant","Non-Compliant"),
            IF(B35="Medium",
                IF(OR(J35="Daily",J35="Weekly",J35="Monthly"),"Compliant","Non-Compliant"),
                "Compliant"))))</f>
        <v/>
      </c>
      <c r="O35" s="5" t="n"/>
      <c r="P35" s="5" t="n"/>
      <c r="Q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4" t="n"/>
      <c r="L36" s="5" t="n"/>
      <c r="M36" s="5" t="n"/>
      <c r="N36" s="11">
        <f>IF(A36="","",
            IF(B36="Critical",
                IF(AND(C36="Yes",E36="Yes",J36="Daily"),"Compliant","Non-Compliant"),
            IF(B36="High",
                IF(AND(E36="Yes",OR(J36="Daily",J36="Weekly")),"Compliant","Non-Compliant"),
            IF(B36="Medium",
                IF(OR(J36="Daily",J36="Weekly",J36="Monthly"),"Compliant","Non-Compliant"),
                "Compliant"))))</f>
        <v/>
      </c>
      <c r="O36" s="5" t="n"/>
      <c r="P36" s="5" t="n"/>
      <c r="Q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4" t="n"/>
      <c r="L37" s="5" t="n"/>
      <c r="M37" s="5" t="n"/>
      <c r="N37" s="11">
        <f>IF(A37="","",
            IF(B37="Critical",
                IF(AND(C37="Yes",E37="Yes",J37="Daily"),"Compliant","Non-Compliant"),
            IF(B37="High",
                IF(AND(E37="Yes",OR(J37="Daily",J37="Weekly")),"Compliant","Non-Compliant"),
            IF(B37="Medium",
                IF(OR(J37="Daily",J37="Weekly",J37="Monthly"),"Compliant","Non-Compliant"),
                "Compliant"))))</f>
        <v/>
      </c>
      <c r="O37" s="5" t="n"/>
      <c r="P37" s="5" t="n"/>
      <c r="Q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4" t="n"/>
      <c r="L38" s="5" t="n"/>
      <c r="M38" s="5" t="n"/>
      <c r="N38" s="11">
        <f>IF(A38="","",
            IF(B38="Critical",
                IF(AND(C38="Yes",E38="Yes",J38="Daily"),"Compliant","Non-Compliant"),
            IF(B38="High",
                IF(AND(E38="Yes",OR(J38="Daily",J38="Weekly")),"Compliant","Non-Compliant"),
            IF(B38="Medium",
                IF(OR(J38="Daily",J38="Weekly",J38="Monthly"),"Compliant","Non-Compliant"),
                "Compliant"))))</f>
        <v/>
      </c>
      <c r="O38" s="5" t="n"/>
      <c r="P38" s="5" t="n"/>
      <c r="Q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4" t="n"/>
      <c r="L39" s="5" t="n"/>
      <c r="M39" s="5" t="n"/>
      <c r="N39" s="11">
        <f>IF(A39="","",
            IF(B39="Critical",
                IF(AND(C39="Yes",E39="Yes",J39="Daily"),"Compliant","Non-Compliant"),
            IF(B39="High",
                IF(AND(E39="Yes",OR(J39="Daily",J39="Weekly")),"Compliant","Non-Compliant"),
            IF(B39="Medium",
                IF(OR(J39="Daily",J39="Weekly",J39="Monthly"),"Compliant","Non-Compliant"),
                "Compliant"))))</f>
        <v/>
      </c>
      <c r="O39" s="5" t="n"/>
      <c r="P39" s="5" t="n"/>
      <c r="Q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4" t="n"/>
      <c r="L40" s="5" t="n"/>
      <c r="M40" s="5" t="n"/>
      <c r="N40" s="11">
        <f>IF(A40="","",
            IF(B40="Critical",
                IF(AND(C40="Yes",E40="Yes",J40="Daily"),"Compliant","Non-Compliant"),
            IF(B40="High",
                IF(AND(E40="Yes",OR(J40="Daily",J40="Weekly")),"Compliant","Non-Compliant"),
            IF(B40="Medium",
                IF(OR(J40="Daily",J40="Weekly",J40="Monthly"),"Compliant","Non-Compliant"),
                "Compliant"))))</f>
        <v/>
      </c>
      <c r="O40" s="5" t="n"/>
      <c r="P40" s="5" t="n"/>
      <c r="Q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4" t="n"/>
      <c r="L41" s="5" t="n"/>
      <c r="M41" s="5" t="n"/>
      <c r="N41" s="11">
        <f>IF(A41="","",
            IF(B41="Critical",
                IF(AND(C41="Yes",E41="Yes",J41="Daily"),"Compliant","Non-Compliant"),
            IF(B41="High",
                IF(AND(E41="Yes",OR(J41="Daily",J41="Weekly")),"Compliant","Non-Compliant"),
            IF(B41="Medium",
                IF(OR(J41="Daily",J41="Weekly",J41="Monthly"),"Compliant","Non-Compliant"),
                "Compliant"))))</f>
        <v/>
      </c>
      <c r="O41" s="5" t="n"/>
      <c r="P41" s="5" t="n"/>
      <c r="Q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4" t="n"/>
      <c r="L42" s="5" t="n"/>
      <c r="M42" s="5" t="n"/>
      <c r="N42" s="11">
        <f>IF(A42="","",
            IF(B42="Critical",
                IF(AND(C42="Yes",E42="Yes",J42="Daily"),"Compliant","Non-Compliant"),
            IF(B42="High",
                IF(AND(E42="Yes",OR(J42="Daily",J42="Weekly")),"Compliant","Non-Compliant"),
            IF(B42="Medium",
                IF(OR(J42="Daily",J42="Weekly",J42="Monthly"),"Compliant","Non-Compliant"),
                "Compliant"))))</f>
        <v/>
      </c>
      <c r="O42" s="5" t="n"/>
      <c r="P42" s="5" t="n"/>
      <c r="Q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4" t="n"/>
      <c r="L43" s="5" t="n"/>
      <c r="M43" s="5" t="n"/>
      <c r="N43" s="11">
        <f>IF(A43="","",
            IF(B43="Critical",
                IF(AND(C43="Yes",E43="Yes",J43="Daily"),"Compliant","Non-Compliant"),
            IF(B43="High",
                IF(AND(E43="Yes",OR(J43="Daily",J43="Weekly")),"Compliant","Non-Compliant"),
            IF(B43="Medium",
                IF(OR(J43="Daily",J43="Weekly",J43="Monthly"),"Compliant","Non-Compliant"),
                "Compliant"))))</f>
        <v/>
      </c>
      <c r="O43" s="5" t="n"/>
      <c r="P43" s="5" t="n"/>
      <c r="Q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4" t="n"/>
      <c r="L44" s="5" t="n"/>
      <c r="M44" s="5" t="n"/>
      <c r="N44" s="11">
        <f>IF(A44="","",
            IF(B44="Critical",
                IF(AND(C44="Yes",E44="Yes",J44="Daily"),"Compliant","Non-Compliant"),
            IF(B44="High",
                IF(AND(E44="Yes",OR(J44="Daily",J44="Weekly")),"Compliant","Non-Compliant"),
            IF(B44="Medium",
                IF(OR(J44="Daily",J44="Weekly",J44="Monthly"),"Compliant","Non-Compliant"),
                "Compliant"))))</f>
        <v/>
      </c>
      <c r="O44" s="5" t="n"/>
      <c r="P44" s="5" t="n"/>
      <c r="Q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4" t="n"/>
      <c r="L45" s="5" t="n"/>
      <c r="M45" s="5" t="n"/>
      <c r="N45" s="11">
        <f>IF(A45="","",
            IF(B45="Critical",
                IF(AND(C45="Yes",E45="Yes",J45="Daily"),"Compliant","Non-Compliant"),
            IF(B45="High",
                IF(AND(E45="Yes",OR(J45="Daily",J45="Weekly")),"Compliant","Non-Compliant"),
            IF(B45="Medium",
                IF(OR(J45="Daily",J45="Weekly",J45="Monthly"),"Compliant","Non-Compliant"),
                "Compliant"))))</f>
        <v/>
      </c>
      <c r="O45" s="5" t="n"/>
      <c r="P45" s="5" t="n"/>
      <c r="Q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4" t="n"/>
      <c r="L46" s="5" t="n"/>
      <c r="M46" s="5" t="n"/>
      <c r="N46" s="11">
        <f>IF(A46="","",
            IF(B46="Critical",
                IF(AND(C46="Yes",E46="Yes",J46="Daily"),"Compliant","Non-Compliant"),
            IF(B46="High",
                IF(AND(E46="Yes",OR(J46="Daily",J46="Weekly")),"Compliant","Non-Compliant"),
            IF(B46="Medium",
                IF(OR(J46="Daily",J46="Weekly",J46="Monthly"),"Compliant","Non-Compliant"),
                "Compliant"))))</f>
        <v/>
      </c>
      <c r="O46" s="5" t="n"/>
      <c r="P46" s="5" t="n"/>
      <c r="Q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4" t="n"/>
      <c r="L47" s="5" t="n"/>
      <c r="M47" s="5" t="n"/>
      <c r="N47" s="11">
        <f>IF(A47="","",
            IF(B47="Critical",
                IF(AND(C47="Yes",E47="Yes",J47="Daily"),"Compliant","Non-Compliant"),
            IF(B47="High",
                IF(AND(E47="Yes",OR(J47="Daily",J47="Weekly")),"Compliant","Non-Compliant"),
            IF(B47="Medium",
                IF(OR(J47="Daily",J47="Weekly",J47="Monthly"),"Compliant","Non-Compliant"),
                "Compliant"))))</f>
        <v/>
      </c>
      <c r="O47" s="5" t="n"/>
      <c r="P47" s="5" t="n"/>
      <c r="Q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4" t="n"/>
      <c r="L48" s="5" t="n"/>
      <c r="M48" s="5" t="n"/>
      <c r="N48" s="11">
        <f>IF(A48="","",
            IF(B48="Critical",
                IF(AND(C48="Yes",E48="Yes",J48="Daily"),"Compliant","Non-Compliant"),
            IF(B48="High",
                IF(AND(E48="Yes",OR(J48="Daily",J48="Weekly")),"Compliant","Non-Compliant"),
            IF(B48="Medium",
                IF(OR(J48="Daily",J48="Weekly",J48="Monthly"),"Compliant","Non-Compliant"),
                "Compliant"))))</f>
        <v/>
      </c>
      <c r="O48" s="5" t="n"/>
      <c r="P48" s="5" t="n"/>
      <c r="Q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4" t="n"/>
      <c r="L49" s="5" t="n"/>
      <c r="M49" s="5" t="n"/>
      <c r="N49" s="11">
        <f>IF(A49="","",
            IF(B49="Critical",
                IF(AND(C49="Yes",E49="Yes",J49="Daily"),"Compliant","Non-Compliant"),
            IF(B49="High",
                IF(AND(E49="Yes",OR(J49="Daily",J49="Weekly")),"Compliant","Non-Compliant"),
            IF(B49="Medium",
                IF(OR(J49="Daily",J49="Weekly",J49="Monthly"),"Compliant","Non-Compliant"),
                "Compliant"))))</f>
        <v/>
      </c>
      <c r="O49" s="5" t="n"/>
      <c r="P49" s="5" t="n"/>
      <c r="Q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4" t="n"/>
      <c r="L50" s="5" t="n"/>
      <c r="M50" s="5" t="n"/>
      <c r="N50" s="11">
        <f>IF(A50="","",
            IF(B50="Critical",
                IF(AND(C50="Yes",E50="Yes",J50="Daily"),"Compliant","Non-Compliant"),
            IF(B50="High",
                IF(AND(E50="Yes",OR(J50="Daily",J50="Weekly")),"Compliant","Non-Compliant"),
            IF(B50="Medium",
                IF(OR(J50="Daily",J50="Weekly",J50="Monthly"),"Compliant","Non-Compliant"),
                "Compliant"))))</f>
        <v/>
      </c>
      <c r="O50" s="5" t="n"/>
      <c r="P50" s="5" t="n"/>
      <c r="Q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4" t="n"/>
      <c r="L51" s="5" t="n"/>
      <c r="M51" s="5" t="n"/>
      <c r="N51" s="11">
        <f>IF(A51="","",
            IF(B51="Critical",
                IF(AND(C51="Yes",E51="Yes",J51="Daily"),"Compliant","Non-Compliant"),
            IF(B51="High",
                IF(AND(E51="Yes",OR(J51="Daily",J51="Weekly")),"Compliant","Non-Compliant"),
            IF(B51="Medium",
                IF(OR(J51="Daily",J51="Weekly",J51="Monthly"),"Compliant","Non-Compliant"),
                "Compliant"))))</f>
        <v/>
      </c>
      <c r="O51" s="5" t="n"/>
      <c r="P51" s="5" t="n"/>
      <c r="Q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4" t="n"/>
      <c r="L52" s="5" t="n"/>
      <c r="M52" s="5" t="n"/>
      <c r="N52" s="11">
        <f>IF(A52="","",
            IF(B52="Critical",
                IF(AND(C52="Yes",E52="Yes",J52="Daily"),"Compliant","Non-Compliant"),
            IF(B52="High",
                IF(AND(E52="Yes",OR(J52="Daily",J52="Weekly")),"Compliant","Non-Compliant"),
            IF(B52="Medium",
                IF(OR(J52="Daily",J52="Weekly",J52="Monthly"),"Compliant","Non-Compliant"),
                "Compliant"))))</f>
        <v/>
      </c>
      <c r="O52" s="5" t="n"/>
      <c r="P52" s="5" t="n"/>
      <c r="Q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4" t="n"/>
      <c r="L53" s="5" t="n"/>
      <c r="M53" s="5" t="n"/>
      <c r="N53" s="11">
        <f>IF(A53="","",
            IF(B53="Critical",
                IF(AND(C53="Yes",E53="Yes",J53="Daily"),"Compliant","Non-Compliant"),
            IF(B53="High",
                IF(AND(E53="Yes",OR(J53="Daily",J53="Weekly")),"Compliant","Non-Compliant"),
            IF(B53="Medium",
                IF(OR(J53="Daily",J53="Weekly",J53="Monthly"),"Compliant","Non-Compliant"),
                "Compliant"))))</f>
        <v/>
      </c>
      <c r="O53" s="5" t="n"/>
      <c r="P53" s="5" t="n"/>
      <c r="Q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4" t="n"/>
      <c r="L54" s="5" t="n"/>
      <c r="M54" s="5" t="n"/>
      <c r="N54" s="11">
        <f>IF(A54="","",
            IF(B54="Critical",
                IF(AND(C54="Yes",E54="Yes",J54="Daily"),"Compliant","Non-Compliant"),
            IF(B54="High",
                IF(AND(E54="Yes",OR(J54="Daily",J54="Weekly")),"Compliant","Non-Compliant"),
            IF(B54="Medium",
                IF(OR(J54="Daily",J54="Weekly",J54="Monthly"),"Compliant","Non-Compliant"),
                "Compliant"))))</f>
        <v/>
      </c>
      <c r="O54" s="5" t="n"/>
      <c r="P54" s="5" t="n"/>
      <c r="Q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4" t="n"/>
      <c r="L55" s="5" t="n"/>
      <c r="M55" s="5" t="n"/>
      <c r="N55" s="11">
        <f>IF(A55="","",
            IF(B55="Critical",
                IF(AND(C55="Yes",E55="Yes",J55="Daily"),"Compliant","Non-Compliant"),
            IF(B55="High",
                IF(AND(E55="Yes",OR(J55="Daily",J55="Weekly")),"Compliant","Non-Compliant"),
            IF(B55="Medium",
                IF(OR(J55="Daily",J55="Weekly",J55="Monthly"),"Compliant","Non-Compliant"),
                "Compliant"))))</f>
        <v/>
      </c>
      <c r="O55" s="5" t="n"/>
      <c r="P55" s="5" t="n"/>
      <c r="Q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4" t="n"/>
      <c r="L56" s="5" t="n"/>
      <c r="M56" s="5" t="n"/>
      <c r="N56" s="11">
        <f>IF(A56="","",
            IF(B56="Critical",
                IF(AND(C56="Yes",E56="Yes",J56="Daily"),"Compliant","Non-Compliant"),
            IF(B56="High",
                IF(AND(E56="Yes",OR(J56="Daily",J56="Weekly")),"Compliant","Non-Compliant"),
            IF(B56="Medium",
                IF(OR(J56="Daily",J56="Weekly",J56="Monthly"),"Compliant","Non-Compliant"),
                "Compliant"))))</f>
        <v/>
      </c>
      <c r="O56" s="5" t="n"/>
      <c r="P56" s="5" t="n"/>
      <c r="Q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4" t="n"/>
      <c r="L57" s="5" t="n"/>
      <c r="M57" s="5" t="n"/>
      <c r="N57" s="11">
        <f>IF(A57="","",
            IF(B57="Critical",
                IF(AND(C57="Yes",E57="Yes",J57="Daily"),"Compliant","Non-Compliant"),
            IF(B57="High",
                IF(AND(E57="Yes",OR(J57="Daily",J57="Weekly")),"Compliant","Non-Compliant"),
            IF(B57="Medium",
                IF(OR(J57="Daily",J57="Weekly",J57="Monthly"),"Compliant","Non-Compliant"),
                "Compliant"))))</f>
        <v/>
      </c>
      <c r="O57" s="5" t="n"/>
      <c r="P57" s="5" t="n"/>
      <c r="Q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4" t="n"/>
      <c r="L58" s="5" t="n"/>
      <c r="M58" s="5" t="n"/>
      <c r="N58" s="11">
        <f>IF(A58="","",
            IF(B58="Critical",
                IF(AND(C58="Yes",E58="Yes",J58="Daily"),"Compliant","Non-Compliant"),
            IF(B58="High",
                IF(AND(E58="Yes",OR(J58="Daily",J58="Weekly")),"Compliant","Non-Compliant"),
            IF(B58="Medium",
                IF(OR(J58="Daily",J58="Weekly",J58="Monthly"),"Compliant","Non-Compliant"),
                "Compliant"))))</f>
        <v/>
      </c>
      <c r="O58" s="5" t="n"/>
      <c r="P58" s="5" t="n"/>
      <c r="Q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4" t="n"/>
      <c r="L59" s="5" t="n"/>
      <c r="M59" s="5" t="n"/>
      <c r="N59" s="11">
        <f>IF(A59="","",
            IF(B59="Critical",
                IF(AND(C59="Yes",E59="Yes",J59="Daily"),"Compliant","Non-Compliant"),
            IF(B59="High",
                IF(AND(E59="Yes",OR(J59="Daily",J59="Weekly")),"Compliant","Non-Compliant"),
            IF(B59="Medium",
                IF(OR(J59="Daily",J59="Weekly",J59="Monthly"),"Compliant","Non-Compliant"),
                "Compliant"))))</f>
        <v/>
      </c>
      <c r="O59" s="5" t="n"/>
      <c r="P59" s="5" t="n"/>
      <c r="Q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4" t="n"/>
      <c r="L60" s="5" t="n"/>
      <c r="M60" s="5" t="n"/>
      <c r="N60" s="11">
        <f>IF(A60="","",
            IF(B60="Critical",
                IF(AND(C60="Yes",E60="Yes",J60="Daily"),"Compliant","Non-Compliant"),
            IF(B60="High",
                IF(AND(E60="Yes",OR(J60="Daily",J60="Weekly")),"Compliant","Non-Compliant"),
            IF(B60="Medium",
                IF(OR(J60="Daily",J60="Weekly",J60="Monthly"),"Compliant","Non-Compliant"),
                "Compliant"))))</f>
        <v/>
      </c>
      <c r="O60" s="5" t="n"/>
      <c r="P60" s="5" t="n"/>
      <c r="Q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4" t="n"/>
      <c r="L61" s="5" t="n"/>
      <c r="M61" s="5" t="n"/>
      <c r="N61" s="11">
        <f>IF(A61="","",
            IF(B61="Critical",
                IF(AND(C61="Yes",E61="Yes",J61="Daily"),"Compliant","Non-Compliant"),
            IF(B61="High",
                IF(AND(E61="Yes",OR(J61="Daily",J61="Weekly")),"Compliant","Non-Compliant"),
            IF(B61="Medium",
                IF(OR(J61="Daily",J61="Weekly",J61="Monthly"),"Compliant","Non-Compliant"),
                "Compliant"))))</f>
        <v/>
      </c>
      <c r="O61" s="5" t="n"/>
      <c r="P61" s="5" t="n"/>
      <c r="Q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4" t="n"/>
      <c r="L62" s="5" t="n"/>
      <c r="M62" s="5" t="n"/>
      <c r="N62" s="11">
        <f>IF(A62="","",
            IF(B62="Critical",
                IF(AND(C62="Yes",E62="Yes",J62="Daily"),"Compliant","Non-Compliant"),
            IF(B62="High",
                IF(AND(E62="Yes",OR(J62="Daily",J62="Weekly")),"Compliant","Non-Compliant"),
            IF(B62="Medium",
                IF(OR(J62="Daily",J62="Weekly",J62="Monthly"),"Compliant","Non-Compliant"),
                "Compliant"))))</f>
        <v/>
      </c>
      <c r="O62" s="5" t="n"/>
      <c r="P62" s="5" t="n"/>
      <c r="Q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4" t="n"/>
      <c r="L63" s="5" t="n"/>
      <c r="M63" s="5" t="n"/>
      <c r="N63" s="11">
        <f>IF(A63="","",
            IF(B63="Critical",
                IF(AND(C63="Yes",E63="Yes",J63="Daily"),"Compliant","Non-Compliant"),
            IF(B63="High",
                IF(AND(E63="Yes",OR(J63="Daily",J63="Weekly")),"Compliant","Non-Compliant"),
            IF(B63="Medium",
                IF(OR(J63="Daily",J63="Weekly",J63="Monthly"),"Compliant","Non-Compliant"),
                "Compliant"))))</f>
        <v/>
      </c>
      <c r="O63" s="5" t="n"/>
      <c r="P63" s="5" t="n"/>
      <c r="Q63" s="5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4" t="n"/>
      <c r="L64" s="5" t="n"/>
      <c r="M64" s="5" t="n"/>
      <c r="N64" s="11">
        <f>IF(A64="","",
            IF(B64="Critical",
                IF(AND(C64="Yes",E64="Yes",J64="Daily"),"Compliant","Non-Compliant"),
            IF(B64="High",
                IF(AND(E64="Yes",OR(J64="Daily",J64="Weekly")),"Compliant","Non-Compliant"),
            IF(B64="Medium",
                IF(OR(J64="Daily",J64="Weekly",J64="Monthly"),"Compliant","Non-Compliant"),
                "Compliant"))))</f>
        <v/>
      </c>
      <c r="O64" s="5" t="n"/>
      <c r="P64" s="5" t="n"/>
      <c r="Q64" s="5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4" t="n"/>
      <c r="L65" s="5" t="n"/>
      <c r="M65" s="5" t="n"/>
      <c r="N65" s="11">
        <f>IF(A65="","",
            IF(B65="Critical",
                IF(AND(C65="Yes",E65="Yes",J65="Daily"),"Compliant","Non-Compliant"),
            IF(B65="High",
                IF(AND(E65="Yes",OR(J65="Daily",J65="Weekly")),"Compliant","Non-Compliant"),
            IF(B65="Medium",
                IF(OR(J65="Daily",J65="Weekly",J65="Monthly"),"Compliant","Non-Compliant"),
                "Compliant"))))</f>
        <v/>
      </c>
      <c r="O65" s="5" t="n"/>
      <c r="P65" s="5" t="n"/>
      <c r="Q65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4" t="n"/>
      <c r="L66" s="5" t="n"/>
      <c r="M66" s="5" t="n"/>
      <c r="N66" s="11">
        <f>IF(A66="","",
            IF(B66="Critical",
                IF(AND(C66="Yes",E66="Yes",J66="Daily"),"Compliant","Non-Compliant"),
            IF(B66="High",
                IF(AND(E66="Yes",OR(J66="Daily",J66="Weekly")),"Compliant","Non-Compliant"),
            IF(B66="Medium",
                IF(OR(J66="Daily",J66="Weekly",J66="Monthly"),"Compliant","Non-Compliant"),
                "Compliant"))))</f>
        <v/>
      </c>
      <c r="O66" s="5" t="n"/>
      <c r="P66" s="5" t="n"/>
      <c r="Q66" s="5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4" t="n"/>
      <c r="L67" s="5" t="n"/>
      <c r="M67" s="5" t="n"/>
      <c r="N67" s="11">
        <f>IF(A67="","",
            IF(B67="Critical",
                IF(AND(C67="Yes",E67="Yes",J67="Daily"),"Compliant","Non-Compliant"),
            IF(B67="High",
                IF(AND(E67="Yes",OR(J67="Daily",J67="Weekly")),"Compliant","Non-Compliant"),
            IF(B67="Medium",
                IF(OR(J67="Daily",J67="Weekly",J67="Monthly"),"Compliant","Non-Compliant"),
                "Compliant"))))</f>
        <v/>
      </c>
      <c r="O67" s="5" t="n"/>
      <c r="P67" s="5" t="n"/>
      <c r="Q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4" t="n"/>
      <c r="L68" s="5" t="n"/>
      <c r="M68" s="5" t="n"/>
      <c r="N68" s="11">
        <f>IF(A68="","",
            IF(B68="Critical",
                IF(AND(C68="Yes",E68="Yes",J68="Daily"),"Compliant","Non-Compliant"),
            IF(B68="High",
                IF(AND(E68="Yes",OR(J68="Daily",J68="Weekly")),"Compliant","Non-Compliant"),
            IF(B68="Medium",
                IF(OR(J68="Daily",J68="Weekly",J68="Monthly"),"Compliant","Non-Compliant"),
                "Compliant"))))</f>
        <v/>
      </c>
      <c r="O68" s="5" t="n"/>
      <c r="P68" s="5" t="n"/>
      <c r="Q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4" t="n"/>
      <c r="L69" s="5" t="n"/>
      <c r="M69" s="5" t="n"/>
      <c r="N69" s="11">
        <f>IF(A69="","",
            IF(B69="Critical",
                IF(AND(C69="Yes",E69="Yes",J69="Daily"),"Compliant","Non-Compliant"),
            IF(B69="High",
                IF(AND(E69="Yes",OR(J69="Daily",J69="Weekly")),"Compliant","Non-Compliant"),
            IF(B69="Medium",
                IF(OR(J69="Daily",J69="Weekly",J69="Monthly"),"Compliant","Non-Compliant"),
                "Compliant"))))</f>
        <v/>
      </c>
      <c r="O69" s="5" t="n"/>
      <c r="P69" s="5" t="n"/>
      <c r="Q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4" t="n"/>
      <c r="L70" s="5" t="n"/>
      <c r="M70" s="5" t="n"/>
      <c r="N70" s="11">
        <f>IF(A70="","",
            IF(B70="Critical",
                IF(AND(C70="Yes",E70="Yes",J70="Daily"),"Compliant","Non-Compliant"),
            IF(B70="High",
                IF(AND(E70="Yes",OR(J70="Daily",J70="Weekly")),"Compliant","Non-Compliant"),
            IF(B70="Medium",
                IF(OR(J70="Daily",J70="Weekly",J70="Monthly"),"Compliant","Non-Compliant"),
                "Compliant"))))</f>
        <v/>
      </c>
      <c r="O70" s="5" t="n"/>
      <c r="P70" s="5" t="n"/>
      <c r="Q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4" t="n"/>
      <c r="L71" s="5" t="n"/>
      <c r="M71" s="5" t="n"/>
      <c r="N71" s="11">
        <f>IF(A71="","",
            IF(B71="Critical",
                IF(AND(C71="Yes",E71="Yes",J71="Daily"),"Compliant","Non-Compliant"),
            IF(B71="High",
                IF(AND(E71="Yes",OR(J71="Daily",J71="Weekly")),"Compliant","Non-Compliant"),
            IF(B71="Medium",
                IF(OR(J71="Daily",J71="Weekly",J71="Monthly"),"Compliant","Non-Compliant"),
                "Compliant"))))</f>
        <v/>
      </c>
      <c r="O71" s="5" t="n"/>
      <c r="P71" s="5" t="n"/>
      <c r="Q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4" t="n"/>
      <c r="L72" s="5" t="n"/>
      <c r="M72" s="5" t="n"/>
      <c r="N72" s="11">
        <f>IF(A72="","",
            IF(B72="Critical",
                IF(AND(C72="Yes",E72="Yes",J72="Daily"),"Compliant","Non-Compliant"),
            IF(B72="High",
                IF(AND(E72="Yes",OR(J72="Daily",J72="Weekly")),"Compliant","Non-Compliant"),
            IF(B72="Medium",
                IF(OR(J72="Daily",J72="Weekly",J72="Monthly"),"Compliant","Non-Compliant"),
                "Compliant"))))</f>
        <v/>
      </c>
      <c r="O72" s="5" t="n"/>
      <c r="P72" s="5" t="n"/>
      <c r="Q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4" t="n"/>
      <c r="L73" s="5" t="n"/>
      <c r="M73" s="5" t="n"/>
      <c r="N73" s="11">
        <f>IF(A73="","",
            IF(B73="Critical",
                IF(AND(C73="Yes",E73="Yes",J73="Daily"),"Compliant","Non-Compliant"),
            IF(B73="High",
                IF(AND(E73="Yes",OR(J73="Daily",J73="Weekly")),"Compliant","Non-Compliant"),
            IF(B73="Medium",
                IF(OR(J73="Daily",J73="Weekly",J73="Monthly"),"Compliant","Non-Compliant"),
                "Compliant"))))</f>
        <v/>
      </c>
      <c r="O73" s="5" t="n"/>
      <c r="P73" s="5" t="n"/>
      <c r="Q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4" t="n"/>
      <c r="L74" s="5" t="n"/>
      <c r="M74" s="5" t="n"/>
      <c r="N74" s="11">
        <f>IF(A74="","",
            IF(B74="Critical",
                IF(AND(C74="Yes",E74="Yes",J74="Daily"),"Compliant","Non-Compliant"),
            IF(B74="High",
                IF(AND(E74="Yes",OR(J74="Daily",J74="Weekly")),"Compliant","Non-Compliant"),
            IF(B74="Medium",
                IF(OR(J74="Daily",J74="Weekly",J74="Monthly"),"Compliant","Non-Compliant"),
                "Compliant"))))</f>
        <v/>
      </c>
      <c r="O74" s="5" t="n"/>
      <c r="P74" s="5" t="n"/>
      <c r="Q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4" t="n"/>
      <c r="L75" s="5" t="n"/>
      <c r="M75" s="5" t="n"/>
      <c r="N75" s="11">
        <f>IF(A75="","",
            IF(B75="Critical",
                IF(AND(C75="Yes",E75="Yes",J75="Daily"),"Compliant","Non-Compliant"),
            IF(B75="High",
                IF(AND(E75="Yes",OR(J75="Daily",J75="Weekly")),"Compliant","Non-Compliant"),
            IF(B75="Medium",
                IF(OR(J75="Daily",J75="Weekly",J75="Monthly"),"Compliant","Non-Compliant"),
                "Compliant"))))</f>
        <v/>
      </c>
      <c r="O75" s="5" t="n"/>
      <c r="P75" s="5" t="n"/>
      <c r="Q75" s="5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4" t="n"/>
      <c r="L76" s="5" t="n"/>
      <c r="M76" s="5" t="n"/>
      <c r="N76" s="11">
        <f>IF(A76="","",
            IF(B76="Critical",
                IF(AND(C76="Yes",E76="Yes",J76="Daily"),"Compliant","Non-Compliant"),
            IF(B76="High",
                IF(AND(E76="Yes",OR(J76="Daily",J76="Weekly")),"Compliant","Non-Compliant"),
            IF(B76="Medium",
                IF(OR(J76="Daily",J76="Weekly",J76="Monthly"),"Compliant","Non-Compliant"),
                "Compliant"))))</f>
        <v/>
      </c>
      <c r="O76" s="5" t="n"/>
      <c r="P76" s="5" t="n"/>
      <c r="Q76" s="5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4" t="n"/>
      <c r="L77" s="5" t="n"/>
      <c r="M77" s="5" t="n"/>
      <c r="N77" s="11">
        <f>IF(A77="","",
            IF(B77="Critical",
                IF(AND(C77="Yes",E77="Yes",J77="Daily"),"Compliant","Non-Compliant"),
            IF(B77="High",
                IF(AND(E77="Yes",OR(J77="Daily",J77="Weekly")),"Compliant","Non-Compliant"),
            IF(B77="Medium",
                IF(OR(J77="Daily",J77="Weekly",J77="Monthly"),"Compliant","Non-Compliant"),
                "Compliant"))))</f>
        <v/>
      </c>
      <c r="O77" s="5" t="n"/>
      <c r="P77" s="5" t="n"/>
      <c r="Q77" s="5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4" t="n"/>
      <c r="L78" s="5" t="n"/>
      <c r="M78" s="5" t="n"/>
      <c r="N78" s="11">
        <f>IF(A78="","",
            IF(B78="Critical",
                IF(AND(C78="Yes",E78="Yes",J78="Daily"),"Compliant","Non-Compliant"),
            IF(B78="High",
                IF(AND(E78="Yes",OR(J78="Daily",J78="Weekly")),"Compliant","Non-Compliant"),
            IF(B78="Medium",
                IF(OR(J78="Daily",J78="Weekly",J78="Monthly"),"Compliant","Non-Compliant"),
                "Compliant"))))</f>
        <v/>
      </c>
      <c r="O78" s="5" t="n"/>
      <c r="P78" s="5" t="n"/>
      <c r="Q78" s="5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4" t="n"/>
      <c r="L79" s="5" t="n"/>
      <c r="M79" s="5" t="n"/>
      <c r="N79" s="11">
        <f>IF(A79="","",
            IF(B79="Critical",
                IF(AND(C79="Yes",E79="Yes",J79="Daily"),"Compliant","Non-Compliant"),
            IF(B79="High",
                IF(AND(E79="Yes",OR(J79="Daily",J79="Weekly")),"Compliant","Non-Compliant"),
            IF(B79="Medium",
                IF(OR(J79="Daily",J79="Weekly",J79="Monthly"),"Compliant","Non-Compliant"),
                "Compliant"))))</f>
        <v/>
      </c>
      <c r="O79" s="5" t="n"/>
      <c r="P79" s="5" t="n"/>
      <c r="Q79" s="5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4" t="n"/>
      <c r="L80" s="5" t="n"/>
      <c r="M80" s="5" t="n"/>
      <c r="N80" s="11">
        <f>IF(A80="","",
            IF(B80="Critical",
                IF(AND(C80="Yes",E80="Yes",J80="Daily"),"Compliant","Non-Compliant"),
            IF(B80="High",
                IF(AND(E80="Yes",OR(J80="Daily",J80="Weekly")),"Compliant","Non-Compliant"),
            IF(B80="Medium",
                IF(OR(J80="Daily",J80="Weekly",J80="Monthly"),"Compliant","Non-Compliant"),
                "Compliant"))))</f>
        <v/>
      </c>
      <c r="O80" s="5" t="n"/>
      <c r="P80" s="5" t="n"/>
      <c r="Q80" s="5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4" t="n"/>
      <c r="L81" s="5" t="n"/>
      <c r="M81" s="5" t="n"/>
      <c r="N81" s="11">
        <f>IF(A81="","",
            IF(B81="Critical",
                IF(AND(C81="Yes",E81="Yes",J81="Daily"),"Compliant","Non-Compliant"),
            IF(B81="High",
                IF(AND(E81="Yes",OR(J81="Daily",J81="Weekly")),"Compliant","Non-Compliant"),
            IF(B81="Medium",
                IF(OR(J81="Daily",J81="Weekly",J81="Monthly"),"Compliant","Non-Compliant"),
                "Compliant"))))</f>
        <v/>
      </c>
      <c r="O81" s="5" t="n"/>
      <c r="P81" s="5" t="n"/>
      <c r="Q81" s="5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4" t="n"/>
      <c r="L82" s="5" t="n"/>
      <c r="M82" s="5" t="n"/>
      <c r="N82" s="11">
        <f>IF(A82="","",
            IF(B82="Critical",
                IF(AND(C82="Yes",E82="Yes",J82="Daily"),"Compliant","Non-Compliant"),
            IF(B82="High",
                IF(AND(E82="Yes",OR(J82="Daily",J82="Weekly")),"Compliant","Non-Compliant"),
            IF(B82="Medium",
                IF(OR(J82="Daily",J82="Weekly",J82="Monthly"),"Compliant","Non-Compliant"),
                "Compliant"))))</f>
        <v/>
      </c>
      <c r="O82" s="5" t="n"/>
      <c r="P82" s="5" t="n"/>
      <c r="Q82" s="5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4" t="n"/>
      <c r="L83" s="5" t="n"/>
      <c r="M83" s="5" t="n"/>
      <c r="N83" s="11">
        <f>IF(A83="","",
            IF(B83="Critical",
                IF(AND(C83="Yes",E83="Yes",J83="Daily"),"Compliant","Non-Compliant"),
            IF(B83="High",
                IF(AND(E83="Yes",OR(J83="Daily",J83="Weekly")),"Compliant","Non-Compliant"),
            IF(B83="Medium",
                IF(OR(J83="Daily",J83="Weekly",J83="Monthly"),"Compliant","Non-Compliant"),
                "Compliant"))))</f>
        <v/>
      </c>
      <c r="O83" s="5" t="n"/>
      <c r="P83" s="5" t="n"/>
      <c r="Q83" s="5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4" t="n"/>
      <c r="L84" s="5" t="n"/>
      <c r="M84" s="5" t="n"/>
      <c r="N84" s="11">
        <f>IF(A84="","",
            IF(B84="Critical",
                IF(AND(C84="Yes",E84="Yes",J84="Daily"),"Compliant","Non-Compliant"),
            IF(B84="High",
                IF(AND(E84="Yes",OR(J84="Daily",J84="Weekly")),"Compliant","Non-Compliant"),
            IF(B84="Medium",
                IF(OR(J84="Daily",J84="Weekly",J84="Monthly"),"Compliant","Non-Compliant"),
                "Compliant"))))</f>
        <v/>
      </c>
      <c r="O84" s="5" t="n"/>
      <c r="P84" s="5" t="n"/>
      <c r="Q84" s="5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4" t="n"/>
      <c r="L85" s="5" t="n"/>
      <c r="M85" s="5" t="n"/>
      <c r="N85" s="11">
        <f>IF(A85="","",
            IF(B85="Critical",
                IF(AND(C85="Yes",E85="Yes",J85="Daily"),"Compliant","Non-Compliant"),
            IF(B85="High",
                IF(AND(E85="Yes",OR(J85="Daily",J85="Weekly")),"Compliant","Non-Compliant"),
            IF(B85="Medium",
                IF(OR(J85="Daily",J85="Weekly",J85="Monthly"),"Compliant","Non-Compliant"),
                "Compliant"))))</f>
        <v/>
      </c>
      <c r="O85" s="5" t="n"/>
      <c r="P85" s="5" t="n"/>
      <c r="Q85" s="5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4" t="n"/>
      <c r="L86" s="5" t="n"/>
      <c r="M86" s="5" t="n"/>
      <c r="N86" s="11">
        <f>IF(A86="","",
            IF(B86="Critical",
                IF(AND(C86="Yes",E86="Yes",J86="Daily"),"Compliant","Non-Compliant"),
            IF(B86="High",
                IF(AND(E86="Yes",OR(J86="Daily",J86="Weekly")),"Compliant","Non-Compliant"),
            IF(B86="Medium",
                IF(OR(J86="Daily",J86="Weekly",J86="Monthly"),"Compliant","Non-Compliant"),
                "Compliant"))))</f>
        <v/>
      </c>
      <c r="O86" s="5" t="n"/>
      <c r="P86" s="5" t="n"/>
      <c r="Q86" s="5" t="n"/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4" t="n"/>
      <c r="L87" s="5" t="n"/>
      <c r="M87" s="5" t="n"/>
      <c r="N87" s="11">
        <f>IF(A87="","",
            IF(B87="Critical",
                IF(AND(C87="Yes",E87="Yes",J87="Daily"),"Compliant","Non-Compliant"),
            IF(B87="High",
                IF(AND(E87="Yes",OR(J87="Daily",J87="Weekly")),"Compliant","Non-Compliant"),
            IF(B87="Medium",
                IF(OR(J87="Daily",J87="Weekly",J87="Monthly"),"Compliant","Non-Compliant"),
                "Compliant"))))</f>
        <v/>
      </c>
      <c r="O87" s="5" t="n"/>
      <c r="P87" s="5" t="n"/>
      <c r="Q87" s="5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4" t="n"/>
      <c r="L88" s="5" t="n"/>
      <c r="M88" s="5" t="n"/>
      <c r="N88" s="11">
        <f>IF(A88="","",
            IF(B88="Critical",
                IF(AND(C88="Yes",E88="Yes",J88="Daily"),"Compliant","Non-Compliant"),
            IF(B88="High",
                IF(AND(E88="Yes",OR(J88="Daily",J88="Weekly")),"Compliant","Non-Compliant"),
            IF(B88="Medium",
                IF(OR(J88="Daily",J88="Weekly",J88="Monthly"),"Compliant","Non-Compliant"),
                "Compliant"))))</f>
        <v/>
      </c>
      <c r="O88" s="5" t="n"/>
      <c r="P88" s="5" t="n"/>
      <c r="Q88" s="5" t="n"/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4" t="n"/>
      <c r="L89" s="5" t="n"/>
      <c r="M89" s="5" t="n"/>
      <c r="N89" s="11">
        <f>IF(A89="","",
            IF(B89="Critical",
                IF(AND(C89="Yes",E89="Yes",J89="Daily"),"Compliant","Non-Compliant"),
            IF(B89="High",
                IF(AND(E89="Yes",OR(J89="Daily",J89="Weekly")),"Compliant","Non-Compliant"),
            IF(B89="Medium",
                IF(OR(J89="Daily",J89="Weekly",J89="Monthly"),"Compliant","Non-Compliant"),
                "Compliant"))))</f>
        <v/>
      </c>
      <c r="O89" s="5" t="n"/>
      <c r="P89" s="5" t="n"/>
      <c r="Q89" s="5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4" t="n"/>
      <c r="L90" s="5" t="n"/>
      <c r="M90" s="5" t="n"/>
      <c r="N90" s="11">
        <f>IF(A90="","",
            IF(B90="Critical",
                IF(AND(C90="Yes",E90="Yes",J90="Daily"),"Compliant","Non-Compliant"),
            IF(B90="High",
                IF(AND(E90="Yes",OR(J90="Daily",J90="Weekly")),"Compliant","Non-Compliant"),
            IF(B90="Medium",
                IF(OR(J90="Daily",J90="Weekly",J90="Monthly"),"Compliant","Non-Compliant"),
                "Compliant"))))</f>
        <v/>
      </c>
      <c r="O90" s="5" t="n"/>
      <c r="P90" s="5" t="n"/>
      <c r="Q90" s="5" t="n"/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4" t="n"/>
      <c r="L91" s="5" t="n"/>
      <c r="M91" s="5" t="n"/>
      <c r="N91" s="11">
        <f>IF(A91="","",
            IF(B91="Critical",
                IF(AND(C91="Yes",E91="Yes",J91="Daily"),"Compliant","Non-Compliant"),
            IF(B91="High",
                IF(AND(E91="Yes",OR(J91="Daily",J91="Weekly")),"Compliant","Non-Compliant"),
            IF(B91="Medium",
                IF(OR(J91="Daily",J91="Weekly",J91="Monthly"),"Compliant","Non-Compliant"),
                "Compliant"))))</f>
        <v/>
      </c>
      <c r="O91" s="5" t="n"/>
      <c r="P91" s="5" t="n"/>
      <c r="Q91" s="5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4" t="n"/>
      <c r="L92" s="5" t="n"/>
      <c r="M92" s="5" t="n"/>
      <c r="N92" s="11">
        <f>IF(A92="","",
            IF(B92="Critical",
                IF(AND(C92="Yes",E92="Yes",J92="Daily"),"Compliant","Non-Compliant"),
            IF(B92="High",
                IF(AND(E92="Yes",OR(J92="Daily",J92="Weekly")),"Compliant","Non-Compliant"),
            IF(B92="Medium",
                IF(OR(J92="Daily",J92="Weekly",J92="Monthly"),"Compliant","Non-Compliant"),
                "Compliant"))))</f>
        <v/>
      </c>
      <c r="O92" s="5" t="n"/>
      <c r="P92" s="5" t="n"/>
      <c r="Q92" s="5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4" t="n"/>
      <c r="L93" s="5" t="n"/>
      <c r="M93" s="5" t="n"/>
      <c r="N93" s="11">
        <f>IF(A93="","",
            IF(B93="Critical",
                IF(AND(C93="Yes",E93="Yes",J93="Daily"),"Compliant","Non-Compliant"),
            IF(B93="High",
                IF(AND(E93="Yes",OR(J93="Daily",J93="Weekly")),"Compliant","Non-Compliant"),
            IF(B93="Medium",
                IF(OR(J93="Daily",J93="Weekly",J93="Monthly"),"Compliant","Non-Compliant"),
                "Compliant"))))</f>
        <v/>
      </c>
      <c r="O93" s="5" t="n"/>
      <c r="P93" s="5" t="n"/>
      <c r="Q93" s="5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4" t="n"/>
      <c r="L94" s="5" t="n"/>
      <c r="M94" s="5" t="n"/>
      <c r="N94" s="11">
        <f>IF(A94="","",
            IF(B94="Critical",
                IF(AND(C94="Yes",E94="Yes",J94="Daily"),"Compliant","Non-Compliant"),
            IF(B94="High",
                IF(AND(E94="Yes",OR(J94="Daily",J94="Weekly")),"Compliant","Non-Compliant"),
            IF(B94="Medium",
                IF(OR(J94="Daily",J94="Weekly",J94="Monthly"),"Compliant","Non-Compliant"),
                "Compliant"))))</f>
        <v/>
      </c>
      <c r="O94" s="5" t="n"/>
      <c r="P94" s="5" t="n"/>
      <c r="Q94" s="5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4" t="n"/>
      <c r="L95" s="5" t="n"/>
      <c r="M95" s="5" t="n"/>
      <c r="N95" s="11">
        <f>IF(A95="","",
            IF(B95="Critical",
                IF(AND(C95="Yes",E95="Yes",J95="Daily"),"Compliant","Non-Compliant"),
            IF(B95="High",
                IF(AND(E95="Yes",OR(J95="Daily",J95="Weekly")),"Compliant","Non-Compliant"),
            IF(B95="Medium",
                IF(OR(J95="Daily",J95="Weekly",J95="Monthly"),"Compliant","Non-Compliant"),
                "Compliant"))))</f>
        <v/>
      </c>
      <c r="O95" s="5" t="n"/>
      <c r="P95" s="5" t="n"/>
      <c r="Q95" s="5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4" t="n"/>
      <c r="L96" s="5" t="n"/>
      <c r="M96" s="5" t="n"/>
      <c r="N96" s="11">
        <f>IF(A96="","",
            IF(B96="Critical",
                IF(AND(C96="Yes",E96="Yes",J96="Daily"),"Compliant","Non-Compliant"),
            IF(B96="High",
                IF(AND(E96="Yes",OR(J96="Daily",J96="Weekly")),"Compliant","Non-Compliant"),
            IF(B96="Medium",
                IF(OR(J96="Daily",J96="Weekly",J96="Monthly"),"Compliant","Non-Compliant"),
                "Compliant"))))</f>
        <v/>
      </c>
      <c r="O96" s="5" t="n"/>
      <c r="P96" s="5" t="n"/>
      <c r="Q96" s="5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4" t="n"/>
      <c r="L97" s="5" t="n"/>
      <c r="M97" s="5" t="n"/>
      <c r="N97" s="11">
        <f>IF(A97="","",
            IF(B97="Critical",
                IF(AND(C97="Yes",E97="Yes",J97="Daily"),"Compliant","Non-Compliant"),
            IF(B97="High",
                IF(AND(E97="Yes",OR(J97="Daily",J97="Weekly")),"Compliant","Non-Compliant"),
            IF(B97="Medium",
                IF(OR(J97="Daily",J97="Weekly",J97="Monthly"),"Compliant","Non-Compliant"),
                "Compliant"))))</f>
        <v/>
      </c>
      <c r="O97" s="5" t="n"/>
      <c r="P97" s="5" t="n"/>
      <c r="Q97" s="5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4" t="n"/>
      <c r="L98" s="5" t="n"/>
      <c r="M98" s="5" t="n"/>
      <c r="N98" s="11">
        <f>IF(A98="","",
            IF(B98="Critical",
                IF(AND(C98="Yes",E98="Yes",J98="Daily"),"Compliant","Non-Compliant"),
            IF(B98="High",
                IF(AND(E98="Yes",OR(J98="Daily",J98="Weekly")),"Compliant","Non-Compliant"),
            IF(B98="Medium",
                IF(OR(J98="Daily",J98="Weekly",J98="Monthly"),"Compliant","Non-Compliant"),
                "Compliant"))))</f>
        <v/>
      </c>
      <c r="O98" s="5" t="n"/>
      <c r="P98" s="5" t="n"/>
      <c r="Q98" s="5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4" t="n"/>
      <c r="L99" s="5" t="n"/>
      <c r="M99" s="5" t="n"/>
      <c r="N99" s="11">
        <f>IF(A99="","",
            IF(B99="Critical",
                IF(AND(C99="Yes",E99="Yes",J99="Daily"),"Compliant","Non-Compliant"),
            IF(B99="High",
                IF(AND(E99="Yes",OR(J99="Daily",J99="Weekly")),"Compliant","Non-Compliant"),
            IF(B99="Medium",
                IF(OR(J99="Daily",J99="Weekly",J99="Monthly"),"Compliant","Non-Compliant"),
                "Compliant"))))</f>
        <v/>
      </c>
      <c r="O99" s="5" t="n"/>
      <c r="P99" s="5" t="n"/>
      <c r="Q99" s="5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4" t="n"/>
      <c r="L100" s="5" t="n"/>
      <c r="M100" s="5" t="n"/>
      <c r="N100" s="11">
        <f>IF(A100="","",
            IF(B100="Critical",
                IF(AND(C100="Yes",E100="Yes",J100="Daily"),"Compliant","Non-Compliant"),
            IF(B100="High",
                IF(AND(E100="Yes",OR(J100="Daily",J100="Weekly")),"Compliant","Non-Compliant"),
            IF(B100="Medium",
                IF(OR(J100="Daily",J100="Weekly",J100="Monthly"),"Compliant","Non-Compliant"),
                "Compliant"))))</f>
        <v/>
      </c>
      <c r="O100" s="5" t="n"/>
      <c r="P100" s="5" t="n"/>
      <c r="Q100" s="5" t="n"/>
    </row>
  </sheetData>
  <mergeCells count="2">
    <mergeCell ref="A2:Q2"/>
    <mergeCell ref="A1:Q1"/>
  </mergeCells>
  <dataValidations count="6">
    <dataValidation sqref="B9:B100" showDropDown="0" showInputMessage="0" showErrorMessage="0" allowBlank="1" type="list">
      <formula1>"🔴 Critical,🟡 High,🟢 Medium,⚫ Low"</formula1>
    </dataValidation>
    <dataValidation sqref="C9:C100 E9:E100 H9:H100 I9:I100 M9:M100" showDropDown="0" showInputMessage="0" showErrorMessage="0" allowBlank="1" type="list">
      <formula1>"✅ Yes,❌ No,➖ N/A"</formula1>
    </dataValidation>
    <dataValidation sqref="D9:D100" showDropDown="0" showInputMessage="0" showErrorMessage="0" allowBlank="1" type="list">
      <formula1>"Hardware WORM,Software WORM,Cloud Object Lock,None"</formula1>
    </dataValidation>
    <dataValidation sqref="F9:F100" showDropDown="0" showInputMessage="0" showErrorMessage="0" allowBlank="1" type="list">
      <formula1>"SHA-256,SHA-512,SHA-3,MD5 (weak),None"</formula1>
    </dataValidation>
    <dataValidation sqref="J9:J100" showDropDown="0" showInputMessage="0" showErrorMessage="0" allowBlank="1" type="list">
      <formula1>"Daily,Weekly,Monthly,None"</formula1>
    </dataValidation>
    <dataValidation sqref="L9:L100" showDropDown="0" showInputMessage="0" showErrorMessage="0" allowBlank="1" type="list">
      <formula1>"Never,Historical,Recent"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00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0" customWidth="1" min="1" max="1"/>
    <col width="25" customWidth="1" min="2" max="2"/>
    <col width="20" customWidth="1" min="3" max="3"/>
    <col width="18" customWidth="1" min="4" max="4"/>
    <col width="15" customWidth="1" min="5" max="5"/>
    <col width="20" customWidth="1" min="6" max="6"/>
    <col width="20" customWidth="1" min="7" max="7"/>
    <col width="18" customWidth="1" min="8" max="8"/>
    <col width="20" customWidth="1" min="9" max="9"/>
    <col width="18" customWidth="1" min="10" max="10"/>
    <col width="18" customWidth="1" min="11" max="11"/>
    <col width="18" customWidth="1" min="12" max="12"/>
    <col width="15" customWidth="1" min="13" max="13"/>
    <col width="40" customWidth="1" min="14" max="14"/>
  </cols>
  <sheetData>
    <row r="1" ht="40" customHeight="1">
      <c r="A1" s="1" t="inlineStr">
        <is>
          <t>SECURE TRANSMISSION ASSESSMENT</t>
        </is>
      </c>
    </row>
    <row r="2" ht="30" customHeight="1">
      <c r="A2" s="6" t="inlineStr">
        <is>
          <t>Assess log transmission security per ISMS-POL-A.8.15-S2.2.3</t>
        </is>
      </c>
    </row>
    <row r="7" ht="35" customHeight="1">
      <c r="A7" s="8" t="inlineStr">
        <is>
          <t>Source System</t>
        </is>
      </c>
      <c r="B7" s="8" t="inlineStr">
        <is>
          <t>Destination (SIEM)</t>
        </is>
      </c>
      <c r="C7" s="8" t="inlineStr">
        <is>
          <t>Transport Protocol</t>
        </is>
      </c>
      <c r="D7" s="8" t="inlineStr">
        <is>
          <t>Encryption in Transit</t>
        </is>
      </c>
      <c r="E7" s="8" t="inlineStr">
        <is>
          <t>TLS Version</t>
        </is>
      </c>
      <c r="F7" s="8" t="inlineStr">
        <is>
          <t>Certificate Validation</t>
        </is>
      </c>
      <c r="G7" s="8" t="inlineStr">
        <is>
          <t>Network Segment</t>
        </is>
      </c>
      <c r="H7" s="8" t="inlineStr">
        <is>
          <t>Firewall Protection</t>
        </is>
      </c>
      <c r="I7" s="8" t="inlineStr">
        <is>
          <t>Source Authentication</t>
        </is>
      </c>
      <c r="J7" s="8" t="inlineStr">
        <is>
          <t>Vulnerability Risk</t>
        </is>
      </c>
      <c r="K7" s="8" t="inlineStr">
        <is>
          <t>Compliance Status</t>
        </is>
      </c>
      <c r="L7" s="8" t="inlineStr">
        <is>
          <t>Remediation Required</t>
        </is>
      </c>
      <c r="M7" s="8" t="inlineStr">
        <is>
          <t>Target Date</t>
        </is>
      </c>
      <c r="N7" s="8" t="inlineStr">
        <is>
          <t>Notes</t>
        </is>
      </c>
    </row>
    <row r="8">
      <c r="A8" s="9" t="inlineStr">
        <is>
          <t>web-prod-01</t>
        </is>
      </c>
      <c r="B8" s="9" t="inlineStr">
        <is>
          <t>siem-core-01</t>
        </is>
      </c>
      <c r="C8" s="9" t="inlineStr">
        <is>
          <t>TLS</t>
        </is>
      </c>
      <c r="D8" s="9" t="inlineStr">
        <is>
          <t>Yes (TLS)</t>
        </is>
      </c>
      <c r="E8" s="9" t="inlineStr">
        <is>
          <t>TLS 1.3</t>
        </is>
      </c>
      <c r="F8" s="9" t="inlineStr">
        <is>
          <t>Yes</t>
        </is>
      </c>
      <c r="G8" s="9" t="inlineStr">
        <is>
          <t>Internal Network</t>
        </is>
      </c>
      <c r="H8" s="9" t="inlineStr">
        <is>
          <t>Yes</t>
        </is>
      </c>
      <c r="I8" s="9" t="inlineStr">
        <is>
          <t>Yes (mutual TLS/certs)</t>
        </is>
      </c>
      <c r="J8" s="9" t="inlineStr">
        <is>
          <t>None</t>
        </is>
      </c>
      <c r="K8" s="9" t="inlineStr">
        <is>
          <t>Compliant</t>
        </is>
      </c>
      <c r="L8" s="9" t="inlineStr">
        <is>
          <t>No</t>
        </is>
      </c>
      <c r="M8" s="9" t="inlineStr"/>
      <c r="N8" s="9" t="inlineStr">
        <is>
          <t>Secure configuration</t>
        </is>
      </c>
    </row>
    <row r="9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11">
        <f>IF(A9="","",
            IF(OR(G9="Internet",G9="DMZ"),
                IF(OR(E9="TLS 1.3",E9="TLS 1.2"),"Compliant","Non-Compliant"),
                IF(D9="Yes (TLS)","Compliant","Partial")))</f>
        <v/>
      </c>
      <c r="L9" s="5" t="n"/>
      <c r="M9" s="4" t="n"/>
      <c r="N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11">
        <f>IF(A10="","",
            IF(OR(G10="Internet",G10="DMZ"),
                IF(OR(E10="TLS 1.3",E10="TLS 1.2"),"Compliant","Non-Compliant"),
                IF(D10="Yes (TLS)","Compliant","Partial")))</f>
        <v/>
      </c>
      <c r="L10" s="5" t="n"/>
      <c r="M10" s="4" t="n"/>
      <c r="N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11">
        <f>IF(A11="","",
            IF(OR(G11="Internet",G11="DMZ"),
                IF(OR(E11="TLS 1.3",E11="TLS 1.2"),"Compliant","Non-Compliant"),
                IF(D11="Yes (TLS)","Compliant","Partial")))</f>
        <v/>
      </c>
      <c r="L11" s="5" t="n"/>
      <c r="M11" s="4" t="n"/>
      <c r="N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11">
        <f>IF(A12="","",
            IF(OR(G12="Internet",G12="DMZ"),
                IF(OR(E12="TLS 1.3",E12="TLS 1.2"),"Compliant","Non-Compliant"),
                IF(D12="Yes (TLS)","Compliant","Partial")))</f>
        <v/>
      </c>
      <c r="L12" s="5" t="n"/>
      <c r="M12" s="4" t="n"/>
      <c r="N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11">
        <f>IF(A13="","",
            IF(OR(G13="Internet",G13="DMZ"),
                IF(OR(E13="TLS 1.3",E13="TLS 1.2"),"Compliant","Non-Compliant"),
                IF(D13="Yes (TLS)","Compliant","Partial")))</f>
        <v/>
      </c>
      <c r="L13" s="5" t="n"/>
      <c r="M13" s="4" t="n"/>
      <c r="N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11">
        <f>IF(A14="","",
            IF(OR(G14="Internet",G14="DMZ"),
                IF(OR(E14="TLS 1.3",E14="TLS 1.2"),"Compliant","Non-Compliant"),
                IF(D14="Yes (TLS)","Compliant","Partial")))</f>
        <v/>
      </c>
      <c r="L14" s="5" t="n"/>
      <c r="M14" s="4" t="n"/>
      <c r="N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11">
        <f>IF(A15="","",
            IF(OR(G15="Internet",G15="DMZ"),
                IF(OR(E15="TLS 1.3",E15="TLS 1.2"),"Compliant","Non-Compliant"),
                IF(D15="Yes (TLS)","Compliant","Partial")))</f>
        <v/>
      </c>
      <c r="L15" s="5" t="n"/>
      <c r="M15" s="4" t="n"/>
      <c r="N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11">
        <f>IF(A16="","",
            IF(OR(G16="Internet",G16="DMZ"),
                IF(OR(E16="TLS 1.3",E16="TLS 1.2"),"Compliant","Non-Compliant"),
                IF(D16="Yes (TLS)","Compliant","Partial")))</f>
        <v/>
      </c>
      <c r="L16" s="5" t="n"/>
      <c r="M16" s="4" t="n"/>
      <c r="N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11">
        <f>IF(A17="","",
            IF(OR(G17="Internet",G17="DMZ"),
                IF(OR(E17="TLS 1.3",E17="TLS 1.2"),"Compliant","Non-Compliant"),
                IF(D17="Yes (TLS)","Compliant","Partial")))</f>
        <v/>
      </c>
      <c r="L17" s="5" t="n"/>
      <c r="M17" s="4" t="n"/>
      <c r="N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11">
        <f>IF(A18="","",
            IF(OR(G18="Internet",G18="DMZ"),
                IF(OR(E18="TLS 1.3",E18="TLS 1.2"),"Compliant","Non-Compliant"),
                IF(D18="Yes (TLS)","Compliant","Partial")))</f>
        <v/>
      </c>
      <c r="L18" s="5" t="n"/>
      <c r="M18" s="4" t="n"/>
      <c r="N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11">
        <f>IF(A19="","",
            IF(OR(G19="Internet",G19="DMZ"),
                IF(OR(E19="TLS 1.3",E19="TLS 1.2"),"Compliant","Non-Compliant"),
                IF(D19="Yes (TLS)","Compliant","Partial")))</f>
        <v/>
      </c>
      <c r="L19" s="5" t="n"/>
      <c r="M19" s="4" t="n"/>
      <c r="N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11">
        <f>IF(A20="","",
            IF(OR(G20="Internet",G20="DMZ"),
                IF(OR(E20="TLS 1.3",E20="TLS 1.2"),"Compliant","Non-Compliant"),
                IF(D20="Yes (TLS)","Compliant","Partial")))</f>
        <v/>
      </c>
      <c r="L20" s="5" t="n"/>
      <c r="M20" s="4" t="n"/>
      <c r="N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11">
        <f>IF(A21="","",
            IF(OR(G21="Internet",G21="DMZ"),
                IF(OR(E21="TLS 1.3",E21="TLS 1.2"),"Compliant","Non-Compliant"),
                IF(D21="Yes (TLS)","Compliant","Partial")))</f>
        <v/>
      </c>
      <c r="L21" s="5" t="n"/>
      <c r="M21" s="4" t="n"/>
      <c r="N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11">
        <f>IF(A22="","",
            IF(OR(G22="Internet",G22="DMZ"),
                IF(OR(E22="TLS 1.3",E22="TLS 1.2"),"Compliant","Non-Compliant"),
                IF(D22="Yes (TLS)","Compliant","Partial")))</f>
        <v/>
      </c>
      <c r="L22" s="5" t="n"/>
      <c r="M22" s="4" t="n"/>
      <c r="N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11">
        <f>IF(A23="","",
            IF(OR(G23="Internet",G23="DMZ"),
                IF(OR(E23="TLS 1.3",E23="TLS 1.2"),"Compliant","Non-Compliant"),
                IF(D23="Yes (TLS)","Compliant","Partial")))</f>
        <v/>
      </c>
      <c r="L23" s="5" t="n"/>
      <c r="M23" s="4" t="n"/>
      <c r="N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11">
        <f>IF(A24="","",
            IF(OR(G24="Internet",G24="DMZ"),
                IF(OR(E24="TLS 1.3",E24="TLS 1.2"),"Compliant","Non-Compliant"),
                IF(D24="Yes (TLS)","Compliant","Partial")))</f>
        <v/>
      </c>
      <c r="L24" s="5" t="n"/>
      <c r="M24" s="4" t="n"/>
      <c r="N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11">
        <f>IF(A25="","",
            IF(OR(G25="Internet",G25="DMZ"),
                IF(OR(E25="TLS 1.3",E25="TLS 1.2"),"Compliant","Non-Compliant"),
                IF(D25="Yes (TLS)","Compliant","Partial")))</f>
        <v/>
      </c>
      <c r="L25" s="5" t="n"/>
      <c r="M25" s="4" t="n"/>
      <c r="N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11">
        <f>IF(A26="","",
            IF(OR(G26="Internet",G26="DMZ"),
                IF(OR(E26="TLS 1.3",E26="TLS 1.2"),"Compliant","Non-Compliant"),
                IF(D26="Yes (TLS)","Compliant","Partial")))</f>
        <v/>
      </c>
      <c r="L26" s="5" t="n"/>
      <c r="M26" s="4" t="n"/>
      <c r="N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11">
        <f>IF(A27="","",
            IF(OR(G27="Internet",G27="DMZ"),
                IF(OR(E27="TLS 1.3",E27="TLS 1.2"),"Compliant","Non-Compliant"),
                IF(D27="Yes (TLS)","Compliant","Partial")))</f>
        <v/>
      </c>
      <c r="L27" s="5" t="n"/>
      <c r="M27" s="4" t="n"/>
      <c r="N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11">
        <f>IF(A28="","",
            IF(OR(G28="Internet",G28="DMZ"),
                IF(OR(E28="TLS 1.3",E28="TLS 1.2"),"Compliant","Non-Compliant"),
                IF(D28="Yes (TLS)","Compliant","Partial")))</f>
        <v/>
      </c>
      <c r="L28" s="5" t="n"/>
      <c r="M28" s="4" t="n"/>
      <c r="N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11">
        <f>IF(A29="","",
            IF(OR(G29="Internet",G29="DMZ"),
                IF(OR(E29="TLS 1.3",E29="TLS 1.2"),"Compliant","Non-Compliant"),
                IF(D29="Yes (TLS)","Compliant","Partial")))</f>
        <v/>
      </c>
      <c r="L29" s="5" t="n"/>
      <c r="M29" s="4" t="n"/>
      <c r="N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11">
        <f>IF(A30="","",
            IF(OR(G30="Internet",G30="DMZ"),
                IF(OR(E30="TLS 1.3",E30="TLS 1.2"),"Compliant","Non-Compliant"),
                IF(D30="Yes (TLS)","Compliant","Partial")))</f>
        <v/>
      </c>
      <c r="L30" s="5" t="n"/>
      <c r="M30" s="4" t="n"/>
      <c r="N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11">
        <f>IF(A31="","",
            IF(OR(G31="Internet",G31="DMZ"),
                IF(OR(E31="TLS 1.3",E31="TLS 1.2"),"Compliant","Non-Compliant"),
                IF(D31="Yes (TLS)","Compliant","Partial")))</f>
        <v/>
      </c>
      <c r="L31" s="5" t="n"/>
      <c r="M31" s="4" t="n"/>
      <c r="N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11">
        <f>IF(A32="","",
            IF(OR(G32="Internet",G32="DMZ"),
                IF(OR(E32="TLS 1.3",E32="TLS 1.2"),"Compliant","Non-Compliant"),
                IF(D32="Yes (TLS)","Compliant","Partial")))</f>
        <v/>
      </c>
      <c r="L32" s="5" t="n"/>
      <c r="M32" s="4" t="n"/>
      <c r="N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11">
        <f>IF(A33="","",
            IF(OR(G33="Internet",G33="DMZ"),
                IF(OR(E33="TLS 1.3",E33="TLS 1.2"),"Compliant","Non-Compliant"),
                IF(D33="Yes (TLS)","Compliant","Partial")))</f>
        <v/>
      </c>
      <c r="L33" s="5" t="n"/>
      <c r="M33" s="4" t="n"/>
      <c r="N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11">
        <f>IF(A34="","",
            IF(OR(G34="Internet",G34="DMZ"),
                IF(OR(E34="TLS 1.3",E34="TLS 1.2"),"Compliant","Non-Compliant"),
                IF(D34="Yes (TLS)","Compliant","Partial")))</f>
        <v/>
      </c>
      <c r="L34" s="5" t="n"/>
      <c r="M34" s="4" t="n"/>
      <c r="N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11">
        <f>IF(A35="","",
            IF(OR(G35="Internet",G35="DMZ"),
                IF(OR(E35="TLS 1.3",E35="TLS 1.2"),"Compliant","Non-Compliant"),
                IF(D35="Yes (TLS)","Compliant","Partial")))</f>
        <v/>
      </c>
      <c r="L35" s="5" t="n"/>
      <c r="M35" s="4" t="n"/>
      <c r="N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11">
        <f>IF(A36="","",
            IF(OR(G36="Internet",G36="DMZ"),
                IF(OR(E36="TLS 1.3",E36="TLS 1.2"),"Compliant","Non-Compliant"),
                IF(D36="Yes (TLS)","Compliant","Partial")))</f>
        <v/>
      </c>
      <c r="L36" s="5" t="n"/>
      <c r="M36" s="4" t="n"/>
      <c r="N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11">
        <f>IF(A37="","",
            IF(OR(G37="Internet",G37="DMZ"),
                IF(OR(E37="TLS 1.3",E37="TLS 1.2"),"Compliant","Non-Compliant"),
                IF(D37="Yes (TLS)","Compliant","Partial")))</f>
        <v/>
      </c>
      <c r="L37" s="5" t="n"/>
      <c r="M37" s="4" t="n"/>
      <c r="N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11">
        <f>IF(A38="","",
            IF(OR(G38="Internet",G38="DMZ"),
                IF(OR(E38="TLS 1.3",E38="TLS 1.2"),"Compliant","Non-Compliant"),
                IF(D38="Yes (TLS)","Compliant","Partial")))</f>
        <v/>
      </c>
      <c r="L38" s="5" t="n"/>
      <c r="M38" s="4" t="n"/>
      <c r="N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11">
        <f>IF(A39="","",
            IF(OR(G39="Internet",G39="DMZ"),
                IF(OR(E39="TLS 1.3",E39="TLS 1.2"),"Compliant","Non-Compliant"),
                IF(D39="Yes (TLS)","Compliant","Partial")))</f>
        <v/>
      </c>
      <c r="L39" s="5" t="n"/>
      <c r="M39" s="4" t="n"/>
      <c r="N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11">
        <f>IF(A40="","",
            IF(OR(G40="Internet",G40="DMZ"),
                IF(OR(E40="TLS 1.3",E40="TLS 1.2"),"Compliant","Non-Compliant"),
                IF(D40="Yes (TLS)","Compliant","Partial")))</f>
        <v/>
      </c>
      <c r="L40" s="5" t="n"/>
      <c r="M40" s="4" t="n"/>
      <c r="N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11">
        <f>IF(A41="","",
            IF(OR(G41="Internet",G41="DMZ"),
                IF(OR(E41="TLS 1.3",E41="TLS 1.2"),"Compliant","Non-Compliant"),
                IF(D41="Yes (TLS)","Compliant","Partial")))</f>
        <v/>
      </c>
      <c r="L41" s="5" t="n"/>
      <c r="M41" s="4" t="n"/>
      <c r="N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11">
        <f>IF(A42="","",
            IF(OR(G42="Internet",G42="DMZ"),
                IF(OR(E42="TLS 1.3",E42="TLS 1.2"),"Compliant","Non-Compliant"),
                IF(D42="Yes (TLS)","Compliant","Partial")))</f>
        <v/>
      </c>
      <c r="L42" s="5" t="n"/>
      <c r="M42" s="4" t="n"/>
      <c r="N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11">
        <f>IF(A43="","",
            IF(OR(G43="Internet",G43="DMZ"),
                IF(OR(E43="TLS 1.3",E43="TLS 1.2"),"Compliant","Non-Compliant"),
                IF(D43="Yes (TLS)","Compliant","Partial")))</f>
        <v/>
      </c>
      <c r="L43" s="5" t="n"/>
      <c r="M43" s="4" t="n"/>
      <c r="N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11">
        <f>IF(A44="","",
            IF(OR(G44="Internet",G44="DMZ"),
                IF(OR(E44="TLS 1.3",E44="TLS 1.2"),"Compliant","Non-Compliant"),
                IF(D44="Yes (TLS)","Compliant","Partial")))</f>
        <v/>
      </c>
      <c r="L44" s="5" t="n"/>
      <c r="M44" s="4" t="n"/>
      <c r="N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11">
        <f>IF(A45="","",
            IF(OR(G45="Internet",G45="DMZ"),
                IF(OR(E45="TLS 1.3",E45="TLS 1.2"),"Compliant","Non-Compliant"),
                IF(D45="Yes (TLS)","Compliant","Partial")))</f>
        <v/>
      </c>
      <c r="L45" s="5" t="n"/>
      <c r="M45" s="4" t="n"/>
      <c r="N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11">
        <f>IF(A46="","",
            IF(OR(G46="Internet",G46="DMZ"),
                IF(OR(E46="TLS 1.3",E46="TLS 1.2"),"Compliant","Non-Compliant"),
                IF(D46="Yes (TLS)","Compliant","Partial")))</f>
        <v/>
      </c>
      <c r="L46" s="5" t="n"/>
      <c r="M46" s="4" t="n"/>
      <c r="N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11">
        <f>IF(A47="","",
            IF(OR(G47="Internet",G47="DMZ"),
                IF(OR(E47="TLS 1.3",E47="TLS 1.2"),"Compliant","Non-Compliant"),
                IF(D47="Yes (TLS)","Compliant","Partial")))</f>
        <v/>
      </c>
      <c r="L47" s="5" t="n"/>
      <c r="M47" s="4" t="n"/>
      <c r="N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11">
        <f>IF(A48="","",
            IF(OR(G48="Internet",G48="DMZ"),
                IF(OR(E48="TLS 1.3",E48="TLS 1.2"),"Compliant","Non-Compliant"),
                IF(D48="Yes (TLS)","Compliant","Partial")))</f>
        <v/>
      </c>
      <c r="L48" s="5" t="n"/>
      <c r="M48" s="4" t="n"/>
      <c r="N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11">
        <f>IF(A49="","",
            IF(OR(G49="Internet",G49="DMZ"),
                IF(OR(E49="TLS 1.3",E49="TLS 1.2"),"Compliant","Non-Compliant"),
                IF(D49="Yes (TLS)","Compliant","Partial")))</f>
        <v/>
      </c>
      <c r="L49" s="5" t="n"/>
      <c r="M49" s="4" t="n"/>
      <c r="N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11">
        <f>IF(A50="","",
            IF(OR(G50="Internet",G50="DMZ"),
                IF(OR(E50="TLS 1.3",E50="TLS 1.2"),"Compliant","Non-Compliant"),
                IF(D50="Yes (TLS)","Compliant","Partial")))</f>
        <v/>
      </c>
      <c r="L50" s="5" t="n"/>
      <c r="M50" s="4" t="n"/>
      <c r="N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11">
        <f>IF(A51="","",
            IF(OR(G51="Internet",G51="DMZ"),
                IF(OR(E51="TLS 1.3",E51="TLS 1.2"),"Compliant","Non-Compliant"),
                IF(D51="Yes (TLS)","Compliant","Partial")))</f>
        <v/>
      </c>
      <c r="L51" s="5" t="n"/>
      <c r="M51" s="4" t="n"/>
      <c r="N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11">
        <f>IF(A52="","",
            IF(OR(G52="Internet",G52="DMZ"),
                IF(OR(E52="TLS 1.3",E52="TLS 1.2"),"Compliant","Non-Compliant"),
                IF(D52="Yes (TLS)","Compliant","Partial")))</f>
        <v/>
      </c>
      <c r="L52" s="5" t="n"/>
      <c r="M52" s="4" t="n"/>
      <c r="N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11">
        <f>IF(A53="","",
            IF(OR(G53="Internet",G53="DMZ"),
                IF(OR(E53="TLS 1.3",E53="TLS 1.2"),"Compliant","Non-Compliant"),
                IF(D53="Yes (TLS)","Compliant","Partial")))</f>
        <v/>
      </c>
      <c r="L53" s="5" t="n"/>
      <c r="M53" s="4" t="n"/>
      <c r="N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11">
        <f>IF(A54="","",
            IF(OR(G54="Internet",G54="DMZ"),
                IF(OR(E54="TLS 1.3",E54="TLS 1.2"),"Compliant","Non-Compliant"),
                IF(D54="Yes (TLS)","Compliant","Partial")))</f>
        <v/>
      </c>
      <c r="L54" s="5" t="n"/>
      <c r="M54" s="4" t="n"/>
      <c r="N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11">
        <f>IF(A55="","",
            IF(OR(G55="Internet",G55="DMZ"),
                IF(OR(E55="TLS 1.3",E55="TLS 1.2"),"Compliant","Non-Compliant"),
                IF(D55="Yes (TLS)","Compliant","Partial")))</f>
        <v/>
      </c>
      <c r="L55" s="5" t="n"/>
      <c r="M55" s="4" t="n"/>
      <c r="N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11">
        <f>IF(A56="","",
            IF(OR(G56="Internet",G56="DMZ"),
                IF(OR(E56="TLS 1.3",E56="TLS 1.2"),"Compliant","Non-Compliant"),
                IF(D56="Yes (TLS)","Compliant","Partial")))</f>
        <v/>
      </c>
      <c r="L56" s="5" t="n"/>
      <c r="M56" s="4" t="n"/>
      <c r="N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11">
        <f>IF(A57="","",
            IF(OR(G57="Internet",G57="DMZ"),
                IF(OR(E57="TLS 1.3",E57="TLS 1.2"),"Compliant","Non-Compliant"),
                IF(D57="Yes (TLS)","Compliant","Partial")))</f>
        <v/>
      </c>
      <c r="L57" s="5" t="n"/>
      <c r="M57" s="4" t="n"/>
      <c r="N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11">
        <f>IF(A58="","",
            IF(OR(G58="Internet",G58="DMZ"),
                IF(OR(E58="TLS 1.3",E58="TLS 1.2"),"Compliant","Non-Compliant"),
                IF(D58="Yes (TLS)","Compliant","Partial")))</f>
        <v/>
      </c>
      <c r="L58" s="5" t="n"/>
      <c r="M58" s="4" t="n"/>
      <c r="N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11">
        <f>IF(A59="","",
            IF(OR(G59="Internet",G59="DMZ"),
                IF(OR(E59="TLS 1.3",E59="TLS 1.2"),"Compliant","Non-Compliant"),
                IF(D59="Yes (TLS)","Compliant","Partial")))</f>
        <v/>
      </c>
      <c r="L59" s="5" t="n"/>
      <c r="M59" s="4" t="n"/>
      <c r="N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11">
        <f>IF(A60="","",
            IF(OR(G60="Internet",G60="DMZ"),
                IF(OR(E60="TLS 1.3",E60="TLS 1.2"),"Compliant","Non-Compliant"),
                IF(D60="Yes (TLS)","Compliant","Partial")))</f>
        <v/>
      </c>
      <c r="L60" s="5" t="n"/>
      <c r="M60" s="4" t="n"/>
      <c r="N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11">
        <f>IF(A61="","",
            IF(OR(G61="Internet",G61="DMZ"),
                IF(OR(E61="TLS 1.3",E61="TLS 1.2"),"Compliant","Non-Compliant"),
                IF(D61="Yes (TLS)","Compliant","Partial")))</f>
        <v/>
      </c>
      <c r="L61" s="5" t="n"/>
      <c r="M61" s="4" t="n"/>
      <c r="N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11">
        <f>IF(A62="","",
            IF(OR(G62="Internet",G62="DMZ"),
                IF(OR(E62="TLS 1.3",E62="TLS 1.2"),"Compliant","Non-Compliant"),
                IF(D62="Yes (TLS)","Compliant","Partial")))</f>
        <v/>
      </c>
      <c r="L62" s="5" t="n"/>
      <c r="M62" s="4" t="n"/>
      <c r="N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11">
        <f>IF(A63="","",
            IF(OR(G63="Internet",G63="DMZ"),
                IF(OR(E63="TLS 1.3",E63="TLS 1.2"),"Compliant","Non-Compliant"),
                IF(D63="Yes (TLS)","Compliant","Partial")))</f>
        <v/>
      </c>
      <c r="L63" s="5" t="n"/>
      <c r="M63" s="4" t="n"/>
      <c r="N63" s="5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11">
        <f>IF(A64="","",
            IF(OR(G64="Internet",G64="DMZ"),
                IF(OR(E64="TLS 1.3",E64="TLS 1.2"),"Compliant","Non-Compliant"),
                IF(D64="Yes (TLS)","Compliant","Partial")))</f>
        <v/>
      </c>
      <c r="L64" s="5" t="n"/>
      <c r="M64" s="4" t="n"/>
      <c r="N64" s="5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11">
        <f>IF(A65="","",
            IF(OR(G65="Internet",G65="DMZ"),
                IF(OR(E65="TLS 1.3",E65="TLS 1.2"),"Compliant","Non-Compliant"),
                IF(D65="Yes (TLS)","Compliant","Partial")))</f>
        <v/>
      </c>
      <c r="L65" s="5" t="n"/>
      <c r="M65" s="4" t="n"/>
      <c r="N65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11">
        <f>IF(A66="","",
            IF(OR(G66="Internet",G66="DMZ"),
                IF(OR(E66="TLS 1.3",E66="TLS 1.2"),"Compliant","Non-Compliant"),
                IF(D66="Yes (TLS)","Compliant","Partial")))</f>
        <v/>
      </c>
      <c r="L66" s="5" t="n"/>
      <c r="M66" s="4" t="n"/>
      <c r="N66" s="5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11">
        <f>IF(A67="","",
            IF(OR(G67="Internet",G67="DMZ"),
                IF(OR(E67="TLS 1.3",E67="TLS 1.2"),"Compliant","Non-Compliant"),
                IF(D67="Yes (TLS)","Compliant","Partial")))</f>
        <v/>
      </c>
      <c r="L67" s="5" t="n"/>
      <c r="M67" s="4" t="n"/>
      <c r="N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11">
        <f>IF(A68="","",
            IF(OR(G68="Internet",G68="DMZ"),
                IF(OR(E68="TLS 1.3",E68="TLS 1.2"),"Compliant","Non-Compliant"),
                IF(D68="Yes (TLS)","Compliant","Partial")))</f>
        <v/>
      </c>
      <c r="L68" s="5" t="n"/>
      <c r="M68" s="4" t="n"/>
      <c r="N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11">
        <f>IF(A69="","",
            IF(OR(G69="Internet",G69="DMZ"),
                IF(OR(E69="TLS 1.3",E69="TLS 1.2"),"Compliant","Non-Compliant"),
                IF(D69="Yes (TLS)","Compliant","Partial")))</f>
        <v/>
      </c>
      <c r="L69" s="5" t="n"/>
      <c r="M69" s="4" t="n"/>
      <c r="N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11">
        <f>IF(A70="","",
            IF(OR(G70="Internet",G70="DMZ"),
                IF(OR(E70="TLS 1.3",E70="TLS 1.2"),"Compliant","Non-Compliant"),
                IF(D70="Yes (TLS)","Compliant","Partial")))</f>
        <v/>
      </c>
      <c r="L70" s="5" t="n"/>
      <c r="M70" s="4" t="n"/>
      <c r="N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11">
        <f>IF(A71="","",
            IF(OR(G71="Internet",G71="DMZ"),
                IF(OR(E71="TLS 1.3",E71="TLS 1.2"),"Compliant","Non-Compliant"),
                IF(D71="Yes (TLS)","Compliant","Partial")))</f>
        <v/>
      </c>
      <c r="L71" s="5" t="n"/>
      <c r="M71" s="4" t="n"/>
      <c r="N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11">
        <f>IF(A72="","",
            IF(OR(G72="Internet",G72="DMZ"),
                IF(OR(E72="TLS 1.3",E72="TLS 1.2"),"Compliant","Non-Compliant"),
                IF(D72="Yes (TLS)","Compliant","Partial")))</f>
        <v/>
      </c>
      <c r="L72" s="5" t="n"/>
      <c r="M72" s="4" t="n"/>
      <c r="N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11">
        <f>IF(A73="","",
            IF(OR(G73="Internet",G73="DMZ"),
                IF(OR(E73="TLS 1.3",E73="TLS 1.2"),"Compliant","Non-Compliant"),
                IF(D73="Yes (TLS)","Compliant","Partial")))</f>
        <v/>
      </c>
      <c r="L73" s="5" t="n"/>
      <c r="M73" s="4" t="n"/>
      <c r="N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11">
        <f>IF(A74="","",
            IF(OR(G74="Internet",G74="DMZ"),
                IF(OR(E74="TLS 1.3",E74="TLS 1.2"),"Compliant","Non-Compliant"),
                IF(D74="Yes (TLS)","Compliant","Partial")))</f>
        <v/>
      </c>
      <c r="L74" s="5" t="n"/>
      <c r="M74" s="4" t="n"/>
      <c r="N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11">
        <f>IF(A75="","",
            IF(OR(G75="Internet",G75="DMZ"),
                IF(OR(E75="TLS 1.3",E75="TLS 1.2"),"Compliant","Non-Compliant"),
                IF(D75="Yes (TLS)","Compliant","Partial")))</f>
        <v/>
      </c>
      <c r="L75" s="5" t="n"/>
      <c r="M75" s="4" t="n"/>
      <c r="N75" s="5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11">
        <f>IF(A76="","",
            IF(OR(G76="Internet",G76="DMZ"),
                IF(OR(E76="TLS 1.3",E76="TLS 1.2"),"Compliant","Non-Compliant"),
                IF(D76="Yes (TLS)","Compliant","Partial")))</f>
        <v/>
      </c>
      <c r="L76" s="5" t="n"/>
      <c r="M76" s="4" t="n"/>
      <c r="N76" s="5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11">
        <f>IF(A77="","",
            IF(OR(G77="Internet",G77="DMZ"),
                IF(OR(E77="TLS 1.3",E77="TLS 1.2"),"Compliant","Non-Compliant"),
                IF(D77="Yes (TLS)","Compliant","Partial")))</f>
        <v/>
      </c>
      <c r="L77" s="5" t="n"/>
      <c r="M77" s="4" t="n"/>
      <c r="N77" s="5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11">
        <f>IF(A78="","",
            IF(OR(G78="Internet",G78="DMZ"),
                IF(OR(E78="TLS 1.3",E78="TLS 1.2"),"Compliant","Non-Compliant"),
                IF(D78="Yes (TLS)","Compliant","Partial")))</f>
        <v/>
      </c>
      <c r="L78" s="5" t="n"/>
      <c r="M78" s="4" t="n"/>
      <c r="N78" s="5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11">
        <f>IF(A79="","",
            IF(OR(G79="Internet",G79="DMZ"),
                IF(OR(E79="TLS 1.3",E79="TLS 1.2"),"Compliant","Non-Compliant"),
                IF(D79="Yes (TLS)","Compliant","Partial")))</f>
        <v/>
      </c>
      <c r="L79" s="5" t="n"/>
      <c r="M79" s="4" t="n"/>
      <c r="N79" s="5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11">
        <f>IF(A80="","",
            IF(OR(G80="Internet",G80="DMZ"),
                IF(OR(E80="TLS 1.3",E80="TLS 1.2"),"Compliant","Non-Compliant"),
                IF(D80="Yes (TLS)","Compliant","Partial")))</f>
        <v/>
      </c>
      <c r="L80" s="5" t="n"/>
      <c r="M80" s="4" t="n"/>
      <c r="N80" s="5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11">
        <f>IF(A81="","",
            IF(OR(G81="Internet",G81="DMZ"),
                IF(OR(E81="TLS 1.3",E81="TLS 1.2"),"Compliant","Non-Compliant"),
                IF(D81="Yes (TLS)","Compliant","Partial")))</f>
        <v/>
      </c>
      <c r="L81" s="5" t="n"/>
      <c r="M81" s="4" t="n"/>
      <c r="N81" s="5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11">
        <f>IF(A82="","",
            IF(OR(G82="Internet",G82="DMZ"),
                IF(OR(E82="TLS 1.3",E82="TLS 1.2"),"Compliant","Non-Compliant"),
                IF(D82="Yes (TLS)","Compliant","Partial")))</f>
        <v/>
      </c>
      <c r="L82" s="5" t="n"/>
      <c r="M82" s="4" t="n"/>
      <c r="N82" s="5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11">
        <f>IF(A83="","",
            IF(OR(G83="Internet",G83="DMZ"),
                IF(OR(E83="TLS 1.3",E83="TLS 1.2"),"Compliant","Non-Compliant"),
                IF(D83="Yes (TLS)","Compliant","Partial")))</f>
        <v/>
      </c>
      <c r="L83" s="5" t="n"/>
      <c r="M83" s="4" t="n"/>
      <c r="N83" s="5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11">
        <f>IF(A84="","",
            IF(OR(G84="Internet",G84="DMZ"),
                IF(OR(E84="TLS 1.3",E84="TLS 1.2"),"Compliant","Non-Compliant"),
                IF(D84="Yes (TLS)","Compliant","Partial")))</f>
        <v/>
      </c>
      <c r="L84" s="5" t="n"/>
      <c r="M84" s="4" t="n"/>
      <c r="N84" s="5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11">
        <f>IF(A85="","",
            IF(OR(G85="Internet",G85="DMZ"),
                IF(OR(E85="TLS 1.3",E85="TLS 1.2"),"Compliant","Non-Compliant"),
                IF(D85="Yes (TLS)","Compliant","Partial")))</f>
        <v/>
      </c>
      <c r="L85" s="5" t="n"/>
      <c r="M85" s="4" t="n"/>
      <c r="N85" s="5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11">
        <f>IF(A86="","",
            IF(OR(G86="Internet",G86="DMZ"),
                IF(OR(E86="TLS 1.3",E86="TLS 1.2"),"Compliant","Non-Compliant"),
                IF(D86="Yes (TLS)","Compliant","Partial")))</f>
        <v/>
      </c>
      <c r="L86" s="5" t="n"/>
      <c r="M86" s="4" t="n"/>
      <c r="N86" s="5" t="n"/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11">
        <f>IF(A87="","",
            IF(OR(G87="Internet",G87="DMZ"),
                IF(OR(E87="TLS 1.3",E87="TLS 1.2"),"Compliant","Non-Compliant"),
                IF(D87="Yes (TLS)","Compliant","Partial")))</f>
        <v/>
      </c>
      <c r="L87" s="5" t="n"/>
      <c r="M87" s="4" t="n"/>
      <c r="N87" s="5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11">
        <f>IF(A88="","",
            IF(OR(G88="Internet",G88="DMZ"),
                IF(OR(E88="TLS 1.3",E88="TLS 1.2"),"Compliant","Non-Compliant"),
                IF(D88="Yes (TLS)","Compliant","Partial")))</f>
        <v/>
      </c>
      <c r="L88" s="5" t="n"/>
      <c r="M88" s="4" t="n"/>
      <c r="N88" s="5" t="n"/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11">
        <f>IF(A89="","",
            IF(OR(G89="Internet",G89="DMZ"),
                IF(OR(E89="TLS 1.3",E89="TLS 1.2"),"Compliant","Non-Compliant"),
                IF(D89="Yes (TLS)","Compliant","Partial")))</f>
        <v/>
      </c>
      <c r="L89" s="5" t="n"/>
      <c r="M89" s="4" t="n"/>
      <c r="N89" s="5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11">
        <f>IF(A90="","",
            IF(OR(G90="Internet",G90="DMZ"),
                IF(OR(E90="TLS 1.3",E90="TLS 1.2"),"Compliant","Non-Compliant"),
                IF(D90="Yes (TLS)","Compliant","Partial")))</f>
        <v/>
      </c>
      <c r="L90" s="5" t="n"/>
      <c r="M90" s="4" t="n"/>
      <c r="N90" s="5" t="n"/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11">
        <f>IF(A91="","",
            IF(OR(G91="Internet",G91="DMZ"),
                IF(OR(E91="TLS 1.3",E91="TLS 1.2"),"Compliant","Non-Compliant"),
                IF(D91="Yes (TLS)","Compliant","Partial")))</f>
        <v/>
      </c>
      <c r="L91" s="5" t="n"/>
      <c r="M91" s="4" t="n"/>
      <c r="N91" s="5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11">
        <f>IF(A92="","",
            IF(OR(G92="Internet",G92="DMZ"),
                IF(OR(E92="TLS 1.3",E92="TLS 1.2"),"Compliant","Non-Compliant"),
                IF(D92="Yes (TLS)","Compliant","Partial")))</f>
        <v/>
      </c>
      <c r="L92" s="5" t="n"/>
      <c r="M92" s="4" t="n"/>
      <c r="N92" s="5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11">
        <f>IF(A93="","",
            IF(OR(G93="Internet",G93="DMZ"),
                IF(OR(E93="TLS 1.3",E93="TLS 1.2"),"Compliant","Non-Compliant"),
                IF(D93="Yes (TLS)","Compliant","Partial")))</f>
        <v/>
      </c>
      <c r="L93" s="5" t="n"/>
      <c r="M93" s="4" t="n"/>
      <c r="N93" s="5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11">
        <f>IF(A94="","",
            IF(OR(G94="Internet",G94="DMZ"),
                IF(OR(E94="TLS 1.3",E94="TLS 1.2"),"Compliant","Non-Compliant"),
                IF(D94="Yes (TLS)","Compliant","Partial")))</f>
        <v/>
      </c>
      <c r="L94" s="5" t="n"/>
      <c r="M94" s="4" t="n"/>
      <c r="N94" s="5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11">
        <f>IF(A95="","",
            IF(OR(G95="Internet",G95="DMZ"),
                IF(OR(E95="TLS 1.3",E95="TLS 1.2"),"Compliant","Non-Compliant"),
                IF(D95="Yes (TLS)","Compliant","Partial")))</f>
        <v/>
      </c>
      <c r="L95" s="5" t="n"/>
      <c r="M95" s="4" t="n"/>
      <c r="N95" s="5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11">
        <f>IF(A96="","",
            IF(OR(G96="Internet",G96="DMZ"),
                IF(OR(E96="TLS 1.3",E96="TLS 1.2"),"Compliant","Non-Compliant"),
                IF(D96="Yes (TLS)","Compliant","Partial")))</f>
        <v/>
      </c>
      <c r="L96" s="5" t="n"/>
      <c r="M96" s="4" t="n"/>
      <c r="N96" s="5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11">
        <f>IF(A97="","",
            IF(OR(G97="Internet",G97="DMZ"),
                IF(OR(E97="TLS 1.3",E97="TLS 1.2"),"Compliant","Non-Compliant"),
                IF(D97="Yes (TLS)","Compliant","Partial")))</f>
        <v/>
      </c>
      <c r="L97" s="5" t="n"/>
      <c r="M97" s="4" t="n"/>
      <c r="N97" s="5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11">
        <f>IF(A98="","",
            IF(OR(G98="Internet",G98="DMZ"),
                IF(OR(E98="TLS 1.3",E98="TLS 1.2"),"Compliant","Non-Compliant"),
                IF(D98="Yes (TLS)","Compliant","Partial")))</f>
        <v/>
      </c>
      <c r="L98" s="5" t="n"/>
      <c r="M98" s="4" t="n"/>
      <c r="N98" s="5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11">
        <f>IF(A99="","",
            IF(OR(G99="Internet",G99="DMZ"),
                IF(OR(E99="TLS 1.3",E99="TLS 1.2"),"Compliant","Non-Compliant"),
                IF(D99="Yes (TLS)","Compliant","Partial")))</f>
        <v/>
      </c>
      <c r="L99" s="5" t="n"/>
      <c r="M99" s="4" t="n"/>
      <c r="N99" s="5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11">
        <f>IF(A100="","",
            IF(OR(G100="Internet",G100="DMZ"),
                IF(OR(E100="TLS 1.3",E100="TLS 1.2"),"Compliant","Non-Compliant"),
                IF(D100="Yes (TLS)","Compliant","Partial")))</f>
        <v/>
      </c>
      <c r="L100" s="5" t="n"/>
      <c r="M100" s="4" t="n"/>
      <c r="N100" s="5" t="n"/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11">
        <f>IF(A101="","",
            IF(OR(G101="Internet",G101="DMZ"),
                IF(OR(E101="TLS 1.3",E101="TLS 1.2"),"Compliant","Non-Compliant"),
                IF(D101="Yes (TLS)","Compliant","Partial")))</f>
        <v/>
      </c>
      <c r="L101" s="5" t="n"/>
      <c r="M101" s="4" t="n"/>
      <c r="N101" s="5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11">
        <f>IF(A102="","",
            IF(OR(G102="Internet",G102="DMZ"),
                IF(OR(E102="TLS 1.3",E102="TLS 1.2"),"Compliant","Non-Compliant"),
                IF(D102="Yes (TLS)","Compliant","Partial")))</f>
        <v/>
      </c>
      <c r="L102" s="5" t="n"/>
      <c r="M102" s="4" t="n"/>
      <c r="N102" s="5" t="n"/>
    </row>
    <row r="103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11">
        <f>IF(A103="","",
            IF(OR(G103="Internet",G103="DMZ"),
                IF(OR(E103="TLS 1.3",E103="TLS 1.2"),"Compliant","Non-Compliant"),
                IF(D103="Yes (TLS)","Compliant","Partial")))</f>
        <v/>
      </c>
      <c r="L103" s="5" t="n"/>
      <c r="M103" s="4" t="n"/>
      <c r="N103" s="5" t="n"/>
    </row>
    <row r="10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11">
        <f>IF(A104="","",
            IF(OR(G104="Internet",G104="DMZ"),
                IF(OR(E104="TLS 1.3",E104="TLS 1.2"),"Compliant","Non-Compliant"),
                IF(D104="Yes (TLS)","Compliant","Partial")))</f>
        <v/>
      </c>
      <c r="L104" s="5" t="n"/>
      <c r="M104" s="4" t="n"/>
      <c r="N104" s="5" t="n"/>
    </row>
    <row r="105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11">
        <f>IF(A105="","",
            IF(OR(G105="Internet",G105="DMZ"),
                IF(OR(E105="TLS 1.3",E105="TLS 1.2"),"Compliant","Non-Compliant"),
                IF(D105="Yes (TLS)","Compliant","Partial")))</f>
        <v/>
      </c>
      <c r="L105" s="5" t="n"/>
      <c r="M105" s="4" t="n"/>
      <c r="N105" s="5" t="n"/>
    </row>
    <row r="106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11">
        <f>IF(A106="","",
            IF(OR(G106="Internet",G106="DMZ"),
                IF(OR(E106="TLS 1.3",E106="TLS 1.2"),"Compliant","Non-Compliant"),
                IF(D106="Yes (TLS)","Compliant","Partial")))</f>
        <v/>
      </c>
      <c r="L106" s="5" t="n"/>
      <c r="M106" s="4" t="n"/>
      <c r="N106" s="5" t="n"/>
    </row>
    <row r="107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11">
        <f>IF(A107="","",
            IF(OR(G107="Internet",G107="DMZ"),
                IF(OR(E107="TLS 1.3",E107="TLS 1.2"),"Compliant","Non-Compliant"),
                IF(D107="Yes (TLS)","Compliant","Partial")))</f>
        <v/>
      </c>
      <c r="L107" s="5" t="n"/>
      <c r="M107" s="4" t="n"/>
      <c r="N107" s="5" t="n"/>
    </row>
    <row r="108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11">
        <f>IF(A108="","",
            IF(OR(G108="Internet",G108="DMZ"),
                IF(OR(E108="TLS 1.3",E108="TLS 1.2"),"Compliant","Non-Compliant"),
                IF(D108="Yes (TLS)","Compliant","Partial")))</f>
        <v/>
      </c>
      <c r="L108" s="5" t="n"/>
      <c r="M108" s="4" t="n"/>
      <c r="N108" s="5" t="n"/>
    </row>
    <row r="109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11">
        <f>IF(A109="","",
            IF(OR(G109="Internet",G109="DMZ"),
                IF(OR(E109="TLS 1.3",E109="TLS 1.2"),"Compliant","Non-Compliant"),
                IF(D109="Yes (TLS)","Compliant","Partial")))</f>
        <v/>
      </c>
      <c r="L109" s="5" t="n"/>
      <c r="M109" s="4" t="n"/>
      <c r="N109" s="5" t="n"/>
    </row>
    <row r="110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11">
        <f>IF(A110="","",
            IF(OR(G110="Internet",G110="DMZ"),
                IF(OR(E110="TLS 1.3",E110="TLS 1.2"),"Compliant","Non-Compliant"),
                IF(D110="Yes (TLS)","Compliant","Partial")))</f>
        <v/>
      </c>
      <c r="L110" s="5" t="n"/>
      <c r="M110" s="4" t="n"/>
      <c r="N110" s="5" t="n"/>
    </row>
    <row r="11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11">
        <f>IF(A111="","",
            IF(OR(G111="Internet",G111="DMZ"),
                IF(OR(E111="TLS 1.3",E111="TLS 1.2"),"Compliant","Non-Compliant"),
                IF(D111="Yes (TLS)","Compliant","Partial")))</f>
        <v/>
      </c>
      <c r="L111" s="5" t="n"/>
      <c r="M111" s="4" t="n"/>
      <c r="N111" s="5" t="n"/>
    </row>
    <row r="112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11">
        <f>IF(A112="","",
            IF(OR(G112="Internet",G112="DMZ"),
                IF(OR(E112="TLS 1.3",E112="TLS 1.2"),"Compliant","Non-Compliant"),
                IF(D112="Yes (TLS)","Compliant","Partial")))</f>
        <v/>
      </c>
      <c r="L112" s="5" t="n"/>
      <c r="M112" s="4" t="n"/>
      <c r="N112" s="5" t="n"/>
    </row>
    <row r="113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11">
        <f>IF(A113="","",
            IF(OR(G113="Internet",G113="DMZ"),
                IF(OR(E113="TLS 1.3",E113="TLS 1.2"),"Compliant","Non-Compliant"),
                IF(D113="Yes (TLS)","Compliant","Partial")))</f>
        <v/>
      </c>
      <c r="L113" s="5" t="n"/>
      <c r="M113" s="4" t="n"/>
      <c r="N113" s="5" t="n"/>
    </row>
    <row r="114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11">
        <f>IF(A114="","",
            IF(OR(G114="Internet",G114="DMZ"),
                IF(OR(E114="TLS 1.3",E114="TLS 1.2"),"Compliant","Non-Compliant"),
                IF(D114="Yes (TLS)","Compliant","Partial")))</f>
        <v/>
      </c>
      <c r="L114" s="5" t="n"/>
      <c r="M114" s="4" t="n"/>
      <c r="N114" s="5" t="n"/>
    </row>
    <row r="115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11">
        <f>IF(A115="","",
            IF(OR(G115="Internet",G115="DMZ"),
                IF(OR(E115="TLS 1.3",E115="TLS 1.2"),"Compliant","Non-Compliant"),
                IF(D115="Yes (TLS)","Compliant","Partial")))</f>
        <v/>
      </c>
      <c r="L115" s="5" t="n"/>
      <c r="M115" s="4" t="n"/>
      <c r="N115" s="5" t="n"/>
    </row>
    <row r="116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11">
        <f>IF(A116="","",
            IF(OR(G116="Internet",G116="DMZ"),
                IF(OR(E116="TLS 1.3",E116="TLS 1.2"),"Compliant","Non-Compliant"),
                IF(D116="Yes (TLS)","Compliant","Partial")))</f>
        <v/>
      </c>
      <c r="L116" s="5" t="n"/>
      <c r="M116" s="4" t="n"/>
      <c r="N116" s="5" t="n"/>
    </row>
    <row r="117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11">
        <f>IF(A117="","",
            IF(OR(G117="Internet",G117="DMZ"),
                IF(OR(E117="TLS 1.3",E117="TLS 1.2"),"Compliant","Non-Compliant"),
                IF(D117="Yes (TLS)","Compliant","Partial")))</f>
        <v/>
      </c>
      <c r="L117" s="5" t="n"/>
      <c r="M117" s="4" t="n"/>
      <c r="N117" s="5" t="n"/>
    </row>
    <row r="118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11">
        <f>IF(A118="","",
            IF(OR(G118="Internet",G118="DMZ"),
                IF(OR(E118="TLS 1.3",E118="TLS 1.2"),"Compliant","Non-Compliant"),
                IF(D118="Yes (TLS)","Compliant","Partial")))</f>
        <v/>
      </c>
      <c r="L118" s="5" t="n"/>
      <c r="M118" s="4" t="n"/>
      <c r="N118" s="5" t="n"/>
    </row>
    <row r="119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11">
        <f>IF(A119="","",
            IF(OR(G119="Internet",G119="DMZ"),
                IF(OR(E119="TLS 1.3",E119="TLS 1.2"),"Compliant","Non-Compliant"),
                IF(D119="Yes (TLS)","Compliant","Partial")))</f>
        <v/>
      </c>
      <c r="L119" s="5" t="n"/>
      <c r="M119" s="4" t="n"/>
      <c r="N119" s="5" t="n"/>
    </row>
    <row r="120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11">
        <f>IF(A120="","",
            IF(OR(G120="Internet",G120="DMZ"),
                IF(OR(E120="TLS 1.3",E120="TLS 1.2"),"Compliant","Non-Compliant"),
                IF(D120="Yes (TLS)","Compliant","Partial")))</f>
        <v/>
      </c>
      <c r="L120" s="5" t="n"/>
      <c r="M120" s="4" t="n"/>
      <c r="N120" s="5" t="n"/>
    </row>
    <row r="121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11">
        <f>IF(A121="","",
            IF(OR(G121="Internet",G121="DMZ"),
                IF(OR(E121="TLS 1.3",E121="TLS 1.2"),"Compliant","Non-Compliant"),
                IF(D121="Yes (TLS)","Compliant","Partial")))</f>
        <v/>
      </c>
      <c r="L121" s="5" t="n"/>
      <c r="M121" s="4" t="n"/>
      <c r="N121" s="5" t="n"/>
    </row>
    <row r="122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11">
        <f>IF(A122="","",
            IF(OR(G122="Internet",G122="DMZ"),
                IF(OR(E122="TLS 1.3",E122="TLS 1.2"),"Compliant","Non-Compliant"),
                IF(D122="Yes (TLS)","Compliant","Partial")))</f>
        <v/>
      </c>
      <c r="L122" s="5" t="n"/>
      <c r="M122" s="4" t="n"/>
      <c r="N122" s="5" t="n"/>
    </row>
    <row r="123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11">
        <f>IF(A123="","",
            IF(OR(G123="Internet",G123="DMZ"),
                IF(OR(E123="TLS 1.3",E123="TLS 1.2"),"Compliant","Non-Compliant"),
                IF(D123="Yes (TLS)","Compliant","Partial")))</f>
        <v/>
      </c>
      <c r="L123" s="5" t="n"/>
      <c r="M123" s="4" t="n"/>
      <c r="N123" s="5" t="n"/>
    </row>
    <row r="124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11">
        <f>IF(A124="","",
            IF(OR(G124="Internet",G124="DMZ"),
                IF(OR(E124="TLS 1.3",E124="TLS 1.2"),"Compliant","Non-Compliant"),
                IF(D124="Yes (TLS)","Compliant","Partial")))</f>
        <v/>
      </c>
      <c r="L124" s="5" t="n"/>
      <c r="M124" s="4" t="n"/>
      <c r="N124" s="5" t="n"/>
    </row>
    <row r="125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11">
        <f>IF(A125="","",
            IF(OR(G125="Internet",G125="DMZ"),
                IF(OR(E125="TLS 1.3",E125="TLS 1.2"),"Compliant","Non-Compliant"),
                IF(D125="Yes (TLS)","Compliant","Partial")))</f>
        <v/>
      </c>
      <c r="L125" s="5" t="n"/>
      <c r="M125" s="4" t="n"/>
      <c r="N125" s="5" t="n"/>
    </row>
    <row r="126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11">
        <f>IF(A126="","",
            IF(OR(G126="Internet",G126="DMZ"),
                IF(OR(E126="TLS 1.3",E126="TLS 1.2"),"Compliant","Non-Compliant"),
                IF(D126="Yes (TLS)","Compliant","Partial")))</f>
        <v/>
      </c>
      <c r="L126" s="5" t="n"/>
      <c r="M126" s="4" t="n"/>
      <c r="N126" s="5" t="n"/>
    </row>
    <row r="127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11">
        <f>IF(A127="","",
            IF(OR(G127="Internet",G127="DMZ"),
                IF(OR(E127="TLS 1.3",E127="TLS 1.2"),"Compliant","Non-Compliant"),
                IF(D127="Yes (TLS)","Compliant","Partial")))</f>
        <v/>
      </c>
      <c r="L127" s="5" t="n"/>
      <c r="M127" s="4" t="n"/>
      <c r="N127" s="5" t="n"/>
    </row>
    <row r="128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11">
        <f>IF(A128="","",
            IF(OR(G128="Internet",G128="DMZ"),
                IF(OR(E128="TLS 1.3",E128="TLS 1.2"),"Compliant","Non-Compliant"),
                IF(D128="Yes (TLS)","Compliant","Partial")))</f>
        <v/>
      </c>
      <c r="L128" s="5" t="n"/>
      <c r="M128" s="4" t="n"/>
      <c r="N128" s="5" t="n"/>
    </row>
    <row r="129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11">
        <f>IF(A129="","",
            IF(OR(G129="Internet",G129="DMZ"),
                IF(OR(E129="TLS 1.3",E129="TLS 1.2"),"Compliant","Non-Compliant"),
                IF(D129="Yes (TLS)","Compliant","Partial")))</f>
        <v/>
      </c>
      <c r="L129" s="5" t="n"/>
      <c r="M129" s="4" t="n"/>
      <c r="N129" s="5" t="n"/>
    </row>
    <row r="130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11">
        <f>IF(A130="","",
            IF(OR(G130="Internet",G130="DMZ"),
                IF(OR(E130="TLS 1.3",E130="TLS 1.2"),"Compliant","Non-Compliant"),
                IF(D130="Yes (TLS)","Compliant","Partial")))</f>
        <v/>
      </c>
      <c r="L130" s="5" t="n"/>
      <c r="M130" s="4" t="n"/>
      <c r="N130" s="5" t="n"/>
    </row>
    <row r="131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11">
        <f>IF(A131="","",
            IF(OR(G131="Internet",G131="DMZ"),
                IF(OR(E131="TLS 1.3",E131="TLS 1.2"),"Compliant","Non-Compliant"),
                IF(D131="Yes (TLS)","Compliant","Partial")))</f>
        <v/>
      </c>
      <c r="L131" s="5" t="n"/>
      <c r="M131" s="4" t="n"/>
      <c r="N131" s="5" t="n"/>
    </row>
    <row r="132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11">
        <f>IF(A132="","",
            IF(OR(G132="Internet",G132="DMZ"),
                IF(OR(E132="TLS 1.3",E132="TLS 1.2"),"Compliant","Non-Compliant"),
                IF(D132="Yes (TLS)","Compliant","Partial")))</f>
        <v/>
      </c>
      <c r="L132" s="5" t="n"/>
      <c r="M132" s="4" t="n"/>
      <c r="N132" s="5" t="n"/>
    </row>
    <row r="133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11">
        <f>IF(A133="","",
            IF(OR(G133="Internet",G133="DMZ"),
                IF(OR(E133="TLS 1.3",E133="TLS 1.2"),"Compliant","Non-Compliant"),
                IF(D133="Yes (TLS)","Compliant","Partial")))</f>
        <v/>
      </c>
      <c r="L133" s="5" t="n"/>
      <c r="M133" s="4" t="n"/>
      <c r="N133" s="5" t="n"/>
    </row>
    <row r="134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11">
        <f>IF(A134="","",
            IF(OR(G134="Internet",G134="DMZ"),
                IF(OR(E134="TLS 1.3",E134="TLS 1.2"),"Compliant","Non-Compliant"),
                IF(D134="Yes (TLS)","Compliant","Partial")))</f>
        <v/>
      </c>
      <c r="L134" s="5" t="n"/>
      <c r="M134" s="4" t="n"/>
      <c r="N134" s="5" t="n"/>
    </row>
    <row r="135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11">
        <f>IF(A135="","",
            IF(OR(G135="Internet",G135="DMZ"),
                IF(OR(E135="TLS 1.3",E135="TLS 1.2"),"Compliant","Non-Compliant"),
                IF(D135="Yes (TLS)","Compliant","Partial")))</f>
        <v/>
      </c>
      <c r="L135" s="5" t="n"/>
      <c r="M135" s="4" t="n"/>
      <c r="N135" s="5" t="n"/>
    </row>
    <row r="136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11">
        <f>IF(A136="","",
            IF(OR(G136="Internet",G136="DMZ"),
                IF(OR(E136="TLS 1.3",E136="TLS 1.2"),"Compliant","Non-Compliant"),
                IF(D136="Yes (TLS)","Compliant","Partial")))</f>
        <v/>
      </c>
      <c r="L136" s="5" t="n"/>
      <c r="M136" s="4" t="n"/>
      <c r="N136" s="5" t="n"/>
    </row>
    <row r="137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11">
        <f>IF(A137="","",
            IF(OR(G137="Internet",G137="DMZ"),
                IF(OR(E137="TLS 1.3",E137="TLS 1.2"),"Compliant","Non-Compliant"),
                IF(D137="Yes (TLS)","Compliant","Partial")))</f>
        <v/>
      </c>
      <c r="L137" s="5" t="n"/>
      <c r="M137" s="4" t="n"/>
      <c r="N137" s="5" t="n"/>
    </row>
    <row r="138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11">
        <f>IF(A138="","",
            IF(OR(G138="Internet",G138="DMZ"),
                IF(OR(E138="TLS 1.3",E138="TLS 1.2"),"Compliant","Non-Compliant"),
                IF(D138="Yes (TLS)","Compliant","Partial")))</f>
        <v/>
      </c>
      <c r="L138" s="5" t="n"/>
      <c r="M138" s="4" t="n"/>
      <c r="N138" s="5" t="n"/>
    </row>
    <row r="139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11">
        <f>IF(A139="","",
            IF(OR(G139="Internet",G139="DMZ"),
                IF(OR(E139="TLS 1.3",E139="TLS 1.2"),"Compliant","Non-Compliant"),
                IF(D139="Yes (TLS)","Compliant","Partial")))</f>
        <v/>
      </c>
      <c r="L139" s="5" t="n"/>
      <c r="M139" s="4" t="n"/>
      <c r="N139" s="5" t="n"/>
    </row>
    <row r="140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11">
        <f>IF(A140="","",
            IF(OR(G140="Internet",G140="DMZ"),
                IF(OR(E140="TLS 1.3",E140="TLS 1.2"),"Compliant","Non-Compliant"),
                IF(D140="Yes (TLS)","Compliant","Partial")))</f>
        <v/>
      </c>
      <c r="L140" s="5" t="n"/>
      <c r="M140" s="4" t="n"/>
      <c r="N140" s="5" t="n"/>
    </row>
    <row r="141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11">
        <f>IF(A141="","",
            IF(OR(G141="Internet",G141="DMZ"),
                IF(OR(E141="TLS 1.3",E141="TLS 1.2"),"Compliant","Non-Compliant"),
                IF(D141="Yes (TLS)","Compliant","Partial")))</f>
        <v/>
      </c>
      <c r="L141" s="5" t="n"/>
      <c r="M141" s="4" t="n"/>
      <c r="N141" s="5" t="n"/>
    </row>
    <row r="142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11">
        <f>IF(A142="","",
            IF(OR(G142="Internet",G142="DMZ"),
                IF(OR(E142="TLS 1.3",E142="TLS 1.2"),"Compliant","Non-Compliant"),
                IF(D142="Yes (TLS)","Compliant","Partial")))</f>
        <v/>
      </c>
      <c r="L142" s="5" t="n"/>
      <c r="M142" s="4" t="n"/>
      <c r="N142" s="5" t="n"/>
    </row>
    <row r="143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11">
        <f>IF(A143="","",
            IF(OR(G143="Internet",G143="DMZ"),
                IF(OR(E143="TLS 1.3",E143="TLS 1.2"),"Compliant","Non-Compliant"),
                IF(D143="Yes (TLS)","Compliant","Partial")))</f>
        <v/>
      </c>
      <c r="L143" s="5" t="n"/>
      <c r="M143" s="4" t="n"/>
      <c r="N143" s="5" t="n"/>
    </row>
    <row r="144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11">
        <f>IF(A144="","",
            IF(OR(G144="Internet",G144="DMZ"),
                IF(OR(E144="TLS 1.3",E144="TLS 1.2"),"Compliant","Non-Compliant"),
                IF(D144="Yes (TLS)","Compliant","Partial")))</f>
        <v/>
      </c>
      <c r="L144" s="5" t="n"/>
      <c r="M144" s="4" t="n"/>
      <c r="N144" s="5" t="n"/>
    </row>
    <row r="145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11">
        <f>IF(A145="","",
            IF(OR(G145="Internet",G145="DMZ"),
                IF(OR(E145="TLS 1.3",E145="TLS 1.2"),"Compliant","Non-Compliant"),
                IF(D145="Yes (TLS)","Compliant","Partial")))</f>
        <v/>
      </c>
      <c r="L145" s="5" t="n"/>
      <c r="M145" s="4" t="n"/>
      <c r="N145" s="5" t="n"/>
    </row>
    <row r="146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11">
        <f>IF(A146="","",
            IF(OR(G146="Internet",G146="DMZ"),
                IF(OR(E146="TLS 1.3",E146="TLS 1.2"),"Compliant","Non-Compliant"),
                IF(D146="Yes (TLS)","Compliant","Partial")))</f>
        <v/>
      </c>
      <c r="L146" s="5" t="n"/>
      <c r="M146" s="4" t="n"/>
      <c r="N146" s="5" t="n"/>
    </row>
    <row r="147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11">
        <f>IF(A147="","",
            IF(OR(G147="Internet",G147="DMZ"),
                IF(OR(E147="TLS 1.3",E147="TLS 1.2"),"Compliant","Non-Compliant"),
                IF(D147="Yes (TLS)","Compliant","Partial")))</f>
        <v/>
      </c>
      <c r="L147" s="5" t="n"/>
      <c r="M147" s="4" t="n"/>
      <c r="N147" s="5" t="n"/>
    </row>
    <row r="148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11">
        <f>IF(A148="","",
            IF(OR(G148="Internet",G148="DMZ"),
                IF(OR(E148="TLS 1.3",E148="TLS 1.2"),"Compliant","Non-Compliant"),
                IF(D148="Yes (TLS)","Compliant","Partial")))</f>
        <v/>
      </c>
      <c r="L148" s="5" t="n"/>
      <c r="M148" s="4" t="n"/>
      <c r="N148" s="5" t="n"/>
    </row>
    <row r="149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11">
        <f>IF(A149="","",
            IF(OR(G149="Internet",G149="DMZ"),
                IF(OR(E149="TLS 1.3",E149="TLS 1.2"),"Compliant","Non-Compliant"),
                IF(D149="Yes (TLS)","Compliant","Partial")))</f>
        <v/>
      </c>
      <c r="L149" s="5" t="n"/>
      <c r="M149" s="4" t="n"/>
      <c r="N149" s="5" t="n"/>
    </row>
    <row r="150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11">
        <f>IF(A150="","",
            IF(OR(G150="Internet",G150="DMZ"),
                IF(OR(E150="TLS 1.3",E150="TLS 1.2"),"Compliant","Non-Compliant"),
                IF(D150="Yes (TLS)","Compliant","Partial")))</f>
        <v/>
      </c>
      <c r="L150" s="5" t="n"/>
      <c r="M150" s="4" t="n"/>
      <c r="N150" s="5" t="n"/>
    </row>
    <row r="151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11">
        <f>IF(A151="","",
            IF(OR(G151="Internet",G151="DMZ"),
                IF(OR(E151="TLS 1.3",E151="TLS 1.2"),"Compliant","Non-Compliant"),
                IF(D151="Yes (TLS)","Compliant","Partial")))</f>
        <v/>
      </c>
      <c r="L151" s="5" t="n"/>
      <c r="M151" s="4" t="n"/>
      <c r="N151" s="5" t="n"/>
    </row>
    <row r="152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11">
        <f>IF(A152="","",
            IF(OR(G152="Internet",G152="DMZ"),
                IF(OR(E152="TLS 1.3",E152="TLS 1.2"),"Compliant","Non-Compliant"),
                IF(D152="Yes (TLS)","Compliant","Partial")))</f>
        <v/>
      </c>
      <c r="L152" s="5" t="n"/>
      <c r="M152" s="4" t="n"/>
      <c r="N152" s="5" t="n"/>
    </row>
    <row r="153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11">
        <f>IF(A153="","",
            IF(OR(G153="Internet",G153="DMZ"),
                IF(OR(E153="TLS 1.3",E153="TLS 1.2"),"Compliant","Non-Compliant"),
                IF(D153="Yes (TLS)","Compliant","Partial")))</f>
        <v/>
      </c>
      <c r="L153" s="5" t="n"/>
      <c r="M153" s="4" t="n"/>
      <c r="N153" s="5" t="n"/>
    </row>
    <row r="154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11">
        <f>IF(A154="","",
            IF(OR(G154="Internet",G154="DMZ"),
                IF(OR(E154="TLS 1.3",E154="TLS 1.2"),"Compliant","Non-Compliant"),
                IF(D154="Yes (TLS)","Compliant","Partial")))</f>
        <v/>
      </c>
      <c r="L154" s="5" t="n"/>
      <c r="M154" s="4" t="n"/>
      <c r="N154" s="5" t="n"/>
    </row>
    <row r="155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11">
        <f>IF(A155="","",
            IF(OR(G155="Internet",G155="DMZ"),
                IF(OR(E155="TLS 1.3",E155="TLS 1.2"),"Compliant","Non-Compliant"),
                IF(D155="Yes (TLS)","Compliant","Partial")))</f>
        <v/>
      </c>
      <c r="L155" s="5" t="n"/>
      <c r="M155" s="4" t="n"/>
      <c r="N155" s="5" t="n"/>
    </row>
    <row r="156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11">
        <f>IF(A156="","",
            IF(OR(G156="Internet",G156="DMZ"),
                IF(OR(E156="TLS 1.3",E156="TLS 1.2"),"Compliant","Non-Compliant"),
                IF(D156="Yes (TLS)","Compliant","Partial")))</f>
        <v/>
      </c>
      <c r="L156" s="5" t="n"/>
      <c r="M156" s="4" t="n"/>
      <c r="N156" s="5" t="n"/>
    </row>
    <row r="157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11">
        <f>IF(A157="","",
            IF(OR(G157="Internet",G157="DMZ"),
                IF(OR(E157="TLS 1.3",E157="TLS 1.2"),"Compliant","Non-Compliant"),
                IF(D157="Yes (TLS)","Compliant","Partial")))</f>
        <v/>
      </c>
      <c r="L157" s="5" t="n"/>
      <c r="M157" s="4" t="n"/>
      <c r="N157" s="5" t="n"/>
    </row>
    <row r="158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11">
        <f>IF(A158="","",
            IF(OR(G158="Internet",G158="DMZ"),
                IF(OR(E158="TLS 1.3",E158="TLS 1.2"),"Compliant","Non-Compliant"),
                IF(D158="Yes (TLS)","Compliant","Partial")))</f>
        <v/>
      </c>
      <c r="L158" s="5" t="n"/>
      <c r="M158" s="4" t="n"/>
      <c r="N158" s="5" t="n"/>
    </row>
    <row r="159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11">
        <f>IF(A159="","",
            IF(OR(G159="Internet",G159="DMZ"),
                IF(OR(E159="TLS 1.3",E159="TLS 1.2"),"Compliant","Non-Compliant"),
                IF(D159="Yes (TLS)","Compliant","Partial")))</f>
        <v/>
      </c>
      <c r="L159" s="5" t="n"/>
      <c r="M159" s="4" t="n"/>
      <c r="N159" s="5" t="n"/>
    </row>
    <row r="160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11">
        <f>IF(A160="","",
            IF(OR(G160="Internet",G160="DMZ"),
                IF(OR(E160="TLS 1.3",E160="TLS 1.2"),"Compliant","Non-Compliant"),
                IF(D160="Yes (TLS)","Compliant","Partial")))</f>
        <v/>
      </c>
      <c r="L160" s="5" t="n"/>
      <c r="M160" s="4" t="n"/>
      <c r="N160" s="5" t="n"/>
    </row>
    <row r="161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11">
        <f>IF(A161="","",
            IF(OR(G161="Internet",G161="DMZ"),
                IF(OR(E161="TLS 1.3",E161="TLS 1.2"),"Compliant","Non-Compliant"),
                IF(D161="Yes (TLS)","Compliant","Partial")))</f>
        <v/>
      </c>
      <c r="L161" s="5" t="n"/>
      <c r="M161" s="4" t="n"/>
      <c r="N161" s="5" t="n"/>
    </row>
    <row r="162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11">
        <f>IF(A162="","",
            IF(OR(G162="Internet",G162="DMZ"),
                IF(OR(E162="TLS 1.3",E162="TLS 1.2"),"Compliant","Non-Compliant"),
                IF(D162="Yes (TLS)","Compliant","Partial")))</f>
        <v/>
      </c>
      <c r="L162" s="5" t="n"/>
      <c r="M162" s="4" t="n"/>
      <c r="N162" s="5" t="n"/>
    </row>
    <row r="163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11">
        <f>IF(A163="","",
            IF(OR(G163="Internet",G163="DMZ"),
                IF(OR(E163="TLS 1.3",E163="TLS 1.2"),"Compliant","Non-Compliant"),
                IF(D163="Yes (TLS)","Compliant","Partial")))</f>
        <v/>
      </c>
      <c r="L163" s="5" t="n"/>
      <c r="M163" s="4" t="n"/>
      <c r="N163" s="5" t="n"/>
    </row>
    <row r="164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11">
        <f>IF(A164="","",
            IF(OR(G164="Internet",G164="DMZ"),
                IF(OR(E164="TLS 1.3",E164="TLS 1.2"),"Compliant","Non-Compliant"),
                IF(D164="Yes (TLS)","Compliant","Partial")))</f>
        <v/>
      </c>
      <c r="L164" s="5" t="n"/>
      <c r="M164" s="4" t="n"/>
      <c r="N164" s="5" t="n"/>
    </row>
    <row r="165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11">
        <f>IF(A165="","",
            IF(OR(G165="Internet",G165="DMZ"),
                IF(OR(E165="TLS 1.3",E165="TLS 1.2"),"Compliant","Non-Compliant"),
                IF(D165="Yes (TLS)","Compliant","Partial")))</f>
        <v/>
      </c>
      <c r="L165" s="5" t="n"/>
      <c r="M165" s="4" t="n"/>
      <c r="N165" s="5" t="n"/>
    </row>
    <row r="166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11">
        <f>IF(A166="","",
            IF(OR(G166="Internet",G166="DMZ"),
                IF(OR(E166="TLS 1.3",E166="TLS 1.2"),"Compliant","Non-Compliant"),
                IF(D166="Yes (TLS)","Compliant","Partial")))</f>
        <v/>
      </c>
      <c r="L166" s="5" t="n"/>
      <c r="M166" s="4" t="n"/>
      <c r="N166" s="5" t="n"/>
    </row>
    <row r="167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11">
        <f>IF(A167="","",
            IF(OR(G167="Internet",G167="DMZ"),
                IF(OR(E167="TLS 1.3",E167="TLS 1.2"),"Compliant","Non-Compliant"),
                IF(D167="Yes (TLS)","Compliant","Partial")))</f>
        <v/>
      </c>
      <c r="L167" s="5" t="n"/>
      <c r="M167" s="4" t="n"/>
      <c r="N167" s="5" t="n"/>
    </row>
    <row r="168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11">
        <f>IF(A168="","",
            IF(OR(G168="Internet",G168="DMZ"),
                IF(OR(E168="TLS 1.3",E168="TLS 1.2"),"Compliant","Non-Compliant"),
                IF(D168="Yes (TLS)","Compliant","Partial")))</f>
        <v/>
      </c>
      <c r="L168" s="5" t="n"/>
      <c r="M168" s="4" t="n"/>
      <c r="N168" s="5" t="n"/>
    </row>
    <row r="169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11">
        <f>IF(A169="","",
            IF(OR(G169="Internet",G169="DMZ"),
                IF(OR(E169="TLS 1.3",E169="TLS 1.2"),"Compliant","Non-Compliant"),
                IF(D169="Yes (TLS)","Compliant","Partial")))</f>
        <v/>
      </c>
      <c r="L169" s="5" t="n"/>
      <c r="M169" s="4" t="n"/>
      <c r="N169" s="5" t="n"/>
    </row>
    <row r="170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11">
        <f>IF(A170="","",
            IF(OR(G170="Internet",G170="DMZ"),
                IF(OR(E170="TLS 1.3",E170="TLS 1.2"),"Compliant","Non-Compliant"),
                IF(D170="Yes (TLS)","Compliant","Partial")))</f>
        <v/>
      </c>
      <c r="L170" s="5" t="n"/>
      <c r="M170" s="4" t="n"/>
      <c r="N170" s="5" t="n"/>
    </row>
    <row r="171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11">
        <f>IF(A171="","",
            IF(OR(G171="Internet",G171="DMZ"),
                IF(OR(E171="TLS 1.3",E171="TLS 1.2"),"Compliant","Non-Compliant"),
                IF(D171="Yes (TLS)","Compliant","Partial")))</f>
        <v/>
      </c>
      <c r="L171" s="5" t="n"/>
      <c r="M171" s="4" t="n"/>
      <c r="N171" s="5" t="n"/>
    </row>
    <row r="172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11">
        <f>IF(A172="","",
            IF(OR(G172="Internet",G172="DMZ"),
                IF(OR(E172="TLS 1.3",E172="TLS 1.2"),"Compliant","Non-Compliant"),
                IF(D172="Yes (TLS)","Compliant","Partial")))</f>
        <v/>
      </c>
      <c r="L172" s="5" t="n"/>
      <c r="M172" s="4" t="n"/>
      <c r="N172" s="5" t="n"/>
    </row>
    <row r="173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11">
        <f>IF(A173="","",
            IF(OR(G173="Internet",G173="DMZ"),
                IF(OR(E173="TLS 1.3",E173="TLS 1.2"),"Compliant","Non-Compliant"),
                IF(D173="Yes (TLS)","Compliant","Partial")))</f>
        <v/>
      </c>
      <c r="L173" s="5" t="n"/>
      <c r="M173" s="4" t="n"/>
      <c r="N173" s="5" t="n"/>
    </row>
    <row r="174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11">
        <f>IF(A174="","",
            IF(OR(G174="Internet",G174="DMZ"),
                IF(OR(E174="TLS 1.3",E174="TLS 1.2"),"Compliant","Non-Compliant"),
                IF(D174="Yes (TLS)","Compliant","Partial")))</f>
        <v/>
      </c>
      <c r="L174" s="5" t="n"/>
      <c r="M174" s="4" t="n"/>
      <c r="N174" s="5" t="n"/>
    </row>
    <row r="175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11">
        <f>IF(A175="","",
            IF(OR(G175="Internet",G175="DMZ"),
                IF(OR(E175="TLS 1.3",E175="TLS 1.2"),"Compliant","Non-Compliant"),
                IF(D175="Yes (TLS)","Compliant","Partial")))</f>
        <v/>
      </c>
      <c r="L175" s="5" t="n"/>
      <c r="M175" s="4" t="n"/>
      <c r="N175" s="5" t="n"/>
    </row>
    <row r="176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11">
        <f>IF(A176="","",
            IF(OR(G176="Internet",G176="DMZ"),
                IF(OR(E176="TLS 1.3",E176="TLS 1.2"),"Compliant","Non-Compliant"),
                IF(D176="Yes (TLS)","Compliant","Partial")))</f>
        <v/>
      </c>
      <c r="L176" s="5" t="n"/>
      <c r="M176" s="4" t="n"/>
      <c r="N176" s="5" t="n"/>
    </row>
    <row r="177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11">
        <f>IF(A177="","",
            IF(OR(G177="Internet",G177="DMZ"),
                IF(OR(E177="TLS 1.3",E177="TLS 1.2"),"Compliant","Non-Compliant"),
                IF(D177="Yes (TLS)","Compliant","Partial")))</f>
        <v/>
      </c>
      <c r="L177" s="5" t="n"/>
      <c r="M177" s="4" t="n"/>
      <c r="N177" s="5" t="n"/>
    </row>
    <row r="178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11">
        <f>IF(A178="","",
            IF(OR(G178="Internet",G178="DMZ"),
                IF(OR(E178="TLS 1.3",E178="TLS 1.2"),"Compliant","Non-Compliant"),
                IF(D178="Yes (TLS)","Compliant","Partial")))</f>
        <v/>
      </c>
      <c r="L178" s="5" t="n"/>
      <c r="M178" s="4" t="n"/>
      <c r="N178" s="5" t="n"/>
    </row>
    <row r="179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11">
        <f>IF(A179="","",
            IF(OR(G179="Internet",G179="DMZ"),
                IF(OR(E179="TLS 1.3",E179="TLS 1.2"),"Compliant","Non-Compliant"),
                IF(D179="Yes (TLS)","Compliant","Partial")))</f>
        <v/>
      </c>
      <c r="L179" s="5" t="n"/>
      <c r="M179" s="4" t="n"/>
      <c r="N179" s="5" t="n"/>
    </row>
    <row r="180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11">
        <f>IF(A180="","",
            IF(OR(G180="Internet",G180="DMZ"),
                IF(OR(E180="TLS 1.3",E180="TLS 1.2"),"Compliant","Non-Compliant"),
                IF(D180="Yes (TLS)","Compliant","Partial")))</f>
        <v/>
      </c>
      <c r="L180" s="5" t="n"/>
      <c r="M180" s="4" t="n"/>
      <c r="N180" s="5" t="n"/>
    </row>
    <row r="181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11">
        <f>IF(A181="","",
            IF(OR(G181="Internet",G181="DMZ"),
                IF(OR(E181="TLS 1.3",E181="TLS 1.2"),"Compliant","Non-Compliant"),
                IF(D181="Yes (TLS)","Compliant","Partial")))</f>
        <v/>
      </c>
      <c r="L181" s="5" t="n"/>
      <c r="M181" s="4" t="n"/>
      <c r="N181" s="5" t="n"/>
    </row>
    <row r="182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11">
        <f>IF(A182="","",
            IF(OR(G182="Internet",G182="DMZ"),
                IF(OR(E182="TLS 1.3",E182="TLS 1.2"),"Compliant","Non-Compliant"),
                IF(D182="Yes (TLS)","Compliant","Partial")))</f>
        <v/>
      </c>
      <c r="L182" s="5" t="n"/>
      <c r="M182" s="4" t="n"/>
      <c r="N182" s="5" t="n"/>
    </row>
    <row r="183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11">
        <f>IF(A183="","",
            IF(OR(G183="Internet",G183="DMZ"),
                IF(OR(E183="TLS 1.3",E183="TLS 1.2"),"Compliant","Non-Compliant"),
                IF(D183="Yes (TLS)","Compliant","Partial")))</f>
        <v/>
      </c>
      <c r="L183" s="5" t="n"/>
      <c r="M183" s="4" t="n"/>
      <c r="N183" s="5" t="n"/>
    </row>
    <row r="184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11">
        <f>IF(A184="","",
            IF(OR(G184="Internet",G184="DMZ"),
                IF(OR(E184="TLS 1.3",E184="TLS 1.2"),"Compliant","Non-Compliant"),
                IF(D184="Yes (TLS)","Compliant","Partial")))</f>
        <v/>
      </c>
      <c r="L184" s="5" t="n"/>
      <c r="M184" s="4" t="n"/>
      <c r="N184" s="5" t="n"/>
    </row>
    <row r="185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11">
        <f>IF(A185="","",
            IF(OR(G185="Internet",G185="DMZ"),
                IF(OR(E185="TLS 1.3",E185="TLS 1.2"),"Compliant","Non-Compliant"),
                IF(D185="Yes (TLS)","Compliant","Partial")))</f>
        <v/>
      </c>
      <c r="L185" s="5" t="n"/>
      <c r="M185" s="4" t="n"/>
      <c r="N185" s="5" t="n"/>
    </row>
    <row r="186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11">
        <f>IF(A186="","",
            IF(OR(G186="Internet",G186="DMZ"),
                IF(OR(E186="TLS 1.3",E186="TLS 1.2"),"Compliant","Non-Compliant"),
                IF(D186="Yes (TLS)","Compliant","Partial")))</f>
        <v/>
      </c>
      <c r="L186" s="5" t="n"/>
      <c r="M186" s="4" t="n"/>
      <c r="N186" s="5" t="n"/>
    </row>
    <row r="187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11">
        <f>IF(A187="","",
            IF(OR(G187="Internet",G187="DMZ"),
                IF(OR(E187="TLS 1.3",E187="TLS 1.2"),"Compliant","Non-Compliant"),
                IF(D187="Yes (TLS)","Compliant","Partial")))</f>
        <v/>
      </c>
      <c r="L187" s="5" t="n"/>
      <c r="M187" s="4" t="n"/>
      <c r="N187" s="5" t="n"/>
    </row>
    <row r="188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11">
        <f>IF(A188="","",
            IF(OR(G188="Internet",G188="DMZ"),
                IF(OR(E188="TLS 1.3",E188="TLS 1.2"),"Compliant","Non-Compliant"),
                IF(D188="Yes (TLS)","Compliant","Partial")))</f>
        <v/>
      </c>
      <c r="L188" s="5" t="n"/>
      <c r="M188" s="4" t="n"/>
      <c r="N188" s="5" t="n"/>
    </row>
    <row r="189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11">
        <f>IF(A189="","",
            IF(OR(G189="Internet",G189="DMZ"),
                IF(OR(E189="TLS 1.3",E189="TLS 1.2"),"Compliant","Non-Compliant"),
                IF(D189="Yes (TLS)","Compliant","Partial")))</f>
        <v/>
      </c>
      <c r="L189" s="5" t="n"/>
      <c r="M189" s="4" t="n"/>
      <c r="N189" s="5" t="n"/>
    </row>
    <row r="190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11">
        <f>IF(A190="","",
            IF(OR(G190="Internet",G190="DMZ"),
                IF(OR(E190="TLS 1.3",E190="TLS 1.2"),"Compliant","Non-Compliant"),
                IF(D190="Yes (TLS)","Compliant","Partial")))</f>
        <v/>
      </c>
      <c r="L190" s="5" t="n"/>
      <c r="M190" s="4" t="n"/>
      <c r="N190" s="5" t="n"/>
    </row>
    <row r="191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11">
        <f>IF(A191="","",
            IF(OR(G191="Internet",G191="DMZ"),
                IF(OR(E191="TLS 1.3",E191="TLS 1.2"),"Compliant","Non-Compliant"),
                IF(D191="Yes (TLS)","Compliant","Partial")))</f>
        <v/>
      </c>
      <c r="L191" s="5" t="n"/>
      <c r="M191" s="4" t="n"/>
      <c r="N191" s="5" t="n"/>
    </row>
    <row r="192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11">
        <f>IF(A192="","",
            IF(OR(G192="Internet",G192="DMZ"),
                IF(OR(E192="TLS 1.3",E192="TLS 1.2"),"Compliant","Non-Compliant"),
                IF(D192="Yes (TLS)","Compliant","Partial")))</f>
        <v/>
      </c>
      <c r="L192" s="5" t="n"/>
      <c r="M192" s="4" t="n"/>
      <c r="N192" s="5" t="n"/>
    </row>
    <row r="193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11">
        <f>IF(A193="","",
            IF(OR(G193="Internet",G193="DMZ"),
                IF(OR(E193="TLS 1.3",E193="TLS 1.2"),"Compliant","Non-Compliant"),
                IF(D193="Yes (TLS)","Compliant","Partial")))</f>
        <v/>
      </c>
      <c r="L193" s="5" t="n"/>
      <c r="M193" s="4" t="n"/>
      <c r="N193" s="5" t="n"/>
    </row>
    <row r="194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11">
        <f>IF(A194="","",
            IF(OR(G194="Internet",G194="DMZ"),
                IF(OR(E194="TLS 1.3",E194="TLS 1.2"),"Compliant","Non-Compliant"),
                IF(D194="Yes (TLS)","Compliant","Partial")))</f>
        <v/>
      </c>
      <c r="L194" s="5" t="n"/>
      <c r="M194" s="4" t="n"/>
      <c r="N194" s="5" t="n"/>
    </row>
    <row r="195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11">
        <f>IF(A195="","",
            IF(OR(G195="Internet",G195="DMZ"),
                IF(OR(E195="TLS 1.3",E195="TLS 1.2"),"Compliant","Non-Compliant"),
                IF(D195="Yes (TLS)","Compliant","Partial")))</f>
        <v/>
      </c>
      <c r="L195" s="5" t="n"/>
      <c r="M195" s="4" t="n"/>
      <c r="N195" s="5" t="n"/>
    </row>
    <row r="196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11">
        <f>IF(A196="","",
            IF(OR(G196="Internet",G196="DMZ"),
                IF(OR(E196="TLS 1.3",E196="TLS 1.2"),"Compliant","Non-Compliant"),
                IF(D196="Yes (TLS)","Compliant","Partial")))</f>
        <v/>
      </c>
      <c r="L196" s="5" t="n"/>
      <c r="M196" s="4" t="n"/>
      <c r="N196" s="5" t="n"/>
    </row>
    <row r="197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11">
        <f>IF(A197="","",
            IF(OR(G197="Internet",G197="DMZ"),
                IF(OR(E197="TLS 1.3",E197="TLS 1.2"),"Compliant","Non-Compliant"),
                IF(D197="Yes (TLS)","Compliant","Partial")))</f>
        <v/>
      </c>
      <c r="L197" s="5" t="n"/>
      <c r="M197" s="4" t="n"/>
      <c r="N197" s="5" t="n"/>
    </row>
    <row r="198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11">
        <f>IF(A198="","",
            IF(OR(G198="Internet",G198="DMZ"),
                IF(OR(E198="TLS 1.3",E198="TLS 1.2"),"Compliant","Non-Compliant"),
                IF(D198="Yes (TLS)","Compliant","Partial")))</f>
        <v/>
      </c>
      <c r="L198" s="5" t="n"/>
      <c r="M198" s="4" t="n"/>
      <c r="N198" s="5" t="n"/>
    </row>
    <row r="199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11">
        <f>IF(A199="","",
            IF(OR(G199="Internet",G199="DMZ"),
                IF(OR(E199="TLS 1.3",E199="TLS 1.2"),"Compliant","Non-Compliant"),
                IF(D199="Yes (TLS)","Compliant","Partial")))</f>
        <v/>
      </c>
      <c r="L199" s="5" t="n"/>
      <c r="M199" s="4" t="n"/>
      <c r="N199" s="5" t="n"/>
    </row>
    <row r="200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11">
        <f>IF(A200="","",
            IF(OR(G200="Internet",G200="DMZ"),
                IF(OR(E200="TLS 1.3",E200="TLS 1.2"),"Compliant","Non-Compliant"),
                IF(D200="Yes (TLS)","Compliant","Partial")))</f>
        <v/>
      </c>
      <c r="L200" s="5" t="n"/>
      <c r="M200" s="4" t="n"/>
      <c r="N200" s="5" t="n"/>
    </row>
  </sheetData>
  <mergeCells count="2">
    <mergeCell ref="A2:N2"/>
    <mergeCell ref="A1:N1"/>
  </mergeCells>
  <dataValidations count="8">
    <dataValidation sqref="C9:C200" showDropDown="0" showInputMessage="0" showErrorMessage="0" allowBlank="1" type="list">
      <formula1>"TLS,TCP,UDP,HTTPS,Other"</formula1>
    </dataValidation>
    <dataValidation sqref="D9:D200" showDropDown="0" showInputMessage="0" showErrorMessage="0" allowBlank="1" type="list">
      <formula1>"Yes (TLS),No"</formula1>
    </dataValidation>
    <dataValidation sqref="E9:E200" showDropDown="0" showInputMessage="0" showErrorMessage="0" allowBlank="1" type="list">
      <formula1>"TLS 1.3,TLS 1.2,TLS 1.1 (weak),TLS 1.0 (weak),None"</formula1>
    </dataValidation>
    <dataValidation sqref="F9:F200" showDropDown="0" showInputMessage="0" showErrorMessage="0" allowBlank="1" type="list">
      <formula1>"✅ Yes,❌ No,➖ N/A"</formula1>
    </dataValidation>
    <dataValidation sqref="G9:G200" showDropDown="0" showInputMessage="0" showErrorMessage="0" allowBlank="1" type="list">
      <formula1>"Isolated Mgmt Network,Internal Network,Internet,DMZ"</formula1>
    </dataValidation>
    <dataValidation sqref="H9:H200 L9:L200" showDropDown="0" showInputMessage="0" showErrorMessage="0" allowBlank="1" type="list">
      <formula1>"Yes,No"</formula1>
    </dataValidation>
    <dataValidation sqref="I9:I200" showDropDown="0" showInputMessage="0" showErrorMessage="0" allowBlank="1" type="list">
      <formula1>"Yes (mutual TLS/certs),No"</formula1>
    </dataValidation>
    <dataValidation sqref="J9:J200" showDropDown="0" showInputMessage="0" showErrorMessage="0" allowBlank="1" type="list">
      <formula1>"None,Low,Medium,High"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13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25" customWidth="1" min="3" max="3"/>
    <col width="20" customWidth="1" min="4" max="4"/>
    <col width="22" customWidth="1" min="5" max="5"/>
    <col width="22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18" customWidth="1" min="12" max="12"/>
    <col width="18" customWidth="1" min="13" max="13"/>
    <col width="18" customWidth="1" min="14" max="14"/>
    <col width="18" customWidth="1" min="15" max="15"/>
    <col width="40" customWidth="1" min="16" max="16"/>
    <col width="15" customWidth="1" min="17" max="17"/>
    <col width="40" customWidth="1" min="18" max="18"/>
  </cols>
  <sheetData>
    <row r="1" ht="40" customHeight="1">
      <c r="A1" s="1" t="inlineStr">
        <is>
          <t>RETENTION PERIOD COMPLIANCE</t>
        </is>
      </c>
    </row>
    <row r="2" ht="30" customHeight="1">
      <c r="A2" s="6" t="inlineStr">
        <is>
          <t>Assess retention period compliance per ISMS-POL-A.8.15-S2.3.2</t>
        </is>
      </c>
    </row>
    <row r="7" ht="35" customHeight="1">
      <c r="A7" s="8" t="inlineStr">
        <is>
          <t>Log Source / Type</t>
        </is>
      </c>
      <c r="B7" s="8" t="inlineStr">
        <is>
          <t>Log Category</t>
        </is>
      </c>
      <c r="C7" s="8" t="inlineStr">
        <is>
          <t>Regulatory Requirement</t>
        </is>
      </c>
      <c r="D7" s="8" t="inlineStr">
        <is>
          <t>Policy Retention (months)</t>
        </is>
      </c>
      <c r="E7" s="8" t="inlineStr">
        <is>
          <t>Hot Storage Period (months)</t>
        </is>
      </c>
      <c r="F7" s="8" t="inlineStr">
        <is>
          <t>Warm Storage Period (months)</t>
        </is>
      </c>
      <c r="G7" s="8" t="inlineStr">
        <is>
          <t>Cold Storage Period (years)</t>
        </is>
      </c>
      <c r="H7" s="8" t="inlineStr">
        <is>
          <t>Total Retention (months)</t>
        </is>
      </c>
      <c r="I7" s="8" t="inlineStr">
        <is>
          <t>Meets Policy Requirement</t>
        </is>
      </c>
      <c r="J7" s="8" t="inlineStr">
        <is>
          <t>Retention Gap (months)</t>
        </is>
      </c>
      <c r="K7" s="8" t="inlineStr">
        <is>
          <t>Over-Retention (months)</t>
        </is>
      </c>
      <c r="L7" s="8" t="inlineStr">
        <is>
          <t>Automated Disposal</t>
        </is>
      </c>
      <c r="M7" s="8" t="inlineStr">
        <is>
          <t>Last Disposal Date</t>
        </is>
      </c>
      <c r="N7" s="8" t="inlineStr">
        <is>
          <t>Legal Hold Capability</t>
        </is>
      </c>
      <c r="O7" s="8" t="inlineStr">
        <is>
          <t>Compliance Status</t>
        </is>
      </c>
      <c r="P7" s="8" t="inlineStr">
        <is>
          <t>Remediation Action</t>
        </is>
      </c>
      <c r="Q7" s="8" t="inlineStr">
        <is>
          <t>Target Date</t>
        </is>
      </c>
      <c r="R7" s="8" t="inlineStr">
        <is>
          <t>Notes</t>
        </is>
      </c>
    </row>
    <row r="8">
      <c r="A8" s="9" t="inlineStr">
        <is>
          <t>Authentication Logs</t>
        </is>
      </c>
      <c r="B8" s="9" t="inlineStr">
        <is>
          <t>Authentication</t>
        </is>
      </c>
      <c r="C8" s="9" t="inlineStr">
        <is>
          <t>ISO 27001</t>
        </is>
      </c>
      <c r="D8" s="9" t="inlineStr">
        <is>
          <t>12</t>
        </is>
      </c>
      <c r="E8" s="9" t="inlineStr">
        <is>
          <t>3</t>
        </is>
      </c>
      <c r="F8" s="9" t="inlineStr">
        <is>
          <t>9</t>
        </is>
      </c>
      <c r="G8" s="9" t="inlineStr">
        <is>
          <t>0</t>
        </is>
      </c>
      <c r="H8" s="9" t="inlineStr">
        <is>
          <t>12</t>
        </is>
      </c>
      <c r="I8" s="9" t="inlineStr">
        <is>
          <t>Yes</t>
        </is>
      </c>
      <c r="J8" s="9" t="inlineStr">
        <is>
          <t>0</t>
        </is>
      </c>
      <c r="K8" s="9" t="inlineStr">
        <is>
          <t>0</t>
        </is>
      </c>
      <c r="L8" s="9" t="inlineStr">
        <is>
          <t>Yes</t>
        </is>
      </c>
      <c r="M8" s="9" t="inlineStr">
        <is>
          <t>01.01.2026</t>
        </is>
      </c>
      <c r="N8" s="9" t="inlineStr">
        <is>
          <t>Yes</t>
        </is>
      </c>
      <c r="O8" s="9" t="inlineStr">
        <is>
          <t>Compliant</t>
        </is>
      </c>
      <c r="P8" s="9" t="inlineStr"/>
      <c r="Q8" s="9" t="inlineStr"/>
      <c r="R8" s="9" t="inlineStr">
        <is>
          <t>Meets minimum retention</t>
        </is>
      </c>
    </row>
    <row r="9">
      <c r="A9" s="5" t="n"/>
      <c r="B9" s="5" t="n"/>
      <c r="C9" s="5" t="n"/>
      <c r="D9" s="5" t="n"/>
      <c r="E9" s="5" t="n"/>
      <c r="F9" s="5" t="n"/>
      <c r="G9" s="5" t="n"/>
      <c r="H9" s="11">
        <f>IF(A9="","",E9+F9+(G9*12))</f>
        <v/>
      </c>
      <c r="I9" s="11">
        <f>IF(A9="","",IF(H9&gt;=D9,"Yes","No"))</f>
        <v/>
      </c>
      <c r="J9" s="11">
        <f>IF(I9="Yes",0,D9-H9)</f>
        <v/>
      </c>
      <c r="K9" s="11">
        <f>IF(H9&lt;=D9*1.5,0,H9-D9)</f>
        <v/>
      </c>
      <c r="L9" s="5" t="n"/>
      <c r="M9" s="4" t="n"/>
      <c r="N9" s="5" t="n"/>
      <c r="O9" s="11">
        <f>IF(A9="","",IF(I9="Yes","Compliant","Non-Compliant"))</f>
        <v/>
      </c>
      <c r="P9" s="5" t="n"/>
      <c r="Q9" s="4" t="n"/>
      <c r="R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11">
        <f>IF(A10="","",E10+F10+(G10*12))</f>
        <v/>
      </c>
      <c r="I10" s="11">
        <f>IF(A10="","",IF(H10&gt;=D10,"Yes","No"))</f>
        <v/>
      </c>
      <c r="J10" s="11">
        <f>IF(I10="Yes",0,D10-H10)</f>
        <v/>
      </c>
      <c r="K10" s="11">
        <f>IF(H10&lt;=D10*1.5,0,H10-D10)</f>
        <v/>
      </c>
      <c r="L10" s="5" t="n"/>
      <c r="M10" s="4" t="n"/>
      <c r="N10" s="5" t="n"/>
      <c r="O10" s="11">
        <f>IF(A10="","",IF(I10="Yes","Compliant","Non-Compliant"))</f>
        <v/>
      </c>
      <c r="P10" s="5" t="n"/>
      <c r="Q10" s="4" t="n"/>
      <c r="R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11">
        <f>IF(A11="","",E11+F11+(G11*12))</f>
        <v/>
      </c>
      <c r="I11" s="11">
        <f>IF(A11="","",IF(H11&gt;=D11,"Yes","No"))</f>
        <v/>
      </c>
      <c r="J11" s="11">
        <f>IF(I11="Yes",0,D11-H11)</f>
        <v/>
      </c>
      <c r="K11" s="11">
        <f>IF(H11&lt;=D11*1.5,0,H11-D11)</f>
        <v/>
      </c>
      <c r="L11" s="5" t="n"/>
      <c r="M11" s="4" t="n"/>
      <c r="N11" s="5" t="n"/>
      <c r="O11" s="11">
        <f>IF(A11="","",IF(I11="Yes","Compliant","Non-Compliant"))</f>
        <v/>
      </c>
      <c r="P11" s="5" t="n"/>
      <c r="Q11" s="4" t="n"/>
      <c r="R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11">
        <f>IF(A12="","",E12+F12+(G12*12))</f>
        <v/>
      </c>
      <c r="I12" s="11">
        <f>IF(A12="","",IF(H12&gt;=D12,"Yes","No"))</f>
        <v/>
      </c>
      <c r="J12" s="11">
        <f>IF(I12="Yes",0,D12-H12)</f>
        <v/>
      </c>
      <c r="K12" s="11">
        <f>IF(H12&lt;=D12*1.5,0,H12-D12)</f>
        <v/>
      </c>
      <c r="L12" s="5" t="n"/>
      <c r="M12" s="4" t="n"/>
      <c r="N12" s="5" t="n"/>
      <c r="O12" s="11">
        <f>IF(A12="","",IF(I12="Yes","Compliant","Non-Compliant"))</f>
        <v/>
      </c>
      <c r="P12" s="5" t="n"/>
      <c r="Q12" s="4" t="n"/>
      <c r="R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11">
        <f>IF(A13="","",E13+F13+(G13*12))</f>
        <v/>
      </c>
      <c r="I13" s="11">
        <f>IF(A13="","",IF(H13&gt;=D13,"Yes","No"))</f>
        <v/>
      </c>
      <c r="J13" s="11">
        <f>IF(I13="Yes",0,D13-H13)</f>
        <v/>
      </c>
      <c r="K13" s="11">
        <f>IF(H13&lt;=D13*1.5,0,H13-D13)</f>
        <v/>
      </c>
      <c r="L13" s="5" t="n"/>
      <c r="M13" s="4" t="n"/>
      <c r="N13" s="5" t="n"/>
      <c r="O13" s="11">
        <f>IF(A13="","",IF(I13="Yes","Compliant","Non-Compliant"))</f>
        <v/>
      </c>
      <c r="P13" s="5" t="n"/>
      <c r="Q13" s="4" t="n"/>
      <c r="R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11">
        <f>IF(A14="","",E14+F14+(G14*12))</f>
        <v/>
      </c>
      <c r="I14" s="11">
        <f>IF(A14="","",IF(H14&gt;=D14,"Yes","No"))</f>
        <v/>
      </c>
      <c r="J14" s="11">
        <f>IF(I14="Yes",0,D14-H14)</f>
        <v/>
      </c>
      <c r="K14" s="11">
        <f>IF(H14&lt;=D14*1.5,0,H14-D14)</f>
        <v/>
      </c>
      <c r="L14" s="5" t="n"/>
      <c r="M14" s="4" t="n"/>
      <c r="N14" s="5" t="n"/>
      <c r="O14" s="11">
        <f>IF(A14="","",IF(I14="Yes","Compliant","Non-Compliant"))</f>
        <v/>
      </c>
      <c r="P14" s="5" t="n"/>
      <c r="Q14" s="4" t="n"/>
      <c r="R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11">
        <f>IF(A15="","",E15+F15+(G15*12))</f>
        <v/>
      </c>
      <c r="I15" s="11">
        <f>IF(A15="","",IF(H15&gt;=D15,"Yes","No"))</f>
        <v/>
      </c>
      <c r="J15" s="11">
        <f>IF(I15="Yes",0,D15-H15)</f>
        <v/>
      </c>
      <c r="K15" s="11">
        <f>IF(H15&lt;=D15*1.5,0,H15-D15)</f>
        <v/>
      </c>
      <c r="L15" s="5" t="n"/>
      <c r="M15" s="4" t="n"/>
      <c r="N15" s="5" t="n"/>
      <c r="O15" s="11">
        <f>IF(A15="","",IF(I15="Yes","Compliant","Non-Compliant"))</f>
        <v/>
      </c>
      <c r="P15" s="5" t="n"/>
      <c r="Q15" s="4" t="n"/>
      <c r="R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11">
        <f>IF(A16="","",E16+F16+(G16*12))</f>
        <v/>
      </c>
      <c r="I16" s="11">
        <f>IF(A16="","",IF(H16&gt;=D16,"Yes","No"))</f>
        <v/>
      </c>
      <c r="J16" s="11">
        <f>IF(I16="Yes",0,D16-H16)</f>
        <v/>
      </c>
      <c r="K16" s="11">
        <f>IF(H16&lt;=D16*1.5,0,H16-D16)</f>
        <v/>
      </c>
      <c r="L16" s="5" t="n"/>
      <c r="M16" s="4" t="n"/>
      <c r="N16" s="5" t="n"/>
      <c r="O16" s="11">
        <f>IF(A16="","",IF(I16="Yes","Compliant","Non-Compliant"))</f>
        <v/>
      </c>
      <c r="P16" s="5" t="n"/>
      <c r="Q16" s="4" t="n"/>
      <c r="R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11">
        <f>IF(A17="","",E17+F17+(G17*12))</f>
        <v/>
      </c>
      <c r="I17" s="11">
        <f>IF(A17="","",IF(H17&gt;=D17,"Yes","No"))</f>
        <v/>
      </c>
      <c r="J17" s="11">
        <f>IF(I17="Yes",0,D17-H17)</f>
        <v/>
      </c>
      <c r="K17" s="11">
        <f>IF(H17&lt;=D17*1.5,0,H17-D17)</f>
        <v/>
      </c>
      <c r="L17" s="5" t="n"/>
      <c r="M17" s="4" t="n"/>
      <c r="N17" s="5" t="n"/>
      <c r="O17" s="11">
        <f>IF(A17="","",IF(I17="Yes","Compliant","Non-Compliant"))</f>
        <v/>
      </c>
      <c r="P17" s="5" t="n"/>
      <c r="Q17" s="4" t="n"/>
      <c r="R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11">
        <f>IF(A18="","",E18+F18+(G18*12))</f>
        <v/>
      </c>
      <c r="I18" s="11">
        <f>IF(A18="","",IF(H18&gt;=D18,"Yes","No"))</f>
        <v/>
      </c>
      <c r="J18" s="11">
        <f>IF(I18="Yes",0,D18-H18)</f>
        <v/>
      </c>
      <c r="K18" s="11">
        <f>IF(H18&lt;=D18*1.5,0,H18-D18)</f>
        <v/>
      </c>
      <c r="L18" s="5" t="n"/>
      <c r="M18" s="4" t="n"/>
      <c r="N18" s="5" t="n"/>
      <c r="O18" s="11">
        <f>IF(A18="","",IF(I18="Yes","Compliant","Non-Compliant"))</f>
        <v/>
      </c>
      <c r="P18" s="5" t="n"/>
      <c r="Q18" s="4" t="n"/>
      <c r="R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11">
        <f>IF(A19="","",E19+F19+(G19*12))</f>
        <v/>
      </c>
      <c r="I19" s="11">
        <f>IF(A19="","",IF(H19&gt;=D19,"Yes","No"))</f>
        <v/>
      </c>
      <c r="J19" s="11">
        <f>IF(I19="Yes",0,D19-H19)</f>
        <v/>
      </c>
      <c r="K19" s="11">
        <f>IF(H19&lt;=D19*1.5,0,H19-D19)</f>
        <v/>
      </c>
      <c r="L19" s="5" t="n"/>
      <c r="M19" s="4" t="n"/>
      <c r="N19" s="5" t="n"/>
      <c r="O19" s="11">
        <f>IF(A19="","",IF(I19="Yes","Compliant","Non-Compliant"))</f>
        <v/>
      </c>
      <c r="P19" s="5" t="n"/>
      <c r="Q19" s="4" t="n"/>
      <c r="R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11">
        <f>IF(A20="","",E20+F20+(G20*12))</f>
        <v/>
      </c>
      <c r="I20" s="11">
        <f>IF(A20="","",IF(H20&gt;=D20,"Yes","No"))</f>
        <v/>
      </c>
      <c r="J20" s="11">
        <f>IF(I20="Yes",0,D20-H20)</f>
        <v/>
      </c>
      <c r="K20" s="11">
        <f>IF(H20&lt;=D20*1.5,0,H20-D20)</f>
        <v/>
      </c>
      <c r="L20" s="5" t="n"/>
      <c r="M20" s="4" t="n"/>
      <c r="N20" s="5" t="n"/>
      <c r="O20" s="11">
        <f>IF(A20="","",IF(I20="Yes","Compliant","Non-Compliant"))</f>
        <v/>
      </c>
      <c r="P20" s="5" t="n"/>
      <c r="Q20" s="4" t="n"/>
      <c r="R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11">
        <f>IF(A21="","",E21+F21+(G21*12))</f>
        <v/>
      </c>
      <c r="I21" s="11">
        <f>IF(A21="","",IF(H21&gt;=D21,"Yes","No"))</f>
        <v/>
      </c>
      <c r="J21" s="11">
        <f>IF(I21="Yes",0,D21-H21)</f>
        <v/>
      </c>
      <c r="K21" s="11">
        <f>IF(H21&lt;=D21*1.5,0,H21-D21)</f>
        <v/>
      </c>
      <c r="L21" s="5" t="n"/>
      <c r="M21" s="4" t="n"/>
      <c r="N21" s="5" t="n"/>
      <c r="O21" s="11">
        <f>IF(A21="","",IF(I21="Yes","Compliant","Non-Compliant"))</f>
        <v/>
      </c>
      <c r="P21" s="5" t="n"/>
      <c r="Q21" s="4" t="n"/>
      <c r="R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11">
        <f>IF(A22="","",E22+F22+(G22*12))</f>
        <v/>
      </c>
      <c r="I22" s="11">
        <f>IF(A22="","",IF(H22&gt;=D22,"Yes","No"))</f>
        <v/>
      </c>
      <c r="J22" s="11">
        <f>IF(I22="Yes",0,D22-H22)</f>
        <v/>
      </c>
      <c r="K22" s="11">
        <f>IF(H22&lt;=D22*1.5,0,H22-D22)</f>
        <v/>
      </c>
      <c r="L22" s="5" t="n"/>
      <c r="M22" s="4" t="n"/>
      <c r="N22" s="5" t="n"/>
      <c r="O22" s="11">
        <f>IF(A22="","",IF(I22="Yes","Compliant","Non-Compliant"))</f>
        <v/>
      </c>
      <c r="P22" s="5" t="n"/>
      <c r="Q22" s="4" t="n"/>
      <c r="R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11">
        <f>IF(A23="","",E23+F23+(G23*12))</f>
        <v/>
      </c>
      <c r="I23" s="11">
        <f>IF(A23="","",IF(H23&gt;=D23,"Yes","No"))</f>
        <v/>
      </c>
      <c r="J23" s="11">
        <f>IF(I23="Yes",0,D23-H23)</f>
        <v/>
      </c>
      <c r="K23" s="11">
        <f>IF(H23&lt;=D23*1.5,0,H23-D23)</f>
        <v/>
      </c>
      <c r="L23" s="5" t="n"/>
      <c r="M23" s="4" t="n"/>
      <c r="N23" s="5" t="n"/>
      <c r="O23" s="11">
        <f>IF(A23="","",IF(I23="Yes","Compliant","Non-Compliant"))</f>
        <v/>
      </c>
      <c r="P23" s="5" t="n"/>
      <c r="Q23" s="4" t="n"/>
      <c r="R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11">
        <f>IF(A24="","",E24+F24+(G24*12))</f>
        <v/>
      </c>
      <c r="I24" s="11">
        <f>IF(A24="","",IF(H24&gt;=D24,"Yes","No"))</f>
        <v/>
      </c>
      <c r="J24" s="11">
        <f>IF(I24="Yes",0,D24-H24)</f>
        <v/>
      </c>
      <c r="K24" s="11">
        <f>IF(H24&lt;=D24*1.5,0,H24-D24)</f>
        <v/>
      </c>
      <c r="L24" s="5" t="n"/>
      <c r="M24" s="4" t="n"/>
      <c r="N24" s="5" t="n"/>
      <c r="O24" s="11">
        <f>IF(A24="","",IF(I24="Yes","Compliant","Non-Compliant"))</f>
        <v/>
      </c>
      <c r="P24" s="5" t="n"/>
      <c r="Q24" s="4" t="n"/>
      <c r="R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11">
        <f>IF(A25="","",E25+F25+(G25*12))</f>
        <v/>
      </c>
      <c r="I25" s="11">
        <f>IF(A25="","",IF(H25&gt;=D25,"Yes","No"))</f>
        <v/>
      </c>
      <c r="J25" s="11">
        <f>IF(I25="Yes",0,D25-H25)</f>
        <v/>
      </c>
      <c r="K25" s="11">
        <f>IF(H25&lt;=D25*1.5,0,H25-D25)</f>
        <v/>
      </c>
      <c r="L25" s="5" t="n"/>
      <c r="M25" s="4" t="n"/>
      <c r="N25" s="5" t="n"/>
      <c r="O25" s="11">
        <f>IF(A25="","",IF(I25="Yes","Compliant","Non-Compliant"))</f>
        <v/>
      </c>
      <c r="P25" s="5" t="n"/>
      <c r="Q25" s="4" t="n"/>
      <c r="R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11">
        <f>IF(A26="","",E26+F26+(G26*12))</f>
        <v/>
      </c>
      <c r="I26" s="11">
        <f>IF(A26="","",IF(H26&gt;=D26,"Yes","No"))</f>
        <v/>
      </c>
      <c r="J26" s="11">
        <f>IF(I26="Yes",0,D26-H26)</f>
        <v/>
      </c>
      <c r="K26" s="11">
        <f>IF(H26&lt;=D26*1.5,0,H26-D26)</f>
        <v/>
      </c>
      <c r="L26" s="5" t="n"/>
      <c r="M26" s="4" t="n"/>
      <c r="N26" s="5" t="n"/>
      <c r="O26" s="11">
        <f>IF(A26="","",IF(I26="Yes","Compliant","Non-Compliant"))</f>
        <v/>
      </c>
      <c r="P26" s="5" t="n"/>
      <c r="Q26" s="4" t="n"/>
      <c r="R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11">
        <f>IF(A27="","",E27+F27+(G27*12))</f>
        <v/>
      </c>
      <c r="I27" s="11">
        <f>IF(A27="","",IF(H27&gt;=D27,"Yes","No"))</f>
        <v/>
      </c>
      <c r="J27" s="11">
        <f>IF(I27="Yes",0,D27-H27)</f>
        <v/>
      </c>
      <c r="K27" s="11">
        <f>IF(H27&lt;=D27*1.5,0,H27-D27)</f>
        <v/>
      </c>
      <c r="L27" s="5" t="n"/>
      <c r="M27" s="4" t="n"/>
      <c r="N27" s="5" t="n"/>
      <c r="O27" s="11">
        <f>IF(A27="","",IF(I27="Yes","Compliant","Non-Compliant"))</f>
        <v/>
      </c>
      <c r="P27" s="5" t="n"/>
      <c r="Q27" s="4" t="n"/>
      <c r="R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11">
        <f>IF(A28="","",E28+F28+(G28*12))</f>
        <v/>
      </c>
      <c r="I28" s="11">
        <f>IF(A28="","",IF(H28&gt;=D28,"Yes","No"))</f>
        <v/>
      </c>
      <c r="J28" s="11">
        <f>IF(I28="Yes",0,D28-H28)</f>
        <v/>
      </c>
      <c r="K28" s="11">
        <f>IF(H28&lt;=D28*1.5,0,H28-D28)</f>
        <v/>
      </c>
      <c r="L28" s="5" t="n"/>
      <c r="M28" s="4" t="n"/>
      <c r="N28" s="5" t="n"/>
      <c r="O28" s="11">
        <f>IF(A28="","",IF(I28="Yes","Compliant","Non-Compliant"))</f>
        <v/>
      </c>
      <c r="P28" s="5" t="n"/>
      <c r="Q28" s="4" t="n"/>
      <c r="R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11">
        <f>IF(A29="","",E29+F29+(G29*12))</f>
        <v/>
      </c>
      <c r="I29" s="11">
        <f>IF(A29="","",IF(H29&gt;=D29,"Yes","No"))</f>
        <v/>
      </c>
      <c r="J29" s="11">
        <f>IF(I29="Yes",0,D29-H29)</f>
        <v/>
      </c>
      <c r="K29" s="11">
        <f>IF(H29&lt;=D29*1.5,0,H29-D29)</f>
        <v/>
      </c>
      <c r="L29" s="5" t="n"/>
      <c r="M29" s="4" t="n"/>
      <c r="N29" s="5" t="n"/>
      <c r="O29" s="11">
        <f>IF(A29="","",IF(I29="Yes","Compliant","Non-Compliant"))</f>
        <v/>
      </c>
      <c r="P29" s="5" t="n"/>
      <c r="Q29" s="4" t="n"/>
      <c r="R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11">
        <f>IF(A30="","",E30+F30+(G30*12))</f>
        <v/>
      </c>
      <c r="I30" s="11">
        <f>IF(A30="","",IF(H30&gt;=D30,"Yes","No"))</f>
        <v/>
      </c>
      <c r="J30" s="11">
        <f>IF(I30="Yes",0,D30-H30)</f>
        <v/>
      </c>
      <c r="K30" s="11">
        <f>IF(H30&lt;=D30*1.5,0,H30-D30)</f>
        <v/>
      </c>
      <c r="L30" s="5" t="n"/>
      <c r="M30" s="4" t="n"/>
      <c r="N30" s="5" t="n"/>
      <c r="O30" s="11">
        <f>IF(A30="","",IF(I30="Yes","Compliant","Non-Compliant"))</f>
        <v/>
      </c>
      <c r="P30" s="5" t="n"/>
      <c r="Q30" s="4" t="n"/>
      <c r="R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11">
        <f>IF(A31="","",E31+F31+(G31*12))</f>
        <v/>
      </c>
      <c r="I31" s="11">
        <f>IF(A31="","",IF(H31&gt;=D31,"Yes","No"))</f>
        <v/>
      </c>
      <c r="J31" s="11">
        <f>IF(I31="Yes",0,D31-H31)</f>
        <v/>
      </c>
      <c r="K31" s="11">
        <f>IF(H31&lt;=D31*1.5,0,H31-D31)</f>
        <v/>
      </c>
      <c r="L31" s="5" t="n"/>
      <c r="M31" s="4" t="n"/>
      <c r="N31" s="5" t="n"/>
      <c r="O31" s="11">
        <f>IF(A31="","",IF(I31="Yes","Compliant","Non-Compliant"))</f>
        <v/>
      </c>
      <c r="P31" s="5" t="n"/>
      <c r="Q31" s="4" t="n"/>
      <c r="R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11">
        <f>IF(A32="","",E32+F32+(G32*12))</f>
        <v/>
      </c>
      <c r="I32" s="11">
        <f>IF(A32="","",IF(H32&gt;=D32,"Yes","No"))</f>
        <v/>
      </c>
      <c r="J32" s="11">
        <f>IF(I32="Yes",0,D32-H32)</f>
        <v/>
      </c>
      <c r="K32" s="11">
        <f>IF(H32&lt;=D32*1.5,0,H32-D32)</f>
        <v/>
      </c>
      <c r="L32" s="5" t="n"/>
      <c r="M32" s="4" t="n"/>
      <c r="N32" s="5" t="n"/>
      <c r="O32" s="11">
        <f>IF(A32="","",IF(I32="Yes","Compliant","Non-Compliant"))</f>
        <v/>
      </c>
      <c r="P32" s="5" t="n"/>
      <c r="Q32" s="4" t="n"/>
      <c r="R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11">
        <f>IF(A33="","",E33+F33+(G33*12))</f>
        <v/>
      </c>
      <c r="I33" s="11">
        <f>IF(A33="","",IF(H33&gt;=D33,"Yes","No"))</f>
        <v/>
      </c>
      <c r="J33" s="11">
        <f>IF(I33="Yes",0,D33-H33)</f>
        <v/>
      </c>
      <c r="K33" s="11">
        <f>IF(H33&lt;=D33*1.5,0,H33-D33)</f>
        <v/>
      </c>
      <c r="L33" s="5" t="n"/>
      <c r="M33" s="4" t="n"/>
      <c r="N33" s="5" t="n"/>
      <c r="O33" s="11">
        <f>IF(A33="","",IF(I33="Yes","Compliant","Non-Compliant"))</f>
        <v/>
      </c>
      <c r="P33" s="5" t="n"/>
      <c r="Q33" s="4" t="n"/>
      <c r="R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11">
        <f>IF(A34="","",E34+F34+(G34*12))</f>
        <v/>
      </c>
      <c r="I34" s="11">
        <f>IF(A34="","",IF(H34&gt;=D34,"Yes","No"))</f>
        <v/>
      </c>
      <c r="J34" s="11">
        <f>IF(I34="Yes",0,D34-H34)</f>
        <v/>
      </c>
      <c r="K34" s="11">
        <f>IF(H34&lt;=D34*1.5,0,H34-D34)</f>
        <v/>
      </c>
      <c r="L34" s="5" t="n"/>
      <c r="M34" s="4" t="n"/>
      <c r="N34" s="5" t="n"/>
      <c r="O34" s="11">
        <f>IF(A34="","",IF(I34="Yes","Compliant","Non-Compliant"))</f>
        <v/>
      </c>
      <c r="P34" s="5" t="n"/>
      <c r="Q34" s="4" t="n"/>
      <c r="R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11">
        <f>IF(A35="","",E35+F35+(G35*12))</f>
        <v/>
      </c>
      <c r="I35" s="11">
        <f>IF(A35="","",IF(H35&gt;=D35,"Yes","No"))</f>
        <v/>
      </c>
      <c r="J35" s="11">
        <f>IF(I35="Yes",0,D35-H35)</f>
        <v/>
      </c>
      <c r="K35" s="11">
        <f>IF(H35&lt;=D35*1.5,0,H35-D35)</f>
        <v/>
      </c>
      <c r="L35" s="5" t="n"/>
      <c r="M35" s="4" t="n"/>
      <c r="N35" s="5" t="n"/>
      <c r="O35" s="11">
        <f>IF(A35="","",IF(I35="Yes","Compliant","Non-Compliant"))</f>
        <v/>
      </c>
      <c r="P35" s="5" t="n"/>
      <c r="Q35" s="4" t="n"/>
      <c r="R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11">
        <f>IF(A36="","",E36+F36+(G36*12))</f>
        <v/>
      </c>
      <c r="I36" s="11">
        <f>IF(A36="","",IF(H36&gt;=D36,"Yes","No"))</f>
        <v/>
      </c>
      <c r="J36" s="11">
        <f>IF(I36="Yes",0,D36-H36)</f>
        <v/>
      </c>
      <c r="K36" s="11">
        <f>IF(H36&lt;=D36*1.5,0,H36-D36)</f>
        <v/>
      </c>
      <c r="L36" s="5" t="n"/>
      <c r="M36" s="4" t="n"/>
      <c r="N36" s="5" t="n"/>
      <c r="O36" s="11">
        <f>IF(A36="","",IF(I36="Yes","Compliant","Non-Compliant"))</f>
        <v/>
      </c>
      <c r="P36" s="5" t="n"/>
      <c r="Q36" s="4" t="n"/>
      <c r="R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11">
        <f>IF(A37="","",E37+F37+(G37*12))</f>
        <v/>
      </c>
      <c r="I37" s="11">
        <f>IF(A37="","",IF(H37&gt;=D37,"Yes","No"))</f>
        <v/>
      </c>
      <c r="J37" s="11">
        <f>IF(I37="Yes",0,D37-H37)</f>
        <v/>
      </c>
      <c r="K37" s="11">
        <f>IF(H37&lt;=D37*1.5,0,H37-D37)</f>
        <v/>
      </c>
      <c r="L37" s="5" t="n"/>
      <c r="M37" s="4" t="n"/>
      <c r="N37" s="5" t="n"/>
      <c r="O37" s="11">
        <f>IF(A37="","",IF(I37="Yes","Compliant","Non-Compliant"))</f>
        <v/>
      </c>
      <c r="P37" s="5" t="n"/>
      <c r="Q37" s="4" t="n"/>
      <c r="R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11">
        <f>IF(A38="","",E38+F38+(G38*12))</f>
        <v/>
      </c>
      <c r="I38" s="11">
        <f>IF(A38="","",IF(H38&gt;=D38,"Yes","No"))</f>
        <v/>
      </c>
      <c r="J38" s="11">
        <f>IF(I38="Yes",0,D38-H38)</f>
        <v/>
      </c>
      <c r="K38" s="11">
        <f>IF(H38&lt;=D38*1.5,0,H38-D38)</f>
        <v/>
      </c>
      <c r="L38" s="5" t="n"/>
      <c r="M38" s="4" t="n"/>
      <c r="N38" s="5" t="n"/>
      <c r="O38" s="11">
        <f>IF(A38="","",IF(I38="Yes","Compliant","Non-Compliant"))</f>
        <v/>
      </c>
      <c r="P38" s="5" t="n"/>
      <c r="Q38" s="4" t="n"/>
      <c r="R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11">
        <f>IF(A39="","",E39+F39+(G39*12))</f>
        <v/>
      </c>
      <c r="I39" s="11">
        <f>IF(A39="","",IF(H39&gt;=D39,"Yes","No"))</f>
        <v/>
      </c>
      <c r="J39" s="11">
        <f>IF(I39="Yes",0,D39-H39)</f>
        <v/>
      </c>
      <c r="K39" s="11">
        <f>IF(H39&lt;=D39*1.5,0,H39-D39)</f>
        <v/>
      </c>
      <c r="L39" s="5" t="n"/>
      <c r="M39" s="4" t="n"/>
      <c r="N39" s="5" t="n"/>
      <c r="O39" s="11">
        <f>IF(A39="","",IF(I39="Yes","Compliant","Non-Compliant"))</f>
        <v/>
      </c>
      <c r="P39" s="5" t="n"/>
      <c r="Q39" s="4" t="n"/>
      <c r="R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11">
        <f>IF(A40="","",E40+F40+(G40*12))</f>
        <v/>
      </c>
      <c r="I40" s="11">
        <f>IF(A40="","",IF(H40&gt;=D40,"Yes","No"))</f>
        <v/>
      </c>
      <c r="J40" s="11">
        <f>IF(I40="Yes",0,D40-H40)</f>
        <v/>
      </c>
      <c r="K40" s="11">
        <f>IF(H40&lt;=D40*1.5,0,H40-D40)</f>
        <v/>
      </c>
      <c r="L40" s="5" t="n"/>
      <c r="M40" s="4" t="n"/>
      <c r="N40" s="5" t="n"/>
      <c r="O40" s="11">
        <f>IF(A40="","",IF(I40="Yes","Compliant","Non-Compliant"))</f>
        <v/>
      </c>
      <c r="P40" s="5" t="n"/>
      <c r="Q40" s="4" t="n"/>
      <c r="R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11">
        <f>IF(A41="","",E41+F41+(G41*12))</f>
        <v/>
      </c>
      <c r="I41" s="11">
        <f>IF(A41="","",IF(H41&gt;=D41,"Yes","No"))</f>
        <v/>
      </c>
      <c r="J41" s="11">
        <f>IF(I41="Yes",0,D41-H41)</f>
        <v/>
      </c>
      <c r="K41" s="11">
        <f>IF(H41&lt;=D41*1.5,0,H41-D41)</f>
        <v/>
      </c>
      <c r="L41" s="5" t="n"/>
      <c r="M41" s="4" t="n"/>
      <c r="N41" s="5" t="n"/>
      <c r="O41" s="11">
        <f>IF(A41="","",IF(I41="Yes","Compliant","Non-Compliant"))</f>
        <v/>
      </c>
      <c r="P41" s="5" t="n"/>
      <c r="Q41" s="4" t="n"/>
      <c r="R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11">
        <f>IF(A42="","",E42+F42+(G42*12))</f>
        <v/>
      </c>
      <c r="I42" s="11">
        <f>IF(A42="","",IF(H42&gt;=D42,"Yes","No"))</f>
        <v/>
      </c>
      <c r="J42" s="11">
        <f>IF(I42="Yes",0,D42-H42)</f>
        <v/>
      </c>
      <c r="K42" s="11">
        <f>IF(H42&lt;=D42*1.5,0,H42-D42)</f>
        <v/>
      </c>
      <c r="L42" s="5" t="n"/>
      <c r="M42" s="4" t="n"/>
      <c r="N42" s="5" t="n"/>
      <c r="O42" s="11">
        <f>IF(A42="","",IF(I42="Yes","Compliant","Non-Compliant"))</f>
        <v/>
      </c>
      <c r="P42" s="5" t="n"/>
      <c r="Q42" s="4" t="n"/>
      <c r="R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11">
        <f>IF(A43="","",E43+F43+(G43*12))</f>
        <v/>
      </c>
      <c r="I43" s="11">
        <f>IF(A43="","",IF(H43&gt;=D43,"Yes","No"))</f>
        <v/>
      </c>
      <c r="J43" s="11">
        <f>IF(I43="Yes",0,D43-H43)</f>
        <v/>
      </c>
      <c r="K43" s="11">
        <f>IF(H43&lt;=D43*1.5,0,H43-D43)</f>
        <v/>
      </c>
      <c r="L43" s="5" t="n"/>
      <c r="M43" s="4" t="n"/>
      <c r="N43" s="5" t="n"/>
      <c r="O43" s="11">
        <f>IF(A43="","",IF(I43="Yes","Compliant","Non-Compliant"))</f>
        <v/>
      </c>
      <c r="P43" s="5" t="n"/>
      <c r="Q43" s="4" t="n"/>
      <c r="R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11">
        <f>IF(A44="","",E44+F44+(G44*12))</f>
        <v/>
      </c>
      <c r="I44" s="11">
        <f>IF(A44="","",IF(H44&gt;=D44,"Yes","No"))</f>
        <v/>
      </c>
      <c r="J44" s="11">
        <f>IF(I44="Yes",0,D44-H44)</f>
        <v/>
      </c>
      <c r="K44" s="11">
        <f>IF(H44&lt;=D44*1.5,0,H44-D44)</f>
        <v/>
      </c>
      <c r="L44" s="5" t="n"/>
      <c r="M44" s="4" t="n"/>
      <c r="N44" s="5" t="n"/>
      <c r="O44" s="11">
        <f>IF(A44="","",IF(I44="Yes","Compliant","Non-Compliant"))</f>
        <v/>
      </c>
      <c r="P44" s="5" t="n"/>
      <c r="Q44" s="4" t="n"/>
      <c r="R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11">
        <f>IF(A45="","",E45+F45+(G45*12))</f>
        <v/>
      </c>
      <c r="I45" s="11">
        <f>IF(A45="","",IF(H45&gt;=D45,"Yes","No"))</f>
        <v/>
      </c>
      <c r="J45" s="11">
        <f>IF(I45="Yes",0,D45-H45)</f>
        <v/>
      </c>
      <c r="K45" s="11">
        <f>IF(H45&lt;=D45*1.5,0,H45-D45)</f>
        <v/>
      </c>
      <c r="L45" s="5" t="n"/>
      <c r="M45" s="4" t="n"/>
      <c r="N45" s="5" t="n"/>
      <c r="O45" s="11">
        <f>IF(A45="","",IF(I45="Yes","Compliant","Non-Compliant"))</f>
        <v/>
      </c>
      <c r="P45" s="5" t="n"/>
      <c r="Q45" s="4" t="n"/>
      <c r="R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11">
        <f>IF(A46="","",E46+F46+(G46*12))</f>
        <v/>
      </c>
      <c r="I46" s="11">
        <f>IF(A46="","",IF(H46&gt;=D46,"Yes","No"))</f>
        <v/>
      </c>
      <c r="J46" s="11">
        <f>IF(I46="Yes",0,D46-H46)</f>
        <v/>
      </c>
      <c r="K46" s="11">
        <f>IF(H46&lt;=D46*1.5,0,H46-D46)</f>
        <v/>
      </c>
      <c r="L46" s="5" t="n"/>
      <c r="M46" s="4" t="n"/>
      <c r="N46" s="5" t="n"/>
      <c r="O46" s="11">
        <f>IF(A46="","",IF(I46="Yes","Compliant","Non-Compliant"))</f>
        <v/>
      </c>
      <c r="P46" s="5" t="n"/>
      <c r="Q46" s="4" t="n"/>
      <c r="R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11">
        <f>IF(A47="","",E47+F47+(G47*12))</f>
        <v/>
      </c>
      <c r="I47" s="11">
        <f>IF(A47="","",IF(H47&gt;=D47,"Yes","No"))</f>
        <v/>
      </c>
      <c r="J47" s="11">
        <f>IF(I47="Yes",0,D47-H47)</f>
        <v/>
      </c>
      <c r="K47" s="11">
        <f>IF(H47&lt;=D47*1.5,0,H47-D47)</f>
        <v/>
      </c>
      <c r="L47" s="5" t="n"/>
      <c r="M47" s="4" t="n"/>
      <c r="N47" s="5" t="n"/>
      <c r="O47" s="11">
        <f>IF(A47="","",IF(I47="Yes","Compliant","Non-Compliant"))</f>
        <v/>
      </c>
      <c r="P47" s="5" t="n"/>
      <c r="Q47" s="4" t="n"/>
      <c r="R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11">
        <f>IF(A48="","",E48+F48+(G48*12))</f>
        <v/>
      </c>
      <c r="I48" s="11">
        <f>IF(A48="","",IF(H48&gt;=D48,"Yes","No"))</f>
        <v/>
      </c>
      <c r="J48" s="11">
        <f>IF(I48="Yes",0,D48-H48)</f>
        <v/>
      </c>
      <c r="K48" s="11">
        <f>IF(H48&lt;=D48*1.5,0,H48-D48)</f>
        <v/>
      </c>
      <c r="L48" s="5" t="n"/>
      <c r="M48" s="4" t="n"/>
      <c r="N48" s="5" t="n"/>
      <c r="O48" s="11">
        <f>IF(A48="","",IF(I48="Yes","Compliant","Non-Compliant"))</f>
        <v/>
      </c>
      <c r="P48" s="5" t="n"/>
      <c r="Q48" s="4" t="n"/>
      <c r="R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11">
        <f>IF(A49="","",E49+F49+(G49*12))</f>
        <v/>
      </c>
      <c r="I49" s="11">
        <f>IF(A49="","",IF(H49&gt;=D49,"Yes","No"))</f>
        <v/>
      </c>
      <c r="J49" s="11">
        <f>IF(I49="Yes",0,D49-H49)</f>
        <v/>
      </c>
      <c r="K49" s="11">
        <f>IF(H49&lt;=D49*1.5,0,H49-D49)</f>
        <v/>
      </c>
      <c r="L49" s="5" t="n"/>
      <c r="M49" s="4" t="n"/>
      <c r="N49" s="5" t="n"/>
      <c r="O49" s="11">
        <f>IF(A49="","",IF(I49="Yes","Compliant","Non-Compliant"))</f>
        <v/>
      </c>
      <c r="P49" s="5" t="n"/>
      <c r="Q49" s="4" t="n"/>
      <c r="R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11">
        <f>IF(A50="","",E50+F50+(G50*12))</f>
        <v/>
      </c>
      <c r="I50" s="11">
        <f>IF(A50="","",IF(H50&gt;=D50,"Yes","No"))</f>
        <v/>
      </c>
      <c r="J50" s="11">
        <f>IF(I50="Yes",0,D50-H50)</f>
        <v/>
      </c>
      <c r="K50" s="11">
        <f>IF(H50&lt;=D50*1.5,0,H50-D50)</f>
        <v/>
      </c>
      <c r="L50" s="5" t="n"/>
      <c r="M50" s="4" t="n"/>
      <c r="N50" s="5" t="n"/>
      <c r="O50" s="11">
        <f>IF(A50="","",IF(I50="Yes","Compliant","Non-Compliant"))</f>
        <v/>
      </c>
      <c r="P50" s="5" t="n"/>
      <c r="Q50" s="4" t="n"/>
      <c r="R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11">
        <f>IF(A51="","",E51+F51+(G51*12))</f>
        <v/>
      </c>
      <c r="I51" s="11">
        <f>IF(A51="","",IF(H51&gt;=D51,"Yes","No"))</f>
        <v/>
      </c>
      <c r="J51" s="11">
        <f>IF(I51="Yes",0,D51-H51)</f>
        <v/>
      </c>
      <c r="K51" s="11">
        <f>IF(H51&lt;=D51*1.5,0,H51-D51)</f>
        <v/>
      </c>
      <c r="L51" s="5" t="n"/>
      <c r="M51" s="4" t="n"/>
      <c r="N51" s="5" t="n"/>
      <c r="O51" s="11">
        <f>IF(A51="","",IF(I51="Yes","Compliant","Non-Compliant"))</f>
        <v/>
      </c>
      <c r="P51" s="5" t="n"/>
      <c r="Q51" s="4" t="n"/>
      <c r="R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11">
        <f>IF(A52="","",E52+F52+(G52*12))</f>
        <v/>
      </c>
      <c r="I52" s="11">
        <f>IF(A52="","",IF(H52&gt;=D52,"Yes","No"))</f>
        <v/>
      </c>
      <c r="J52" s="11">
        <f>IF(I52="Yes",0,D52-H52)</f>
        <v/>
      </c>
      <c r="K52" s="11">
        <f>IF(H52&lt;=D52*1.5,0,H52-D52)</f>
        <v/>
      </c>
      <c r="L52" s="5" t="n"/>
      <c r="M52" s="4" t="n"/>
      <c r="N52" s="5" t="n"/>
      <c r="O52" s="11">
        <f>IF(A52="","",IF(I52="Yes","Compliant","Non-Compliant"))</f>
        <v/>
      </c>
      <c r="P52" s="5" t="n"/>
      <c r="Q52" s="4" t="n"/>
      <c r="R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11">
        <f>IF(A53="","",E53+F53+(G53*12))</f>
        <v/>
      </c>
      <c r="I53" s="11">
        <f>IF(A53="","",IF(H53&gt;=D53,"Yes","No"))</f>
        <v/>
      </c>
      <c r="J53" s="11">
        <f>IF(I53="Yes",0,D53-H53)</f>
        <v/>
      </c>
      <c r="K53" s="11">
        <f>IF(H53&lt;=D53*1.5,0,H53-D53)</f>
        <v/>
      </c>
      <c r="L53" s="5" t="n"/>
      <c r="M53" s="4" t="n"/>
      <c r="N53" s="5" t="n"/>
      <c r="O53" s="11">
        <f>IF(A53="","",IF(I53="Yes","Compliant","Non-Compliant"))</f>
        <v/>
      </c>
      <c r="P53" s="5" t="n"/>
      <c r="Q53" s="4" t="n"/>
      <c r="R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11">
        <f>IF(A54="","",E54+F54+(G54*12))</f>
        <v/>
      </c>
      <c r="I54" s="11">
        <f>IF(A54="","",IF(H54&gt;=D54,"Yes","No"))</f>
        <v/>
      </c>
      <c r="J54" s="11">
        <f>IF(I54="Yes",0,D54-H54)</f>
        <v/>
      </c>
      <c r="K54" s="11">
        <f>IF(H54&lt;=D54*1.5,0,H54-D54)</f>
        <v/>
      </c>
      <c r="L54" s="5" t="n"/>
      <c r="M54" s="4" t="n"/>
      <c r="N54" s="5" t="n"/>
      <c r="O54" s="11">
        <f>IF(A54="","",IF(I54="Yes","Compliant","Non-Compliant"))</f>
        <v/>
      </c>
      <c r="P54" s="5" t="n"/>
      <c r="Q54" s="4" t="n"/>
      <c r="R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11">
        <f>IF(A55="","",E55+F55+(G55*12))</f>
        <v/>
      </c>
      <c r="I55" s="11">
        <f>IF(A55="","",IF(H55&gt;=D55,"Yes","No"))</f>
        <v/>
      </c>
      <c r="J55" s="11">
        <f>IF(I55="Yes",0,D55-H55)</f>
        <v/>
      </c>
      <c r="K55" s="11">
        <f>IF(H55&lt;=D55*1.5,0,H55-D55)</f>
        <v/>
      </c>
      <c r="L55" s="5" t="n"/>
      <c r="M55" s="4" t="n"/>
      <c r="N55" s="5" t="n"/>
      <c r="O55" s="11">
        <f>IF(A55="","",IF(I55="Yes","Compliant","Non-Compliant"))</f>
        <v/>
      </c>
      <c r="P55" s="5" t="n"/>
      <c r="Q55" s="4" t="n"/>
      <c r="R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11">
        <f>IF(A56="","",E56+F56+(G56*12))</f>
        <v/>
      </c>
      <c r="I56" s="11">
        <f>IF(A56="","",IF(H56&gt;=D56,"Yes","No"))</f>
        <v/>
      </c>
      <c r="J56" s="11">
        <f>IF(I56="Yes",0,D56-H56)</f>
        <v/>
      </c>
      <c r="K56" s="11">
        <f>IF(H56&lt;=D56*1.5,0,H56-D56)</f>
        <v/>
      </c>
      <c r="L56" s="5" t="n"/>
      <c r="M56" s="4" t="n"/>
      <c r="N56" s="5" t="n"/>
      <c r="O56" s="11">
        <f>IF(A56="","",IF(I56="Yes","Compliant","Non-Compliant"))</f>
        <v/>
      </c>
      <c r="P56" s="5" t="n"/>
      <c r="Q56" s="4" t="n"/>
      <c r="R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11">
        <f>IF(A57="","",E57+F57+(G57*12))</f>
        <v/>
      </c>
      <c r="I57" s="11">
        <f>IF(A57="","",IF(H57&gt;=D57,"Yes","No"))</f>
        <v/>
      </c>
      <c r="J57" s="11">
        <f>IF(I57="Yes",0,D57-H57)</f>
        <v/>
      </c>
      <c r="K57" s="11">
        <f>IF(H57&lt;=D57*1.5,0,H57-D57)</f>
        <v/>
      </c>
      <c r="L57" s="5" t="n"/>
      <c r="M57" s="4" t="n"/>
      <c r="N57" s="5" t="n"/>
      <c r="O57" s="11">
        <f>IF(A57="","",IF(I57="Yes","Compliant","Non-Compliant"))</f>
        <v/>
      </c>
      <c r="P57" s="5" t="n"/>
      <c r="Q57" s="4" t="n"/>
      <c r="R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11">
        <f>IF(A58="","",E58+F58+(G58*12))</f>
        <v/>
      </c>
      <c r="I58" s="11">
        <f>IF(A58="","",IF(H58&gt;=D58,"Yes","No"))</f>
        <v/>
      </c>
      <c r="J58" s="11">
        <f>IF(I58="Yes",0,D58-H58)</f>
        <v/>
      </c>
      <c r="K58" s="11">
        <f>IF(H58&lt;=D58*1.5,0,H58-D58)</f>
        <v/>
      </c>
      <c r="L58" s="5" t="n"/>
      <c r="M58" s="4" t="n"/>
      <c r="N58" s="5" t="n"/>
      <c r="O58" s="11">
        <f>IF(A58="","",IF(I58="Yes","Compliant","Non-Compliant"))</f>
        <v/>
      </c>
      <c r="P58" s="5" t="n"/>
      <c r="Q58" s="4" t="n"/>
      <c r="R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11">
        <f>IF(A59="","",E59+F59+(G59*12))</f>
        <v/>
      </c>
      <c r="I59" s="11">
        <f>IF(A59="","",IF(H59&gt;=D59,"Yes","No"))</f>
        <v/>
      </c>
      <c r="J59" s="11">
        <f>IF(I59="Yes",0,D59-H59)</f>
        <v/>
      </c>
      <c r="K59" s="11">
        <f>IF(H59&lt;=D59*1.5,0,H59-D59)</f>
        <v/>
      </c>
      <c r="L59" s="5" t="n"/>
      <c r="M59" s="4" t="n"/>
      <c r="N59" s="5" t="n"/>
      <c r="O59" s="11">
        <f>IF(A59="","",IF(I59="Yes","Compliant","Non-Compliant"))</f>
        <v/>
      </c>
      <c r="P59" s="5" t="n"/>
      <c r="Q59" s="4" t="n"/>
      <c r="R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11">
        <f>IF(A60="","",E60+F60+(G60*12))</f>
        <v/>
      </c>
      <c r="I60" s="11">
        <f>IF(A60="","",IF(H60&gt;=D60,"Yes","No"))</f>
        <v/>
      </c>
      <c r="J60" s="11">
        <f>IF(I60="Yes",0,D60-H60)</f>
        <v/>
      </c>
      <c r="K60" s="11">
        <f>IF(H60&lt;=D60*1.5,0,H60-D60)</f>
        <v/>
      </c>
      <c r="L60" s="5" t="n"/>
      <c r="M60" s="4" t="n"/>
      <c r="N60" s="5" t="n"/>
      <c r="O60" s="11">
        <f>IF(A60="","",IF(I60="Yes","Compliant","Non-Compliant"))</f>
        <v/>
      </c>
      <c r="P60" s="5" t="n"/>
      <c r="Q60" s="4" t="n"/>
      <c r="R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11">
        <f>IF(A61="","",E61+F61+(G61*12))</f>
        <v/>
      </c>
      <c r="I61" s="11">
        <f>IF(A61="","",IF(H61&gt;=D61,"Yes","No"))</f>
        <v/>
      </c>
      <c r="J61" s="11">
        <f>IF(I61="Yes",0,D61-H61)</f>
        <v/>
      </c>
      <c r="K61" s="11">
        <f>IF(H61&lt;=D61*1.5,0,H61-D61)</f>
        <v/>
      </c>
      <c r="L61" s="5" t="n"/>
      <c r="M61" s="4" t="n"/>
      <c r="N61" s="5" t="n"/>
      <c r="O61" s="11">
        <f>IF(A61="","",IF(I61="Yes","Compliant","Non-Compliant"))</f>
        <v/>
      </c>
      <c r="P61" s="5" t="n"/>
      <c r="Q61" s="4" t="n"/>
      <c r="R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11">
        <f>IF(A62="","",E62+F62+(G62*12))</f>
        <v/>
      </c>
      <c r="I62" s="11">
        <f>IF(A62="","",IF(H62&gt;=D62,"Yes","No"))</f>
        <v/>
      </c>
      <c r="J62" s="11">
        <f>IF(I62="Yes",0,D62-H62)</f>
        <v/>
      </c>
      <c r="K62" s="11">
        <f>IF(H62&lt;=D62*1.5,0,H62-D62)</f>
        <v/>
      </c>
      <c r="L62" s="5" t="n"/>
      <c r="M62" s="4" t="n"/>
      <c r="N62" s="5" t="n"/>
      <c r="O62" s="11">
        <f>IF(A62="","",IF(I62="Yes","Compliant","Non-Compliant"))</f>
        <v/>
      </c>
      <c r="P62" s="5" t="n"/>
      <c r="Q62" s="4" t="n"/>
      <c r="R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11">
        <f>IF(A63="","",E63+F63+(G63*12))</f>
        <v/>
      </c>
      <c r="I63" s="11">
        <f>IF(A63="","",IF(H63&gt;=D63,"Yes","No"))</f>
        <v/>
      </c>
      <c r="J63" s="11">
        <f>IF(I63="Yes",0,D63-H63)</f>
        <v/>
      </c>
      <c r="K63" s="11">
        <f>IF(H63&lt;=D63*1.5,0,H63-D63)</f>
        <v/>
      </c>
      <c r="L63" s="5" t="n"/>
      <c r="M63" s="4" t="n"/>
      <c r="N63" s="5" t="n"/>
      <c r="O63" s="11">
        <f>IF(A63="","",IF(I63="Yes","Compliant","Non-Compliant"))</f>
        <v/>
      </c>
      <c r="P63" s="5" t="n"/>
      <c r="Q63" s="4" t="n"/>
      <c r="R63" s="5" t="n"/>
    </row>
    <row r="64">
      <c r="A64" s="5" t="n"/>
      <c r="B64" s="5" t="n"/>
      <c r="C64" s="5" t="n"/>
      <c r="D64" s="5" t="n"/>
      <c r="E64" s="5" t="n"/>
      <c r="F64" s="5" t="n"/>
      <c r="G64" s="5" t="n"/>
      <c r="H64" s="11">
        <f>IF(A64="","",E64+F64+(G64*12))</f>
        <v/>
      </c>
      <c r="I64" s="11">
        <f>IF(A64="","",IF(H64&gt;=D64,"Yes","No"))</f>
        <v/>
      </c>
      <c r="J64" s="11">
        <f>IF(I64="Yes",0,D64-H64)</f>
        <v/>
      </c>
      <c r="K64" s="11">
        <f>IF(H64&lt;=D64*1.5,0,H64-D64)</f>
        <v/>
      </c>
      <c r="L64" s="5" t="n"/>
      <c r="M64" s="4" t="n"/>
      <c r="N64" s="5" t="n"/>
      <c r="O64" s="11">
        <f>IF(A64="","",IF(I64="Yes","Compliant","Non-Compliant"))</f>
        <v/>
      </c>
      <c r="P64" s="5" t="n"/>
      <c r="Q64" s="4" t="n"/>
      <c r="R64" s="5" t="n"/>
    </row>
    <row r="65">
      <c r="A65" s="5" t="n"/>
      <c r="B65" s="5" t="n"/>
      <c r="C65" s="5" t="n"/>
      <c r="D65" s="5" t="n"/>
      <c r="E65" s="5" t="n"/>
      <c r="F65" s="5" t="n"/>
      <c r="G65" s="5" t="n"/>
      <c r="H65" s="11">
        <f>IF(A65="","",E65+F65+(G65*12))</f>
        <v/>
      </c>
      <c r="I65" s="11">
        <f>IF(A65="","",IF(H65&gt;=D65,"Yes","No"))</f>
        <v/>
      </c>
      <c r="J65" s="11">
        <f>IF(I65="Yes",0,D65-H65)</f>
        <v/>
      </c>
      <c r="K65" s="11">
        <f>IF(H65&lt;=D65*1.5,0,H65-D65)</f>
        <v/>
      </c>
      <c r="L65" s="5" t="n"/>
      <c r="M65" s="4" t="n"/>
      <c r="N65" s="5" t="n"/>
      <c r="O65" s="11">
        <f>IF(A65="","",IF(I65="Yes","Compliant","Non-Compliant"))</f>
        <v/>
      </c>
      <c r="P65" s="5" t="n"/>
      <c r="Q65" s="4" t="n"/>
      <c r="R65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11">
        <f>IF(A66="","",E66+F66+(G66*12))</f>
        <v/>
      </c>
      <c r="I66" s="11">
        <f>IF(A66="","",IF(H66&gt;=D66,"Yes","No"))</f>
        <v/>
      </c>
      <c r="J66" s="11">
        <f>IF(I66="Yes",0,D66-H66)</f>
        <v/>
      </c>
      <c r="K66" s="11">
        <f>IF(H66&lt;=D66*1.5,0,H66-D66)</f>
        <v/>
      </c>
      <c r="L66" s="5" t="n"/>
      <c r="M66" s="4" t="n"/>
      <c r="N66" s="5" t="n"/>
      <c r="O66" s="11">
        <f>IF(A66="","",IF(I66="Yes","Compliant","Non-Compliant"))</f>
        <v/>
      </c>
      <c r="P66" s="5" t="n"/>
      <c r="Q66" s="4" t="n"/>
      <c r="R66" s="5" t="n"/>
    </row>
    <row r="67">
      <c r="A67" s="5" t="n"/>
      <c r="B67" s="5" t="n"/>
      <c r="C67" s="5" t="n"/>
      <c r="D67" s="5" t="n"/>
      <c r="E67" s="5" t="n"/>
      <c r="F67" s="5" t="n"/>
      <c r="G67" s="5" t="n"/>
      <c r="H67" s="11">
        <f>IF(A67="","",E67+F67+(G67*12))</f>
        <v/>
      </c>
      <c r="I67" s="11">
        <f>IF(A67="","",IF(H67&gt;=D67,"Yes","No"))</f>
        <v/>
      </c>
      <c r="J67" s="11">
        <f>IF(I67="Yes",0,D67-H67)</f>
        <v/>
      </c>
      <c r="K67" s="11">
        <f>IF(H67&lt;=D67*1.5,0,H67-D67)</f>
        <v/>
      </c>
      <c r="L67" s="5" t="n"/>
      <c r="M67" s="4" t="n"/>
      <c r="N67" s="5" t="n"/>
      <c r="O67" s="11">
        <f>IF(A67="","",IF(I67="Yes","Compliant","Non-Compliant"))</f>
        <v/>
      </c>
      <c r="P67" s="5" t="n"/>
      <c r="Q67" s="4" t="n"/>
      <c r="R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11">
        <f>IF(A68="","",E68+F68+(G68*12))</f>
        <v/>
      </c>
      <c r="I68" s="11">
        <f>IF(A68="","",IF(H68&gt;=D68,"Yes","No"))</f>
        <v/>
      </c>
      <c r="J68" s="11">
        <f>IF(I68="Yes",0,D68-H68)</f>
        <v/>
      </c>
      <c r="K68" s="11">
        <f>IF(H68&lt;=D68*1.5,0,H68-D68)</f>
        <v/>
      </c>
      <c r="L68" s="5" t="n"/>
      <c r="M68" s="4" t="n"/>
      <c r="N68" s="5" t="n"/>
      <c r="O68" s="11">
        <f>IF(A68="","",IF(I68="Yes","Compliant","Non-Compliant"))</f>
        <v/>
      </c>
      <c r="P68" s="5" t="n"/>
      <c r="Q68" s="4" t="n"/>
      <c r="R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11">
        <f>IF(A69="","",E69+F69+(G69*12))</f>
        <v/>
      </c>
      <c r="I69" s="11">
        <f>IF(A69="","",IF(H69&gt;=D69,"Yes","No"))</f>
        <v/>
      </c>
      <c r="J69" s="11">
        <f>IF(I69="Yes",0,D69-H69)</f>
        <v/>
      </c>
      <c r="K69" s="11">
        <f>IF(H69&lt;=D69*1.5,0,H69-D69)</f>
        <v/>
      </c>
      <c r="L69" s="5" t="n"/>
      <c r="M69" s="4" t="n"/>
      <c r="N69" s="5" t="n"/>
      <c r="O69" s="11">
        <f>IF(A69="","",IF(I69="Yes","Compliant","Non-Compliant"))</f>
        <v/>
      </c>
      <c r="P69" s="5" t="n"/>
      <c r="Q69" s="4" t="n"/>
      <c r="R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11">
        <f>IF(A70="","",E70+F70+(G70*12))</f>
        <v/>
      </c>
      <c r="I70" s="11">
        <f>IF(A70="","",IF(H70&gt;=D70,"Yes","No"))</f>
        <v/>
      </c>
      <c r="J70" s="11">
        <f>IF(I70="Yes",0,D70-H70)</f>
        <v/>
      </c>
      <c r="K70" s="11">
        <f>IF(H70&lt;=D70*1.5,0,H70-D70)</f>
        <v/>
      </c>
      <c r="L70" s="5" t="n"/>
      <c r="M70" s="4" t="n"/>
      <c r="N70" s="5" t="n"/>
      <c r="O70" s="11">
        <f>IF(A70="","",IF(I70="Yes","Compliant","Non-Compliant"))</f>
        <v/>
      </c>
      <c r="P70" s="5" t="n"/>
      <c r="Q70" s="4" t="n"/>
      <c r="R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11">
        <f>IF(A71="","",E71+F71+(G71*12))</f>
        <v/>
      </c>
      <c r="I71" s="11">
        <f>IF(A71="","",IF(H71&gt;=D71,"Yes","No"))</f>
        <v/>
      </c>
      <c r="J71" s="11">
        <f>IF(I71="Yes",0,D71-H71)</f>
        <v/>
      </c>
      <c r="K71" s="11">
        <f>IF(H71&lt;=D71*1.5,0,H71-D71)</f>
        <v/>
      </c>
      <c r="L71" s="5" t="n"/>
      <c r="M71" s="4" t="n"/>
      <c r="N71" s="5" t="n"/>
      <c r="O71" s="11">
        <f>IF(A71="","",IF(I71="Yes","Compliant","Non-Compliant"))</f>
        <v/>
      </c>
      <c r="P71" s="5" t="n"/>
      <c r="Q71" s="4" t="n"/>
      <c r="R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11">
        <f>IF(A72="","",E72+F72+(G72*12))</f>
        <v/>
      </c>
      <c r="I72" s="11">
        <f>IF(A72="","",IF(H72&gt;=D72,"Yes","No"))</f>
        <v/>
      </c>
      <c r="J72" s="11">
        <f>IF(I72="Yes",0,D72-H72)</f>
        <v/>
      </c>
      <c r="K72" s="11">
        <f>IF(H72&lt;=D72*1.5,0,H72-D72)</f>
        <v/>
      </c>
      <c r="L72" s="5" t="n"/>
      <c r="M72" s="4" t="n"/>
      <c r="N72" s="5" t="n"/>
      <c r="O72" s="11">
        <f>IF(A72="","",IF(I72="Yes","Compliant","Non-Compliant"))</f>
        <v/>
      </c>
      <c r="P72" s="5" t="n"/>
      <c r="Q72" s="4" t="n"/>
      <c r="R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11">
        <f>IF(A73="","",E73+F73+(G73*12))</f>
        <v/>
      </c>
      <c r="I73" s="11">
        <f>IF(A73="","",IF(H73&gt;=D73,"Yes","No"))</f>
        <v/>
      </c>
      <c r="J73" s="11">
        <f>IF(I73="Yes",0,D73-H73)</f>
        <v/>
      </c>
      <c r="K73" s="11">
        <f>IF(H73&lt;=D73*1.5,0,H73-D73)</f>
        <v/>
      </c>
      <c r="L73" s="5" t="n"/>
      <c r="M73" s="4" t="n"/>
      <c r="N73" s="5" t="n"/>
      <c r="O73" s="11">
        <f>IF(A73="","",IF(I73="Yes","Compliant","Non-Compliant"))</f>
        <v/>
      </c>
      <c r="P73" s="5" t="n"/>
      <c r="Q73" s="4" t="n"/>
      <c r="R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11">
        <f>IF(A74="","",E74+F74+(G74*12))</f>
        <v/>
      </c>
      <c r="I74" s="11">
        <f>IF(A74="","",IF(H74&gt;=D74,"Yes","No"))</f>
        <v/>
      </c>
      <c r="J74" s="11">
        <f>IF(I74="Yes",0,D74-H74)</f>
        <v/>
      </c>
      <c r="K74" s="11">
        <f>IF(H74&lt;=D74*1.5,0,H74-D74)</f>
        <v/>
      </c>
      <c r="L74" s="5" t="n"/>
      <c r="M74" s="4" t="n"/>
      <c r="N74" s="5" t="n"/>
      <c r="O74" s="11">
        <f>IF(A74="","",IF(I74="Yes","Compliant","Non-Compliant"))</f>
        <v/>
      </c>
      <c r="P74" s="5" t="n"/>
      <c r="Q74" s="4" t="n"/>
      <c r="R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11">
        <f>IF(A75="","",E75+F75+(G75*12))</f>
        <v/>
      </c>
      <c r="I75" s="11">
        <f>IF(A75="","",IF(H75&gt;=D75,"Yes","No"))</f>
        <v/>
      </c>
      <c r="J75" s="11">
        <f>IF(I75="Yes",0,D75-H75)</f>
        <v/>
      </c>
      <c r="K75" s="11">
        <f>IF(H75&lt;=D75*1.5,0,H75-D75)</f>
        <v/>
      </c>
      <c r="L75" s="5" t="n"/>
      <c r="M75" s="4" t="n"/>
      <c r="N75" s="5" t="n"/>
      <c r="O75" s="11">
        <f>IF(A75="","",IF(I75="Yes","Compliant","Non-Compliant"))</f>
        <v/>
      </c>
      <c r="P75" s="5" t="n"/>
      <c r="Q75" s="4" t="n"/>
      <c r="R75" s="5" t="n"/>
    </row>
    <row r="76">
      <c r="A76" s="5" t="n"/>
      <c r="B76" s="5" t="n"/>
      <c r="C76" s="5" t="n"/>
      <c r="D76" s="5" t="n"/>
      <c r="E76" s="5" t="n"/>
      <c r="F76" s="5" t="n"/>
      <c r="G76" s="5" t="n"/>
      <c r="H76" s="11">
        <f>IF(A76="","",E76+F76+(G76*12))</f>
        <v/>
      </c>
      <c r="I76" s="11">
        <f>IF(A76="","",IF(H76&gt;=D76,"Yes","No"))</f>
        <v/>
      </c>
      <c r="J76" s="11">
        <f>IF(I76="Yes",0,D76-H76)</f>
        <v/>
      </c>
      <c r="K76" s="11">
        <f>IF(H76&lt;=D76*1.5,0,H76-D76)</f>
        <v/>
      </c>
      <c r="L76" s="5" t="n"/>
      <c r="M76" s="4" t="n"/>
      <c r="N76" s="5" t="n"/>
      <c r="O76" s="11">
        <f>IF(A76="","",IF(I76="Yes","Compliant","Non-Compliant"))</f>
        <v/>
      </c>
      <c r="P76" s="5" t="n"/>
      <c r="Q76" s="4" t="n"/>
      <c r="R76" s="5" t="n"/>
    </row>
    <row r="77">
      <c r="A77" s="5" t="n"/>
      <c r="B77" s="5" t="n"/>
      <c r="C77" s="5" t="n"/>
      <c r="D77" s="5" t="n"/>
      <c r="E77" s="5" t="n"/>
      <c r="F77" s="5" t="n"/>
      <c r="G77" s="5" t="n"/>
      <c r="H77" s="11">
        <f>IF(A77="","",E77+F77+(G77*12))</f>
        <v/>
      </c>
      <c r="I77" s="11">
        <f>IF(A77="","",IF(H77&gt;=D77,"Yes","No"))</f>
        <v/>
      </c>
      <c r="J77" s="11">
        <f>IF(I77="Yes",0,D77-H77)</f>
        <v/>
      </c>
      <c r="K77" s="11">
        <f>IF(H77&lt;=D77*1.5,0,H77-D77)</f>
        <v/>
      </c>
      <c r="L77" s="5" t="n"/>
      <c r="M77" s="4" t="n"/>
      <c r="N77" s="5" t="n"/>
      <c r="O77" s="11">
        <f>IF(A77="","",IF(I77="Yes","Compliant","Non-Compliant"))</f>
        <v/>
      </c>
      <c r="P77" s="5" t="n"/>
      <c r="Q77" s="4" t="n"/>
      <c r="R77" s="5" t="n"/>
    </row>
    <row r="78">
      <c r="A78" s="5" t="n"/>
      <c r="B78" s="5" t="n"/>
      <c r="C78" s="5" t="n"/>
      <c r="D78" s="5" t="n"/>
      <c r="E78" s="5" t="n"/>
      <c r="F78" s="5" t="n"/>
      <c r="G78" s="5" t="n"/>
      <c r="H78" s="11">
        <f>IF(A78="","",E78+F78+(G78*12))</f>
        <v/>
      </c>
      <c r="I78" s="11">
        <f>IF(A78="","",IF(H78&gt;=D78,"Yes","No"))</f>
        <v/>
      </c>
      <c r="J78" s="11">
        <f>IF(I78="Yes",0,D78-H78)</f>
        <v/>
      </c>
      <c r="K78" s="11">
        <f>IF(H78&lt;=D78*1.5,0,H78-D78)</f>
        <v/>
      </c>
      <c r="L78" s="5" t="n"/>
      <c r="M78" s="4" t="n"/>
      <c r="N78" s="5" t="n"/>
      <c r="O78" s="11">
        <f>IF(A78="","",IF(I78="Yes","Compliant","Non-Compliant"))</f>
        <v/>
      </c>
      <c r="P78" s="5" t="n"/>
      <c r="Q78" s="4" t="n"/>
      <c r="R78" s="5" t="n"/>
    </row>
    <row r="79">
      <c r="A79" s="5" t="n"/>
      <c r="B79" s="5" t="n"/>
      <c r="C79" s="5" t="n"/>
      <c r="D79" s="5" t="n"/>
      <c r="E79" s="5" t="n"/>
      <c r="F79" s="5" t="n"/>
      <c r="G79" s="5" t="n"/>
      <c r="H79" s="11">
        <f>IF(A79="","",E79+F79+(G79*12))</f>
        <v/>
      </c>
      <c r="I79" s="11">
        <f>IF(A79="","",IF(H79&gt;=D79,"Yes","No"))</f>
        <v/>
      </c>
      <c r="J79" s="11">
        <f>IF(I79="Yes",0,D79-H79)</f>
        <v/>
      </c>
      <c r="K79" s="11">
        <f>IF(H79&lt;=D79*1.5,0,H79-D79)</f>
        <v/>
      </c>
      <c r="L79" s="5" t="n"/>
      <c r="M79" s="4" t="n"/>
      <c r="N79" s="5" t="n"/>
      <c r="O79" s="11">
        <f>IF(A79="","",IF(I79="Yes","Compliant","Non-Compliant"))</f>
        <v/>
      </c>
      <c r="P79" s="5" t="n"/>
      <c r="Q79" s="4" t="n"/>
      <c r="R79" s="5" t="n"/>
    </row>
    <row r="80">
      <c r="A80" s="5" t="n"/>
      <c r="B80" s="5" t="n"/>
      <c r="C80" s="5" t="n"/>
      <c r="D80" s="5" t="n"/>
      <c r="E80" s="5" t="n"/>
      <c r="F80" s="5" t="n"/>
      <c r="G80" s="5" t="n"/>
      <c r="H80" s="11">
        <f>IF(A80="","",E80+F80+(G80*12))</f>
        <v/>
      </c>
      <c r="I80" s="11">
        <f>IF(A80="","",IF(H80&gt;=D80,"Yes","No"))</f>
        <v/>
      </c>
      <c r="J80" s="11">
        <f>IF(I80="Yes",0,D80-H80)</f>
        <v/>
      </c>
      <c r="K80" s="11">
        <f>IF(H80&lt;=D80*1.5,0,H80-D80)</f>
        <v/>
      </c>
      <c r="L80" s="5" t="n"/>
      <c r="M80" s="4" t="n"/>
      <c r="N80" s="5" t="n"/>
      <c r="O80" s="11">
        <f>IF(A80="","",IF(I80="Yes","Compliant","Non-Compliant"))</f>
        <v/>
      </c>
      <c r="P80" s="5" t="n"/>
      <c r="Q80" s="4" t="n"/>
      <c r="R80" s="5" t="n"/>
    </row>
    <row r="81">
      <c r="A81" s="5" t="n"/>
      <c r="B81" s="5" t="n"/>
      <c r="C81" s="5" t="n"/>
      <c r="D81" s="5" t="n"/>
      <c r="E81" s="5" t="n"/>
      <c r="F81" s="5" t="n"/>
      <c r="G81" s="5" t="n"/>
      <c r="H81" s="11">
        <f>IF(A81="","",E81+F81+(G81*12))</f>
        <v/>
      </c>
      <c r="I81" s="11">
        <f>IF(A81="","",IF(H81&gt;=D81,"Yes","No"))</f>
        <v/>
      </c>
      <c r="J81" s="11">
        <f>IF(I81="Yes",0,D81-H81)</f>
        <v/>
      </c>
      <c r="K81" s="11">
        <f>IF(H81&lt;=D81*1.5,0,H81-D81)</f>
        <v/>
      </c>
      <c r="L81" s="5" t="n"/>
      <c r="M81" s="4" t="n"/>
      <c r="N81" s="5" t="n"/>
      <c r="O81" s="11">
        <f>IF(A81="","",IF(I81="Yes","Compliant","Non-Compliant"))</f>
        <v/>
      </c>
      <c r="P81" s="5" t="n"/>
      <c r="Q81" s="4" t="n"/>
      <c r="R81" s="5" t="n"/>
    </row>
    <row r="82">
      <c r="A82" s="5" t="n"/>
      <c r="B82" s="5" t="n"/>
      <c r="C82" s="5" t="n"/>
      <c r="D82" s="5" t="n"/>
      <c r="E82" s="5" t="n"/>
      <c r="F82" s="5" t="n"/>
      <c r="G82" s="5" t="n"/>
      <c r="H82" s="11">
        <f>IF(A82="","",E82+F82+(G82*12))</f>
        <v/>
      </c>
      <c r="I82" s="11">
        <f>IF(A82="","",IF(H82&gt;=D82,"Yes","No"))</f>
        <v/>
      </c>
      <c r="J82" s="11">
        <f>IF(I82="Yes",0,D82-H82)</f>
        <v/>
      </c>
      <c r="K82" s="11">
        <f>IF(H82&lt;=D82*1.5,0,H82-D82)</f>
        <v/>
      </c>
      <c r="L82" s="5" t="n"/>
      <c r="M82" s="4" t="n"/>
      <c r="N82" s="5" t="n"/>
      <c r="O82" s="11">
        <f>IF(A82="","",IF(I82="Yes","Compliant","Non-Compliant"))</f>
        <v/>
      </c>
      <c r="P82" s="5" t="n"/>
      <c r="Q82" s="4" t="n"/>
      <c r="R82" s="5" t="n"/>
    </row>
    <row r="83">
      <c r="A83" s="5" t="n"/>
      <c r="B83" s="5" t="n"/>
      <c r="C83" s="5" t="n"/>
      <c r="D83" s="5" t="n"/>
      <c r="E83" s="5" t="n"/>
      <c r="F83" s="5" t="n"/>
      <c r="G83" s="5" t="n"/>
      <c r="H83" s="11">
        <f>IF(A83="","",E83+F83+(G83*12))</f>
        <v/>
      </c>
      <c r="I83" s="11">
        <f>IF(A83="","",IF(H83&gt;=D83,"Yes","No"))</f>
        <v/>
      </c>
      <c r="J83" s="11">
        <f>IF(I83="Yes",0,D83-H83)</f>
        <v/>
      </c>
      <c r="K83" s="11">
        <f>IF(H83&lt;=D83*1.5,0,H83-D83)</f>
        <v/>
      </c>
      <c r="L83" s="5" t="n"/>
      <c r="M83" s="4" t="n"/>
      <c r="N83" s="5" t="n"/>
      <c r="O83" s="11">
        <f>IF(A83="","",IF(I83="Yes","Compliant","Non-Compliant"))</f>
        <v/>
      </c>
      <c r="P83" s="5" t="n"/>
      <c r="Q83" s="4" t="n"/>
      <c r="R83" s="5" t="n"/>
    </row>
    <row r="84">
      <c r="A84" s="5" t="n"/>
      <c r="B84" s="5" t="n"/>
      <c r="C84" s="5" t="n"/>
      <c r="D84" s="5" t="n"/>
      <c r="E84" s="5" t="n"/>
      <c r="F84" s="5" t="n"/>
      <c r="G84" s="5" t="n"/>
      <c r="H84" s="11">
        <f>IF(A84="","",E84+F84+(G84*12))</f>
        <v/>
      </c>
      <c r="I84" s="11">
        <f>IF(A84="","",IF(H84&gt;=D84,"Yes","No"))</f>
        <v/>
      </c>
      <c r="J84" s="11">
        <f>IF(I84="Yes",0,D84-H84)</f>
        <v/>
      </c>
      <c r="K84" s="11">
        <f>IF(H84&lt;=D84*1.5,0,H84-D84)</f>
        <v/>
      </c>
      <c r="L84" s="5" t="n"/>
      <c r="M84" s="4" t="n"/>
      <c r="N84" s="5" t="n"/>
      <c r="O84" s="11">
        <f>IF(A84="","",IF(I84="Yes","Compliant","Non-Compliant"))</f>
        <v/>
      </c>
      <c r="P84" s="5" t="n"/>
      <c r="Q84" s="4" t="n"/>
      <c r="R84" s="5" t="n"/>
    </row>
    <row r="85">
      <c r="A85" s="5" t="n"/>
      <c r="B85" s="5" t="n"/>
      <c r="C85" s="5" t="n"/>
      <c r="D85" s="5" t="n"/>
      <c r="E85" s="5" t="n"/>
      <c r="F85" s="5" t="n"/>
      <c r="G85" s="5" t="n"/>
      <c r="H85" s="11">
        <f>IF(A85="","",E85+F85+(G85*12))</f>
        <v/>
      </c>
      <c r="I85" s="11">
        <f>IF(A85="","",IF(H85&gt;=D85,"Yes","No"))</f>
        <v/>
      </c>
      <c r="J85" s="11">
        <f>IF(I85="Yes",0,D85-H85)</f>
        <v/>
      </c>
      <c r="K85" s="11">
        <f>IF(H85&lt;=D85*1.5,0,H85-D85)</f>
        <v/>
      </c>
      <c r="L85" s="5" t="n"/>
      <c r="M85" s="4" t="n"/>
      <c r="N85" s="5" t="n"/>
      <c r="O85" s="11">
        <f>IF(A85="","",IF(I85="Yes","Compliant","Non-Compliant"))</f>
        <v/>
      </c>
      <c r="P85" s="5" t="n"/>
      <c r="Q85" s="4" t="n"/>
      <c r="R85" s="5" t="n"/>
    </row>
    <row r="86">
      <c r="A86" s="5" t="n"/>
      <c r="B86" s="5" t="n"/>
      <c r="C86" s="5" t="n"/>
      <c r="D86" s="5" t="n"/>
      <c r="E86" s="5" t="n"/>
      <c r="F86" s="5" t="n"/>
      <c r="G86" s="5" t="n"/>
      <c r="H86" s="11">
        <f>IF(A86="","",E86+F86+(G86*12))</f>
        <v/>
      </c>
      <c r="I86" s="11">
        <f>IF(A86="","",IF(H86&gt;=D86,"Yes","No"))</f>
        <v/>
      </c>
      <c r="J86" s="11">
        <f>IF(I86="Yes",0,D86-H86)</f>
        <v/>
      </c>
      <c r="K86" s="11">
        <f>IF(H86&lt;=D86*1.5,0,H86-D86)</f>
        <v/>
      </c>
      <c r="L86" s="5" t="n"/>
      <c r="M86" s="4" t="n"/>
      <c r="N86" s="5" t="n"/>
      <c r="O86" s="11">
        <f>IF(A86="","",IF(I86="Yes","Compliant","Non-Compliant"))</f>
        <v/>
      </c>
      <c r="P86" s="5" t="n"/>
      <c r="Q86" s="4" t="n"/>
      <c r="R86" s="5" t="n"/>
    </row>
    <row r="87">
      <c r="A87" s="5" t="n"/>
      <c r="B87" s="5" t="n"/>
      <c r="C87" s="5" t="n"/>
      <c r="D87" s="5" t="n"/>
      <c r="E87" s="5" t="n"/>
      <c r="F87" s="5" t="n"/>
      <c r="G87" s="5" t="n"/>
      <c r="H87" s="11">
        <f>IF(A87="","",E87+F87+(G87*12))</f>
        <v/>
      </c>
      <c r="I87" s="11">
        <f>IF(A87="","",IF(H87&gt;=D87,"Yes","No"))</f>
        <v/>
      </c>
      <c r="J87" s="11">
        <f>IF(I87="Yes",0,D87-H87)</f>
        <v/>
      </c>
      <c r="K87" s="11">
        <f>IF(H87&lt;=D87*1.5,0,H87-D87)</f>
        <v/>
      </c>
      <c r="L87" s="5" t="n"/>
      <c r="M87" s="4" t="n"/>
      <c r="N87" s="5" t="n"/>
      <c r="O87" s="11">
        <f>IF(A87="","",IF(I87="Yes","Compliant","Non-Compliant"))</f>
        <v/>
      </c>
      <c r="P87" s="5" t="n"/>
      <c r="Q87" s="4" t="n"/>
      <c r="R87" s="5" t="n"/>
    </row>
    <row r="88">
      <c r="A88" s="5" t="n"/>
      <c r="B88" s="5" t="n"/>
      <c r="C88" s="5" t="n"/>
      <c r="D88" s="5" t="n"/>
      <c r="E88" s="5" t="n"/>
      <c r="F88" s="5" t="n"/>
      <c r="G88" s="5" t="n"/>
      <c r="H88" s="11">
        <f>IF(A88="","",E88+F88+(G88*12))</f>
        <v/>
      </c>
      <c r="I88" s="11">
        <f>IF(A88="","",IF(H88&gt;=D88,"Yes","No"))</f>
        <v/>
      </c>
      <c r="J88" s="11">
        <f>IF(I88="Yes",0,D88-H88)</f>
        <v/>
      </c>
      <c r="K88" s="11">
        <f>IF(H88&lt;=D88*1.5,0,H88-D88)</f>
        <v/>
      </c>
      <c r="L88" s="5" t="n"/>
      <c r="M88" s="4" t="n"/>
      <c r="N88" s="5" t="n"/>
      <c r="O88" s="11">
        <f>IF(A88="","",IF(I88="Yes","Compliant","Non-Compliant"))</f>
        <v/>
      </c>
      <c r="P88" s="5" t="n"/>
      <c r="Q88" s="4" t="n"/>
      <c r="R88" s="5" t="n"/>
    </row>
    <row r="89">
      <c r="A89" s="5" t="n"/>
      <c r="B89" s="5" t="n"/>
      <c r="C89" s="5" t="n"/>
      <c r="D89" s="5" t="n"/>
      <c r="E89" s="5" t="n"/>
      <c r="F89" s="5" t="n"/>
      <c r="G89" s="5" t="n"/>
      <c r="H89" s="11">
        <f>IF(A89="","",E89+F89+(G89*12))</f>
        <v/>
      </c>
      <c r="I89" s="11">
        <f>IF(A89="","",IF(H89&gt;=D89,"Yes","No"))</f>
        <v/>
      </c>
      <c r="J89" s="11">
        <f>IF(I89="Yes",0,D89-H89)</f>
        <v/>
      </c>
      <c r="K89" s="11">
        <f>IF(H89&lt;=D89*1.5,0,H89-D89)</f>
        <v/>
      </c>
      <c r="L89" s="5" t="n"/>
      <c r="M89" s="4" t="n"/>
      <c r="N89" s="5" t="n"/>
      <c r="O89" s="11">
        <f>IF(A89="","",IF(I89="Yes","Compliant","Non-Compliant"))</f>
        <v/>
      </c>
      <c r="P89" s="5" t="n"/>
      <c r="Q89" s="4" t="n"/>
      <c r="R89" s="5" t="n"/>
    </row>
    <row r="90">
      <c r="A90" s="5" t="n"/>
      <c r="B90" s="5" t="n"/>
      <c r="C90" s="5" t="n"/>
      <c r="D90" s="5" t="n"/>
      <c r="E90" s="5" t="n"/>
      <c r="F90" s="5" t="n"/>
      <c r="G90" s="5" t="n"/>
      <c r="H90" s="11">
        <f>IF(A90="","",E90+F90+(G90*12))</f>
        <v/>
      </c>
      <c r="I90" s="11">
        <f>IF(A90="","",IF(H90&gt;=D90,"Yes","No"))</f>
        <v/>
      </c>
      <c r="J90" s="11">
        <f>IF(I90="Yes",0,D90-H90)</f>
        <v/>
      </c>
      <c r="K90" s="11">
        <f>IF(H90&lt;=D90*1.5,0,H90-D90)</f>
        <v/>
      </c>
      <c r="L90" s="5" t="n"/>
      <c r="M90" s="4" t="n"/>
      <c r="N90" s="5" t="n"/>
      <c r="O90" s="11">
        <f>IF(A90="","",IF(I90="Yes","Compliant","Non-Compliant"))</f>
        <v/>
      </c>
      <c r="P90" s="5" t="n"/>
      <c r="Q90" s="4" t="n"/>
      <c r="R90" s="5" t="n"/>
    </row>
    <row r="91">
      <c r="A91" s="5" t="n"/>
      <c r="B91" s="5" t="n"/>
      <c r="C91" s="5" t="n"/>
      <c r="D91" s="5" t="n"/>
      <c r="E91" s="5" t="n"/>
      <c r="F91" s="5" t="n"/>
      <c r="G91" s="5" t="n"/>
      <c r="H91" s="11">
        <f>IF(A91="","",E91+F91+(G91*12))</f>
        <v/>
      </c>
      <c r="I91" s="11">
        <f>IF(A91="","",IF(H91&gt;=D91,"Yes","No"))</f>
        <v/>
      </c>
      <c r="J91" s="11">
        <f>IF(I91="Yes",0,D91-H91)</f>
        <v/>
      </c>
      <c r="K91" s="11">
        <f>IF(H91&lt;=D91*1.5,0,H91-D91)</f>
        <v/>
      </c>
      <c r="L91" s="5" t="n"/>
      <c r="M91" s="4" t="n"/>
      <c r="N91" s="5" t="n"/>
      <c r="O91" s="11">
        <f>IF(A91="","",IF(I91="Yes","Compliant","Non-Compliant"))</f>
        <v/>
      </c>
      <c r="P91" s="5" t="n"/>
      <c r="Q91" s="4" t="n"/>
      <c r="R91" s="5" t="n"/>
    </row>
    <row r="92">
      <c r="A92" s="5" t="n"/>
      <c r="B92" s="5" t="n"/>
      <c r="C92" s="5" t="n"/>
      <c r="D92" s="5" t="n"/>
      <c r="E92" s="5" t="n"/>
      <c r="F92" s="5" t="n"/>
      <c r="G92" s="5" t="n"/>
      <c r="H92" s="11">
        <f>IF(A92="","",E92+F92+(G92*12))</f>
        <v/>
      </c>
      <c r="I92" s="11">
        <f>IF(A92="","",IF(H92&gt;=D92,"Yes","No"))</f>
        <v/>
      </c>
      <c r="J92" s="11">
        <f>IF(I92="Yes",0,D92-H92)</f>
        <v/>
      </c>
      <c r="K92" s="11">
        <f>IF(H92&lt;=D92*1.5,0,H92-D92)</f>
        <v/>
      </c>
      <c r="L92" s="5" t="n"/>
      <c r="M92" s="4" t="n"/>
      <c r="N92" s="5" t="n"/>
      <c r="O92" s="11">
        <f>IF(A92="","",IF(I92="Yes","Compliant","Non-Compliant"))</f>
        <v/>
      </c>
      <c r="P92" s="5" t="n"/>
      <c r="Q92" s="4" t="n"/>
      <c r="R92" s="5" t="n"/>
    </row>
    <row r="93">
      <c r="A93" s="5" t="n"/>
      <c r="B93" s="5" t="n"/>
      <c r="C93" s="5" t="n"/>
      <c r="D93" s="5" t="n"/>
      <c r="E93" s="5" t="n"/>
      <c r="F93" s="5" t="n"/>
      <c r="G93" s="5" t="n"/>
      <c r="H93" s="11">
        <f>IF(A93="","",E93+F93+(G93*12))</f>
        <v/>
      </c>
      <c r="I93" s="11">
        <f>IF(A93="","",IF(H93&gt;=D93,"Yes","No"))</f>
        <v/>
      </c>
      <c r="J93" s="11">
        <f>IF(I93="Yes",0,D93-H93)</f>
        <v/>
      </c>
      <c r="K93" s="11">
        <f>IF(H93&lt;=D93*1.5,0,H93-D93)</f>
        <v/>
      </c>
      <c r="L93" s="5" t="n"/>
      <c r="M93" s="4" t="n"/>
      <c r="N93" s="5" t="n"/>
      <c r="O93" s="11">
        <f>IF(A93="","",IF(I93="Yes","Compliant","Non-Compliant"))</f>
        <v/>
      </c>
      <c r="P93" s="5" t="n"/>
      <c r="Q93" s="4" t="n"/>
      <c r="R93" s="5" t="n"/>
    </row>
    <row r="94">
      <c r="A94" s="5" t="n"/>
      <c r="B94" s="5" t="n"/>
      <c r="C94" s="5" t="n"/>
      <c r="D94" s="5" t="n"/>
      <c r="E94" s="5" t="n"/>
      <c r="F94" s="5" t="n"/>
      <c r="G94" s="5" t="n"/>
      <c r="H94" s="11">
        <f>IF(A94="","",E94+F94+(G94*12))</f>
        <v/>
      </c>
      <c r="I94" s="11">
        <f>IF(A94="","",IF(H94&gt;=D94,"Yes","No"))</f>
        <v/>
      </c>
      <c r="J94" s="11">
        <f>IF(I94="Yes",0,D94-H94)</f>
        <v/>
      </c>
      <c r="K94" s="11">
        <f>IF(H94&lt;=D94*1.5,0,H94-D94)</f>
        <v/>
      </c>
      <c r="L94" s="5" t="n"/>
      <c r="M94" s="4" t="n"/>
      <c r="N94" s="5" t="n"/>
      <c r="O94" s="11">
        <f>IF(A94="","",IF(I94="Yes","Compliant","Non-Compliant"))</f>
        <v/>
      </c>
      <c r="P94" s="5" t="n"/>
      <c r="Q94" s="4" t="n"/>
      <c r="R94" s="5" t="n"/>
    </row>
    <row r="95">
      <c r="A95" s="5" t="n"/>
      <c r="B95" s="5" t="n"/>
      <c r="C95" s="5" t="n"/>
      <c r="D95" s="5" t="n"/>
      <c r="E95" s="5" t="n"/>
      <c r="F95" s="5" t="n"/>
      <c r="G95" s="5" t="n"/>
      <c r="H95" s="11">
        <f>IF(A95="","",E95+F95+(G95*12))</f>
        <v/>
      </c>
      <c r="I95" s="11">
        <f>IF(A95="","",IF(H95&gt;=D95,"Yes","No"))</f>
        <v/>
      </c>
      <c r="J95" s="11">
        <f>IF(I95="Yes",0,D95-H95)</f>
        <v/>
      </c>
      <c r="K95" s="11">
        <f>IF(H95&lt;=D95*1.5,0,H95-D95)</f>
        <v/>
      </c>
      <c r="L95" s="5" t="n"/>
      <c r="M95" s="4" t="n"/>
      <c r="N95" s="5" t="n"/>
      <c r="O95" s="11">
        <f>IF(A95="","",IF(I95="Yes","Compliant","Non-Compliant"))</f>
        <v/>
      </c>
      <c r="P95" s="5" t="n"/>
      <c r="Q95" s="4" t="n"/>
      <c r="R95" s="5" t="n"/>
    </row>
    <row r="96">
      <c r="A96" s="5" t="n"/>
      <c r="B96" s="5" t="n"/>
      <c r="C96" s="5" t="n"/>
      <c r="D96" s="5" t="n"/>
      <c r="E96" s="5" t="n"/>
      <c r="F96" s="5" t="n"/>
      <c r="G96" s="5" t="n"/>
      <c r="H96" s="11">
        <f>IF(A96="","",E96+F96+(G96*12))</f>
        <v/>
      </c>
      <c r="I96" s="11">
        <f>IF(A96="","",IF(H96&gt;=D96,"Yes","No"))</f>
        <v/>
      </c>
      <c r="J96" s="11">
        <f>IF(I96="Yes",0,D96-H96)</f>
        <v/>
      </c>
      <c r="K96" s="11">
        <f>IF(H96&lt;=D96*1.5,0,H96-D96)</f>
        <v/>
      </c>
      <c r="L96" s="5" t="n"/>
      <c r="M96" s="4" t="n"/>
      <c r="N96" s="5" t="n"/>
      <c r="O96" s="11">
        <f>IF(A96="","",IF(I96="Yes","Compliant","Non-Compliant"))</f>
        <v/>
      </c>
      <c r="P96" s="5" t="n"/>
      <c r="Q96" s="4" t="n"/>
      <c r="R96" s="5" t="n"/>
    </row>
    <row r="97">
      <c r="A97" s="5" t="n"/>
      <c r="B97" s="5" t="n"/>
      <c r="C97" s="5" t="n"/>
      <c r="D97" s="5" t="n"/>
      <c r="E97" s="5" t="n"/>
      <c r="F97" s="5" t="n"/>
      <c r="G97" s="5" t="n"/>
      <c r="H97" s="11">
        <f>IF(A97="","",E97+F97+(G97*12))</f>
        <v/>
      </c>
      <c r="I97" s="11">
        <f>IF(A97="","",IF(H97&gt;=D97,"Yes","No"))</f>
        <v/>
      </c>
      <c r="J97" s="11">
        <f>IF(I97="Yes",0,D97-H97)</f>
        <v/>
      </c>
      <c r="K97" s="11">
        <f>IF(H97&lt;=D97*1.5,0,H97-D97)</f>
        <v/>
      </c>
      <c r="L97" s="5" t="n"/>
      <c r="M97" s="4" t="n"/>
      <c r="N97" s="5" t="n"/>
      <c r="O97" s="11">
        <f>IF(A97="","",IF(I97="Yes","Compliant","Non-Compliant"))</f>
        <v/>
      </c>
      <c r="P97" s="5" t="n"/>
      <c r="Q97" s="4" t="n"/>
      <c r="R97" s="5" t="n"/>
    </row>
    <row r="98">
      <c r="A98" s="5" t="n"/>
      <c r="B98" s="5" t="n"/>
      <c r="C98" s="5" t="n"/>
      <c r="D98" s="5" t="n"/>
      <c r="E98" s="5" t="n"/>
      <c r="F98" s="5" t="n"/>
      <c r="G98" s="5" t="n"/>
      <c r="H98" s="11">
        <f>IF(A98="","",E98+F98+(G98*12))</f>
        <v/>
      </c>
      <c r="I98" s="11">
        <f>IF(A98="","",IF(H98&gt;=D98,"Yes","No"))</f>
        <v/>
      </c>
      <c r="J98" s="11">
        <f>IF(I98="Yes",0,D98-H98)</f>
        <v/>
      </c>
      <c r="K98" s="11">
        <f>IF(H98&lt;=D98*1.5,0,H98-D98)</f>
        <v/>
      </c>
      <c r="L98" s="5" t="n"/>
      <c r="M98" s="4" t="n"/>
      <c r="N98" s="5" t="n"/>
      <c r="O98" s="11">
        <f>IF(A98="","",IF(I98="Yes","Compliant","Non-Compliant"))</f>
        <v/>
      </c>
      <c r="P98" s="5" t="n"/>
      <c r="Q98" s="4" t="n"/>
      <c r="R98" s="5" t="n"/>
    </row>
    <row r="99">
      <c r="A99" s="5" t="n"/>
      <c r="B99" s="5" t="n"/>
      <c r="C99" s="5" t="n"/>
      <c r="D99" s="5" t="n"/>
      <c r="E99" s="5" t="n"/>
      <c r="F99" s="5" t="n"/>
      <c r="G99" s="5" t="n"/>
      <c r="H99" s="11">
        <f>IF(A99="","",E99+F99+(G99*12))</f>
        <v/>
      </c>
      <c r="I99" s="11">
        <f>IF(A99="","",IF(H99&gt;=D99,"Yes","No"))</f>
        <v/>
      </c>
      <c r="J99" s="11">
        <f>IF(I99="Yes",0,D99-H99)</f>
        <v/>
      </c>
      <c r="K99" s="11">
        <f>IF(H99&lt;=D99*1.5,0,H99-D99)</f>
        <v/>
      </c>
      <c r="L99" s="5" t="n"/>
      <c r="M99" s="4" t="n"/>
      <c r="N99" s="5" t="n"/>
      <c r="O99" s="11">
        <f>IF(A99="","",IF(I99="Yes","Compliant","Non-Compliant"))</f>
        <v/>
      </c>
      <c r="P99" s="5" t="n"/>
      <c r="Q99" s="4" t="n"/>
      <c r="R99" s="5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11">
        <f>IF(A100="","",E100+F100+(G100*12))</f>
        <v/>
      </c>
      <c r="I100" s="11">
        <f>IF(A100="","",IF(H100&gt;=D100,"Yes","No"))</f>
        <v/>
      </c>
      <c r="J100" s="11">
        <f>IF(I100="Yes",0,D100-H100)</f>
        <v/>
      </c>
      <c r="K100" s="11">
        <f>IF(H100&lt;=D100*1.5,0,H100-D100)</f>
        <v/>
      </c>
      <c r="L100" s="5" t="n"/>
      <c r="M100" s="4" t="n"/>
      <c r="N100" s="5" t="n"/>
      <c r="O100" s="11">
        <f>IF(A100="","",IF(I100="Yes","Compliant","Non-Compliant"))</f>
        <v/>
      </c>
      <c r="P100" s="5" t="n"/>
      <c r="Q100" s="4" t="n"/>
      <c r="R100" s="5" t="n"/>
    </row>
    <row r="105">
      <c r="A105" s="6" t="inlineStr">
        <is>
          <t>QUICK REFERENCE - STANDARD RETENTION PERIODS</t>
        </is>
      </c>
    </row>
    <row r="107">
      <c r="A107" s="8" t="inlineStr">
        <is>
          <t>Log Category</t>
        </is>
      </c>
      <c r="B107" s="8" t="inlineStr">
        <is>
          <t>Minimum Retention</t>
        </is>
      </c>
      <c r="C107" s="8" t="inlineStr">
        <is>
          <t>Regulatory Notes</t>
        </is>
      </c>
    </row>
    <row r="108">
      <c r="A108" s="2" t="inlineStr">
        <is>
          <t>Security Events</t>
        </is>
      </c>
      <c r="B108" t="inlineStr">
        <is>
          <t>12 months</t>
        </is>
      </c>
      <c r="C108" t="inlineStr">
        <is>
          <t>ISO 27001, most regulations</t>
        </is>
      </c>
    </row>
    <row r="109">
      <c r="A109" s="2" t="inlineStr">
        <is>
          <t>Authentication</t>
        </is>
      </c>
      <c r="B109" t="inlineStr">
        <is>
          <t>12 months</t>
        </is>
      </c>
      <c r="C109" t="inlineStr">
        <is>
          <t>PCI DSS v4.0.1: 12 months minimum</t>
        </is>
      </c>
    </row>
    <row r="110">
      <c r="A110" s="2" t="inlineStr">
        <is>
          <t>Administrative Actions</t>
        </is>
      </c>
      <c r="B110" t="inlineStr">
        <is>
          <t>12 months</t>
        </is>
      </c>
      <c r="C110" t="inlineStr">
        <is>
          <t>SOX: audit trail required</t>
        </is>
      </c>
    </row>
    <row r="111">
      <c r="A111" s="2" t="inlineStr">
        <is>
          <t>Financial Transactions</t>
        </is>
      </c>
      <c r="B111" t="inlineStr">
        <is>
          <t>7 years</t>
        </is>
      </c>
      <c r="C111" t="inlineStr">
        <is>
          <t>SOX compliance</t>
        </is>
      </c>
    </row>
    <row r="112">
      <c r="A112" s="2" t="inlineStr">
        <is>
          <t>Healthcare Access</t>
        </is>
      </c>
      <c r="B112" t="inlineStr">
        <is>
          <t>6 years</t>
        </is>
      </c>
      <c r="C112" t="inlineStr">
        <is>
          <t>HIPAA requirements</t>
        </is>
      </c>
    </row>
    <row r="113">
      <c r="A113" s="2" t="inlineStr">
        <is>
          <t>Payment Card Data</t>
        </is>
      </c>
      <c r="B113" t="inlineStr">
        <is>
          <t>12 months</t>
        </is>
      </c>
      <c r="C113" t="inlineStr">
        <is>
          <t>PCI DSS v4.0.1</t>
        </is>
      </c>
    </row>
  </sheetData>
  <mergeCells count="9">
    <mergeCell ref="C111:R111"/>
    <mergeCell ref="A2:R2"/>
    <mergeCell ref="C110:R110"/>
    <mergeCell ref="C112:R112"/>
    <mergeCell ref="A1:R1"/>
    <mergeCell ref="C113:R113"/>
    <mergeCell ref="A105:R105"/>
    <mergeCell ref="C108:R108"/>
    <mergeCell ref="C109:R109"/>
  </mergeCells>
  <conditionalFormatting sqref="O9:O100">
    <cfRule type="cellIs" priority="1" operator="equal" dxfId="0">
      <formula>"Compliant"</formula>
    </cfRule>
    <cfRule type="cellIs" priority="2" operator="equal" dxfId="2">
      <formula>"Non-Compliant"</formula>
    </cfRule>
  </conditionalFormatting>
  <dataValidations count="3">
    <dataValidation sqref="B9:B100" showDropDown="0" showInputMessage="0" showErrorMessage="0" allowBlank="1" type="list">
      <formula1>"Security,Authentication,Admin,Application,System,Network,Database"</formula1>
    </dataValidation>
    <dataValidation sqref="C9:C100" showDropDown="0" showInputMessage="0" showErrorMessage="0" allowBlank="1" type="list">
      <formula1>"PCI DSS v4.0.1,HIPAA,SOX,GDPR,FADP,ISO 27001,None"</formula1>
    </dataValidation>
    <dataValidation sqref="L9:L100 N9:N100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43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0" customWidth="1" min="1" max="1"/>
    <col width="25" customWidth="1" min="2" max="2"/>
    <col width="15" customWidth="1" min="3" max="3"/>
    <col width="15" customWidth="1" min="4" max="4"/>
    <col width="12" customWidth="1" min="5" max="5"/>
    <col width="20" customWidth="1" min="6" max="6"/>
    <col width="20" customWidth="1" min="7" max="7"/>
    <col width="18" customWidth="1" min="8" max="8"/>
    <col width="20" customWidth="1" min="9" max="9"/>
    <col width="25" customWidth="1" min="10" max="10"/>
    <col width="20" customWidth="1" min="11" max="11"/>
    <col width="18" customWidth="1" min="12" max="12"/>
    <col width="20" customWidth="1" min="13" max="13"/>
    <col width="40" customWidth="1" min="14" max="14"/>
    <col width="40" customWidth="1" min="15" max="15"/>
  </cols>
  <sheetData>
    <row r="1" ht="40" customHeight="1">
      <c r="A1" s="1" t="inlineStr">
        <is>
          <t>STORAGE TIER IMPLEMENTATION</t>
        </is>
      </c>
    </row>
    <row r="2" ht="30" customHeight="1">
      <c r="A2" s="6" t="inlineStr">
        <is>
          <t>Assess tiered storage implementation per ISMS-POL-A.8.15-S2.3.3</t>
        </is>
      </c>
    </row>
    <row r="7" ht="35" customHeight="1">
      <c r="A7" s="8" t="inlineStr">
        <is>
          <t>Storage Tier</t>
        </is>
      </c>
      <c r="B7" s="8" t="inlineStr">
        <is>
          <t>Technology</t>
        </is>
      </c>
      <c r="C7" s="8" t="inlineStr">
        <is>
          <t>Capacity (TB)</t>
        </is>
      </c>
      <c r="D7" s="8" t="inlineStr">
        <is>
          <t>Used (TB)</t>
        </is>
      </c>
      <c r="E7" s="8" t="inlineStr">
        <is>
          <t>% Used</t>
        </is>
      </c>
      <c r="F7" s="8" t="inlineStr">
        <is>
          <t>Retention Period</t>
        </is>
      </c>
      <c r="G7" s="8" t="inlineStr">
        <is>
          <t>Access Performance</t>
        </is>
      </c>
      <c r="H7" s="8" t="inlineStr">
        <is>
          <t>Encryption at Rest</t>
        </is>
      </c>
      <c r="I7" s="8" t="inlineStr">
        <is>
          <t>Encryption Method</t>
        </is>
      </c>
      <c r="J7" s="8" t="inlineStr">
        <is>
          <t>Geographic Location</t>
        </is>
      </c>
      <c r="K7" s="8" t="inlineStr">
        <is>
          <t>Redundancy</t>
        </is>
      </c>
      <c r="L7" s="8" t="inlineStr">
        <is>
          <t>Backup Implemented</t>
        </is>
      </c>
      <c r="M7" s="8" t="inlineStr">
        <is>
          <t>Meets Policy Requirements</t>
        </is>
      </c>
      <c r="N7" s="8" t="inlineStr">
        <is>
          <t>Issues</t>
        </is>
      </c>
      <c r="O7" s="8" t="inlineStr">
        <is>
          <t>Notes</t>
        </is>
      </c>
    </row>
    <row r="8">
      <c r="A8" s="9" t="inlineStr">
        <is>
          <t>Hot</t>
        </is>
      </c>
      <c r="B8" s="9" t="inlineStr">
        <is>
          <t>Local SSD</t>
        </is>
      </c>
      <c r="C8" s="9" t="inlineStr">
        <is>
          <t>10</t>
        </is>
      </c>
      <c r="D8" s="9" t="inlineStr">
        <is>
          <t>6.5</t>
        </is>
      </c>
      <c r="E8" s="9" t="inlineStr">
        <is>
          <t>65%</t>
        </is>
      </c>
      <c r="F8" s="9" t="inlineStr">
        <is>
          <t>0-90 days</t>
        </is>
      </c>
      <c r="G8" s="9" t="inlineStr">
        <is>
          <t>Real-time (&lt;1 min)</t>
        </is>
      </c>
      <c r="H8" s="9" t="inlineStr">
        <is>
          <t>Yes</t>
        </is>
      </c>
      <c r="I8" s="9" t="inlineStr">
        <is>
          <t>AES-256</t>
        </is>
      </c>
      <c r="J8" s="9" t="inlineStr">
        <is>
          <t>Primary DC</t>
        </is>
      </c>
      <c r="K8" s="9" t="inlineStr">
        <is>
          <t>Both</t>
        </is>
      </c>
      <c r="L8" s="9" t="inlineStr">
        <is>
          <t>Yes</t>
        </is>
      </c>
      <c r="M8" s="9" t="inlineStr">
        <is>
          <t>Yes</t>
        </is>
      </c>
      <c r="N8" s="9" t="inlineStr">
        <is>
          <t>None</t>
        </is>
      </c>
      <c r="O8" s="9" t="inlineStr">
        <is>
          <t>Production hot storage</t>
        </is>
      </c>
    </row>
    <row r="9">
      <c r="A9" s="5" t="n"/>
      <c r="B9" s="5" t="n"/>
      <c r="C9" s="5" t="n"/>
      <c r="D9" s="5" t="n"/>
      <c r="E9" s="10">
        <f>IF(C9=0,0,D9/C9)</f>
        <v/>
      </c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</row>
    <row r="10">
      <c r="A10" s="5" t="n"/>
      <c r="B10" s="5" t="n"/>
      <c r="C10" s="5" t="n"/>
      <c r="D10" s="5" t="n"/>
      <c r="E10" s="10">
        <f>IF(C10=0,0,D10/C10)</f>
        <v/>
      </c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</row>
    <row r="11">
      <c r="A11" s="5" t="n"/>
      <c r="B11" s="5" t="n"/>
      <c r="C11" s="5" t="n"/>
      <c r="D11" s="5" t="n"/>
      <c r="E11" s="10">
        <f>IF(C11=0,0,D11/C11)</f>
        <v/>
      </c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</row>
    <row r="12">
      <c r="A12" s="5" t="n"/>
      <c r="B12" s="5" t="n"/>
      <c r="C12" s="5" t="n"/>
      <c r="D12" s="5" t="n"/>
      <c r="E12" s="10">
        <f>IF(C12=0,0,D12/C12)</f>
        <v/>
      </c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</row>
    <row r="13">
      <c r="A13" s="5" t="n"/>
      <c r="B13" s="5" t="n"/>
      <c r="C13" s="5" t="n"/>
      <c r="D13" s="5" t="n"/>
      <c r="E13" s="10">
        <f>IF(C13=0,0,D13/C13)</f>
        <v/>
      </c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</row>
    <row r="14">
      <c r="A14" s="5" t="n"/>
      <c r="B14" s="5" t="n"/>
      <c r="C14" s="5" t="n"/>
      <c r="D14" s="5" t="n"/>
      <c r="E14" s="10">
        <f>IF(C14=0,0,D14/C14)</f>
        <v/>
      </c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</row>
    <row r="15">
      <c r="A15" s="5" t="n"/>
      <c r="B15" s="5" t="n"/>
      <c r="C15" s="5" t="n"/>
      <c r="D15" s="5" t="n"/>
      <c r="E15" s="10">
        <f>IF(C15=0,0,D15/C15)</f>
        <v/>
      </c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</row>
    <row r="16">
      <c r="A16" s="5" t="n"/>
      <c r="B16" s="5" t="n"/>
      <c r="C16" s="5" t="n"/>
      <c r="D16" s="5" t="n"/>
      <c r="E16" s="10">
        <f>IF(C16=0,0,D16/C16)</f>
        <v/>
      </c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</row>
    <row r="17">
      <c r="A17" s="5" t="n"/>
      <c r="B17" s="5" t="n"/>
      <c r="C17" s="5" t="n"/>
      <c r="D17" s="5" t="n"/>
      <c r="E17" s="10">
        <f>IF(C17=0,0,D17/C17)</f>
        <v/>
      </c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</row>
    <row r="18">
      <c r="A18" s="5" t="n"/>
      <c r="B18" s="5" t="n"/>
      <c r="C18" s="5" t="n"/>
      <c r="D18" s="5" t="n"/>
      <c r="E18" s="10">
        <f>IF(C18=0,0,D18/C18)</f>
        <v/>
      </c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</row>
    <row r="19">
      <c r="A19" s="5" t="n"/>
      <c r="B19" s="5" t="n"/>
      <c r="C19" s="5" t="n"/>
      <c r="D19" s="5" t="n"/>
      <c r="E19" s="10">
        <f>IF(C19=0,0,D19/C19)</f>
        <v/>
      </c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</row>
    <row r="20">
      <c r="A20" s="5" t="n"/>
      <c r="B20" s="5" t="n"/>
      <c r="C20" s="5" t="n"/>
      <c r="D20" s="5" t="n"/>
      <c r="E20" s="10">
        <f>IF(C20=0,0,D20/C20)</f>
        <v/>
      </c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</row>
    <row r="21">
      <c r="A21" s="5" t="n"/>
      <c r="B21" s="5" t="n"/>
      <c r="C21" s="5" t="n"/>
      <c r="D21" s="5" t="n"/>
      <c r="E21" s="10">
        <f>IF(C21=0,0,D21/C21)</f>
        <v/>
      </c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</row>
    <row r="22">
      <c r="A22" s="5" t="n"/>
      <c r="B22" s="5" t="n"/>
      <c r="C22" s="5" t="n"/>
      <c r="D22" s="5" t="n"/>
      <c r="E22" s="10">
        <f>IF(C22=0,0,D22/C22)</f>
        <v/>
      </c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</row>
    <row r="23">
      <c r="A23" s="5" t="n"/>
      <c r="B23" s="5" t="n"/>
      <c r="C23" s="5" t="n"/>
      <c r="D23" s="5" t="n"/>
      <c r="E23" s="10">
        <f>IF(C23=0,0,D23/C23)</f>
        <v/>
      </c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</row>
    <row r="24">
      <c r="A24" s="5" t="n"/>
      <c r="B24" s="5" t="n"/>
      <c r="C24" s="5" t="n"/>
      <c r="D24" s="5" t="n"/>
      <c r="E24" s="10">
        <f>IF(C24=0,0,D24/C24)</f>
        <v/>
      </c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</row>
    <row r="25">
      <c r="A25" s="5" t="n"/>
      <c r="B25" s="5" t="n"/>
      <c r="C25" s="5" t="n"/>
      <c r="D25" s="5" t="n"/>
      <c r="E25" s="10">
        <f>IF(C25=0,0,D25/C25)</f>
        <v/>
      </c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</row>
    <row r="26">
      <c r="A26" s="5" t="n"/>
      <c r="B26" s="5" t="n"/>
      <c r="C26" s="5" t="n"/>
      <c r="D26" s="5" t="n"/>
      <c r="E26" s="10">
        <f>IF(C26=0,0,D26/C26)</f>
        <v/>
      </c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</row>
    <row r="27">
      <c r="A27" s="5" t="n"/>
      <c r="B27" s="5" t="n"/>
      <c r="C27" s="5" t="n"/>
      <c r="D27" s="5" t="n"/>
      <c r="E27" s="10">
        <f>IF(C27=0,0,D27/C27)</f>
        <v/>
      </c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</row>
    <row r="28">
      <c r="A28" s="5" t="n"/>
      <c r="B28" s="5" t="n"/>
      <c r="C28" s="5" t="n"/>
      <c r="D28" s="5" t="n"/>
      <c r="E28" s="10">
        <f>IF(C28=0,0,D28/C28)</f>
        <v/>
      </c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</row>
    <row r="29">
      <c r="A29" s="5" t="n"/>
      <c r="B29" s="5" t="n"/>
      <c r="C29" s="5" t="n"/>
      <c r="D29" s="5" t="n"/>
      <c r="E29" s="10">
        <f>IF(C29=0,0,D29/C29)</f>
        <v/>
      </c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</row>
    <row r="30">
      <c r="A30" s="5" t="n"/>
      <c r="B30" s="5" t="n"/>
      <c r="C30" s="5" t="n"/>
      <c r="D30" s="5" t="n"/>
      <c r="E30" s="10">
        <f>IF(C30=0,0,D30/C30)</f>
        <v/>
      </c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</row>
    <row r="35">
      <c r="A35" s="6" t="inlineStr">
        <is>
          <t>TIERING ASSESSMENT QUESTIONS</t>
        </is>
      </c>
    </row>
    <row r="37">
      <c r="A37" s="12" t="inlineStr">
        <is>
          <t>☐ Is 3-tier model implemented (hot/warm/cold)?</t>
        </is>
      </c>
    </row>
    <row r="38">
      <c r="A38" s="12" t="inlineStr">
        <is>
          <t>☐ Are transitions between tiers automated?</t>
        </is>
      </c>
    </row>
    <row r="39">
      <c r="A39" s="12" t="inlineStr">
        <is>
          <t>☐ Are retention periods matched to storage tiers?</t>
        </is>
      </c>
    </row>
    <row r="40">
      <c r="A40" s="12" t="inlineStr">
        <is>
          <t>☐ Is encryption at rest implemented for all tiers?</t>
        </is>
      </c>
    </row>
    <row r="41">
      <c r="A41" s="12" t="inlineStr">
        <is>
          <t>☐ Is geographic redundancy implemented for critical logs?</t>
        </is>
      </c>
    </row>
    <row r="42">
      <c r="A42" s="12" t="inlineStr">
        <is>
          <t>☐ Are backups taken from all tiers?</t>
        </is>
      </c>
    </row>
    <row r="43">
      <c r="A43" s="12" t="inlineStr">
        <is>
          <t>☐ Is performance adequate for each tier's use case?</t>
        </is>
      </c>
    </row>
  </sheetData>
  <mergeCells count="10">
    <mergeCell ref="A35:O35"/>
    <mergeCell ref="A43:O43"/>
    <mergeCell ref="A38:O38"/>
    <mergeCell ref="A2:O2"/>
    <mergeCell ref="A42:O42"/>
    <mergeCell ref="A41:O41"/>
    <mergeCell ref="A1:O1"/>
    <mergeCell ref="A37:O37"/>
    <mergeCell ref="A40:O40"/>
    <mergeCell ref="A39:O39"/>
  </mergeCells>
  <dataValidations count="6">
    <dataValidation sqref="A9:A30" showDropDown="0" showInputMessage="0" showErrorMessage="0" allowBlank="1" type="list">
      <formula1>"Hot,Warm,Cold"</formula1>
    </dataValidation>
    <dataValidation sqref="B9:B30" showDropDown="0" showInputMessage="0" showErrorMessage="0" allowBlank="1" type="list">
      <formula1>"Local Disk/SSD,SAN,NAS,Object Storage,Tape,Other"</formula1>
    </dataValidation>
    <dataValidation sqref="G9:G30" showDropDown="0" showInputMessage="0" showErrorMessage="0" allowBlank="1" type="list">
      <formula1>"Real-time (&lt;1 min),Fast (&lt;15 min),Slow (hours),Very Slow (days)"</formula1>
    </dataValidation>
    <dataValidation sqref="H9:H30 L9:L30 M9:M30" showDropDown="0" showInputMessage="0" showErrorMessage="0" allowBlank="1" type="list">
      <formula1>"Yes,No"</formula1>
    </dataValidation>
    <dataValidation sqref="I9:I30" showDropDown="0" showInputMessage="0" showErrorMessage="0" allowBlank="1" type="list">
      <formula1>"AES-256,AES-128,None"</formula1>
    </dataValidation>
    <dataValidation sqref="K9:K30" showDropDown="0" showInputMessage="0" showErrorMessage="0" allowBlank="1" type="list">
      <formula1>"None,Local (RAID),Remote (Replication),Both"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25" customWidth="1" min="3" max="3"/>
    <col width="30" customWidth="1" min="4" max="4"/>
    <col width="18" customWidth="1" min="5" max="5"/>
    <col width="20" customWidth="1" min="6" max="6"/>
    <col width="20" customWidth="1" min="7" max="7"/>
    <col width="18" customWidth="1" min="8" max="8"/>
    <col width="18" customWidth="1" min="9" max="9"/>
    <col width="20" customWidth="1" min="10" max="10"/>
    <col width="18" customWidth="1" min="11" max="11"/>
    <col width="20" customWidth="1" min="12" max="12"/>
    <col width="20" customWidth="1" min="13" max="13"/>
    <col width="20" customWidth="1" min="14" max="14"/>
    <col width="18" customWidth="1" min="15" max="15"/>
    <col width="40" customWidth="1" min="16" max="16"/>
  </cols>
  <sheetData>
    <row r="1" ht="40" customHeight="1">
      <c r="A1" s="1" t="inlineStr">
        <is>
          <t>LOG BACKUP &amp; RECOVERY</t>
        </is>
      </c>
    </row>
    <row r="2" ht="30" customHeight="1">
      <c r="A2" s="6" t="inlineStr">
        <is>
          <t>Assess backup and recovery capabilities per ISMS-POL-A.8.15-S2.2.7</t>
        </is>
      </c>
    </row>
    <row r="7" ht="35" customHeight="1">
      <c r="A7" s="8" t="inlineStr">
        <is>
          <t>Backup Scope</t>
        </is>
      </c>
      <c r="B7" s="8" t="inlineStr">
        <is>
          <t>Backup Frequency</t>
        </is>
      </c>
      <c r="C7" s="8" t="inlineStr">
        <is>
          <t>Backup Technology</t>
        </is>
      </c>
      <c r="D7" s="8" t="inlineStr">
        <is>
          <t>Backup Location</t>
        </is>
      </c>
      <c r="E7" s="8" t="inlineStr">
        <is>
          <t>Backup Encrypted</t>
        </is>
      </c>
      <c r="F7" s="8" t="inlineStr">
        <is>
          <t>Encryption Algorithm</t>
        </is>
      </c>
      <c r="G7" s="8" t="inlineStr">
        <is>
          <t>Backup Integrity Verified</t>
        </is>
      </c>
      <c r="H7" s="8" t="inlineStr">
        <is>
          <t>Last Backup Date</t>
        </is>
      </c>
      <c r="I7" s="8" t="inlineStr">
        <is>
          <t>Last Restore Test Date</t>
        </is>
      </c>
      <c r="J7" s="8" t="inlineStr">
        <is>
          <t>Restore Test Frequency</t>
        </is>
      </c>
      <c r="K7" s="8" t="inlineStr">
        <is>
          <t>Last Restore Success</t>
        </is>
      </c>
      <c r="L7" s="8" t="inlineStr">
        <is>
          <t>RTO (Recovery Time)</t>
        </is>
      </c>
      <c r="M7" s="8" t="inlineStr">
        <is>
          <t>RPO (Recovery Point)</t>
        </is>
      </c>
      <c r="N7" s="8" t="inlineStr">
        <is>
          <t>Backup Retention Period</t>
        </is>
      </c>
      <c r="O7" s="8" t="inlineStr">
        <is>
          <t>Compliance Status</t>
        </is>
      </c>
      <c r="P7" s="8" t="inlineStr">
        <is>
          <t>Notes</t>
        </is>
      </c>
    </row>
    <row r="8">
      <c r="A8" s="9" t="inlineStr">
        <is>
          <t>All Logs</t>
        </is>
      </c>
      <c r="B8" s="9" t="inlineStr">
        <is>
          <t>Daily</t>
        </is>
      </c>
      <c r="C8" s="9" t="inlineStr">
        <is>
          <t>Veeam</t>
        </is>
      </c>
      <c r="D8" s="9" t="inlineStr">
        <is>
          <t>Offsite</t>
        </is>
      </c>
      <c r="E8" s="9" t="inlineStr">
        <is>
          <t>Yes</t>
        </is>
      </c>
      <c r="F8" s="9" t="inlineStr">
        <is>
          <t>AES-256</t>
        </is>
      </c>
      <c r="G8" s="9" t="inlineStr">
        <is>
          <t>Yes (always)</t>
        </is>
      </c>
      <c r="H8" s="9" t="inlineStr">
        <is>
          <t>06.01.2026</t>
        </is>
      </c>
      <c r="I8" s="9" t="inlineStr">
        <is>
          <t>15.12.2025</t>
        </is>
      </c>
      <c r="J8" s="9" t="inlineStr">
        <is>
          <t>Quarterly</t>
        </is>
      </c>
      <c r="K8" s="9" t="inlineStr">
        <is>
          <t>Yes</t>
        </is>
      </c>
      <c r="L8" s="9" t="inlineStr">
        <is>
          <t>24 hours</t>
        </is>
      </c>
      <c r="M8" s="9" t="inlineStr">
        <is>
          <t>24 hours</t>
        </is>
      </c>
      <c r="N8" s="9" t="inlineStr">
        <is>
          <t>90 days</t>
        </is>
      </c>
      <c r="O8" s="9" t="inlineStr">
        <is>
          <t>Compliant</t>
        </is>
      </c>
      <c r="P8" s="9" t="inlineStr">
        <is>
          <t>Full backup daily</t>
        </is>
      </c>
    </row>
    <row r="9">
      <c r="A9" s="5" t="n"/>
      <c r="B9" s="5" t="n"/>
      <c r="C9" s="5" t="n"/>
      <c r="D9" s="5" t="n"/>
      <c r="E9" s="5" t="n"/>
      <c r="F9" s="5" t="n"/>
      <c r="G9" s="5" t="n"/>
      <c r="H9" s="4" t="n"/>
      <c r="I9" s="4" t="n"/>
      <c r="J9" s="5" t="n"/>
      <c r="K9" s="5" t="n"/>
      <c r="L9" s="5" t="n"/>
      <c r="M9" s="5" t="n"/>
      <c r="N9" s="5" t="n"/>
      <c r="O9" s="11">
        <f>IF(A9="","",
            IF(AND(B9="Daily",OR(D9="Offsite",D9="Cloud",D9="Multiple"),
                   E9="Yes",OR(J9="Quarterly",J9="Monthly")),
                "Compliant","Partial"))</f>
        <v/>
      </c>
      <c r="P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4" t="n"/>
      <c r="I10" s="4" t="n"/>
      <c r="J10" s="5" t="n"/>
      <c r="K10" s="5" t="n"/>
      <c r="L10" s="5" t="n"/>
      <c r="M10" s="5" t="n"/>
      <c r="N10" s="5" t="n"/>
      <c r="O10" s="11">
        <f>IF(A10="","",
            IF(AND(B10="Daily",OR(D10="Offsite",D10="Cloud",D10="Multiple"),
                   E10="Yes",OR(J10="Quarterly",J10="Monthly")),
                "Compliant","Partial"))</f>
        <v/>
      </c>
      <c r="P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4" t="n"/>
      <c r="I11" s="4" t="n"/>
      <c r="J11" s="5" t="n"/>
      <c r="K11" s="5" t="n"/>
      <c r="L11" s="5" t="n"/>
      <c r="M11" s="5" t="n"/>
      <c r="N11" s="5" t="n"/>
      <c r="O11" s="11">
        <f>IF(A11="","",
            IF(AND(B11="Daily",OR(D11="Offsite",D11="Cloud",D11="Multiple"),
                   E11="Yes",OR(J11="Quarterly",J11="Monthly")),
                "Compliant","Partial"))</f>
        <v/>
      </c>
      <c r="P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4" t="n"/>
      <c r="I12" s="4" t="n"/>
      <c r="J12" s="5" t="n"/>
      <c r="K12" s="5" t="n"/>
      <c r="L12" s="5" t="n"/>
      <c r="M12" s="5" t="n"/>
      <c r="N12" s="5" t="n"/>
      <c r="O12" s="11">
        <f>IF(A12="","",
            IF(AND(B12="Daily",OR(D12="Offsite",D12="Cloud",D12="Multiple"),
                   E12="Yes",OR(J12="Quarterly",J12="Monthly")),
                "Compliant","Partial"))</f>
        <v/>
      </c>
      <c r="P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4" t="n"/>
      <c r="I13" s="4" t="n"/>
      <c r="J13" s="5" t="n"/>
      <c r="K13" s="5" t="n"/>
      <c r="L13" s="5" t="n"/>
      <c r="M13" s="5" t="n"/>
      <c r="N13" s="5" t="n"/>
      <c r="O13" s="11">
        <f>IF(A13="","",
            IF(AND(B13="Daily",OR(D13="Offsite",D13="Cloud",D13="Multiple"),
                   E13="Yes",OR(J13="Quarterly",J13="Monthly")),
                "Compliant","Partial"))</f>
        <v/>
      </c>
      <c r="P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4" t="n"/>
      <c r="I14" s="4" t="n"/>
      <c r="J14" s="5" t="n"/>
      <c r="K14" s="5" t="n"/>
      <c r="L14" s="5" t="n"/>
      <c r="M14" s="5" t="n"/>
      <c r="N14" s="5" t="n"/>
      <c r="O14" s="11">
        <f>IF(A14="","",
            IF(AND(B14="Daily",OR(D14="Offsite",D14="Cloud",D14="Multiple"),
                   E14="Yes",OR(J14="Quarterly",J14="Monthly")),
                "Compliant","Partial"))</f>
        <v/>
      </c>
      <c r="P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4" t="n"/>
      <c r="I15" s="4" t="n"/>
      <c r="J15" s="5" t="n"/>
      <c r="K15" s="5" t="n"/>
      <c r="L15" s="5" t="n"/>
      <c r="M15" s="5" t="n"/>
      <c r="N15" s="5" t="n"/>
      <c r="O15" s="11">
        <f>IF(A15="","",
            IF(AND(B15="Daily",OR(D15="Offsite",D15="Cloud",D15="Multiple"),
                   E15="Yes",OR(J15="Quarterly",J15="Monthly")),
                "Compliant","Partial"))</f>
        <v/>
      </c>
      <c r="P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4" t="n"/>
      <c r="I16" s="4" t="n"/>
      <c r="J16" s="5" t="n"/>
      <c r="K16" s="5" t="n"/>
      <c r="L16" s="5" t="n"/>
      <c r="M16" s="5" t="n"/>
      <c r="N16" s="5" t="n"/>
      <c r="O16" s="11">
        <f>IF(A16="","",
            IF(AND(B16="Daily",OR(D16="Offsite",D16="Cloud",D16="Multiple"),
                   E16="Yes",OR(J16="Quarterly",J16="Monthly")),
                "Compliant","Partial"))</f>
        <v/>
      </c>
      <c r="P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4" t="n"/>
      <c r="I17" s="4" t="n"/>
      <c r="J17" s="5" t="n"/>
      <c r="K17" s="5" t="n"/>
      <c r="L17" s="5" t="n"/>
      <c r="M17" s="5" t="n"/>
      <c r="N17" s="5" t="n"/>
      <c r="O17" s="11">
        <f>IF(A17="","",
            IF(AND(B17="Daily",OR(D17="Offsite",D17="Cloud",D17="Multiple"),
                   E17="Yes",OR(J17="Quarterly",J17="Monthly")),
                "Compliant","Partial"))</f>
        <v/>
      </c>
      <c r="P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4" t="n"/>
      <c r="I18" s="4" t="n"/>
      <c r="J18" s="5" t="n"/>
      <c r="K18" s="5" t="n"/>
      <c r="L18" s="5" t="n"/>
      <c r="M18" s="5" t="n"/>
      <c r="N18" s="5" t="n"/>
      <c r="O18" s="11">
        <f>IF(A18="","",
            IF(AND(B18="Daily",OR(D18="Offsite",D18="Cloud",D18="Multiple"),
                   E18="Yes",OR(J18="Quarterly",J18="Monthly")),
                "Compliant","Partial"))</f>
        <v/>
      </c>
      <c r="P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4" t="n"/>
      <c r="I19" s="4" t="n"/>
      <c r="J19" s="5" t="n"/>
      <c r="K19" s="5" t="n"/>
      <c r="L19" s="5" t="n"/>
      <c r="M19" s="5" t="n"/>
      <c r="N19" s="5" t="n"/>
      <c r="O19" s="11">
        <f>IF(A19="","",
            IF(AND(B19="Daily",OR(D19="Offsite",D19="Cloud",D19="Multiple"),
                   E19="Yes",OR(J19="Quarterly",J19="Monthly")),
                "Compliant","Partial"))</f>
        <v/>
      </c>
      <c r="P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4" t="n"/>
      <c r="I20" s="4" t="n"/>
      <c r="J20" s="5" t="n"/>
      <c r="K20" s="5" t="n"/>
      <c r="L20" s="5" t="n"/>
      <c r="M20" s="5" t="n"/>
      <c r="N20" s="5" t="n"/>
      <c r="O20" s="11">
        <f>IF(A20="","",
            IF(AND(B20="Daily",OR(D20="Offsite",D20="Cloud",D20="Multiple"),
                   E20="Yes",OR(J20="Quarterly",J20="Monthly")),
                "Compliant","Partial"))</f>
        <v/>
      </c>
      <c r="P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4" t="n"/>
      <c r="I21" s="4" t="n"/>
      <c r="J21" s="5" t="n"/>
      <c r="K21" s="5" t="n"/>
      <c r="L21" s="5" t="n"/>
      <c r="M21" s="5" t="n"/>
      <c r="N21" s="5" t="n"/>
      <c r="O21" s="11">
        <f>IF(A21="","",
            IF(AND(B21="Daily",OR(D21="Offsite",D21="Cloud",D21="Multiple"),
                   E21="Yes",OR(J21="Quarterly",J21="Monthly")),
                "Compliant","Partial"))</f>
        <v/>
      </c>
      <c r="P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4" t="n"/>
      <c r="I22" s="4" t="n"/>
      <c r="J22" s="5" t="n"/>
      <c r="K22" s="5" t="n"/>
      <c r="L22" s="5" t="n"/>
      <c r="M22" s="5" t="n"/>
      <c r="N22" s="5" t="n"/>
      <c r="O22" s="11">
        <f>IF(A22="","",
            IF(AND(B22="Daily",OR(D22="Offsite",D22="Cloud",D22="Multiple"),
                   E22="Yes",OR(J22="Quarterly",J22="Monthly")),
                "Compliant","Partial"))</f>
        <v/>
      </c>
      <c r="P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4" t="n"/>
      <c r="I23" s="4" t="n"/>
      <c r="J23" s="5" t="n"/>
      <c r="K23" s="5" t="n"/>
      <c r="L23" s="5" t="n"/>
      <c r="M23" s="5" t="n"/>
      <c r="N23" s="5" t="n"/>
      <c r="O23" s="11">
        <f>IF(A23="","",
            IF(AND(B23="Daily",OR(D23="Offsite",D23="Cloud",D23="Multiple"),
                   E23="Yes",OR(J23="Quarterly",J23="Monthly")),
                "Compliant","Partial"))</f>
        <v/>
      </c>
      <c r="P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4" t="n"/>
      <c r="I24" s="4" t="n"/>
      <c r="J24" s="5" t="n"/>
      <c r="K24" s="5" t="n"/>
      <c r="L24" s="5" t="n"/>
      <c r="M24" s="5" t="n"/>
      <c r="N24" s="5" t="n"/>
      <c r="O24" s="11">
        <f>IF(A24="","",
            IF(AND(B24="Daily",OR(D24="Offsite",D24="Cloud",D24="Multiple"),
                   E24="Yes",OR(J24="Quarterly",J24="Monthly")),
                "Compliant","Partial"))</f>
        <v/>
      </c>
      <c r="P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4" t="n"/>
      <c r="I25" s="4" t="n"/>
      <c r="J25" s="5" t="n"/>
      <c r="K25" s="5" t="n"/>
      <c r="L25" s="5" t="n"/>
      <c r="M25" s="5" t="n"/>
      <c r="N25" s="5" t="n"/>
      <c r="O25" s="11">
        <f>IF(A25="","",
            IF(AND(B25="Daily",OR(D25="Offsite",D25="Cloud",D25="Multiple"),
                   E25="Yes",OR(J25="Quarterly",J25="Monthly")),
                "Compliant","Partial"))</f>
        <v/>
      </c>
      <c r="P25" s="5" t="n"/>
    </row>
  </sheetData>
  <mergeCells count="2">
    <mergeCell ref="A1:P1"/>
    <mergeCell ref="A2:P2"/>
  </mergeCells>
  <dataValidations count="7">
    <dataValidation sqref="A9:A25" showDropDown="0" showInputMessage="0" showErrorMessage="0" allowBlank="1" type="list">
      <formula1>"All Logs,Hot Storage Only,Critical Logs Only,None"</formula1>
    </dataValidation>
    <dataValidation sqref="B9:B25" showDropDown="0" showInputMessage="0" showErrorMessage="0" allowBlank="1" type="list">
      <formula1>"Daily,Weekly,Monthly"</formula1>
    </dataValidation>
    <dataValidation sqref="D9:D25" showDropDown="0" showInputMessage="0" showErrorMessage="0" allowBlank="1" type="list">
      <formula1>"Same Site,Offsite,Cloud,Multiple"</formula1>
    </dataValidation>
    <dataValidation sqref="E9:E25 K9:K25" showDropDown="0" showInputMessage="0" showErrorMessage="0" allowBlank="1" type="list">
      <formula1>"Yes,No"</formula1>
    </dataValidation>
    <dataValidation sqref="F9:F25" showDropDown="0" showInputMessage="0" showErrorMessage="0" allowBlank="1" type="list">
      <formula1>"AES-256,AES-128,None"</formula1>
    </dataValidation>
    <dataValidation sqref="G9:G25" showDropDown="0" showInputMessage="0" showErrorMessage="0" allowBlank="1" type="list">
      <formula1>"Yes (periodic),Yes (always),No"</formula1>
    </dataValidation>
    <dataValidation sqref="J9:J25" showDropDown="0" showInputMessage="0" showErrorMessage="0" allowBlank="1" type="list">
      <formula1>"Quarterly,Semi-annual,Annual,Never"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50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18" customWidth="1" min="3" max="3"/>
    <col width="25" customWidth="1" min="4" max="4"/>
    <col width="22" customWidth="1" min="5" max="5"/>
    <col width="18" customWidth="1" min="6" max="6"/>
    <col width="18" customWidth="1" min="7" max="7"/>
    <col width="18" customWidth="1" min="8" max="8"/>
    <col width="20" customWidth="1" min="9" max="9"/>
    <col width="20" customWidth="1" min="10" max="10"/>
    <col width="20" customWidth="1" min="11" max="11"/>
    <col width="40" customWidth="1" min="12" max="12"/>
    <col width="40" customWidth="1" min="13" max="13"/>
    <col width="40" customWidth="1" min="14" max="14"/>
  </cols>
  <sheetData>
    <row r="1" ht="40" customHeight="1">
      <c r="A1" s="1" t="inlineStr">
        <is>
          <t>DISPOSAL PROCEDURES</t>
        </is>
      </c>
    </row>
    <row r="2" ht="30" customHeight="1">
      <c r="A2" s="6" t="inlineStr">
        <is>
          <t>Assess secure disposal practices per ISMS-POL-A.8.15-S2.3.5</t>
        </is>
      </c>
    </row>
    <row r="7" ht="35" customHeight="1">
      <c r="A7" s="8" t="inlineStr">
        <is>
          <t>Log Type / Source</t>
        </is>
      </c>
      <c r="B7" s="8" t="inlineStr">
        <is>
          <t>Retention Period Expired</t>
        </is>
      </c>
      <c r="C7" s="8" t="inlineStr">
        <is>
          <t>Automated Disposal</t>
        </is>
      </c>
      <c r="D7" s="8" t="inlineStr">
        <is>
          <t>Disposal Method</t>
        </is>
      </c>
      <c r="E7" s="8" t="inlineStr">
        <is>
          <t>Disposal Approval Required</t>
        </is>
      </c>
      <c r="F7" s="8" t="inlineStr">
        <is>
          <t>Legal Hold Check</t>
        </is>
      </c>
      <c r="G7" s="8" t="inlineStr">
        <is>
          <t>Disposal Logged</t>
        </is>
      </c>
      <c r="H7" s="8" t="inlineStr">
        <is>
          <t>Last Disposal Date</t>
        </is>
      </c>
      <c r="I7" s="8" t="inlineStr">
        <is>
          <t>Volume Disposed (GB)</t>
        </is>
      </c>
      <c r="J7" s="8" t="inlineStr">
        <is>
          <t>Disposal Verification</t>
        </is>
      </c>
      <c r="K7" s="8" t="inlineStr">
        <is>
          <t>Compliance with Policy</t>
        </is>
      </c>
      <c r="L7" s="8" t="inlineStr">
        <is>
          <t>Issues</t>
        </is>
      </c>
      <c r="M7" s="8" t="inlineStr">
        <is>
          <t>Remediation</t>
        </is>
      </c>
      <c r="N7" s="8" t="inlineStr">
        <is>
          <t>Notes</t>
        </is>
      </c>
    </row>
    <row r="8">
      <c r="A8" s="9" t="inlineStr">
        <is>
          <t>Web Server Logs (&gt;12 months)</t>
        </is>
      </c>
      <c r="B8" s="9" t="inlineStr">
        <is>
          <t>Monthly</t>
        </is>
      </c>
      <c r="C8" s="9" t="inlineStr">
        <is>
          <t>Yes</t>
        </is>
      </c>
      <c r="D8" s="9" t="inlineStr">
        <is>
          <t>Cryptographic Erasure</t>
        </is>
      </c>
      <c r="E8" s="9" t="inlineStr">
        <is>
          <t>No (automated)</t>
        </is>
      </c>
      <c r="F8" s="9" t="inlineStr">
        <is>
          <t>Yes (checked)</t>
        </is>
      </c>
      <c r="G8" s="9" t="inlineStr">
        <is>
          <t>Yes</t>
        </is>
      </c>
      <c r="H8" s="9" t="inlineStr">
        <is>
          <t>01.01.2026</t>
        </is>
      </c>
      <c r="I8" s="9" t="inlineStr">
        <is>
          <t>250</t>
        </is>
      </c>
      <c r="J8" s="9" t="inlineStr">
        <is>
          <t>Verified</t>
        </is>
      </c>
      <c r="K8" s="9" t="inlineStr">
        <is>
          <t>Compliant</t>
        </is>
      </c>
      <c r="L8" s="9" t="inlineStr">
        <is>
          <t>None</t>
        </is>
      </c>
      <c r="M8" s="9" t="inlineStr"/>
      <c r="N8" s="9" t="inlineStr">
        <is>
          <t>Automated monthly cleanup</t>
        </is>
      </c>
    </row>
    <row r="9">
      <c r="A9" s="5" t="n"/>
      <c r="B9" s="4" t="n"/>
      <c r="C9" s="5" t="n"/>
      <c r="D9" s="5" t="n"/>
      <c r="E9" s="5" t="n"/>
      <c r="F9" s="5" t="n"/>
      <c r="G9" s="5" t="n"/>
      <c r="H9" s="4" t="n"/>
      <c r="I9" s="5" t="n"/>
      <c r="J9" s="5" t="n"/>
      <c r="K9" s="11">
        <f>IF(A9="","",
            IF(AND(F9="Yes (checked)",G9="Yes",
                   OR(D9="Cryptographic Erasure",D9="Multi-pass Overwrite",D9="Physical Destruction")),
                "Compliant","Non-Compliant"))</f>
        <v/>
      </c>
      <c r="L9" s="5" t="n"/>
      <c r="M9" s="5" t="n"/>
      <c r="N9" s="5" t="n"/>
    </row>
    <row r="10">
      <c r="A10" s="5" t="n"/>
      <c r="B10" s="4" t="n"/>
      <c r="C10" s="5" t="n"/>
      <c r="D10" s="5" t="n"/>
      <c r="E10" s="5" t="n"/>
      <c r="F10" s="5" t="n"/>
      <c r="G10" s="5" t="n"/>
      <c r="H10" s="4" t="n"/>
      <c r="I10" s="5" t="n"/>
      <c r="J10" s="5" t="n"/>
      <c r="K10" s="11">
        <f>IF(A10="","",
            IF(AND(F10="Yes (checked)",G10="Yes",
                   OR(D10="Cryptographic Erasure",D10="Multi-pass Overwrite",D10="Physical Destruction")),
                "Compliant","Non-Compliant"))</f>
        <v/>
      </c>
      <c r="L10" s="5" t="n"/>
      <c r="M10" s="5" t="n"/>
      <c r="N10" s="5" t="n"/>
    </row>
    <row r="11">
      <c r="A11" s="5" t="n"/>
      <c r="B11" s="4" t="n"/>
      <c r="C11" s="5" t="n"/>
      <c r="D11" s="5" t="n"/>
      <c r="E11" s="5" t="n"/>
      <c r="F11" s="5" t="n"/>
      <c r="G11" s="5" t="n"/>
      <c r="H11" s="4" t="n"/>
      <c r="I11" s="5" t="n"/>
      <c r="J11" s="5" t="n"/>
      <c r="K11" s="11">
        <f>IF(A11="","",
            IF(AND(F11="Yes (checked)",G11="Yes",
                   OR(D11="Cryptographic Erasure",D11="Multi-pass Overwrite",D11="Physical Destruction")),
                "Compliant","Non-Compliant"))</f>
        <v/>
      </c>
      <c r="L11" s="5" t="n"/>
      <c r="M11" s="5" t="n"/>
      <c r="N11" s="5" t="n"/>
    </row>
    <row r="12">
      <c r="A12" s="5" t="n"/>
      <c r="B12" s="4" t="n"/>
      <c r="C12" s="5" t="n"/>
      <c r="D12" s="5" t="n"/>
      <c r="E12" s="5" t="n"/>
      <c r="F12" s="5" t="n"/>
      <c r="G12" s="5" t="n"/>
      <c r="H12" s="4" t="n"/>
      <c r="I12" s="5" t="n"/>
      <c r="J12" s="5" t="n"/>
      <c r="K12" s="11">
        <f>IF(A12="","",
            IF(AND(F12="Yes (checked)",G12="Yes",
                   OR(D12="Cryptographic Erasure",D12="Multi-pass Overwrite",D12="Physical Destruction")),
                "Compliant","Non-Compliant"))</f>
        <v/>
      </c>
      <c r="L12" s="5" t="n"/>
      <c r="M12" s="5" t="n"/>
      <c r="N12" s="5" t="n"/>
    </row>
    <row r="13">
      <c r="A13" s="5" t="n"/>
      <c r="B13" s="4" t="n"/>
      <c r="C13" s="5" t="n"/>
      <c r="D13" s="5" t="n"/>
      <c r="E13" s="5" t="n"/>
      <c r="F13" s="5" t="n"/>
      <c r="G13" s="5" t="n"/>
      <c r="H13" s="4" t="n"/>
      <c r="I13" s="5" t="n"/>
      <c r="J13" s="5" t="n"/>
      <c r="K13" s="11">
        <f>IF(A13="","",
            IF(AND(F13="Yes (checked)",G13="Yes",
                   OR(D13="Cryptographic Erasure",D13="Multi-pass Overwrite",D13="Physical Destruction")),
                "Compliant","Non-Compliant"))</f>
        <v/>
      </c>
      <c r="L13" s="5" t="n"/>
      <c r="M13" s="5" t="n"/>
      <c r="N13" s="5" t="n"/>
    </row>
    <row r="14">
      <c r="A14" s="5" t="n"/>
      <c r="B14" s="4" t="n"/>
      <c r="C14" s="5" t="n"/>
      <c r="D14" s="5" t="n"/>
      <c r="E14" s="5" t="n"/>
      <c r="F14" s="5" t="n"/>
      <c r="G14" s="5" t="n"/>
      <c r="H14" s="4" t="n"/>
      <c r="I14" s="5" t="n"/>
      <c r="J14" s="5" t="n"/>
      <c r="K14" s="11">
        <f>IF(A14="","",
            IF(AND(F14="Yes (checked)",G14="Yes",
                   OR(D14="Cryptographic Erasure",D14="Multi-pass Overwrite",D14="Physical Destruction")),
                "Compliant","Non-Compliant"))</f>
        <v/>
      </c>
      <c r="L14" s="5" t="n"/>
      <c r="M14" s="5" t="n"/>
      <c r="N14" s="5" t="n"/>
    </row>
    <row r="15">
      <c r="A15" s="5" t="n"/>
      <c r="B15" s="4" t="n"/>
      <c r="C15" s="5" t="n"/>
      <c r="D15" s="5" t="n"/>
      <c r="E15" s="5" t="n"/>
      <c r="F15" s="5" t="n"/>
      <c r="G15" s="5" t="n"/>
      <c r="H15" s="4" t="n"/>
      <c r="I15" s="5" t="n"/>
      <c r="J15" s="5" t="n"/>
      <c r="K15" s="11">
        <f>IF(A15="","",
            IF(AND(F15="Yes (checked)",G15="Yes",
                   OR(D15="Cryptographic Erasure",D15="Multi-pass Overwrite",D15="Physical Destruction")),
                "Compliant","Non-Compliant"))</f>
        <v/>
      </c>
      <c r="L15" s="5" t="n"/>
      <c r="M15" s="5" t="n"/>
      <c r="N15" s="5" t="n"/>
    </row>
    <row r="16">
      <c r="A16" s="5" t="n"/>
      <c r="B16" s="4" t="n"/>
      <c r="C16" s="5" t="n"/>
      <c r="D16" s="5" t="n"/>
      <c r="E16" s="5" t="n"/>
      <c r="F16" s="5" t="n"/>
      <c r="G16" s="5" t="n"/>
      <c r="H16" s="4" t="n"/>
      <c r="I16" s="5" t="n"/>
      <c r="J16" s="5" t="n"/>
      <c r="K16" s="11">
        <f>IF(A16="","",
            IF(AND(F16="Yes (checked)",G16="Yes",
                   OR(D16="Cryptographic Erasure",D16="Multi-pass Overwrite",D16="Physical Destruction")),
                "Compliant","Non-Compliant"))</f>
        <v/>
      </c>
      <c r="L16" s="5" t="n"/>
      <c r="M16" s="5" t="n"/>
      <c r="N16" s="5" t="n"/>
    </row>
    <row r="17">
      <c r="A17" s="5" t="n"/>
      <c r="B17" s="4" t="n"/>
      <c r="C17" s="5" t="n"/>
      <c r="D17" s="5" t="n"/>
      <c r="E17" s="5" t="n"/>
      <c r="F17" s="5" t="n"/>
      <c r="G17" s="5" t="n"/>
      <c r="H17" s="4" t="n"/>
      <c r="I17" s="5" t="n"/>
      <c r="J17" s="5" t="n"/>
      <c r="K17" s="11">
        <f>IF(A17="","",
            IF(AND(F17="Yes (checked)",G17="Yes",
                   OR(D17="Cryptographic Erasure",D17="Multi-pass Overwrite",D17="Physical Destruction")),
                "Compliant","Non-Compliant"))</f>
        <v/>
      </c>
      <c r="L17" s="5" t="n"/>
      <c r="M17" s="5" t="n"/>
      <c r="N17" s="5" t="n"/>
    </row>
    <row r="18">
      <c r="A18" s="5" t="n"/>
      <c r="B18" s="4" t="n"/>
      <c r="C18" s="5" t="n"/>
      <c r="D18" s="5" t="n"/>
      <c r="E18" s="5" t="n"/>
      <c r="F18" s="5" t="n"/>
      <c r="G18" s="5" t="n"/>
      <c r="H18" s="4" t="n"/>
      <c r="I18" s="5" t="n"/>
      <c r="J18" s="5" t="n"/>
      <c r="K18" s="11">
        <f>IF(A18="","",
            IF(AND(F18="Yes (checked)",G18="Yes",
                   OR(D18="Cryptographic Erasure",D18="Multi-pass Overwrite",D18="Physical Destruction")),
                "Compliant","Non-Compliant"))</f>
        <v/>
      </c>
      <c r="L18" s="5" t="n"/>
      <c r="M18" s="5" t="n"/>
      <c r="N18" s="5" t="n"/>
    </row>
    <row r="19">
      <c r="A19" s="5" t="n"/>
      <c r="B19" s="4" t="n"/>
      <c r="C19" s="5" t="n"/>
      <c r="D19" s="5" t="n"/>
      <c r="E19" s="5" t="n"/>
      <c r="F19" s="5" t="n"/>
      <c r="G19" s="5" t="n"/>
      <c r="H19" s="4" t="n"/>
      <c r="I19" s="5" t="n"/>
      <c r="J19" s="5" t="n"/>
      <c r="K19" s="11">
        <f>IF(A19="","",
            IF(AND(F19="Yes (checked)",G19="Yes",
                   OR(D19="Cryptographic Erasure",D19="Multi-pass Overwrite",D19="Physical Destruction")),
                "Compliant","Non-Compliant"))</f>
        <v/>
      </c>
      <c r="L19" s="5" t="n"/>
      <c r="M19" s="5" t="n"/>
      <c r="N19" s="5" t="n"/>
    </row>
    <row r="20">
      <c r="A20" s="5" t="n"/>
      <c r="B20" s="4" t="n"/>
      <c r="C20" s="5" t="n"/>
      <c r="D20" s="5" t="n"/>
      <c r="E20" s="5" t="n"/>
      <c r="F20" s="5" t="n"/>
      <c r="G20" s="5" t="n"/>
      <c r="H20" s="4" t="n"/>
      <c r="I20" s="5" t="n"/>
      <c r="J20" s="5" t="n"/>
      <c r="K20" s="11">
        <f>IF(A20="","",
            IF(AND(F20="Yes (checked)",G20="Yes",
                   OR(D20="Cryptographic Erasure",D20="Multi-pass Overwrite",D20="Physical Destruction")),
                "Compliant","Non-Compliant"))</f>
        <v/>
      </c>
      <c r="L20" s="5" t="n"/>
      <c r="M20" s="5" t="n"/>
      <c r="N20" s="5" t="n"/>
    </row>
    <row r="21">
      <c r="A21" s="5" t="n"/>
      <c r="B21" s="4" t="n"/>
      <c r="C21" s="5" t="n"/>
      <c r="D21" s="5" t="n"/>
      <c r="E21" s="5" t="n"/>
      <c r="F21" s="5" t="n"/>
      <c r="G21" s="5" t="n"/>
      <c r="H21" s="4" t="n"/>
      <c r="I21" s="5" t="n"/>
      <c r="J21" s="5" t="n"/>
      <c r="K21" s="11">
        <f>IF(A21="","",
            IF(AND(F21="Yes (checked)",G21="Yes",
                   OR(D21="Cryptographic Erasure",D21="Multi-pass Overwrite",D21="Physical Destruction")),
                "Compliant","Non-Compliant"))</f>
        <v/>
      </c>
      <c r="L21" s="5" t="n"/>
      <c r="M21" s="5" t="n"/>
      <c r="N21" s="5" t="n"/>
    </row>
    <row r="22">
      <c r="A22" s="5" t="n"/>
      <c r="B22" s="4" t="n"/>
      <c r="C22" s="5" t="n"/>
      <c r="D22" s="5" t="n"/>
      <c r="E22" s="5" t="n"/>
      <c r="F22" s="5" t="n"/>
      <c r="G22" s="5" t="n"/>
      <c r="H22" s="4" t="n"/>
      <c r="I22" s="5" t="n"/>
      <c r="J22" s="5" t="n"/>
      <c r="K22" s="11">
        <f>IF(A22="","",
            IF(AND(F22="Yes (checked)",G22="Yes",
                   OR(D22="Cryptographic Erasure",D22="Multi-pass Overwrite",D22="Physical Destruction")),
                "Compliant","Non-Compliant"))</f>
        <v/>
      </c>
      <c r="L22" s="5" t="n"/>
      <c r="M22" s="5" t="n"/>
      <c r="N22" s="5" t="n"/>
    </row>
    <row r="23">
      <c r="A23" s="5" t="n"/>
      <c r="B23" s="4" t="n"/>
      <c r="C23" s="5" t="n"/>
      <c r="D23" s="5" t="n"/>
      <c r="E23" s="5" t="n"/>
      <c r="F23" s="5" t="n"/>
      <c r="G23" s="5" t="n"/>
      <c r="H23" s="4" t="n"/>
      <c r="I23" s="5" t="n"/>
      <c r="J23" s="5" t="n"/>
      <c r="K23" s="11">
        <f>IF(A23="","",
            IF(AND(F23="Yes (checked)",G23="Yes",
                   OR(D23="Cryptographic Erasure",D23="Multi-pass Overwrite",D23="Physical Destruction")),
                "Compliant","Non-Compliant"))</f>
        <v/>
      </c>
      <c r="L23" s="5" t="n"/>
      <c r="M23" s="5" t="n"/>
      <c r="N23" s="5" t="n"/>
    </row>
    <row r="24">
      <c r="A24" s="5" t="n"/>
      <c r="B24" s="4" t="n"/>
      <c r="C24" s="5" t="n"/>
      <c r="D24" s="5" t="n"/>
      <c r="E24" s="5" t="n"/>
      <c r="F24" s="5" t="n"/>
      <c r="G24" s="5" t="n"/>
      <c r="H24" s="4" t="n"/>
      <c r="I24" s="5" t="n"/>
      <c r="J24" s="5" t="n"/>
      <c r="K24" s="11">
        <f>IF(A24="","",
            IF(AND(F24="Yes (checked)",G24="Yes",
                   OR(D24="Cryptographic Erasure",D24="Multi-pass Overwrite",D24="Physical Destruction")),
                "Compliant","Non-Compliant"))</f>
        <v/>
      </c>
      <c r="L24" s="5" t="n"/>
      <c r="M24" s="5" t="n"/>
      <c r="N24" s="5" t="n"/>
    </row>
    <row r="25">
      <c r="A25" s="5" t="n"/>
      <c r="B25" s="4" t="n"/>
      <c r="C25" s="5" t="n"/>
      <c r="D25" s="5" t="n"/>
      <c r="E25" s="5" t="n"/>
      <c r="F25" s="5" t="n"/>
      <c r="G25" s="5" t="n"/>
      <c r="H25" s="4" t="n"/>
      <c r="I25" s="5" t="n"/>
      <c r="J25" s="5" t="n"/>
      <c r="K25" s="11">
        <f>IF(A25="","",
            IF(AND(F25="Yes (checked)",G25="Yes",
                   OR(D25="Cryptographic Erasure",D25="Multi-pass Overwrite",D25="Physical Destruction")),
                "Compliant","Non-Compliant"))</f>
        <v/>
      </c>
      <c r="L25" s="5" t="n"/>
      <c r="M25" s="5" t="n"/>
      <c r="N25" s="5" t="n"/>
    </row>
    <row r="26">
      <c r="A26" s="5" t="n"/>
      <c r="B26" s="4" t="n"/>
      <c r="C26" s="5" t="n"/>
      <c r="D26" s="5" t="n"/>
      <c r="E26" s="5" t="n"/>
      <c r="F26" s="5" t="n"/>
      <c r="G26" s="5" t="n"/>
      <c r="H26" s="4" t="n"/>
      <c r="I26" s="5" t="n"/>
      <c r="J26" s="5" t="n"/>
      <c r="K26" s="11">
        <f>IF(A26="","",
            IF(AND(F26="Yes (checked)",G26="Yes",
                   OR(D26="Cryptographic Erasure",D26="Multi-pass Overwrite",D26="Physical Destruction")),
                "Compliant","Non-Compliant"))</f>
        <v/>
      </c>
      <c r="L26" s="5" t="n"/>
      <c r="M26" s="5" t="n"/>
      <c r="N26" s="5" t="n"/>
    </row>
    <row r="27">
      <c r="A27" s="5" t="n"/>
      <c r="B27" s="4" t="n"/>
      <c r="C27" s="5" t="n"/>
      <c r="D27" s="5" t="n"/>
      <c r="E27" s="5" t="n"/>
      <c r="F27" s="5" t="n"/>
      <c r="G27" s="5" t="n"/>
      <c r="H27" s="4" t="n"/>
      <c r="I27" s="5" t="n"/>
      <c r="J27" s="5" t="n"/>
      <c r="K27" s="11">
        <f>IF(A27="","",
            IF(AND(F27="Yes (checked)",G27="Yes",
                   OR(D27="Cryptographic Erasure",D27="Multi-pass Overwrite",D27="Physical Destruction")),
                "Compliant","Non-Compliant"))</f>
        <v/>
      </c>
      <c r="L27" s="5" t="n"/>
      <c r="M27" s="5" t="n"/>
      <c r="N27" s="5" t="n"/>
    </row>
    <row r="28">
      <c r="A28" s="5" t="n"/>
      <c r="B28" s="4" t="n"/>
      <c r="C28" s="5" t="n"/>
      <c r="D28" s="5" t="n"/>
      <c r="E28" s="5" t="n"/>
      <c r="F28" s="5" t="n"/>
      <c r="G28" s="5" t="n"/>
      <c r="H28" s="4" t="n"/>
      <c r="I28" s="5" t="n"/>
      <c r="J28" s="5" t="n"/>
      <c r="K28" s="11">
        <f>IF(A28="","",
            IF(AND(F28="Yes (checked)",G28="Yes",
                   OR(D28="Cryptographic Erasure",D28="Multi-pass Overwrite",D28="Physical Destruction")),
                "Compliant","Non-Compliant"))</f>
        <v/>
      </c>
      <c r="L28" s="5" t="n"/>
      <c r="M28" s="5" t="n"/>
      <c r="N28" s="5" t="n"/>
    </row>
    <row r="29">
      <c r="A29" s="5" t="n"/>
      <c r="B29" s="4" t="n"/>
      <c r="C29" s="5" t="n"/>
      <c r="D29" s="5" t="n"/>
      <c r="E29" s="5" t="n"/>
      <c r="F29" s="5" t="n"/>
      <c r="G29" s="5" t="n"/>
      <c r="H29" s="4" t="n"/>
      <c r="I29" s="5" t="n"/>
      <c r="J29" s="5" t="n"/>
      <c r="K29" s="11">
        <f>IF(A29="","",
            IF(AND(F29="Yes (checked)",G29="Yes",
                   OR(D29="Cryptographic Erasure",D29="Multi-pass Overwrite",D29="Physical Destruction")),
                "Compliant","Non-Compliant"))</f>
        <v/>
      </c>
      <c r="L29" s="5" t="n"/>
      <c r="M29" s="5" t="n"/>
      <c r="N29" s="5" t="n"/>
    </row>
    <row r="30">
      <c r="A30" s="5" t="n"/>
      <c r="B30" s="4" t="n"/>
      <c r="C30" s="5" t="n"/>
      <c r="D30" s="5" t="n"/>
      <c r="E30" s="5" t="n"/>
      <c r="F30" s="5" t="n"/>
      <c r="G30" s="5" t="n"/>
      <c r="H30" s="4" t="n"/>
      <c r="I30" s="5" t="n"/>
      <c r="J30" s="5" t="n"/>
      <c r="K30" s="11">
        <f>IF(A30="","",
            IF(AND(F30="Yes (checked)",G30="Yes",
                   OR(D30="Cryptographic Erasure",D30="Multi-pass Overwrite",D30="Physical Destruction")),
                "Compliant","Non-Compliant"))</f>
        <v/>
      </c>
      <c r="L30" s="5" t="n"/>
      <c r="M30" s="5" t="n"/>
      <c r="N30" s="5" t="n"/>
    </row>
    <row r="31">
      <c r="A31" s="5" t="n"/>
      <c r="B31" s="4" t="n"/>
      <c r="C31" s="5" t="n"/>
      <c r="D31" s="5" t="n"/>
      <c r="E31" s="5" t="n"/>
      <c r="F31" s="5" t="n"/>
      <c r="G31" s="5" t="n"/>
      <c r="H31" s="4" t="n"/>
      <c r="I31" s="5" t="n"/>
      <c r="J31" s="5" t="n"/>
      <c r="K31" s="11">
        <f>IF(A31="","",
            IF(AND(F31="Yes (checked)",G31="Yes",
                   OR(D31="Cryptographic Erasure",D31="Multi-pass Overwrite",D31="Physical Destruction")),
                "Compliant","Non-Compliant"))</f>
        <v/>
      </c>
      <c r="L31" s="5" t="n"/>
      <c r="M31" s="5" t="n"/>
      <c r="N31" s="5" t="n"/>
    </row>
    <row r="32">
      <c r="A32" s="5" t="n"/>
      <c r="B32" s="4" t="n"/>
      <c r="C32" s="5" t="n"/>
      <c r="D32" s="5" t="n"/>
      <c r="E32" s="5" t="n"/>
      <c r="F32" s="5" t="n"/>
      <c r="G32" s="5" t="n"/>
      <c r="H32" s="4" t="n"/>
      <c r="I32" s="5" t="n"/>
      <c r="J32" s="5" t="n"/>
      <c r="K32" s="11">
        <f>IF(A32="","",
            IF(AND(F32="Yes (checked)",G32="Yes",
                   OR(D32="Cryptographic Erasure",D32="Multi-pass Overwrite",D32="Physical Destruction")),
                "Compliant","Non-Compliant"))</f>
        <v/>
      </c>
      <c r="L32" s="5" t="n"/>
      <c r="M32" s="5" t="n"/>
      <c r="N32" s="5" t="n"/>
    </row>
    <row r="33">
      <c r="A33" s="5" t="n"/>
      <c r="B33" s="4" t="n"/>
      <c r="C33" s="5" t="n"/>
      <c r="D33" s="5" t="n"/>
      <c r="E33" s="5" t="n"/>
      <c r="F33" s="5" t="n"/>
      <c r="G33" s="5" t="n"/>
      <c r="H33" s="4" t="n"/>
      <c r="I33" s="5" t="n"/>
      <c r="J33" s="5" t="n"/>
      <c r="K33" s="11">
        <f>IF(A33="","",
            IF(AND(F33="Yes (checked)",G33="Yes",
                   OR(D33="Cryptographic Erasure",D33="Multi-pass Overwrite",D33="Physical Destruction")),
                "Compliant","Non-Compliant"))</f>
        <v/>
      </c>
      <c r="L33" s="5" t="n"/>
      <c r="M33" s="5" t="n"/>
      <c r="N33" s="5" t="n"/>
    </row>
    <row r="34">
      <c r="A34" s="5" t="n"/>
      <c r="B34" s="4" t="n"/>
      <c r="C34" s="5" t="n"/>
      <c r="D34" s="5" t="n"/>
      <c r="E34" s="5" t="n"/>
      <c r="F34" s="5" t="n"/>
      <c r="G34" s="5" t="n"/>
      <c r="H34" s="4" t="n"/>
      <c r="I34" s="5" t="n"/>
      <c r="J34" s="5" t="n"/>
      <c r="K34" s="11">
        <f>IF(A34="","",
            IF(AND(F34="Yes (checked)",G34="Yes",
                   OR(D34="Cryptographic Erasure",D34="Multi-pass Overwrite",D34="Physical Destruction")),
                "Compliant","Non-Compliant"))</f>
        <v/>
      </c>
      <c r="L34" s="5" t="n"/>
      <c r="M34" s="5" t="n"/>
      <c r="N34" s="5" t="n"/>
    </row>
    <row r="35">
      <c r="A35" s="5" t="n"/>
      <c r="B35" s="4" t="n"/>
      <c r="C35" s="5" t="n"/>
      <c r="D35" s="5" t="n"/>
      <c r="E35" s="5" t="n"/>
      <c r="F35" s="5" t="n"/>
      <c r="G35" s="5" t="n"/>
      <c r="H35" s="4" t="n"/>
      <c r="I35" s="5" t="n"/>
      <c r="J35" s="5" t="n"/>
      <c r="K35" s="11">
        <f>IF(A35="","",
            IF(AND(F35="Yes (checked)",G35="Yes",
                   OR(D35="Cryptographic Erasure",D35="Multi-pass Overwrite",D35="Physical Destruction")),
                "Compliant","Non-Compliant"))</f>
        <v/>
      </c>
      <c r="L35" s="5" t="n"/>
      <c r="M35" s="5" t="n"/>
      <c r="N35" s="5" t="n"/>
    </row>
    <row r="36">
      <c r="A36" s="5" t="n"/>
      <c r="B36" s="4" t="n"/>
      <c r="C36" s="5" t="n"/>
      <c r="D36" s="5" t="n"/>
      <c r="E36" s="5" t="n"/>
      <c r="F36" s="5" t="n"/>
      <c r="G36" s="5" t="n"/>
      <c r="H36" s="4" t="n"/>
      <c r="I36" s="5" t="n"/>
      <c r="J36" s="5" t="n"/>
      <c r="K36" s="11">
        <f>IF(A36="","",
            IF(AND(F36="Yes (checked)",G36="Yes",
                   OR(D36="Cryptographic Erasure",D36="Multi-pass Overwrite",D36="Physical Destruction")),
                "Compliant","Non-Compliant"))</f>
        <v/>
      </c>
      <c r="L36" s="5" t="n"/>
      <c r="M36" s="5" t="n"/>
      <c r="N36" s="5" t="n"/>
    </row>
    <row r="37">
      <c r="A37" s="5" t="n"/>
      <c r="B37" s="4" t="n"/>
      <c r="C37" s="5" t="n"/>
      <c r="D37" s="5" t="n"/>
      <c r="E37" s="5" t="n"/>
      <c r="F37" s="5" t="n"/>
      <c r="G37" s="5" t="n"/>
      <c r="H37" s="4" t="n"/>
      <c r="I37" s="5" t="n"/>
      <c r="J37" s="5" t="n"/>
      <c r="K37" s="11">
        <f>IF(A37="","",
            IF(AND(F37="Yes (checked)",G37="Yes",
                   OR(D37="Cryptographic Erasure",D37="Multi-pass Overwrite",D37="Physical Destruction")),
                "Compliant","Non-Compliant"))</f>
        <v/>
      </c>
      <c r="L37" s="5" t="n"/>
      <c r="M37" s="5" t="n"/>
      <c r="N37" s="5" t="n"/>
    </row>
    <row r="38">
      <c r="A38" s="5" t="n"/>
      <c r="B38" s="4" t="n"/>
      <c r="C38" s="5" t="n"/>
      <c r="D38" s="5" t="n"/>
      <c r="E38" s="5" t="n"/>
      <c r="F38" s="5" t="n"/>
      <c r="G38" s="5" t="n"/>
      <c r="H38" s="4" t="n"/>
      <c r="I38" s="5" t="n"/>
      <c r="J38" s="5" t="n"/>
      <c r="K38" s="11">
        <f>IF(A38="","",
            IF(AND(F38="Yes (checked)",G38="Yes",
                   OR(D38="Cryptographic Erasure",D38="Multi-pass Overwrite",D38="Physical Destruction")),
                "Compliant","Non-Compliant"))</f>
        <v/>
      </c>
      <c r="L38" s="5" t="n"/>
      <c r="M38" s="5" t="n"/>
      <c r="N38" s="5" t="n"/>
    </row>
    <row r="39">
      <c r="A39" s="5" t="n"/>
      <c r="B39" s="4" t="n"/>
      <c r="C39" s="5" t="n"/>
      <c r="D39" s="5" t="n"/>
      <c r="E39" s="5" t="n"/>
      <c r="F39" s="5" t="n"/>
      <c r="G39" s="5" t="n"/>
      <c r="H39" s="4" t="n"/>
      <c r="I39" s="5" t="n"/>
      <c r="J39" s="5" t="n"/>
      <c r="K39" s="11">
        <f>IF(A39="","",
            IF(AND(F39="Yes (checked)",G39="Yes",
                   OR(D39="Cryptographic Erasure",D39="Multi-pass Overwrite",D39="Physical Destruction")),
                "Compliant","Non-Compliant"))</f>
        <v/>
      </c>
      <c r="L39" s="5" t="n"/>
      <c r="M39" s="5" t="n"/>
      <c r="N39" s="5" t="n"/>
    </row>
    <row r="40">
      <c r="A40" s="5" t="n"/>
      <c r="B40" s="4" t="n"/>
      <c r="C40" s="5" t="n"/>
      <c r="D40" s="5" t="n"/>
      <c r="E40" s="5" t="n"/>
      <c r="F40" s="5" t="n"/>
      <c r="G40" s="5" t="n"/>
      <c r="H40" s="4" t="n"/>
      <c r="I40" s="5" t="n"/>
      <c r="J40" s="5" t="n"/>
      <c r="K40" s="11">
        <f>IF(A40="","",
            IF(AND(F40="Yes (checked)",G40="Yes",
                   OR(D40="Cryptographic Erasure",D40="Multi-pass Overwrite",D40="Physical Destruction")),
                "Compliant","Non-Compliant"))</f>
        <v/>
      </c>
      <c r="L40" s="5" t="n"/>
      <c r="M40" s="5" t="n"/>
      <c r="N40" s="5" t="n"/>
    </row>
    <row r="41">
      <c r="A41" s="5" t="n"/>
      <c r="B41" s="4" t="n"/>
      <c r="C41" s="5" t="n"/>
      <c r="D41" s="5" t="n"/>
      <c r="E41" s="5" t="n"/>
      <c r="F41" s="5" t="n"/>
      <c r="G41" s="5" t="n"/>
      <c r="H41" s="4" t="n"/>
      <c r="I41" s="5" t="n"/>
      <c r="J41" s="5" t="n"/>
      <c r="K41" s="11">
        <f>IF(A41="","",
            IF(AND(F41="Yes (checked)",G41="Yes",
                   OR(D41="Cryptographic Erasure",D41="Multi-pass Overwrite",D41="Physical Destruction")),
                "Compliant","Non-Compliant"))</f>
        <v/>
      </c>
      <c r="L41" s="5" t="n"/>
      <c r="M41" s="5" t="n"/>
      <c r="N41" s="5" t="n"/>
    </row>
    <row r="42">
      <c r="A42" s="5" t="n"/>
      <c r="B42" s="4" t="n"/>
      <c r="C42" s="5" t="n"/>
      <c r="D42" s="5" t="n"/>
      <c r="E42" s="5" t="n"/>
      <c r="F42" s="5" t="n"/>
      <c r="G42" s="5" t="n"/>
      <c r="H42" s="4" t="n"/>
      <c r="I42" s="5" t="n"/>
      <c r="J42" s="5" t="n"/>
      <c r="K42" s="11">
        <f>IF(A42="","",
            IF(AND(F42="Yes (checked)",G42="Yes",
                   OR(D42="Cryptographic Erasure",D42="Multi-pass Overwrite",D42="Physical Destruction")),
                "Compliant","Non-Compliant"))</f>
        <v/>
      </c>
      <c r="L42" s="5" t="n"/>
      <c r="M42" s="5" t="n"/>
      <c r="N42" s="5" t="n"/>
    </row>
    <row r="43">
      <c r="A43" s="5" t="n"/>
      <c r="B43" s="4" t="n"/>
      <c r="C43" s="5" t="n"/>
      <c r="D43" s="5" t="n"/>
      <c r="E43" s="5" t="n"/>
      <c r="F43" s="5" t="n"/>
      <c r="G43" s="5" t="n"/>
      <c r="H43" s="4" t="n"/>
      <c r="I43" s="5" t="n"/>
      <c r="J43" s="5" t="n"/>
      <c r="K43" s="11">
        <f>IF(A43="","",
            IF(AND(F43="Yes (checked)",G43="Yes",
                   OR(D43="Cryptographic Erasure",D43="Multi-pass Overwrite",D43="Physical Destruction")),
                "Compliant","Non-Compliant"))</f>
        <v/>
      </c>
      <c r="L43" s="5" t="n"/>
      <c r="M43" s="5" t="n"/>
      <c r="N43" s="5" t="n"/>
    </row>
    <row r="44">
      <c r="A44" s="5" t="n"/>
      <c r="B44" s="4" t="n"/>
      <c r="C44" s="5" t="n"/>
      <c r="D44" s="5" t="n"/>
      <c r="E44" s="5" t="n"/>
      <c r="F44" s="5" t="n"/>
      <c r="G44" s="5" t="n"/>
      <c r="H44" s="4" t="n"/>
      <c r="I44" s="5" t="n"/>
      <c r="J44" s="5" t="n"/>
      <c r="K44" s="11">
        <f>IF(A44="","",
            IF(AND(F44="Yes (checked)",G44="Yes",
                   OR(D44="Cryptographic Erasure",D44="Multi-pass Overwrite",D44="Physical Destruction")),
                "Compliant","Non-Compliant"))</f>
        <v/>
      </c>
      <c r="L44" s="5" t="n"/>
      <c r="M44" s="5" t="n"/>
      <c r="N44" s="5" t="n"/>
    </row>
    <row r="45">
      <c r="A45" s="5" t="n"/>
      <c r="B45" s="4" t="n"/>
      <c r="C45" s="5" t="n"/>
      <c r="D45" s="5" t="n"/>
      <c r="E45" s="5" t="n"/>
      <c r="F45" s="5" t="n"/>
      <c r="G45" s="5" t="n"/>
      <c r="H45" s="4" t="n"/>
      <c r="I45" s="5" t="n"/>
      <c r="J45" s="5" t="n"/>
      <c r="K45" s="11">
        <f>IF(A45="","",
            IF(AND(F45="Yes (checked)",G45="Yes",
                   OR(D45="Cryptographic Erasure",D45="Multi-pass Overwrite",D45="Physical Destruction")),
                "Compliant","Non-Compliant"))</f>
        <v/>
      </c>
      <c r="L45" s="5" t="n"/>
      <c r="M45" s="5" t="n"/>
      <c r="N45" s="5" t="n"/>
    </row>
    <row r="46">
      <c r="A46" s="5" t="n"/>
      <c r="B46" s="4" t="n"/>
      <c r="C46" s="5" t="n"/>
      <c r="D46" s="5" t="n"/>
      <c r="E46" s="5" t="n"/>
      <c r="F46" s="5" t="n"/>
      <c r="G46" s="5" t="n"/>
      <c r="H46" s="4" t="n"/>
      <c r="I46" s="5" t="n"/>
      <c r="J46" s="5" t="n"/>
      <c r="K46" s="11">
        <f>IF(A46="","",
            IF(AND(F46="Yes (checked)",G46="Yes",
                   OR(D46="Cryptographic Erasure",D46="Multi-pass Overwrite",D46="Physical Destruction")),
                "Compliant","Non-Compliant"))</f>
        <v/>
      </c>
      <c r="L46" s="5" t="n"/>
      <c r="M46" s="5" t="n"/>
      <c r="N46" s="5" t="n"/>
    </row>
    <row r="47">
      <c r="A47" s="5" t="n"/>
      <c r="B47" s="4" t="n"/>
      <c r="C47" s="5" t="n"/>
      <c r="D47" s="5" t="n"/>
      <c r="E47" s="5" t="n"/>
      <c r="F47" s="5" t="n"/>
      <c r="G47" s="5" t="n"/>
      <c r="H47" s="4" t="n"/>
      <c r="I47" s="5" t="n"/>
      <c r="J47" s="5" t="n"/>
      <c r="K47" s="11">
        <f>IF(A47="","",
            IF(AND(F47="Yes (checked)",G47="Yes",
                   OR(D47="Cryptographic Erasure",D47="Multi-pass Overwrite",D47="Physical Destruction")),
                "Compliant","Non-Compliant"))</f>
        <v/>
      </c>
      <c r="L47" s="5" t="n"/>
      <c r="M47" s="5" t="n"/>
      <c r="N47" s="5" t="n"/>
    </row>
    <row r="48">
      <c r="A48" s="5" t="n"/>
      <c r="B48" s="4" t="n"/>
      <c r="C48" s="5" t="n"/>
      <c r="D48" s="5" t="n"/>
      <c r="E48" s="5" t="n"/>
      <c r="F48" s="5" t="n"/>
      <c r="G48" s="5" t="n"/>
      <c r="H48" s="4" t="n"/>
      <c r="I48" s="5" t="n"/>
      <c r="J48" s="5" t="n"/>
      <c r="K48" s="11">
        <f>IF(A48="","",
            IF(AND(F48="Yes (checked)",G48="Yes",
                   OR(D48="Cryptographic Erasure",D48="Multi-pass Overwrite",D48="Physical Destruction")),
                "Compliant","Non-Compliant"))</f>
        <v/>
      </c>
      <c r="L48" s="5" t="n"/>
      <c r="M48" s="5" t="n"/>
      <c r="N48" s="5" t="n"/>
    </row>
    <row r="49">
      <c r="A49" s="5" t="n"/>
      <c r="B49" s="4" t="n"/>
      <c r="C49" s="5" t="n"/>
      <c r="D49" s="5" t="n"/>
      <c r="E49" s="5" t="n"/>
      <c r="F49" s="5" t="n"/>
      <c r="G49" s="5" t="n"/>
      <c r="H49" s="4" t="n"/>
      <c r="I49" s="5" t="n"/>
      <c r="J49" s="5" t="n"/>
      <c r="K49" s="11">
        <f>IF(A49="","",
            IF(AND(F49="Yes (checked)",G49="Yes",
                   OR(D49="Cryptographic Erasure",D49="Multi-pass Overwrite",D49="Physical Destruction")),
                "Compliant","Non-Compliant"))</f>
        <v/>
      </c>
      <c r="L49" s="5" t="n"/>
      <c r="M49" s="5" t="n"/>
      <c r="N49" s="5" t="n"/>
    </row>
    <row r="50">
      <c r="A50" s="5" t="n"/>
      <c r="B50" s="4" t="n"/>
      <c r="C50" s="5" t="n"/>
      <c r="D50" s="5" t="n"/>
      <c r="E50" s="5" t="n"/>
      <c r="F50" s="5" t="n"/>
      <c r="G50" s="5" t="n"/>
      <c r="H50" s="4" t="n"/>
      <c r="I50" s="5" t="n"/>
      <c r="J50" s="5" t="n"/>
      <c r="K50" s="11">
        <f>IF(A50="","",
            IF(AND(F50="Yes (checked)",G50="Yes",
                   OR(D50="Cryptographic Erasure",D50="Multi-pass Overwrite",D50="Physical Destruction")),
                "Compliant","Non-Compliant"))</f>
        <v/>
      </c>
      <c r="L50" s="5" t="n"/>
      <c r="M50" s="5" t="n"/>
      <c r="N50" s="5" t="n"/>
    </row>
  </sheetData>
  <mergeCells count="2">
    <mergeCell ref="A2:N2"/>
    <mergeCell ref="A1:N1"/>
  </mergeCells>
  <dataValidations count="6">
    <dataValidation sqref="C9:C50" showDropDown="0" showInputMessage="0" showErrorMessage="0" allowBlank="1" type="list">
      <formula1>"Yes,No"</formula1>
    </dataValidation>
    <dataValidation sqref="D9:D50" showDropDown="0" showInputMessage="0" showErrorMessage="0" allowBlank="1" type="list">
      <formula1>"Cryptographic Erasure,Multi-pass Overwrite,Physical Destruction,Deletion"</formula1>
    </dataValidation>
    <dataValidation sqref="E9:E50" showDropDown="0" showInputMessage="0" showErrorMessage="0" allowBlank="1" type="list">
      <formula1>"Yes (manual),No (automated),N/A"</formula1>
    </dataValidation>
    <dataValidation sqref="F9:F50" showDropDown="0" showInputMessage="0" showErrorMessage="0" allowBlank="1" type="list">
      <formula1>"Yes (checked),No,N/A"</formula1>
    </dataValidation>
    <dataValidation sqref="G9:G50" showDropDown="0" showInputMessage="0" showErrorMessage="0" allowBlank="1" type="list">
      <formula1>"Yes,No"</formula1>
    </dataValidation>
    <dataValidation sqref="J9:J50" showDropDown="0" showInputMessage="0" showErrorMessage="0" allowBlank="1" type="list">
      <formula1>"Verified,Not Verified"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50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18" customWidth="1" min="4" max="4"/>
    <col width="25" customWidth="1" min="5" max="5"/>
    <col width="40" customWidth="1" min="6" max="6"/>
    <col width="20" customWidth="1" min="7" max="7"/>
    <col width="22" customWidth="1" min="8" max="8"/>
    <col width="20" customWidth="1" min="9" max="9"/>
    <col width="18" customWidth="1" min="10" max="10"/>
    <col width="18" customWidth="1" min="11" max="11"/>
    <col width="18" customWidth="1" min="12" max="12"/>
    <col width="40" customWidth="1" min="13" max="13"/>
    <col width="40" customWidth="1" min="14" max="14"/>
  </cols>
  <sheetData>
    <row r="1" ht="40" customHeight="1">
      <c r="A1" s="1" t="inlineStr">
        <is>
          <t>SEPARATION OF DUTIES</t>
        </is>
      </c>
    </row>
    <row r="2" ht="30" customHeight="1">
      <c r="A2" s="6" t="inlineStr">
        <is>
          <t>Assess separation of duties per ISMS-POL-A.8.15-S2.2.6</t>
        </is>
      </c>
    </row>
    <row r="7" ht="35" customHeight="1">
      <c r="A7" s="8" t="inlineStr">
        <is>
          <t>System / Component</t>
        </is>
      </c>
      <c r="B7" s="8" t="inlineStr">
        <is>
          <t>System Administrator(s)</t>
        </is>
      </c>
      <c r="C7" s="8" t="inlineStr">
        <is>
          <t>Log Administrator(s)</t>
        </is>
      </c>
      <c r="D7" s="8" t="inlineStr">
        <is>
          <t>Roles Separated</t>
        </is>
      </c>
      <c r="E7" s="8" t="inlineStr">
        <is>
          <t>Sys Admin Can Modify Logs</t>
        </is>
      </c>
      <c r="F7" s="8" t="inlineStr">
        <is>
          <t>Compensating Controls</t>
        </is>
      </c>
      <c r="G7" s="8" t="inlineStr">
        <is>
          <t>Break-Glass Procedure</t>
        </is>
      </c>
      <c r="H7" s="8" t="inlineStr">
        <is>
          <t>Break-Glass Usage Logged</t>
        </is>
      </c>
      <c r="I7" s="8" t="inlineStr">
        <is>
          <t>Independent Review</t>
        </is>
      </c>
      <c r="J7" s="8" t="inlineStr">
        <is>
          <t>Last Review Date</t>
        </is>
      </c>
      <c r="K7" s="8" t="inlineStr">
        <is>
          <t>Violations Detected</t>
        </is>
      </c>
      <c r="L7" s="8" t="inlineStr">
        <is>
          <t>Compliance Status</t>
        </is>
      </c>
      <c r="M7" s="8" t="inlineStr">
        <is>
          <t>Remediation Plan</t>
        </is>
      </c>
      <c r="N7" s="8" t="inlineStr">
        <is>
          <t>Notes</t>
        </is>
      </c>
    </row>
    <row r="8">
      <c r="A8" s="9" t="inlineStr">
        <is>
          <t>SIEM Platform</t>
        </is>
      </c>
      <c r="B8" s="9" t="inlineStr">
        <is>
          <t>IT Ops Team</t>
        </is>
      </c>
      <c r="C8" s="9" t="inlineStr">
        <is>
          <t>Security Team</t>
        </is>
      </c>
      <c r="D8" s="9" t="inlineStr">
        <is>
          <t>Yes (different people)</t>
        </is>
      </c>
      <c r="E8" s="9" t="inlineStr">
        <is>
          <t>No (compliant)</t>
        </is>
      </c>
      <c r="F8" s="9" t="inlineStr"/>
      <c r="G8" s="9" t="inlineStr">
        <is>
          <t>Yes (documented)</t>
        </is>
      </c>
      <c r="H8" s="9" t="inlineStr">
        <is>
          <t>Yes</t>
        </is>
      </c>
      <c r="I8" s="9" t="inlineStr">
        <is>
          <t>Yes</t>
        </is>
      </c>
      <c r="J8" s="9" t="inlineStr">
        <is>
          <t>15.12.2025</t>
        </is>
      </c>
      <c r="K8" s="9" t="inlineStr">
        <is>
          <t>None</t>
        </is>
      </c>
      <c r="L8" s="9" t="inlineStr">
        <is>
          <t>Compliant</t>
        </is>
      </c>
      <c r="M8" s="9" t="inlineStr"/>
      <c r="N8" s="9" t="inlineStr">
        <is>
          <t>Proper separation implemented</t>
        </is>
      </c>
    </row>
    <row r="9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4" t="n"/>
      <c r="K9" s="5" t="n"/>
      <c r="L9" s="11">
        <f>IF(A9="","",
            IF(AND(D9="Yes (different people)",
                   OR(E9="No (compliant)",E9="Limited")),
                "Compliant","Non-Compliant"))</f>
        <v/>
      </c>
      <c r="M9" s="5" t="n"/>
      <c r="N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4" t="n"/>
      <c r="K10" s="5" t="n"/>
      <c r="L10" s="11">
        <f>IF(A10="","",
            IF(AND(D10="Yes (different people)",
                   OR(E10="No (compliant)",E10="Limited")),
                "Compliant","Non-Compliant"))</f>
        <v/>
      </c>
      <c r="M10" s="5" t="n"/>
      <c r="N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4" t="n"/>
      <c r="K11" s="5" t="n"/>
      <c r="L11" s="11">
        <f>IF(A11="","",
            IF(AND(D11="Yes (different people)",
                   OR(E11="No (compliant)",E11="Limited")),
                "Compliant","Non-Compliant"))</f>
        <v/>
      </c>
      <c r="M11" s="5" t="n"/>
      <c r="N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4" t="n"/>
      <c r="K12" s="5" t="n"/>
      <c r="L12" s="11">
        <f>IF(A12="","",
            IF(AND(D12="Yes (different people)",
                   OR(E12="No (compliant)",E12="Limited")),
                "Compliant","Non-Compliant"))</f>
        <v/>
      </c>
      <c r="M12" s="5" t="n"/>
      <c r="N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4" t="n"/>
      <c r="K13" s="5" t="n"/>
      <c r="L13" s="11">
        <f>IF(A13="","",
            IF(AND(D13="Yes (different people)",
                   OR(E13="No (compliant)",E13="Limited")),
                "Compliant","Non-Compliant"))</f>
        <v/>
      </c>
      <c r="M13" s="5" t="n"/>
      <c r="N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4" t="n"/>
      <c r="K14" s="5" t="n"/>
      <c r="L14" s="11">
        <f>IF(A14="","",
            IF(AND(D14="Yes (different people)",
                   OR(E14="No (compliant)",E14="Limited")),
                "Compliant","Non-Compliant"))</f>
        <v/>
      </c>
      <c r="M14" s="5" t="n"/>
      <c r="N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4" t="n"/>
      <c r="K15" s="5" t="n"/>
      <c r="L15" s="11">
        <f>IF(A15="","",
            IF(AND(D15="Yes (different people)",
                   OR(E15="No (compliant)",E15="Limited")),
                "Compliant","Non-Compliant"))</f>
        <v/>
      </c>
      <c r="M15" s="5" t="n"/>
      <c r="N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4" t="n"/>
      <c r="K16" s="5" t="n"/>
      <c r="L16" s="11">
        <f>IF(A16="","",
            IF(AND(D16="Yes (different people)",
                   OR(E16="No (compliant)",E16="Limited")),
                "Compliant","Non-Compliant"))</f>
        <v/>
      </c>
      <c r="M16" s="5" t="n"/>
      <c r="N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4" t="n"/>
      <c r="K17" s="5" t="n"/>
      <c r="L17" s="11">
        <f>IF(A17="","",
            IF(AND(D17="Yes (different people)",
                   OR(E17="No (compliant)",E17="Limited")),
                "Compliant","Non-Compliant"))</f>
        <v/>
      </c>
      <c r="M17" s="5" t="n"/>
      <c r="N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4" t="n"/>
      <c r="K18" s="5" t="n"/>
      <c r="L18" s="11">
        <f>IF(A18="","",
            IF(AND(D18="Yes (different people)",
                   OR(E18="No (compliant)",E18="Limited")),
                "Compliant","Non-Compliant"))</f>
        <v/>
      </c>
      <c r="M18" s="5" t="n"/>
      <c r="N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4" t="n"/>
      <c r="K19" s="5" t="n"/>
      <c r="L19" s="11">
        <f>IF(A19="","",
            IF(AND(D19="Yes (different people)",
                   OR(E19="No (compliant)",E19="Limited")),
                "Compliant","Non-Compliant"))</f>
        <v/>
      </c>
      <c r="M19" s="5" t="n"/>
      <c r="N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4" t="n"/>
      <c r="K20" s="5" t="n"/>
      <c r="L20" s="11">
        <f>IF(A20="","",
            IF(AND(D20="Yes (different people)",
                   OR(E20="No (compliant)",E20="Limited")),
                "Compliant","Non-Compliant"))</f>
        <v/>
      </c>
      <c r="M20" s="5" t="n"/>
      <c r="N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4" t="n"/>
      <c r="K21" s="5" t="n"/>
      <c r="L21" s="11">
        <f>IF(A21="","",
            IF(AND(D21="Yes (different people)",
                   OR(E21="No (compliant)",E21="Limited")),
                "Compliant","Non-Compliant"))</f>
        <v/>
      </c>
      <c r="M21" s="5" t="n"/>
      <c r="N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4" t="n"/>
      <c r="K22" s="5" t="n"/>
      <c r="L22" s="11">
        <f>IF(A22="","",
            IF(AND(D22="Yes (different people)",
                   OR(E22="No (compliant)",E22="Limited")),
                "Compliant","Non-Compliant"))</f>
        <v/>
      </c>
      <c r="M22" s="5" t="n"/>
      <c r="N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4" t="n"/>
      <c r="K23" s="5" t="n"/>
      <c r="L23" s="11">
        <f>IF(A23="","",
            IF(AND(D23="Yes (different people)",
                   OR(E23="No (compliant)",E23="Limited")),
                "Compliant","Non-Compliant"))</f>
        <v/>
      </c>
      <c r="M23" s="5" t="n"/>
      <c r="N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4" t="n"/>
      <c r="K24" s="5" t="n"/>
      <c r="L24" s="11">
        <f>IF(A24="","",
            IF(AND(D24="Yes (different people)",
                   OR(E24="No (compliant)",E24="Limited")),
                "Compliant","Non-Compliant"))</f>
        <v/>
      </c>
      <c r="M24" s="5" t="n"/>
      <c r="N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4" t="n"/>
      <c r="K25" s="5" t="n"/>
      <c r="L25" s="11">
        <f>IF(A25="","",
            IF(AND(D25="Yes (different people)",
                   OR(E25="No (compliant)",E25="Limited")),
                "Compliant","Non-Compliant"))</f>
        <v/>
      </c>
      <c r="M25" s="5" t="n"/>
      <c r="N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4" t="n"/>
      <c r="K26" s="5" t="n"/>
      <c r="L26" s="11">
        <f>IF(A26="","",
            IF(AND(D26="Yes (different people)",
                   OR(E26="No (compliant)",E26="Limited")),
                "Compliant","Non-Compliant"))</f>
        <v/>
      </c>
      <c r="M26" s="5" t="n"/>
      <c r="N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4" t="n"/>
      <c r="K27" s="5" t="n"/>
      <c r="L27" s="11">
        <f>IF(A27="","",
            IF(AND(D27="Yes (different people)",
                   OR(E27="No (compliant)",E27="Limited")),
                "Compliant","Non-Compliant"))</f>
        <v/>
      </c>
      <c r="M27" s="5" t="n"/>
      <c r="N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4" t="n"/>
      <c r="K28" s="5" t="n"/>
      <c r="L28" s="11">
        <f>IF(A28="","",
            IF(AND(D28="Yes (different people)",
                   OR(E28="No (compliant)",E28="Limited")),
                "Compliant","Non-Compliant"))</f>
        <v/>
      </c>
      <c r="M28" s="5" t="n"/>
      <c r="N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4" t="n"/>
      <c r="K29" s="5" t="n"/>
      <c r="L29" s="11">
        <f>IF(A29="","",
            IF(AND(D29="Yes (different people)",
                   OR(E29="No (compliant)",E29="Limited")),
                "Compliant","Non-Compliant"))</f>
        <v/>
      </c>
      <c r="M29" s="5" t="n"/>
      <c r="N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4" t="n"/>
      <c r="K30" s="5" t="n"/>
      <c r="L30" s="11">
        <f>IF(A30="","",
            IF(AND(D30="Yes (different people)",
                   OR(E30="No (compliant)",E30="Limited")),
                "Compliant","Non-Compliant"))</f>
        <v/>
      </c>
      <c r="M30" s="5" t="n"/>
      <c r="N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4" t="n"/>
      <c r="K31" s="5" t="n"/>
      <c r="L31" s="11">
        <f>IF(A31="","",
            IF(AND(D31="Yes (different people)",
                   OR(E31="No (compliant)",E31="Limited")),
                "Compliant","Non-Compliant"))</f>
        <v/>
      </c>
      <c r="M31" s="5" t="n"/>
      <c r="N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4" t="n"/>
      <c r="K32" s="5" t="n"/>
      <c r="L32" s="11">
        <f>IF(A32="","",
            IF(AND(D32="Yes (different people)",
                   OR(E32="No (compliant)",E32="Limited")),
                "Compliant","Non-Compliant"))</f>
        <v/>
      </c>
      <c r="M32" s="5" t="n"/>
      <c r="N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4" t="n"/>
      <c r="K33" s="5" t="n"/>
      <c r="L33" s="11">
        <f>IF(A33="","",
            IF(AND(D33="Yes (different people)",
                   OR(E33="No (compliant)",E33="Limited")),
                "Compliant","Non-Compliant"))</f>
        <v/>
      </c>
      <c r="M33" s="5" t="n"/>
      <c r="N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4" t="n"/>
      <c r="K34" s="5" t="n"/>
      <c r="L34" s="11">
        <f>IF(A34="","",
            IF(AND(D34="Yes (different people)",
                   OR(E34="No (compliant)",E34="Limited")),
                "Compliant","Non-Compliant"))</f>
        <v/>
      </c>
      <c r="M34" s="5" t="n"/>
      <c r="N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4" t="n"/>
      <c r="K35" s="5" t="n"/>
      <c r="L35" s="11">
        <f>IF(A35="","",
            IF(AND(D35="Yes (different people)",
                   OR(E35="No (compliant)",E35="Limited")),
                "Compliant","Non-Compliant"))</f>
        <v/>
      </c>
      <c r="M35" s="5" t="n"/>
      <c r="N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4" t="n"/>
      <c r="K36" s="5" t="n"/>
      <c r="L36" s="11">
        <f>IF(A36="","",
            IF(AND(D36="Yes (different people)",
                   OR(E36="No (compliant)",E36="Limited")),
                "Compliant","Non-Compliant"))</f>
        <v/>
      </c>
      <c r="M36" s="5" t="n"/>
      <c r="N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4" t="n"/>
      <c r="K37" s="5" t="n"/>
      <c r="L37" s="11">
        <f>IF(A37="","",
            IF(AND(D37="Yes (different people)",
                   OR(E37="No (compliant)",E37="Limited")),
                "Compliant","Non-Compliant"))</f>
        <v/>
      </c>
      <c r="M37" s="5" t="n"/>
      <c r="N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4" t="n"/>
      <c r="K38" s="5" t="n"/>
      <c r="L38" s="11">
        <f>IF(A38="","",
            IF(AND(D38="Yes (different people)",
                   OR(E38="No (compliant)",E38="Limited")),
                "Compliant","Non-Compliant"))</f>
        <v/>
      </c>
      <c r="M38" s="5" t="n"/>
      <c r="N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4" t="n"/>
      <c r="K39" s="5" t="n"/>
      <c r="L39" s="11">
        <f>IF(A39="","",
            IF(AND(D39="Yes (different people)",
                   OR(E39="No (compliant)",E39="Limited")),
                "Compliant","Non-Compliant"))</f>
        <v/>
      </c>
      <c r="M39" s="5" t="n"/>
      <c r="N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4" t="n"/>
      <c r="K40" s="5" t="n"/>
      <c r="L40" s="11">
        <f>IF(A40="","",
            IF(AND(D40="Yes (different people)",
                   OR(E40="No (compliant)",E40="Limited")),
                "Compliant","Non-Compliant"))</f>
        <v/>
      </c>
      <c r="M40" s="5" t="n"/>
      <c r="N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4" t="n"/>
      <c r="K41" s="5" t="n"/>
      <c r="L41" s="11">
        <f>IF(A41="","",
            IF(AND(D41="Yes (different people)",
                   OR(E41="No (compliant)",E41="Limited")),
                "Compliant","Non-Compliant"))</f>
        <v/>
      </c>
      <c r="M41" s="5" t="n"/>
      <c r="N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4" t="n"/>
      <c r="K42" s="5" t="n"/>
      <c r="L42" s="11">
        <f>IF(A42="","",
            IF(AND(D42="Yes (different people)",
                   OR(E42="No (compliant)",E42="Limited")),
                "Compliant","Non-Compliant"))</f>
        <v/>
      </c>
      <c r="M42" s="5" t="n"/>
      <c r="N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4" t="n"/>
      <c r="K43" s="5" t="n"/>
      <c r="L43" s="11">
        <f>IF(A43="","",
            IF(AND(D43="Yes (different people)",
                   OR(E43="No (compliant)",E43="Limited")),
                "Compliant","Non-Compliant"))</f>
        <v/>
      </c>
      <c r="M43" s="5" t="n"/>
      <c r="N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4" t="n"/>
      <c r="K44" s="5" t="n"/>
      <c r="L44" s="11">
        <f>IF(A44="","",
            IF(AND(D44="Yes (different people)",
                   OR(E44="No (compliant)",E44="Limited")),
                "Compliant","Non-Compliant"))</f>
        <v/>
      </c>
      <c r="M44" s="5" t="n"/>
      <c r="N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4" t="n"/>
      <c r="K45" s="5" t="n"/>
      <c r="L45" s="11">
        <f>IF(A45="","",
            IF(AND(D45="Yes (different people)",
                   OR(E45="No (compliant)",E45="Limited")),
                "Compliant","Non-Compliant"))</f>
        <v/>
      </c>
      <c r="M45" s="5" t="n"/>
      <c r="N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4" t="n"/>
      <c r="K46" s="5" t="n"/>
      <c r="L46" s="11">
        <f>IF(A46="","",
            IF(AND(D46="Yes (different people)",
                   OR(E46="No (compliant)",E46="Limited")),
                "Compliant","Non-Compliant"))</f>
        <v/>
      </c>
      <c r="M46" s="5" t="n"/>
      <c r="N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4" t="n"/>
      <c r="K47" s="5" t="n"/>
      <c r="L47" s="11">
        <f>IF(A47="","",
            IF(AND(D47="Yes (different people)",
                   OR(E47="No (compliant)",E47="Limited")),
                "Compliant","Non-Compliant"))</f>
        <v/>
      </c>
      <c r="M47" s="5" t="n"/>
      <c r="N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4" t="n"/>
      <c r="K48" s="5" t="n"/>
      <c r="L48" s="11">
        <f>IF(A48="","",
            IF(AND(D48="Yes (different people)",
                   OR(E48="No (compliant)",E48="Limited")),
                "Compliant","Non-Compliant"))</f>
        <v/>
      </c>
      <c r="M48" s="5" t="n"/>
      <c r="N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4" t="n"/>
      <c r="K49" s="5" t="n"/>
      <c r="L49" s="11">
        <f>IF(A49="","",
            IF(AND(D49="Yes (different people)",
                   OR(E49="No (compliant)",E49="Limited")),
                "Compliant","Non-Compliant"))</f>
        <v/>
      </c>
      <c r="M49" s="5" t="n"/>
      <c r="N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4" t="n"/>
      <c r="K50" s="5" t="n"/>
      <c r="L50" s="11">
        <f>IF(A50="","",
            IF(AND(D50="Yes (different people)",
                   OR(E50="No (compliant)",E50="Limited")),
                "Compliant","Non-Compliant"))</f>
        <v/>
      </c>
      <c r="M50" s="5" t="n"/>
      <c r="N50" s="5" t="n"/>
    </row>
  </sheetData>
  <mergeCells count="2">
    <mergeCell ref="A2:N2"/>
    <mergeCell ref="A1:N1"/>
  </mergeCells>
  <dataValidations count="5">
    <dataValidation sqref="D9:D50" showDropDown="0" showInputMessage="0" showErrorMessage="0" allowBlank="1" type="list">
      <formula1>"Yes (different people),No (same people),Partial"</formula1>
    </dataValidation>
    <dataValidation sqref="E9:E50" showDropDown="0" showInputMessage="0" showErrorMessage="0" allowBlank="1" type="list">
      <formula1>"No (compliant),Yes (violation),Limited"</formula1>
    </dataValidation>
    <dataValidation sqref="G9:G50" showDropDown="0" showInputMessage="0" showErrorMessage="0" allowBlank="1" type="list">
      <formula1>"Yes (documented),No"</formula1>
    </dataValidation>
    <dataValidation sqref="H9:H50 I9:I50" showDropDown="0" showInputMessage="0" showErrorMessage="0" allowBlank="1" type="list">
      <formula1>"✅ Yes,❌ No,➖ N/A"</formula1>
    </dataValidation>
    <dataValidation sqref="K9:K50" showDropDown="0" showInputMessage="0" showErrorMessage="0" allowBlank="1" type="list">
      <formula1>"None,Historical,Recent"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25" customWidth="1" min="4" max="4"/>
    <col width="40" customWidth="1" min="5" max="5"/>
    <col width="30" customWidth="1" min="6" max="6"/>
    <col width="20" customWidth="1" min="7" max="7"/>
    <col width="15" customWidth="1" min="8" max="8"/>
    <col width="15" customWidth="1" min="9" max="9"/>
    <col width="18" customWidth="1" min="10" max="10"/>
    <col width="15" customWidth="1" min="11" max="11"/>
    <col width="25" customWidth="1" min="12" max="12"/>
    <col width="40" customWidth="1" min="13" max="13"/>
  </cols>
  <sheetData>
    <row r="1" ht="40" customHeight="1">
      <c r="A1" s="1" t="inlineStr">
        <is>
          <t>LEGAL HOLD MANAGEMENT</t>
        </is>
      </c>
    </row>
    <row r="2" ht="30" customHeight="1">
      <c r="A2" s="6" t="inlineStr">
        <is>
          <t>Track legal holds per ISMS-POL-A.8.15-S2.3.6</t>
        </is>
      </c>
    </row>
    <row r="7" ht="35" customHeight="1">
      <c r="A7" s="8" t="inlineStr">
        <is>
          <t>Hold ID</t>
        </is>
      </c>
      <c r="B7" s="8" t="inlineStr">
        <is>
          <t>Hold Name / Matter</t>
        </is>
      </c>
      <c r="C7" s="8" t="inlineStr">
        <is>
          <t>Initiation Date</t>
        </is>
      </c>
      <c r="D7" s="8" t="inlineStr">
        <is>
          <t>Initiated By</t>
        </is>
      </c>
      <c r="E7" s="8" t="inlineStr">
        <is>
          <t>Scope Description</t>
        </is>
      </c>
      <c r="F7" s="8" t="inlineStr">
        <is>
          <t>Systems/Sources Affected</t>
        </is>
      </c>
      <c r="G7" s="8" t="inlineStr">
        <is>
          <t>Date Range</t>
        </is>
      </c>
      <c r="H7" s="8" t="inlineStr">
        <is>
          <t>Hold Status</t>
        </is>
      </c>
      <c r="I7" s="8" t="inlineStr">
        <is>
          <t>Review Date</t>
        </is>
      </c>
      <c r="J7" s="8" t="inlineStr">
        <is>
          <t>Disposal Prevented</t>
        </is>
      </c>
      <c r="K7" s="8" t="inlineStr">
        <is>
          <t>Release Date</t>
        </is>
      </c>
      <c r="L7" s="8" t="inlineStr">
        <is>
          <t>Release Authorized By</t>
        </is>
      </c>
      <c r="M7" s="8" t="inlineStr">
        <is>
          <t>Notes</t>
        </is>
      </c>
    </row>
    <row r="8">
      <c r="A8" s="9" t="inlineStr">
        <is>
          <t>HOLD-001</t>
        </is>
      </c>
      <c r="B8" s="9" t="inlineStr">
        <is>
          <t>Internal Investigation 2025-Q4</t>
        </is>
      </c>
      <c r="C8" s="9" t="inlineStr">
        <is>
          <t>15.10.2025</t>
        </is>
      </c>
      <c r="D8" s="9" t="inlineStr">
        <is>
          <t>Legal Counsel - Jane Smith</t>
        </is>
      </c>
      <c r="E8" s="9" t="inlineStr">
        <is>
          <t>All authentication and access logs for Finance Dept</t>
        </is>
      </c>
      <c r="F8" s="9" t="inlineStr">
        <is>
          <t>ERP System, File Servers</t>
        </is>
      </c>
      <c r="G8" s="9" t="inlineStr">
        <is>
          <t>01.09.2025 - 31.12.2025</t>
        </is>
      </c>
      <c r="H8" s="9" t="inlineStr">
        <is>
          <t>Active</t>
        </is>
      </c>
      <c r="I8" s="9" t="inlineStr">
        <is>
          <t>15.01.2026</t>
        </is>
      </c>
      <c r="J8" s="9" t="inlineStr">
        <is>
          <t>Yes (verified)</t>
        </is>
      </c>
      <c r="K8" s="9" t="inlineStr"/>
      <c r="L8" s="9" t="inlineStr"/>
      <c r="M8" s="9" t="inlineStr">
        <is>
          <t>Quarterly review scheduled</t>
        </is>
      </c>
    </row>
    <row r="9">
      <c r="A9" s="11">
        <f>IF(B9&lt;&gt;"","HOLD-"&amp;TEXT(ROW()-8,"000"),"")</f>
        <v/>
      </c>
      <c r="B9" s="5" t="n"/>
      <c r="C9" s="4" t="n"/>
      <c r="D9" s="5" t="n"/>
      <c r="E9" s="5" t="n"/>
      <c r="F9" s="5" t="n"/>
      <c r="G9" s="5" t="n"/>
      <c r="H9" s="5" t="n"/>
      <c r="I9" s="4" t="n"/>
      <c r="J9" s="5" t="n"/>
      <c r="K9" s="4" t="n"/>
      <c r="L9" s="5" t="n"/>
      <c r="M9" s="5" t="n"/>
    </row>
    <row r="10">
      <c r="A10" s="11">
        <f>IF(B10&lt;&gt;"","HOLD-"&amp;TEXT(ROW()-8,"000"),"")</f>
        <v/>
      </c>
      <c r="B10" s="5" t="n"/>
      <c r="C10" s="4" t="n"/>
      <c r="D10" s="5" t="n"/>
      <c r="E10" s="5" t="n"/>
      <c r="F10" s="5" t="n"/>
      <c r="G10" s="5" t="n"/>
      <c r="H10" s="5" t="n"/>
      <c r="I10" s="4" t="n"/>
      <c r="J10" s="5" t="n"/>
      <c r="K10" s="4" t="n"/>
      <c r="L10" s="5" t="n"/>
      <c r="M10" s="5" t="n"/>
    </row>
    <row r="11">
      <c r="A11" s="11">
        <f>IF(B11&lt;&gt;"","HOLD-"&amp;TEXT(ROW()-8,"000"),"")</f>
        <v/>
      </c>
      <c r="B11" s="5" t="n"/>
      <c r="C11" s="4" t="n"/>
      <c r="D11" s="5" t="n"/>
      <c r="E11" s="5" t="n"/>
      <c r="F11" s="5" t="n"/>
      <c r="G11" s="5" t="n"/>
      <c r="H11" s="5" t="n"/>
      <c r="I11" s="4" t="n"/>
      <c r="J11" s="5" t="n"/>
      <c r="K11" s="4" t="n"/>
      <c r="L11" s="5" t="n"/>
      <c r="M11" s="5" t="n"/>
    </row>
    <row r="12">
      <c r="A12" s="11">
        <f>IF(B12&lt;&gt;"","HOLD-"&amp;TEXT(ROW()-8,"000"),"")</f>
        <v/>
      </c>
      <c r="B12" s="5" t="n"/>
      <c r="C12" s="4" t="n"/>
      <c r="D12" s="5" t="n"/>
      <c r="E12" s="5" t="n"/>
      <c r="F12" s="5" t="n"/>
      <c r="G12" s="5" t="n"/>
      <c r="H12" s="5" t="n"/>
      <c r="I12" s="4" t="n"/>
      <c r="J12" s="5" t="n"/>
      <c r="K12" s="4" t="n"/>
      <c r="L12" s="5" t="n"/>
      <c r="M12" s="5" t="n"/>
    </row>
    <row r="13">
      <c r="A13" s="11">
        <f>IF(B13&lt;&gt;"","HOLD-"&amp;TEXT(ROW()-8,"000"),"")</f>
        <v/>
      </c>
      <c r="B13" s="5" t="n"/>
      <c r="C13" s="4" t="n"/>
      <c r="D13" s="5" t="n"/>
      <c r="E13" s="5" t="n"/>
      <c r="F13" s="5" t="n"/>
      <c r="G13" s="5" t="n"/>
      <c r="H13" s="5" t="n"/>
      <c r="I13" s="4" t="n"/>
      <c r="J13" s="5" t="n"/>
      <c r="K13" s="4" t="n"/>
      <c r="L13" s="5" t="n"/>
      <c r="M13" s="5" t="n"/>
    </row>
    <row r="14">
      <c r="A14" s="11">
        <f>IF(B14&lt;&gt;"","HOLD-"&amp;TEXT(ROW()-8,"000"),"")</f>
        <v/>
      </c>
      <c r="B14" s="5" t="n"/>
      <c r="C14" s="4" t="n"/>
      <c r="D14" s="5" t="n"/>
      <c r="E14" s="5" t="n"/>
      <c r="F14" s="5" t="n"/>
      <c r="G14" s="5" t="n"/>
      <c r="H14" s="5" t="n"/>
      <c r="I14" s="4" t="n"/>
      <c r="J14" s="5" t="n"/>
      <c r="K14" s="4" t="n"/>
      <c r="L14" s="5" t="n"/>
      <c r="M14" s="5" t="n"/>
    </row>
    <row r="15">
      <c r="A15" s="11">
        <f>IF(B15&lt;&gt;"","HOLD-"&amp;TEXT(ROW()-8,"000"),"")</f>
        <v/>
      </c>
      <c r="B15" s="5" t="n"/>
      <c r="C15" s="4" t="n"/>
      <c r="D15" s="5" t="n"/>
      <c r="E15" s="5" t="n"/>
      <c r="F15" s="5" t="n"/>
      <c r="G15" s="5" t="n"/>
      <c r="H15" s="5" t="n"/>
      <c r="I15" s="4" t="n"/>
      <c r="J15" s="5" t="n"/>
      <c r="K15" s="4" t="n"/>
      <c r="L15" s="5" t="n"/>
      <c r="M15" s="5" t="n"/>
    </row>
    <row r="16">
      <c r="A16" s="11">
        <f>IF(B16&lt;&gt;"","HOLD-"&amp;TEXT(ROW()-8,"000"),"")</f>
        <v/>
      </c>
      <c r="B16" s="5" t="n"/>
      <c r="C16" s="4" t="n"/>
      <c r="D16" s="5" t="n"/>
      <c r="E16" s="5" t="n"/>
      <c r="F16" s="5" t="n"/>
      <c r="G16" s="5" t="n"/>
      <c r="H16" s="5" t="n"/>
      <c r="I16" s="4" t="n"/>
      <c r="J16" s="5" t="n"/>
      <c r="K16" s="4" t="n"/>
      <c r="L16" s="5" t="n"/>
      <c r="M16" s="5" t="n"/>
    </row>
    <row r="17">
      <c r="A17" s="11">
        <f>IF(B17&lt;&gt;"","HOLD-"&amp;TEXT(ROW()-8,"000"),"")</f>
        <v/>
      </c>
      <c r="B17" s="5" t="n"/>
      <c r="C17" s="4" t="n"/>
      <c r="D17" s="5" t="n"/>
      <c r="E17" s="5" t="n"/>
      <c r="F17" s="5" t="n"/>
      <c r="G17" s="5" t="n"/>
      <c r="H17" s="5" t="n"/>
      <c r="I17" s="4" t="n"/>
      <c r="J17" s="5" t="n"/>
      <c r="K17" s="4" t="n"/>
      <c r="L17" s="5" t="n"/>
      <c r="M17" s="5" t="n"/>
    </row>
    <row r="18">
      <c r="A18" s="11">
        <f>IF(B18&lt;&gt;"","HOLD-"&amp;TEXT(ROW()-8,"000"),"")</f>
        <v/>
      </c>
      <c r="B18" s="5" t="n"/>
      <c r="C18" s="4" t="n"/>
      <c r="D18" s="5" t="n"/>
      <c r="E18" s="5" t="n"/>
      <c r="F18" s="5" t="n"/>
      <c r="G18" s="5" t="n"/>
      <c r="H18" s="5" t="n"/>
      <c r="I18" s="4" t="n"/>
      <c r="J18" s="5" t="n"/>
      <c r="K18" s="4" t="n"/>
      <c r="L18" s="5" t="n"/>
      <c r="M18" s="5" t="n"/>
    </row>
    <row r="19">
      <c r="A19" s="11">
        <f>IF(B19&lt;&gt;"","HOLD-"&amp;TEXT(ROW()-8,"000"),"")</f>
        <v/>
      </c>
      <c r="B19" s="5" t="n"/>
      <c r="C19" s="4" t="n"/>
      <c r="D19" s="5" t="n"/>
      <c r="E19" s="5" t="n"/>
      <c r="F19" s="5" t="n"/>
      <c r="G19" s="5" t="n"/>
      <c r="H19" s="5" t="n"/>
      <c r="I19" s="4" t="n"/>
      <c r="J19" s="5" t="n"/>
      <c r="K19" s="4" t="n"/>
      <c r="L19" s="5" t="n"/>
      <c r="M19" s="5" t="n"/>
    </row>
    <row r="20">
      <c r="A20" s="11">
        <f>IF(B20&lt;&gt;"","HOLD-"&amp;TEXT(ROW()-8,"000"),"")</f>
        <v/>
      </c>
      <c r="B20" s="5" t="n"/>
      <c r="C20" s="4" t="n"/>
      <c r="D20" s="5" t="n"/>
      <c r="E20" s="5" t="n"/>
      <c r="F20" s="5" t="n"/>
      <c r="G20" s="5" t="n"/>
      <c r="H20" s="5" t="n"/>
      <c r="I20" s="4" t="n"/>
      <c r="J20" s="5" t="n"/>
      <c r="K20" s="4" t="n"/>
      <c r="L20" s="5" t="n"/>
      <c r="M20" s="5" t="n"/>
    </row>
    <row r="21">
      <c r="A21" s="11">
        <f>IF(B21&lt;&gt;"","HOLD-"&amp;TEXT(ROW()-8,"000"),"")</f>
        <v/>
      </c>
      <c r="B21" s="5" t="n"/>
      <c r="C21" s="4" t="n"/>
      <c r="D21" s="5" t="n"/>
      <c r="E21" s="5" t="n"/>
      <c r="F21" s="5" t="n"/>
      <c r="G21" s="5" t="n"/>
      <c r="H21" s="5" t="n"/>
      <c r="I21" s="4" t="n"/>
      <c r="J21" s="5" t="n"/>
      <c r="K21" s="4" t="n"/>
      <c r="L21" s="5" t="n"/>
      <c r="M21" s="5" t="n"/>
    </row>
    <row r="22">
      <c r="A22" s="11">
        <f>IF(B22&lt;&gt;"","HOLD-"&amp;TEXT(ROW()-8,"000"),"")</f>
        <v/>
      </c>
      <c r="B22" s="5" t="n"/>
      <c r="C22" s="4" t="n"/>
      <c r="D22" s="5" t="n"/>
      <c r="E22" s="5" t="n"/>
      <c r="F22" s="5" t="n"/>
      <c r="G22" s="5" t="n"/>
      <c r="H22" s="5" t="n"/>
      <c r="I22" s="4" t="n"/>
      <c r="J22" s="5" t="n"/>
      <c r="K22" s="4" t="n"/>
      <c r="L22" s="5" t="n"/>
      <c r="M22" s="5" t="n"/>
    </row>
    <row r="23">
      <c r="A23" s="11">
        <f>IF(B23&lt;&gt;"","HOLD-"&amp;TEXT(ROW()-8,"000"),"")</f>
        <v/>
      </c>
      <c r="B23" s="5" t="n"/>
      <c r="C23" s="4" t="n"/>
      <c r="D23" s="5" t="n"/>
      <c r="E23" s="5" t="n"/>
      <c r="F23" s="5" t="n"/>
      <c r="G23" s="5" t="n"/>
      <c r="H23" s="5" t="n"/>
      <c r="I23" s="4" t="n"/>
      <c r="J23" s="5" t="n"/>
      <c r="K23" s="4" t="n"/>
      <c r="L23" s="5" t="n"/>
      <c r="M23" s="5" t="n"/>
    </row>
    <row r="24">
      <c r="A24" s="11">
        <f>IF(B24&lt;&gt;"","HOLD-"&amp;TEXT(ROW()-8,"000"),"")</f>
        <v/>
      </c>
      <c r="B24" s="5" t="n"/>
      <c r="C24" s="4" t="n"/>
      <c r="D24" s="5" t="n"/>
      <c r="E24" s="5" t="n"/>
      <c r="F24" s="5" t="n"/>
      <c r="G24" s="5" t="n"/>
      <c r="H24" s="5" t="n"/>
      <c r="I24" s="4" t="n"/>
      <c r="J24" s="5" t="n"/>
      <c r="K24" s="4" t="n"/>
      <c r="L24" s="5" t="n"/>
      <c r="M24" s="5" t="n"/>
    </row>
    <row r="25">
      <c r="A25" s="11">
        <f>IF(B25&lt;&gt;"","HOLD-"&amp;TEXT(ROW()-8,"000"),"")</f>
        <v/>
      </c>
      <c r="B25" s="5" t="n"/>
      <c r="C25" s="4" t="n"/>
      <c r="D25" s="5" t="n"/>
      <c r="E25" s="5" t="n"/>
      <c r="F25" s="5" t="n"/>
      <c r="G25" s="5" t="n"/>
      <c r="H25" s="5" t="n"/>
      <c r="I25" s="4" t="n"/>
      <c r="J25" s="5" t="n"/>
      <c r="K25" s="4" t="n"/>
      <c r="L25" s="5" t="n"/>
      <c r="M25" s="5" t="n"/>
    </row>
    <row r="26">
      <c r="A26" s="11">
        <f>IF(B26&lt;&gt;"","HOLD-"&amp;TEXT(ROW()-8,"000"),"")</f>
        <v/>
      </c>
      <c r="B26" s="5" t="n"/>
      <c r="C26" s="4" t="n"/>
      <c r="D26" s="5" t="n"/>
      <c r="E26" s="5" t="n"/>
      <c r="F26" s="5" t="n"/>
      <c r="G26" s="5" t="n"/>
      <c r="H26" s="5" t="n"/>
      <c r="I26" s="4" t="n"/>
      <c r="J26" s="5" t="n"/>
      <c r="K26" s="4" t="n"/>
      <c r="L26" s="5" t="n"/>
      <c r="M26" s="5" t="n"/>
    </row>
    <row r="27">
      <c r="A27" s="11">
        <f>IF(B27&lt;&gt;"","HOLD-"&amp;TEXT(ROW()-8,"000"),"")</f>
        <v/>
      </c>
      <c r="B27" s="5" t="n"/>
      <c r="C27" s="4" t="n"/>
      <c r="D27" s="5" t="n"/>
      <c r="E27" s="5" t="n"/>
      <c r="F27" s="5" t="n"/>
      <c r="G27" s="5" t="n"/>
      <c r="H27" s="5" t="n"/>
      <c r="I27" s="4" t="n"/>
      <c r="J27" s="5" t="n"/>
      <c r="K27" s="4" t="n"/>
      <c r="L27" s="5" t="n"/>
      <c r="M27" s="5" t="n"/>
    </row>
    <row r="28">
      <c r="A28" s="11">
        <f>IF(B28&lt;&gt;"","HOLD-"&amp;TEXT(ROW()-8,"000"),"")</f>
        <v/>
      </c>
      <c r="B28" s="5" t="n"/>
      <c r="C28" s="4" t="n"/>
      <c r="D28" s="5" t="n"/>
      <c r="E28" s="5" t="n"/>
      <c r="F28" s="5" t="n"/>
      <c r="G28" s="5" t="n"/>
      <c r="H28" s="5" t="n"/>
      <c r="I28" s="4" t="n"/>
      <c r="J28" s="5" t="n"/>
      <c r="K28" s="4" t="n"/>
      <c r="L28" s="5" t="n"/>
      <c r="M28" s="5" t="n"/>
    </row>
    <row r="29">
      <c r="A29" s="11">
        <f>IF(B29&lt;&gt;"","HOLD-"&amp;TEXT(ROW()-8,"000"),"")</f>
        <v/>
      </c>
      <c r="B29" s="5" t="n"/>
      <c r="C29" s="4" t="n"/>
      <c r="D29" s="5" t="n"/>
      <c r="E29" s="5" t="n"/>
      <c r="F29" s="5" t="n"/>
      <c r="G29" s="5" t="n"/>
      <c r="H29" s="5" t="n"/>
      <c r="I29" s="4" t="n"/>
      <c r="J29" s="5" t="n"/>
      <c r="K29" s="4" t="n"/>
      <c r="L29" s="5" t="n"/>
      <c r="M29" s="5" t="n"/>
    </row>
    <row r="30">
      <c r="A30" s="11">
        <f>IF(B30&lt;&gt;"","HOLD-"&amp;TEXT(ROW()-8,"000"),"")</f>
        <v/>
      </c>
      <c r="B30" s="5" t="n"/>
      <c r="C30" s="4" t="n"/>
      <c r="D30" s="5" t="n"/>
      <c r="E30" s="5" t="n"/>
      <c r="F30" s="5" t="n"/>
      <c r="G30" s="5" t="n"/>
      <c r="H30" s="5" t="n"/>
      <c r="I30" s="4" t="n"/>
      <c r="J30" s="5" t="n"/>
      <c r="K30" s="4" t="n"/>
      <c r="L30" s="5" t="n"/>
      <c r="M30" s="5" t="n"/>
    </row>
  </sheetData>
  <mergeCells count="2">
    <mergeCell ref="A2:M2"/>
    <mergeCell ref="A1:M1"/>
  </mergeCells>
  <dataValidations count="2">
    <dataValidation sqref="H9:H30" showDropDown="0" showInputMessage="0" showErrorMessage="0" allowBlank="1" type="list">
      <formula1>"Active,Released,Suspended"</formula1>
    </dataValidation>
    <dataValidation sqref="J9:J30" showDropDown="0" showInputMessage="0" showErrorMessage="0" allowBlank="1" type="list">
      <formula1>"Yes (verified),No"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5" customWidth="1" min="1" max="1"/>
    <col width="22" customWidth="1" min="2" max="2"/>
    <col width="20" customWidth="1" min="3" max="3"/>
    <col width="20" customWidth="1" min="4" max="4"/>
    <col width="25" customWidth="1" min="5" max="5"/>
    <col width="18" customWidth="1" min="6" max="6"/>
    <col width="15" customWidth="1" min="7" max="7"/>
    <col width="18" customWidth="1" min="8" max="8"/>
    <col width="14" customWidth="1" min="9" max="9"/>
    <col width="15" customWidth="1" min="10" max="10"/>
    <col width="30" customWidth="1" min="11" max="11"/>
  </cols>
  <sheetData>
    <row r="1" ht="40" customHeight="1">
      <c r="A1" s="1" t="inlineStr">
        <is>
          <t>PRIVACY IMPACT ASSESSMENT</t>
        </is>
      </c>
    </row>
    <row r="2" ht="30" customHeight="1">
      <c r="A2" s="6" t="inlineStr">
        <is>
          <t>Assess privacy implications of log data collection and retention</t>
        </is>
      </c>
    </row>
    <row r="4">
      <c r="A4" s="13" t="inlineStr">
        <is>
          <t>DATA MINIMIZATION ASSESSMENT</t>
        </is>
      </c>
    </row>
    <row r="5">
      <c r="A5" s="8" t="inlineStr">
        <is>
          <t>Log Category</t>
        </is>
      </c>
      <c r="B5" s="8" t="inlineStr">
        <is>
          <t>PII/Sensitive Data Present</t>
        </is>
      </c>
      <c r="C5" s="8" t="inlineStr">
        <is>
          <t>Data Types</t>
        </is>
      </c>
      <c r="D5" s="8" t="inlineStr">
        <is>
          <t>Minimization Applied</t>
        </is>
      </c>
      <c r="E5" s="8" t="inlineStr">
        <is>
          <t>Justification</t>
        </is>
      </c>
      <c r="F5" s="8" t="inlineStr">
        <is>
          <t>Retention Period</t>
        </is>
      </c>
      <c r="G5" s="8" t="inlineStr">
        <is>
          <t>GDPR Article</t>
        </is>
      </c>
      <c r="H5" s="8" t="inlineStr">
        <is>
          <t>Compliance Status</t>
        </is>
      </c>
      <c r="I5" s="8" t="inlineStr">
        <is>
          <t>Review Date</t>
        </is>
      </c>
      <c r="J5" s="8" t="inlineStr">
        <is>
          <t>Owner</t>
        </is>
      </c>
      <c r="K5" s="8" t="inlineStr">
        <is>
          <t>Notes</t>
        </is>
      </c>
    </row>
    <row r="6">
      <c r="A6" t="inlineStr">
        <is>
          <t>Authentication Logs</t>
        </is>
      </c>
      <c r="B6" s="5" t="inlineStr"/>
      <c r="C6" s="5" t="inlineStr"/>
      <c r="D6" s="5" t="inlineStr"/>
      <c r="E6" s="5" t="inlineStr"/>
      <c r="F6" s="5" t="inlineStr"/>
      <c r="G6" s="5" t="inlineStr">
        <is>
          <t>Art. 6(1)(f)</t>
        </is>
      </c>
      <c r="H6" s="5" t="inlineStr"/>
      <c r="I6" s="5" t="inlineStr"/>
      <c r="J6" s="5" t="inlineStr"/>
      <c r="K6" s="5" t="inlineStr"/>
    </row>
    <row r="7">
      <c r="A7" t="inlineStr">
        <is>
          <t>Access Logs</t>
        </is>
      </c>
      <c r="B7" s="5" t="inlineStr"/>
      <c r="C7" s="5" t="inlineStr"/>
      <c r="D7" s="5" t="inlineStr"/>
      <c r="E7" s="5" t="inlineStr"/>
      <c r="F7" s="5" t="inlineStr"/>
      <c r="G7" s="5" t="inlineStr">
        <is>
          <t>Art. 6(1)(f)</t>
        </is>
      </c>
      <c r="H7" s="5" t="inlineStr"/>
      <c r="I7" s="5" t="inlineStr"/>
      <c r="J7" s="5" t="inlineStr"/>
      <c r="K7" s="5" t="inlineStr"/>
    </row>
    <row r="8">
      <c r="A8" t="inlineStr">
        <is>
          <t>Application Logs</t>
        </is>
      </c>
      <c r="B8" s="5" t="inlineStr"/>
      <c r="C8" s="5" t="inlineStr"/>
      <c r="D8" s="5" t="inlineStr"/>
      <c r="E8" s="5" t="inlineStr"/>
      <c r="F8" s="5" t="inlineStr"/>
      <c r="G8" s="5" t="inlineStr">
        <is>
          <t>Art. 6(1)(f)</t>
        </is>
      </c>
      <c r="H8" s="5" t="inlineStr"/>
      <c r="I8" s="5" t="inlineStr"/>
      <c r="J8" s="5" t="inlineStr"/>
      <c r="K8" s="5" t="inlineStr"/>
    </row>
    <row r="9">
      <c r="A9" t="inlineStr">
        <is>
          <t>Network Logs</t>
        </is>
      </c>
      <c r="B9" s="5" t="inlineStr"/>
      <c r="C9" s="5" t="inlineStr"/>
      <c r="D9" s="5" t="inlineStr"/>
      <c r="E9" s="5" t="inlineStr"/>
      <c r="F9" s="5" t="inlineStr"/>
      <c r="G9" s="5" t="inlineStr">
        <is>
          <t>Art. 6(1)(f)</t>
        </is>
      </c>
      <c r="H9" s="5" t="inlineStr"/>
      <c r="I9" s="5" t="inlineStr"/>
      <c r="J9" s="5" t="inlineStr"/>
      <c r="K9" s="5" t="inlineStr"/>
    </row>
    <row r="10">
      <c r="A10" t="inlineStr">
        <is>
          <t>Database Audit Logs</t>
        </is>
      </c>
      <c r="B10" s="5" t="inlineStr"/>
      <c r="C10" s="5" t="inlineStr"/>
      <c r="D10" s="5" t="inlineStr"/>
      <c r="E10" s="5" t="inlineStr"/>
      <c r="F10" s="5" t="inlineStr"/>
      <c r="G10" s="5" t="inlineStr">
        <is>
          <t>Art. 6(1)(c)</t>
        </is>
      </c>
      <c r="H10" s="5" t="inlineStr"/>
      <c r="I10" s="5" t="inlineStr"/>
      <c r="J10" s="5" t="inlineStr"/>
      <c r="K10" s="5" t="inlineStr"/>
    </row>
    <row r="11">
      <c r="A11" t="inlineStr">
        <is>
          <t>Email Logs</t>
        </is>
      </c>
      <c r="B11" s="5" t="inlineStr"/>
      <c r="C11" s="5" t="inlineStr"/>
      <c r="D11" s="5" t="inlineStr"/>
      <c r="E11" s="5" t="inlineStr"/>
      <c r="F11" s="5" t="inlineStr"/>
      <c r="G11" s="5" t="inlineStr">
        <is>
          <t>Art. 6(1)(f)</t>
        </is>
      </c>
      <c r="H11" s="5" t="inlineStr"/>
      <c r="I11" s="5" t="inlineStr"/>
      <c r="J11" s="5" t="inlineStr"/>
      <c r="K11" s="5" t="inlineStr"/>
    </row>
    <row r="12">
      <c r="A12" t="inlineStr">
        <is>
          <t>HR System Logs</t>
        </is>
      </c>
      <c r="B12" s="5" t="inlineStr"/>
      <c r="C12" s="5" t="inlineStr"/>
      <c r="D12" s="5" t="inlineStr"/>
      <c r="E12" s="5" t="inlineStr"/>
      <c r="F12" s="5" t="inlineStr"/>
      <c r="G12" s="5" t="inlineStr">
        <is>
          <t>Art. 6(1)(b)</t>
        </is>
      </c>
      <c r="H12" s="5" t="inlineStr"/>
      <c r="I12" s="5" t="inlineStr"/>
      <c r="J12" s="5" t="inlineStr"/>
      <c r="K12" s="5" t="inlineStr"/>
    </row>
    <row r="15">
      <c r="A15" s="13" t="inlineStr">
        <is>
          <t>PROHIBITED DATA CHECK</t>
        </is>
      </c>
    </row>
    <row r="16">
      <c r="A16" s="8" t="inlineStr">
        <is>
          <t>Data Type</t>
        </is>
      </c>
      <c r="B16" s="8" t="inlineStr">
        <is>
          <t>Logs Checked</t>
        </is>
      </c>
      <c r="C16" s="8" t="inlineStr">
        <is>
          <t>Found?</t>
        </is>
      </c>
      <c r="D16" s="8" t="inlineStr">
        <is>
          <t>Location</t>
        </is>
      </c>
      <c r="E16" s="8" t="inlineStr">
        <is>
          <t>Remediation Action</t>
        </is>
      </c>
      <c r="F16" s="8" t="inlineStr">
        <is>
          <t>Completion Date</t>
        </is>
      </c>
      <c r="G16" s="8" t="inlineStr">
        <is>
          <t>Verified By</t>
        </is>
      </c>
    </row>
    <row r="17">
      <c r="A17" t="inlineStr">
        <is>
          <t>Passwords/Credentials</t>
        </is>
      </c>
      <c r="B17" s="5" t="inlineStr"/>
      <c r="C17" s="5" t="inlineStr"/>
      <c r="D17" s="5" t="inlineStr"/>
      <c r="E17" s="5" t="inlineStr"/>
      <c r="F17" s="5" t="inlineStr"/>
      <c r="G17" s="5" t="inlineStr"/>
    </row>
    <row r="18">
      <c r="A18" t="inlineStr">
        <is>
          <t>Credit Card Numbers</t>
        </is>
      </c>
      <c r="B18" s="5" t="inlineStr"/>
      <c r="C18" s="5" t="inlineStr"/>
      <c r="D18" s="5" t="inlineStr"/>
      <c r="E18" s="5" t="inlineStr"/>
      <c r="F18" s="5" t="inlineStr"/>
      <c r="G18" s="5" t="inlineStr"/>
    </row>
    <row r="19">
      <c r="A19" t="inlineStr">
        <is>
          <t>Social Security Numbers</t>
        </is>
      </c>
      <c r="B19" s="5" t="inlineStr"/>
      <c r="C19" s="5" t="inlineStr"/>
      <c r="D19" s="5" t="inlineStr"/>
      <c r="E19" s="5" t="inlineStr"/>
      <c r="F19" s="5" t="inlineStr"/>
      <c r="G19" s="5" t="inlineStr"/>
    </row>
    <row r="20">
      <c r="A20" t="inlineStr">
        <is>
          <t>Health Information</t>
        </is>
      </c>
      <c r="B20" s="5" t="inlineStr"/>
      <c r="C20" s="5" t="inlineStr"/>
      <c r="D20" s="5" t="inlineStr"/>
      <c r="E20" s="5" t="inlineStr"/>
      <c r="F20" s="5" t="inlineStr"/>
      <c r="G20" s="5" t="inlineStr"/>
    </row>
    <row r="21">
      <c r="A21" t="inlineStr">
        <is>
          <t>Biometric Data</t>
        </is>
      </c>
      <c r="B21" s="5" t="inlineStr"/>
      <c r="C21" s="5" t="inlineStr"/>
      <c r="D21" s="5" t="inlineStr"/>
      <c r="E21" s="5" t="inlineStr"/>
      <c r="F21" s="5" t="inlineStr"/>
      <c r="G21" s="5" t="inlineStr"/>
    </row>
    <row r="22">
      <c r="A22" t="inlineStr">
        <is>
          <t>Racial/Ethnic Data</t>
        </is>
      </c>
      <c r="B22" s="5" t="inlineStr"/>
      <c r="C22" s="5" t="inlineStr"/>
      <c r="D22" s="5" t="inlineStr"/>
      <c r="E22" s="5" t="inlineStr"/>
      <c r="F22" s="5" t="inlineStr"/>
      <c r="G22" s="5" t="inlineStr"/>
    </row>
    <row r="23">
      <c r="A23" t="inlineStr">
        <is>
          <t>Political Opinions</t>
        </is>
      </c>
      <c r="B23" s="5" t="inlineStr"/>
      <c r="C23" s="5" t="inlineStr"/>
      <c r="D23" s="5" t="inlineStr"/>
      <c r="E23" s="5" t="inlineStr"/>
      <c r="F23" s="5" t="inlineStr"/>
      <c r="G23" s="5" t="inlineStr"/>
    </row>
    <row r="24">
      <c r="A24" t="inlineStr">
        <is>
          <t>Religious Beliefs</t>
        </is>
      </c>
      <c r="B24" s="5" t="inlineStr"/>
      <c r="C24" s="5" t="inlineStr"/>
      <c r="D24" s="5" t="inlineStr"/>
      <c r="E24" s="5" t="inlineStr"/>
      <c r="F24" s="5" t="inlineStr"/>
      <c r="G24" s="5" t="inlineStr"/>
    </row>
    <row r="27">
      <c r="A27" s="13" t="inlineStr">
        <is>
          <t>DATA SUBJECT RIGHTS COMPLIANCE</t>
        </is>
      </c>
    </row>
    <row r="28">
      <c r="A28" s="8" t="inlineStr">
        <is>
          <t>Right</t>
        </is>
      </c>
      <c r="B28" s="8" t="inlineStr">
        <is>
          <t>Applicable to Logs?</t>
        </is>
      </c>
      <c r="C28" s="8" t="inlineStr">
        <is>
          <t>Process Documented</t>
        </is>
      </c>
      <c r="D28" s="8" t="inlineStr">
        <is>
          <t>Can Be Fulfilled</t>
        </is>
      </c>
      <c r="E28" s="8" t="inlineStr">
        <is>
          <t>Response Time</t>
        </is>
      </c>
      <c r="F28" s="8" t="inlineStr">
        <is>
          <t>Evidence Ref</t>
        </is>
      </c>
    </row>
    <row r="29">
      <c r="A29" t="inlineStr">
        <is>
          <t>Right of Access (Art. 15)</t>
        </is>
      </c>
      <c r="B29" s="5" t="inlineStr"/>
      <c r="C29" s="5" t="inlineStr"/>
      <c r="D29" s="5" t="inlineStr"/>
      <c r="E29" s="5" t="inlineStr"/>
      <c r="F29" s="5" t="inlineStr"/>
    </row>
    <row r="30">
      <c r="A30" t="inlineStr">
        <is>
          <t>Right to Rectification (Art. 16)</t>
        </is>
      </c>
      <c r="B30" s="5" t="inlineStr"/>
      <c r="C30" s="5" t="inlineStr"/>
      <c r="D30" s="5" t="inlineStr"/>
      <c r="E30" s="5" t="inlineStr"/>
      <c r="F30" s="5" t="inlineStr"/>
    </row>
    <row r="31">
      <c r="A31" t="inlineStr">
        <is>
          <t>Right to Erasure (Art. 17)</t>
        </is>
      </c>
      <c r="B31" s="5" t="inlineStr"/>
      <c r="C31" s="5" t="inlineStr"/>
      <c r="D31" s="5" t="inlineStr"/>
      <c r="E31" s="5" t="inlineStr"/>
      <c r="F31" s="5" t="inlineStr"/>
    </row>
    <row r="32">
      <c r="A32" t="inlineStr">
        <is>
          <t>Right to Restriction (Art. 18)</t>
        </is>
      </c>
      <c r="B32" s="5" t="inlineStr"/>
      <c r="C32" s="5" t="inlineStr"/>
      <c r="D32" s="5" t="inlineStr"/>
      <c r="E32" s="5" t="inlineStr"/>
      <c r="F32" s="5" t="inlineStr"/>
    </row>
    <row r="33">
      <c r="A33" t="inlineStr">
        <is>
          <t>Right to Data Portability (Art. 20)</t>
        </is>
      </c>
      <c r="B33" s="5" t="inlineStr"/>
      <c r="C33" s="5" t="inlineStr"/>
      <c r="D33" s="5" t="inlineStr"/>
      <c r="E33" s="5" t="inlineStr"/>
      <c r="F33" s="5" t="inlineStr"/>
    </row>
  </sheetData>
  <mergeCells count="5">
    <mergeCell ref="A4:K4"/>
    <mergeCell ref="A15:K15"/>
    <mergeCell ref="A2:K2"/>
    <mergeCell ref="A1:K1"/>
    <mergeCell ref="A27:K27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00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50" customWidth="1" min="3" max="3"/>
    <col width="30" customWidth="1" min="4" max="4"/>
    <col width="30" customWidth="1" min="5" max="5"/>
    <col width="15" customWidth="1" min="6" max="6"/>
    <col width="50" customWidth="1" min="7" max="7"/>
    <col width="25" customWidth="1" min="8" max="8"/>
    <col width="15" customWidth="1" min="9" max="9"/>
    <col width="15" customWidth="1" min="10" max="10"/>
    <col width="15" customWidth="1" min="11" max="11"/>
    <col width="40" customWidth="1" min="12" max="12"/>
  </cols>
  <sheetData>
    <row r="1" ht="40" customHeight="1">
      <c r="A1" s="1" t="inlineStr">
        <is>
          <t>GAP ANALYSIS</t>
        </is>
      </c>
    </row>
    <row r="2" ht="30" customHeight="1">
      <c r="A2" s="6" t="inlineStr">
        <is>
          <t>Consolidated protection and retention gaps</t>
        </is>
      </c>
    </row>
    <row r="7" ht="35" customHeight="1">
      <c r="A7" s="8" t="inlineStr">
        <is>
          <t>Gap ID</t>
        </is>
      </c>
      <c r="B7" s="8" t="inlineStr">
        <is>
          <t>Gap Category</t>
        </is>
      </c>
      <c r="C7" s="8" t="inlineStr">
        <is>
          <t>Description</t>
        </is>
      </c>
      <c r="D7" s="8" t="inlineStr">
        <is>
          <t>Affected Systems</t>
        </is>
      </c>
      <c r="E7" s="8" t="inlineStr">
        <is>
          <t>Policy Requirement</t>
        </is>
      </c>
      <c r="F7" s="8" t="inlineStr">
        <is>
          <t>Risk Level</t>
        </is>
      </c>
      <c r="G7" s="8" t="inlineStr">
        <is>
          <t>Remediation Action</t>
        </is>
      </c>
      <c r="H7" s="8" t="inlineStr">
        <is>
          <t>Owner</t>
        </is>
      </c>
      <c r="I7" s="8" t="inlineStr">
        <is>
          <t>Target Date</t>
        </is>
      </c>
      <c r="J7" s="8" t="inlineStr">
        <is>
          <t>Budget Required</t>
        </is>
      </c>
      <c r="K7" s="8" t="inlineStr">
        <is>
          <t>Status</t>
        </is>
      </c>
      <c r="L7" s="8" t="inlineStr">
        <is>
          <t>Notes</t>
        </is>
      </c>
    </row>
    <row r="8">
      <c r="A8" s="9" t="inlineStr">
        <is>
          <t>GAP-001</t>
        </is>
      </c>
      <c r="B8" s="9" t="inlineStr">
        <is>
          <t>Integrity Protection</t>
        </is>
      </c>
      <c r="C8" s="9" t="inlineStr">
        <is>
          <t>WORM storage not implemented for critical logs</t>
        </is>
      </c>
      <c r="D8" s="9" t="inlineStr">
        <is>
          <t>10 critical systems</t>
        </is>
      </c>
      <c r="E8" s="9" t="inlineStr">
        <is>
          <t>ISMS-POL-A.8.15-S2.2.4</t>
        </is>
      </c>
      <c r="F8" s="9" t="inlineStr">
        <is>
          <t>High</t>
        </is>
      </c>
      <c r="G8" s="9" t="inlineStr">
        <is>
          <t>Implement cloud object lock for critical log storage</t>
        </is>
      </c>
      <c r="H8" s="9" t="inlineStr">
        <is>
          <t>IT Ops</t>
        </is>
      </c>
      <c r="I8" s="9" t="inlineStr">
        <is>
          <t>31.03.2026</t>
        </is>
      </c>
      <c r="J8" s="9" t="inlineStr">
        <is>
          <t>Yes</t>
        </is>
      </c>
      <c r="K8" s="9" t="inlineStr">
        <is>
          <t>Open</t>
        </is>
      </c>
      <c r="L8" s="9" t="inlineStr">
        <is>
          <t>Budget approval pending</t>
        </is>
      </c>
    </row>
    <row r="9">
      <c r="A9" s="11">
        <f>IF(B9&lt;&gt;"","GAP-"&amp;TEXT(ROW()-8,"000"),"")</f>
        <v/>
      </c>
      <c r="B9" s="5" t="n"/>
      <c r="C9" s="5" t="n"/>
      <c r="D9" s="5" t="n"/>
      <c r="E9" s="5" t="n"/>
      <c r="F9" s="5" t="n"/>
      <c r="G9" s="5" t="n"/>
      <c r="H9" s="5" t="n"/>
      <c r="I9" s="4" t="n"/>
      <c r="J9" s="5" t="n"/>
      <c r="K9" s="5" t="n"/>
      <c r="L9" s="5" t="n"/>
    </row>
    <row r="10">
      <c r="A10" s="11">
        <f>IF(B10&lt;&gt;"","GAP-"&amp;TEXT(ROW()-8,"000"),"")</f>
        <v/>
      </c>
      <c r="B10" s="5" t="n"/>
      <c r="C10" s="5" t="n"/>
      <c r="D10" s="5" t="n"/>
      <c r="E10" s="5" t="n"/>
      <c r="F10" s="5" t="n"/>
      <c r="G10" s="5" t="n"/>
      <c r="H10" s="5" t="n"/>
      <c r="I10" s="4" t="n"/>
      <c r="J10" s="5" t="n"/>
      <c r="K10" s="5" t="n"/>
      <c r="L10" s="5" t="n"/>
    </row>
    <row r="11">
      <c r="A11" s="11">
        <f>IF(B11&lt;&gt;"","GAP-"&amp;TEXT(ROW()-8,"000"),"")</f>
        <v/>
      </c>
      <c r="B11" s="5" t="n"/>
      <c r="C11" s="5" t="n"/>
      <c r="D11" s="5" t="n"/>
      <c r="E11" s="5" t="n"/>
      <c r="F11" s="5" t="n"/>
      <c r="G11" s="5" t="n"/>
      <c r="H11" s="5" t="n"/>
      <c r="I11" s="4" t="n"/>
      <c r="J11" s="5" t="n"/>
      <c r="K11" s="5" t="n"/>
      <c r="L11" s="5" t="n"/>
    </row>
    <row r="12">
      <c r="A12" s="11">
        <f>IF(B12&lt;&gt;"","GAP-"&amp;TEXT(ROW()-8,"000"),"")</f>
        <v/>
      </c>
      <c r="B12" s="5" t="n"/>
      <c r="C12" s="5" t="n"/>
      <c r="D12" s="5" t="n"/>
      <c r="E12" s="5" t="n"/>
      <c r="F12" s="5" t="n"/>
      <c r="G12" s="5" t="n"/>
      <c r="H12" s="5" t="n"/>
      <c r="I12" s="4" t="n"/>
      <c r="J12" s="5" t="n"/>
      <c r="K12" s="5" t="n"/>
      <c r="L12" s="5" t="n"/>
    </row>
    <row r="13">
      <c r="A13" s="11">
        <f>IF(B13&lt;&gt;"","GAP-"&amp;TEXT(ROW()-8,"000"),"")</f>
        <v/>
      </c>
      <c r="B13" s="5" t="n"/>
      <c r="C13" s="5" t="n"/>
      <c r="D13" s="5" t="n"/>
      <c r="E13" s="5" t="n"/>
      <c r="F13" s="5" t="n"/>
      <c r="G13" s="5" t="n"/>
      <c r="H13" s="5" t="n"/>
      <c r="I13" s="4" t="n"/>
      <c r="J13" s="5" t="n"/>
      <c r="K13" s="5" t="n"/>
      <c r="L13" s="5" t="n"/>
    </row>
    <row r="14">
      <c r="A14" s="11">
        <f>IF(B14&lt;&gt;"","GAP-"&amp;TEXT(ROW()-8,"000"),"")</f>
        <v/>
      </c>
      <c r="B14" s="5" t="n"/>
      <c r="C14" s="5" t="n"/>
      <c r="D14" s="5" t="n"/>
      <c r="E14" s="5" t="n"/>
      <c r="F14" s="5" t="n"/>
      <c r="G14" s="5" t="n"/>
      <c r="H14" s="5" t="n"/>
      <c r="I14" s="4" t="n"/>
      <c r="J14" s="5" t="n"/>
      <c r="K14" s="5" t="n"/>
      <c r="L14" s="5" t="n"/>
    </row>
    <row r="15">
      <c r="A15" s="11">
        <f>IF(B15&lt;&gt;"","GAP-"&amp;TEXT(ROW()-8,"000"),"")</f>
        <v/>
      </c>
      <c r="B15" s="5" t="n"/>
      <c r="C15" s="5" t="n"/>
      <c r="D15" s="5" t="n"/>
      <c r="E15" s="5" t="n"/>
      <c r="F15" s="5" t="n"/>
      <c r="G15" s="5" t="n"/>
      <c r="H15" s="5" t="n"/>
      <c r="I15" s="4" t="n"/>
      <c r="J15" s="5" t="n"/>
      <c r="K15" s="5" t="n"/>
      <c r="L15" s="5" t="n"/>
    </row>
    <row r="16">
      <c r="A16" s="11">
        <f>IF(B16&lt;&gt;"","GAP-"&amp;TEXT(ROW()-8,"000"),"")</f>
        <v/>
      </c>
      <c r="B16" s="5" t="n"/>
      <c r="C16" s="5" t="n"/>
      <c r="D16" s="5" t="n"/>
      <c r="E16" s="5" t="n"/>
      <c r="F16" s="5" t="n"/>
      <c r="G16" s="5" t="n"/>
      <c r="H16" s="5" t="n"/>
      <c r="I16" s="4" t="n"/>
      <c r="J16" s="5" t="n"/>
      <c r="K16" s="5" t="n"/>
      <c r="L16" s="5" t="n"/>
    </row>
    <row r="17">
      <c r="A17" s="11">
        <f>IF(B17&lt;&gt;"","GAP-"&amp;TEXT(ROW()-8,"000"),"")</f>
        <v/>
      </c>
      <c r="B17" s="5" t="n"/>
      <c r="C17" s="5" t="n"/>
      <c r="D17" s="5" t="n"/>
      <c r="E17" s="5" t="n"/>
      <c r="F17" s="5" t="n"/>
      <c r="G17" s="5" t="n"/>
      <c r="H17" s="5" t="n"/>
      <c r="I17" s="4" t="n"/>
      <c r="J17" s="5" t="n"/>
      <c r="K17" s="5" t="n"/>
      <c r="L17" s="5" t="n"/>
    </row>
    <row r="18">
      <c r="A18" s="11">
        <f>IF(B18&lt;&gt;"","GAP-"&amp;TEXT(ROW()-8,"000"),"")</f>
        <v/>
      </c>
      <c r="B18" s="5" t="n"/>
      <c r="C18" s="5" t="n"/>
      <c r="D18" s="5" t="n"/>
      <c r="E18" s="5" t="n"/>
      <c r="F18" s="5" t="n"/>
      <c r="G18" s="5" t="n"/>
      <c r="H18" s="5" t="n"/>
      <c r="I18" s="4" t="n"/>
      <c r="J18" s="5" t="n"/>
      <c r="K18" s="5" t="n"/>
      <c r="L18" s="5" t="n"/>
    </row>
    <row r="19">
      <c r="A19" s="11">
        <f>IF(B19&lt;&gt;"","GAP-"&amp;TEXT(ROW()-8,"000"),"")</f>
        <v/>
      </c>
      <c r="B19" s="5" t="n"/>
      <c r="C19" s="5" t="n"/>
      <c r="D19" s="5" t="n"/>
      <c r="E19" s="5" t="n"/>
      <c r="F19" s="5" t="n"/>
      <c r="G19" s="5" t="n"/>
      <c r="H19" s="5" t="n"/>
      <c r="I19" s="4" t="n"/>
      <c r="J19" s="5" t="n"/>
      <c r="K19" s="5" t="n"/>
      <c r="L19" s="5" t="n"/>
    </row>
    <row r="20">
      <c r="A20" s="11">
        <f>IF(B20&lt;&gt;"","GAP-"&amp;TEXT(ROW()-8,"000"),"")</f>
        <v/>
      </c>
      <c r="B20" s="5" t="n"/>
      <c r="C20" s="5" t="n"/>
      <c r="D20" s="5" t="n"/>
      <c r="E20" s="5" t="n"/>
      <c r="F20" s="5" t="n"/>
      <c r="G20" s="5" t="n"/>
      <c r="H20" s="5" t="n"/>
      <c r="I20" s="4" t="n"/>
      <c r="J20" s="5" t="n"/>
      <c r="K20" s="5" t="n"/>
      <c r="L20" s="5" t="n"/>
    </row>
    <row r="21">
      <c r="A21" s="11">
        <f>IF(B21&lt;&gt;"","GAP-"&amp;TEXT(ROW()-8,"000"),"")</f>
        <v/>
      </c>
      <c r="B21" s="5" t="n"/>
      <c r="C21" s="5" t="n"/>
      <c r="D21" s="5" t="n"/>
      <c r="E21" s="5" t="n"/>
      <c r="F21" s="5" t="n"/>
      <c r="G21" s="5" t="n"/>
      <c r="H21" s="5" t="n"/>
      <c r="I21" s="4" t="n"/>
      <c r="J21" s="5" t="n"/>
      <c r="K21" s="5" t="n"/>
      <c r="L21" s="5" t="n"/>
    </row>
    <row r="22">
      <c r="A22" s="11">
        <f>IF(B22&lt;&gt;"","GAP-"&amp;TEXT(ROW()-8,"000"),"")</f>
        <v/>
      </c>
      <c r="B22" s="5" t="n"/>
      <c r="C22" s="5" t="n"/>
      <c r="D22" s="5" t="n"/>
      <c r="E22" s="5" t="n"/>
      <c r="F22" s="5" t="n"/>
      <c r="G22" s="5" t="n"/>
      <c r="H22" s="5" t="n"/>
      <c r="I22" s="4" t="n"/>
      <c r="J22" s="5" t="n"/>
      <c r="K22" s="5" t="n"/>
      <c r="L22" s="5" t="n"/>
    </row>
    <row r="23">
      <c r="A23" s="11">
        <f>IF(B23&lt;&gt;"","GAP-"&amp;TEXT(ROW()-8,"000"),"")</f>
        <v/>
      </c>
      <c r="B23" s="5" t="n"/>
      <c r="C23" s="5" t="n"/>
      <c r="D23" s="5" t="n"/>
      <c r="E23" s="5" t="n"/>
      <c r="F23" s="5" t="n"/>
      <c r="G23" s="5" t="n"/>
      <c r="H23" s="5" t="n"/>
      <c r="I23" s="4" t="n"/>
      <c r="J23" s="5" t="n"/>
      <c r="K23" s="5" t="n"/>
      <c r="L23" s="5" t="n"/>
    </row>
    <row r="24">
      <c r="A24" s="11">
        <f>IF(B24&lt;&gt;"","GAP-"&amp;TEXT(ROW()-8,"000"),"")</f>
        <v/>
      </c>
      <c r="B24" s="5" t="n"/>
      <c r="C24" s="5" t="n"/>
      <c r="D24" s="5" t="n"/>
      <c r="E24" s="5" t="n"/>
      <c r="F24" s="5" t="n"/>
      <c r="G24" s="5" t="n"/>
      <c r="H24" s="5" t="n"/>
      <c r="I24" s="4" t="n"/>
      <c r="J24" s="5" t="n"/>
      <c r="K24" s="5" t="n"/>
      <c r="L24" s="5" t="n"/>
    </row>
    <row r="25">
      <c r="A25" s="11">
        <f>IF(B25&lt;&gt;"","GAP-"&amp;TEXT(ROW()-8,"000"),"")</f>
        <v/>
      </c>
      <c r="B25" s="5" t="n"/>
      <c r="C25" s="5" t="n"/>
      <c r="D25" s="5" t="n"/>
      <c r="E25" s="5" t="n"/>
      <c r="F25" s="5" t="n"/>
      <c r="G25" s="5" t="n"/>
      <c r="H25" s="5" t="n"/>
      <c r="I25" s="4" t="n"/>
      <c r="J25" s="5" t="n"/>
      <c r="K25" s="5" t="n"/>
      <c r="L25" s="5" t="n"/>
    </row>
    <row r="26">
      <c r="A26" s="11">
        <f>IF(B26&lt;&gt;"","GAP-"&amp;TEXT(ROW()-8,"000"),"")</f>
        <v/>
      </c>
      <c r="B26" s="5" t="n"/>
      <c r="C26" s="5" t="n"/>
      <c r="D26" s="5" t="n"/>
      <c r="E26" s="5" t="n"/>
      <c r="F26" s="5" t="n"/>
      <c r="G26" s="5" t="n"/>
      <c r="H26" s="5" t="n"/>
      <c r="I26" s="4" t="n"/>
      <c r="J26" s="5" t="n"/>
      <c r="K26" s="5" t="n"/>
      <c r="L26" s="5" t="n"/>
    </row>
    <row r="27">
      <c r="A27" s="11">
        <f>IF(B27&lt;&gt;"","GAP-"&amp;TEXT(ROW()-8,"000"),"")</f>
        <v/>
      </c>
      <c r="B27" s="5" t="n"/>
      <c r="C27" s="5" t="n"/>
      <c r="D27" s="5" t="n"/>
      <c r="E27" s="5" t="n"/>
      <c r="F27" s="5" t="n"/>
      <c r="G27" s="5" t="n"/>
      <c r="H27" s="5" t="n"/>
      <c r="I27" s="4" t="n"/>
      <c r="J27" s="5" t="n"/>
      <c r="K27" s="5" t="n"/>
      <c r="L27" s="5" t="n"/>
    </row>
    <row r="28">
      <c r="A28" s="11">
        <f>IF(B28&lt;&gt;"","GAP-"&amp;TEXT(ROW()-8,"000"),"")</f>
        <v/>
      </c>
      <c r="B28" s="5" t="n"/>
      <c r="C28" s="5" t="n"/>
      <c r="D28" s="5" t="n"/>
      <c r="E28" s="5" t="n"/>
      <c r="F28" s="5" t="n"/>
      <c r="G28" s="5" t="n"/>
      <c r="H28" s="5" t="n"/>
      <c r="I28" s="4" t="n"/>
      <c r="J28" s="5" t="n"/>
      <c r="K28" s="5" t="n"/>
      <c r="L28" s="5" t="n"/>
    </row>
    <row r="29">
      <c r="A29" s="11">
        <f>IF(B29&lt;&gt;"","GAP-"&amp;TEXT(ROW()-8,"000"),"")</f>
        <v/>
      </c>
      <c r="B29" s="5" t="n"/>
      <c r="C29" s="5" t="n"/>
      <c r="D29" s="5" t="n"/>
      <c r="E29" s="5" t="n"/>
      <c r="F29" s="5" t="n"/>
      <c r="G29" s="5" t="n"/>
      <c r="H29" s="5" t="n"/>
      <c r="I29" s="4" t="n"/>
      <c r="J29" s="5" t="n"/>
      <c r="K29" s="5" t="n"/>
      <c r="L29" s="5" t="n"/>
    </row>
    <row r="30">
      <c r="A30" s="11">
        <f>IF(B30&lt;&gt;"","GAP-"&amp;TEXT(ROW()-8,"000"),"")</f>
        <v/>
      </c>
      <c r="B30" s="5" t="n"/>
      <c r="C30" s="5" t="n"/>
      <c r="D30" s="5" t="n"/>
      <c r="E30" s="5" t="n"/>
      <c r="F30" s="5" t="n"/>
      <c r="G30" s="5" t="n"/>
      <c r="H30" s="5" t="n"/>
      <c r="I30" s="4" t="n"/>
      <c r="J30" s="5" t="n"/>
      <c r="K30" s="5" t="n"/>
      <c r="L30" s="5" t="n"/>
    </row>
    <row r="31">
      <c r="A31" s="11">
        <f>IF(B31&lt;&gt;"","GAP-"&amp;TEXT(ROW()-8,"000"),"")</f>
        <v/>
      </c>
      <c r="B31" s="5" t="n"/>
      <c r="C31" s="5" t="n"/>
      <c r="D31" s="5" t="n"/>
      <c r="E31" s="5" t="n"/>
      <c r="F31" s="5" t="n"/>
      <c r="G31" s="5" t="n"/>
      <c r="H31" s="5" t="n"/>
      <c r="I31" s="4" t="n"/>
      <c r="J31" s="5" t="n"/>
      <c r="K31" s="5" t="n"/>
      <c r="L31" s="5" t="n"/>
    </row>
    <row r="32">
      <c r="A32" s="11">
        <f>IF(B32&lt;&gt;"","GAP-"&amp;TEXT(ROW()-8,"000"),"")</f>
        <v/>
      </c>
      <c r="B32" s="5" t="n"/>
      <c r="C32" s="5" t="n"/>
      <c r="D32" s="5" t="n"/>
      <c r="E32" s="5" t="n"/>
      <c r="F32" s="5" t="n"/>
      <c r="G32" s="5" t="n"/>
      <c r="H32" s="5" t="n"/>
      <c r="I32" s="4" t="n"/>
      <c r="J32" s="5" t="n"/>
      <c r="K32" s="5" t="n"/>
      <c r="L32" s="5" t="n"/>
    </row>
    <row r="33">
      <c r="A33" s="11">
        <f>IF(B33&lt;&gt;"","GAP-"&amp;TEXT(ROW()-8,"000"),"")</f>
        <v/>
      </c>
      <c r="B33" s="5" t="n"/>
      <c r="C33" s="5" t="n"/>
      <c r="D33" s="5" t="n"/>
      <c r="E33" s="5" t="n"/>
      <c r="F33" s="5" t="n"/>
      <c r="G33" s="5" t="n"/>
      <c r="H33" s="5" t="n"/>
      <c r="I33" s="4" t="n"/>
      <c r="J33" s="5" t="n"/>
      <c r="K33" s="5" t="n"/>
      <c r="L33" s="5" t="n"/>
    </row>
    <row r="34">
      <c r="A34" s="11">
        <f>IF(B34&lt;&gt;"","GAP-"&amp;TEXT(ROW()-8,"000"),"")</f>
        <v/>
      </c>
      <c r="B34" s="5" t="n"/>
      <c r="C34" s="5" t="n"/>
      <c r="D34" s="5" t="n"/>
      <c r="E34" s="5" t="n"/>
      <c r="F34" s="5" t="n"/>
      <c r="G34" s="5" t="n"/>
      <c r="H34" s="5" t="n"/>
      <c r="I34" s="4" t="n"/>
      <c r="J34" s="5" t="n"/>
      <c r="K34" s="5" t="n"/>
      <c r="L34" s="5" t="n"/>
    </row>
    <row r="35">
      <c r="A35" s="11">
        <f>IF(B35&lt;&gt;"","GAP-"&amp;TEXT(ROW()-8,"000"),"")</f>
        <v/>
      </c>
      <c r="B35" s="5" t="n"/>
      <c r="C35" s="5" t="n"/>
      <c r="D35" s="5" t="n"/>
      <c r="E35" s="5" t="n"/>
      <c r="F35" s="5" t="n"/>
      <c r="G35" s="5" t="n"/>
      <c r="H35" s="5" t="n"/>
      <c r="I35" s="4" t="n"/>
      <c r="J35" s="5" t="n"/>
      <c r="K35" s="5" t="n"/>
      <c r="L35" s="5" t="n"/>
    </row>
    <row r="36">
      <c r="A36" s="11">
        <f>IF(B36&lt;&gt;"","GAP-"&amp;TEXT(ROW()-8,"000"),"")</f>
        <v/>
      </c>
      <c r="B36" s="5" t="n"/>
      <c r="C36" s="5" t="n"/>
      <c r="D36" s="5" t="n"/>
      <c r="E36" s="5" t="n"/>
      <c r="F36" s="5" t="n"/>
      <c r="G36" s="5" t="n"/>
      <c r="H36" s="5" t="n"/>
      <c r="I36" s="4" t="n"/>
      <c r="J36" s="5" t="n"/>
      <c r="K36" s="5" t="n"/>
      <c r="L36" s="5" t="n"/>
    </row>
    <row r="37">
      <c r="A37" s="11">
        <f>IF(B37&lt;&gt;"","GAP-"&amp;TEXT(ROW()-8,"000"),"")</f>
        <v/>
      </c>
      <c r="B37" s="5" t="n"/>
      <c r="C37" s="5" t="n"/>
      <c r="D37" s="5" t="n"/>
      <c r="E37" s="5" t="n"/>
      <c r="F37" s="5" t="n"/>
      <c r="G37" s="5" t="n"/>
      <c r="H37" s="5" t="n"/>
      <c r="I37" s="4" t="n"/>
      <c r="J37" s="5" t="n"/>
      <c r="K37" s="5" t="n"/>
      <c r="L37" s="5" t="n"/>
    </row>
    <row r="38">
      <c r="A38" s="11">
        <f>IF(B38&lt;&gt;"","GAP-"&amp;TEXT(ROW()-8,"000"),"")</f>
        <v/>
      </c>
      <c r="B38" s="5" t="n"/>
      <c r="C38" s="5" t="n"/>
      <c r="D38" s="5" t="n"/>
      <c r="E38" s="5" t="n"/>
      <c r="F38" s="5" t="n"/>
      <c r="G38" s="5" t="n"/>
      <c r="H38" s="5" t="n"/>
      <c r="I38" s="4" t="n"/>
      <c r="J38" s="5" t="n"/>
      <c r="K38" s="5" t="n"/>
      <c r="L38" s="5" t="n"/>
    </row>
    <row r="39">
      <c r="A39" s="11">
        <f>IF(B39&lt;&gt;"","GAP-"&amp;TEXT(ROW()-8,"000"),"")</f>
        <v/>
      </c>
      <c r="B39" s="5" t="n"/>
      <c r="C39" s="5" t="n"/>
      <c r="D39" s="5" t="n"/>
      <c r="E39" s="5" t="n"/>
      <c r="F39" s="5" t="n"/>
      <c r="G39" s="5" t="n"/>
      <c r="H39" s="5" t="n"/>
      <c r="I39" s="4" t="n"/>
      <c r="J39" s="5" t="n"/>
      <c r="K39" s="5" t="n"/>
      <c r="L39" s="5" t="n"/>
    </row>
    <row r="40">
      <c r="A40" s="11">
        <f>IF(B40&lt;&gt;"","GAP-"&amp;TEXT(ROW()-8,"000"),"")</f>
        <v/>
      </c>
      <c r="B40" s="5" t="n"/>
      <c r="C40" s="5" t="n"/>
      <c r="D40" s="5" t="n"/>
      <c r="E40" s="5" t="n"/>
      <c r="F40" s="5" t="n"/>
      <c r="G40" s="5" t="n"/>
      <c r="H40" s="5" t="n"/>
      <c r="I40" s="4" t="n"/>
      <c r="J40" s="5" t="n"/>
      <c r="K40" s="5" t="n"/>
      <c r="L40" s="5" t="n"/>
    </row>
    <row r="41">
      <c r="A41" s="11">
        <f>IF(B41&lt;&gt;"","GAP-"&amp;TEXT(ROW()-8,"000"),"")</f>
        <v/>
      </c>
      <c r="B41" s="5" t="n"/>
      <c r="C41" s="5" t="n"/>
      <c r="D41" s="5" t="n"/>
      <c r="E41" s="5" t="n"/>
      <c r="F41" s="5" t="n"/>
      <c r="G41" s="5" t="n"/>
      <c r="H41" s="5" t="n"/>
      <c r="I41" s="4" t="n"/>
      <c r="J41" s="5" t="n"/>
      <c r="K41" s="5" t="n"/>
      <c r="L41" s="5" t="n"/>
    </row>
    <row r="42">
      <c r="A42" s="11">
        <f>IF(B42&lt;&gt;"","GAP-"&amp;TEXT(ROW()-8,"000"),"")</f>
        <v/>
      </c>
      <c r="B42" s="5" t="n"/>
      <c r="C42" s="5" t="n"/>
      <c r="D42" s="5" t="n"/>
      <c r="E42" s="5" t="n"/>
      <c r="F42" s="5" t="n"/>
      <c r="G42" s="5" t="n"/>
      <c r="H42" s="5" t="n"/>
      <c r="I42" s="4" t="n"/>
      <c r="J42" s="5" t="n"/>
      <c r="K42" s="5" t="n"/>
      <c r="L42" s="5" t="n"/>
    </row>
    <row r="43">
      <c r="A43" s="11">
        <f>IF(B43&lt;&gt;"","GAP-"&amp;TEXT(ROW()-8,"000"),"")</f>
        <v/>
      </c>
      <c r="B43" s="5" t="n"/>
      <c r="C43" s="5" t="n"/>
      <c r="D43" s="5" t="n"/>
      <c r="E43" s="5" t="n"/>
      <c r="F43" s="5" t="n"/>
      <c r="G43" s="5" t="n"/>
      <c r="H43" s="5" t="n"/>
      <c r="I43" s="4" t="n"/>
      <c r="J43" s="5" t="n"/>
      <c r="K43" s="5" t="n"/>
      <c r="L43" s="5" t="n"/>
    </row>
    <row r="44">
      <c r="A44" s="11">
        <f>IF(B44&lt;&gt;"","GAP-"&amp;TEXT(ROW()-8,"000"),"")</f>
        <v/>
      </c>
      <c r="B44" s="5" t="n"/>
      <c r="C44" s="5" t="n"/>
      <c r="D44" s="5" t="n"/>
      <c r="E44" s="5" t="n"/>
      <c r="F44" s="5" t="n"/>
      <c r="G44" s="5" t="n"/>
      <c r="H44" s="5" t="n"/>
      <c r="I44" s="4" t="n"/>
      <c r="J44" s="5" t="n"/>
      <c r="K44" s="5" t="n"/>
      <c r="L44" s="5" t="n"/>
    </row>
    <row r="45">
      <c r="A45" s="11">
        <f>IF(B45&lt;&gt;"","GAP-"&amp;TEXT(ROW()-8,"000"),"")</f>
        <v/>
      </c>
      <c r="B45" s="5" t="n"/>
      <c r="C45" s="5" t="n"/>
      <c r="D45" s="5" t="n"/>
      <c r="E45" s="5" t="n"/>
      <c r="F45" s="5" t="n"/>
      <c r="G45" s="5" t="n"/>
      <c r="H45" s="5" t="n"/>
      <c r="I45" s="4" t="n"/>
      <c r="J45" s="5" t="n"/>
      <c r="K45" s="5" t="n"/>
      <c r="L45" s="5" t="n"/>
    </row>
    <row r="46">
      <c r="A46" s="11">
        <f>IF(B46&lt;&gt;"","GAP-"&amp;TEXT(ROW()-8,"000"),"")</f>
        <v/>
      </c>
      <c r="B46" s="5" t="n"/>
      <c r="C46" s="5" t="n"/>
      <c r="D46" s="5" t="n"/>
      <c r="E46" s="5" t="n"/>
      <c r="F46" s="5" t="n"/>
      <c r="G46" s="5" t="n"/>
      <c r="H46" s="5" t="n"/>
      <c r="I46" s="4" t="n"/>
      <c r="J46" s="5" t="n"/>
      <c r="K46" s="5" t="n"/>
      <c r="L46" s="5" t="n"/>
    </row>
    <row r="47">
      <c r="A47" s="11">
        <f>IF(B47&lt;&gt;"","GAP-"&amp;TEXT(ROW()-8,"000"),"")</f>
        <v/>
      </c>
      <c r="B47" s="5" t="n"/>
      <c r="C47" s="5" t="n"/>
      <c r="D47" s="5" t="n"/>
      <c r="E47" s="5" t="n"/>
      <c r="F47" s="5" t="n"/>
      <c r="G47" s="5" t="n"/>
      <c r="H47" s="5" t="n"/>
      <c r="I47" s="4" t="n"/>
      <c r="J47" s="5" t="n"/>
      <c r="K47" s="5" t="n"/>
      <c r="L47" s="5" t="n"/>
    </row>
    <row r="48">
      <c r="A48" s="11">
        <f>IF(B48&lt;&gt;"","GAP-"&amp;TEXT(ROW()-8,"000"),"")</f>
        <v/>
      </c>
      <c r="B48" s="5" t="n"/>
      <c r="C48" s="5" t="n"/>
      <c r="D48" s="5" t="n"/>
      <c r="E48" s="5" t="n"/>
      <c r="F48" s="5" t="n"/>
      <c r="G48" s="5" t="n"/>
      <c r="H48" s="5" t="n"/>
      <c r="I48" s="4" t="n"/>
      <c r="J48" s="5" t="n"/>
      <c r="K48" s="5" t="n"/>
      <c r="L48" s="5" t="n"/>
    </row>
    <row r="49">
      <c r="A49" s="11">
        <f>IF(B49&lt;&gt;"","GAP-"&amp;TEXT(ROW()-8,"000"),"")</f>
        <v/>
      </c>
      <c r="B49" s="5" t="n"/>
      <c r="C49" s="5" t="n"/>
      <c r="D49" s="5" t="n"/>
      <c r="E49" s="5" t="n"/>
      <c r="F49" s="5" t="n"/>
      <c r="G49" s="5" t="n"/>
      <c r="H49" s="5" t="n"/>
      <c r="I49" s="4" t="n"/>
      <c r="J49" s="5" t="n"/>
      <c r="K49" s="5" t="n"/>
      <c r="L49" s="5" t="n"/>
    </row>
    <row r="50">
      <c r="A50" s="11">
        <f>IF(B50&lt;&gt;"","GAP-"&amp;TEXT(ROW()-8,"000"),"")</f>
        <v/>
      </c>
      <c r="B50" s="5" t="n"/>
      <c r="C50" s="5" t="n"/>
      <c r="D50" s="5" t="n"/>
      <c r="E50" s="5" t="n"/>
      <c r="F50" s="5" t="n"/>
      <c r="G50" s="5" t="n"/>
      <c r="H50" s="5" t="n"/>
      <c r="I50" s="4" t="n"/>
      <c r="J50" s="5" t="n"/>
      <c r="K50" s="5" t="n"/>
      <c r="L50" s="5" t="n"/>
    </row>
    <row r="51">
      <c r="A51" s="11">
        <f>IF(B51&lt;&gt;"","GAP-"&amp;TEXT(ROW()-8,"000"),"")</f>
        <v/>
      </c>
      <c r="B51" s="5" t="n"/>
      <c r="C51" s="5" t="n"/>
      <c r="D51" s="5" t="n"/>
      <c r="E51" s="5" t="n"/>
      <c r="F51" s="5" t="n"/>
      <c r="G51" s="5" t="n"/>
      <c r="H51" s="5" t="n"/>
      <c r="I51" s="4" t="n"/>
      <c r="J51" s="5" t="n"/>
      <c r="K51" s="5" t="n"/>
      <c r="L51" s="5" t="n"/>
    </row>
    <row r="52">
      <c r="A52" s="11">
        <f>IF(B52&lt;&gt;"","GAP-"&amp;TEXT(ROW()-8,"000"),"")</f>
        <v/>
      </c>
      <c r="B52" s="5" t="n"/>
      <c r="C52" s="5" t="n"/>
      <c r="D52" s="5" t="n"/>
      <c r="E52" s="5" t="n"/>
      <c r="F52" s="5" t="n"/>
      <c r="G52" s="5" t="n"/>
      <c r="H52" s="5" t="n"/>
      <c r="I52" s="4" t="n"/>
      <c r="J52" s="5" t="n"/>
      <c r="K52" s="5" t="n"/>
      <c r="L52" s="5" t="n"/>
    </row>
    <row r="53">
      <c r="A53" s="11">
        <f>IF(B53&lt;&gt;"","GAP-"&amp;TEXT(ROW()-8,"000"),"")</f>
        <v/>
      </c>
      <c r="B53" s="5" t="n"/>
      <c r="C53" s="5" t="n"/>
      <c r="D53" s="5" t="n"/>
      <c r="E53" s="5" t="n"/>
      <c r="F53" s="5" t="n"/>
      <c r="G53" s="5" t="n"/>
      <c r="H53" s="5" t="n"/>
      <c r="I53" s="4" t="n"/>
      <c r="J53" s="5" t="n"/>
      <c r="K53" s="5" t="n"/>
      <c r="L53" s="5" t="n"/>
    </row>
    <row r="54">
      <c r="A54" s="11">
        <f>IF(B54&lt;&gt;"","GAP-"&amp;TEXT(ROW()-8,"000"),"")</f>
        <v/>
      </c>
      <c r="B54" s="5" t="n"/>
      <c r="C54" s="5" t="n"/>
      <c r="D54" s="5" t="n"/>
      <c r="E54" s="5" t="n"/>
      <c r="F54" s="5" t="n"/>
      <c r="G54" s="5" t="n"/>
      <c r="H54" s="5" t="n"/>
      <c r="I54" s="4" t="n"/>
      <c r="J54" s="5" t="n"/>
      <c r="K54" s="5" t="n"/>
      <c r="L54" s="5" t="n"/>
    </row>
    <row r="55">
      <c r="A55" s="11">
        <f>IF(B55&lt;&gt;"","GAP-"&amp;TEXT(ROW()-8,"000"),"")</f>
        <v/>
      </c>
      <c r="B55" s="5" t="n"/>
      <c r="C55" s="5" t="n"/>
      <c r="D55" s="5" t="n"/>
      <c r="E55" s="5" t="n"/>
      <c r="F55" s="5" t="n"/>
      <c r="G55" s="5" t="n"/>
      <c r="H55" s="5" t="n"/>
      <c r="I55" s="4" t="n"/>
      <c r="J55" s="5" t="n"/>
      <c r="K55" s="5" t="n"/>
      <c r="L55" s="5" t="n"/>
    </row>
    <row r="56">
      <c r="A56" s="11">
        <f>IF(B56&lt;&gt;"","GAP-"&amp;TEXT(ROW()-8,"000"),"")</f>
        <v/>
      </c>
      <c r="B56" s="5" t="n"/>
      <c r="C56" s="5" t="n"/>
      <c r="D56" s="5" t="n"/>
      <c r="E56" s="5" t="n"/>
      <c r="F56" s="5" t="n"/>
      <c r="G56" s="5" t="n"/>
      <c r="H56" s="5" t="n"/>
      <c r="I56" s="4" t="n"/>
      <c r="J56" s="5" t="n"/>
      <c r="K56" s="5" t="n"/>
      <c r="L56" s="5" t="n"/>
    </row>
    <row r="57">
      <c r="A57" s="11">
        <f>IF(B57&lt;&gt;"","GAP-"&amp;TEXT(ROW()-8,"000"),"")</f>
        <v/>
      </c>
      <c r="B57" s="5" t="n"/>
      <c r="C57" s="5" t="n"/>
      <c r="D57" s="5" t="n"/>
      <c r="E57" s="5" t="n"/>
      <c r="F57" s="5" t="n"/>
      <c r="G57" s="5" t="n"/>
      <c r="H57" s="5" t="n"/>
      <c r="I57" s="4" t="n"/>
      <c r="J57" s="5" t="n"/>
      <c r="K57" s="5" t="n"/>
      <c r="L57" s="5" t="n"/>
    </row>
    <row r="58">
      <c r="A58" s="11">
        <f>IF(B58&lt;&gt;"","GAP-"&amp;TEXT(ROW()-8,"000"),"")</f>
        <v/>
      </c>
      <c r="B58" s="5" t="n"/>
      <c r="C58" s="5" t="n"/>
      <c r="D58" s="5" t="n"/>
      <c r="E58" s="5" t="n"/>
      <c r="F58" s="5" t="n"/>
      <c r="G58" s="5" t="n"/>
      <c r="H58" s="5" t="n"/>
      <c r="I58" s="4" t="n"/>
      <c r="J58" s="5" t="n"/>
      <c r="K58" s="5" t="n"/>
      <c r="L58" s="5" t="n"/>
    </row>
    <row r="59">
      <c r="A59" s="11">
        <f>IF(B59&lt;&gt;"","GAP-"&amp;TEXT(ROW()-8,"000"),"")</f>
        <v/>
      </c>
      <c r="B59" s="5" t="n"/>
      <c r="C59" s="5" t="n"/>
      <c r="D59" s="5" t="n"/>
      <c r="E59" s="5" t="n"/>
      <c r="F59" s="5" t="n"/>
      <c r="G59" s="5" t="n"/>
      <c r="H59" s="5" t="n"/>
      <c r="I59" s="4" t="n"/>
      <c r="J59" s="5" t="n"/>
      <c r="K59" s="5" t="n"/>
      <c r="L59" s="5" t="n"/>
    </row>
    <row r="60">
      <c r="A60" s="11">
        <f>IF(B60&lt;&gt;"","GAP-"&amp;TEXT(ROW()-8,"000"),"")</f>
        <v/>
      </c>
      <c r="B60" s="5" t="n"/>
      <c r="C60" s="5" t="n"/>
      <c r="D60" s="5" t="n"/>
      <c r="E60" s="5" t="n"/>
      <c r="F60" s="5" t="n"/>
      <c r="G60" s="5" t="n"/>
      <c r="H60" s="5" t="n"/>
      <c r="I60" s="4" t="n"/>
      <c r="J60" s="5" t="n"/>
      <c r="K60" s="5" t="n"/>
      <c r="L60" s="5" t="n"/>
    </row>
    <row r="61">
      <c r="A61" s="11">
        <f>IF(B61&lt;&gt;"","GAP-"&amp;TEXT(ROW()-8,"000"),"")</f>
        <v/>
      </c>
      <c r="B61" s="5" t="n"/>
      <c r="C61" s="5" t="n"/>
      <c r="D61" s="5" t="n"/>
      <c r="E61" s="5" t="n"/>
      <c r="F61" s="5" t="n"/>
      <c r="G61" s="5" t="n"/>
      <c r="H61" s="5" t="n"/>
      <c r="I61" s="4" t="n"/>
      <c r="J61" s="5" t="n"/>
      <c r="K61" s="5" t="n"/>
      <c r="L61" s="5" t="n"/>
    </row>
    <row r="62">
      <c r="A62" s="11">
        <f>IF(B62&lt;&gt;"","GAP-"&amp;TEXT(ROW()-8,"000"),"")</f>
        <v/>
      </c>
      <c r="B62" s="5" t="n"/>
      <c r="C62" s="5" t="n"/>
      <c r="D62" s="5" t="n"/>
      <c r="E62" s="5" t="n"/>
      <c r="F62" s="5" t="n"/>
      <c r="G62" s="5" t="n"/>
      <c r="H62" s="5" t="n"/>
      <c r="I62" s="4" t="n"/>
      <c r="J62" s="5" t="n"/>
      <c r="K62" s="5" t="n"/>
      <c r="L62" s="5" t="n"/>
    </row>
    <row r="63">
      <c r="A63" s="11">
        <f>IF(B63&lt;&gt;"","GAP-"&amp;TEXT(ROW()-8,"000"),"")</f>
        <v/>
      </c>
      <c r="B63" s="5" t="n"/>
      <c r="C63" s="5" t="n"/>
      <c r="D63" s="5" t="n"/>
      <c r="E63" s="5" t="n"/>
      <c r="F63" s="5" t="n"/>
      <c r="G63" s="5" t="n"/>
      <c r="H63" s="5" t="n"/>
      <c r="I63" s="4" t="n"/>
      <c r="J63" s="5" t="n"/>
      <c r="K63" s="5" t="n"/>
      <c r="L63" s="5" t="n"/>
    </row>
    <row r="64">
      <c r="A64" s="11">
        <f>IF(B64&lt;&gt;"","GAP-"&amp;TEXT(ROW()-8,"000"),"")</f>
        <v/>
      </c>
      <c r="B64" s="5" t="n"/>
      <c r="C64" s="5" t="n"/>
      <c r="D64" s="5" t="n"/>
      <c r="E64" s="5" t="n"/>
      <c r="F64" s="5" t="n"/>
      <c r="G64" s="5" t="n"/>
      <c r="H64" s="5" t="n"/>
      <c r="I64" s="4" t="n"/>
      <c r="J64" s="5" t="n"/>
      <c r="K64" s="5" t="n"/>
      <c r="L64" s="5" t="n"/>
    </row>
    <row r="65">
      <c r="A65" s="11">
        <f>IF(B65&lt;&gt;"","GAP-"&amp;TEXT(ROW()-8,"000"),"")</f>
        <v/>
      </c>
      <c r="B65" s="5" t="n"/>
      <c r="C65" s="5" t="n"/>
      <c r="D65" s="5" t="n"/>
      <c r="E65" s="5" t="n"/>
      <c r="F65" s="5" t="n"/>
      <c r="G65" s="5" t="n"/>
      <c r="H65" s="5" t="n"/>
      <c r="I65" s="4" t="n"/>
      <c r="J65" s="5" t="n"/>
      <c r="K65" s="5" t="n"/>
      <c r="L65" s="5" t="n"/>
    </row>
    <row r="66">
      <c r="A66" s="11">
        <f>IF(B66&lt;&gt;"","GAP-"&amp;TEXT(ROW()-8,"000"),"")</f>
        <v/>
      </c>
      <c r="B66" s="5" t="n"/>
      <c r="C66" s="5" t="n"/>
      <c r="D66" s="5" t="n"/>
      <c r="E66" s="5" t="n"/>
      <c r="F66" s="5" t="n"/>
      <c r="G66" s="5" t="n"/>
      <c r="H66" s="5" t="n"/>
      <c r="I66" s="4" t="n"/>
      <c r="J66" s="5" t="n"/>
      <c r="K66" s="5" t="n"/>
      <c r="L66" s="5" t="n"/>
    </row>
    <row r="67">
      <c r="A67" s="11">
        <f>IF(B67&lt;&gt;"","GAP-"&amp;TEXT(ROW()-8,"000"),"")</f>
        <v/>
      </c>
      <c r="B67" s="5" t="n"/>
      <c r="C67" s="5" t="n"/>
      <c r="D67" s="5" t="n"/>
      <c r="E67" s="5" t="n"/>
      <c r="F67" s="5" t="n"/>
      <c r="G67" s="5" t="n"/>
      <c r="H67" s="5" t="n"/>
      <c r="I67" s="4" t="n"/>
      <c r="J67" s="5" t="n"/>
      <c r="K67" s="5" t="n"/>
      <c r="L67" s="5" t="n"/>
    </row>
    <row r="68">
      <c r="A68" s="11">
        <f>IF(B68&lt;&gt;"","GAP-"&amp;TEXT(ROW()-8,"000"),"")</f>
        <v/>
      </c>
      <c r="B68" s="5" t="n"/>
      <c r="C68" s="5" t="n"/>
      <c r="D68" s="5" t="n"/>
      <c r="E68" s="5" t="n"/>
      <c r="F68" s="5" t="n"/>
      <c r="G68" s="5" t="n"/>
      <c r="H68" s="5" t="n"/>
      <c r="I68" s="4" t="n"/>
      <c r="J68" s="5" t="n"/>
      <c r="K68" s="5" t="n"/>
      <c r="L68" s="5" t="n"/>
    </row>
    <row r="69">
      <c r="A69" s="11">
        <f>IF(B69&lt;&gt;"","GAP-"&amp;TEXT(ROW()-8,"000"),"")</f>
        <v/>
      </c>
      <c r="B69" s="5" t="n"/>
      <c r="C69" s="5" t="n"/>
      <c r="D69" s="5" t="n"/>
      <c r="E69" s="5" t="n"/>
      <c r="F69" s="5" t="n"/>
      <c r="G69" s="5" t="n"/>
      <c r="H69" s="5" t="n"/>
      <c r="I69" s="4" t="n"/>
      <c r="J69" s="5" t="n"/>
      <c r="K69" s="5" t="n"/>
      <c r="L69" s="5" t="n"/>
    </row>
    <row r="70">
      <c r="A70" s="11">
        <f>IF(B70&lt;&gt;"","GAP-"&amp;TEXT(ROW()-8,"000"),"")</f>
        <v/>
      </c>
      <c r="B70" s="5" t="n"/>
      <c r="C70" s="5" t="n"/>
      <c r="D70" s="5" t="n"/>
      <c r="E70" s="5" t="n"/>
      <c r="F70" s="5" t="n"/>
      <c r="G70" s="5" t="n"/>
      <c r="H70" s="5" t="n"/>
      <c r="I70" s="4" t="n"/>
      <c r="J70" s="5" t="n"/>
      <c r="K70" s="5" t="n"/>
      <c r="L70" s="5" t="n"/>
    </row>
    <row r="71">
      <c r="A71" s="11">
        <f>IF(B71&lt;&gt;"","GAP-"&amp;TEXT(ROW()-8,"000"),"")</f>
        <v/>
      </c>
      <c r="B71" s="5" t="n"/>
      <c r="C71" s="5" t="n"/>
      <c r="D71" s="5" t="n"/>
      <c r="E71" s="5" t="n"/>
      <c r="F71" s="5" t="n"/>
      <c r="G71" s="5" t="n"/>
      <c r="H71" s="5" t="n"/>
      <c r="I71" s="4" t="n"/>
      <c r="J71" s="5" t="n"/>
      <c r="K71" s="5" t="n"/>
      <c r="L71" s="5" t="n"/>
    </row>
    <row r="72">
      <c r="A72" s="11">
        <f>IF(B72&lt;&gt;"","GAP-"&amp;TEXT(ROW()-8,"000"),"")</f>
        <v/>
      </c>
      <c r="B72" s="5" t="n"/>
      <c r="C72" s="5" t="n"/>
      <c r="D72" s="5" t="n"/>
      <c r="E72" s="5" t="n"/>
      <c r="F72" s="5" t="n"/>
      <c r="G72" s="5" t="n"/>
      <c r="H72" s="5" t="n"/>
      <c r="I72" s="4" t="n"/>
      <c r="J72" s="5" t="n"/>
      <c r="K72" s="5" t="n"/>
      <c r="L72" s="5" t="n"/>
    </row>
    <row r="73">
      <c r="A73" s="11">
        <f>IF(B73&lt;&gt;"","GAP-"&amp;TEXT(ROW()-8,"000"),"")</f>
        <v/>
      </c>
      <c r="B73" s="5" t="n"/>
      <c r="C73" s="5" t="n"/>
      <c r="D73" s="5" t="n"/>
      <c r="E73" s="5" t="n"/>
      <c r="F73" s="5" t="n"/>
      <c r="G73" s="5" t="n"/>
      <c r="H73" s="5" t="n"/>
      <c r="I73" s="4" t="n"/>
      <c r="J73" s="5" t="n"/>
      <c r="K73" s="5" t="n"/>
      <c r="L73" s="5" t="n"/>
    </row>
    <row r="74">
      <c r="A74" s="11">
        <f>IF(B74&lt;&gt;"","GAP-"&amp;TEXT(ROW()-8,"000"),"")</f>
        <v/>
      </c>
      <c r="B74" s="5" t="n"/>
      <c r="C74" s="5" t="n"/>
      <c r="D74" s="5" t="n"/>
      <c r="E74" s="5" t="n"/>
      <c r="F74" s="5" t="n"/>
      <c r="G74" s="5" t="n"/>
      <c r="H74" s="5" t="n"/>
      <c r="I74" s="4" t="n"/>
      <c r="J74" s="5" t="n"/>
      <c r="K74" s="5" t="n"/>
      <c r="L74" s="5" t="n"/>
    </row>
    <row r="75">
      <c r="A75" s="11">
        <f>IF(B75&lt;&gt;"","GAP-"&amp;TEXT(ROW()-8,"000"),"")</f>
        <v/>
      </c>
      <c r="B75" s="5" t="n"/>
      <c r="C75" s="5" t="n"/>
      <c r="D75" s="5" t="n"/>
      <c r="E75" s="5" t="n"/>
      <c r="F75" s="5" t="n"/>
      <c r="G75" s="5" t="n"/>
      <c r="H75" s="5" t="n"/>
      <c r="I75" s="4" t="n"/>
      <c r="J75" s="5" t="n"/>
      <c r="K75" s="5" t="n"/>
      <c r="L75" s="5" t="n"/>
    </row>
    <row r="76">
      <c r="A76" s="11">
        <f>IF(B76&lt;&gt;"","GAP-"&amp;TEXT(ROW()-8,"000"),"")</f>
        <v/>
      </c>
      <c r="B76" s="5" t="n"/>
      <c r="C76" s="5" t="n"/>
      <c r="D76" s="5" t="n"/>
      <c r="E76" s="5" t="n"/>
      <c r="F76" s="5" t="n"/>
      <c r="G76" s="5" t="n"/>
      <c r="H76" s="5" t="n"/>
      <c r="I76" s="4" t="n"/>
      <c r="J76" s="5" t="n"/>
      <c r="K76" s="5" t="n"/>
      <c r="L76" s="5" t="n"/>
    </row>
    <row r="77">
      <c r="A77" s="11">
        <f>IF(B77&lt;&gt;"","GAP-"&amp;TEXT(ROW()-8,"000"),"")</f>
        <v/>
      </c>
      <c r="B77" s="5" t="n"/>
      <c r="C77" s="5" t="n"/>
      <c r="D77" s="5" t="n"/>
      <c r="E77" s="5" t="n"/>
      <c r="F77" s="5" t="n"/>
      <c r="G77" s="5" t="n"/>
      <c r="H77" s="5" t="n"/>
      <c r="I77" s="4" t="n"/>
      <c r="J77" s="5" t="n"/>
      <c r="K77" s="5" t="n"/>
      <c r="L77" s="5" t="n"/>
    </row>
    <row r="78">
      <c r="A78" s="11">
        <f>IF(B78&lt;&gt;"","GAP-"&amp;TEXT(ROW()-8,"000"),"")</f>
        <v/>
      </c>
      <c r="B78" s="5" t="n"/>
      <c r="C78" s="5" t="n"/>
      <c r="D78" s="5" t="n"/>
      <c r="E78" s="5" t="n"/>
      <c r="F78" s="5" t="n"/>
      <c r="G78" s="5" t="n"/>
      <c r="H78" s="5" t="n"/>
      <c r="I78" s="4" t="n"/>
      <c r="J78" s="5" t="n"/>
      <c r="K78" s="5" t="n"/>
      <c r="L78" s="5" t="n"/>
    </row>
    <row r="79">
      <c r="A79" s="11">
        <f>IF(B79&lt;&gt;"","GAP-"&amp;TEXT(ROW()-8,"000"),"")</f>
        <v/>
      </c>
      <c r="B79" s="5" t="n"/>
      <c r="C79" s="5" t="n"/>
      <c r="D79" s="5" t="n"/>
      <c r="E79" s="5" t="n"/>
      <c r="F79" s="5" t="n"/>
      <c r="G79" s="5" t="n"/>
      <c r="H79" s="5" t="n"/>
      <c r="I79" s="4" t="n"/>
      <c r="J79" s="5" t="n"/>
      <c r="K79" s="5" t="n"/>
      <c r="L79" s="5" t="n"/>
    </row>
    <row r="80">
      <c r="A80" s="11">
        <f>IF(B80&lt;&gt;"","GAP-"&amp;TEXT(ROW()-8,"000"),"")</f>
        <v/>
      </c>
      <c r="B80" s="5" t="n"/>
      <c r="C80" s="5" t="n"/>
      <c r="D80" s="5" t="n"/>
      <c r="E80" s="5" t="n"/>
      <c r="F80" s="5" t="n"/>
      <c r="G80" s="5" t="n"/>
      <c r="H80" s="5" t="n"/>
      <c r="I80" s="4" t="n"/>
      <c r="J80" s="5" t="n"/>
      <c r="K80" s="5" t="n"/>
      <c r="L80" s="5" t="n"/>
    </row>
    <row r="81">
      <c r="A81" s="11">
        <f>IF(B81&lt;&gt;"","GAP-"&amp;TEXT(ROW()-8,"000"),"")</f>
        <v/>
      </c>
      <c r="B81" s="5" t="n"/>
      <c r="C81" s="5" t="n"/>
      <c r="D81" s="5" t="n"/>
      <c r="E81" s="5" t="n"/>
      <c r="F81" s="5" t="n"/>
      <c r="G81" s="5" t="n"/>
      <c r="H81" s="5" t="n"/>
      <c r="I81" s="4" t="n"/>
      <c r="J81" s="5" t="n"/>
      <c r="K81" s="5" t="n"/>
      <c r="L81" s="5" t="n"/>
    </row>
    <row r="82">
      <c r="A82" s="11">
        <f>IF(B82&lt;&gt;"","GAP-"&amp;TEXT(ROW()-8,"000"),"")</f>
        <v/>
      </c>
      <c r="B82" s="5" t="n"/>
      <c r="C82" s="5" t="n"/>
      <c r="D82" s="5" t="n"/>
      <c r="E82" s="5" t="n"/>
      <c r="F82" s="5" t="n"/>
      <c r="G82" s="5" t="n"/>
      <c r="H82" s="5" t="n"/>
      <c r="I82" s="4" t="n"/>
      <c r="J82" s="5" t="n"/>
      <c r="K82" s="5" t="n"/>
      <c r="L82" s="5" t="n"/>
    </row>
    <row r="83">
      <c r="A83" s="11">
        <f>IF(B83&lt;&gt;"","GAP-"&amp;TEXT(ROW()-8,"000"),"")</f>
        <v/>
      </c>
      <c r="B83" s="5" t="n"/>
      <c r="C83" s="5" t="n"/>
      <c r="D83" s="5" t="n"/>
      <c r="E83" s="5" t="n"/>
      <c r="F83" s="5" t="n"/>
      <c r="G83" s="5" t="n"/>
      <c r="H83" s="5" t="n"/>
      <c r="I83" s="4" t="n"/>
      <c r="J83" s="5" t="n"/>
      <c r="K83" s="5" t="n"/>
      <c r="L83" s="5" t="n"/>
    </row>
    <row r="84">
      <c r="A84" s="11">
        <f>IF(B84&lt;&gt;"","GAP-"&amp;TEXT(ROW()-8,"000"),"")</f>
        <v/>
      </c>
      <c r="B84" s="5" t="n"/>
      <c r="C84" s="5" t="n"/>
      <c r="D84" s="5" t="n"/>
      <c r="E84" s="5" t="n"/>
      <c r="F84" s="5" t="n"/>
      <c r="G84" s="5" t="n"/>
      <c r="H84" s="5" t="n"/>
      <c r="I84" s="4" t="n"/>
      <c r="J84" s="5" t="n"/>
      <c r="K84" s="5" t="n"/>
      <c r="L84" s="5" t="n"/>
    </row>
    <row r="85">
      <c r="A85" s="11">
        <f>IF(B85&lt;&gt;"","GAP-"&amp;TEXT(ROW()-8,"000"),"")</f>
        <v/>
      </c>
      <c r="B85" s="5" t="n"/>
      <c r="C85" s="5" t="n"/>
      <c r="D85" s="5" t="n"/>
      <c r="E85" s="5" t="n"/>
      <c r="F85" s="5" t="n"/>
      <c r="G85" s="5" t="n"/>
      <c r="H85" s="5" t="n"/>
      <c r="I85" s="4" t="n"/>
      <c r="J85" s="5" t="n"/>
      <c r="K85" s="5" t="n"/>
      <c r="L85" s="5" t="n"/>
    </row>
    <row r="86">
      <c r="A86" s="11">
        <f>IF(B86&lt;&gt;"","GAP-"&amp;TEXT(ROW()-8,"000"),"")</f>
        <v/>
      </c>
      <c r="B86" s="5" t="n"/>
      <c r="C86" s="5" t="n"/>
      <c r="D86" s="5" t="n"/>
      <c r="E86" s="5" t="n"/>
      <c r="F86" s="5" t="n"/>
      <c r="G86" s="5" t="n"/>
      <c r="H86" s="5" t="n"/>
      <c r="I86" s="4" t="n"/>
      <c r="J86" s="5" t="n"/>
      <c r="K86" s="5" t="n"/>
      <c r="L86" s="5" t="n"/>
    </row>
    <row r="87">
      <c r="A87" s="11">
        <f>IF(B87&lt;&gt;"","GAP-"&amp;TEXT(ROW()-8,"000"),"")</f>
        <v/>
      </c>
      <c r="B87" s="5" t="n"/>
      <c r="C87" s="5" t="n"/>
      <c r="D87" s="5" t="n"/>
      <c r="E87" s="5" t="n"/>
      <c r="F87" s="5" t="n"/>
      <c r="G87" s="5" t="n"/>
      <c r="H87" s="5" t="n"/>
      <c r="I87" s="4" t="n"/>
      <c r="J87" s="5" t="n"/>
      <c r="K87" s="5" t="n"/>
      <c r="L87" s="5" t="n"/>
    </row>
    <row r="88">
      <c r="A88" s="11">
        <f>IF(B88&lt;&gt;"","GAP-"&amp;TEXT(ROW()-8,"000"),"")</f>
        <v/>
      </c>
      <c r="B88" s="5" t="n"/>
      <c r="C88" s="5" t="n"/>
      <c r="D88" s="5" t="n"/>
      <c r="E88" s="5" t="n"/>
      <c r="F88" s="5" t="n"/>
      <c r="G88" s="5" t="n"/>
      <c r="H88" s="5" t="n"/>
      <c r="I88" s="4" t="n"/>
      <c r="J88" s="5" t="n"/>
      <c r="K88" s="5" t="n"/>
      <c r="L88" s="5" t="n"/>
    </row>
    <row r="89">
      <c r="A89" s="11">
        <f>IF(B89&lt;&gt;"","GAP-"&amp;TEXT(ROW()-8,"000"),"")</f>
        <v/>
      </c>
      <c r="B89" s="5" t="n"/>
      <c r="C89" s="5" t="n"/>
      <c r="D89" s="5" t="n"/>
      <c r="E89" s="5" t="n"/>
      <c r="F89" s="5" t="n"/>
      <c r="G89" s="5" t="n"/>
      <c r="H89" s="5" t="n"/>
      <c r="I89" s="4" t="n"/>
      <c r="J89" s="5" t="n"/>
      <c r="K89" s="5" t="n"/>
      <c r="L89" s="5" t="n"/>
    </row>
    <row r="90">
      <c r="A90" s="11">
        <f>IF(B90&lt;&gt;"","GAP-"&amp;TEXT(ROW()-8,"000"),"")</f>
        <v/>
      </c>
      <c r="B90" s="5" t="n"/>
      <c r="C90" s="5" t="n"/>
      <c r="D90" s="5" t="n"/>
      <c r="E90" s="5" t="n"/>
      <c r="F90" s="5" t="n"/>
      <c r="G90" s="5" t="n"/>
      <c r="H90" s="5" t="n"/>
      <c r="I90" s="4" t="n"/>
      <c r="J90" s="5" t="n"/>
      <c r="K90" s="5" t="n"/>
      <c r="L90" s="5" t="n"/>
    </row>
    <row r="91">
      <c r="A91" s="11">
        <f>IF(B91&lt;&gt;"","GAP-"&amp;TEXT(ROW()-8,"000"),"")</f>
        <v/>
      </c>
      <c r="B91" s="5" t="n"/>
      <c r="C91" s="5" t="n"/>
      <c r="D91" s="5" t="n"/>
      <c r="E91" s="5" t="n"/>
      <c r="F91" s="5" t="n"/>
      <c r="G91" s="5" t="n"/>
      <c r="H91" s="5" t="n"/>
      <c r="I91" s="4" t="n"/>
      <c r="J91" s="5" t="n"/>
      <c r="K91" s="5" t="n"/>
      <c r="L91" s="5" t="n"/>
    </row>
    <row r="92">
      <c r="A92" s="11">
        <f>IF(B92&lt;&gt;"","GAP-"&amp;TEXT(ROW()-8,"000"),"")</f>
        <v/>
      </c>
      <c r="B92" s="5" t="n"/>
      <c r="C92" s="5" t="n"/>
      <c r="D92" s="5" t="n"/>
      <c r="E92" s="5" t="n"/>
      <c r="F92" s="5" t="n"/>
      <c r="G92" s="5" t="n"/>
      <c r="H92" s="5" t="n"/>
      <c r="I92" s="4" t="n"/>
      <c r="J92" s="5" t="n"/>
      <c r="K92" s="5" t="n"/>
      <c r="L92" s="5" t="n"/>
    </row>
    <row r="93">
      <c r="A93" s="11">
        <f>IF(B93&lt;&gt;"","GAP-"&amp;TEXT(ROW()-8,"000"),"")</f>
        <v/>
      </c>
      <c r="B93" s="5" t="n"/>
      <c r="C93" s="5" t="n"/>
      <c r="D93" s="5" t="n"/>
      <c r="E93" s="5" t="n"/>
      <c r="F93" s="5" t="n"/>
      <c r="G93" s="5" t="n"/>
      <c r="H93" s="5" t="n"/>
      <c r="I93" s="4" t="n"/>
      <c r="J93" s="5" t="n"/>
      <c r="K93" s="5" t="n"/>
      <c r="L93" s="5" t="n"/>
    </row>
    <row r="94">
      <c r="A94" s="11">
        <f>IF(B94&lt;&gt;"","GAP-"&amp;TEXT(ROW()-8,"000"),"")</f>
        <v/>
      </c>
      <c r="B94" s="5" t="n"/>
      <c r="C94" s="5" t="n"/>
      <c r="D94" s="5" t="n"/>
      <c r="E94" s="5" t="n"/>
      <c r="F94" s="5" t="n"/>
      <c r="G94" s="5" t="n"/>
      <c r="H94" s="5" t="n"/>
      <c r="I94" s="4" t="n"/>
      <c r="J94" s="5" t="n"/>
      <c r="K94" s="5" t="n"/>
      <c r="L94" s="5" t="n"/>
    </row>
    <row r="95">
      <c r="A95" s="11">
        <f>IF(B95&lt;&gt;"","GAP-"&amp;TEXT(ROW()-8,"000"),"")</f>
        <v/>
      </c>
      <c r="B95" s="5" t="n"/>
      <c r="C95" s="5" t="n"/>
      <c r="D95" s="5" t="n"/>
      <c r="E95" s="5" t="n"/>
      <c r="F95" s="5" t="n"/>
      <c r="G95" s="5" t="n"/>
      <c r="H95" s="5" t="n"/>
      <c r="I95" s="4" t="n"/>
      <c r="J95" s="5" t="n"/>
      <c r="K95" s="5" t="n"/>
      <c r="L95" s="5" t="n"/>
    </row>
    <row r="96">
      <c r="A96" s="11">
        <f>IF(B96&lt;&gt;"","GAP-"&amp;TEXT(ROW()-8,"000"),"")</f>
        <v/>
      </c>
      <c r="B96" s="5" t="n"/>
      <c r="C96" s="5" t="n"/>
      <c r="D96" s="5" t="n"/>
      <c r="E96" s="5" t="n"/>
      <c r="F96" s="5" t="n"/>
      <c r="G96" s="5" t="n"/>
      <c r="H96" s="5" t="n"/>
      <c r="I96" s="4" t="n"/>
      <c r="J96" s="5" t="n"/>
      <c r="K96" s="5" t="n"/>
      <c r="L96" s="5" t="n"/>
    </row>
    <row r="97">
      <c r="A97" s="11">
        <f>IF(B97&lt;&gt;"","GAP-"&amp;TEXT(ROW()-8,"000"),"")</f>
        <v/>
      </c>
      <c r="B97" s="5" t="n"/>
      <c r="C97" s="5" t="n"/>
      <c r="D97" s="5" t="n"/>
      <c r="E97" s="5" t="n"/>
      <c r="F97" s="5" t="n"/>
      <c r="G97" s="5" t="n"/>
      <c r="H97" s="5" t="n"/>
      <c r="I97" s="4" t="n"/>
      <c r="J97" s="5" t="n"/>
      <c r="K97" s="5" t="n"/>
      <c r="L97" s="5" t="n"/>
    </row>
    <row r="98">
      <c r="A98" s="11">
        <f>IF(B98&lt;&gt;"","GAP-"&amp;TEXT(ROW()-8,"000"),"")</f>
        <v/>
      </c>
      <c r="B98" s="5" t="n"/>
      <c r="C98" s="5" t="n"/>
      <c r="D98" s="5" t="n"/>
      <c r="E98" s="5" t="n"/>
      <c r="F98" s="5" t="n"/>
      <c r="G98" s="5" t="n"/>
      <c r="H98" s="5" t="n"/>
      <c r="I98" s="4" t="n"/>
      <c r="J98" s="5" t="n"/>
      <c r="K98" s="5" t="n"/>
      <c r="L98" s="5" t="n"/>
    </row>
    <row r="99">
      <c r="A99" s="11">
        <f>IF(B99&lt;&gt;"","GAP-"&amp;TEXT(ROW()-8,"000"),"")</f>
        <v/>
      </c>
      <c r="B99" s="5" t="n"/>
      <c r="C99" s="5" t="n"/>
      <c r="D99" s="5" t="n"/>
      <c r="E99" s="5" t="n"/>
      <c r="F99" s="5" t="n"/>
      <c r="G99" s="5" t="n"/>
      <c r="H99" s="5" t="n"/>
      <c r="I99" s="4" t="n"/>
      <c r="J99" s="5" t="n"/>
      <c r="K99" s="5" t="n"/>
      <c r="L99" s="5" t="n"/>
    </row>
    <row r="100">
      <c r="A100" s="11">
        <f>IF(B100&lt;&gt;"","GAP-"&amp;TEXT(ROW()-8,"000"),"")</f>
        <v/>
      </c>
      <c r="B100" s="5" t="n"/>
      <c r="C100" s="5" t="n"/>
      <c r="D100" s="5" t="n"/>
      <c r="E100" s="5" t="n"/>
      <c r="F100" s="5" t="n"/>
      <c r="G100" s="5" t="n"/>
      <c r="H100" s="5" t="n"/>
      <c r="I100" s="4" t="n"/>
      <c r="J100" s="5" t="n"/>
      <c r="K100" s="5" t="n"/>
      <c r="L100" s="5" t="n"/>
    </row>
  </sheetData>
  <mergeCells count="2">
    <mergeCell ref="A2:L2"/>
    <mergeCell ref="A1:L1"/>
  </mergeCells>
  <conditionalFormatting sqref="F9:F100">
    <cfRule type="cellIs" priority="1" operator="equal" dxfId="2">
      <formula>"Critical"</formula>
    </cfRule>
    <cfRule type="cellIs" priority="2" operator="equal" dxfId="1">
      <formula>"High"</formula>
    </cfRule>
    <cfRule type="cellIs" priority="3" operator="equal" dxfId="1">
      <formula>"Medium"</formula>
    </cfRule>
    <cfRule type="cellIs" priority="4" operator="equal" dxfId="0">
      <formula>"Low"</formula>
    </cfRule>
  </conditionalFormatting>
  <conditionalFormatting sqref="K9:K100">
    <cfRule type="cellIs" priority="5" operator="equal" dxfId="2">
      <formula>"Open"</formula>
    </cfRule>
    <cfRule type="cellIs" priority="6" operator="equal" dxfId="1">
      <formula>"In Progress"</formula>
    </cfRule>
    <cfRule type="cellIs" priority="7" operator="equal" dxfId="0">
      <formula>"Resolved"</formula>
    </cfRule>
  </conditionalFormatting>
  <dataValidations count="4">
    <dataValidation sqref="B9:B100" showDropDown="0" showInputMessage="0" showErrorMessage="0" allowBlank="1" type="list">
      <formula1>"Access Control,Integrity Protection,Transmission Security,Retention Non-Compliance,Backup,Disposal,Separation of Duties,Other"</formula1>
    </dataValidation>
    <dataValidation sqref="F9:F100" showDropDown="0" showInputMessage="0" showErrorMessage="0" allowBlank="1" type="list">
      <formula1>"🔴 Critical,🟡 High,🟢 Medium,⚫ Low"</formula1>
    </dataValidation>
    <dataValidation sqref="J9:J100" showDropDown="0" showInputMessage="0" showErrorMessage="0" allowBlank="1" type="list">
      <formula1>"Yes,No"</formula1>
    </dataValidation>
    <dataValidation sqref="K9:K100" showDropDown="0" showInputMessage="0" showErrorMessage="0" allowBlank="1" type="list">
      <formula1>"❌ Open,⏳ In Progress,✅ Resolved,⭕ Deferred"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6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20" customWidth="1" min="3" max="3"/>
    <col width="35" customWidth="1" min="4" max="4"/>
    <col width="40" customWidth="1" min="5" max="5"/>
    <col width="35" customWidth="1" min="6" max="6"/>
    <col width="14" customWidth="1" min="7" max="7"/>
    <col width="18" customWidth="1" min="8" max="8"/>
    <col width="15" customWidth="1" min="9" max="9"/>
    <col width="14" customWidth="1" min="10" max="10"/>
    <col width="12" customWidth="1" min="11" max="11"/>
    <col width="30" customWidth="1" min="12" max="12"/>
  </cols>
  <sheetData>
    <row r="1" ht="40" customHeight="1">
      <c r="A1" s="1" t="inlineStr">
        <is>
          <t>EVIDENCE REGISTER</t>
        </is>
      </c>
    </row>
    <row r="2" ht="30" customHeight="1">
      <c r="A2" s="6" t="inlineStr">
        <is>
          <t>Document all supporting evidence for log protection &amp; retention assessment</t>
        </is>
      </c>
    </row>
    <row r="3">
      <c r="A3" s="14" t="inlineStr">
        <is>
          <t>Reference evidence by ID in other assessment sheets. Store evidence files in designated secure location.</t>
        </is>
      </c>
    </row>
    <row r="5">
      <c r="A5" s="8" t="inlineStr">
        <is>
          <t>Evidence ID</t>
        </is>
      </c>
      <c r="B5" s="8" t="inlineStr">
        <is>
          <t>Assessment Sheet</t>
        </is>
      </c>
      <c r="C5" s="8" t="inlineStr">
        <is>
          <t>Evidence Type</t>
        </is>
      </c>
      <c r="D5" s="8" t="inlineStr">
        <is>
          <t>Evidence Title</t>
        </is>
      </c>
      <c r="E5" s="8" t="inlineStr">
        <is>
          <t>Description</t>
        </is>
      </c>
      <c r="F5" s="8" t="inlineStr">
        <is>
          <t>File Location/Link</t>
        </is>
      </c>
      <c r="G5" s="8" t="inlineStr">
        <is>
          <t>Date Collected</t>
        </is>
      </c>
      <c r="H5" s="8" t="inlineStr">
        <is>
          <t>Collected By</t>
        </is>
      </c>
      <c r="I5" s="8" t="inlineStr">
        <is>
          <t>Retention Period</t>
        </is>
      </c>
      <c r="J5" s="8" t="inlineStr">
        <is>
          <t>Review Date</t>
        </is>
      </c>
      <c r="K5" s="8" t="inlineStr">
        <is>
          <t>Status</t>
        </is>
      </c>
      <c r="L5" s="8" t="inlineStr">
        <is>
          <t>Notes</t>
        </is>
      </c>
    </row>
    <row r="6">
      <c r="A6" t="inlineStr">
        <is>
          <t>EVD-001</t>
        </is>
      </c>
      <c r="B6" t="inlineStr">
        <is>
          <t>Access Control Assessment</t>
        </is>
      </c>
      <c r="C6" t="inlineStr">
        <is>
          <t>Configuration</t>
        </is>
      </c>
      <c r="D6" t="inlineStr">
        <is>
          <t>RBAC Policy Export</t>
        </is>
      </c>
      <c r="E6" s="5" t="inlineStr"/>
      <c r="F6" s="5" t="inlineStr"/>
      <c r="G6" s="5" t="inlineStr"/>
      <c r="H6" s="5" t="inlineStr"/>
      <c r="I6" s="5" t="inlineStr">
        <is>
          <t>7 years</t>
        </is>
      </c>
      <c r="J6" s="5" t="inlineStr"/>
      <c r="K6" s="5" t="inlineStr"/>
      <c r="L6" s="5" t="inlineStr"/>
    </row>
    <row r="7">
      <c r="A7" t="inlineStr">
        <is>
          <t>EVD-002</t>
        </is>
      </c>
      <c r="B7" t="inlineStr">
        <is>
          <t>Integrity Protection</t>
        </is>
      </c>
      <c r="C7" t="inlineStr">
        <is>
          <t>Configuration</t>
        </is>
      </c>
      <c r="D7" t="inlineStr">
        <is>
          <t>WORM Storage Config</t>
        </is>
      </c>
      <c r="E7" s="5" t="inlineStr"/>
      <c r="F7" s="5" t="inlineStr"/>
      <c r="G7" s="5" t="inlineStr"/>
      <c r="H7" s="5" t="inlineStr"/>
      <c r="I7" s="5" t="inlineStr">
        <is>
          <t>7 years</t>
        </is>
      </c>
      <c r="J7" s="5" t="inlineStr"/>
      <c r="K7" s="5" t="inlineStr"/>
      <c r="L7" s="5" t="inlineStr"/>
    </row>
    <row r="8">
      <c r="A8" t="inlineStr">
        <is>
          <t>EVD-003</t>
        </is>
      </c>
      <c r="B8" t="inlineStr">
        <is>
          <t>Integrity Protection</t>
        </is>
      </c>
      <c r="C8" t="inlineStr">
        <is>
          <t>Report</t>
        </is>
      </c>
      <c r="D8" t="inlineStr">
        <is>
          <t>Hash Verification Report</t>
        </is>
      </c>
      <c r="E8" s="5" t="inlineStr"/>
      <c r="F8" s="5" t="inlineStr"/>
      <c r="G8" s="5" t="inlineStr"/>
      <c r="H8" s="5" t="inlineStr"/>
      <c r="I8" s="5" t="inlineStr">
        <is>
          <t>7 years</t>
        </is>
      </c>
      <c r="J8" s="5" t="inlineStr"/>
      <c r="K8" s="5" t="inlineStr"/>
      <c r="L8" s="5" t="inlineStr"/>
    </row>
    <row r="9">
      <c r="A9" t="inlineStr">
        <is>
          <t>EVD-004</t>
        </is>
      </c>
      <c r="B9" t="inlineStr">
        <is>
          <t>Secure Transmission</t>
        </is>
      </c>
      <c r="C9" t="inlineStr">
        <is>
          <t>Certificate</t>
        </is>
      </c>
      <c r="D9" t="inlineStr">
        <is>
          <t>TLS Certificate Details</t>
        </is>
      </c>
      <c r="E9" s="5" t="inlineStr"/>
      <c r="F9" s="5" t="inlineStr"/>
      <c r="G9" s="5" t="inlineStr"/>
      <c r="H9" s="5" t="inlineStr"/>
      <c r="I9" s="5" t="inlineStr">
        <is>
          <t>7 years</t>
        </is>
      </c>
      <c r="J9" s="5" t="inlineStr"/>
      <c r="K9" s="5" t="inlineStr"/>
      <c r="L9" s="5" t="inlineStr"/>
    </row>
    <row r="10">
      <c r="A10" t="inlineStr">
        <is>
          <t>EVD-005</t>
        </is>
      </c>
      <c r="B10" t="inlineStr">
        <is>
          <t>Retention Period Compliance</t>
        </is>
      </c>
      <c r="C10" t="inlineStr">
        <is>
          <t>Policy</t>
        </is>
      </c>
      <c r="D10" t="inlineStr">
        <is>
          <t>Retention Policy Document</t>
        </is>
      </c>
      <c r="E10" s="5" t="inlineStr"/>
      <c r="F10" s="5" t="inlineStr"/>
      <c r="G10" s="5" t="inlineStr"/>
      <c r="H10" s="5" t="inlineStr"/>
      <c r="I10" s="5" t="inlineStr">
        <is>
          <t>Permanent</t>
        </is>
      </c>
      <c r="J10" s="5" t="inlineStr"/>
      <c r="K10" s="5" t="inlineStr"/>
      <c r="L10" s="5" t="inlineStr"/>
    </row>
    <row r="11">
      <c r="A11" t="inlineStr">
        <is>
          <t>EVD-006</t>
        </is>
      </c>
      <c r="B11" t="inlineStr">
        <is>
          <t>Disposal Procedures</t>
        </is>
      </c>
      <c r="C11" t="inlineStr">
        <is>
          <t>Procedure</t>
        </is>
      </c>
      <c r="D11" t="inlineStr">
        <is>
          <t>Secure Deletion SOP</t>
        </is>
      </c>
      <c r="E11" s="5" t="inlineStr"/>
      <c r="F11" s="5" t="inlineStr"/>
      <c r="G11" s="5" t="inlineStr"/>
      <c r="H11" s="5" t="inlineStr"/>
      <c r="I11" s="5" t="inlineStr">
        <is>
          <t>Permanent</t>
        </is>
      </c>
      <c r="J11" s="5" t="inlineStr"/>
      <c r="K11" s="5" t="inlineStr"/>
      <c r="L11" s="5" t="inlineStr"/>
    </row>
    <row r="12">
      <c r="A12" t="inlineStr">
        <is>
          <t>EVD-007</t>
        </is>
      </c>
      <c r="B12" t="inlineStr">
        <is>
          <t>Legal Hold Management</t>
        </is>
      </c>
      <c r="C12" t="inlineStr">
        <is>
          <t>Log</t>
        </is>
      </c>
      <c r="D12" t="inlineStr">
        <is>
          <t>Active Legal Holds List</t>
        </is>
      </c>
      <c r="E12" s="5" t="inlineStr"/>
      <c r="F12" s="5" t="inlineStr"/>
      <c r="G12" s="5" t="inlineStr"/>
      <c r="H12" s="5" t="inlineStr"/>
      <c r="I12" s="5" t="inlineStr">
        <is>
          <t>Per hold</t>
        </is>
      </c>
      <c r="J12" s="5" t="inlineStr"/>
      <c r="K12" s="5" t="inlineStr"/>
      <c r="L12" s="5" t="inlineStr"/>
    </row>
    <row r="13">
      <c r="A13" t="inlineStr">
        <is>
          <t>EVD-008</t>
        </is>
      </c>
      <c r="B13" t="inlineStr">
        <is>
          <t>Privacy Impact Assessment</t>
        </is>
      </c>
      <c r="C13" t="inlineStr">
        <is>
          <t>Assessment</t>
        </is>
      </c>
      <c r="D13" t="inlineStr">
        <is>
          <t>DPIA Document</t>
        </is>
      </c>
      <c r="E13" s="5" t="inlineStr"/>
      <c r="F13" s="5" t="inlineStr"/>
      <c r="G13" s="5" t="inlineStr"/>
      <c r="H13" s="5" t="inlineStr"/>
      <c r="I13" s="5" t="inlineStr">
        <is>
          <t>7 years</t>
        </is>
      </c>
      <c r="J13" s="5" t="inlineStr"/>
      <c r="K13" s="5" t="inlineStr"/>
      <c r="L13" s="5" t="inlineStr"/>
    </row>
    <row r="14">
      <c r="A14" t="inlineStr">
        <is>
          <t>EVD-009</t>
        </is>
      </c>
      <c r="B14" s="5" t="inlineStr"/>
      <c r="C14" s="5" t="inlineStr"/>
      <c r="D14" s="5" t="inlineStr"/>
      <c r="E14" s="5" t="inlineStr"/>
      <c r="F14" s="5" t="inlineStr"/>
      <c r="G14" s="5" t="inlineStr"/>
      <c r="H14" s="5" t="inlineStr"/>
      <c r="I14" s="5" t="inlineStr"/>
      <c r="J14" s="5" t="inlineStr"/>
      <c r="K14" s="5" t="inlineStr"/>
      <c r="L14" s="5" t="inlineStr"/>
    </row>
    <row r="15">
      <c r="A15" t="inlineStr">
        <is>
          <t>EVD-010</t>
        </is>
      </c>
      <c r="B15" s="5" t="inlineStr"/>
      <c r="C15" s="5" t="inlineStr"/>
      <c r="D15" s="5" t="inlineStr"/>
      <c r="E15" s="5" t="inlineStr"/>
      <c r="F15" s="5" t="inlineStr"/>
      <c r="G15" s="5" t="inlineStr"/>
      <c r="H15" s="5" t="inlineStr"/>
      <c r="I15" s="5" t="inlineStr"/>
      <c r="J15" s="5" t="inlineStr"/>
      <c r="K15" s="5" t="inlineStr"/>
      <c r="L15" s="5" t="inlineStr"/>
    </row>
    <row r="16">
      <c r="A16" t="inlineStr">
        <is>
          <t>EVD-011</t>
        </is>
      </c>
      <c r="B16" s="5" t="inlineStr"/>
      <c r="C16" s="5" t="inlineStr"/>
      <c r="D16" s="5" t="inlineStr"/>
      <c r="E16" s="5" t="inlineStr"/>
      <c r="F16" s="5" t="inlineStr"/>
      <c r="G16" s="5" t="inlineStr"/>
      <c r="H16" s="5" t="inlineStr"/>
      <c r="I16" s="5" t="inlineStr"/>
      <c r="J16" s="5" t="inlineStr"/>
      <c r="K16" s="5" t="inlineStr"/>
      <c r="L16" s="5" t="inlineStr"/>
    </row>
    <row r="17">
      <c r="A17" t="inlineStr">
        <is>
          <t>EVD-012</t>
        </is>
      </c>
      <c r="B17" s="5" t="inlineStr"/>
      <c r="C17" s="5" t="inlineStr"/>
      <c r="D17" s="5" t="inlineStr"/>
      <c r="E17" s="5" t="inlineStr"/>
      <c r="F17" s="5" t="inlineStr"/>
      <c r="G17" s="5" t="inlineStr"/>
      <c r="H17" s="5" t="inlineStr"/>
      <c r="I17" s="5" t="inlineStr"/>
      <c r="J17" s="5" t="inlineStr"/>
      <c r="K17" s="5" t="inlineStr"/>
      <c r="L17" s="5" t="inlineStr"/>
    </row>
    <row r="18">
      <c r="A18" t="inlineStr">
        <is>
          <t>EVD-013</t>
        </is>
      </c>
      <c r="B18" s="5" t="inlineStr"/>
      <c r="C18" s="5" t="inlineStr"/>
      <c r="D18" s="5" t="inlineStr"/>
      <c r="E18" s="5" t="inlineStr"/>
      <c r="F18" s="5" t="inlineStr"/>
      <c r="G18" s="5" t="inlineStr"/>
      <c r="H18" s="5" t="inlineStr"/>
      <c r="I18" s="5" t="inlineStr"/>
      <c r="J18" s="5" t="inlineStr"/>
      <c r="K18" s="5" t="inlineStr"/>
      <c r="L18" s="5" t="inlineStr"/>
    </row>
    <row r="19">
      <c r="A19" t="inlineStr">
        <is>
          <t>EVD-014</t>
        </is>
      </c>
      <c r="B19" s="5" t="inlineStr"/>
      <c r="C19" s="5" t="inlineStr"/>
      <c r="D19" s="5" t="inlineStr"/>
      <c r="E19" s="5" t="inlineStr"/>
      <c r="F19" s="5" t="inlineStr"/>
      <c r="G19" s="5" t="inlineStr"/>
      <c r="H19" s="5" t="inlineStr"/>
      <c r="I19" s="5" t="inlineStr"/>
      <c r="J19" s="5" t="inlineStr"/>
      <c r="K19" s="5" t="inlineStr"/>
      <c r="L19" s="5" t="inlineStr"/>
    </row>
    <row r="20">
      <c r="A20" t="inlineStr">
        <is>
          <t>EVD-015</t>
        </is>
      </c>
      <c r="B20" s="5" t="inlineStr"/>
      <c r="C20" s="5" t="inlineStr"/>
      <c r="D20" s="5" t="inlineStr"/>
      <c r="E20" s="5" t="inlineStr"/>
      <c r="F20" s="5" t="inlineStr"/>
      <c r="G20" s="5" t="inlineStr"/>
      <c r="H20" s="5" t="inlineStr"/>
      <c r="I20" s="5" t="inlineStr"/>
      <c r="J20" s="5" t="inlineStr"/>
      <c r="K20" s="5" t="inlineStr"/>
      <c r="L20" s="5" t="inlineStr"/>
    </row>
    <row r="21">
      <c r="A21" t="inlineStr">
        <is>
          <t>EVD-016</t>
        </is>
      </c>
      <c r="B21" s="5" t="inlineStr"/>
      <c r="C21" s="5" t="inlineStr"/>
      <c r="D21" s="5" t="inlineStr"/>
      <c r="E21" s="5" t="inlineStr"/>
      <c r="F21" s="5" t="inlineStr"/>
      <c r="G21" s="5" t="inlineStr"/>
      <c r="H21" s="5" t="inlineStr"/>
      <c r="I21" s="5" t="inlineStr"/>
      <c r="J21" s="5" t="inlineStr"/>
      <c r="K21" s="5" t="inlineStr"/>
      <c r="L21" s="5" t="inlineStr"/>
    </row>
    <row r="22">
      <c r="A22" t="inlineStr">
        <is>
          <t>EVD-017</t>
        </is>
      </c>
      <c r="B22" s="5" t="inlineStr"/>
      <c r="C22" s="5" t="inlineStr"/>
      <c r="D22" s="5" t="inlineStr"/>
      <c r="E22" s="5" t="inlineStr"/>
      <c r="F22" s="5" t="inlineStr"/>
      <c r="G22" s="5" t="inlineStr"/>
      <c r="H22" s="5" t="inlineStr"/>
      <c r="I22" s="5" t="inlineStr"/>
      <c r="J22" s="5" t="inlineStr"/>
      <c r="K22" s="5" t="inlineStr"/>
      <c r="L22" s="5" t="inlineStr"/>
    </row>
    <row r="23">
      <c r="A23" t="inlineStr">
        <is>
          <t>EVD-018</t>
        </is>
      </c>
      <c r="B23" s="5" t="inlineStr"/>
      <c r="C23" s="5" t="inlineStr"/>
      <c r="D23" s="5" t="inlineStr"/>
      <c r="E23" s="5" t="inlineStr"/>
      <c r="F23" s="5" t="inlineStr"/>
      <c r="G23" s="5" t="inlineStr"/>
      <c r="H23" s="5" t="inlineStr"/>
      <c r="I23" s="5" t="inlineStr"/>
      <c r="J23" s="5" t="inlineStr"/>
      <c r="K23" s="5" t="inlineStr"/>
      <c r="L23" s="5" t="inlineStr"/>
    </row>
    <row r="24">
      <c r="A24" t="inlineStr">
        <is>
          <t>EVD-019</t>
        </is>
      </c>
      <c r="B24" s="5" t="inlineStr"/>
      <c r="C24" s="5" t="inlineStr"/>
      <c r="D24" s="5" t="inlineStr"/>
      <c r="E24" s="5" t="inlineStr"/>
      <c r="F24" s="5" t="inlineStr"/>
      <c r="G24" s="5" t="inlineStr"/>
      <c r="H24" s="5" t="inlineStr"/>
      <c r="I24" s="5" t="inlineStr"/>
      <c r="J24" s="5" t="inlineStr"/>
      <c r="K24" s="5" t="inlineStr"/>
      <c r="L24" s="5" t="inlineStr"/>
    </row>
    <row r="25">
      <c r="A25" t="inlineStr">
        <is>
          <t>EVD-020</t>
        </is>
      </c>
      <c r="B25" s="5" t="inlineStr"/>
      <c r="C25" s="5" t="inlineStr"/>
      <c r="D25" s="5" t="inlineStr"/>
      <c r="E25" s="5" t="inlineStr"/>
      <c r="F25" s="5" t="inlineStr"/>
      <c r="G25" s="5" t="inlineStr"/>
      <c r="H25" s="5" t="inlineStr"/>
      <c r="I25" s="5" t="inlineStr"/>
      <c r="J25" s="5" t="inlineStr"/>
      <c r="K25" s="5" t="inlineStr"/>
      <c r="L25" s="5" t="inlineStr"/>
    </row>
    <row r="26">
      <c r="A26" t="inlineStr">
        <is>
          <t>EVD-021</t>
        </is>
      </c>
      <c r="B26" s="5" t="inlineStr"/>
      <c r="C26" s="5" t="inlineStr"/>
      <c r="D26" s="5" t="inlineStr"/>
      <c r="E26" s="5" t="inlineStr"/>
      <c r="F26" s="5" t="inlineStr"/>
      <c r="G26" s="5" t="inlineStr"/>
      <c r="H26" s="5" t="inlineStr"/>
      <c r="I26" s="5" t="inlineStr"/>
      <c r="J26" s="5" t="inlineStr"/>
      <c r="K26" s="5" t="inlineStr"/>
      <c r="L26" s="5" t="inlineStr"/>
    </row>
    <row r="27">
      <c r="A27" t="inlineStr">
        <is>
          <t>EVD-022</t>
        </is>
      </c>
      <c r="B27" s="5" t="inlineStr"/>
      <c r="C27" s="5" t="inlineStr"/>
      <c r="D27" s="5" t="inlineStr"/>
      <c r="E27" s="5" t="inlineStr"/>
      <c r="F27" s="5" t="inlineStr"/>
      <c r="G27" s="5" t="inlineStr"/>
      <c r="H27" s="5" t="inlineStr"/>
      <c r="I27" s="5" t="inlineStr"/>
      <c r="J27" s="5" t="inlineStr"/>
      <c r="K27" s="5" t="inlineStr"/>
      <c r="L27" s="5" t="inlineStr"/>
    </row>
    <row r="28">
      <c r="A28" t="inlineStr">
        <is>
          <t>EVD-023</t>
        </is>
      </c>
      <c r="B28" s="5" t="inlineStr"/>
      <c r="C28" s="5" t="inlineStr"/>
      <c r="D28" s="5" t="inlineStr"/>
      <c r="E28" s="5" t="inlineStr"/>
      <c r="F28" s="5" t="inlineStr"/>
      <c r="G28" s="5" t="inlineStr"/>
      <c r="H28" s="5" t="inlineStr"/>
      <c r="I28" s="5" t="inlineStr"/>
      <c r="J28" s="5" t="inlineStr"/>
      <c r="K28" s="5" t="inlineStr"/>
      <c r="L28" s="5" t="inlineStr"/>
    </row>
    <row r="29">
      <c r="A29" t="inlineStr">
        <is>
          <t>EVD-024</t>
        </is>
      </c>
      <c r="B29" s="5" t="inlineStr"/>
      <c r="C29" s="5" t="inlineStr"/>
      <c r="D29" s="5" t="inlineStr"/>
      <c r="E29" s="5" t="inlineStr"/>
      <c r="F29" s="5" t="inlineStr"/>
      <c r="G29" s="5" t="inlineStr"/>
      <c r="H29" s="5" t="inlineStr"/>
      <c r="I29" s="5" t="inlineStr"/>
      <c r="J29" s="5" t="inlineStr"/>
      <c r="K29" s="5" t="inlineStr"/>
      <c r="L29" s="5" t="inlineStr"/>
    </row>
    <row r="30">
      <c r="A30" t="inlineStr">
        <is>
          <t>EVD-025</t>
        </is>
      </c>
      <c r="B30" s="5" t="inlineStr"/>
      <c r="C30" s="5" t="inlineStr"/>
      <c r="D30" s="5" t="inlineStr"/>
      <c r="E30" s="5" t="inlineStr"/>
      <c r="F30" s="5" t="inlineStr"/>
      <c r="G30" s="5" t="inlineStr"/>
      <c r="H30" s="5" t="inlineStr"/>
      <c r="I30" s="5" t="inlineStr"/>
      <c r="J30" s="5" t="inlineStr"/>
      <c r="K30" s="5" t="inlineStr"/>
      <c r="L30" s="5" t="inlineStr"/>
    </row>
    <row r="31">
      <c r="A31" t="inlineStr">
        <is>
          <t>EVD-026</t>
        </is>
      </c>
      <c r="B31" s="5" t="inlineStr"/>
      <c r="C31" s="5" t="inlineStr"/>
      <c r="D31" s="5" t="inlineStr"/>
      <c r="E31" s="5" t="inlineStr"/>
      <c r="F31" s="5" t="inlineStr"/>
      <c r="G31" s="5" t="inlineStr"/>
      <c r="H31" s="5" t="inlineStr"/>
      <c r="I31" s="5" t="inlineStr"/>
      <c r="J31" s="5" t="inlineStr"/>
      <c r="K31" s="5" t="inlineStr"/>
      <c r="L31" s="5" t="inlineStr"/>
    </row>
    <row r="32">
      <c r="A32" t="inlineStr">
        <is>
          <t>EVD-027</t>
        </is>
      </c>
      <c r="B32" s="5" t="inlineStr"/>
      <c r="C32" s="5" t="inlineStr"/>
      <c r="D32" s="5" t="inlineStr"/>
      <c r="E32" s="5" t="inlineStr"/>
      <c r="F32" s="5" t="inlineStr"/>
      <c r="G32" s="5" t="inlineStr"/>
      <c r="H32" s="5" t="inlineStr"/>
      <c r="I32" s="5" t="inlineStr"/>
      <c r="J32" s="5" t="inlineStr"/>
      <c r="K32" s="5" t="inlineStr"/>
      <c r="L32" s="5" t="inlineStr"/>
    </row>
    <row r="33">
      <c r="A33" t="inlineStr">
        <is>
          <t>EVD-028</t>
        </is>
      </c>
      <c r="B33" s="5" t="inlineStr"/>
      <c r="C33" s="5" t="inlineStr"/>
      <c r="D33" s="5" t="inlineStr"/>
      <c r="E33" s="5" t="inlineStr"/>
      <c r="F33" s="5" t="inlineStr"/>
      <c r="G33" s="5" t="inlineStr"/>
      <c r="H33" s="5" t="inlineStr"/>
      <c r="I33" s="5" t="inlineStr"/>
      <c r="J33" s="5" t="inlineStr"/>
      <c r="K33" s="5" t="inlineStr"/>
      <c r="L33" s="5" t="inlineStr"/>
    </row>
    <row r="34">
      <c r="A34" t="inlineStr">
        <is>
          <t>EVD-029</t>
        </is>
      </c>
      <c r="B34" s="5" t="inlineStr"/>
      <c r="C34" s="5" t="inlineStr"/>
      <c r="D34" s="5" t="inlineStr"/>
      <c r="E34" s="5" t="inlineStr"/>
      <c r="F34" s="5" t="inlineStr"/>
      <c r="G34" s="5" t="inlineStr"/>
      <c r="H34" s="5" t="inlineStr"/>
      <c r="I34" s="5" t="inlineStr"/>
      <c r="J34" s="5" t="inlineStr"/>
      <c r="K34" s="5" t="inlineStr"/>
      <c r="L34" s="5" t="inlineStr"/>
    </row>
    <row r="35">
      <c r="A35" t="inlineStr">
        <is>
          <t>EVD-030</t>
        </is>
      </c>
      <c r="B35" s="5" t="inlineStr"/>
      <c r="C35" s="5" t="inlineStr"/>
      <c r="D35" s="5" t="inlineStr"/>
      <c r="E35" s="5" t="inlineStr"/>
      <c r="F35" s="5" t="inlineStr"/>
      <c r="G35" s="5" t="inlineStr"/>
      <c r="H35" s="5" t="inlineStr"/>
      <c r="I35" s="5" t="inlineStr"/>
      <c r="J35" s="5" t="inlineStr"/>
      <c r="K35" s="5" t="inlineStr"/>
      <c r="L35" s="5" t="inlineStr"/>
    </row>
    <row r="36">
      <c r="A36" t="inlineStr">
        <is>
          <t>EVD-031</t>
        </is>
      </c>
      <c r="B36" s="5" t="inlineStr"/>
      <c r="C36" s="5" t="inlineStr"/>
      <c r="D36" s="5" t="inlineStr"/>
      <c r="E36" s="5" t="inlineStr"/>
      <c r="F36" s="5" t="inlineStr"/>
      <c r="G36" s="5" t="inlineStr"/>
      <c r="H36" s="5" t="inlineStr"/>
      <c r="I36" s="5" t="inlineStr"/>
      <c r="J36" s="5" t="inlineStr"/>
      <c r="K36" s="5" t="inlineStr"/>
      <c r="L36" s="5" t="inlineStr"/>
    </row>
    <row r="37">
      <c r="A37" t="inlineStr">
        <is>
          <t>EVD-032</t>
        </is>
      </c>
      <c r="B37" s="5" t="inlineStr"/>
      <c r="C37" s="5" t="inlineStr"/>
      <c r="D37" s="5" t="inlineStr"/>
      <c r="E37" s="5" t="inlineStr"/>
      <c r="F37" s="5" t="inlineStr"/>
      <c r="G37" s="5" t="inlineStr"/>
      <c r="H37" s="5" t="inlineStr"/>
      <c r="I37" s="5" t="inlineStr"/>
      <c r="J37" s="5" t="inlineStr"/>
      <c r="K37" s="5" t="inlineStr"/>
      <c r="L37" s="5" t="inlineStr"/>
    </row>
    <row r="38">
      <c r="A38" t="inlineStr">
        <is>
          <t>EVD-033</t>
        </is>
      </c>
      <c r="B38" s="5" t="inlineStr"/>
      <c r="C38" s="5" t="inlineStr"/>
      <c r="D38" s="5" t="inlineStr"/>
      <c r="E38" s="5" t="inlineStr"/>
      <c r="F38" s="5" t="inlineStr"/>
      <c r="G38" s="5" t="inlineStr"/>
      <c r="H38" s="5" t="inlineStr"/>
      <c r="I38" s="5" t="inlineStr"/>
      <c r="J38" s="5" t="inlineStr"/>
      <c r="K38" s="5" t="inlineStr"/>
      <c r="L38" s="5" t="inlineStr"/>
    </row>
    <row r="39">
      <c r="A39" t="inlineStr">
        <is>
          <t>EVD-034</t>
        </is>
      </c>
      <c r="B39" s="5" t="inlineStr"/>
      <c r="C39" s="5" t="inlineStr"/>
      <c r="D39" s="5" t="inlineStr"/>
      <c r="E39" s="5" t="inlineStr"/>
      <c r="F39" s="5" t="inlineStr"/>
      <c r="G39" s="5" t="inlineStr"/>
      <c r="H39" s="5" t="inlineStr"/>
      <c r="I39" s="5" t="inlineStr"/>
      <c r="J39" s="5" t="inlineStr"/>
      <c r="K39" s="5" t="inlineStr"/>
      <c r="L39" s="5" t="inlineStr"/>
    </row>
    <row r="40">
      <c r="A40" t="inlineStr">
        <is>
          <t>EVD-035</t>
        </is>
      </c>
      <c r="B40" s="5" t="inlineStr"/>
      <c r="C40" s="5" t="inlineStr"/>
      <c r="D40" s="5" t="inlineStr"/>
      <c r="E40" s="5" t="inlineStr"/>
      <c r="F40" s="5" t="inlineStr"/>
      <c r="G40" s="5" t="inlineStr"/>
      <c r="H40" s="5" t="inlineStr"/>
      <c r="I40" s="5" t="inlineStr"/>
      <c r="J40" s="5" t="inlineStr"/>
      <c r="K40" s="5" t="inlineStr"/>
      <c r="L40" s="5" t="inlineStr"/>
    </row>
    <row r="41">
      <c r="A41" t="inlineStr">
        <is>
          <t>EVD-036</t>
        </is>
      </c>
      <c r="B41" s="5" t="inlineStr"/>
      <c r="C41" s="5" t="inlineStr"/>
      <c r="D41" s="5" t="inlineStr"/>
      <c r="E41" s="5" t="inlineStr"/>
      <c r="F41" s="5" t="inlineStr"/>
      <c r="G41" s="5" t="inlineStr"/>
      <c r="H41" s="5" t="inlineStr"/>
      <c r="I41" s="5" t="inlineStr"/>
      <c r="J41" s="5" t="inlineStr"/>
      <c r="K41" s="5" t="inlineStr"/>
      <c r="L41" s="5" t="inlineStr"/>
    </row>
    <row r="42">
      <c r="A42" t="inlineStr">
        <is>
          <t>EVD-037</t>
        </is>
      </c>
      <c r="B42" s="5" t="inlineStr"/>
      <c r="C42" s="5" t="inlineStr"/>
      <c r="D42" s="5" t="inlineStr"/>
      <c r="E42" s="5" t="inlineStr"/>
      <c r="F42" s="5" t="inlineStr"/>
      <c r="G42" s="5" t="inlineStr"/>
      <c r="H42" s="5" t="inlineStr"/>
      <c r="I42" s="5" t="inlineStr"/>
      <c r="J42" s="5" t="inlineStr"/>
      <c r="K42" s="5" t="inlineStr"/>
      <c r="L42" s="5" t="inlineStr"/>
    </row>
    <row r="43">
      <c r="A43" t="inlineStr">
        <is>
          <t>EVD-038</t>
        </is>
      </c>
      <c r="B43" s="5" t="inlineStr"/>
      <c r="C43" s="5" t="inlineStr"/>
      <c r="D43" s="5" t="inlineStr"/>
      <c r="E43" s="5" t="inlineStr"/>
      <c r="F43" s="5" t="inlineStr"/>
      <c r="G43" s="5" t="inlineStr"/>
      <c r="H43" s="5" t="inlineStr"/>
      <c r="I43" s="5" t="inlineStr"/>
      <c r="J43" s="5" t="inlineStr"/>
      <c r="K43" s="5" t="inlineStr"/>
      <c r="L43" s="5" t="inlineStr"/>
    </row>
    <row r="44">
      <c r="A44" t="inlineStr">
        <is>
          <t>EVD-039</t>
        </is>
      </c>
      <c r="B44" s="5" t="inlineStr"/>
      <c r="C44" s="5" t="inlineStr"/>
      <c r="D44" s="5" t="inlineStr"/>
      <c r="E44" s="5" t="inlineStr"/>
      <c r="F44" s="5" t="inlineStr"/>
      <c r="G44" s="5" t="inlineStr"/>
      <c r="H44" s="5" t="inlineStr"/>
      <c r="I44" s="5" t="inlineStr"/>
      <c r="J44" s="5" t="inlineStr"/>
      <c r="K44" s="5" t="inlineStr"/>
      <c r="L44" s="5" t="inlineStr"/>
    </row>
    <row r="45">
      <c r="A45" t="inlineStr">
        <is>
          <t>EVD-040</t>
        </is>
      </c>
      <c r="B45" s="5" t="inlineStr"/>
      <c r="C45" s="5" t="inlineStr"/>
      <c r="D45" s="5" t="inlineStr"/>
      <c r="E45" s="5" t="inlineStr"/>
      <c r="F45" s="5" t="inlineStr"/>
      <c r="G45" s="5" t="inlineStr"/>
      <c r="H45" s="5" t="inlineStr"/>
      <c r="I45" s="5" t="inlineStr"/>
      <c r="J45" s="5" t="inlineStr"/>
      <c r="K45" s="5" t="inlineStr"/>
      <c r="L45" s="5" t="inlineStr"/>
    </row>
    <row r="46">
      <c r="A46" t="inlineStr">
        <is>
          <t>EVD-041</t>
        </is>
      </c>
      <c r="B46" s="5" t="inlineStr"/>
      <c r="C46" s="5" t="inlineStr"/>
      <c r="D46" s="5" t="inlineStr"/>
      <c r="E46" s="5" t="inlineStr"/>
      <c r="F46" s="5" t="inlineStr"/>
      <c r="G46" s="5" t="inlineStr"/>
      <c r="H46" s="5" t="inlineStr"/>
      <c r="I46" s="5" t="inlineStr"/>
      <c r="J46" s="5" t="inlineStr"/>
      <c r="K46" s="5" t="inlineStr"/>
      <c r="L46" s="5" t="inlineStr"/>
    </row>
    <row r="47">
      <c r="A47" t="inlineStr">
        <is>
          <t>EVD-042</t>
        </is>
      </c>
      <c r="B47" s="5" t="inlineStr"/>
      <c r="C47" s="5" t="inlineStr"/>
      <c r="D47" s="5" t="inlineStr"/>
      <c r="E47" s="5" t="inlineStr"/>
      <c r="F47" s="5" t="inlineStr"/>
      <c r="G47" s="5" t="inlineStr"/>
      <c r="H47" s="5" t="inlineStr"/>
      <c r="I47" s="5" t="inlineStr"/>
      <c r="J47" s="5" t="inlineStr"/>
      <c r="K47" s="5" t="inlineStr"/>
      <c r="L47" s="5" t="inlineStr"/>
    </row>
    <row r="48">
      <c r="A48" t="inlineStr">
        <is>
          <t>EVD-043</t>
        </is>
      </c>
      <c r="B48" s="5" t="inlineStr"/>
      <c r="C48" s="5" t="inlineStr"/>
      <c r="D48" s="5" t="inlineStr"/>
      <c r="E48" s="5" t="inlineStr"/>
      <c r="F48" s="5" t="inlineStr"/>
      <c r="G48" s="5" t="inlineStr"/>
      <c r="H48" s="5" t="inlineStr"/>
      <c r="I48" s="5" t="inlineStr"/>
      <c r="J48" s="5" t="inlineStr"/>
      <c r="K48" s="5" t="inlineStr"/>
      <c r="L48" s="5" t="inlineStr"/>
    </row>
    <row r="49">
      <c r="A49" t="inlineStr">
        <is>
          <t>EVD-044</t>
        </is>
      </c>
      <c r="B49" s="5" t="inlineStr"/>
      <c r="C49" s="5" t="inlineStr"/>
      <c r="D49" s="5" t="inlineStr"/>
      <c r="E49" s="5" t="inlineStr"/>
      <c r="F49" s="5" t="inlineStr"/>
      <c r="G49" s="5" t="inlineStr"/>
      <c r="H49" s="5" t="inlineStr"/>
      <c r="I49" s="5" t="inlineStr"/>
      <c r="J49" s="5" t="inlineStr"/>
      <c r="K49" s="5" t="inlineStr"/>
      <c r="L49" s="5" t="inlineStr"/>
    </row>
    <row r="50">
      <c r="A50" t="inlineStr">
        <is>
          <t>EVD-045</t>
        </is>
      </c>
      <c r="B50" s="5" t="inlineStr"/>
      <c r="C50" s="5" t="inlineStr"/>
      <c r="D50" s="5" t="inlineStr"/>
      <c r="E50" s="5" t="inlineStr"/>
      <c r="F50" s="5" t="inlineStr"/>
      <c r="G50" s="5" t="inlineStr"/>
      <c r="H50" s="5" t="inlineStr"/>
      <c r="I50" s="5" t="inlineStr"/>
      <c r="J50" s="5" t="inlineStr"/>
      <c r="K50" s="5" t="inlineStr"/>
      <c r="L50" s="5" t="inlineStr"/>
    </row>
    <row r="51">
      <c r="A51" t="inlineStr">
        <is>
          <t>EVD-046</t>
        </is>
      </c>
      <c r="B51" s="5" t="inlineStr"/>
      <c r="C51" s="5" t="inlineStr"/>
      <c r="D51" s="5" t="inlineStr"/>
      <c r="E51" s="5" t="inlineStr"/>
      <c r="F51" s="5" t="inlineStr"/>
      <c r="G51" s="5" t="inlineStr"/>
      <c r="H51" s="5" t="inlineStr"/>
      <c r="I51" s="5" t="inlineStr"/>
      <c r="J51" s="5" t="inlineStr"/>
      <c r="K51" s="5" t="inlineStr"/>
      <c r="L51" s="5" t="inlineStr"/>
    </row>
    <row r="52">
      <c r="A52" t="inlineStr">
        <is>
          <t>EVD-047</t>
        </is>
      </c>
      <c r="B52" s="5" t="inlineStr"/>
      <c r="C52" s="5" t="inlineStr"/>
      <c r="D52" s="5" t="inlineStr"/>
      <c r="E52" s="5" t="inlineStr"/>
      <c r="F52" s="5" t="inlineStr"/>
      <c r="G52" s="5" t="inlineStr"/>
      <c r="H52" s="5" t="inlineStr"/>
      <c r="I52" s="5" t="inlineStr"/>
      <c r="J52" s="5" t="inlineStr"/>
      <c r="K52" s="5" t="inlineStr"/>
      <c r="L52" s="5" t="inlineStr"/>
    </row>
    <row r="53">
      <c r="A53" t="inlineStr">
        <is>
          <t>EVD-048</t>
        </is>
      </c>
      <c r="B53" s="5" t="inlineStr"/>
      <c r="C53" s="5" t="inlineStr"/>
      <c r="D53" s="5" t="inlineStr"/>
      <c r="E53" s="5" t="inlineStr"/>
      <c r="F53" s="5" t="inlineStr"/>
      <c r="G53" s="5" t="inlineStr"/>
      <c r="H53" s="5" t="inlineStr"/>
      <c r="I53" s="5" t="inlineStr"/>
      <c r="J53" s="5" t="inlineStr"/>
      <c r="K53" s="5" t="inlineStr"/>
      <c r="L53" s="5" t="inlineStr"/>
    </row>
    <row r="54">
      <c r="A54" t="inlineStr">
        <is>
          <t>EVD-049</t>
        </is>
      </c>
      <c r="B54" s="5" t="inlineStr"/>
      <c r="C54" s="5" t="inlineStr"/>
      <c r="D54" s="5" t="inlineStr"/>
      <c r="E54" s="5" t="inlineStr"/>
      <c r="F54" s="5" t="inlineStr"/>
      <c r="G54" s="5" t="inlineStr"/>
      <c r="H54" s="5" t="inlineStr"/>
      <c r="I54" s="5" t="inlineStr"/>
      <c r="J54" s="5" t="inlineStr"/>
      <c r="K54" s="5" t="inlineStr"/>
      <c r="L54" s="5" t="inlineStr"/>
    </row>
    <row r="55">
      <c r="A55" t="inlineStr">
        <is>
          <t>EVD-050</t>
        </is>
      </c>
      <c r="B55" s="5" t="inlineStr"/>
      <c r="C55" s="5" t="inlineStr"/>
      <c r="D55" s="5" t="inlineStr"/>
      <c r="E55" s="5" t="inlineStr"/>
      <c r="F55" s="5" t="inlineStr"/>
      <c r="G55" s="5" t="inlineStr"/>
      <c r="H55" s="5" t="inlineStr"/>
      <c r="I55" s="5" t="inlineStr"/>
      <c r="J55" s="5" t="inlineStr"/>
      <c r="K55" s="5" t="inlineStr"/>
      <c r="L55" s="5" t="inlineStr"/>
    </row>
    <row r="56">
      <c r="A56" t="inlineStr">
        <is>
          <t>EVD-051</t>
        </is>
      </c>
      <c r="B56" s="5" t="inlineStr"/>
      <c r="C56" s="5" t="inlineStr"/>
      <c r="D56" s="5" t="inlineStr"/>
      <c r="E56" s="5" t="inlineStr"/>
      <c r="F56" s="5" t="inlineStr"/>
      <c r="G56" s="5" t="inlineStr"/>
      <c r="H56" s="5" t="inlineStr"/>
      <c r="I56" s="5" t="inlineStr"/>
      <c r="J56" s="5" t="inlineStr"/>
      <c r="K56" s="5" t="inlineStr"/>
      <c r="L56" s="5" t="inlineStr"/>
    </row>
    <row r="57">
      <c r="A57" t="inlineStr">
        <is>
          <t>EVD-052</t>
        </is>
      </c>
      <c r="B57" s="5" t="inlineStr"/>
      <c r="C57" s="5" t="inlineStr"/>
      <c r="D57" s="5" t="inlineStr"/>
      <c r="E57" s="5" t="inlineStr"/>
      <c r="F57" s="5" t="inlineStr"/>
      <c r="G57" s="5" t="inlineStr"/>
      <c r="H57" s="5" t="inlineStr"/>
      <c r="I57" s="5" t="inlineStr"/>
      <c r="J57" s="5" t="inlineStr"/>
      <c r="K57" s="5" t="inlineStr"/>
      <c r="L57" s="5" t="inlineStr"/>
    </row>
    <row r="58">
      <c r="A58" t="inlineStr">
        <is>
          <t>EVD-053</t>
        </is>
      </c>
      <c r="B58" s="5" t="inlineStr"/>
      <c r="C58" s="5" t="inlineStr"/>
      <c r="D58" s="5" t="inlineStr"/>
      <c r="E58" s="5" t="inlineStr"/>
      <c r="F58" s="5" t="inlineStr"/>
      <c r="G58" s="5" t="inlineStr"/>
      <c r="H58" s="5" t="inlineStr"/>
      <c r="I58" s="5" t="inlineStr"/>
      <c r="J58" s="5" t="inlineStr"/>
      <c r="K58" s="5" t="inlineStr"/>
      <c r="L58" s="5" t="inlineStr"/>
    </row>
    <row r="59">
      <c r="A59" t="inlineStr">
        <is>
          <t>EVD-054</t>
        </is>
      </c>
      <c r="B59" s="5" t="inlineStr"/>
      <c r="C59" s="5" t="inlineStr"/>
      <c r="D59" s="5" t="inlineStr"/>
      <c r="E59" s="5" t="inlineStr"/>
      <c r="F59" s="5" t="inlineStr"/>
      <c r="G59" s="5" t="inlineStr"/>
      <c r="H59" s="5" t="inlineStr"/>
      <c r="I59" s="5" t="inlineStr"/>
      <c r="J59" s="5" t="inlineStr"/>
      <c r="K59" s="5" t="inlineStr"/>
      <c r="L59" s="5" t="inlineStr"/>
    </row>
    <row r="60">
      <c r="A60" t="inlineStr">
        <is>
          <t>EVD-055</t>
        </is>
      </c>
      <c r="B60" s="5" t="inlineStr"/>
      <c r="C60" s="5" t="inlineStr"/>
      <c r="D60" s="5" t="inlineStr"/>
      <c r="E60" s="5" t="inlineStr"/>
      <c r="F60" s="5" t="inlineStr"/>
      <c r="G60" s="5" t="inlineStr"/>
      <c r="H60" s="5" t="inlineStr"/>
      <c r="I60" s="5" t="inlineStr"/>
      <c r="J60" s="5" t="inlineStr"/>
      <c r="K60" s="5" t="inlineStr"/>
      <c r="L60" s="5" t="inlineStr"/>
    </row>
    <row r="61">
      <c r="A61" t="inlineStr">
        <is>
          <t>EVD-056</t>
        </is>
      </c>
      <c r="B61" s="5" t="inlineStr"/>
      <c r="C61" s="5" t="inlineStr"/>
      <c r="D61" s="5" t="inlineStr"/>
      <c r="E61" s="5" t="inlineStr"/>
      <c r="F61" s="5" t="inlineStr"/>
      <c r="G61" s="5" t="inlineStr"/>
      <c r="H61" s="5" t="inlineStr"/>
      <c r="I61" s="5" t="inlineStr"/>
      <c r="J61" s="5" t="inlineStr"/>
      <c r="K61" s="5" t="inlineStr"/>
      <c r="L61" s="5" t="inlineStr"/>
    </row>
    <row r="62">
      <c r="A62" t="inlineStr">
        <is>
          <t>EVD-057</t>
        </is>
      </c>
      <c r="B62" s="5" t="inlineStr"/>
      <c r="C62" s="5" t="inlineStr"/>
      <c r="D62" s="5" t="inlineStr"/>
      <c r="E62" s="5" t="inlineStr"/>
      <c r="F62" s="5" t="inlineStr"/>
      <c r="G62" s="5" t="inlineStr"/>
      <c r="H62" s="5" t="inlineStr"/>
      <c r="I62" s="5" t="inlineStr"/>
      <c r="J62" s="5" t="inlineStr"/>
      <c r="K62" s="5" t="inlineStr"/>
      <c r="L62" s="5" t="inlineStr"/>
    </row>
    <row r="63">
      <c r="A63" t="inlineStr">
        <is>
          <t>EVD-058</t>
        </is>
      </c>
      <c r="B63" s="5" t="inlineStr"/>
      <c r="C63" s="5" t="inlineStr"/>
      <c r="D63" s="5" t="inlineStr"/>
      <c r="E63" s="5" t="inlineStr"/>
      <c r="F63" s="5" t="inlineStr"/>
      <c r="G63" s="5" t="inlineStr"/>
      <c r="H63" s="5" t="inlineStr"/>
      <c r="I63" s="5" t="inlineStr"/>
      <c r="J63" s="5" t="inlineStr"/>
      <c r="K63" s="5" t="inlineStr"/>
      <c r="L63" s="5" t="inlineStr"/>
    </row>
  </sheetData>
  <mergeCells count="3">
    <mergeCell ref="A3:L3"/>
    <mergeCell ref="A2:L2"/>
    <mergeCell ref="A1:L1"/>
  </mergeCells>
  <dataValidations count="3">
    <dataValidation sqref="C6:C100" showDropDown="0" showInputMessage="0" showErrorMessage="0" allowBlank="1" type="list">
      <formula1>"Configuration,Screenshot,Export,Report,Certificate,Policy,Procedure,Log,Assessment,Test Result,Approval,Other"</formula1>
    </dataValidation>
    <dataValidation sqref="B6:B100" showDropDown="0" showInputMessage="0" showErrorMessage="0" allowBlank="1" type="list">
      <formula1>"Access Control Assessment,Integrity Protection,Secure Transmission,Retention Period Compliance,Storage Tier Implementation,Log Backup &amp; Recovery,Disposal Procedures,Separation of Duties,Legal Hold Management,Privacy Impact Assessment,Gap Analysis"</formula1>
    </dataValidation>
    <dataValidation sqref="K6:K100" showDropDown="0" showInputMessage="0" showErrorMessage="0" allowBlank="1" type="list">
      <formula1>"Collected,Pending,Expired,Not Available"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15" customWidth="1" min="3" max="3"/>
    <col width="15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 ht="40" customHeight="1">
      <c r="A1" s="1" t="inlineStr">
        <is>
          <t>LOG PROTECTION &amp; RETENTION DASHBOARD</t>
        </is>
      </c>
    </row>
    <row r="2" ht="25" customHeight="1">
      <c r="A2" s="6" t="inlineStr">
        <is>
          <t>Executive Summary - Protection &amp; Compliance Status</t>
        </is>
      </c>
    </row>
    <row r="4">
      <c r="A4" s="6" t="inlineStr">
        <is>
          <t>1. PROTECTION COMPLIANCE SUMMARY</t>
        </is>
      </c>
    </row>
    <row r="6">
      <c r="A6" s="8" t="inlineStr">
        <is>
          <t>Protection Measure</t>
        </is>
      </c>
      <c r="B6" s="8" t="inlineStr">
        <is>
          <t>Compliant Count</t>
        </is>
      </c>
      <c r="C6" s="8" t="inlineStr">
        <is>
          <t>Target</t>
        </is>
      </c>
      <c r="D6" s="8" t="inlineStr">
        <is>
          <t>Status</t>
        </is>
      </c>
    </row>
    <row r="7">
      <c r="A7" s="2" t="inlineStr">
        <is>
          <t>Access Controls Compliant</t>
        </is>
      </c>
      <c r="B7" s="11">
        <f>COUNTIF('Access Control Assessment'!N:N,"&gt;0.95")</f>
        <v/>
      </c>
      <c r="C7" s="15" t="inlineStr">
        <is>
          <t>&gt;95%</t>
        </is>
      </c>
      <c r="D7" s="11">
        <f>IF(B{row}&gt;0,"✓","✗")</f>
        <v/>
      </c>
    </row>
    <row r="8">
      <c r="A8" s="2" t="inlineStr">
        <is>
          <t>Integrity Protection Implemented</t>
        </is>
      </c>
      <c r="B8" s="11">
        <f>COUNTIF('Integrity Protection'!N:N,"Compliant")</f>
        <v/>
      </c>
      <c r="C8" s="15" t="inlineStr">
        <is>
          <t>&gt;95%</t>
        </is>
      </c>
      <c r="D8" s="11">
        <f>IF(B{row}&gt;0,"✓","✗")</f>
        <v/>
      </c>
    </row>
    <row r="9">
      <c r="A9" s="2" t="inlineStr">
        <is>
          <t>Secure Transmission (Critical)</t>
        </is>
      </c>
      <c r="B9" s="11">
        <f>COUNTIF('Secure Transmission'!K:K,"Compliant")</f>
        <v/>
      </c>
      <c r="C9" s="15" t="inlineStr">
        <is>
          <t>100%</t>
        </is>
      </c>
      <c r="D9" s="11">
        <f>IF(B{row}&gt;0,"✓","✗")</f>
        <v/>
      </c>
    </row>
    <row r="10">
      <c r="A10" s="2" t="inlineStr">
        <is>
          <t>Backup Implemented</t>
        </is>
      </c>
      <c r="B10" s="11">
        <f>COUNTIF('Log Backup &amp; Recovery'!O:O,"Compliant")</f>
        <v/>
      </c>
      <c r="C10" s="15" t="inlineStr">
        <is>
          <t>&gt;95%</t>
        </is>
      </c>
      <c r="D10" s="11">
        <f>IF(B{row}&gt;0,"✓","✗")</f>
        <v/>
      </c>
    </row>
    <row r="11">
      <c r="A11" s="2" t="inlineStr">
        <is>
          <t>Separation of Duties</t>
        </is>
      </c>
      <c r="B11" s="11">
        <f>COUNTIF('Separation of Duties'!L:L,"Compliant")</f>
        <v/>
      </c>
      <c r="C11" s="15" t="inlineStr">
        <is>
          <t>&gt;90%</t>
        </is>
      </c>
      <c r="D11" s="11">
        <f>IF(B{row}&gt;0,"✓","✗")</f>
        <v/>
      </c>
    </row>
    <row r="12">
      <c r="A12" s="2" t="inlineStr">
        <is>
          <t>Secure Disposal Procedures</t>
        </is>
      </c>
      <c r="B12" s="11">
        <f>COUNTIF('Disposal Procedures'!K:K,"Compliant")</f>
        <v/>
      </c>
      <c r="C12" s="15" t="inlineStr">
        <is>
          <t>100%</t>
        </is>
      </c>
      <c r="D12" s="11">
        <f>IF(B{row}&gt;0,"✓","✗")</f>
        <v/>
      </c>
    </row>
    <row r="15">
      <c r="A15" s="6" t="inlineStr">
        <is>
          <t>2. RETENTION COMPLIANCE SUMMARY</t>
        </is>
      </c>
    </row>
    <row r="17">
      <c r="A17" s="8" t="inlineStr">
        <is>
          <t>Log Category</t>
        </is>
      </c>
      <c r="B17" s="8" t="inlineStr">
        <is>
          <t>Compliant</t>
        </is>
      </c>
      <c r="C17" s="8" t="inlineStr">
        <is>
          <t>Under-Retained</t>
        </is>
      </c>
      <c r="D17" s="8" t="inlineStr">
        <is>
          <t>Over-Retained</t>
        </is>
      </c>
      <c r="E17" s="8" t="inlineStr">
        <is>
          <t>% Compliant</t>
        </is>
      </c>
    </row>
    <row r="18">
      <c r="A18" s="2" t="inlineStr">
        <is>
          <t>Security</t>
        </is>
      </c>
      <c r="B18" s="11">
        <f>COUNTIFS('Retention Period Compliance'!B:B,"Security",'Retention Period Compliance'!O:O,"Compliant")</f>
        <v/>
      </c>
      <c r="C18" s="11">
        <f>COUNTIFS('Retention Period Compliance'!B:B,"Security",'Retention Period Compliance'!J:J,"&gt;0")</f>
        <v/>
      </c>
      <c r="D18" s="11">
        <f>COUNTIFS('Retention Period Compliance'!B:B,"Security",'Retention Period Compliance'!K:K,"&gt;0")</f>
        <v/>
      </c>
      <c r="E18" s="10">
        <f>IF((B18+C18+D18)=0,0,B18/(B18+C18+D18))</f>
        <v/>
      </c>
    </row>
    <row r="19">
      <c r="A19" s="2" t="inlineStr">
        <is>
          <t>Authentication</t>
        </is>
      </c>
      <c r="B19" s="11">
        <f>COUNTIFS('Retention Period Compliance'!B:B,"Authentication",'Retention Period Compliance'!O:O,"Compliant")</f>
        <v/>
      </c>
      <c r="C19" s="11">
        <f>COUNTIFS('Retention Period Compliance'!B:B,"Authentication",'Retention Period Compliance'!J:J,"&gt;0")</f>
        <v/>
      </c>
      <c r="D19" s="11">
        <f>COUNTIFS('Retention Period Compliance'!B:B,"Authentication",'Retention Period Compliance'!K:K,"&gt;0")</f>
        <v/>
      </c>
      <c r="E19" s="10">
        <f>IF((B19+C19+D19)=0,0,B19/(B19+C19+D19))</f>
        <v/>
      </c>
    </row>
    <row r="20">
      <c r="A20" s="2" t="inlineStr">
        <is>
          <t>Administrative</t>
        </is>
      </c>
      <c r="B20" s="11">
        <f>COUNTIFS('Retention Period Compliance'!B:B,"Administrative",'Retention Period Compliance'!O:O,"Compliant")</f>
        <v/>
      </c>
      <c r="C20" s="11">
        <f>COUNTIFS('Retention Period Compliance'!B:B,"Administrative",'Retention Period Compliance'!J:J,"&gt;0")</f>
        <v/>
      </c>
      <c r="D20" s="11">
        <f>COUNTIFS('Retention Period Compliance'!B:B,"Administrative",'Retention Period Compliance'!K:K,"&gt;0")</f>
        <v/>
      </c>
      <c r="E20" s="10">
        <f>IF((B20+C20+D20)=0,0,B20/(B20+C20+D20))</f>
        <v/>
      </c>
    </row>
    <row r="21">
      <c r="A21" s="2" t="inlineStr">
        <is>
          <t>Application</t>
        </is>
      </c>
      <c r="B21" s="11">
        <f>COUNTIFS('Retention Period Compliance'!B:B,"Application",'Retention Period Compliance'!O:O,"Compliant")</f>
        <v/>
      </c>
      <c r="C21" s="11">
        <f>COUNTIFS('Retention Period Compliance'!B:B,"Application",'Retention Period Compliance'!J:J,"&gt;0")</f>
        <v/>
      </c>
      <c r="D21" s="11">
        <f>COUNTIFS('Retention Period Compliance'!B:B,"Application",'Retention Period Compliance'!K:K,"&gt;0")</f>
        <v/>
      </c>
      <c r="E21" s="10">
        <f>IF((B21+C21+D21)=0,0,B21/(B21+C21+D21))</f>
        <v/>
      </c>
    </row>
    <row r="22">
      <c r="A22" s="16" t="inlineStr">
        <is>
          <t>TOTAL</t>
        </is>
      </c>
      <c r="B22" s="17">
        <f>SUM(B18:B21)</f>
        <v/>
      </c>
      <c r="C22" s="17">
        <f>SUM(C18:C21)</f>
        <v/>
      </c>
      <c r="D22" s="17">
        <f>SUM(D18:D21)</f>
        <v/>
      </c>
      <c r="E22" s="18">
        <f>IF((B22+C22+D22)=0,0,B22/(B22+C22+D22))</f>
        <v/>
      </c>
    </row>
    <row r="25">
      <c r="A25" s="6" t="inlineStr">
        <is>
          <t>3. GAP SUMMARY BY RISK LEVEL</t>
        </is>
      </c>
    </row>
    <row r="27">
      <c r="A27" s="8" t="inlineStr">
        <is>
          <t>Risk Level</t>
        </is>
      </c>
      <c r="B27" s="8" t="inlineStr">
        <is>
          <t>Open</t>
        </is>
      </c>
      <c r="C27" s="8" t="inlineStr">
        <is>
          <t>In Progress</t>
        </is>
      </c>
      <c r="D27" s="8" t="inlineStr">
        <is>
          <t>Resolved</t>
        </is>
      </c>
      <c r="E27" s="8" t="inlineStr">
        <is>
          <t>Overdue</t>
        </is>
      </c>
    </row>
    <row r="28">
      <c r="A28" s="2" t="inlineStr">
        <is>
          <t>Critical</t>
        </is>
      </c>
      <c r="B28" s="11">
        <f>COUNTIFS('Gap Analysis'!F:F,"Critical",'Gap Analysis'!K:K,"Open")</f>
        <v/>
      </c>
      <c r="C28" s="11">
        <f>COUNTIFS('Gap Analysis'!F:F,"Critical",'Gap Analysis'!K:K,"In Progress")</f>
        <v/>
      </c>
      <c r="D28" s="11">
        <f>COUNTIFS('Gap Analysis'!F:F,"Critical",'Gap Analysis'!K:K,"Resolved")</f>
        <v/>
      </c>
      <c r="E28" s="11">
        <f>SUMPRODUCT(('Gap Analysis'!F:F="Critical")*(('Gap Analysis'!K:K="Open")+('Gap Analysis'!K:K="In Progress"))*('Gap Analysis'!I:I&lt;TODAY())*('Gap Analysis'!I:I&lt;&gt;""))</f>
        <v/>
      </c>
    </row>
    <row r="29">
      <c r="A29" s="2" t="inlineStr">
        <is>
          <t>High</t>
        </is>
      </c>
      <c r="B29" s="11">
        <f>COUNTIFS('Gap Analysis'!F:F,"High",'Gap Analysis'!K:K,"Open")</f>
        <v/>
      </c>
      <c r="C29" s="11">
        <f>COUNTIFS('Gap Analysis'!F:F,"High",'Gap Analysis'!K:K,"In Progress")</f>
        <v/>
      </c>
      <c r="D29" s="11">
        <f>COUNTIFS('Gap Analysis'!F:F,"High",'Gap Analysis'!K:K,"Resolved")</f>
        <v/>
      </c>
      <c r="E29" s="11">
        <f>SUMPRODUCT(('Gap Analysis'!F:F="High")*(('Gap Analysis'!K:K="Open")+('Gap Analysis'!K:K="In Progress"))*('Gap Analysis'!I:I&lt;TODAY())*('Gap Analysis'!I:I&lt;&gt;""))</f>
        <v/>
      </c>
    </row>
    <row r="30">
      <c r="A30" s="2" t="inlineStr">
        <is>
          <t>Medium</t>
        </is>
      </c>
      <c r="B30" s="11">
        <f>COUNTIFS('Gap Analysis'!F:F,"Medium",'Gap Analysis'!K:K,"Open")</f>
        <v/>
      </c>
      <c r="C30" s="11">
        <f>COUNTIFS('Gap Analysis'!F:F,"Medium",'Gap Analysis'!K:K,"In Progress")</f>
        <v/>
      </c>
      <c r="D30" s="11">
        <f>COUNTIFS('Gap Analysis'!F:F,"Medium",'Gap Analysis'!K:K,"Resolved")</f>
        <v/>
      </c>
      <c r="E30" s="11">
        <f>SUMPRODUCT(('Gap Analysis'!F:F="Medium")*(('Gap Analysis'!K:K="Open")+('Gap Analysis'!K:K="In Progress"))*('Gap Analysis'!I:I&lt;TODAY())*('Gap Analysis'!I:I&lt;&gt;""))</f>
        <v/>
      </c>
    </row>
    <row r="31">
      <c r="A31" s="2" t="inlineStr">
        <is>
          <t>Low</t>
        </is>
      </c>
      <c r="B31" s="11">
        <f>COUNTIFS('Gap Analysis'!F:F,"Low",'Gap Analysis'!K:K,"Open")</f>
        <v/>
      </c>
      <c r="C31" s="11">
        <f>COUNTIFS('Gap Analysis'!F:F,"Low",'Gap Analysis'!K:K,"In Progress")</f>
        <v/>
      </c>
      <c r="D31" s="11">
        <f>COUNTIFS('Gap Analysis'!F:F,"Low",'Gap Analysis'!K:K,"Resolved")</f>
        <v/>
      </c>
      <c r="E31" s="11">
        <f>SUMPRODUCT(('Gap Analysis'!F:F="Low")*(('Gap Analysis'!K:K="Open")+('Gap Analysis'!K:K="In Progress"))*('Gap Analysis'!I:I&lt;TODAY())*('Gap Analysis'!I:I&lt;&gt;""))</f>
        <v/>
      </c>
    </row>
    <row r="34">
      <c r="A34" s="6" t="inlineStr">
        <is>
          <t>4. KEY FINDINGS &amp; RECOMMENDATIONS</t>
        </is>
      </c>
    </row>
    <row r="36">
      <c r="A36" s="19" t="inlineStr">
        <is>
          <t>CRITICAL ACTIONS:</t>
        </is>
      </c>
    </row>
    <row r="37">
      <c r="A37" s="20" t="inlineStr">
        <is>
          <t>• Address all Critical risk gaps within 30 days</t>
        </is>
      </c>
    </row>
    <row r="38">
      <c r="A38" s="20" t="inlineStr">
        <is>
          <t>• Implement WORM storage for critical log sources</t>
        </is>
      </c>
    </row>
    <row r="39">
      <c r="A39" s="20" t="inlineStr">
        <is>
          <t>• Enable TLS 1.2+ for all log transmission over untrusted networks</t>
        </is>
      </c>
    </row>
    <row r="40">
      <c r="A40" s="20" t="inlineStr"/>
    </row>
    <row r="41">
      <c r="A41" s="19" t="inlineStr">
        <is>
          <t>HIGH PRIORITY:</t>
        </is>
      </c>
    </row>
    <row r="42">
      <c r="A42" s="20" t="inlineStr">
        <is>
          <t>• Implement separation of duties where system admins manage logs</t>
        </is>
      </c>
    </row>
    <row r="43">
      <c r="A43" s="20" t="inlineStr">
        <is>
          <t>• Enable integrity protection (hashing) for high-criticality logs</t>
        </is>
      </c>
    </row>
    <row r="44">
      <c r="A44" s="20" t="inlineStr">
        <is>
          <t>• Ensure all backups are encrypted and tested quarterly</t>
        </is>
      </c>
    </row>
    <row r="45">
      <c r="A45" s="20" t="inlineStr"/>
    </row>
    <row r="46">
      <c r="A46" s="19" t="inlineStr">
        <is>
          <t>RETENTION COMPLIANCE:</t>
        </is>
      </c>
    </row>
    <row r="47">
      <c r="A47" s="20" t="inlineStr">
        <is>
          <t>• Address under-retention issues to meet regulatory requirements</t>
        </is>
      </c>
    </row>
    <row r="48">
      <c r="A48" s="20" t="inlineStr">
        <is>
          <t>• Implement automated disposal with legal hold checking</t>
        </is>
      </c>
    </row>
    <row r="49">
      <c r="A49" s="20" t="inlineStr">
        <is>
          <t>• Review over-retention to optimize storage costs</t>
        </is>
      </c>
    </row>
    <row r="50">
      <c r="A50" s="20" t="inlineStr"/>
    </row>
    <row r="51">
      <c r="A51" s="19" t="inlineStr">
        <is>
          <t>CONTINUOUS IMPROVEMENT:</t>
        </is>
      </c>
    </row>
    <row r="52">
      <c r="A52" s="20" t="inlineStr">
        <is>
          <t>• Quarterly access control reviews</t>
        </is>
      </c>
    </row>
    <row r="53">
      <c r="A53" s="20" t="inlineStr">
        <is>
          <t>• Semi-annual retention period reviews</t>
        </is>
      </c>
    </row>
    <row r="54">
      <c r="A54" s="20" t="inlineStr">
        <is>
          <t>• Annual backup restore testing</t>
        </is>
      </c>
    </row>
  </sheetData>
  <mergeCells count="25">
    <mergeCell ref="A48:H48"/>
    <mergeCell ref="A39:H39"/>
    <mergeCell ref="A15:H15"/>
    <mergeCell ref="A51:H51"/>
    <mergeCell ref="A36:H36"/>
    <mergeCell ref="A49:H49"/>
    <mergeCell ref="A45:H45"/>
    <mergeCell ref="A1:H1"/>
    <mergeCell ref="A25:H25"/>
    <mergeCell ref="A54:H54"/>
    <mergeCell ref="A41:H41"/>
    <mergeCell ref="A46:H46"/>
    <mergeCell ref="A37:H37"/>
    <mergeCell ref="A50:H50"/>
    <mergeCell ref="A2:H2"/>
    <mergeCell ref="A42:H42"/>
    <mergeCell ref="A47:H47"/>
    <mergeCell ref="A4:H4"/>
    <mergeCell ref="A53:H53"/>
    <mergeCell ref="A34:H34"/>
    <mergeCell ref="A43:H43"/>
    <mergeCell ref="A38:H38"/>
    <mergeCell ref="A52:H52"/>
    <mergeCell ref="A44:H44"/>
    <mergeCell ref="A40:H40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15" customWidth="1" min="3" max="3"/>
    <col width="15" customWidth="1" min="4" max="4"/>
    <col width="20" customWidth="1" min="5" max="5"/>
  </cols>
  <sheetData>
    <row r="1" ht="40" customHeight="1">
      <c r="A1" s="1" t="inlineStr">
        <is>
          <t>APPROVAL &amp; SIGN-OFF</t>
        </is>
      </c>
    </row>
    <row r="2" ht="25" customHeight="1">
      <c r="A2" s="6" t="inlineStr">
        <is>
          <t>Multi-level approval workflow for Log Protection &amp; Retention Assessment</t>
        </is>
      </c>
    </row>
    <row r="4">
      <c r="A4" s="6" t="inlineStr">
        <is>
          <t>APPROVAL WORKFLOW</t>
        </is>
      </c>
    </row>
    <row r="6">
      <c r="A6" s="8" t="inlineStr">
        <is>
          <t>Role</t>
        </is>
      </c>
      <c r="B6" s="8" t="inlineStr">
        <is>
          <t>Name</t>
        </is>
      </c>
      <c r="C6" s="8" t="inlineStr">
        <is>
          <t>Date</t>
        </is>
      </c>
      <c r="D6" s="8" t="inlineStr">
        <is>
          <t>Signature</t>
        </is>
      </c>
      <c r="E6" s="8" t="inlineStr">
        <is>
          <t>Status</t>
        </is>
      </c>
    </row>
    <row r="7">
      <c r="A7" s="2" t="inlineStr">
        <is>
          <t>Log Administrator</t>
        </is>
      </c>
      <c r="B7" s="5" t="inlineStr">
        <is>
          <t>[Name]</t>
        </is>
      </c>
      <c r="C7" s="4" t="inlineStr"/>
      <c r="D7" s="5" t="inlineStr">
        <is>
          <t>_____</t>
        </is>
      </c>
      <c r="E7" s="12" t="inlineStr">
        <is>
          <t>☐ Reviewed</t>
        </is>
      </c>
    </row>
    <row r="8">
      <c r="A8" s="2" t="inlineStr">
        <is>
          <t>IT Operations Manager</t>
        </is>
      </c>
      <c r="B8" s="5" t="inlineStr">
        <is>
          <t>[Name]</t>
        </is>
      </c>
      <c r="C8" s="4" t="inlineStr"/>
      <c r="D8" s="5" t="inlineStr">
        <is>
          <t>_____</t>
        </is>
      </c>
      <c r="E8" s="12" t="inlineStr">
        <is>
          <t>☐ Reviewed</t>
        </is>
      </c>
    </row>
    <row r="9">
      <c r="A9" s="2" t="inlineStr">
        <is>
          <t>Information Security Manager</t>
        </is>
      </c>
      <c r="B9" s="5" t="inlineStr">
        <is>
          <t>[Name]</t>
        </is>
      </c>
      <c r="C9" s="4" t="inlineStr"/>
      <c r="D9" s="5" t="inlineStr">
        <is>
          <t>_____</t>
        </is>
      </c>
      <c r="E9" s="12" t="inlineStr">
        <is>
          <t>☐ Approved</t>
        </is>
      </c>
    </row>
    <row r="10">
      <c r="A10" s="2" t="inlineStr">
        <is>
          <t>Legal/Compliance Officer</t>
        </is>
      </c>
      <c r="B10" s="5" t="inlineStr">
        <is>
          <t>[Name]</t>
        </is>
      </c>
      <c r="C10" s="4" t="inlineStr"/>
      <c r="D10" s="5" t="inlineStr">
        <is>
          <t>_____</t>
        </is>
      </c>
      <c r="E10" s="12" t="inlineStr">
        <is>
          <t>☐ Reviewed</t>
        </is>
      </c>
    </row>
    <row r="13">
      <c r="A13" s="6" t="inlineStr">
        <is>
          <t>ACKNOWLEDGMENTS CHECKLIST</t>
        </is>
      </c>
    </row>
    <row r="15">
      <c r="A15" s="12" t="inlineStr">
        <is>
          <t>☐ Access controls assessed for all log sources</t>
        </is>
      </c>
    </row>
    <row r="16">
      <c r="A16" s="12" t="inlineStr">
        <is>
          <t>☐ Integrity protection mechanisms evaluated</t>
        </is>
      </c>
    </row>
    <row r="17">
      <c r="A17" s="12" t="inlineStr">
        <is>
          <t>☐ Secure transmission verified</t>
        </is>
      </c>
    </row>
    <row r="18">
      <c r="A18" s="12" t="inlineStr">
        <is>
          <t>☐ Retention periods validated against policy</t>
        </is>
      </c>
    </row>
    <row r="19">
      <c r="A19" s="12" t="inlineStr">
        <is>
          <t>☐ Storage tiers reviewed</t>
        </is>
      </c>
    </row>
    <row r="20">
      <c r="A20" s="12" t="inlineStr">
        <is>
          <t>☐ Backup and recovery capabilities tested</t>
        </is>
      </c>
    </row>
    <row r="21">
      <c r="A21" s="12" t="inlineStr">
        <is>
          <t>☐ Disposal procedures assessed</t>
        </is>
      </c>
    </row>
    <row r="22">
      <c r="A22" s="12" t="inlineStr">
        <is>
          <t>☐ Separation of duties verified</t>
        </is>
      </c>
    </row>
    <row r="23">
      <c r="A23" s="12" t="inlineStr">
        <is>
          <t>☐ Legal holds documented</t>
        </is>
      </c>
    </row>
    <row r="24">
      <c r="A24" s="12" t="inlineStr">
        <is>
          <t>☐ Gaps identified and remediation planned</t>
        </is>
      </c>
    </row>
  </sheetData>
  <mergeCells count="14">
    <mergeCell ref="A21:E21"/>
    <mergeCell ref="A4:E4"/>
    <mergeCell ref="A20:E20"/>
    <mergeCell ref="A24:E24"/>
    <mergeCell ref="A2:E2"/>
    <mergeCell ref="A16:E16"/>
    <mergeCell ref="A15:E15"/>
    <mergeCell ref="A19:E19"/>
    <mergeCell ref="A1:E1"/>
    <mergeCell ref="A23:E23"/>
    <mergeCell ref="A13:E13"/>
    <mergeCell ref="A22:E22"/>
    <mergeCell ref="A17:E17"/>
    <mergeCell ref="A18:E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2026-02-08T11:26:11Z</dcterms:created>
  <dcterms:modified xmlns:dcterms="http://purl.org/dc/terms/" xmlns:xsi="http://www.w3.org/2001/XMLSchema-instance" xsi:type="dcterms:W3CDTF">2026-02-08T11:26:12Z</dcterms:modified>
</cp:coreProperties>
</file>