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Data Sources" sheetId="1" state="visible" r:id="rId1"/>
    <sheet xmlns:r="http://schemas.openxmlformats.org/officeDocument/2006/relationships" name="Compliance Overview" sheetId="2" state="visible" r:id="rId2"/>
    <sheet xmlns:r="http://schemas.openxmlformats.org/officeDocument/2006/relationships" name="Consolidated Gap Register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Regulatory Mapping" sheetId="5" state="visible" r:id="rId5"/>
    <sheet xmlns:r="http://schemas.openxmlformats.org/officeDocument/2006/relationships" name="Action Plan &amp; Roadmap" sheetId="6" state="visible" r:id="rId6"/>
    <sheet xmlns:r="http://schemas.openxmlformats.org/officeDocument/2006/relationships" name="Evidence Summary" sheetId="7" state="visible" r:id="rId7"/>
    <sheet xmlns:r="http://schemas.openxmlformats.org/officeDocument/2006/relationships" name="Management Report" sheetId="8" state="visible" r:id="rId8"/>
    <sheet xmlns:r="http://schemas.openxmlformats.org/officeDocument/2006/relationships" name="Approval &amp;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$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0"/>
    </font>
    <font>
      <name val="Calibri"/>
      <color rgb="00000000"/>
      <sz val="10"/>
    </font>
    <font>
      <sz val="9"/>
    </font>
    <font>
      <i val="1"/>
      <color rgb="009C0006"/>
      <sz val="9"/>
    </font>
    <font>
      <b val="1"/>
      <color rgb="009C0006"/>
      <sz val="11"/>
    </font>
    <font>
      <b val="1"/>
      <sz val="9"/>
    </font>
    <font>
      <b val="1"/>
      <sz val="16"/>
    </font>
    <font>
      <b val="1"/>
      <color rgb="00003366"/>
      <sz val="20"/>
    </font>
    <font>
      <b val="1"/>
      <sz val="12"/>
    </font>
    <font>
      <b val="1"/>
      <sz val="14"/>
    </font>
    <font>
      <name val="Calibri"/>
      <b val="1"/>
      <color rgb="00000000"/>
      <sz val="10"/>
    </font>
    <font>
      <name val="Calibri"/>
      <i val="1"/>
      <color rgb="00666666"/>
      <sz val="10"/>
    </font>
    <font>
      <i val="1"/>
      <sz val="10"/>
    </font>
    <font>
      <b val="1"/>
    </font>
    <font>
      <b val="1"/>
      <sz val="1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164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4" fillId="4" borderId="1" applyAlignment="1" pivotButton="0" quotePrefix="0" xfId="0">
      <alignment horizontal="left" vertical="top"/>
    </xf>
    <xf numFmtId="165" fontId="0" fillId="5" borderId="1" applyAlignment="1" pivotButton="0" quotePrefix="0" xfId="0">
      <alignment horizontal="left" vertical="top" wrapText="1"/>
    </xf>
    <xf numFmtId="9" fontId="0" fillId="5" borderId="1" applyAlignment="1" pivotButton="0" quotePrefix="0" xfId="0">
      <alignment horizontal="left" vertical="top" wrapText="1"/>
    </xf>
    <xf numFmtId="166" fontId="0" fillId="5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Logging Compliance Dashboard - Instructions</t>
        </is>
      </c>
    </row>
    <row r="2" ht="25" customHeight="1">
      <c r="A2" s="2" t="inlineStr">
        <is>
          <t>ISO/IEC 27001:2022 - Control A.8.15: Logging</t>
        </is>
      </c>
    </row>
    <row r="4">
      <c r="A4" s="3" t="inlineStr">
        <is>
          <t>Document ID:</t>
        </is>
      </c>
      <c r="B4" s="4" t="inlineStr">
        <is>
          <t>ISMS-IMP-A.8.15.5</t>
        </is>
      </c>
    </row>
    <row r="5">
      <c r="A5" s="3" t="inlineStr">
        <is>
          <t>Assessment Area:</t>
        </is>
      </c>
      <c r="B5" s="4" t="inlineStr">
        <is>
          <t>Logging Compliance Dashboard - Aggregate View</t>
        </is>
      </c>
    </row>
    <row r="6">
      <c r="A6" s="3" t="inlineStr">
        <is>
          <t>Related Policy:</t>
        </is>
      </c>
      <c r="B6" s="4" t="inlineStr">
        <is>
          <t>All ISMS-POL-A.8.15 sections</t>
        </is>
      </c>
    </row>
    <row r="7">
      <c r="A7" s="3" t="inlineStr">
        <is>
          <t>Version:</t>
        </is>
      </c>
      <c r="B7" s="4" t="inlineStr">
        <is>
          <t>1.0</t>
        </is>
      </c>
    </row>
    <row r="8">
      <c r="A8" s="3" t="inlineStr">
        <is>
          <t>Dashboard Period:</t>
        </is>
      </c>
      <c r="B8" s="5" t="inlineStr">
        <is>
          <t>[USER INPUT - Q1 2026, etc.]</t>
        </is>
      </c>
    </row>
    <row r="9">
      <c r="A9" s="3" t="inlineStr">
        <is>
          <t>Prepared By:</t>
        </is>
      </c>
      <c r="B9" s="5" t="inlineStr">
        <is>
          <t>[USER INPUT]</t>
        </is>
      </c>
    </row>
    <row r="10">
      <c r="A10" s="3" t="inlineStr">
        <is>
          <t>Organization:</t>
        </is>
      </c>
      <c r="B10" s="5" t="inlineStr">
        <is>
          <t>[USER INPUT]</t>
        </is>
      </c>
    </row>
    <row r="11">
      <c r="A11" s="3" t="inlineStr">
        <is>
          <t>Update Frequency:</t>
        </is>
      </c>
      <c r="B11" s="4" t="inlineStr">
        <is>
          <t>Quarterly (full), Monthly (metrics)</t>
        </is>
      </c>
    </row>
    <row r="14">
      <c r="A14" s="2" t="inlineStr">
        <is>
          <t>DATA SOURCES</t>
        </is>
      </c>
    </row>
    <row r="16">
      <c r="A16" s="6" t="inlineStr">
        <is>
          <t>IMP-A.8.15.1 → Log Source Inventory &amp; Completeness</t>
        </is>
      </c>
    </row>
    <row r="17">
      <c r="A17" s="6" t="inlineStr">
        <is>
          <t>IMP-A.8.15.2 → Log Collection &amp; Centralization</t>
        </is>
      </c>
    </row>
    <row r="18">
      <c r="A18" s="6" t="inlineStr">
        <is>
          <t>IMP-A.8.15.3 → Log Protection &amp; Retention</t>
        </is>
      </c>
    </row>
    <row r="19">
      <c r="A19" s="6" t="inlineStr">
        <is>
          <t>IMP-A.8.15.4 → Log Analysis &amp; Review</t>
        </is>
      </c>
    </row>
    <row r="20">
      <c r="A20" s="7" t="inlineStr"/>
    </row>
    <row r="21">
      <c r="A21" s="8" t="inlineStr">
        <is>
          <t>NOTE: This dashboard uses EXTERNAL WORKBOOK REFERENCES for automatic data consolidation.</t>
        </is>
      </c>
    </row>
    <row r="22">
      <c r="A22" s="7" t="inlineStr">
        <is>
          <t>Dashboard formulas pull data directly from normalized assessment files.</t>
        </is>
      </c>
    </row>
    <row r="23">
      <c r="A23" s="7" t="inlineStr">
        <is>
          <t>Use normalize_assessment_files_a815.py to prepare source files for linking.</t>
        </is>
      </c>
    </row>
    <row r="26">
      <c r="A26" s="9" t="inlineStr">
        <is>
          <t>⚠️ IMPORTANT: External Workbook Links</t>
        </is>
      </c>
    </row>
    <row r="27">
      <c r="A27" s="7" t="inlineStr">
        <is>
          <t>This dashboard uses EXTERNAL WORKBOOK REFERENCES to automatically pull data</t>
        </is>
      </c>
    </row>
    <row r="28">
      <c r="A28" s="7" t="inlineStr">
        <is>
          <t>from the 4 assessment workbooks (A.8.15.1 through A.8.15.4).</t>
        </is>
      </c>
    </row>
    <row r="29">
      <c r="A29" s="7" t="inlineStr"/>
    </row>
    <row r="30">
      <c r="A30" s="10" t="inlineStr">
        <is>
          <t>Expected behavior:</t>
        </is>
      </c>
    </row>
    <row r="31">
      <c r="A31" s="7" t="inlineStr">
        <is>
          <t>• #REF errors appear until source files are present in same directory</t>
        </is>
      </c>
    </row>
    <row r="32">
      <c r="A32" s="7" t="inlineStr">
        <is>
          <t>• Excel prompts to 'Update Links' when opening dashboard</t>
        </is>
      </c>
    </row>
    <row r="33">
      <c r="A33" s="7" t="inlineStr">
        <is>
          <t>• Data auto-refreshes when source workbooks change</t>
        </is>
      </c>
    </row>
    <row r="34">
      <c r="A34" s="7" t="inlineStr"/>
    </row>
    <row r="35">
      <c r="A35" s="10" t="inlineStr">
        <is>
          <t>Setup workflow:</t>
        </is>
      </c>
    </row>
    <row r="36">
      <c r="A36" s="7" t="inlineStr">
        <is>
          <t>1. Complete all 4 assessment workbooks</t>
        </is>
      </c>
    </row>
    <row r="37">
      <c r="A37" s="7" t="inlineStr">
        <is>
          <t>2. Run: python3 normalize_assessment_files_a815.py</t>
        </is>
      </c>
    </row>
    <row r="38">
      <c r="A38" s="7" t="inlineStr">
        <is>
          <t>3. Place this dashboard in same folder as normalized files</t>
        </is>
      </c>
    </row>
    <row r="39">
      <c r="A39" s="7" t="inlineStr">
        <is>
          <t>4. Open dashboard → Click 'Update Links' → Data auto-populates</t>
        </is>
      </c>
    </row>
    <row r="42">
      <c r="A42" s="2" t="inlineStr">
        <is>
          <t>HOW TO UPDATE THIS DASHBOARD</t>
        </is>
      </c>
    </row>
    <row r="44">
      <c r="A44" s="7" t="inlineStr">
        <is>
          <t>1. Complete IMP assessments (A.8.15.1 through A.8.15.4) for the period</t>
        </is>
      </c>
    </row>
    <row r="45">
      <c r="A45" s="7" t="inlineStr">
        <is>
          <t>2. Run normalization script: python3 normalize_assessment_files_a815.py</t>
        </is>
      </c>
    </row>
    <row r="46">
      <c r="A46" s="7" t="inlineStr">
        <is>
          <t>3. Place this dashboard in same directory as normalized files</t>
        </is>
      </c>
    </row>
    <row r="47">
      <c r="A47" s="7" t="inlineStr">
        <is>
          <t>4. Open dashboard in Excel and click 'Update Links' when prompted</t>
        </is>
      </c>
    </row>
    <row r="48">
      <c r="A48" s="7" t="inlineStr">
        <is>
          <t>5. Compliance Overview auto-populates from source workbooks</t>
        </is>
      </c>
    </row>
    <row r="49">
      <c r="A49" s="7" t="inlineStr">
        <is>
          <t>6. Manually copy gaps to 'Consolidated Gap Register' (from Gap Analysis sheets)</t>
        </is>
      </c>
    </row>
    <row r="50">
      <c r="A50" s="7" t="inlineStr">
        <is>
          <t>7. Update 'Trend Analysis' with period-over-period comparison</t>
        </is>
      </c>
    </row>
    <row r="51">
      <c r="A51" s="7" t="inlineStr">
        <is>
          <t>8. Review and update 'Regulatory Mapping' status</t>
        </is>
      </c>
    </row>
    <row r="52">
      <c r="A52" s="7" t="inlineStr">
        <is>
          <t>9. Update 'Action Plan &amp; Roadmap' with initiative progress</t>
        </is>
      </c>
    </row>
    <row r="53">
      <c r="A53" s="7" t="inlineStr">
        <is>
          <t>10. Generate 'Management Report' for executive presentation</t>
        </is>
      </c>
    </row>
    <row r="54">
      <c r="A54" s="7" t="inlineStr">
        <is>
          <t>11. Obtain approvals in 'Approval &amp; Sign-Off' sheet</t>
        </is>
      </c>
    </row>
    <row r="55">
      <c r="A55" s="7" t="inlineStr"/>
    </row>
    <row r="56">
      <c r="A56" s="6" t="inlineStr">
        <is>
          <t>FREQUENCY:</t>
        </is>
      </c>
    </row>
    <row r="57">
      <c r="A57" s="7" t="inlineStr">
        <is>
          <t>• Quarterly: Full dashboard refresh with new IMP assessments</t>
        </is>
      </c>
    </row>
    <row r="58">
      <c r="A58" s="7" t="inlineStr">
        <is>
          <t>• Monthly: Update metrics that change monthly</t>
        </is>
      </c>
    </row>
    <row r="59">
      <c r="A59" s="7" t="inlineStr">
        <is>
          <t>• Weekly: Update action item status</t>
        </is>
      </c>
    </row>
  </sheetData>
  <mergeCells count="42">
    <mergeCell ref="A16:F16"/>
    <mergeCell ref="A54:F54"/>
    <mergeCell ref="A46:F46"/>
    <mergeCell ref="A37:F37"/>
    <mergeCell ref="A27:F27"/>
    <mergeCell ref="A18:F18"/>
    <mergeCell ref="A50:F50"/>
    <mergeCell ref="A56:F56"/>
    <mergeCell ref="A26:F26"/>
    <mergeCell ref="A21:F21"/>
    <mergeCell ref="A55:F55"/>
    <mergeCell ref="A57:F57"/>
    <mergeCell ref="A2:F2"/>
    <mergeCell ref="A33:F33"/>
    <mergeCell ref="A47:F47"/>
    <mergeCell ref="A42:F42"/>
    <mergeCell ref="A14:F14"/>
    <mergeCell ref="A23:F23"/>
    <mergeCell ref="A32:F32"/>
    <mergeCell ref="A22:F22"/>
    <mergeCell ref="A17:F17"/>
    <mergeCell ref="A35:F35"/>
    <mergeCell ref="A20:F20"/>
    <mergeCell ref="A53:F53"/>
    <mergeCell ref="A29:F29"/>
    <mergeCell ref="A38:F38"/>
    <mergeCell ref="A52:F52"/>
    <mergeCell ref="A28:F28"/>
    <mergeCell ref="A19:F19"/>
    <mergeCell ref="A44:F44"/>
    <mergeCell ref="A31:F31"/>
    <mergeCell ref="A58:F58"/>
    <mergeCell ref="A34:F34"/>
    <mergeCell ref="A48:F48"/>
    <mergeCell ref="A30:F30"/>
    <mergeCell ref="A39:F39"/>
    <mergeCell ref="A59:F59"/>
    <mergeCell ref="A49:F49"/>
    <mergeCell ref="A51:F51"/>
    <mergeCell ref="A36:F36"/>
    <mergeCell ref="A1:F1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  <col width="20" customWidth="1" min="8" max="8"/>
    <col width="20" customWidth="1" min="9" max="9"/>
  </cols>
  <sheetData>
    <row r="1" ht="40" customHeight="1">
      <c r="A1" s="1" t="inlineStr">
        <is>
          <t>LOGGING COMPLIANCE OVERVIEW DASHBOARD</t>
        </is>
      </c>
    </row>
    <row r="2" ht="25" customHeight="1">
      <c r="A2" s="2" t="inlineStr">
        <is>
          <t>Executive Summary - Control A.8.15 Compliance Status</t>
        </is>
      </c>
    </row>
    <row r="4">
      <c r="A4" s="2" t="inlineStr">
        <is>
          <t>OVERALL COMPLIANCE SCORE</t>
        </is>
      </c>
    </row>
    <row r="6">
      <c r="A6" s="11" t="inlineStr">
        <is>
          <t>Overall Compliance:</t>
        </is>
      </c>
      <c r="B6" s="12">
        <f>(B9+B10+B11+B12)/4</f>
        <v/>
      </c>
      <c r="D6" s="13" t="inlineStr">
        <is>
          <t>Target: &gt;95%</t>
        </is>
      </c>
      <c r="F6" s="14">
        <f>IF(B6&gt;=0.95,"✅ COMPLIANT",IF(B6&gt;=0.85,"⚠️ PARTIAL","❌ NON-COMPLIANT"))</f>
        <v/>
      </c>
    </row>
    <row r="9">
      <c r="A9" s="2" t="inlineStr">
        <is>
          <t>COMPLIANCE BY ASSESSMENT AREA</t>
        </is>
      </c>
    </row>
    <row r="11">
      <c r="A11" s="15" t="inlineStr">
        <is>
          <t>Assessment Area</t>
        </is>
      </c>
      <c r="B11" s="15" t="inlineStr">
        <is>
          <t>Score</t>
        </is>
      </c>
      <c r="C11" s="15" t="inlineStr">
        <is>
          <t>Target</t>
        </is>
      </c>
      <c r="D11" s="15" t="inlineStr">
        <is>
          <t>Status</t>
        </is>
      </c>
      <c r="E11" s="15" t="inlineStr">
        <is>
          <t>Critical Gaps</t>
        </is>
      </c>
      <c r="F11" s="15" t="inlineStr">
        <is>
          <t>High Gaps</t>
        </is>
      </c>
      <c r="G11" s="15" t="inlineStr">
        <is>
          <t>Last Assessment</t>
        </is>
      </c>
    </row>
    <row r="12">
      <c r="A12" s="3" t="inlineStr">
        <is>
          <t>IMP-1: Log Source Inventory</t>
        </is>
      </c>
      <c r="B12" s="16">
        <f>'[ISMS-IMP-A.8.15.1.xlsx]Summary Dashboard'!B15</f>
        <v/>
      </c>
      <c r="C12" s="17" t="inlineStr">
        <is>
          <t>100%</t>
        </is>
      </c>
      <c r="D12" s="18">
        <f>IF(B12="","",IF(B12&gt;=0.95,"Compliant",IF(B12&gt;=0.85,"Partial","Non-Compliant")))</f>
        <v/>
      </c>
      <c r="E12" s="18">
        <f>'[ISMS-IMP-A.8.15.1.xlsx]Summary Dashboard'!B20</f>
        <v/>
      </c>
      <c r="F12" s="18">
        <f>'[ISMS-IMP-A.8.15.1.xlsx]Summary Dashboard'!B21</f>
        <v/>
      </c>
      <c r="G12" s="19">
        <f>'[ISMS-IMP-A.8.15.1.xlsx]Summary Dashboard'!B5</f>
        <v/>
      </c>
    </row>
    <row r="13">
      <c r="A13" s="3" t="inlineStr">
        <is>
          <t>IMP-2: Collection &amp; Centralization</t>
        </is>
      </c>
      <c r="B13" s="16">
        <f>'[ISMS-IMP-A.8.15.2.xlsx]Summary Dashboard'!B15</f>
        <v/>
      </c>
      <c r="C13" s="17" t="inlineStr">
        <is>
          <t>&gt;98%</t>
        </is>
      </c>
      <c r="D13" s="18">
        <f>IF(B13="","",IF(B13&gt;=0.95,"Compliant",IF(B13&gt;=0.85,"Partial","Non-Compliant")))</f>
        <v/>
      </c>
      <c r="E13" s="18">
        <f>'[ISMS-IMP-A.8.15.2.xlsx]Summary Dashboard'!B20</f>
        <v/>
      </c>
      <c r="F13" s="18">
        <f>'[ISMS-IMP-A.8.15.2.xlsx]Summary Dashboard'!B21</f>
        <v/>
      </c>
      <c r="G13" s="19">
        <f>'[ISMS-IMP-A.8.15.2.xlsx]Summary Dashboard'!B5</f>
        <v/>
      </c>
    </row>
    <row r="14">
      <c r="A14" s="3" t="inlineStr">
        <is>
          <t>IMP-3: Protection &amp; Retention</t>
        </is>
      </c>
      <c r="B14" s="16">
        <f>'[ISMS-IMP-A.8.15.3.xlsx]Summary Dashboard'!B15</f>
        <v/>
      </c>
      <c r="C14" s="17" t="inlineStr">
        <is>
          <t>&gt;95%</t>
        </is>
      </c>
      <c r="D14" s="18">
        <f>IF(B14="","",IF(B14&gt;=0.95,"Compliant",IF(B14&gt;=0.85,"Partial","Non-Compliant")))</f>
        <v/>
      </c>
      <c r="E14" s="18">
        <f>'[ISMS-IMP-A.8.15.3.xlsx]Summary Dashboard'!B20</f>
        <v/>
      </c>
      <c r="F14" s="18">
        <f>'[ISMS-IMP-A.8.15.3.xlsx]Summary Dashboard'!B21</f>
        <v/>
      </c>
      <c r="G14" s="19">
        <f>'[ISMS-IMP-A.8.15.3.xlsx]Summary Dashboard'!B5</f>
        <v/>
      </c>
    </row>
    <row r="15">
      <c r="A15" s="3" t="inlineStr">
        <is>
          <t>IMP-4: Analysis &amp; Review</t>
        </is>
      </c>
      <c r="B15" s="16">
        <f>'[ISMS-IMP-A.8.15.4.xlsx]Summary Dashboard'!B15</f>
        <v/>
      </c>
      <c r="C15" s="17" t="inlineStr">
        <is>
          <t>&gt;95%</t>
        </is>
      </c>
      <c r="D15" s="18">
        <f>IF(B15="","",IF(B15&gt;=0.95,"Compliant",IF(B15&gt;=0.85,"Partial","Non-Compliant")))</f>
        <v/>
      </c>
      <c r="E15" s="18">
        <f>'[ISMS-IMP-A.8.15.4.xlsx]Summary Dashboard'!B20</f>
        <v/>
      </c>
      <c r="F15" s="18">
        <f>'[ISMS-IMP-A.8.15.4.xlsx]Summary Dashboard'!B21</f>
        <v/>
      </c>
      <c r="G15" s="19">
        <f>'[ISMS-IMP-A.8.15.4.xlsx]Summary Dashboard'!B5</f>
        <v/>
      </c>
    </row>
    <row r="18">
      <c r="A18" s="2" t="inlineStr">
        <is>
          <t>KEY METRICS</t>
        </is>
      </c>
    </row>
    <row r="20">
      <c r="A20" s="15" t="inlineStr">
        <is>
          <t>Metric</t>
        </is>
      </c>
      <c r="B20" s="15" t="inlineStr">
        <is>
          <t>Current Value</t>
        </is>
      </c>
      <c r="C20" s="15" t="inlineStr">
        <is>
          <t>Target</t>
        </is>
      </c>
      <c r="D20" s="15" t="inlineStr">
        <is>
          <t>Status</t>
        </is>
      </c>
    </row>
    <row r="21">
      <c r="A21" s="3" t="inlineStr">
        <is>
          <t>Total Systems with Logging</t>
        </is>
      </c>
      <c r="B21" s="5" t="inlineStr">
        <is>
          <t>[Input]</t>
        </is>
      </c>
      <c r="C21" s="17" t="inlineStr">
        <is>
          <t>100%</t>
        </is>
      </c>
      <c r="D21" s="5">
        <f>IF(B21&lt;&gt;"","[Manual Status]","")</f>
        <v/>
      </c>
    </row>
    <row r="22">
      <c r="A22" s="3" t="inlineStr">
        <is>
          <t>Systems Forwarding to SIEM</t>
        </is>
      </c>
      <c r="B22" s="5" t="inlineStr">
        <is>
          <t>[Input]</t>
        </is>
      </c>
      <c r="C22" s="17" t="inlineStr">
        <is>
          <t>100%</t>
        </is>
      </c>
      <c r="D22" s="5">
        <f>IF(B22&lt;&gt;"","[Manual Status]","")</f>
        <v/>
      </c>
    </row>
    <row r="23">
      <c r="A23" s="3" t="inlineStr">
        <is>
          <t>Avg Collection Reliability</t>
        </is>
      </c>
      <c r="B23" s="20" t="inlineStr">
        <is>
          <t>[Input %]</t>
        </is>
      </c>
      <c r="C23" s="17" t="inlineStr">
        <is>
          <t>&gt;99%</t>
        </is>
      </c>
      <c r="D23" s="5">
        <f>IF(B23&lt;&gt;"","[Manual Status]","")</f>
        <v/>
      </c>
    </row>
    <row r="24">
      <c r="A24" s="3" t="inlineStr">
        <is>
          <t>Avg True Positive Rate</t>
        </is>
      </c>
      <c r="B24" s="20" t="inlineStr">
        <is>
          <t>[Input %]</t>
        </is>
      </c>
      <c r="C24" s="17" t="inlineStr">
        <is>
          <t>&gt;50%</t>
        </is>
      </c>
      <c r="D24" s="5">
        <f>IF(B24&lt;&gt;"","[Manual Status]","")</f>
        <v/>
      </c>
    </row>
    <row r="25">
      <c r="A25" s="3" t="inlineStr">
        <is>
          <t>Avg MTTD (hours)</t>
        </is>
      </c>
      <c r="B25" s="5" t="inlineStr">
        <is>
          <t>[Input]</t>
        </is>
      </c>
      <c r="C25" s="17" t="inlineStr">
        <is>
          <t>&lt;1</t>
        </is>
      </c>
      <c r="D25" s="5">
        <f>IF(B25&lt;&gt;"","[Manual Status]","")</f>
        <v/>
      </c>
    </row>
    <row r="26">
      <c r="A26" s="3" t="inlineStr">
        <is>
          <t>Avg MTTR (hours)</t>
        </is>
      </c>
      <c r="B26" s="5" t="inlineStr">
        <is>
          <t>[Input]</t>
        </is>
      </c>
      <c r="C26" s="17" t="inlineStr">
        <is>
          <t>&lt;4</t>
        </is>
      </c>
      <c r="D26" s="5">
        <f>IF(B26&lt;&gt;"","[Manual Status]","")</f>
        <v/>
      </c>
    </row>
    <row r="27">
      <c r="A27" s="3" t="inlineStr">
        <is>
          <t>Storage Capacity Remaining</t>
        </is>
      </c>
      <c r="B27" s="20" t="inlineStr">
        <is>
          <t>[Input %]</t>
        </is>
      </c>
      <c r="C27" s="17" t="inlineStr">
        <is>
          <t>&gt;30%</t>
        </is>
      </c>
      <c r="D27" s="5">
        <f>IF(B27&lt;&gt;"","[Manual Status]","")</f>
        <v/>
      </c>
    </row>
    <row r="28">
      <c r="A28" s="3" t="inlineStr">
        <is>
          <t>Review Completion Rate</t>
        </is>
      </c>
      <c r="B28" s="20" t="inlineStr">
        <is>
          <t>[Input %]</t>
        </is>
      </c>
      <c r="C28" s="17" t="inlineStr">
        <is>
          <t>&gt;95%</t>
        </is>
      </c>
      <c r="D28" s="5">
        <f>IF(B28&lt;&gt;"","[Manual Status]","")</f>
        <v/>
      </c>
    </row>
    <row r="31">
      <c r="A31" s="2" t="inlineStr">
        <is>
          <t>LOGGING PROGRAM MATURITY LEVEL</t>
        </is>
      </c>
    </row>
    <row r="33">
      <c r="A33" s="21" t="inlineStr">
        <is>
          <t>Current Maturity Level:</t>
        </is>
      </c>
      <c r="B33" s="5" t="inlineStr">
        <is>
          <t>[Select: Initial / Developing / Defined / Managed / Optimized]</t>
        </is>
      </c>
      <c r="C33" s="22" t="n"/>
      <c r="D33" s="23" t="n"/>
    </row>
    <row r="35">
      <c r="A35" s="7" t="inlineStr">
        <is>
          <t>Level 1 - Initial: Ad-hoc logging, no central management</t>
        </is>
      </c>
    </row>
    <row r="36">
      <c r="A36" s="7" t="inlineStr">
        <is>
          <t>Level 2 - Developing: Basic SIEM, some log sources onboarded</t>
        </is>
      </c>
    </row>
    <row r="37">
      <c r="A37" s="7" t="inlineStr">
        <is>
          <t>Level 3 - Defined: Documented processes, most systems logging</t>
        </is>
      </c>
    </row>
    <row r="38">
      <c r="A38" s="7" t="inlineStr">
        <is>
          <t>Level 4 - Managed: Metrics tracked, continuous improvement</t>
        </is>
      </c>
    </row>
    <row r="39">
      <c r="A39" s="7" t="inlineStr">
        <is>
          <t>Level 5 - Optimized: Automated, predictive, industry-leading</t>
        </is>
      </c>
    </row>
  </sheetData>
  <mergeCells count="15">
    <mergeCell ref="B33:D33"/>
    <mergeCell ref="D6:E6"/>
    <mergeCell ref="B6:C6"/>
    <mergeCell ref="A2:I2"/>
    <mergeCell ref="A37:I37"/>
    <mergeCell ref="A36:I36"/>
    <mergeCell ref="A1:I1"/>
    <mergeCell ref="A9:I9"/>
    <mergeCell ref="A18:I18"/>
    <mergeCell ref="A31:I31"/>
    <mergeCell ref="A39:I39"/>
    <mergeCell ref="A35:I35"/>
    <mergeCell ref="A4:I4"/>
    <mergeCell ref="A38:I38"/>
    <mergeCell ref="F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50" customWidth="1" min="4" max="4"/>
    <col width="30" customWidth="1" min="5" max="5"/>
    <col width="12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40" customWidth="1" min="14" max="14"/>
  </cols>
  <sheetData>
    <row r="1" ht="40" customHeight="1">
      <c r="A1" s="1" t="inlineStr">
        <is>
          <t>CONSOLIDATED GAP REGISTER</t>
        </is>
      </c>
    </row>
    <row r="2" ht="30" customHeight="1">
      <c r="A2" s="2" t="inlineStr">
        <is>
          <t>All gaps from IMP-A.8.15.1 through A.8.15.4 consolidated for tracking</t>
        </is>
      </c>
    </row>
    <row r="7" ht="35" customHeight="1">
      <c r="A7" s="15" t="inlineStr">
        <is>
          <t>Gap ID</t>
        </is>
      </c>
      <c r="B7" s="15" t="inlineStr">
        <is>
          <t>Source IMP</t>
        </is>
      </c>
      <c r="C7" s="15" t="inlineStr">
        <is>
          <t>Category</t>
        </is>
      </c>
      <c r="D7" s="15" t="inlineStr">
        <is>
          <t>Description</t>
        </is>
      </c>
      <c r="E7" s="15" t="inlineStr">
        <is>
          <t>Impact</t>
        </is>
      </c>
      <c r="F7" s="15" t="inlineStr">
        <is>
          <t>Priority</t>
        </is>
      </c>
      <c r="G7" s="15" t="inlineStr">
        <is>
          <t>Remediation Action</t>
        </is>
      </c>
      <c r="H7" s="15" t="inlineStr">
        <is>
          <t>Owner</t>
        </is>
      </c>
      <c r="I7" s="15" t="inlineStr">
        <is>
          <t>Budget Required</t>
        </is>
      </c>
      <c r="J7" s="15" t="inlineStr">
        <is>
          <t>Target Date</t>
        </is>
      </c>
      <c r="K7" s="15" t="inlineStr">
        <is>
          <t>Status</t>
        </is>
      </c>
      <c r="L7" s="15" t="inlineStr">
        <is>
          <t>% Complete</t>
        </is>
      </c>
      <c r="M7" s="15" t="inlineStr">
        <is>
          <t>Days Overdue</t>
        </is>
      </c>
      <c r="N7" s="15" t="inlineStr">
        <is>
          <t>Notes</t>
        </is>
      </c>
    </row>
    <row r="8">
      <c r="A8" s="24" t="inlineStr">
        <is>
          <t>GAP-001</t>
        </is>
      </c>
      <c r="B8" s="24" t="inlineStr">
        <is>
          <t>IMP-1</t>
        </is>
      </c>
      <c r="C8" s="24" t="inlineStr">
        <is>
          <t>Coverage Gap</t>
        </is>
      </c>
      <c r="D8" s="24" t="inlineStr">
        <is>
          <t>15 database servers not forwarding logs to SIEM</t>
        </is>
      </c>
      <c r="E8" s="24" t="inlineStr">
        <is>
          <t>Security events not visible to SOC</t>
        </is>
      </c>
      <c r="F8" s="24" t="inlineStr">
        <is>
          <t>Critical</t>
        </is>
      </c>
      <c r="G8" s="24" t="inlineStr">
        <is>
          <t>Deploy log forwarders to DB servers</t>
        </is>
      </c>
      <c r="H8" s="24" t="inlineStr">
        <is>
          <t>DB Admin Team</t>
        </is>
      </c>
      <c r="I8" s="24" t="inlineStr">
        <is>
          <t>Yes</t>
        </is>
      </c>
      <c r="J8" s="24" t="inlineStr">
        <is>
          <t>31.01.2026</t>
        </is>
      </c>
      <c r="K8" s="24" t="inlineStr">
        <is>
          <t>In Progress</t>
        </is>
      </c>
      <c r="L8" s="24" t="inlineStr">
        <is>
          <t>60%</t>
        </is>
      </c>
      <c r="M8" s="24" t="inlineStr">
        <is>
          <t>0</t>
        </is>
      </c>
      <c r="N8" s="24" t="inlineStr">
        <is>
          <t>Vendor support engaged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25" t="n"/>
      <c r="K9" s="5" t="n"/>
      <c r="L9" s="26" t="n"/>
      <c r="M9" s="18">
        <f>IF(AND(J9&lt;&gt;"",J9&lt;TODAY(),K9&lt;&gt;"Resolved"),TODAY()-J9,0)</f>
        <v/>
      </c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25" t="n"/>
      <c r="K10" s="5" t="n"/>
      <c r="L10" s="26" t="n"/>
      <c r="M10" s="18">
        <f>IF(AND(J10&lt;&gt;"",J10&lt;TODAY(),K10&lt;&gt;"Resolved"),TODAY()-J10,0)</f>
        <v/>
      </c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25" t="n"/>
      <c r="K11" s="5" t="n"/>
      <c r="L11" s="26" t="n"/>
      <c r="M11" s="18">
        <f>IF(AND(J11&lt;&gt;"",J11&lt;TODAY(),K11&lt;&gt;"Resolved"),TODAY()-J11,0)</f>
        <v/>
      </c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25" t="n"/>
      <c r="K12" s="5" t="n"/>
      <c r="L12" s="26" t="n"/>
      <c r="M12" s="18">
        <f>IF(AND(J12&lt;&gt;"",J12&lt;TODAY(),K12&lt;&gt;"Resolved"),TODAY()-J12,0)</f>
        <v/>
      </c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25" t="n"/>
      <c r="K13" s="5" t="n"/>
      <c r="L13" s="26" t="n"/>
      <c r="M13" s="18">
        <f>IF(AND(J13&lt;&gt;"",J13&lt;TODAY(),K13&lt;&gt;"Resolved"),TODAY()-J13,0)</f>
        <v/>
      </c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25" t="n"/>
      <c r="K14" s="5" t="n"/>
      <c r="L14" s="26" t="n"/>
      <c r="M14" s="18">
        <f>IF(AND(J14&lt;&gt;"",J14&lt;TODAY(),K14&lt;&gt;"Resolved"),TODAY()-J14,0)</f>
        <v/>
      </c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25" t="n"/>
      <c r="K15" s="5" t="n"/>
      <c r="L15" s="26" t="n"/>
      <c r="M15" s="18">
        <f>IF(AND(J15&lt;&gt;"",J15&lt;TODAY(),K15&lt;&gt;"Resolved"),TODAY()-J15,0)</f>
        <v/>
      </c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25" t="n"/>
      <c r="K16" s="5" t="n"/>
      <c r="L16" s="26" t="n"/>
      <c r="M16" s="18">
        <f>IF(AND(J16&lt;&gt;"",J16&lt;TODAY(),K16&lt;&gt;"Resolved"),TODAY()-J16,0)</f>
        <v/>
      </c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25" t="n"/>
      <c r="K17" s="5" t="n"/>
      <c r="L17" s="26" t="n"/>
      <c r="M17" s="18">
        <f>IF(AND(J17&lt;&gt;"",J17&lt;TODAY(),K17&lt;&gt;"Resolved"),TODAY()-J17,0)</f>
        <v/>
      </c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25" t="n"/>
      <c r="K18" s="5" t="n"/>
      <c r="L18" s="26" t="n"/>
      <c r="M18" s="18">
        <f>IF(AND(J18&lt;&gt;"",J18&lt;TODAY(),K18&lt;&gt;"Resolved"),TODAY()-J18,0)</f>
        <v/>
      </c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25" t="n"/>
      <c r="K19" s="5" t="n"/>
      <c r="L19" s="26" t="n"/>
      <c r="M19" s="18">
        <f>IF(AND(J19&lt;&gt;"",J19&lt;TODAY(),K19&lt;&gt;"Resolved"),TODAY()-J19,0)</f>
        <v/>
      </c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25" t="n"/>
      <c r="K20" s="5" t="n"/>
      <c r="L20" s="26" t="n"/>
      <c r="M20" s="18">
        <f>IF(AND(J20&lt;&gt;"",J20&lt;TODAY(),K20&lt;&gt;"Resolved"),TODAY()-J20,0)</f>
        <v/>
      </c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25" t="n"/>
      <c r="K21" s="5" t="n"/>
      <c r="L21" s="26" t="n"/>
      <c r="M21" s="18">
        <f>IF(AND(J21&lt;&gt;"",J21&lt;TODAY(),K21&lt;&gt;"Resolved"),TODAY()-J21,0)</f>
        <v/>
      </c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25" t="n"/>
      <c r="K22" s="5" t="n"/>
      <c r="L22" s="26" t="n"/>
      <c r="M22" s="18">
        <f>IF(AND(J22&lt;&gt;"",J22&lt;TODAY(),K22&lt;&gt;"Resolved"),TODAY()-J22,0)</f>
        <v/>
      </c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25" t="n"/>
      <c r="K23" s="5" t="n"/>
      <c r="L23" s="26" t="n"/>
      <c r="M23" s="18">
        <f>IF(AND(J23&lt;&gt;"",J23&lt;TODAY(),K23&lt;&gt;"Resolved"),TODAY()-J23,0)</f>
        <v/>
      </c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25" t="n"/>
      <c r="K24" s="5" t="n"/>
      <c r="L24" s="26" t="n"/>
      <c r="M24" s="18">
        <f>IF(AND(J24&lt;&gt;"",J24&lt;TODAY(),K24&lt;&gt;"Resolved"),TODAY()-J24,0)</f>
        <v/>
      </c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25" t="n"/>
      <c r="K25" s="5" t="n"/>
      <c r="L25" s="26" t="n"/>
      <c r="M25" s="18">
        <f>IF(AND(J25&lt;&gt;"",J25&lt;TODAY(),K25&lt;&gt;"Resolved"),TODAY()-J25,0)</f>
        <v/>
      </c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25" t="n"/>
      <c r="K26" s="5" t="n"/>
      <c r="L26" s="26" t="n"/>
      <c r="M26" s="18">
        <f>IF(AND(J26&lt;&gt;"",J26&lt;TODAY(),K26&lt;&gt;"Resolved"),TODAY()-J26,0)</f>
        <v/>
      </c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25" t="n"/>
      <c r="K27" s="5" t="n"/>
      <c r="L27" s="26" t="n"/>
      <c r="M27" s="18">
        <f>IF(AND(J27&lt;&gt;"",J27&lt;TODAY(),K27&lt;&gt;"Resolved"),TODAY()-J27,0)</f>
        <v/>
      </c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25" t="n"/>
      <c r="K28" s="5" t="n"/>
      <c r="L28" s="26" t="n"/>
      <c r="M28" s="18">
        <f>IF(AND(J28&lt;&gt;"",J28&lt;TODAY(),K28&lt;&gt;"Resolved"),TODAY()-J28,0)</f>
        <v/>
      </c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25" t="n"/>
      <c r="K29" s="5" t="n"/>
      <c r="L29" s="26" t="n"/>
      <c r="M29" s="18">
        <f>IF(AND(J29&lt;&gt;"",J29&lt;TODAY(),K29&lt;&gt;"Resolved"),TODAY()-J29,0)</f>
        <v/>
      </c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25" t="n"/>
      <c r="K30" s="5" t="n"/>
      <c r="L30" s="26" t="n"/>
      <c r="M30" s="18">
        <f>IF(AND(J30&lt;&gt;"",J30&lt;TODAY(),K30&lt;&gt;"Resolved"),TODAY()-J30,0)</f>
        <v/>
      </c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25" t="n"/>
      <c r="K31" s="5" t="n"/>
      <c r="L31" s="26" t="n"/>
      <c r="M31" s="18">
        <f>IF(AND(J31&lt;&gt;"",J31&lt;TODAY(),K31&lt;&gt;"Resolved"),TODAY()-J31,0)</f>
        <v/>
      </c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25" t="n"/>
      <c r="K32" s="5" t="n"/>
      <c r="L32" s="26" t="n"/>
      <c r="M32" s="18">
        <f>IF(AND(J32&lt;&gt;"",J32&lt;TODAY(),K32&lt;&gt;"Resolved"),TODAY()-J32,0)</f>
        <v/>
      </c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25" t="n"/>
      <c r="K33" s="5" t="n"/>
      <c r="L33" s="26" t="n"/>
      <c r="M33" s="18">
        <f>IF(AND(J33&lt;&gt;"",J33&lt;TODAY(),K33&lt;&gt;"Resolved"),TODAY()-J33,0)</f>
        <v/>
      </c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25" t="n"/>
      <c r="K34" s="5" t="n"/>
      <c r="L34" s="26" t="n"/>
      <c r="M34" s="18">
        <f>IF(AND(J34&lt;&gt;"",J34&lt;TODAY(),K34&lt;&gt;"Resolved"),TODAY()-J34,0)</f>
        <v/>
      </c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25" t="n"/>
      <c r="K35" s="5" t="n"/>
      <c r="L35" s="26" t="n"/>
      <c r="M35" s="18">
        <f>IF(AND(J35&lt;&gt;"",J35&lt;TODAY(),K35&lt;&gt;"Resolved"),TODAY()-J35,0)</f>
        <v/>
      </c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25" t="n"/>
      <c r="K36" s="5" t="n"/>
      <c r="L36" s="26" t="n"/>
      <c r="M36" s="18">
        <f>IF(AND(J36&lt;&gt;"",J36&lt;TODAY(),K36&lt;&gt;"Resolved"),TODAY()-J36,0)</f>
        <v/>
      </c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25" t="n"/>
      <c r="K37" s="5" t="n"/>
      <c r="L37" s="26" t="n"/>
      <c r="M37" s="18">
        <f>IF(AND(J37&lt;&gt;"",J37&lt;TODAY(),K37&lt;&gt;"Resolved"),TODAY()-J37,0)</f>
        <v/>
      </c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25" t="n"/>
      <c r="K38" s="5" t="n"/>
      <c r="L38" s="26" t="n"/>
      <c r="M38" s="18">
        <f>IF(AND(J38&lt;&gt;"",J38&lt;TODAY(),K38&lt;&gt;"Resolved"),TODAY()-J38,0)</f>
        <v/>
      </c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25" t="n"/>
      <c r="K39" s="5" t="n"/>
      <c r="L39" s="26" t="n"/>
      <c r="M39" s="18">
        <f>IF(AND(J39&lt;&gt;"",J39&lt;TODAY(),K39&lt;&gt;"Resolved"),TODAY()-J39,0)</f>
        <v/>
      </c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25" t="n"/>
      <c r="K40" s="5" t="n"/>
      <c r="L40" s="26" t="n"/>
      <c r="M40" s="18">
        <f>IF(AND(J40&lt;&gt;"",J40&lt;TODAY(),K40&lt;&gt;"Resolved"),TODAY()-J40,0)</f>
        <v/>
      </c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25" t="n"/>
      <c r="K41" s="5" t="n"/>
      <c r="L41" s="26" t="n"/>
      <c r="M41" s="18">
        <f>IF(AND(J41&lt;&gt;"",J41&lt;TODAY(),K41&lt;&gt;"Resolved"),TODAY()-J41,0)</f>
        <v/>
      </c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25" t="n"/>
      <c r="K42" s="5" t="n"/>
      <c r="L42" s="26" t="n"/>
      <c r="M42" s="18">
        <f>IF(AND(J42&lt;&gt;"",J42&lt;TODAY(),K42&lt;&gt;"Resolved"),TODAY()-J42,0)</f>
        <v/>
      </c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25" t="n"/>
      <c r="K43" s="5" t="n"/>
      <c r="L43" s="26" t="n"/>
      <c r="M43" s="18">
        <f>IF(AND(J43&lt;&gt;"",J43&lt;TODAY(),K43&lt;&gt;"Resolved"),TODAY()-J43,0)</f>
        <v/>
      </c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25" t="n"/>
      <c r="K44" s="5" t="n"/>
      <c r="L44" s="26" t="n"/>
      <c r="M44" s="18">
        <f>IF(AND(J44&lt;&gt;"",J44&lt;TODAY(),K44&lt;&gt;"Resolved"),TODAY()-J44,0)</f>
        <v/>
      </c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25" t="n"/>
      <c r="K45" s="5" t="n"/>
      <c r="L45" s="26" t="n"/>
      <c r="M45" s="18">
        <f>IF(AND(J45&lt;&gt;"",J45&lt;TODAY(),K45&lt;&gt;"Resolved"),TODAY()-J45,0)</f>
        <v/>
      </c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25" t="n"/>
      <c r="K46" s="5" t="n"/>
      <c r="L46" s="26" t="n"/>
      <c r="M46" s="18">
        <f>IF(AND(J46&lt;&gt;"",J46&lt;TODAY(),K46&lt;&gt;"Resolved"),TODAY()-J46,0)</f>
        <v/>
      </c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25" t="n"/>
      <c r="K47" s="5" t="n"/>
      <c r="L47" s="26" t="n"/>
      <c r="M47" s="18">
        <f>IF(AND(J47&lt;&gt;"",J47&lt;TODAY(),K47&lt;&gt;"Resolved"),TODAY()-J47,0)</f>
        <v/>
      </c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25" t="n"/>
      <c r="K48" s="5" t="n"/>
      <c r="L48" s="26" t="n"/>
      <c r="M48" s="18">
        <f>IF(AND(J48&lt;&gt;"",J48&lt;TODAY(),K48&lt;&gt;"Resolved"),TODAY()-J48,0)</f>
        <v/>
      </c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25" t="n"/>
      <c r="K49" s="5" t="n"/>
      <c r="L49" s="26" t="n"/>
      <c r="M49" s="18">
        <f>IF(AND(J49&lt;&gt;"",J49&lt;TODAY(),K49&lt;&gt;"Resolved"),TODAY()-J49,0)</f>
        <v/>
      </c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25" t="n"/>
      <c r="K50" s="5" t="n"/>
      <c r="L50" s="26" t="n"/>
      <c r="M50" s="18">
        <f>IF(AND(J50&lt;&gt;"",J50&lt;TODAY(),K50&lt;&gt;"Resolved"),TODAY()-J50,0)</f>
        <v/>
      </c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25" t="n"/>
      <c r="K51" s="5" t="n"/>
      <c r="L51" s="26" t="n"/>
      <c r="M51" s="18">
        <f>IF(AND(J51&lt;&gt;"",J51&lt;TODAY(),K51&lt;&gt;"Resolved"),TODAY()-J51,0)</f>
        <v/>
      </c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25" t="n"/>
      <c r="K52" s="5" t="n"/>
      <c r="L52" s="26" t="n"/>
      <c r="M52" s="18">
        <f>IF(AND(J52&lt;&gt;"",J52&lt;TODAY(),K52&lt;&gt;"Resolved"),TODAY()-J52,0)</f>
        <v/>
      </c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25" t="n"/>
      <c r="K53" s="5" t="n"/>
      <c r="L53" s="26" t="n"/>
      <c r="M53" s="18">
        <f>IF(AND(J53&lt;&gt;"",J53&lt;TODAY(),K53&lt;&gt;"Resolved"),TODAY()-J53,0)</f>
        <v/>
      </c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25" t="n"/>
      <c r="K54" s="5" t="n"/>
      <c r="L54" s="26" t="n"/>
      <c r="M54" s="18">
        <f>IF(AND(J54&lt;&gt;"",J54&lt;TODAY(),K54&lt;&gt;"Resolved"),TODAY()-J54,0)</f>
        <v/>
      </c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25" t="n"/>
      <c r="K55" s="5" t="n"/>
      <c r="L55" s="26" t="n"/>
      <c r="M55" s="18">
        <f>IF(AND(J55&lt;&gt;"",J55&lt;TODAY(),K55&lt;&gt;"Resolved"),TODAY()-J55,0)</f>
        <v/>
      </c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25" t="n"/>
      <c r="K56" s="5" t="n"/>
      <c r="L56" s="26" t="n"/>
      <c r="M56" s="18">
        <f>IF(AND(J56&lt;&gt;"",J56&lt;TODAY(),K56&lt;&gt;"Resolved"),TODAY()-J56,0)</f>
        <v/>
      </c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25" t="n"/>
      <c r="K57" s="5" t="n"/>
      <c r="L57" s="26" t="n"/>
      <c r="M57" s="18">
        <f>IF(AND(J57&lt;&gt;"",J57&lt;TODAY(),K57&lt;&gt;"Resolved"),TODAY()-J57,0)</f>
        <v/>
      </c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25" t="n"/>
      <c r="K58" s="5" t="n"/>
      <c r="L58" s="26" t="n"/>
      <c r="M58" s="18">
        <f>IF(AND(J58&lt;&gt;"",J58&lt;TODAY(),K58&lt;&gt;"Resolved"),TODAY()-J58,0)</f>
        <v/>
      </c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25" t="n"/>
      <c r="K59" s="5" t="n"/>
      <c r="L59" s="26" t="n"/>
      <c r="M59" s="18">
        <f>IF(AND(J59&lt;&gt;"",J59&lt;TODAY(),K59&lt;&gt;"Resolved"),TODAY()-J59,0)</f>
        <v/>
      </c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25" t="n"/>
      <c r="K60" s="5" t="n"/>
      <c r="L60" s="26" t="n"/>
      <c r="M60" s="18">
        <f>IF(AND(J60&lt;&gt;"",J60&lt;TODAY(),K60&lt;&gt;"Resolved"),TODAY()-J60,0)</f>
        <v/>
      </c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25" t="n"/>
      <c r="K61" s="5" t="n"/>
      <c r="L61" s="26" t="n"/>
      <c r="M61" s="18">
        <f>IF(AND(J61&lt;&gt;"",J61&lt;TODAY(),K61&lt;&gt;"Resolved"),TODAY()-J61,0)</f>
        <v/>
      </c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25" t="n"/>
      <c r="K62" s="5" t="n"/>
      <c r="L62" s="26" t="n"/>
      <c r="M62" s="18">
        <f>IF(AND(J62&lt;&gt;"",J62&lt;TODAY(),K62&lt;&gt;"Resolved"),TODAY()-J62,0)</f>
        <v/>
      </c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25" t="n"/>
      <c r="K63" s="5" t="n"/>
      <c r="L63" s="26" t="n"/>
      <c r="M63" s="18">
        <f>IF(AND(J63&lt;&gt;"",J63&lt;TODAY(),K63&lt;&gt;"Resolved"),TODAY()-J63,0)</f>
        <v/>
      </c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25" t="n"/>
      <c r="K64" s="5" t="n"/>
      <c r="L64" s="26" t="n"/>
      <c r="M64" s="18">
        <f>IF(AND(J64&lt;&gt;"",J64&lt;TODAY(),K64&lt;&gt;"Resolved"),TODAY()-J64,0)</f>
        <v/>
      </c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25" t="n"/>
      <c r="K65" s="5" t="n"/>
      <c r="L65" s="26" t="n"/>
      <c r="M65" s="18">
        <f>IF(AND(J65&lt;&gt;"",J65&lt;TODAY(),K65&lt;&gt;"Resolved"),TODAY()-J65,0)</f>
        <v/>
      </c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25" t="n"/>
      <c r="K66" s="5" t="n"/>
      <c r="L66" s="26" t="n"/>
      <c r="M66" s="18">
        <f>IF(AND(J66&lt;&gt;"",J66&lt;TODAY(),K66&lt;&gt;"Resolved"),TODAY()-J66,0)</f>
        <v/>
      </c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25" t="n"/>
      <c r="K67" s="5" t="n"/>
      <c r="L67" s="26" t="n"/>
      <c r="M67" s="18">
        <f>IF(AND(J67&lt;&gt;"",J67&lt;TODAY(),K67&lt;&gt;"Resolved"),TODAY()-J67,0)</f>
        <v/>
      </c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25" t="n"/>
      <c r="K68" s="5" t="n"/>
      <c r="L68" s="26" t="n"/>
      <c r="M68" s="18">
        <f>IF(AND(J68&lt;&gt;"",J68&lt;TODAY(),K68&lt;&gt;"Resolved"),TODAY()-J68,0)</f>
        <v/>
      </c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25" t="n"/>
      <c r="K69" s="5" t="n"/>
      <c r="L69" s="26" t="n"/>
      <c r="M69" s="18">
        <f>IF(AND(J69&lt;&gt;"",J69&lt;TODAY(),K69&lt;&gt;"Resolved"),TODAY()-J69,0)</f>
        <v/>
      </c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25" t="n"/>
      <c r="K70" s="5" t="n"/>
      <c r="L70" s="26" t="n"/>
      <c r="M70" s="18">
        <f>IF(AND(J70&lt;&gt;"",J70&lt;TODAY(),K70&lt;&gt;"Resolved"),TODAY()-J70,0)</f>
        <v/>
      </c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25" t="n"/>
      <c r="K71" s="5" t="n"/>
      <c r="L71" s="26" t="n"/>
      <c r="M71" s="18">
        <f>IF(AND(J71&lt;&gt;"",J71&lt;TODAY(),K71&lt;&gt;"Resolved"),TODAY()-J71,0)</f>
        <v/>
      </c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25" t="n"/>
      <c r="K72" s="5" t="n"/>
      <c r="L72" s="26" t="n"/>
      <c r="M72" s="18">
        <f>IF(AND(J72&lt;&gt;"",J72&lt;TODAY(),K72&lt;&gt;"Resolved"),TODAY()-J72,0)</f>
        <v/>
      </c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25" t="n"/>
      <c r="K73" s="5" t="n"/>
      <c r="L73" s="26" t="n"/>
      <c r="M73" s="18">
        <f>IF(AND(J73&lt;&gt;"",J73&lt;TODAY(),K73&lt;&gt;"Resolved"),TODAY()-J73,0)</f>
        <v/>
      </c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25" t="n"/>
      <c r="K74" s="5" t="n"/>
      <c r="L74" s="26" t="n"/>
      <c r="M74" s="18">
        <f>IF(AND(J74&lt;&gt;"",J74&lt;TODAY(),K74&lt;&gt;"Resolved"),TODAY()-J74,0)</f>
        <v/>
      </c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25" t="n"/>
      <c r="K75" s="5" t="n"/>
      <c r="L75" s="26" t="n"/>
      <c r="M75" s="18">
        <f>IF(AND(J75&lt;&gt;"",J75&lt;TODAY(),K75&lt;&gt;"Resolved"),TODAY()-J75,0)</f>
        <v/>
      </c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25" t="n"/>
      <c r="K76" s="5" t="n"/>
      <c r="L76" s="26" t="n"/>
      <c r="M76" s="18">
        <f>IF(AND(J76&lt;&gt;"",J76&lt;TODAY(),K76&lt;&gt;"Resolved"),TODAY()-J76,0)</f>
        <v/>
      </c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25" t="n"/>
      <c r="K77" s="5" t="n"/>
      <c r="L77" s="26" t="n"/>
      <c r="M77" s="18">
        <f>IF(AND(J77&lt;&gt;"",J77&lt;TODAY(),K77&lt;&gt;"Resolved"),TODAY()-J77,0)</f>
        <v/>
      </c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25" t="n"/>
      <c r="K78" s="5" t="n"/>
      <c r="L78" s="26" t="n"/>
      <c r="M78" s="18">
        <f>IF(AND(J78&lt;&gt;"",J78&lt;TODAY(),K78&lt;&gt;"Resolved"),TODAY()-J78,0)</f>
        <v/>
      </c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25" t="n"/>
      <c r="K79" s="5" t="n"/>
      <c r="L79" s="26" t="n"/>
      <c r="M79" s="18">
        <f>IF(AND(J79&lt;&gt;"",J79&lt;TODAY(),K79&lt;&gt;"Resolved"),TODAY()-J79,0)</f>
        <v/>
      </c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25" t="n"/>
      <c r="K80" s="5" t="n"/>
      <c r="L80" s="26" t="n"/>
      <c r="M80" s="18">
        <f>IF(AND(J80&lt;&gt;"",J80&lt;TODAY(),K80&lt;&gt;"Resolved"),TODAY()-J80,0)</f>
        <v/>
      </c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25" t="n"/>
      <c r="K81" s="5" t="n"/>
      <c r="L81" s="26" t="n"/>
      <c r="M81" s="18">
        <f>IF(AND(J81&lt;&gt;"",J81&lt;TODAY(),K81&lt;&gt;"Resolved"),TODAY()-J81,0)</f>
        <v/>
      </c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25" t="n"/>
      <c r="K82" s="5" t="n"/>
      <c r="L82" s="26" t="n"/>
      <c r="M82" s="18">
        <f>IF(AND(J82&lt;&gt;"",J82&lt;TODAY(),K82&lt;&gt;"Resolved"),TODAY()-J82,0)</f>
        <v/>
      </c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25" t="n"/>
      <c r="K83" s="5" t="n"/>
      <c r="L83" s="26" t="n"/>
      <c r="M83" s="18">
        <f>IF(AND(J83&lt;&gt;"",J83&lt;TODAY(),K83&lt;&gt;"Resolved"),TODAY()-J83,0)</f>
        <v/>
      </c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25" t="n"/>
      <c r="K84" s="5" t="n"/>
      <c r="L84" s="26" t="n"/>
      <c r="M84" s="18">
        <f>IF(AND(J84&lt;&gt;"",J84&lt;TODAY(),K84&lt;&gt;"Resolved"),TODAY()-J84,0)</f>
        <v/>
      </c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25" t="n"/>
      <c r="K85" s="5" t="n"/>
      <c r="L85" s="26" t="n"/>
      <c r="M85" s="18">
        <f>IF(AND(J85&lt;&gt;"",J85&lt;TODAY(),K85&lt;&gt;"Resolved"),TODAY()-J85,0)</f>
        <v/>
      </c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25" t="n"/>
      <c r="K86" s="5" t="n"/>
      <c r="L86" s="26" t="n"/>
      <c r="M86" s="18">
        <f>IF(AND(J86&lt;&gt;"",J86&lt;TODAY(),K86&lt;&gt;"Resolved"),TODAY()-J86,0)</f>
        <v/>
      </c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25" t="n"/>
      <c r="K87" s="5" t="n"/>
      <c r="L87" s="26" t="n"/>
      <c r="M87" s="18">
        <f>IF(AND(J87&lt;&gt;"",J87&lt;TODAY(),K87&lt;&gt;"Resolved"),TODAY()-J87,0)</f>
        <v/>
      </c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25" t="n"/>
      <c r="K88" s="5" t="n"/>
      <c r="L88" s="26" t="n"/>
      <c r="M88" s="18">
        <f>IF(AND(J88&lt;&gt;"",J88&lt;TODAY(),K88&lt;&gt;"Resolved"),TODAY()-J88,0)</f>
        <v/>
      </c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25" t="n"/>
      <c r="K89" s="5" t="n"/>
      <c r="L89" s="26" t="n"/>
      <c r="M89" s="18">
        <f>IF(AND(J89&lt;&gt;"",J89&lt;TODAY(),K89&lt;&gt;"Resolved"),TODAY()-J89,0)</f>
        <v/>
      </c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25" t="n"/>
      <c r="K90" s="5" t="n"/>
      <c r="L90" s="26" t="n"/>
      <c r="M90" s="18">
        <f>IF(AND(J90&lt;&gt;"",J90&lt;TODAY(),K90&lt;&gt;"Resolved"),TODAY()-J90,0)</f>
        <v/>
      </c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25" t="n"/>
      <c r="K91" s="5" t="n"/>
      <c r="L91" s="26" t="n"/>
      <c r="M91" s="18">
        <f>IF(AND(J91&lt;&gt;"",J91&lt;TODAY(),K91&lt;&gt;"Resolved"),TODAY()-J91,0)</f>
        <v/>
      </c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25" t="n"/>
      <c r="K92" s="5" t="n"/>
      <c r="L92" s="26" t="n"/>
      <c r="M92" s="18">
        <f>IF(AND(J92&lt;&gt;"",J92&lt;TODAY(),K92&lt;&gt;"Resolved"),TODAY()-J92,0)</f>
        <v/>
      </c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25" t="n"/>
      <c r="K93" s="5" t="n"/>
      <c r="L93" s="26" t="n"/>
      <c r="M93" s="18">
        <f>IF(AND(J93&lt;&gt;"",J93&lt;TODAY(),K93&lt;&gt;"Resolved"),TODAY()-J93,0)</f>
        <v/>
      </c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25" t="n"/>
      <c r="K94" s="5" t="n"/>
      <c r="L94" s="26" t="n"/>
      <c r="M94" s="18">
        <f>IF(AND(J94&lt;&gt;"",J94&lt;TODAY(),K94&lt;&gt;"Resolved"),TODAY()-J94,0)</f>
        <v/>
      </c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25" t="n"/>
      <c r="K95" s="5" t="n"/>
      <c r="L95" s="26" t="n"/>
      <c r="M95" s="18">
        <f>IF(AND(J95&lt;&gt;"",J95&lt;TODAY(),K95&lt;&gt;"Resolved"),TODAY()-J95,0)</f>
        <v/>
      </c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25" t="n"/>
      <c r="K96" s="5" t="n"/>
      <c r="L96" s="26" t="n"/>
      <c r="M96" s="18">
        <f>IF(AND(J96&lt;&gt;"",J96&lt;TODAY(),K96&lt;&gt;"Resolved"),TODAY()-J96,0)</f>
        <v/>
      </c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25" t="n"/>
      <c r="K97" s="5" t="n"/>
      <c r="L97" s="26" t="n"/>
      <c r="M97" s="18">
        <f>IF(AND(J97&lt;&gt;"",J97&lt;TODAY(),K97&lt;&gt;"Resolved"),TODAY()-J97,0)</f>
        <v/>
      </c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25" t="n"/>
      <c r="K98" s="5" t="n"/>
      <c r="L98" s="26" t="n"/>
      <c r="M98" s="18">
        <f>IF(AND(J98&lt;&gt;"",J98&lt;TODAY(),K98&lt;&gt;"Resolved"),TODAY()-J98,0)</f>
        <v/>
      </c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25" t="n"/>
      <c r="K99" s="5" t="n"/>
      <c r="L99" s="26" t="n"/>
      <c r="M99" s="18">
        <f>IF(AND(J99&lt;&gt;"",J99&lt;TODAY(),K99&lt;&gt;"Resolved"),TODAY()-J99,0)</f>
        <v/>
      </c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25" t="n"/>
      <c r="K100" s="5" t="n"/>
      <c r="L100" s="26" t="n"/>
      <c r="M100" s="18">
        <f>IF(AND(J100&lt;&gt;"",J100&lt;TODAY(),K100&lt;&gt;"Resolved"),TODAY()-J100,0)</f>
        <v/>
      </c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25" t="n"/>
      <c r="K101" s="5" t="n"/>
      <c r="L101" s="26" t="n"/>
      <c r="M101" s="18">
        <f>IF(AND(J101&lt;&gt;"",J101&lt;TODAY(),K101&lt;&gt;"Resolved"),TODAY()-J101,0)</f>
        <v/>
      </c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25" t="n"/>
      <c r="K102" s="5" t="n"/>
      <c r="L102" s="26" t="n"/>
      <c r="M102" s="18">
        <f>IF(AND(J102&lt;&gt;"",J102&lt;TODAY(),K102&lt;&gt;"Resolved"),TODAY()-J102,0)</f>
        <v/>
      </c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25" t="n"/>
      <c r="K103" s="5" t="n"/>
      <c r="L103" s="26" t="n"/>
      <c r="M103" s="18">
        <f>IF(AND(J103&lt;&gt;"",J103&lt;TODAY(),K103&lt;&gt;"Resolved"),TODAY()-J103,0)</f>
        <v/>
      </c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25" t="n"/>
      <c r="K104" s="5" t="n"/>
      <c r="L104" s="26" t="n"/>
      <c r="M104" s="18">
        <f>IF(AND(J104&lt;&gt;"",J104&lt;TODAY(),K104&lt;&gt;"Resolved"),TODAY()-J104,0)</f>
        <v/>
      </c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25" t="n"/>
      <c r="K105" s="5" t="n"/>
      <c r="L105" s="26" t="n"/>
      <c r="M105" s="18">
        <f>IF(AND(J105&lt;&gt;"",J105&lt;TODAY(),K105&lt;&gt;"Resolved"),TODAY()-J105,0)</f>
        <v/>
      </c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25" t="n"/>
      <c r="K106" s="5" t="n"/>
      <c r="L106" s="26" t="n"/>
      <c r="M106" s="18">
        <f>IF(AND(J106&lt;&gt;"",J106&lt;TODAY(),K106&lt;&gt;"Resolved"),TODAY()-J106,0)</f>
        <v/>
      </c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25" t="n"/>
      <c r="K107" s="5" t="n"/>
      <c r="L107" s="26" t="n"/>
      <c r="M107" s="18">
        <f>IF(AND(J107&lt;&gt;"",J107&lt;TODAY(),K107&lt;&gt;"Resolved"),TODAY()-J107,0)</f>
        <v/>
      </c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25" t="n"/>
      <c r="K108" s="5" t="n"/>
      <c r="L108" s="26" t="n"/>
      <c r="M108" s="18">
        <f>IF(AND(J108&lt;&gt;"",J108&lt;TODAY(),K108&lt;&gt;"Resolved"),TODAY()-J108,0)</f>
        <v/>
      </c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25" t="n"/>
      <c r="K109" s="5" t="n"/>
      <c r="L109" s="26" t="n"/>
      <c r="M109" s="18">
        <f>IF(AND(J109&lt;&gt;"",J109&lt;TODAY(),K109&lt;&gt;"Resolved"),TODAY()-J109,0)</f>
        <v/>
      </c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25" t="n"/>
      <c r="K110" s="5" t="n"/>
      <c r="L110" s="26" t="n"/>
      <c r="M110" s="18">
        <f>IF(AND(J110&lt;&gt;"",J110&lt;TODAY(),K110&lt;&gt;"Resolved"),TODAY()-J110,0)</f>
        <v/>
      </c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25" t="n"/>
      <c r="K111" s="5" t="n"/>
      <c r="L111" s="26" t="n"/>
      <c r="M111" s="18">
        <f>IF(AND(J111&lt;&gt;"",J111&lt;TODAY(),K111&lt;&gt;"Resolved"),TODAY()-J111,0)</f>
        <v/>
      </c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5" t="n"/>
      <c r="K112" s="5" t="n"/>
      <c r="L112" s="26" t="n"/>
      <c r="M112" s="18">
        <f>IF(AND(J112&lt;&gt;"",J112&lt;TODAY(),K112&lt;&gt;"Resolved"),TODAY()-J112,0)</f>
        <v/>
      </c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25" t="n"/>
      <c r="K113" s="5" t="n"/>
      <c r="L113" s="26" t="n"/>
      <c r="M113" s="18">
        <f>IF(AND(J113&lt;&gt;"",J113&lt;TODAY(),K113&lt;&gt;"Resolved"),TODAY()-J113,0)</f>
        <v/>
      </c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5" t="n"/>
      <c r="K114" s="5" t="n"/>
      <c r="L114" s="26" t="n"/>
      <c r="M114" s="18">
        <f>IF(AND(J114&lt;&gt;"",J114&lt;TODAY(),K114&lt;&gt;"Resolved"),TODAY()-J114,0)</f>
        <v/>
      </c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25" t="n"/>
      <c r="K115" s="5" t="n"/>
      <c r="L115" s="26" t="n"/>
      <c r="M115" s="18">
        <f>IF(AND(J115&lt;&gt;"",J115&lt;TODAY(),K115&lt;&gt;"Resolved"),TODAY()-J115,0)</f>
        <v/>
      </c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25" t="n"/>
      <c r="K116" s="5" t="n"/>
      <c r="L116" s="26" t="n"/>
      <c r="M116" s="18">
        <f>IF(AND(J116&lt;&gt;"",J116&lt;TODAY(),K116&lt;&gt;"Resolved"),TODAY()-J116,0)</f>
        <v/>
      </c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25" t="n"/>
      <c r="K117" s="5" t="n"/>
      <c r="L117" s="26" t="n"/>
      <c r="M117" s="18">
        <f>IF(AND(J117&lt;&gt;"",J117&lt;TODAY(),K117&lt;&gt;"Resolved"),TODAY()-J117,0)</f>
        <v/>
      </c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25" t="n"/>
      <c r="K118" s="5" t="n"/>
      <c r="L118" s="26" t="n"/>
      <c r="M118" s="18">
        <f>IF(AND(J118&lt;&gt;"",J118&lt;TODAY(),K118&lt;&gt;"Resolved"),TODAY()-J118,0)</f>
        <v/>
      </c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25" t="n"/>
      <c r="K119" s="5" t="n"/>
      <c r="L119" s="26" t="n"/>
      <c r="M119" s="18">
        <f>IF(AND(J119&lt;&gt;"",J119&lt;TODAY(),K119&lt;&gt;"Resolved"),TODAY()-J119,0)</f>
        <v/>
      </c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25" t="n"/>
      <c r="K120" s="5" t="n"/>
      <c r="L120" s="26" t="n"/>
      <c r="M120" s="18">
        <f>IF(AND(J120&lt;&gt;"",J120&lt;TODAY(),K120&lt;&gt;"Resolved"),TODAY()-J120,0)</f>
        <v/>
      </c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25" t="n"/>
      <c r="K121" s="5" t="n"/>
      <c r="L121" s="26" t="n"/>
      <c r="M121" s="18">
        <f>IF(AND(J121&lt;&gt;"",J121&lt;TODAY(),K121&lt;&gt;"Resolved"),TODAY()-J121,0)</f>
        <v/>
      </c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25" t="n"/>
      <c r="K122" s="5" t="n"/>
      <c r="L122" s="26" t="n"/>
      <c r="M122" s="18">
        <f>IF(AND(J122&lt;&gt;"",J122&lt;TODAY(),K122&lt;&gt;"Resolved"),TODAY()-J122,0)</f>
        <v/>
      </c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25" t="n"/>
      <c r="K123" s="5" t="n"/>
      <c r="L123" s="26" t="n"/>
      <c r="M123" s="18">
        <f>IF(AND(J123&lt;&gt;"",J123&lt;TODAY(),K123&lt;&gt;"Resolved"),TODAY()-J123,0)</f>
        <v/>
      </c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25" t="n"/>
      <c r="K124" s="5" t="n"/>
      <c r="L124" s="26" t="n"/>
      <c r="M124" s="18">
        <f>IF(AND(J124&lt;&gt;"",J124&lt;TODAY(),K124&lt;&gt;"Resolved"),TODAY()-J124,0)</f>
        <v/>
      </c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25" t="n"/>
      <c r="K125" s="5" t="n"/>
      <c r="L125" s="26" t="n"/>
      <c r="M125" s="18">
        <f>IF(AND(J125&lt;&gt;"",J125&lt;TODAY(),K125&lt;&gt;"Resolved"),TODAY()-J125,0)</f>
        <v/>
      </c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25" t="n"/>
      <c r="K126" s="5" t="n"/>
      <c r="L126" s="26" t="n"/>
      <c r="M126" s="18">
        <f>IF(AND(J126&lt;&gt;"",J126&lt;TODAY(),K126&lt;&gt;"Resolved"),TODAY()-J126,0)</f>
        <v/>
      </c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25" t="n"/>
      <c r="K127" s="5" t="n"/>
      <c r="L127" s="26" t="n"/>
      <c r="M127" s="18">
        <f>IF(AND(J127&lt;&gt;"",J127&lt;TODAY(),K127&lt;&gt;"Resolved"),TODAY()-J127,0)</f>
        <v/>
      </c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25" t="n"/>
      <c r="K128" s="5" t="n"/>
      <c r="L128" s="26" t="n"/>
      <c r="M128" s="18">
        <f>IF(AND(J128&lt;&gt;"",J128&lt;TODAY(),K128&lt;&gt;"Resolved"),TODAY()-J128,0)</f>
        <v/>
      </c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25" t="n"/>
      <c r="K129" s="5" t="n"/>
      <c r="L129" s="26" t="n"/>
      <c r="M129" s="18">
        <f>IF(AND(J129&lt;&gt;"",J129&lt;TODAY(),K129&lt;&gt;"Resolved"),TODAY()-J129,0)</f>
        <v/>
      </c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25" t="n"/>
      <c r="K130" s="5" t="n"/>
      <c r="L130" s="26" t="n"/>
      <c r="M130" s="18">
        <f>IF(AND(J130&lt;&gt;"",J130&lt;TODAY(),K130&lt;&gt;"Resolved"),TODAY()-J130,0)</f>
        <v/>
      </c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25" t="n"/>
      <c r="K131" s="5" t="n"/>
      <c r="L131" s="26" t="n"/>
      <c r="M131" s="18">
        <f>IF(AND(J131&lt;&gt;"",J131&lt;TODAY(),K131&lt;&gt;"Resolved"),TODAY()-J131,0)</f>
        <v/>
      </c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25" t="n"/>
      <c r="K132" s="5" t="n"/>
      <c r="L132" s="26" t="n"/>
      <c r="M132" s="18">
        <f>IF(AND(J132&lt;&gt;"",J132&lt;TODAY(),K132&lt;&gt;"Resolved"),TODAY()-J132,0)</f>
        <v/>
      </c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25" t="n"/>
      <c r="K133" s="5" t="n"/>
      <c r="L133" s="26" t="n"/>
      <c r="M133" s="18">
        <f>IF(AND(J133&lt;&gt;"",J133&lt;TODAY(),K133&lt;&gt;"Resolved"),TODAY()-J133,0)</f>
        <v/>
      </c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25" t="n"/>
      <c r="K134" s="5" t="n"/>
      <c r="L134" s="26" t="n"/>
      <c r="M134" s="18">
        <f>IF(AND(J134&lt;&gt;"",J134&lt;TODAY(),K134&lt;&gt;"Resolved"),TODAY()-J134,0)</f>
        <v/>
      </c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25" t="n"/>
      <c r="K135" s="5" t="n"/>
      <c r="L135" s="26" t="n"/>
      <c r="M135" s="18">
        <f>IF(AND(J135&lt;&gt;"",J135&lt;TODAY(),K135&lt;&gt;"Resolved"),TODAY()-J135,0)</f>
        <v/>
      </c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25" t="n"/>
      <c r="K136" s="5" t="n"/>
      <c r="L136" s="26" t="n"/>
      <c r="M136" s="18">
        <f>IF(AND(J136&lt;&gt;"",J136&lt;TODAY(),K136&lt;&gt;"Resolved"),TODAY()-J136,0)</f>
        <v/>
      </c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25" t="n"/>
      <c r="K137" s="5" t="n"/>
      <c r="L137" s="26" t="n"/>
      <c r="M137" s="18">
        <f>IF(AND(J137&lt;&gt;"",J137&lt;TODAY(),K137&lt;&gt;"Resolved"),TODAY()-J137,0)</f>
        <v/>
      </c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25" t="n"/>
      <c r="K138" s="5" t="n"/>
      <c r="L138" s="26" t="n"/>
      <c r="M138" s="18">
        <f>IF(AND(J138&lt;&gt;"",J138&lt;TODAY(),K138&lt;&gt;"Resolved"),TODAY()-J138,0)</f>
        <v/>
      </c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25" t="n"/>
      <c r="K139" s="5" t="n"/>
      <c r="L139" s="26" t="n"/>
      <c r="M139" s="18">
        <f>IF(AND(J139&lt;&gt;"",J139&lt;TODAY(),K139&lt;&gt;"Resolved"),TODAY()-J139,0)</f>
        <v/>
      </c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25" t="n"/>
      <c r="K140" s="5" t="n"/>
      <c r="L140" s="26" t="n"/>
      <c r="M140" s="18">
        <f>IF(AND(J140&lt;&gt;"",J140&lt;TODAY(),K140&lt;&gt;"Resolved"),TODAY()-J140,0)</f>
        <v/>
      </c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25" t="n"/>
      <c r="K141" s="5" t="n"/>
      <c r="L141" s="26" t="n"/>
      <c r="M141" s="18">
        <f>IF(AND(J141&lt;&gt;"",J141&lt;TODAY(),K141&lt;&gt;"Resolved"),TODAY()-J141,0)</f>
        <v/>
      </c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25" t="n"/>
      <c r="K142" s="5" t="n"/>
      <c r="L142" s="26" t="n"/>
      <c r="M142" s="18">
        <f>IF(AND(J142&lt;&gt;"",J142&lt;TODAY(),K142&lt;&gt;"Resolved"),TODAY()-J142,0)</f>
        <v/>
      </c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25" t="n"/>
      <c r="K143" s="5" t="n"/>
      <c r="L143" s="26" t="n"/>
      <c r="M143" s="18">
        <f>IF(AND(J143&lt;&gt;"",J143&lt;TODAY(),K143&lt;&gt;"Resolved"),TODAY()-J143,0)</f>
        <v/>
      </c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25" t="n"/>
      <c r="K144" s="5" t="n"/>
      <c r="L144" s="26" t="n"/>
      <c r="M144" s="18">
        <f>IF(AND(J144&lt;&gt;"",J144&lt;TODAY(),K144&lt;&gt;"Resolved"),TODAY()-J144,0)</f>
        <v/>
      </c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25" t="n"/>
      <c r="K145" s="5" t="n"/>
      <c r="L145" s="26" t="n"/>
      <c r="M145" s="18">
        <f>IF(AND(J145&lt;&gt;"",J145&lt;TODAY(),K145&lt;&gt;"Resolved"),TODAY()-J145,0)</f>
        <v/>
      </c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25" t="n"/>
      <c r="K146" s="5" t="n"/>
      <c r="L146" s="26" t="n"/>
      <c r="M146" s="18">
        <f>IF(AND(J146&lt;&gt;"",J146&lt;TODAY(),K146&lt;&gt;"Resolved"),TODAY()-J146,0)</f>
        <v/>
      </c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25" t="n"/>
      <c r="K147" s="5" t="n"/>
      <c r="L147" s="26" t="n"/>
      <c r="M147" s="18">
        <f>IF(AND(J147&lt;&gt;"",J147&lt;TODAY(),K147&lt;&gt;"Resolved"),TODAY()-J147,0)</f>
        <v/>
      </c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25" t="n"/>
      <c r="K148" s="5" t="n"/>
      <c r="L148" s="26" t="n"/>
      <c r="M148" s="18">
        <f>IF(AND(J148&lt;&gt;"",J148&lt;TODAY(),K148&lt;&gt;"Resolved"),TODAY()-J148,0)</f>
        <v/>
      </c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25" t="n"/>
      <c r="K149" s="5" t="n"/>
      <c r="L149" s="26" t="n"/>
      <c r="M149" s="18">
        <f>IF(AND(J149&lt;&gt;"",J149&lt;TODAY(),K149&lt;&gt;"Resolved"),TODAY()-J149,0)</f>
        <v/>
      </c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25" t="n"/>
      <c r="K150" s="5" t="n"/>
      <c r="L150" s="26" t="n"/>
      <c r="M150" s="18">
        <f>IF(AND(J150&lt;&gt;"",J150&lt;TODAY(),K150&lt;&gt;"Resolved"),TODAY()-J150,0)</f>
        <v/>
      </c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25" t="n"/>
      <c r="K151" s="5" t="n"/>
      <c r="L151" s="26" t="n"/>
      <c r="M151" s="18">
        <f>IF(AND(J151&lt;&gt;"",J151&lt;TODAY(),K151&lt;&gt;"Resolved"),TODAY()-J151,0)</f>
        <v/>
      </c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25" t="n"/>
      <c r="K152" s="5" t="n"/>
      <c r="L152" s="26" t="n"/>
      <c r="M152" s="18">
        <f>IF(AND(J152&lt;&gt;"",J152&lt;TODAY(),K152&lt;&gt;"Resolved"),TODAY()-J152,0)</f>
        <v/>
      </c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25" t="n"/>
      <c r="K153" s="5" t="n"/>
      <c r="L153" s="26" t="n"/>
      <c r="M153" s="18">
        <f>IF(AND(J153&lt;&gt;"",J153&lt;TODAY(),K153&lt;&gt;"Resolved"),TODAY()-J153,0)</f>
        <v/>
      </c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25" t="n"/>
      <c r="K154" s="5" t="n"/>
      <c r="L154" s="26" t="n"/>
      <c r="M154" s="18">
        <f>IF(AND(J154&lt;&gt;"",J154&lt;TODAY(),K154&lt;&gt;"Resolved"),TODAY()-J154,0)</f>
        <v/>
      </c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25" t="n"/>
      <c r="K155" s="5" t="n"/>
      <c r="L155" s="26" t="n"/>
      <c r="M155" s="18">
        <f>IF(AND(J155&lt;&gt;"",J155&lt;TODAY(),K155&lt;&gt;"Resolved"),TODAY()-J155,0)</f>
        <v/>
      </c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25" t="n"/>
      <c r="K156" s="5" t="n"/>
      <c r="L156" s="26" t="n"/>
      <c r="M156" s="18">
        <f>IF(AND(J156&lt;&gt;"",J156&lt;TODAY(),K156&lt;&gt;"Resolved"),TODAY()-J156,0)</f>
        <v/>
      </c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25" t="n"/>
      <c r="K157" s="5" t="n"/>
      <c r="L157" s="26" t="n"/>
      <c r="M157" s="18">
        <f>IF(AND(J157&lt;&gt;"",J157&lt;TODAY(),K157&lt;&gt;"Resolved"),TODAY()-J157,0)</f>
        <v/>
      </c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25" t="n"/>
      <c r="K158" s="5" t="n"/>
      <c r="L158" s="26" t="n"/>
      <c r="M158" s="18">
        <f>IF(AND(J158&lt;&gt;"",J158&lt;TODAY(),K158&lt;&gt;"Resolved"),TODAY()-J158,0)</f>
        <v/>
      </c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25" t="n"/>
      <c r="K159" s="5" t="n"/>
      <c r="L159" s="26" t="n"/>
      <c r="M159" s="18">
        <f>IF(AND(J159&lt;&gt;"",J159&lt;TODAY(),K159&lt;&gt;"Resolved"),TODAY()-J159,0)</f>
        <v/>
      </c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25" t="n"/>
      <c r="K160" s="5" t="n"/>
      <c r="L160" s="26" t="n"/>
      <c r="M160" s="18">
        <f>IF(AND(J160&lt;&gt;"",J160&lt;TODAY(),K160&lt;&gt;"Resolved"),TODAY()-J160,0)</f>
        <v/>
      </c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25" t="n"/>
      <c r="K161" s="5" t="n"/>
      <c r="L161" s="26" t="n"/>
      <c r="M161" s="18">
        <f>IF(AND(J161&lt;&gt;"",J161&lt;TODAY(),K161&lt;&gt;"Resolved"),TODAY()-J161,0)</f>
        <v/>
      </c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25" t="n"/>
      <c r="K162" s="5" t="n"/>
      <c r="L162" s="26" t="n"/>
      <c r="M162" s="18">
        <f>IF(AND(J162&lt;&gt;"",J162&lt;TODAY(),K162&lt;&gt;"Resolved"),TODAY()-J162,0)</f>
        <v/>
      </c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25" t="n"/>
      <c r="K163" s="5" t="n"/>
      <c r="L163" s="26" t="n"/>
      <c r="M163" s="18">
        <f>IF(AND(J163&lt;&gt;"",J163&lt;TODAY(),K163&lt;&gt;"Resolved"),TODAY()-J163,0)</f>
        <v/>
      </c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25" t="n"/>
      <c r="K164" s="5" t="n"/>
      <c r="L164" s="26" t="n"/>
      <c r="M164" s="18">
        <f>IF(AND(J164&lt;&gt;"",J164&lt;TODAY(),K164&lt;&gt;"Resolved"),TODAY()-J164,0)</f>
        <v/>
      </c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25" t="n"/>
      <c r="K165" s="5" t="n"/>
      <c r="L165" s="26" t="n"/>
      <c r="M165" s="18">
        <f>IF(AND(J165&lt;&gt;"",J165&lt;TODAY(),K165&lt;&gt;"Resolved"),TODAY()-J165,0)</f>
        <v/>
      </c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25" t="n"/>
      <c r="K166" s="5" t="n"/>
      <c r="L166" s="26" t="n"/>
      <c r="M166" s="18">
        <f>IF(AND(J166&lt;&gt;"",J166&lt;TODAY(),K166&lt;&gt;"Resolved"),TODAY()-J166,0)</f>
        <v/>
      </c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25" t="n"/>
      <c r="K167" s="5" t="n"/>
      <c r="L167" s="26" t="n"/>
      <c r="M167" s="18">
        <f>IF(AND(J167&lt;&gt;"",J167&lt;TODAY(),K167&lt;&gt;"Resolved"),TODAY()-J167,0)</f>
        <v/>
      </c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25" t="n"/>
      <c r="K168" s="5" t="n"/>
      <c r="L168" s="26" t="n"/>
      <c r="M168" s="18">
        <f>IF(AND(J168&lt;&gt;"",J168&lt;TODAY(),K168&lt;&gt;"Resolved"),TODAY()-J168,0)</f>
        <v/>
      </c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25" t="n"/>
      <c r="K169" s="5" t="n"/>
      <c r="L169" s="26" t="n"/>
      <c r="M169" s="18">
        <f>IF(AND(J169&lt;&gt;"",J169&lt;TODAY(),K169&lt;&gt;"Resolved"),TODAY()-J169,0)</f>
        <v/>
      </c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25" t="n"/>
      <c r="K170" s="5" t="n"/>
      <c r="L170" s="26" t="n"/>
      <c r="M170" s="18">
        <f>IF(AND(J170&lt;&gt;"",J170&lt;TODAY(),K170&lt;&gt;"Resolved"),TODAY()-J170,0)</f>
        <v/>
      </c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25" t="n"/>
      <c r="K171" s="5" t="n"/>
      <c r="L171" s="26" t="n"/>
      <c r="M171" s="18">
        <f>IF(AND(J171&lt;&gt;"",J171&lt;TODAY(),K171&lt;&gt;"Resolved"),TODAY()-J171,0)</f>
        <v/>
      </c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25" t="n"/>
      <c r="K172" s="5" t="n"/>
      <c r="L172" s="26" t="n"/>
      <c r="M172" s="18">
        <f>IF(AND(J172&lt;&gt;"",J172&lt;TODAY(),K172&lt;&gt;"Resolved"),TODAY()-J172,0)</f>
        <v/>
      </c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25" t="n"/>
      <c r="K173" s="5" t="n"/>
      <c r="L173" s="26" t="n"/>
      <c r="M173" s="18">
        <f>IF(AND(J173&lt;&gt;"",J173&lt;TODAY(),K173&lt;&gt;"Resolved"),TODAY()-J173,0)</f>
        <v/>
      </c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25" t="n"/>
      <c r="K174" s="5" t="n"/>
      <c r="L174" s="26" t="n"/>
      <c r="M174" s="18">
        <f>IF(AND(J174&lt;&gt;"",J174&lt;TODAY(),K174&lt;&gt;"Resolved"),TODAY()-J174,0)</f>
        <v/>
      </c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25" t="n"/>
      <c r="K175" s="5" t="n"/>
      <c r="L175" s="26" t="n"/>
      <c r="M175" s="18">
        <f>IF(AND(J175&lt;&gt;"",J175&lt;TODAY(),K175&lt;&gt;"Resolved"),TODAY()-J175,0)</f>
        <v/>
      </c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25" t="n"/>
      <c r="K176" s="5" t="n"/>
      <c r="L176" s="26" t="n"/>
      <c r="M176" s="18">
        <f>IF(AND(J176&lt;&gt;"",J176&lt;TODAY(),K176&lt;&gt;"Resolved"),TODAY()-J176,0)</f>
        <v/>
      </c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25" t="n"/>
      <c r="K177" s="5" t="n"/>
      <c r="L177" s="26" t="n"/>
      <c r="M177" s="18">
        <f>IF(AND(J177&lt;&gt;"",J177&lt;TODAY(),K177&lt;&gt;"Resolved"),TODAY()-J177,0)</f>
        <v/>
      </c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25" t="n"/>
      <c r="K178" s="5" t="n"/>
      <c r="L178" s="26" t="n"/>
      <c r="M178" s="18">
        <f>IF(AND(J178&lt;&gt;"",J178&lt;TODAY(),K178&lt;&gt;"Resolved"),TODAY()-J178,0)</f>
        <v/>
      </c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25" t="n"/>
      <c r="K179" s="5" t="n"/>
      <c r="L179" s="26" t="n"/>
      <c r="M179" s="18">
        <f>IF(AND(J179&lt;&gt;"",J179&lt;TODAY(),K179&lt;&gt;"Resolved"),TODAY()-J179,0)</f>
        <v/>
      </c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25" t="n"/>
      <c r="K180" s="5" t="n"/>
      <c r="L180" s="26" t="n"/>
      <c r="M180" s="18">
        <f>IF(AND(J180&lt;&gt;"",J180&lt;TODAY(),K180&lt;&gt;"Resolved"),TODAY()-J180,0)</f>
        <v/>
      </c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25" t="n"/>
      <c r="K181" s="5" t="n"/>
      <c r="L181" s="26" t="n"/>
      <c r="M181" s="18">
        <f>IF(AND(J181&lt;&gt;"",J181&lt;TODAY(),K181&lt;&gt;"Resolved"),TODAY()-J181,0)</f>
        <v/>
      </c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25" t="n"/>
      <c r="K182" s="5" t="n"/>
      <c r="L182" s="26" t="n"/>
      <c r="M182" s="18">
        <f>IF(AND(J182&lt;&gt;"",J182&lt;TODAY(),K182&lt;&gt;"Resolved"),TODAY()-J182,0)</f>
        <v/>
      </c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25" t="n"/>
      <c r="K183" s="5" t="n"/>
      <c r="L183" s="26" t="n"/>
      <c r="M183" s="18">
        <f>IF(AND(J183&lt;&gt;"",J183&lt;TODAY(),K183&lt;&gt;"Resolved"),TODAY()-J183,0)</f>
        <v/>
      </c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25" t="n"/>
      <c r="K184" s="5" t="n"/>
      <c r="L184" s="26" t="n"/>
      <c r="M184" s="18">
        <f>IF(AND(J184&lt;&gt;"",J184&lt;TODAY(),K184&lt;&gt;"Resolved"),TODAY()-J184,0)</f>
        <v/>
      </c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25" t="n"/>
      <c r="K185" s="5" t="n"/>
      <c r="L185" s="26" t="n"/>
      <c r="M185" s="18">
        <f>IF(AND(J185&lt;&gt;"",J185&lt;TODAY(),K185&lt;&gt;"Resolved"),TODAY()-J185,0)</f>
        <v/>
      </c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25" t="n"/>
      <c r="K186" s="5" t="n"/>
      <c r="L186" s="26" t="n"/>
      <c r="M186" s="18">
        <f>IF(AND(J186&lt;&gt;"",J186&lt;TODAY(),K186&lt;&gt;"Resolved"),TODAY()-J186,0)</f>
        <v/>
      </c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25" t="n"/>
      <c r="K187" s="5" t="n"/>
      <c r="L187" s="26" t="n"/>
      <c r="M187" s="18">
        <f>IF(AND(J187&lt;&gt;"",J187&lt;TODAY(),K187&lt;&gt;"Resolved"),TODAY()-J187,0)</f>
        <v/>
      </c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25" t="n"/>
      <c r="K188" s="5" t="n"/>
      <c r="L188" s="26" t="n"/>
      <c r="M188" s="18">
        <f>IF(AND(J188&lt;&gt;"",J188&lt;TODAY(),K188&lt;&gt;"Resolved"),TODAY()-J188,0)</f>
        <v/>
      </c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25" t="n"/>
      <c r="K189" s="5" t="n"/>
      <c r="L189" s="26" t="n"/>
      <c r="M189" s="18">
        <f>IF(AND(J189&lt;&gt;"",J189&lt;TODAY(),K189&lt;&gt;"Resolved"),TODAY()-J189,0)</f>
        <v/>
      </c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25" t="n"/>
      <c r="K190" s="5" t="n"/>
      <c r="L190" s="26" t="n"/>
      <c r="M190" s="18">
        <f>IF(AND(J190&lt;&gt;"",J190&lt;TODAY(),K190&lt;&gt;"Resolved"),TODAY()-J190,0)</f>
        <v/>
      </c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25" t="n"/>
      <c r="K191" s="5" t="n"/>
      <c r="L191" s="26" t="n"/>
      <c r="M191" s="18">
        <f>IF(AND(J191&lt;&gt;"",J191&lt;TODAY(),K191&lt;&gt;"Resolved"),TODAY()-J191,0)</f>
        <v/>
      </c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25" t="n"/>
      <c r="K192" s="5" t="n"/>
      <c r="L192" s="26" t="n"/>
      <c r="M192" s="18">
        <f>IF(AND(J192&lt;&gt;"",J192&lt;TODAY(),K192&lt;&gt;"Resolved"),TODAY()-J192,0)</f>
        <v/>
      </c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25" t="n"/>
      <c r="K193" s="5" t="n"/>
      <c r="L193" s="26" t="n"/>
      <c r="M193" s="18">
        <f>IF(AND(J193&lt;&gt;"",J193&lt;TODAY(),K193&lt;&gt;"Resolved"),TODAY()-J193,0)</f>
        <v/>
      </c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25" t="n"/>
      <c r="K194" s="5" t="n"/>
      <c r="L194" s="26" t="n"/>
      <c r="M194" s="18">
        <f>IF(AND(J194&lt;&gt;"",J194&lt;TODAY(),K194&lt;&gt;"Resolved"),TODAY()-J194,0)</f>
        <v/>
      </c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25" t="n"/>
      <c r="K195" s="5" t="n"/>
      <c r="L195" s="26" t="n"/>
      <c r="M195" s="18">
        <f>IF(AND(J195&lt;&gt;"",J195&lt;TODAY(),K195&lt;&gt;"Resolved"),TODAY()-J195,0)</f>
        <v/>
      </c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25" t="n"/>
      <c r="K196" s="5" t="n"/>
      <c r="L196" s="26" t="n"/>
      <c r="M196" s="18">
        <f>IF(AND(J196&lt;&gt;"",J196&lt;TODAY(),K196&lt;&gt;"Resolved"),TODAY()-J196,0)</f>
        <v/>
      </c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25" t="n"/>
      <c r="K197" s="5" t="n"/>
      <c r="L197" s="26" t="n"/>
      <c r="M197" s="18">
        <f>IF(AND(J197&lt;&gt;"",J197&lt;TODAY(),K197&lt;&gt;"Resolved"),TODAY()-J197,0)</f>
        <v/>
      </c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25" t="n"/>
      <c r="K198" s="5" t="n"/>
      <c r="L198" s="26" t="n"/>
      <c r="M198" s="18">
        <f>IF(AND(J198&lt;&gt;"",J198&lt;TODAY(),K198&lt;&gt;"Resolved"),TODAY()-J198,0)</f>
        <v/>
      </c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25" t="n"/>
      <c r="K199" s="5" t="n"/>
      <c r="L199" s="26" t="n"/>
      <c r="M199" s="18">
        <f>IF(AND(J199&lt;&gt;"",J199&lt;TODAY(),K199&lt;&gt;"Resolved"),TODAY()-J199,0)</f>
        <v/>
      </c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25" t="n"/>
      <c r="K200" s="5" t="n"/>
      <c r="L200" s="26" t="n"/>
      <c r="M200" s="18">
        <f>IF(AND(J200&lt;&gt;"",J200&lt;TODAY(),K200&lt;&gt;"Resolved"),TODAY()-J200,0)</f>
        <v/>
      </c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25" t="n"/>
      <c r="K201" s="5" t="n"/>
      <c r="L201" s="26" t="n"/>
      <c r="M201" s="18">
        <f>IF(AND(J201&lt;&gt;"",J201&lt;TODAY(),K201&lt;&gt;"Resolved"),TODAY()-J201,0)</f>
        <v/>
      </c>
      <c r="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25" t="n"/>
      <c r="K202" s="5" t="n"/>
      <c r="L202" s="26" t="n"/>
      <c r="M202" s="18">
        <f>IF(AND(J202&lt;&gt;"",J202&lt;TODAY(),K202&lt;&gt;"Resolved"),TODAY()-J202,0)</f>
        <v/>
      </c>
      <c r="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25" t="n"/>
      <c r="K203" s="5" t="n"/>
      <c r="L203" s="26" t="n"/>
      <c r="M203" s="18">
        <f>IF(AND(J203&lt;&gt;"",J203&lt;TODAY(),K203&lt;&gt;"Resolved"),TODAY()-J203,0)</f>
        <v/>
      </c>
      <c r="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25" t="n"/>
      <c r="K204" s="5" t="n"/>
      <c r="L204" s="26" t="n"/>
      <c r="M204" s="18">
        <f>IF(AND(J204&lt;&gt;"",J204&lt;TODAY(),K204&lt;&gt;"Resolved"),TODAY()-J204,0)</f>
        <v/>
      </c>
      <c r="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25" t="n"/>
      <c r="K205" s="5" t="n"/>
      <c r="L205" s="26" t="n"/>
      <c r="M205" s="18">
        <f>IF(AND(J205&lt;&gt;"",J205&lt;TODAY(),K205&lt;&gt;"Resolved"),TODAY()-J205,0)</f>
        <v/>
      </c>
      <c r="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25" t="n"/>
      <c r="K206" s="5" t="n"/>
      <c r="L206" s="26" t="n"/>
      <c r="M206" s="18">
        <f>IF(AND(J206&lt;&gt;"",J206&lt;TODAY(),K206&lt;&gt;"Resolved"),TODAY()-J206,0)</f>
        <v/>
      </c>
      <c r="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25" t="n"/>
      <c r="K207" s="5" t="n"/>
      <c r="L207" s="26" t="n"/>
      <c r="M207" s="18">
        <f>IF(AND(J207&lt;&gt;"",J207&lt;TODAY(),K207&lt;&gt;"Resolved"),TODAY()-J207,0)</f>
        <v/>
      </c>
      <c r="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25" t="n"/>
      <c r="K208" s="5" t="n"/>
      <c r="L208" s="26" t="n"/>
      <c r="M208" s="18">
        <f>IF(AND(J208&lt;&gt;"",J208&lt;TODAY(),K208&lt;&gt;"Resolved"),TODAY()-J208,0)</f>
        <v/>
      </c>
      <c r="N208" s="5" t="n"/>
    </row>
    <row r="215">
      <c r="A215" s="2" t="inlineStr">
        <is>
          <t>GAP SUMMARY STATISTICS</t>
        </is>
      </c>
    </row>
    <row r="217">
      <c r="A217" s="3" t="inlineStr">
        <is>
          <t>Total Gaps:</t>
        </is>
      </c>
      <c r="B217" s="18">
        <f>COUNTA(A9:A208)</f>
        <v/>
      </c>
    </row>
    <row r="218">
      <c r="A218" s="3" t="inlineStr">
        <is>
          <t>Critical Priority:</t>
        </is>
      </c>
      <c r="B218" s="18">
        <f>COUNTIF(F9:F208,"Critical")</f>
        <v/>
      </c>
    </row>
    <row r="219">
      <c r="A219" s="3" t="inlineStr">
        <is>
          <t>High Priority:</t>
        </is>
      </c>
      <c r="B219" s="18">
        <f>COUNTIF(F9:F208,"High")</f>
        <v/>
      </c>
    </row>
    <row r="220">
      <c r="A220" s="3" t="inlineStr">
        <is>
          <t>Open Status:</t>
        </is>
      </c>
      <c r="B220" s="18">
        <f>COUNTIF(K9:K208,"Open")</f>
        <v/>
      </c>
    </row>
    <row r="221">
      <c r="A221" s="3" t="inlineStr">
        <is>
          <t>In Progress:</t>
        </is>
      </c>
      <c r="B221" s="18">
        <f>COUNTIF(K9:K208,"In Progress")</f>
        <v/>
      </c>
    </row>
    <row r="222">
      <c r="A222" s="3" t="inlineStr">
        <is>
          <t>Resolved:</t>
        </is>
      </c>
      <c r="B222" s="18">
        <f>COUNTIF(K9:K208,"Resolved")</f>
        <v/>
      </c>
    </row>
    <row r="223">
      <c r="A223" s="3" t="inlineStr">
        <is>
          <t>Overdue Gaps:</t>
        </is>
      </c>
      <c r="B223" s="18">
        <f>COUNTIF(M9:M208,"&gt;0")</f>
        <v/>
      </c>
    </row>
    <row r="224">
      <c r="A224" s="3" t="inlineStr">
        <is>
          <t>Budget Required Count:</t>
        </is>
      </c>
      <c r="B224" s="18">
        <f>COUNTIF(I9:I208,"Yes")</f>
        <v/>
      </c>
    </row>
  </sheetData>
  <mergeCells count="3">
    <mergeCell ref="A215:N215"/>
    <mergeCell ref="A2:N2"/>
    <mergeCell ref="A1:N1"/>
  </mergeCells>
  <conditionalFormatting sqref="F9:F20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2">
      <formula>"Low"</formula>
    </cfRule>
  </conditionalFormatting>
  <dataValidations count="4">
    <dataValidation sqref="B9:B208" showDropDown="0" showInputMessage="0" showErrorMessage="0" allowBlank="1" type="list">
      <formula1>"IMP-1,IMP-2,IMP-3,IMP-4,Other"</formula1>
    </dataValidation>
    <dataValidation sqref="F9:F208" showDropDown="0" showInputMessage="0" showErrorMessage="0" allowBlank="1" type="list">
      <formula1>"🔴 Critical,🟡 High,🟢 Medium,⚫ Low"</formula1>
    </dataValidation>
    <dataValidation sqref="I9:I208" showDropDown="0" showInputMessage="0" showErrorMessage="0" allowBlank="1" type="list">
      <formula1>"Yes,No"</formula1>
    </dataValidation>
    <dataValidation sqref="K9:K208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</cols>
  <sheetData>
    <row r="1" ht="40" customHeight="1">
      <c r="A1" s="1" t="inlineStr">
        <is>
          <t>TREND ANALYSIS</t>
        </is>
      </c>
    </row>
    <row r="2" ht="30" customHeight="1">
      <c r="A2" s="2" t="inlineStr">
        <is>
          <t>Historical trend tracking across assessment periods</t>
        </is>
      </c>
    </row>
    <row r="7">
      <c r="A7" s="15" t="inlineStr">
        <is>
          <t>Metric</t>
        </is>
      </c>
      <c r="B7" s="15" t="inlineStr">
        <is>
          <t>Q1 2025</t>
        </is>
      </c>
      <c r="C7" s="15" t="inlineStr">
        <is>
          <t>Q2 2025</t>
        </is>
      </c>
      <c r="D7" s="15" t="inlineStr">
        <is>
          <t>Q3 2025</t>
        </is>
      </c>
      <c r="E7" s="15" t="inlineStr">
        <is>
          <t>Q4 2025</t>
        </is>
      </c>
      <c r="F7" s="15" t="inlineStr">
        <is>
          <t>Q1 2026</t>
        </is>
      </c>
      <c r="G7" s="15" t="inlineStr">
        <is>
          <t>Target</t>
        </is>
      </c>
      <c r="H7" s="15" t="inlineStr">
        <is>
          <t>Trend</t>
        </is>
      </c>
    </row>
    <row r="8">
      <c r="A8" s="3" t="inlineStr">
        <is>
          <t>Overall Compliance %</t>
        </is>
      </c>
      <c r="B8" s="20" t="n"/>
      <c r="C8" s="20" t="n"/>
      <c r="D8" s="20" t="n"/>
      <c r="E8" s="20" t="n"/>
      <c r="F8" s="20" t="n"/>
      <c r="G8" s="17" t="inlineStr">
        <is>
          <t>&gt;95%</t>
        </is>
      </c>
      <c r="H8" s="18">
        <f>IF(AND(F8&lt;&gt;"",E8&lt;&gt;""),IF(F8&gt;E8,"↑ Improving",IF(F8&lt;E8,"↓ Declining","→ Stable")),"")</f>
        <v/>
      </c>
    </row>
    <row r="9">
      <c r="A9" s="3" t="inlineStr">
        <is>
          <t>Log Source Coverage %</t>
        </is>
      </c>
      <c r="B9" s="20" t="n"/>
      <c r="C9" s="20" t="n"/>
      <c r="D9" s="20" t="n"/>
      <c r="E9" s="20" t="n"/>
      <c r="F9" s="20" t="n"/>
      <c r="G9" s="17" t="inlineStr">
        <is>
          <t>100%</t>
        </is>
      </c>
      <c r="H9" s="18">
        <f>IF(AND(F9&lt;&gt;"",E9&lt;&gt;""),IF(F9&gt;E9,"↑ Improving",IF(F9&lt;E9,"↓ Declining","→ Stable")),"")</f>
        <v/>
      </c>
    </row>
    <row r="10">
      <c r="A10" s="3" t="inlineStr">
        <is>
          <t>Collection Reliability %</t>
        </is>
      </c>
      <c r="B10" s="20" t="n"/>
      <c r="C10" s="20" t="n"/>
      <c r="D10" s="20" t="n"/>
      <c r="E10" s="20" t="n"/>
      <c r="F10" s="20" t="n"/>
      <c r="G10" s="17" t="inlineStr">
        <is>
          <t>&gt;99%</t>
        </is>
      </c>
      <c r="H10" s="18">
        <f>IF(AND(F10&lt;&gt;"",E10&lt;&gt;""),IF(F10&gt;E10,"↑ Improving",IF(F10&lt;E10,"↓ Declining","→ Stable")),"")</f>
        <v/>
      </c>
    </row>
    <row r="11">
      <c r="A11" s="3" t="inlineStr">
        <is>
          <t>Protection Compliance %</t>
        </is>
      </c>
      <c r="B11" s="20" t="n"/>
      <c r="C11" s="20" t="n"/>
      <c r="D11" s="20" t="n"/>
      <c r="E11" s="20" t="n"/>
      <c r="F11" s="20" t="n"/>
      <c r="G11" s="17" t="inlineStr">
        <is>
          <t>&gt;95%</t>
        </is>
      </c>
      <c r="H11" s="18">
        <f>IF(AND(F11&lt;&gt;"",E11&lt;&gt;""),IF(F11&gt;E11,"↑ Improving",IF(F11&lt;E11,"↓ Declining","→ Stable")),"")</f>
        <v/>
      </c>
    </row>
    <row r="12">
      <c r="A12" s="3" t="inlineStr">
        <is>
          <t>Retention Compliance %</t>
        </is>
      </c>
      <c r="B12" s="20" t="n"/>
      <c r="C12" s="20" t="n"/>
      <c r="D12" s="20" t="n"/>
      <c r="E12" s="20" t="n"/>
      <c r="F12" s="20" t="n"/>
      <c r="G12" s="17" t="inlineStr">
        <is>
          <t>100%</t>
        </is>
      </c>
      <c r="H12" s="18">
        <f>IF(AND(F12&lt;&gt;"",E12&lt;&gt;""),IF(F12&gt;E12,"↑ Improving",IF(F12&lt;E12,"↓ Declining","→ Stable")),"")</f>
        <v/>
      </c>
    </row>
    <row r="13">
      <c r="A13" s="3" t="inlineStr">
        <is>
          <t>Review Completion %</t>
        </is>
      </c>
      <c r="B13" s="20" t="n"/>
      <c r="C13" s="20" t="n"/>
      <c r="D13" s="20" t="n"/>
      <c r="E13" s="20" t="n"/>
      <c r="F13" s="20" t="n"/>
      <c r="G13" s="17" t="inlineStr">
        <is>
          <t>100%</t>
        </is>
      </c>
      <c r="H13" s="18">
        <f>IF(AND(F13&lt;&gt;"",E13&lt;&gt;""),IF(F13&gt;E13,"↑ Improving",IF(F13&lt;E13,"↓ Declining","→ Stable")),"")</f>
        <v/>
      </c>
    </row>
    <row r="14">
      <c r="A14" s="3" t="inlineStr">
        <is>
          <t>True Positive Rate %</t>
        </is>
      </c>
      <c r="B14" s="20" t="n"/>
      <c r="C14" s="20" t="n"/>
      <c r="D14" s="20" t="n"/>
      <c r="E14" s="20" t="n"/>
      <c r="F14" s="20" t="n"/>
      <c r="G14" s="17" t="inlineStr">
        <is>
          <t>&gt;50%</t>
        </is>
      </c>
      <c r="H14" s="18">
        <f>IF(AND(F14&lt;&gt;"",E14&lt;&gt;""),IF(F14&gt;E14,"↑ Improving",IF(F14&lt;E14,"↓ Declining","→ Stable")),"")</f>
        <v/>
      </c>
    </row>
    <row r="15">
      <c r="A15" s="3" t="inlineStr">
        <is>
          <t>Avg MTTD (hours)</t>
        </is>
      </c>
      <c r="B15" s="5" t="n"/>
      <c r="C15" s="5" t="n"/>
      <c r="D15" s="5" t="n"/>
      <c r="E15" s="5" t="n"/>
      <c r="F15" s="5" t="n"/>
      <c r="G15" s="17" t="inlineStr">
        <is>
          <t>&lt;1</t>
        </is>
      </c>
      <c r="H15" s="18">
        <f>IF(AND(F15&lt;&gt;"",E15&lt;&gt;""),IF(F15&gt;E15,"↑ Improving",IF(F15&lt;E15,"↓ Declining","→ Stable")),"")</f>
        <v/>
      </c>
    </row>
    <row r="16">
      <c r="A16" s="3" t="inlineStr">
        <is>
          <t>Avg MTTR (hours)</t>
        </is>
      </c>
      <c r="B16" s="5" t="n"/>
      <c r="C16" s="5" t="n"/>
      <c r="D16" s="5" t="n"/>
      <c r="E16" s="5" t="n"/>
      <c r="F16" s="5" t="n"/>
      <c r="G16" s="17" t="inlineStr">
        <is>
          <t>&lt;4</t>
        </is>
      </c>
      <c r="H16" s="18">
        <f>IF(AND(F16&lt;&gt;"",E16&lt;&gt;""),IF(F16&gt;E16,"↑ Improving",IF(F16&lt;E16,"↓ Declining","→ Stable")),"")</f>
        <v/>
      </c>
    </row>
    <row r="17">
      <c r="A17" s="3" t="inlineStr">
        <is>
          <t>Open Critical Gaps</t>
        </is>
      </c>
      <c r="B17" s="5" t="n"/>
      <c r="C17" s="5" t="n"/>
      <c r="D17" s="5" t="n"/>
      <c r="E17" s="5" t="n"/>
      <c r="F17" s="5" t="n"/>
      <c r="G17" s="17" t="inlineStr">
        <is>
          <t>0</t>
        </is>
      </c>
      <c r="H17" s="18">
        <f>IF(AND(F17&lt;&gt;"",E17&lt;&gt;""),IF(F17&gt;E17,"↑ Improving",IF(F17&lt;E17,"↓ Declining","→ Stable")),"")</f>
        <v/>
      </c>
    </row>
    <row r="18">
      <c r="A18" s="3" t="inlineStr">
        <is>
          <t>Open High Gaps</t>
        </is>
      </c>
      <c r="B18" s="5" t="n"/>
      <c r="C18" s="5" t="n"/>
      <c r="D18" s="5" t="n"/>
      <c r="E18" s="5" t="n"/>
      <c r="F18" s="5" t="n"/>
      <c r="G18" s="17" t="inlineStr">
        <is>
          <t>&lt;5</t>
        </is>
      </c>
      <c r="H18" s="18">
        <f>IF(AND(F18&lt;&gt;"",E18&lt;&gt;""),IF(F18&gt;E18,"↑ Improving",IF(F18&lt;E18,"↓ Declining","→ Stable")),"")</f>
        <v/>
      </c>
    </row>
    <row r="19">
      <c r="A19" s="3" t="inlineStr">
        <is>
          <t>Total Open Gaps</t>
        </is>
      </c>
      <c r="B19" s="5" t="n"/>
      <c r="C19" s="5" t="n"/>
      <c r="D19" s="5" t="n"/>
      <c r="E19" s="5" t="n"/>
      <c r="F19" s="5" t="n"/>
      <c r="G19" s="17" t="inlineStr">
        <is>
          <t>&lt;20</t>
        </is>
      </c>
      <c r="H19" s="18">
        <f>IF(AND(F19&lt;&gt;"",E19&lt;&gt;""),IF(F19&gt;E19,"↑ Improving",IF(F19&lt;E19,"↓ Declining","→ Stable")),"")</f>
        <v/>
      </c>
    </row>
    <row r="22">
      <c r="A22" s="2" t="inlineStr">
        <is>
          <t>TREND VISUALIZATION</t>
        </is>
      </c>
    </row>
    <row r="23" ht="200" customHeight="1">
      <c r="A23" s="4" t="inlineStr">
        <is>
          <t>Insert trend charts here:
• Overall Compliance Trend Line
• Gap Closure Velocity
• MTTD/MTTR Improvement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4">
    <mergeCell ref="A2:M2"/>
    <mergeCell ref="A22:M22"/>
    <mergeCell ref="A1:M1"/>
    <mergeCell ref="A23:M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20" customWidth="1" min="4" max="4"/>
    <col width="25" customWidth="1" min="5" max="5"/>
    <col width="30" customWidth="1" min="6" max="6"/>
    <col width="18" customWidth="1" min="7" max="7"/>
    <col width="40" customWidth="1" min="8" max="8"/>
    <col width="15" customWidth="1" min="9" max="9"/>
    <col width="15" customWidth="1" min="10" max="10"/>
    <col width="40" customWidth="1" min="11" max="11"/>
    <col width="40" customWidth="1" min="12" max="12"/>
  </cols>
  <sheetData>
    <row r="1" ht="40" customHeight="1">
      <c r="A1" s="1" t="inlineStr">
        <is>
          <t>REGULATORY MAPPING</t>
        </is>
      </c>
    </row>
    <row r="2" ht="30" customHeight="1">
      <c r="A2" s="2" t="inlineStr">
        <is>
          <t>Map logging requirements to regulatory obligations</t>
        </is>
      </c>
    </row>
    <row r="7" ht="35" customHeight="1">
      <c r="A7" s="15" t="inlineStr">
        <is>
          <t>Regulation / Standard</t>
        </is>
      </c>
      <c r="B7" s="15" t="inlineStr">
        <is>
          <t>Requirement ID</t>
        </is>
      </c>
      <c r="C7" s="15" t="inlineStr">
        <is>
          <t>Requirement Description</t>
        </is>
      </c>
      <c r="D7" s="15" t="inlineStr">
        <is>
          <t>Policy Section</t>
        </is>
      </c>
      <c r="E7" s="15" t="inlineStr">
        <is>
          <t>IMP Coverage</t>
        </is>
      </c>
      <c r="F7" s="15" t="inlineStr">
        <is>
          <t>Applicable Systems</t>
        </is>
      </c>
      <c r="G7" s="15" t="inlineStr">
        <is>
          <t>Compliance Status</t>
        </is>
      </c>
      <c r="H7" s="15" t="inlineStr">
        <is>
          <t>Evidence Location</t>
        </is>
      </c>
      <c r="I7" s="15" t="inlineStr">
        <is>
          <t>Last Verified</t>
        </is>
      </c>
      <c r="J7" s="15" t="inlineStr">
        <is>
          <t>Next Verification</t>
        </is>
      </c>
      <c r="K7" s="15" t="inlineStr">
        <is>
          <t>Gaps</t>
        </is>
      </c>
      <c r="L7" s="15" t="inlineStr">
        <is>
          <t>Notes</t>
        </is>
      </c>
    </row>
    <row r="8">
      <c r="A8" s="24" t="inlineStr">
        <is>
          <t>ISO 27001:2022</t>
        </is>
      </c>
      <c r="B8" s="24" t="inlineStr">
        <is>
          <t>A.8.15</t>
        </is>
      </c>
      <c r="C8" s="24" t="inlineStr">
        <is>
          <t>Logging shall be produced, kept and reviewed</t>
        </is>
      </c>
      <c r="D8" s="24" t="inlineStr">
        <is>
          <t>ISMS-POL-A.8.15</t>
        </is>
      </c>
      <c r="E8" s="24" t="inlineStr">
        <is>
          <t>IMP 1-4</t>
        </is>
      </c>
      <c r="F8" s="24" t="inlineStr">
        <is>
          <t>All systems</t>
        </is>
      </c>
      <c r="G8" s="24" t="inlineStr">
        <is>
          <t>Compliant</t>
        </is>
      </c>
      <c r="H8" s="24" t="inlineStr">
        <is>
          <t>IMP-A.8.15.x workbooks</t>
        </is>
      </c>
      <c r="I8" s="24" t="inlineStr">
        <is>
          <t>15.12.2025</t>
        </is>
      </c>
      <c r="J8" s="24" t="inlineStr">
        <is>
          <t>15.03.2026</t>
        </is>
      </c>
      <c r="K8" s="24" t="inlineStr"/>
      <c r="L8" s="24" t="inlineStr">
        <is>
          <t>Full compliance</t>
        </is>
      </c>
    </row>
    <row r="9">
      <c r="A9" s="24" t="inlineStr">
        <is>
          <t>PCI DSS 4.0</t>
        </is>
      </c>
      <c r="B9" s="24" t="inlineStr">
        <is>
          <t>Req 10.2.1</t>
        </is>
      </c>
      <c r="C9" s="24" t="inlineStr">
        <is>
          <t>Audit logs for all system components</t>
        </is>
      </c>
      <c r="D9" s="24" t="inlineStr">
        <is>
          <t>S2.1.x</t>
        </is>
      </c>
      <c r="E9" s="24" t="inlineStr">
        <is>
          <t>IMP-1, IMP-4</t>
        </is>
      </c>
      <c r="F9" s="24" t="inlineStr">
        <is>
          <t>Payment systems</t>
        </is>
      </c>
      <c r="G9" s="24" t="inlineStr">
        <is>
          <t>Partial</t>
        </is>
      </c>
      <c r="H9" s="24" t="inlineStr">
        <is>
          <t>IMP-1 System Inventory</t>
        </is>
      </c>
      <c r="I9" s="24" t="inlineStr">
        <is>
          <t>15.12.2025</t>
        </is>
      </c>
      <c r="J9" s="24" t="inlineStr">
        <is>
          <t>15.03.2026</t>
        </is>
      </c>
      <c r="K9" s="24" t="inlineStr">
        <is>
          <t>2 card terminals missing logs</t>
        </is>
      </c>
      <c r="L9" s="24" t="inlineStr">
        <is>
          <t>Remediation in progress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25" t="n"/>
      <c r="J10" s="2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25" t="n"/>
      <c r="J11" s="2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25" t="n"/>
      <c r="J12" s="2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25" t="n"/>
      <c r="J13" s="2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25" t="n"/>
      <c r="J14" s="2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25" t="n"/>
      <c r="J15" s="2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25" t="n"/>
      <c r="J16" s="2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25" t="n"/>
      <c r="J17" s="2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25" t="n"/>
      <c r="J18" s="2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25" t="n"/>
      <c r="J19" s="2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25" t="n"/>
      <c r="J20" s="2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25" t="n"/>
      <c r="J21" s="2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25" t="n"/>
      <c r="J22" s="2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25" t="n"/>
      <c r="J23" s="2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25" t="n"/>
      <c r="J24" s="2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25" t="n"/>
      <c r="J25" s="2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25" t="n"/>
      <c r="J26" s="2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25" t="n"/>
      <c r="J27" s="2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25" t="n"/>
      <c r="J28" s="2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25" t="n"/>
      <c r="J29" s="2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25" t="n"/>
      <c r="J30" s="2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25" t="n"/>
      <c r="J31" s="2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25" t="n"/>
      <c r="J32" s="2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25" t="n"/>
      <c r="J33" s="2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25" t="n"/>
      <c r="J34" s="2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25" t="n"/>
      <c r="J35" s="2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25" t="n"/>
      <c r="J36" s="2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25" t="n"/>
      <c r="J37" s="2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25" t="n"/>
      <c r="J38" s="2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25" t="n"/>
      <c r="J39" s="2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25" t="n"/>
      <c r="J40" s="2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25" t="n"/>
      <c r="J41" s="2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25" t="n"/>
      <c r="J42" s="2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25" t="n"/>
      <c r="J43" s="2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25" t="n"/>
      <c r="J44" s="2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25" t="n"/>
      <c r="J45" s="2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25" t="n"/>
      <c r="J46" s="2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25" t="n"/>
      <c r="J47" s="2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25" t="n"/>
      <c r="J48" s="2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25" t="n"/>
      <c r="J49" s="2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25" t="n"/>
      <c r="J50" s="2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25" t="n"/>
      <c r="J51" s="2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25" t="n"/>
      <c r="J52" s="2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25" t="n"/>
      <c r="J53" s="2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25" t="n"/>
      <c r="J54" s="2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25" t="n"/>
      <c r="J55" s="2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25" t="n"/>
      <c r="J56" s="2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25" t="n"/>
      <c r="J57" s="2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25" t="n"/>
      <c r="J58" s="2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25" t="n"/>
      <c r="J59" s="2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25" t="n"/>
      <c r="J60" s="2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25" t="n"/>
      <c r="J61" s="2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25" t="n"/>
      <c r="J62" s="2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25" t="n"/>
      <c r="J63" s="2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25" t="n"/>
      <c r="J64" s="2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25" t="n"/>
      <c r="J65" s="2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25" t="n"/>
      <c r="J66" s="2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25" t="n"/>
      <c r="J67" s="2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25" t="n"/>
      <c r="J68" s="2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25" t="n"/>
      <c r="J69" s="2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25" t="n"/>
      <c r="J70" s="2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25" t="n"/>
      <c r="J71" s="2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25" t="n"/>
      <c r="J72" s="2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25" t="n"/>
      <c r="J73" s="2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25" t="n"/>
      <c r="J74" s="2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25" t="n"/>
      <c r="J75" s="2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25" t="n"/>
      <c r="J76" s="2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25" t="n"/>
      <c r="J77" s="2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25" t="n"/>
      <c r="J78" s="2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25" t="n"/>
      <c r="J79" s="2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25" t="n"/>
      <c r="J80" s="2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25" t="n"/>
      <c r="J81" s="2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25" t="n"/>
      <c r="J82" s="2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25" t="n"/>
      <c r="J83" s="2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25" t="n"/>
      <c r="J84" s="2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25" t="n"/>
      <c r="J85" s="2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25" t="n"/>
      <c r="J86" s="2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25" t="n"/>
      <c r="J87" s="2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25" t="n"/>
      <c r="J88" s="2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25" t="n"/>
      <c r="J89" s="2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25" t="n"/>
      <c r="J90" s="2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25" t="n"/>
      <c r="J91" s="2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25" t="n"/>
      <c r="J92" s="2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25" t="n"/>
      <c r="J93" s="2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25" t="n"/>
      <c r="J94" s="2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25" t="n"/>
      <c r="J95" s="2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25" t="n"/>
      <c r="J96" s="2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25" t="n"/>
      <c r="J97" s="2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25" t="n"/>
      <c r="J98" s="2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25" t="n"/>
      <c r="J99" s="2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5" t="n"/>
      <c r="J100" s="2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25" t="n"/>
      <c r="J101" s="2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5" t="n"/>
      <c r="J102" s="2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25" t="n"/>
      <c r="J103" s="2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5" t="n"/>
      <c r="J104" s="2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25" t="n"/>
      <c r="J105" s="2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5" t="n"/>
      <c r="J106" s="2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25" t="n"/>
      <c r="J107" s="2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5" t="n"/>
      <c r="J108" s="2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25" t="n"/>
      <c r="J109" s="2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5" t="n"/>
      <c r="J110" s="2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25" t="n"/>
      <c r="J111" s="2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5" t="n"/>
      <c r="J112" s="2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25" t="n"/>
      <c r="J113" s="2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5" t="n"/>
      <c r="J114" s="2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25" t="n"/>
      <c r="J115" s="2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25" t="n"/>
      <c r="J116" s="2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25" t="n"/>
      <c r="J117" s="2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25" t="n"/>
      <c r="J118" s="2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25" t="n"/>
      <c r="J119" s="2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25" t="n"/>
      <c r="J120" s="2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25" t="n"/>
      <c r="J121" s="2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25" t="n"/>
      <c r="J122" s="2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25" t="n"/>
      <c r="J123" s="2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25" t="n"/>
      <c r="J124" s="2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25" t="n"/>
      <c r="J125" s="2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25" t="n"/>
      <c r="J126" s="2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25" t="n"/>
      <c r="J127" s="2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25" t="n"/>
      <c r="J128" s="2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25" t="n"/>
      <c r="J129" s="2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25" t="n"/>
      <c r="J130" s="2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25" t="n"/>
      <c r="J131" s="2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25" t="n"/>
      <c r="J132" s="2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25" t="n"/>
      <c r="J133" s="2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25" t="n"/>
      <c r="J134" s="2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25" t="n"/>
      <c r="J135" s="2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25" t="n"/>
      <c r="J136" s="2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25" t="n"/>
      <c r="J137" s="2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25" t="n"/>
      <c r="J138" s="2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25" t="n"/>
      <c r="J139" s="2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25" t="n"/>
      <c r="J140" s="2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25" t="n"/>
      <c r="J141" s="2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25" t="n"/>
      <c r="J142" s="2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25" t="n"/>
      <c r="J143" s="2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25" t="n"/>
      <c r="J144" s="2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25" t="n"/>
      <c r="J145" s="2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25" t="n"/>
      <c r="J146" s="2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25" t="n"/>
      <c r="J147" s="2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25" t="n"/>
      <c r="J148" s="2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25" t="n"/>
      <c r="J149" s="2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25" t="n"/>
      <c r="J150" s="2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25" t="n"/>
      <c r="J151" s="2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25" t="n"/>
      <c r="J152" s="2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25" t="n"/>
      <c r="J153" s="2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25" t="n"/>
      <c r="J154" s="2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25" t="n"/>
      <c r="J155" s="2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25" t="n"/>
      <c r="J156" s="2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25" t="n"/>
      <c r="J157" s="2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25" t="n"/>
      <c r="J158" s="2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25" t="n"/>
      <c r="J159" s="25" t="n"/>
      <c r="K159" s="5" t="n"/>
      <c r="L159" s="5" t="n"/>
    </row>
  </sheetData>
  <mergeCells count="2">
    <mergeCell ref="A2:L2"/>
    <mergeCell ref="A1:L1"/>
  </mergeCells>
  <dataValidations count="2">
    <dataValidation sqref="A10:A159" showDropDown="0" showInputMessage="0" showErrorMessage="0" allowBlank="1" type="list">
      <formula1>"ISO 27001,PCI DSS,HIPAA,GDPR,SOX,DORA,NIS2,FADP,Other"</formula1>
    </dataValidation>
    <dataValidation sqref="G10:G159" showDropDown="0" showInputMessage="0" showErrorMessage="0" allowBlank="1" type="list">
      <formula1>"✅ Compliant,⚠️ Partial,❌ Non-Compliant,➖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25" customWidth="1" min="12" max="12"/>
    <col width="40" customWidth="1" min="13" max="13"/>
  </cols>
  <sheetData>
    <row r="1" ht="40" customHeight="1">
      <c r="A1" s="1" t="inlineStr">
        <is>
          <t>ACTION PLAN &amp; ROADMAP</t>
        </is>
      </c>
    </row>
    <row r="2" ht="30" customHeight="1">
      <c r="A2" s="2" t="inlineStr">
        <is>
          <t>Strategic roadmap for logging program improvements</t>
        </is>
      </c>
    </row>
    <row r="7" ht="35" customHeight="1">
      <c r="A7" s="15" t="inlineStr">
        <is>
          <t>Initiative ID</t>
        </is>
      </c>
      <c r="B7" s="15" t="inlineStr">
        <is>
          <t>Initiative Name</t>
        </is>
      </c>
      <c r="C7" s="15" t="inlineStr">
        <is>
          <t>Description</t>
        </is>
      </c>
      <c r="D7" s="15" t="inlineStr">
        <is>
          <t>Strategic Goal</t>
        </is>
      </c>
      <c r="E7" s="15" t="inlineStr">
        <is>
          <t>Related Gaps</t>
        </is>
      </c>
      <c r="F7" s="15" t="inlineStr">
        <is>
          <t>Priority</t>
        </is>
      </c>
      <c r="G7" s="15" t="inlineStr">
        <is>
          <t>Start Date</t>
        </is>
      </c>
      <c r="H7" s="15" t="inlineStr">
        <is>
          <t>Target End Date</t>
        </is>
      </c>
      <c r="I7" s="15" t="inlineStr">
        <is>
          <t>Status</t>
        </is>
      </c>
      <c r="J7" s="15" t="inlineStr">
        <is>
          <t>% Complete</t>
        </is>
      </c>
      <c r="K7" s="15" t="inlineStr">
        <is>
          <t>Budget ($)</t>
        </is>
      </c>
      <c r="L7" s="15" t="inlineStr">
        <is>
          <t>Owner</t>
        </is>
      </c>
      <c r="M7" s="15" t="inlineStr">
        <is>
          <t>Notes</t>
        </is>
      </c>
    </row>
    <row r="8">
      <c r="A8" s="24" t="inlineStr">
        <is>
          <t>INIT-001</t>
        </is>
      </c>
      <c r="B8" s="24" t="inlineStr">
        <is>
          <t>SIEM Upgrade</t>
        </is>
      </c>
      <c r="C8" s="24" t="inlineStr">
        <is>
          <t>Upgrade SIEM to latest version for improved performance</t>
        </is>
      </c>
      <c r="D8" s="24" t="inlineStr">
        <is>
          <t>Enhance Detection</t>
        </is>
      </c>
      <c r="E8" s="24" t="inlineStr">
        <is>
          <t>GAP-015, GAP-023</t>
        </is>
      </c>
      <c r="F8" s="24" t="inlineStr">
        <is>
          <t>High</t>
        </is>
      </c>
      <c r="G8" s="24" t="inlineStr">
        <is>
          <t>01.02.2026</t>
        </is>
      </c>
      <c r="H8" s="24" t="inlineStr">
        <is>
          <t>31.03.2026</t>
        </is>
      </c>
      <c r="I8" s="24" t="inlineStr">
        <is>
          <t>Planning</t>
        </is>
      </c>
      <c r="J8" s="24" t="inlineStr">
        <is>
          <t>15%</t>
        </is>
      </c>
      <c r="K8" s="24" t="inlineStr">
        <is>
          <t>50000</t>
        </is>
      </c>
      <c r="L8" s="24" t="inlineStr">
        <is>
          <t>IT Operations</t>
        </is>
      </c>
      <c r="M8" s="24" t="inlineStr">
        <is>
          <t>Vendor quote received</t>
        </is>
      </c>
    </row>
    <row r="9">
      <c r="A9" s="18">
        <f>IF(B9&lt;&gt;"","INIT-"&amp;TEXT(ROW()-8,"000"),"")</f>
        <v/>
      </c>
      <c r="B9" s="5" t="n"/>
      <c r="C9" s="5" t="n"/>
      <c r="D9" s="5" t="n"/>
      <c r="E9" s="5" t="n"/>
      <c r="F9" s="5" t="n"/>
      <c r="G9" s="25" t="n"/>
      <c r="H9" s="25" t="n"/>
      <c r="I9" s="5" t="n"/>
      <c r="J9" s="26" t="n"/>
      <c r="K9" s="27" t="n"/>
      <c r="L9" s="5" t="n"/>
      <c r="M9" s="5" t="n"/>
    </row>
    <row r="10">
      <c r="A10" s="18">
        <f>IF(B10&lt;&gt;"","INIT-"&amp;TEXT(ROW()-8,"000"),"")</f>
        <v/>
      </c>
      <c r="B10" s="5" t="n"/>
      <c r="C10" s="5" t="n"/>
      <c r="D10" s="5" t="n"/>
      <c r="E10" s="5" t="n"/>
      <c r="F10" s="5" t="n"/>
      <c r="G10" s="25" t="n"/>
      <c r="H10" s="25" t="n"/>
      <c r="I10" s="5" t="n"/>
      <c r="J10" s="26" t="n"/>
      <c r="K10" s="27" t="n"/>
      <c r="L10" s="5" t="n"/>
      <c r="M10" s="5" t="n"/>
    </row>
    <row r="11">
      <c r="A11" s="18">
        <f>IF(B11&lt;&gt;"","INIT-"&amp;TEXT(ROW()-8,"000"),"")</f>
        <v/>
      </c>
      <c r="B11" s="5" t="n"/>
      <c r="C11" s="5" t="n"/>
      <c r="D11" s="5" t="n"/>
      <c r="E11" s="5" t="n"/>
      <c r="F11" s="5" t="n"/>
      <c r="G11" s="25" t="n"/>
      <c r="H11" s="25" t="n"/>
      <c r="I11" s="5" t="n"/>
      <c r="J11" s="26" t="n"/>
      <c r="K11" s="27" t="n"/>
      <c r="L11" s="5" t="n"/>
      <c r="M11" s="5" t="n"/>
    </row>
    <row r="12">
      <c r="A12" s="18">
        <f>IF(B12&lt;&gt;"","INIT-"&amp;TEXT(ROW()-8,"000"),"")</f>
        <v/>
      </c>
      <c r="B12" s="5" t="n"/>
      <c r="C12" s="5" t="n"/>
      <c r="D12" s="5" t="n"/>
      <c r="E12" s="5" t="n"/>
      <c r="F12" s="5" t="n"/>
      <c r="G12" s="25" t="n"/>
      <c r="H12" s="25" t="n"/>
      <c r="I12" s="5" t="n"/>
      <c r="J12" s="26" t="n"/>
      <c r="K12" s="27" t="n"/>
      <c r="L12" s="5" t="n"/>
      <c r="M12" s="5" t="n"/>
    </row>
    <row r="13">
      <c r="A13" s="18">
        <f>IF(B13&lt;&gt;"","INIT-"&amp;TEXT(ROW()-8,"000"),"")</f>
        <v/>
      </c>
      <c r="B13" s="5" t="n"/>
      <c r="C13" s="5" t="n"/>
      <c r="D13" s="5" t="n"/>
      <c r="E13" s="5" t="n"/>
      <c r="F13" s="5" t="n"/>
      <c r="G13" s="25" t="n"/>
      <c r="H13" s="25" t="n"/>
      <c r="I13" s="5" t="n"/>
      <c r="J13" s="26" t="n"/>
      <c r="K13" s="27" t="n"/>
      <c r="L13" s="5" t="n"/>
      <c r="M13" s="5" t="n"/>
    </row>
    <row r="14">
      <c r="A14" s="18">
        <f>IF(B14&lt;&gt;"","INIT-"&amp;TEXT(ROW()-8,"000"),"")</f>
        <v/>
      </c>
      <c r="B14" s="5" t="n"/>
      <c r="C14" s="5" t="n"/>
      <c r="D14" s="5" t="n"/>
      <c r="E14" s="5" t="n"/>
      <c r="F14" s="5" t="n"/>
      <c r="G14" s="25" t="n"/>
      <c r="H14" s="25" t="n"/>
      <c r="I14" s="5" t="n"/>
      <c r="J14" s="26" t="n"/>
      <c r="K14" s="27" t="n"/>
      <c r="L14" s="5" t="n"/>
      <c r="M14" s="5" t="n"/>
    </row>
    <row r="15">
      <c r="A15" s="18">
        <f>IF(B15&lt;&gt;"","INIT-"&amp;TEXT(ROW()-8,"000"),"")</f>
        <v/>
      </c>
      <c r="B15" s="5" t="n"/>
      <c r="C15" s="5" t="n"/>
      <c r="D15" s="5" t="n"/>
      <c r="E15" s="5" t="n"/>
      <c r="F15" s="5" t="n"/>
      <c r="G15" s="25" t="n"/>
      <c r="H15" s="25" t="n"/>
      <c r="I15" s="5" t="n"/>
      <c r="J15" s="26" t="n"/>
      <c r="K15" s="27" t="n"/>
      <c r="L15" s="5" t="n"/>
      <c r="M15" s="5" t="n"/>
    </row>
    <row r="16">
      <c r="A16" s="18">
        <f>IF(B16&lt;&gt;"","INIT-"&amp;TEXT(ROW()-8,"000"),"")</f>
        <v/>
      </c>
      <c r="B16" s="5" t="n"/>
      <c r="C16" s="5" t="n"/>
      <c r="D16" s="5" t="n"/>
      <c r="E16" s="5" t="n"/>
      <c r="F16" s="5" t="n"/>
      <c r="G16" s="25" t="n"/>
      <c r="H16" s="25" t="n"/>
      <c r="I16" s="5" t="n"/>
      <c r="J16" s="26" t="n"/>
      <c r="K16" s="27" t="n"/>
      <c r="L16" s="5" t="n"/>
      <c r="M16" s="5" t="n"/>
    </row>
    <row r="17">
      <c r="A17" s="18">
        <f>IF(B17&lt;&gt;"","INIT-"&amp;TEXT(ROW()-8,"000"),"")</f>
        <v/>
      </c>
      <c r="B17" s="5" t="n"/>
      <c r="C17" s="5" t="n"/>
      <c r="D17" s="5" t="n"/>
      <c r="E17" s="5" t="n"/>
      <c r="F17" s="5" t="n"/>
      <c r="G17" s="25" t="n"/>
      <c r="H17" s="25" t="n"/>
      <c r="I17" s="5" t="n"/>
      <c r="J17" s="26" t="n"/>
      <c r="K17" s="27" t="n"/>
      <c r="L17" s="5" t="n"/>
      <c r="M17" s="5" t="n"/>
    </row>
    <row r="18">
      <c r="A18" s="18">
        <f>IF(B18&lt;&gt;"","INIT-"&amp;TEXT(ROW()-8,"000"),"")</f>
        <v/>
      </c>
      <c r="B18" s="5" t="n"/>
      <c r="C18" s="5" t="n"/>
      <c r="D18" s="5" t="n"/>
      <c r="E18" s="5" t="n"/>
      <c r="F18" s="5" t="n"/>
      <c r="G18" s="25" t="n"/>
      <c r="H18" s="25" t="n"/>
      <c r="I18" s="5" t="n"/>
      <c r="J18" s="26" t="n"/>
      <c r="K18" s="27" t="n"/>
      <c r="L18" s="5" t="n"/>
      <c r="M18" s="5" t="n"/>
    </row>
    <row r="19">
      <c r="A19" s="18">
        <f>IF(B19&lt;&gt;"","INIT-"&amp;TEXT(ROW()-8,"000"),"")</f>
        <v/>
      </c>
      <c r="B19" s="5" t="n"/>
      <c r="C19" s="5" t="n"/>
      <c r="D19" s="5" t="n"/>
      <c r="E19" s="5" t="n"/>
      <c r="F19" s="5" t="n"/>
      <c r="G19" s="25" t="n"/>
      <c r="H19" s="25" t="n"/>
      <c r="I19" s="5" t="n"/>
      <c r="J19" s="26" t="n"/>
      <c r="K19" s="27" t="n"/>
      <c r="L19" s="5" t="n"/>
      <c r="M19" s="5" t="n"/>
    </row>
    <row r="20">
      <c r="A20" s="18">
        <f>IF(B20&lt;&gt;"","INIT-"&amp;TEXT(ROW()-8,"000"),"")</f>
        <v/>
      </c>
      <c r="B20" s="5" t="n"/>
      <c r="C20" s="5" t="n"/>
      <c r="D20" s="5" t="n"/>
      <c r="E20" s="5" t="n"/>
      <c r="F20" s="5" t="n"/>
      <c r="G20" s="25" t="n"/>
      <c r="H20" s="25" t="n"/>
      <c r="I20" s="5" t="n"/>
      <c r="J20" s="26" t="n"/>
      <c r="K20" s="27" t="n"/>
      <c r="L20" s="5" t="n"/>
      <c r="M20" s="5" t="n"/>
    </row>
    <row r="21">
      <c r="A21" s="18">
        <f>IF(B21&lt;&gt;"","INIT-"&amp;TEXT(ROW()-8,"000"),"")</f>
        <v/>
      </c>
      <c r="B21" s="5" t="n"/>
      <c r="C21" s="5" t="n"/>
      <c r="D21" s="5" t="n"/>
      <c r="E21" s="5" t="n"/>
      <c r="F21" s="5" t="n"/>
      <c r="G21" s="25" t="n"/>
      <c r="H21" s="25" t="n"/>
      <c r="I21" s="5" t="n"/>
      <c r="J21" s="26" t="n"/>
      <c r="K21" s="27" t="n"/>
      <c r="L21" s="5" t="n"/>
      <c r="M21" s="5" t="n"/>
    </row>
    <row r="22">
      <c r="A22" s="18">
        <f>IF(B22&lt;&gt;"","INIT-"&amp;TEXT(ROW()-8,"000"),"")</f>
        <v/>
      </c>
      <c r="B22" s="5" t="n"/>
      <c r="C22" s="5" t="n"/>
      <c r="D22" s="5" t="n"/>
      <c r="E22" s="5" t="n"/>
      <c r="F22" s="5" t="n"/>
      <c r="G22" s="25" t="n"/>
      <c r="H22" s="25" t="n"/>
      <c r="I22" s="5" t="n"/>
      <c r="J22" s="26" t="n"/>
      <c r="K22" s="27" t="n"/>
      <c r="L22" s="5" t="n"/>
      <c r="M22" s="5" t="n"/>
    </row>
    <row r="23">
      <c r="A23" s="18">
        <f>IF(B23&lt;&gt;"","INIT-"&amp;TEXT(ROW()-8,"000"),"")</f>
        <v/>
      </c>
      <c r="B23" s="5" t="n"/>
      <c r="C23" s="5" t="n"/>
      <c r="D23" s="5" t="n"/>
      <c r="E23" s="5" t="n"/>
      <c r="F23" s="5" t="n"/>
      <c r="G23" s="25" t="n"/>
      <c r="H23" s="25" t="n"/>
      <c r="I23" s="5" t="n"/>
      <c r="J23" s="26" t="n"/>
      <c r="K23" s="27" t="n"/>
      <c r="L23" s="5" t="n"/>
      <c r="M23" s="5" t="n"/>
    </row>
    <row r="24">
      <c r="A24" s="18">
        <f>IF(B24&lt;&gt;"","INIT-"&amp;TEXT(ROW()-8,"000"),"")</f>
        <v/>
      </c>
      <c r="B24" s="5" t="n"/>
      <c r="C24" s="5" t="n"/>
      <c r="D24" s="5" t="n"/>
      <c r="E24" s="5" t="n"/>
      <c r="F24" s="5" t="n"/>
      <c r="G24" s="25" t="n"/>
      <c r="H24" s="25" t="n"/>
      <c r="I24" s="5" t="n"/>
      <c r="J24" s="26" t="n"/>
      <c r="K24" s="27" t="n"/>
      <c r="L24" s="5" t="n"/>
      <c r="M24" s="5" t="n"/>
    </row>
    <row r="25">
      <c r="A25" s="18">
        <f>IF(B25&lt;&gt;"","INIT-"&amp;TEXT(ROW()-8,"000"),"")</f>
        <v/>
      </c>
      <c r="B25" s="5" t="n"/>
      <c r="C25" s="5" t="n"/>
      <c r="D25" s="5" t="n"/>
      <c r="E25" s="5" t="n"/>
      <c r="F25" s="5" t="n"/>
      <c r="G25" s="25" t="n"/>
      <c r="H25" s="25" t="n"/>
      <c r="I25" s="5" t="n"/>
      <c r="J25" s="26" t="n"/>
      <c r="K25" s="27" t="n"/>
      <c r="L25" s="5" t="n"/>
      <c r="M25" s="5" t="n"/>
    </row>
    <row r="26">
      <c r="A26" s="18">
        <f>IF(B26&lt;&gt;"","INIT-"&amp;TEXT(ROW()-8,"000"),"")</f>
        <v/>
      </c>
      <c r="B26" s="5" t="n"/>
      <c r="C26" s="5" t="n"/>
      <c r="D26" s="5" t="n"/>
      <c r="E26" s="5" t="n"/>
      <c r="F26" s="5" t="n"/>
      <c r="G26" s="25" t="n"/>
      <c r="H26" s="25" t="n"/>
      <c r="I26" s="5" t="n"/>
      <c r="J26" s="26" t="n"/>
      <c r="K26" s="27" t="n"/>
      <c r="L26" s="5" t="n"/>
      <c r="M26" s="5" t="n"/>
    </row>
    <row r="27">
      <c r="A27" s="18">
        <f>IF(B27&lt;&gt;"","INIT-"&amp;TEXT(ROW()-8,"000"),"")</f>
        <v/>
      </c>
      <c r="B27" s="5" t="n"/>
      <c r="C27" s="5" t="n"/>
      <c r="D27" s="5" t="n"/>
      <c r="E27" s="5" t="n"/>
      <c r="F27" s="5" t="n"/>
      <c r="G27" s="25" t="n"/>
      <c r="H27" s="25" t="n"/>
      <c r="I27" s="5" t="n"/>
      <c r="J27" s="26" t="n"/>
      <c r="K27" s="27" t="n"/>
      <c r="L27" s="5" t="n"/>
      <c r="M27" s="5" t="n"/>
    </row>
    <row r="28">
      <c r="A28" s="18">
        <f>IF(B28&lt;&gt;"","INIT-"&amp;TEXT(ROW()-8,"000"),"")</f>
        <v/>
      </c>
      <c r="B28" s="5" t="n"/>
      <c r="C28" s="5" t="n"/>
      <c r="D28" s="5" t="n"/>
      <c r="E28" s="5" t="n"/>
      <c r="F28" s="5" t="n"/>
      <c r="G28" s="25" t="n"/>
      <c r="H28" s="25" t="n"/>
      <c r="I28" s="5" t="n"/>
      <c r="J28" s="26" t="n"/>
      <c r="K28" s="27" t="n"/>
      <c r="L28" s="5" t="n"/>
      <c r="M28" s="5" t="n"/>
    </row>
    <row r="29">
      <c r="A29" s="18">
        <f>IF(B29&lt;&gt;"","INIT-"&amp;TEXT(ROW()-8,"000"),"")</f>
        <v/>
      </c>
      <c r="B29" s="5" t="n"/>
      <c r="C29" s="5" t="n"/>
      <c r="D29" s="5" t="n"/>
      <c r="E29" s="5" t="n"/>
      <c r="F29" s="5" t="n"/>
      <c r="G29" s="25" t="n"/>
      <c r="H29" s="25" t="n"/>
      <c r="I29" s="5" t="n"/>
      <c r="J29" s="26" t="n"/>
      <c r="K29" s="27" t="n"/>
      <c r="L29" s="5" t="n"/>
      <c r="M29" s="5" t="n"/>
    </row>
    <row r="30">
      <c r="A30" s="18">
        <f>IF(B30&lt;&gt;"","INIT-"&amp;TEXT(ROW()-8,"000"),"")</f>
        <v/>
      </c>
      <c r="B30" s="5" t="n"/>
      <c r="C30" s="5" t="n"/>
      <c r="D30" s="5" t="n"/>
      <c r="E30" s="5" t="n"/>
      <c r="F30" s="5" t="n"/>
      <c r="G30" s="25" t="n"/>
      <c r="H30" s="25" t="n"/>
      <c r="I30" s="5" t="n"/>
      <c r="J30" s="26" t="n"/>
      <c r="K30" s="27" t="n"/>
      <c r="L30" s="5" t="n"/>
      <c r="M30" s="5" t="n"/>
    </row>
    <row r="31">
      <c r="A31" s="18">
        <f>IF(B31&lt;&gt;"","INIT-"&amp;TEXT(ROW()-8,"000"),"")</f>
        <v/>
      </c>
      <c r="B31" s="5" t="n"/>
      <c r="C31" s="5" t="n"/>
      <c r="D31" s="5" t="n"/>
      <c r="E31" s="5" t="n"/>
      <c r="F31" s="5" t="n"/>
      <c r="G31" s="25" t="n"/>
      <c r="H31" s="25" t="n"/>
      <c r="I31" s="5" t="n"/>
      <c r="J31" s="26" t="n"/>
      <c r="K31" s="27" t="n"/>
      <c r="L31" s="5" t="n"/>
      <c r="M31" s="5" t="n"/>
    </row>
    <row r="32">
      <c r="A32" s="18">
        <f>IF(B32&lt;&gt;"","INIT-"&amp;TEXT(ROW()-8,"000"),"")</f>
        <v/>
      </c>
      <c r="B32" s="5" t="n"/>
      <c r="C32" s="5" t="n"/>
      <c r="D32" s="5" t="n"/>
      <c r="E32" s="5" t="n"/>
      <c r="F32" s="5" t="n"/>
      <c r="G32" s="25" t="n"/>
      <c r="H32" s="25" t="n"/>
      <c r="I32" s="5" t="n"/>
      <c r="J32" s="26" t="n"/>
      <c r="K32" s="27" t="n"/>
      <c r="L32" s="5" t="n"/>
      <c r="M32" s="5" t="n"/>
    </row>
    <row r="33">
      <c r="A33" s="18">
        <f>IF(B33&lt;&gt;"","INIT-"&amp;TEXT(ROW()-8,"000"),"")</f>
        <v/>
      </c>
      <c r="B33" s="5" t="n"/>
      <c r="C33" s="5" t="n"/>
      <c r="D33" s="5" t="n"/>
      <c r="E33" s="5" t="n"/>
      <c r="F33" s="5" t="n"/>
      <c r="G33" s="25" t="n"/>
      <c r="H33" s="25" t="n"/>
      <c r="I33" s="5" t="n"/>
      <c r="J33" s="26" t="n"/>
      <c r="K33" s="27" t="n"/>
      <c r="L33" s="5" t="n"/>
      <c r="M33" s="5" t="n"/>
    </row>
    <row r="34">
      <c r="A34" s="18">
        <f>IF(B34&lt;&gt;"","INIT-"&amp;TEXT(ROW()-8,"000"),"")</f>
        <v/>
      </c>
      <c r="B34" s="5" t="n"/>
      <c r="C34" s="5" t="n"/>
      <c r="D34" s="5" t="n"/>
      <c r="E34" s="5" t="n"/>
      <c r="F34" s="5" t="n"/>
      <c r="G34" s="25" t="n"/>
      <c r="H34" s="25" t="n"/>
      <c r="I34" s="5" t="n"/>
      <c r="J34" s="26" t="n"/>
      <c r="K34" s="27" t="n"/>
      <c r="L34" s="5" t="n"/>
      <c r="M34" s="5" t="n"/>
    </row>
    <row r="35">
      <c r="A35" s="18">
        <f>IF(B35&lt;&gt;"","INIT-"&amp;TEXT(ROW()-8,"000"),"")</f>
        <v/>
      </c>
      <c r="B35" s="5" t="n"/>
      <c r="C35" s="5" t="n"/>
      <c r="D35" s="5" t="n"/>
      <c r="E35" s="5" t="n"/>
      <c r="F35" s="5" t="n"/>
      <c r="G35" s="25" t="n"/>
      <c r="H35" s="25" t="n"/>
      <c r="I35" s="5" t="n"/>
      <c r="J35" s="26" t="n"/>
      <c r="K35" s="27" t="n"/>
      <c r="L35" s="5" t="n"/>
      <c r="M35" s="5" t="n"/>
    </row>
    <row r="36">
      <c r="A36" s="18">
        <f>IF(B36&lt;&gt;"","INIT-"&amp;TEXT(ROW()-8,"000"),"")</f>
        <v/>
      </c>
      <c r="B36" s="5" t="n"/>
      <c r="C36" s="5" t="n"/>
      <c r="D36" s="5" t="n"/>
      <c r="E36" s="5" t="n"/>
      <c r="F36" s="5" t="n"/>
      <c r="G36" s="25" t="n"/>
      <c r="H36" s="25" t="n"/>
      <c r="I36" s="5" t="n"/>
      <c r="J36" s="26" t="n"/>
      <c r="K36" s="27" t="n"/>
      <c r="L36" s="5" t="n"/>
      <c r="M36" s="5" t="n"/>
    </row>
    <row r="37">
      <c r="A37" s="18">
        <f>IF(B37&lt;&gt;"","INIT-"&amp;TEXT(ROW()-8,"000"),"")</f>
        <v/>
      </c>
      <c r="B37" s="5" t="n"/>
      <c r="C37" s="5" t="n"/>
      <c r="D37" s="5" t="n"/>
      <c r="E37" s="5" t="n"/>
      <c r="F37" s="5" t="n"/>
      <c r="G37" s="25" t="n"/>
      <c r="H37" s="25" t="n"/>
      <c r="I37" s="5" t="n"/>
      <c r="J37" s="26" t="n"/>
      <c r="K37" s="27" t="n"/>
      <c r="L37" s="5" t="n"/>
      <c r="M37" s="5" t="n"/>
    </row>
    <row r="38">
      <c r="A38" s="18">
        <f>IF(B38&lt;&gt;"","INIT-"&amp;TEXT(ROW()-8,"000"),"")</f>
        <v/>
      </c>
      <c r="B38" s="5" t="n"/>
      <c r="C38" s="5" t="n"/>
      <c r="D38" s="5" t="n"/>
      <c r="E38" s="5" t="n"/>
      <c r="F38" s="5" t="n"/>
      <c r="G38" s="25" t="n"/>
      <c r="H38" s="25" t="n"/>
      <c r="I38" s="5" t="n"/>
      <c r="J38" s="26" t="n"/>
      <c r="K38" s="27" t="n"/>
      <c r="L38" s="5" t="n"/>
      <c r="M38" s="5" t="n"/>
    </row>
    <row r="39">
      <c r="A39" s="18">
        <f>IF(B39&lt;&gt;"","INIT-"&amp;TEXT(ROW()-8,"000"),"")</f>
        <v/>
      </c>
      <c r="B39" s="5" t="n"/>
      <c r="C39" s="5" t="n"/>
      <c r="D39" s="5" t="n"/>
      <c r="E39" s="5" t="n"/>
      <c r="F39" s="5" t="n"/>
      <c r="G39" s="25" t="n"/>
      <c r="H39" s="25" t="n"/>
      <c r="I39" s="5" t="n"/>
      <c r="J39" s="26" t="n"/>
      <c r="K39" s="27" t="n"/>
      <c r="L39" s="5" t="n"/>
      <c r="M39" s="5" t="n"/>
    </row>
    <row r="40">
      <c r="A40" s="18">
        <f>IF(B40&lt;&gt;"","INIT-"&amp;TEXT(ROW()-8,"000"),"")</f>
        <v/>
      </c>
      <c r="B40" s="5" t="n"/>
      <c r="C40" s="5" t="n"/>
      <c r="D40" s="5" t="n"/>
      <c r="E40" s="5" t="n"/>
      <c r="F40" s="5" t="n"/>
      <c r="G40" s="25" t="n"/>
      <c r="H40" s="25" t="n"/>
      <c r="I40" s="5" t="n"/>
      <c r="J40" s="26" t="n"/>
      <c r="K40" s="27" t="n"/>
      <c r="L40" s="5" t="n"/>
      <c r="M40" s="5" t="n"/>
    </row>
    <row r="41">
      <c r="A41" s="18">
        <f>IF(B41&lt;&gt;"","INIT-"&amp;TEXT(ROW()-8,"000"),"")</f>
        <v/>
      </c>
      <c r="B41" s="5" t="n"/>
      <c r="C41" s="5" t="n"/>
      <c r="D41" s="5" t="n"/>
      <c r="E41" s="5" t="n"/>
      <c r="F41" s="5" t="n"/>
      <c r="G41" s="25" t="n"/>
      <c r="H41" s="25" t="n"/>
      <c r="I41" s="5" t="n"/>
      <c r="J41" s="26" t="n"/>
      <c r="K41" s="27" t="n"/>
      <c r="L41" s="5" t="n"/>
      <c r="M41" s="5" t="n"/>
    </row>
    <row r="42">
      <c r="A42" s="18">
        <f>IF(B42&lt;&gt;"","INIT-"&amp;TEXT(ROW()-8,"000"),"")</f>
        <v/>
      </c>
      <c r="B42" s="5" t="n"/>
      <c r="C42" s="5" t="n"/>
      <c r="D42" s="5" t="n"/>
      <c r="E42" s="5" t="n"/>
      <c r="F42" s="5" t="n"/>
      <c r="G42" s="25" t="n"/>
      <c r="H42" s="25" t="n"/>
      <c r="I42" s="5" t="n"/>
      <c r="J42" s="26" t="n"/>
      <c r="K42" s="27" t="n"/>
      <c r="L42" s="5" t="n"/>
      <c r="M42" s="5" t="n"/>
    </row>
    <row r="43">
      <c r="A43" s="18">
        <f>IF(B43&lt;&gt;"","INIT-"&amp;TEXT(ROW()-8,"000"),"")</f>
        <v/>
      </c>
      <c r="B43" s="5" t="n"/>
      <c r="C43" s="5" t="n"/>
      <c r="D43" s="5" t="n"/>
      <c r="E43" s="5" t="n"/>
      <c r="F43" s="5" t="n"/>
      <c r="G43" s="25" t="n"/>
      <c r="H43" s="25" t="n"/>
      <c r="I43" s="5" t="n"/>
      <c r="J43" s="26" t="n"/>
      <c r="K43" s="27" t="n"/>
      <c r="L43" s="5" t="n"/>
      <c r="M43" s="5" t="n"/>
    </row>
    <row r="44">
      <c r="A44" s="18">
        <f>IF(B44&lt;&gt;"","INIT-"&amp;TEXT(ROW()-8,"000"),"")</f>
        <v/>
      </c>
      <c r="B44" s="5" t="n"/>
      <c r="C44" s="5" t="n"/>
      <c r="D44" s="5" t="n"/>
      <c r="E44" s="5" t="n"/>
      <c r="F44" s="5" t="n"/>
      <c r="G44" s="25" t="n"/>
      <c r="H44" s="25" t="n"/>
      <c r="I44" s="5" t="n"/>
      <c r="J44" s="26" t="n"/>
      <c r="K44" s="27" t="n"/>
      <c r="L44" s="5" t="n"/>
      <c r="M44" s="5" t="n"/>
    </row>
    <row r="45">
      <c r="A45" s="18">
        <f>IF(B45&lt;&gt;"","INIT-"&amp;TEXT(ROW()-8,"000"),"")</f>
        <v/>
      </c>
      <c r="B45" s="5" t="n"/>
      <c r="C45" s="5" t="n"/>
      <c r="D45" s="5" t="n"/>
      <c r="E45" s="5" t="n"/>
      <c r="F45" s="5" t="n"/>
      <c r="G45" s="25" t="n"/>
      <c r="H45" s="25" t="n"/>
      <c r="I45" s="5" t="n"/>
      <c r="J45" s="26" t="n"/>
      <c r="K45" s="27" t="n"/>
      <c r="L45" s="5" t="n"/>
      <c r="M45" s="5" t="n"/>
    </row>
    <row r="46">
      <c r="A46" s="18">
        <f>IF(B46&lt;&gt;"","INIT-"&amp;TEXT(ROW()-8,"000"),"")</f>
        <v/>
      </c>
      <c r="B46" s="5" t="n"/>
      <c r="C46" s="5" t="n"/>
      <c r="D46" s="5" t="n"/>
      <c r="E46" s="5" t="n"/>
      <c r="F46" s="5" t="n"/>
      <c r="G46" s="25" t="n"/>
      <c r="H46" s="25" t="n"/>
      <c r="I46" s="5" t="n"/>
      <c r="J46" s="26" t="n"/>
      <c r="K46" s="27" t="n"/>
      <c r="L46" s="5" t="n"/>
      <c r="M46" s="5" t="n"/>
    </row>
    <row r="47">
      <c r="A47" s="18">
        <f>IF(B47&lt;&gt;"","INIT-"&amp;TEXT(ROW()-8,"000"),"")</f>
        <v/>
      </c>
      <c r="B47" s="5" t="n"/>
      <c r="C47" s="5" t="n"/>
      <c r="D47" s="5" t="n"/>
      <c r="E47" s="5" t="n"/>
      <c r="F47" s="5" t="n"/>
      <c r="G47" s="25" t="n"/>
      <c r="H47" s="25" t="n"/>
      <c r="I47" s="5" t="n"/>
      <c r="J47" s="26" t="n"/>
      <c r="K47" s="27" t="n"/>
      <c r="L47" s="5" t="n"/>
      <c r="M47" s="5" t="n"/>
    </row>
    <row r="48">
      <c r="A48" s="18">
        <f>IF(B48&lt;&gt;"","INIT-"&amp;TEXT(ROW()-8,"000"),"")</f>
        <v/>
      </c>
      <c r="B48" s="5" t="n"/>
      <c r="C48" s="5" t="n"/>
      <c r="D48" s="5" t="n"/>
      <c r="E48" s="5" t="n"/>
      <c r="F48" s="5" t="n"/>
      <c r="G48" s="25" t="n"/>
      <c r="H48" s="25" t="n"/>
      <c r="I48" s="5" t="n"/>
      <c r="J48" s="26" t="n"/>
      <c r="K48" s="27" t="n"/>
      <c r="L48" s="5" t="n"/>
      <c r="M48" s="5" t="n"/>
    </row>
    <row r="49">
      <c r="A49" s="18">
        <f>IF(B49&lt;&gt;"","INIT-"&amp;TEXT(ROW()-8,"000"),"")</f>
        <v/>
      </c>
      <c r="B49" s="5" t="n"/>
      <c r="C49" s="5" t="n"/>
      <c r="D49" s="5" t="n"/>
      <c r="E49" s="5" t="n"/>
      <c r="F49" s="5" t="n"/>
      <c r="G49" s="25" t="n"/>
      <c r="H49" s="25" t="n"/>
      <c r="I49" s="5" t="n"/>
      <c r="J49" s="26" t="n"/>
      <c r="K49" s="27" t="n"/>
      <c r="L49" s="5" t="n"/>
      <c r="M49" s="5" t="n"/>
    </row>
    <row r="50">
      <c r="A50" s="18">
        <f>IF(B50&lt;&gt;"","INIT-"&amp;TEXT(ROW()-8,"000"),"")</f>
        <v/>
      </c>
      <c r="B50" s="5" t="n"/>
      <c r="C50" s="5" t="n"/>
      <c r="D50" s="5" t="n"/>
      <c r="E50" s="5" t="n"/>
      <c r="F50" s="5" t="n"/>
      <c r="G50" s="25" t="n"/>
      <c r="H50" s="25" t="n"/>
      <c r="I50" s="5" t="n"/>
      <c r="J50" s="26" t="n"/>
      <c r="K50" s="27" t="n"/>
      <c r="L50" s="5" t="n"/>
      <c r="M50" s="5" t="n"/>
    </row>
  </sheetData>
  <mergeCells count="2">
    <mergeCell ref="A2:M2"/>
    <mergeCell ref="A1:M1"/>
  </mergeCells>
  <dataValidations count="3">
    <dataValidation sqref="D9:D50" showDropDown="0" showInputMessage="0" showErrorMessage="0" allowBlank="1" type="list">
      <formula1>"Improve Coverage,Enhance Detection,Reduce Gaps,Compliance,Optimization,Other"</formula1>
    </dataValidation>
    <dataValidation sqref="F9:F50" showDropDown="0" showInputMessage="0" showErrorMessage="0" allowBlank="1" type="list">
      <formula1>"🔴 Critical,🟡 High,🟢 Medium,⚫ Low"</formula1>
    </dataValidation>
    <dataValidation sqref="I9:I50" showDropDown="0" showInputMessage="0" showErrorMessage="0" allowBlank="1" type="list">
      <formula1>"Not Started,Planning,In Progress,Completed,On 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5" customWidth="1" min="4" max="4"/>
    <col width="25" customWidth="1" min="5" max="5"/>
    <col width="14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40" customHeight="1">
      <c r="A1" s="1" t="inlineStr">
        <is>
          <t>EVIDENCE SUMMARY</t>
        </is>
      </c>
    </row>
    <row r="2" ht="25" customHeight="1">
      <c r="A2" s="2" t="inlineStr">
        <is>
          <t>Consolidated Evidence Register - All Logging Assessment Domains</t>
        </is>
      </c>
    </row>
    <row r="4">
      <c r="A4" s="28" t="inlineStr">
        <is>
          <t>Control Reference:</t>
        </is>
      </c>
      <c r="B4" t="inlineStr">
        <is>
          <t>ISO/IEC 27001:2022 - A.8.15 (Logging)</t>
        </is>
      </c>
    </row>
    <row r="5">
      <c r="A5" s="28" t="inlineStr">
        <is>
          <t>Evidence Custodian:</t>
        </is>
      </c>
      <c r="B5" t="inlineStr"/>
    </row>
    <row r="6">
      <c r="A6" s="28" t="inlineStr">
        <is>
          <t>Last Consolidated:</t>
        </is>
      </c>
      <c r="B6" t="inlineStr"/>
    </row>
    <row r="8">
      <c r="A8" s="15" t="inlineStr">
        <is>
          <t>Evidence ID</t>
        </is>
      </c>
      <c r="B8" s="15" t="inlineStr">
        <is>
          <t>Assessment Domain</t>
        </is>
      </c>
      <c r="C8" s="15" t="inlineStr">
        <is>
          <t>Evidence Type</t>
        </is>
      </c>
      <c r="D8" s="15" t="inlineStr">
        <is>
          <t>Description</t>
        </is>
      </c>
      <c r="E8" s="15" t="inlineStr">
        <is>
          <t>Source Location</t>
        </is>
      </c>
      <c r="F8" s="15" t="inlineStr">
        <is>
          <t>Date Collected</t>
        </is>
      </c>
      <c r="G8" s="15" t="inlineStr">
        <is>
          <t>Status</t>
        </is>
      </c>
      <c r="H8" s="15" t="inlineStr">
        <is>
          <t>Audit Ready</t>
        </is>
      </c>
      <c r="I8" s="15" t="inlineStr">
        <is>
          <t>Retention</t>
        </is>
      </c>
      <c r="J8" s="15" t="inlineStr">
        <is>
          <t>Notes</t>
        </is>
      </c>
    </row>
    <row r="9">
      <c r="A9" s="5" t="inlineStr">
        <is>
          <t>EVD-CONS-001</t>
        </is>
      </c>
      <c r="B9" s="5" t="inlineStr">
        <is>
          <t>A.8.15.1 - Inventory</t>
        </is>
      </c>
      <c r="C9" s="5" t="inlineStr">
        <is>
          <t>System List</t>
        </is>
      </c>
      <c r="D9" s="5" t="inlineStr">
        <is>
          <t>Complete system inventory with logging status</t>
        </is>
      </c>
      <c r="E9" s="5" t="inlineStr"/>
      <c r="F9" s="5" t="inlineStr"/>
      <c r="G9" s="5" t="inlineStr">
        <is>
          <t>Pending</t>
        </is>
      </c>
      <c r="H9" s="5" t="inlineStr">
        <is>
          <t>No</t>
        </is>
      </c>
      <c r="I9" s="5" t="inlineStr">
        <is>
          <t>7 years</t>
        </is>
      </c>
      <c r="J9" s="5" t="inlineStr"/>
    </row>
    <row r="10">
      <c r="A10" s="5" t="inlineStr">
        <is>
          <t>EVD-CONS-002</t>
        </is>
      </c>
      <c r="B10" s="5" t="inlineStr">
        <is>
          <t>A.8.15.1 - Inventory</t>
        </is>
      </c>
      <c r="C10" s="5" t="inlineStr">
        <is>
          <t>Event Types Matrix</t>
        </is>
      </c>
      <c r="D10" s="5" t="inlineStr">
        <is>
          <t>Log event types by system category</t>
        </is>
      </c>
      <c r="E10" s="5" t="inlineStr"/>
      <c r="F10" s="5" t="inlineStr"/>
      <c r="G10" s="5" t="inlineStr">
        <is>
          <t>Pending</t>
        </is>
      </c>
      <c r="H10" s="5" t="inlineStr">
        <is>
          <t>No</t>
        </is>
      </c>
      <c r="I10" s="5" t="inlineStr">
        <is>
          <t>7 years</t>
        </is>
      </c>
      <c r="J10" s="5" t="inlineStr"/>
    </row>
    <row r="11">
      <c r="A11" s="5" t="inlineStr">
        <is>
          <t>EVD-CONS-003</t>
        </is>
      </c>
      <c r="B11" s="5" t="inlineStr">
        <is>
          <t>A.8.15.1 - Inventory</t>
        </is>
      </c>
      <c r="C11" s="5" t="inlineStr">
        <is>
          <t>Gap Analysis</t>
        </is>
      </c>
      <c r="D11" s="5" t="inlineStr">
        <is>
          <t>Inventory gaps and remediation plans</t>
        </is>
      </c>
      <c r="E11" s="5" t="inlineStr"/>
      <c r="F11" s="5" t="inlineStr"/>
      <c r="G11" s="5" t="inlineStr">
        <is>
          <t>Pending</t>
        </is>
      </c>
      <c r="H11" s="5" t="inlineStr">
        <is>
          <t>No</t>
        </is>
      </c>
      <c r="I11" s="5" t="inlineStr">
        <is>
          <t>7 years</t>
        </is>
      </c>
      <c r="J11" s="5" t="inlineStr"/>
    </row>
    <row r="12">
      <c r="A12" s="5" t="inlineStr">
        <is>
          <t>EVD-CONS-004</t>
        </is>
      </c>
      <c r="B12" s="5" t="inlineStr">
        <is>
          <t>A.8.15.2 - Collection</t>
        </is>
      </c>
      <c r="C12" s="5" t="inlineStr">
        <is>
          <t>SIEM Architecture</t>
        </is>
      </c>
      <c r="D12" s="5" t="inlineStr">
        <is>
          <t>SIEM platform architecture documentation</t>
        </is>
      </c>
      <c r="E12" s="5" t="inlineStr"/>
      <c r="F12" s="5" t="inlineStr"/>
      <c r="G12" s="5" t="inlineStr">
        <is>
          <t>Pending</t>
        </is>
      </c>
      <c r="H12" s="5" t="inlineStr">
        <is>
          <t>No</t>
        </is>
      </c>
      <c r="I12" s="5" t="inlineStr">
        <is>
          <t>7 years</t>
        </is>
      </c>
      <c r="J12" s="5" t="inlineStr"/>
    </row>
    <row r="13">
      <c r="A13" s="5" t="inlineStr">
        <is>
          <t>EVD-CONS-005</t>
        </is>
      </c>
      <c r="B13" s="5" t="inlineStr">
        <is>
          <t>A.8.15.2 - Collection</t>
        </is>
      </c>
      <c r="C13" s="5" t="inlineStr">
        <is>
          <t>Forwarder List</t>
        </is>
      </c>
      <c r="D13" s="5" t="inlineStr">
        <is>
          <t>Log forwarder/agent inventory</t>
        </is>
      </c>
      <c r="E13" s="5" t="inlineStr"/>
      <c r="F13" s="5" t="inlineStr"/>
      <c r="G13" s="5" t="inlineStr">
        <is>
          <t>Pending</t>
        </is>
      </c>
      <c r="H13" s="5" t="inlineStr">
        <is>
          <t>No</t>
        </is>
      </c>
      <c r="I13" s="5" t="inlineStr">
        <is>
          <t>7 years</t>
        </is>
      </c>
      <c r="J13" s="5" t="inlineStr"/>
    </row>
    <row r="14">
      <c r="A14" s="5" t="inlineStr">
        <is>
          <t>EVD-CONS-006</t>
        </is>
      </c>
      <c r="B14" s="5" t="inlineStr">
        <is>
          <t>A.8.15.2 - Collection</t>
        </is>
      </c>
      <c r="C14" s="5" t="inlineStr">
        <is>
          <t>Collection Metrics</t>
        </is>
      </c>
      <c r="D14" s="5" t="inlineStr">
        <is>
          <t>Log collection reliability metrics</t>
        </is>
      </c>
      <c r="E14" s="5" t="inlineStr"/>
      <c r="F14" s="5" t="inlineStr"/>
      <c r="G14" s="5" t="inlineStr">
        <is>
          <t>Pending</t>
        </is>
      </c>
      <c r="H14" s="5" t="inlineStr">
        <is>
          <t>No</t>
        </is>
      </c>
      <c r="I14" s="5" t="inlineStr">
        <is>
          <t>7 years</t>
        </is>
      </c>
      <c r="J14" s="5" t="inlineStr"/>
    </row>
    <row r="15">
      <c r="A15" s="5" t="inlineStr">
        <is>
          <t>EVD-CONS-007</t>
        </is>
      </c>
      <c r="B15" s="5" t="inlineStr">
        <is>
          <t>A.8.15.3 - Protection</t>
        </is>
      </c>
      <c r="C15" s="5" t="inlineStr">
        <is>
          <t>Access Control Matrix</t>
        </is>
      </c>
      <c r="D15" s="5" t="inlineStr">
        <is>
          <t>Log access permissions documentation</t>
        </is>
      </c>
      <c r="E15" s="5" t="inlineStr"/>
      <c r="F15" s="5" t="inlineStr"/>
      <c r="G15" s="5" t="inlineStr">
        <is>
          <t>Pending</t>
        </is>
      </c>
      <c r="H15" s="5" t="inlineStr">
        <is>
          <t>No</t>
        </is>
      </c>
      <c r="I15" s="5" t="inlineStr">
        <is>
          <t>7 years</t>
        </is>
      </c>
      <c r="J15" s="5" t="inlineStr"/>
    </row>
    <row r="16">
      <c r="A16" s="5" t="inlineStr">
        <is>
          <t>EVD-CONS-008</t>
        </is>
      </c>
      <c r="B16" s="5" t="inlineStr">
        <is>
          <t>A.8.15.3 - Protection</t>
        </is>
      </c>
      <c r="C16" s="5" t="inlineStr">
        <is>
          <t>Integrity Controls</t>
        </is>
      </c>
      <c r="D16" s="5" t="inlineStr">
        <is>
          <t>Log integrity protection mechanisms</t>
        </is>
      </c>
      <c r="E16" s="5" t="inlineStr"/>
      <c r="F16" s="5" t="inlineStr"/>
      <c r="G16" s="5" t="inlineStr">
        <is>
          <t>Pending</t>
        </is>
      </c>
      <c r="H16" s="5" t="inlineStr">
        <is>
          <t>No</t>
        </is>
      </c>
      <c r="I16" s="5" t="inlineStr">
        <is>
          <t>7 years</t>
        </is>
      </c>
      <c r="J16" s="5" t="inlineStr"/>
    </row>
    <row r="17">
      <c r="A17" s="5" t="inlineStr">
        <is>
          <t>EVD-CONS-009</t>
        </is>
      </c>
      <c r="B17" s="5" t="inlineStr">
        <is>
          <t>A.8.15.3 - Protection</t>
        </is>
      </c>
      <c r="C17" s="5" t="inlineStr">
        <is>
          <t>Retention Schedule</t>
        </is>
      </c>
      <c r="D17" s="5" t="inlineStr">
        <is>
          <t>Log retention compliance by category</t>
        </is>
      </c>
      <c r="E17" s="5" t="inlineStr"/>
      <c r="F17" s="5" t="inlineStr"/>
      <c r="G17" s="5" t="inlineStr">
        <is>
          <t>Pending</t>
        </is>
      </c>
      <c r="H17" s="5" t="inlineStr">
        <is>
          <t>No</t>
        </is>
      </c>
      <c r="I17" s="5" t="inlineStr">
        <is>
          <t>7 years</t>
        </is>
      </c>
      <c r="J17" s="5" t="inlineStr"/>
    </row>
    <row r="18">
      <c r="A18" s="5" t="inlineStr">
        <is>
          <t>EVD-CONS-010</t>
        </is>
      </c>
      <c r="B18" s="5" t="inlineStr">
        <is>
          <t>A.8.15.4 - Analysis</t>
        </is>
      </c>
      <c r="C18" s="5" t="inlineStr">
        <is>
          <t>Review Schedule</t>
        </is>
      </c>
      <c r="D18" s="5" t="inlineStr">
        <is>
          <t>Log review procedures and schedule</t>
        </is>
      </c>
      <c r="E18" s="5" t="inlineStr"/>
      <c r="F18" s="5" t="inlineStr"/>
      <c r="G18" s="5" t="inlineStr">
        <is>
          <t>Pending</t>
        </is>
      </c>
      <c r="H18" s="5" t="inlineStr">
        <is>
          <t>No</t>
        </is>
      </c>
      <c r="I18" s="5" t="inlineStr">
        <is>
          <t>7 years</t>
        </is>
      </c>
      <c r="J18" s="5" t="inlineStr"/>
    </row>
    <row r="19">
      <c r="A19" s="5" t="inlineStr">
        <is>
          <t>EVD-CONS-011</t>
        </is>
      </c>
      <c r="B19" s="5" t="inlineStr">
        <is>
          <t>A.8.15.4 - Analysis</t>
        </is>
      </c>
      <c r="C19" s="5" t="inlineStr">
        <is>
          <t>Alert Configuration</t>
        </is>
      </c>
      <c r="D19" s="5" t="inlineStr">
        <is>
          <t>SIEM alert/correlation rules</t>
        </is>
      </c>
      <c r="E19" s="5" t="inlineStr"/>
      <c r="F19" s="5" t="inlineStr"/>
      <c r="G19" s="5" t="inlineStr">
        <is>
          <t>Pending</t>
        </is>
      </c>
      <c r="H19" s="5" t="inlineStr">
        <is>
          <t>No</t>
        </is>
      </c>
      <c r="I19" s="5" t="inlineStr">
        <is>
          <t>7 years</t>
        </is>
      </c>
      <c r="J19" s="5" t="inlineStr"/>
    </row>
    <row r="20">
      <c r="A20" s="5" t="inlineStr">
        <is>
          <t>EVD-CONS-012</t>
        </is>
      </c>
      <c r="B20" s="5" t="inlineStr">
        <is>
          <t>A.8.15.4 - Analysis</t>
        </is>
      </c>
      <c r="C20" s="5" t="inlineStr">
        <is>
          <t>SOC Metrics</t>
        </is>
      </c>
      <c r="D20" s="5" t="inlineStr">
        <is>
          <t>MTTD/MTTR performance metrics</t>
        </is>
      </c>
      <c r="E20" s="5" t="inlineStr"/>
      <c r="F20" s="5" t="inlineStr"/>
      <c r="G20" s="5" t="inlineStr">
        <is>
          <t>Pending</t>
        </is>
      </c>
      <c r="H20" s="5" t="inlineStr">
        <is>
          <t>No</t>
        </is>
      </c>
      <c r="I20" s="5" t="inlineStr">
        <is>
          <t>7 years</t>
        </is>
      </c>
      <c r="J20" s="5" t="inlineStr"/>
    </row>
    <row r="21">
      <c r="A21" s="5" t="inlineStr">
        <is>
          <t>EVD-CONS-013</t>
        </is>
      </c>
      <c r="B21" s="5" t="inlineStr">
        <is>
          <t>All Domains</t>
        </is>
      </c>
      <c r="C21" s="5" t="inlineStr">
        <is>
          <t>Gap Register</t>
        </is>
      </c>
      <c r="D21" s="5" t="inlineStr">
        <is>
          <t>Consolidated gap register</t>
        </is>
      </c>
      <c r="E21" s="5" t="inlineStr"/>
      <c r="F21" s="5" t="inlineStr"/>
      <c r="G21" s="5" t="inlineStr">
        <is>
          <t>Pending</t>
        </is>
      </c>
      <c r="H21" s="5" t="inlineStr">
        <is>
          <t>No</t>
        </is>
      </c>
      <c r="I21" s="5" t="inlineStr">
        <is>
          <t>7 years</t>
        </is>
      </c>
      <c r="J21" s="5" t="inlineStr"/>
    </row>
    <row r="22">
      <c r="A22" s="5" t="inlineStr">
        <is>
          <t>EVD-CONS-014</t>
        </is>
      </c>
      <c r="B22" s="5" t="inlineStr">
        <is>
          <t>All Domains</t>
        </is>
      </c>
      <c r="C22" s="5" t="inlineStr">
        <is>
          <t>Remediation Tracker</t>
        </is>
      </c>
      <c r="D22" s="5" t="inlineStr">
        <is>
          <t>Gap remediation tracking</t>
        </is>
      </c>
      <c r="E22" s="5" t="inlineStr"/>
      <c r="F22" s="5" t="inlineStr"/>
      <c r="G22" s="5" t="inlineStr">
        <is>
          <t>Pending</t>
        </is>
      </c>
      <c r="H22" s="5" t="inlineStr">
        <is>
          <t>No</t>
        </is>
      </c>
      <c r="I22" s="5" t="inlineStr">
        <is>
          <t>7 years</t>
        </is>
      </c>
      <c r="J22" s="5" t="inlineStr"/>
    </row>
    <row r="23">
      <c r="A23" s="5" t="inlineStr">
        <is>
          <t>EVD-CONS-015</t>
        </is>
      </c>
      <c r="B23" s="5" t="inlineStr">
        <is>
          <t>All Domains</t>
        </is>
      </c>
      <c r="C23" s="5" t="inlineStr">
        <is>
          <t>Approval Records</t>
        </is>
      </c>
      <c r="D23" s="5" t="inlineStr">
        <is>
          <t>Assessment sign-off records</t>
        </is>
      </c>
      <c r="E23" s="5" t="inlineStr"/>
      <c r="F23" s="5" t="inlineStr"/>
      <c r="G23" s="5" t="inlineStr">
        <is>
          <t>Pending</t>
        </is>
      </c>
      <c r="H23" s="5" t="inlineStr">
        <is>
          <t>No</t>
        </is>
      </c>
      <c r="I23" s="5" t="inlineStr">
        <is>
          <t>7 years</t>
        </is>
      </c>
      <c r="J23" s="5" t="inlineStr"/>
    </row>
    <row r="24">
      <c r="A24" s="5" t="inlineStr">
        <is>
          <t>EVD-CONS-016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inlineStr">
        <is>
          <t>EVD-CONS-017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inlineStr">
        <is>
          <t>EVD-CONS-018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inlineStr">
        <is>
          <t>EVD-CONS-019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inlineStr">
        <is>
          <t>EVD-CONS-020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inlineStr">
        <is>
          <t>EVD-CONS-021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inlineStr">
        <is>
          <t>EVD-CONS-022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inlineStr">
        <is>
          <t>EVD-CONS-023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inlineStr">
        <is>
          <t>EVD-CONS-024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inlineStr">
        <is>
          <t>EVD-CONS-025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inlineStr">
        <is>
          <t>EVD-CONS-026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inlineStr">
        <is>
          <t>EVD-CONS-027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inlineStr">
        <is>
          <t>EVD-CONS-028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inlineStr">
        <is>
          <t>EVD-CONS-029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inlineStr">
        <is>
          <t>EVD-CONS-030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inlineStr">
        <is>
          <t>EVD-CONS-031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inlineStr">
        <is>
          <t>EVD-CONS-032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inlineStr">
        <is>
          <t>EVD-CONS-033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inlineStr">
        <is>
          <t>EVD-CONS-034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inlineStr">
        <is>
          <t>EVD-CONS-035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inlineStr">
        <is>
          <t>EVD-CONS-036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inlineStr">
        <is>
          <t>EVD-CONS-037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inlineStr">
        <is>
          <t>EVD-CONS-038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inlineStr">
        <is>
          <t>EVD-CONS-039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inlineStr">
        <is>
          <t>EVD-CONS-040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inlineStr">
        <is>
          <t>EVD-CONS-041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inlineStr">
        <is>
          <t>EVD-CONS-042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inlineStr">
        <is>
          <t>EVD-CONS-043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</sheetData>
  <mergeCells count="2">
    <mergeCell ref="A1:J1"/>
    <mergeCell ref="A2:J2"/>
  </mergeCells>
  <dataValidations count="3">
    <dataValidation sqref="G9:G60" showDropDown="0" showInputMessage="0" showErrorMessage="0" allowBlank="1" type="list">
      <formula1>"Pending,Collected,Verified,Expired,N/A"</formula1>
    </dataValidation>
    <dataValidation sqref="H9:H60" showDropDown="0" showInputMessage="0" showErrorMessage="0" allowBlank="1" type="list">
      <formula1>"Yes,No,Partial"</formula1>
    </dataValidation>
    <dataValidation sqref="B9:B60" showDropDown="0" showInputMessage="0" showErrorMessage="0" allowBlank="1" type="list">
      <formula1>"A.8.15.1 - Inventory,A.8.15.2 - Collection,A.8.15.3 - Protection,A.8.15.4 - Analysis,All Domains"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MANAGEMENT REPORT</t>
        </is>
      </c>
    </row>
    <row r="2" ht="25" customHeight="1">
      <c r="A2" s="2" t="inlineStr">
        <is>
          <t>Logging Compliance - Executive Summary Report</t>
        </is>
      </c>
    </row>
    <row r="4">
      <c r="A4" s="2" t="inlineStr">
        <is>
          <t>EXECUTIVE SUMMARY</t>
        </is>
      </c>
    </row>
    <row r="6">
      <c r="A6" s="28" t="inlineStr">
        <is>
          <t>Period:</t>
        </is>
      </c>
      <c r="B6" s="5" t="inlineStr">
        <is>
          <t>[Q1 2026]</t>
        </is>
      </c>
    </row>
    <row r="7">
      <c r="A7" s="28" t="inlineStr">
        <is>
          <t>Overall Status:</t>
        </is>
      </c>
      <c r="B7" s="5" t="inlineStr">
        <is>
          <t>[Green / Yellow / Red]</t>
        </is>
      </c>
    </row>
    <row r="9">
      <c r="A9" s="29" t="inlineStr">
        <is>
          <t>Key Achievements This Period:</t>
        </is>
      </c>
    </row>
    <row r="10" ht="80" customHeight="1">
      <c r="A10" s="5" t="inlineStr">
        <is>
          <t xml:space="preserve">[Bullet points of key achievements]
• 
• 
• </t>
        </is>
      </c>
    </row>
    <row r="11"/>
    <row r="12"/>
    <row r="13"/>
    <row r="14"/>
    <row r="15"/>
    <row r="16">
      <c r="A16" s="30" t="inlineStr">
        <is>
          <t>Critical Issues Requiring Attention:</t>
        </is>
      </c>
    </row>
    <row r="17" ht="80" customHeight="1">
      <c r="A17" s="5" t="inlineStr">
        <is>
          <t xml:space="preserve">[Critical issues and risks]
• 
• 
• </t>
        </is>
      </c>
    </row>
    <row r="18"/>
    <row r="19"/>
    <row r="20"/>
    <row r="21"/>
    <row r="22"/>
    <row r="23">
      <c r="A23" s="29" t="inlineStr">
        <is>
          <t>Resource Requirements:</t>
        </is>
      </c>
    </row>
    <row r="24" ht="60" customHeight="1">
      <c r="A24" s="5" t="inlineStr">
        <is>
          <t xml:space="preserve">[Budget, personnel, tools needed]
</t>
        </is>
      </c>
    </row>
    <row r="25"/>
    <row r="26"/>
    <row r="27"/>
    <row r="28">
      <c r="A28" s="29" t="inlineStr">
        <is>
          <t>Recommended Management Actions:</t>
        </is>
      </c>
    </row>
    <row r="29" ht="80" customHeight="1">
      <c r="A29" s="5" t="inlineStr">
        <is>
          <t xml:space="preserve">[Specific actions for management]
1. 
2. 
3. </t>
        </is>
      </c>
    </row>
    <row r="30"/>
    <row r="31"/>
    <row r="32"/>
    <row r="33"/>
    <row r="34"/>
    <row r="39">
      <c r="A39" s="31" t="inlineStr">
        <is>
          <t>NOTE: Populate this report template with data from Compliance Overview and Gap Register sheets. Print or export as PDF for management presentation.</t>
        </is>
      </c>
    </row>
  </sheetData>
  <mergeCells count="12">
    <mergeCell ref="A9:H9"/>
    <mergeCell ref="A4:H4"/>
    <mergeCell ref="A39:H39"/>
    <mergeCell ref="A29:H34"/>
    <mergeCell ref="A2:H2"/>
    <mergeCell ref="A16:H16"/>
    <mergeCell ref="A10:H15"/>
    <mergeCell ref="A28:H28"/>
    <mergeCell ref="A24:H27"/>
    <mergeCell ref="A1:H1"/>
    <mergeCell ref="A23:H23"/>
    <mergeCell ref="A17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2" t="inlineStr">
        <is>
          <t>Dashboard Review and Approval</t>
        </is>
      </c>
    </row>
    <row r="4">
      <c r="A4" s="2" t="inlineStr">
        <is>
          <t>APPROVAL WORKFLOW</t>
        </is>
      </c>
    </row>
    <row r="6">
      <c r="A6" s="15" t="inlineStr">
        <is>
          <t>Role</t>
        </is>
      </c>
      <c r="B6" s="15" t="inlineStr">
        <is>
          <t>Name</t>
        </is>
      </c>
      <c r="C6" s="15" t="inlineStr">
        <is>
          <t>Date</t>
        </is>
      </c>
      <c r="D6" s="15" t="inlineStr">
        <is>
          <t>Signature</t>
        </is>
      </c>
      <c r="E6" s="15" t="inlineStr">
        <is>
          <t>Status</t>
        </is>
      </c>
    </row>
    <row r="7">
      <c r="A7" s="3" t="inlineStr">
        <is>
          <t>Dashboard Prepared By</t>
        </is>
      </c>
      <c r="B7" s="5" t="inlineStr">
        <is>
          <t>[Name]</t>
        </is>
      </c>
      <c r="C7" s="25" t="inlineStr"/>
      <c r="D7" s="5" t="inlineStr">
        <is>
          <t>_____</t>
        </is>
      </c>
      <c r="E7" s="32" t="inlineStr">
        <is>
          <t>☐ Completed</t>
        </is>
      </c>
    </row>
    <row r="8">
      <c r="A8" s="3" t="inlineStr">
        <is>
          <t>SOC Manager</t>
        </is>
      </c>
      <c r="B8" s="5" t="inlineStr">
        <is>
          <t>[Name]</t>
        </is>
      </c>
      <c r="C8" s="25" t="inlineStr"/>
      <c r="D8" s="5" t="inlineStr">
        <is>
          <t>_____</t>
        </is>
      </c>
      <c r="E8" s="32" t="inlineStr">
        <is>
          <t>☐ Reviewed</t>
        </is>
      </c>
    </row>
    <row r="9">
      <c r="A9" s="3" t="inlineStr">
        <is>
          <t>CISO</t>
        </is>
      </c>
      <c r="B9" s="5" t="inlineStr">
        <is>
          <t>[Name]</t>
        </is>
      </c>
      <c r="C9" s="25" t="inlineStr"/>
      <c r="D9" s="5" t="inlineStr">
        <is>
          <t>_____</t>
        </is>
      </c>
      <c r="E9" s="32" t="inlineStr">
        <is>
          <t>☐ Reviewed</t>
        </is>
      </c>
    </row>
    <row r="10">
      <c r="A10" s="3" t="inlineStr">
        <is>
          <t>Executive Management</t>
        </is>
      </c>
      <c r="B10" s="5" t="inlineStr">
        <is>
          <t>[Name]</t>
        </is>
      </c>
      <c r="C10" s="25" t="inlineStr"/>
      <c r="D10" s="5" t="inlineStr">
        <is>
          <t>_____</t>
        </is>
      </c>
      <c r="E10" s="32" t="inlineStr">
        <is>
          <t>☐ Acknowledged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2026-02-08T10:49:46Z</dcterms:created>
  <dcterms:modified xmlns:dcterms="http://purl.org/dc/terms/" xmlns:xsi="http://www.w3.org/2001/XMLSchema-instance" xsi:type="dcterms:W3CDTF">2026-02-08T10:49:46Z</dcterms:modified>
</cp:coreProperties>
</file>