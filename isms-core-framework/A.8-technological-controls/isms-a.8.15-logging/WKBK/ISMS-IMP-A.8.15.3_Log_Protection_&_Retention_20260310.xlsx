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ccess Control Assessment" sheetId="2" state="visible" r:id="rId2"/>
    <sheet xmlns:r="http://schemas.openxmlformats.org/officeDocument/2006/relationships" name="Integrity Protection" sheetId="3" state="visible" r:id="rId3"/>
    <sheet xmlns:r="http://schemas.openxmlformats.org/officeDocument/2006/relationships" name="Secure Transmission" sheetId="4" state="visible" r:id="rId4"/>
    <sheet xmlns:r="http://schemas.openxmlformats.org/officeDocument/2006/relationships" name="Retention Period Compliance" sheetId="5" state="visible" r:id="rId5"/>
    <sheet xmlns:r="http://schemas.openxmlformats.org/officeDocument/2006/relationships" name="Storage Tier Implementation" sheetId="6" state="visible" r:id="rId6"/>
    <sheet xmlns:r="http://schemas.openxmlformats.org/officeDocument/2006/relationships" name="Log Backup &amp; Recovery" sheetId="7" state="visible" r:id="rId7"/>
    <sheet xmlns:r="http://schemas.openxmlformats.org/officeDocument/2006/relationships" name="Disposal Procedures" sheetId="8" state="visible" r:id="rId8"/>
    <sheet xmlns:r="http://schemas.openxmlformats.org/officeDocument/2006/relationships" name="Separation of Duties" sheetId="9" state="visible" r:id="rId9"/>
    <sheet xmlns:r="http://schemas.openxmlformats.org/officeDocument/2006/relationships" name="Legal Hold Management" sheetId="10" state="visible" r:id="rId10"/>
    <sheet xmlns:r="http://schemas.openxmlformats.org/officeDocument/2006/relationships" name="Privacy Impact Assessment" sheetId="11" state="visible" r:id="rId11"/>
    <sheet xmlns:r="http://schemas.openxmlformats.org/officeDocument/2006/relationships" name="Gap Analysis" sheetId="12" state="visible" r:id="rId12"/>
    <sheet xmlns:r="http://schemas.openxmlformats.org/officeDocument/2006/relationships" name="Evidence Register" sheetId="13" state="visible" r:id="rId13"/>
    <sheet xmlns:r="http://schemas.openxmlformats.org/officeDocument/2006/relationships" name="Summary Dashboard" sheetId="14" state="visible" r:id="rId14"/>
    <sheet xmlns:r="http://schemas.openxmlformats.org/officeDocument/2006/relationships" name="Approval Sign-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color rgb="00000000"/>
      <sz val="10"/>
    </font>
    <font>
      <name val="Calibri"/>
      <sz val="10"/>
    </font>
    <font>
      <name val="Calibri"/>
      <i val="1"/>
      <color rgb="00003366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164" fontId="0" fillId="11" borderId="1" applyAlignment="1" pivotButton="0" quotePrefix="0" xfId="0">
      <alignment horizontal="left" vertical="top" wrapText="1"/>
    </xf>
    <xf numFmtId="165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1" borderId="1" pivotButton="0" quotePrefix="0" xfId="0"/>
    <xf numFmtId="164" fontId="0" fillId="11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165" fontId="12" fillId="0" borderId="1" pivotButton="0" quotePrefix="0" xfId="0"/>
    <xf numFmtId="0" fontId="4" fillId="9" borderId="1" pivotButton="0" quotePrefix="0" xfId="0"/>
    <xf numFmtId="165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5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ISMS-IMP-A.8.15.3  -  Log Protection &amp; Retention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ISMS-IMP-A.8.15.3</t>
        </is>
      </c>
    </row>
    <row r="5">
      <c r="A5" s="3" t="inlineStr">
        <is>
          <t>Workbook Title</t>
        </is>
      </c>
      <c r="B5" t="inlineStr">
        <is>
          <t>Log Protection &amp; Retention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in sequence.</t>
        </is>
      </c>
    </row>
    <row r="14">
      <c r="A14" t="inlineStr">
        <is>
          <t>2. Use dropdown menus where provided — do not type directly.</t>
        </is>
      </c>
    </row>
    <row r="15">
      <c r="A15" t="inlineStr">
        <is>
          <t>3. Fill all yellow-highlighted cells with your organisation’s information.</t>
        </is>
      </c>
    </row>
    <row r="16">
      <c r="A16" t="inlineStr">
        <is>
          <t>4. Assess log protection controls for each system and storage tier.</t>
        </is>
      </c>
    </row>
    <row r="17">
      <c r="A17" t="inlineStr">
        <is>
          <t>5. Review access controls, integrity mechanisms, and retention policies.</t>
        </is>
      </c>
    </row>
    <row r="18">
      <c r="A18" t="inlineStr">
        <is>
          <t>6. Identify gaps and document remediation actions with timelines.</t>
        </is>
      </c>
    </row>
    <row r="19">
      <c r="A19" t="inlineStr">
        <is>
          <t>7. Collect evidence and record in the Evidence Register.</t>
        </is>
      </c>
    </row>
    <row r="20">
      <c r="A20" t="inlineStr">
        <is>
          <t>8. Obtain stakeholder approvals in the Approval &amp;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40" customWidth="1" min="13" max="13"/>
    <col width="15" customWidth="1" min="14" max="14"/>
    <col width="18" customWidth="1" min="15" max="15"/>
    <col width="40" customWidth="1" min="16" max="16"/>
  </cols>
  <sheetData>
    <row r="1" ht="35" customHeight="1">
      <c r="A1" s="11" t="inlineStr">
        <is>
          <t>ACCESS CONTROL ASSESSMENT</t>
        </is>
      </c>
    </row>
    <row r="2">
      <c r="A2" s="12" t="inlineStr">
        <is>
          <t>Assess log access controls per ISMS-POL-A.8.15-S2.2.2</t>
        </is>
      </c>
    </row>
    <row r="4">
      <c r="A4" s="13" t="inlineStr">
        <is>
          <t>Log Source / SIEM Component</t>
        </is>
      </c>
      <c r="B4" s="13" t="inlineStr">
        <is>
          <t>Access Control Type</t>
        </is>
      </c>
      <c r="C4" s="13" t="inlineStr">
        <is>
          <t>Authentication Required</t>
        </is>
      </c>
      <c r="D4" s="13" t="inlineStr">
        <is>
          <t>Authorisation Model</t>
        </is>
      </c>
      <c r="E4" s="13" t="inlineStr">
        <is>
          <t>Read Access Controlled</t>
        </is>
      </c>
      <c r="F4" s="13" t="inlineStr">
        <is>
          <t>Write Access Prevented</t>
        </is>
      </c>
      <c r="G4" s="13" t="inlineStr">
        <is>
          <t>Delete Access Controlled</t>
        </is>
      </c>
      <c r="H4" s="13" t="inlineStr">
        <is>
          <t>Admin Separation</t>
        </is>
      </c>
      <c r="I4" s="13" t="inlineStr">
        <is>
          <t>Access Logged (Meta)</t>
        </is>
      </c>
      <c r="J4" s="13" t="inlineStr">
        <is>
          <t>MFA Required for Admin</t>
        </is>
      </c>
      <c r="K4" s="13" t="inlineStr">
        <is>
          <t>Last Access Review</t>
        </is>
      </c>
      <c r="L4" s="13" t="inlineStr">
        <is>
          <t>Review Frequency</t>
        </is>
      </c>
      <c r="M4" s="13" t="inlineStr">
        <is>
          <t>Non-Compliance Issues</t>
        </is>
      </c>
      <c r="N4" s="13" t="inlineStr">
        <is>
          <t>Compliance Score</t>
        </is>
      </c>
      <c r="O4" s="13" t="inlineStr">
        <is>
          <t>Remediation Required</t>
        </is>
      </c>
      <c r="P4" s="13" t="inlineStr">
        <is>
          <t>Notes</t>
        </is>
      </c>
    </row>
    <row r="5">
      <c r="A5" s="14" t="inlineStr">
        <is>
          <t>SIEM Core</t>
        </is>
      </c>
      <c r="B5" s="14" t="inlineStr">
        <is>
          <t>RBAC</t>
        </is>
      </c>
      <c r="C5" s="14" t="inlineStr">
        <is>
          <t>Yes</t>
        </is>
      </c>
      <c r="D5" s="14" t="inlineStr">
        <is>
          <t>Role-Based</t>
        </is>
      </c>
      <c r="E5" s="14" t="inlineStr">
        <is>
          <t>Yes</t>
        </is>
      </c>
      <c r="F5" s="14" t="inlineStr">
        <is>
          <t>Yes (read-only)</t>
        </is>
      </c>
      <c r="G5" s="14" t="inlineStr">
        <is>
          <t>Yes (restricted)</t>
        </is>
      </c>
      <c r="H5" s="14" t="inlineStr">
        <is>
          <t>Yes (separated)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15.12.2025</t>
        </is>
      </c>
      <c r="L5" s="14" t="inlineStr">
        <is>
          <t>Quarterly</t>
        </is>
      </c>
      <c r="M5" s="14" t="inlineStr">
        <is>
          <t>None</t>
        </is>
      </c>
      <c r="N5" s="14" t="inlineStr">
        <is>
          <t>100%</t>
        </is>
      </c>
      <c r="O5" s="14" t="inlineStr">
        <is>
          <t>No</t>
        </is>
      </c>
      <c r="P5" s="14" t="inlineStr">
        <is>
          <t>Full compliance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 t="n"/>
      <c r="L6" s="15" t="n"/>
      <c r="M6" s="15" t="n"/>
      <c r="N6" s="17">
        <f>IF(A6="","",(COUNTIF(C6:J6,"*Yes*")+COUNTIF(C6:J6,"Yes*"))/8)</f>
        <v/>
      </c>
      <c r="O6" s="15" t="n"/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5" t="n"/>
      <c r="M7" s="15" t="n"/>
      <c r="N7" s="17">
        <f>IF(A7="","",(COUNTIF(C7:J7,"*Yes*")+COUNTIF(C7:J7,"Yes*"))/8)</f>
        <v/>
      </c>
      <c r="O7" s="15" t="n"/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 t="n"/>
      <c r="L8" s="15" t="n"/>
      <c r="M8" s="15" t="n"/>
      <c r="N8" s="17">
        <f>IF(A8="","",(COUNTIF(C8:J8,"*Yes*")+COUNTIF(C8:J8,"Yes*"))/8)</f>
        <v/>
      </c>
      <c r="O8" s="15" t="n"/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5" t="n"/>
      <c r="M9" s="15" t="n"/>
      <c r="N9" s="17">
        <f>IF(A9="","",(COUNTIF(C9:J9,"*Yes*")+COUNTIF(C9:J9,"Yes*"))/8)</f>
        <v/>
      </c>
      <c r="O9" s="15" t="n"/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7">
        <f>IF(A10="","",(COUNTIF(C10:J10,"*Yes*")+COUNTIF(C10:J10,"Yes*"))/8)</f>
        <v/>
      </c>
      <c r="O10" s="15" t="n"/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5" t="n"/>
      <c r="M11" s="15" t="n"/>
      <c r="N11" s="17">
        <f>IF(A11="","",(COUNTIF(C11:J11,"*Yes*")+COUNTIF(C11:J11,"Yes*"))/8)</f>
        <v/>
      </c>
      <c r="O11" s="15" t="n"/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 t="n"/>
      <c r="L12" s="15" t="n"/>
      <c r="M12" s="15" t="n"/>
      <c r="N12" s="17">
        <f>IF(A12="","",(COUNTIF(C12:J12,"*Yes*")+COUNTIF(C12:J12,"Yes*"))/8)</f>
        <v/>
      </c>
      <c r="O12" s="15" t="n"/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5" t="n"/>
      <c r="M13" s="15" t="n"/>
      <c r="N13" s="17">
        <f>IF(A13="","",(COUNTIF(C13:J13,"*Yes*")+COUNTIF(C13:J13,"Yes*"))/8)</f>
        <v/>
      </c>
      <c r="O13" s="15" t="n"/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  <c r="L14" s="15" t="n"/>
      <c r="M14" s="15" t="n"/>
      <c r="N14" s="17">
        <f>IF(A14="","",(COUNTIF(C14:J14,"*Yes*")+COUNTIF(C14:J14,"Yes*"))/8)</f>
        <v/>
      </c>
      <c r="O14" s="15" t="n"/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5" t="n"/>
      <c r="M15" s="15" t="n"/>
      <c r="N15" s="17">
        <f>IF(A15="","",(COUNTIF(C15:J15,"*Yes*")+COUNTIF(C15:J15,"Yes*"))/8)</f>
        <v/>
      </c>
      <c r="O15" s="15" t="n"/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  <c r="L16" s="15" t="n"/>
      <c r="M16" s="15" t="n"/>
      <c r="N16" s="17">
        <f>IF(A16="","",(COUNTIF(C16:J16,"*Yes*")+COUNTIF(C16:J16,"Yes*"))/8)</f>
        <v/>
      </c>
      <c r="O16" s="15" t="n"/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5" t="n"/>
      <c r="M17" s="15" t="n"/>
      <c r="N17" s="17">
        <f>IF(A17="","",(COUNTIF(C17:J17,"*Yes*")+COUNTIF(C17:J17,"Yes*"))/8)</f>
        <v/>
      </c>
      <c r="O17" s="15" t="n"/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  <c r="L18" s="15" t="n"/>
      <c r="M18" s="15" t="n"/>
      <c r="N18" s="17">
        <f>IF(A18="","",(COUNTIF(C18:J18,"*Yes*")+COUNTIF(C18:J18,"Yes*"))/8)</f>
        <v/>
      </c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5" t="n"/>
      <c r="M19" s="15" t="n"/>
      <c r="N19" s="17">
        <f>IF(A19="","",(COUNTIF(C19:J19,"*Yes*")+COUNTIF(C19:J19,"Yes*"))/8)</f>
        <v/>
      </c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 t="n"/>
      <c r="L20" s="15" t="n"/>
      <c r="M20" s="15" t="n"/>
      <c r="N20" s="17">
        <f>IF(A20="","",(COUNTIF(C20:J20,"*Yes*")+COUNTIF(C20:J20,"Yes*"))/8)</f>
        <v/>
      </c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5" t="n"/>
      <c r="M21" s="15" t="n"/>
      <c r="N21" s="17">
        <f>IF(A21="","",(COUNTIF(C21:J21,"*Yes*")+COUNTIF(C21:J21,"Yes*"))/8)</f>
        <v/>
      </c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15" t="n"/>
      <c r="M22" s="15" t="n"/>
      <c r="N22" s="17">
        <f>IF(A22="","",(COUNTIF(C22:J22,"*Yes*")+COUNTIF(C22:J22,"Yes*"))/8)</f>
        <v/>
      </c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5" t="n"/>
      <c r="M23" s="15" t="n"/>
      <c r="N23" s="17">
        <f>IF(A23="","",(COUNTIF(C23:J23,"*Yes*")+COUNTIF(C23:J23,"Yes*"))/8)</f>
        <v/>
      </c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 t="n"/>
      <c r="L24" s="15" t="n"/>
      <c r="M24" s="15" t="n"/>
      <c r="N24" s="17">
        <f>IF(A24="","",(COUNTIF(C24:J24,"*Yes*")+COUNTIF(C24:J24,"Yes*"))/8)</f>
        <v/>
      </c>
      <c r="O24" s="15" t="n"/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5" t="n"/>
      <c r="M25" s="15" t="n"/>
      <c r="N25" s="17">
        <f>IF(A25="","",(COUNTIF(C25:J25,"*Yes*")+COUNTIF(C25:J25,"Yes*"))/8)</f>
        <v/>
      </c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  <c r="L26" s="15" t="n"/>
      <c r="M26" s="15" t="n"/>
      <c r="N26" s="17">
        <f>IF(A26="","",(COUNTIF(C26:J26,"*Yes*")+COUNTIF(C26:J26,"Yes*"))/8)</f>
        <v/>
      </c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5" t="n"/>
      <c r="M27" s="15" t="n"/>
      <c r="N27" s="17">
        <f>IF(A27="","",(COUNTIF(C27:J27,"*Yes*")+COUNTIF(C27:J27,"Yes*"))/8)</f>
        <v/>
      </c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/>
      <c r="L28" s="15" t="n"/>
      <c r="M28" s="15" t="n"/>
      <c r="N28" s="17">
        <f>IF(A28="","",(COUNTIF(C28:J28,"*Yes*")+COUNTIF(C28:J28,"Yes*"))/8)</f>
        <v/>
      </c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5" t="n"/>
      <c r="M29" s="15" t="n"/>
      <c r="N29" s="17">
        <f>IF(A29="","",(COUNTIF(C29:J29,"*Yes*")+COUNTIF(C29:J29,"Yes*"))/8)</f>
        <v/>
      </c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 t="n"/>
      <c r="L30" s="15" t="n"/>
      <c r="M30" s="15" t="n"/>
      <c r="N30" s="17">
        <f>IF(A30="","",(COUNTIF(C30:J30,"*Yes*")+COUNTIF(C30:J30,"Yes*"))/8)</f>
        <v/>
      </c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5" t="n"/>
      <c r="M31" s="15" t="n"/>
      <c r="N31" s="17">
        <f>IF(A31="","",(COUNTIF(C31:J31,"*Yes*")+COUNTIF(C31:J31,"Yes*"))/8)</f>
        <v/>
      </c>
      <c r="O31" s="15" t="n"/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  <c r="L32" s="15" t="n"/>
      <c r="M32" s="15" t="n"/>
      <c r="N32" s="17">
        <f>IF(A32="","",(COUNTIF(C32:J32,"*Yes*")+COUNTIF(C32:J32,"Yes*"))/8)</f>
        <v/>
      </c>
      <c r="O32" s="15" t="n"/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5" t="n"/>
      <c r="M33" s="15" t="n"/>
      <c r="N33" s="17">
        <f>IF(A33="","",(COUNTIF(C33:J33,"*Yes*")+COUNTIF(C33:J33,"Yes*"))/8)</f>
        <v/>
      </c>
      <c r="O33" s="15" t="n"/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  <c r="L34" s="15" t="n"/>
      <c r="M34" s="15" t="n"/>
      <c r="N34" s="17">
        <f>IF(A34="","",(COUNTIF(C34:J34,"*Yes*")+COUNTIF(C34:J34,"Yes*"))/8)</f>
        <v/>
      </c>
      <c r="O34" s="15" t="n"/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5" t="n"/>
      <c r="M35" s="15" t="n"/>
      <c r="N35" s="17">
        <f>IF(A35="","",(COUNTIF(C35:J35,"*Yes*")+COUNTIF(C35:J35,"Yes*"))/8)</f>
        <v/>
      </c>
      <c r="O35" s="15" t="n"/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 t="n"/>
      <c r="L36" s="15" t="n"/>
      <c r="M36" s="15" t="n"/>
      <c r="N36" s="17">
        <f>IF(A36="","",(COUNTIF(C36:J36,"*Yes*")+COUNTIF(C36:J36,"Yes*"))/8)</f>
        <v/>
      </c>
      <c r="O36" s="15" t="n"/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5" t="n"/>
      <c r="M37" s="15" t="n"/>
      <c r="N37" s="17">
        <f>IF(A37="","",(COUNTIF(C37:J37,"*Yes*")+COUNTIF(C37:J37,"Yes*"))/8)</f>
        <v/>
      </c>
      <c r="O37" s="15" t="n"/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  <c r="L38" s="15" t="n"/>
      <c r="M38" s="15" t="n"/>
      <c r="N38" s="17">
        <f>IF(A38="","",(COUNTIF(C38:J38,"*Yes*")+COUNTIF(C38:J38,"Yes*"))/8)</f>
        <v/>
      </c>
      <c r="O38" s="15" t="n"/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5" t="n"/>
      <c r="M39" s="15" t="n"/>
      <c r="N39" s="17">
        <f>IF(A39="","",(COUNTIF(C39:J39,"*Yes*")+COUNTIF(C39:J39,"Yes*"))/8)</f>
        <v/>
      </c>
      <c r="O39" s="15" t="n"/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 t="n"/>
      <c r="L40" s="15" t="n"/>
      <c r="M40" s="15" t="n"/>
      <c r="N40" s="17">
        <f>IF(A40="","",(COUNTIF(C40:J40,"*Yes*")+COUNTIF(C40:J40,"Yes*"))/8)</f>
        <v/>
      </c>
      <c r="O40" s="15" t="n"/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5" t="n"/>
      <c r="M41" s="15" t="n"/>
      <c r="N41" s="17">
        <f>IF(A41="","",(COUNTIF(C41:J41,"*Yes*")+COUNTIF(C41:J41,"Yes*"))/8)</f>
        <v/>
      </c>
      <c r="O41" s="15" t="n"/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 t="n"/>
      <c r="L42" s="15" t="n"/>
      <c r="M42" s="15" t="n"/>
      <c r="N42" s="17">
        <f>IF(A42="","",(COUNTIF(C42:J42,"*Yes*")+COUNTIF(C42:J42,"Yes*"))/8)</f>
        <v/>
      </c>
      <c r="O42" s="15" t="n"/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5" t="n"/>
      <c r="M43" s="15" t="n"/>
      <c r="N43" s="17">
        <f>IF(A43="","",(COUNTIF(C43:J43,"*Yes*")+COUNTIF(C43:J43,"Yes*"))/8)</f>
        <v/>
      </c>
      <c r="O43" s="15" t="n"/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 t="n"/>
      <c r="L44" s="15" t="n"/>
      <c r="M44" s="15" t="n"/>
      <c r="N44" s="17">
        <f>IF(A44="","",(COUNTIF(C44:J44,"*Yes*")+COUNTIF(C44:J44,"Yes*"))/8)</f>
        <v/>
      </c>
      <c r="O44" s="15" t="n"/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7">
        <f>IF(A45="","",(COUNTIF(C45:J45,"*Yes*")+COUNTIF(C45:J45,"Yes*"))/8)</f>
        <v/>
      </c>
      <c r="O45" s="15" t="n"/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  <c r="L46" s="15" t="n"/>
      <c r="M46" s="15" t="n"/>
      <c r="N46" s="17">
        <f>IF(A46="","",(COUNTIF(C46:J46,"*Yes*")+COUNTIF(C46:J46,"Yes*"))/8)</f>
        <v/>
      </c>
      <c r="O46" s="15" t="n"/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5" t="n"/>
      <c r="M47" s="15" t="n"/>
      <c r="N47" s="17">
        <f>IF(A47="","",(COUNTIF(C47:J47,"*Yes*")+COUNTIF(C47:J47,"Yes*"))/8)</f>
        <v/>
      </c>
      <c r="O47" s="15" t="n"/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 t="n"/>
      <c r="L48" s="15" t="n"/>
      <c r="M48" s="15" t="n"/>
      <c r="N48" s="17">
        <f>IF(A48="","",(COUNTIF(C48:J48,"*Yes*")+COUNTIF(C48:J48,"Yes*"))/8)</f>
        <v/>
      </c>
      <c r="O48" s="15" t="n"/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5" t="n"/>
      <c r="M49" s="15" t="n"/>
      <c r="N49" s="17">
        <f>IF(A49="","",(COUNTIF(C49:J49,"*Yes*")+COUNTIF(C49:J49,"Yes*"))/8)</f>
        <v/>
      </c>
      <c r="O49" s="15" t="n"/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 t="n"/>
      <c r="L50" s="15" t="n"/>
      <c r="M50" s="15" t="n"/>
      <c r="N50" s="17">
        <f>IF(A50="","",(COUNTIF(C50:J50,"*Yes*")+COUNTIF(C50:J50,"Yes*"))/8)</f>
        <v/>
      </c>
      <c r="O50" s="15" t="n"/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5" t="n"/>
      <c r="M51" s="15" t="n"/>
      <c r="N51" s="17">
        <f>IF(A51="","",(COUNTIF(C51:J51,"*Yes*")+COUNTIF(C51:J51,"Yes*"))/8)</f>
        <v/>
      </c>
      <c r="O51" s="15" t="n"/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 t="n"/>
      <c r="L52" s="15" t="n"/>
      <c r="M52" s="15" t="n"/>
      <c r="N52" s="17">
        <f>IF(A52="","",(COUNTIF(C52:J52,"*Yes*")+COUNTIF(C52:J52,"Yes*"))/8)</f>
        <v/>
      </c>
      <c r="O52" s="15" t="n"/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5" t="n"/>
      <c r="M53" s="15" t="n"/>
      <c r="N53" s="17">
        <f>IF(A53="","",(COUNTIF(C53:J53,"*Yes*")+COUNTIF(C53:J53,"Yes*"))/8)</f>
        <v/>
      </c>
      <c r="O53" s="15" t="n"/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 t="n"/>
      <c r="L54" s="15" t="n"/>
      <c r="M54" s="15" t="n"/>
      <c r="N54" s="17">
        <f>IF(A54="","",(COUNTIF(C54:J54,"*Yes*")+COUNTIF(C54:J54,"Yes*"))/8)</f>
        <v/>
      </c>
      <c r="O54" s="15" t="n"/>
      <c r="P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5" t="n"/>
      <c r="M55" s="15" t="n"/>
      <c r="N55" s="17">
        <f>IF(A55="","",(COUNTIF(C55:J55,"*Yes*")+COUNTIF(C55:J55,"Yes*"))/8)</f>
        <v/>
      </c>
      <c r="O55" s="15" t="n"/>
      <c r="P55" s="15" t="n"/>
    </row>
  </sheetData>
  <mergeCells count="2">
    <mergeCell ref="A1:P1"/>
    <mergeCell ref="A2:P2"/>
  </mergeCells>
  <conditionalFormatting sqref="N6:N55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10">
    <dataValidation sqref="B6:B55" showDropDown="0" showInputMessage="0" showErrorMessage="0" allowBlank="1" type="list">
      <formula1>"RBAC,ACL,None,Other"</formula1>
    </dataValidation>
    <dataValidation sqref="C6:C55 O6:O55" showDropDown="0" showInputMessage="0" showErrorMessage="0" allowBlank="1" type="list">
      <formula1>"Yes,No"</formula1>
    </dataValidation>
    <dataValidation sqref="D6:D55" showDropDown="0" showInputMessage="0" showErrorMessage="0" allowBlank="1" type="list">
      <formula1>"Role-Based,User-Based,Group-Based,None"</formula1>
    </dataValidation>
    <dataValidation sqref="E6:E55" showDropDown="0" showInputMessage="0" showErrorMessage="0" allowBlank="1" type="list">
      <formula1>"Yes,No,Partial"</formula1>
    </dataValidation>
    <dataValidation sqref="F6:F55" showDropDown="0" showInputMessage="0" showErrorMessage="0" allowBlank="1" type="list">
      <formula1>"Yes (read-only),No,Partial"</formula1>
    </dataValidation>
    <dataValidation sqref="G6:G55" showDropDown="0" showInputMessage="0" showErrorMessage="0" allowBlank="1" type="list">
      <formula1>"Yes (restricted),No"</formula1>
    </dataValidation>
    <dataValidation sqref="H6:H55" showDropDown="0" showInputMessage="0" showErrorMessage="0" allowBlank="1" type="list">
      <formula1>"Yes (separated),No,N/A"</formula1>
    </dataValidation>
    <dataValidation sqref="I6:I55" showDropDown="0" showInputMessage="0" showErrorMessage="0" allowBlank="1" type="list">
      <formula1>"Yes,No"</formula1>
    </dataValidation>
    <dataValidation sqref="J6:J55" showDropDown="0" showInputMessage="0" showErrorMessage="0" allowBlank="1" type="list">
      <formula1>"✅ Yes,❌ No,➖ N/A"</formula1>
    </dataValidation>
    <dataValidation sqref="L6:L55" showDropDown="0" showInputMessage="0" showErrorMessage="0" allowBlank="1" type="list">
      <formula1>"Quarterly,Semi-annual,Annual,None"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5" customWidth="1" min="4" max="4"/>
    <col width="20" customWidth="1" min="5" max="5"/>
    <col width="18" customWidth="1" min="6" max="6"/>
    <col width="25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  <col width="40" customWidth="1" min="15" max="15"/>
    <col width="40" customWidth="1" min="16" max="16"/>
    <col width="40" customWidth="1" min="17" max="17"/>
  </cols>
  <sheetData>
    <row r="1" ht="35" customHeight="1">
      <c r="A1" s="11" t="inlineStr">
        <is>
          <t>INTEGRITY PROTECTION MECHANISMS</t>
        </is>
      </c>
    </row>
    <row r="2">
      <c r="A2" s="12" t="inlineStr">
        <is>
          <t>Assess integrity protection per ISMS-POL-A.8.15-S2.2.4</t>
        </is>
      </c>
    </row>
    <row r="4">
      <c r="A4" s="13" t="inlineStr">
        <is>
          <t>Log Source / Storage</t>
        </is>
      </c>
      <c r="B4" s="13" t="inlineStr">
        <is>
          <t>Log Criticality</t>
        </is>
      </c>
      <c r="C4" s="13" t="inlineStr">
        <is>
          <t>Write-Once Storage (WORM)</t>
        </is>
      </c>
      <c r="D4" s="13" t="inlineStr">
        <is>
          <t>WORM Technology</t>
        </is>
      </c>
      <c r="E4" s="13" t="inlineStr">
        <is>
          <t>Cryptographic Hashing</t>
        </is>
      </c>
      <c r="F4" s="13" t="inlineStr">
        <is>
          <t>Hash Algorithm</t>
        </is>
      </c>
      <c r="G4" s="13" t="inlineStr">
        <is>
          <t>Hash Storage Location</t>
        </is>
      </c>
      <c r="H4" s="13" t="inlineStr">
        <is>
          <t>Digital Signatures</t>
        </is>
      </c>
      <c r="I4" s="13" t="inlineStr">
        <is>
          <t>File Sealing</t>
        </is>
      </c>
      <c r="J4" s="13" t="inlineStr">
        <is>
          <t>Integrity Check Frequency</t>
        </is>
      </c>
      <c r="K4" s="13" t="inlineStr">
        <is>
          <t>Last Integrity Check</t>
        </is>
      </c>
      <c r="L4" s="13" t="inlineStr">
        <is>
          <t>Tampering Detected</t>
        </is>
      </c>
      <c r="M4" s="13" t="inlineStr">
        <is>
          <t>Backup Protected</t>
        </is>
      </c>
      <c r="N4" s="13" t="inlineStr">
        <is>
          <t>Compliance with Policy</t>
        </is>
      </c>
      <c r="O4" s="13" t="inlineStr">
        <is>
          <t>Gap Description</t>
        </is>
      </c>
      <c r="P4" s="13" t="inlineStr">
        <is>
          <t>Remediation Plan</t>
        </is>
      </c>
      <c r="Q4" s="13" t="inlineStr">
        <is>
          <t>Notes</t>
        </is>
      </c>
    </row>
    <row r="5">
      <c r="A5" s="14" t="inlineStr">
        <is>
          <t>Security Logs - Hot Storage</t>
        </is>
      </c>
      <c r="B5" s="14" t="inlineStr">
        <is>
          <t>Critical</t>
        </is>
      </c>
      <c r="C5" s="14" t="inlineStr">
        <is>
          <t>Yes</t>
        </is>
      </c>
      <c r="D5" s="14" t="inlineStr">
        <is>
          <t>Cloud Object Lock</t>
        </is>
      </c>
      <c r="E5" s="14" t="inlineStr">
        <is>
          <t>Yes</t>
        </is>
      </c>
      <c r="F5" s="14" t="inlineStr">
        <is>
          <t>SHA-256</t>
        </is>
      </c>
      <c r="G5" s="14" t="inlineStr">
        <is>
          <t>Separate integrity DB</t>
        </is>
      </c>
      <c r="H5" s="14" t="inlineStr">
        <is>
          <t>No</t>
        </is>
      </c>
      <c r="I5" s="14" t="inlineStr">
        <is>
          <t>N/A</t>
        </is>
      </c>
      <c r="J5" s="14" t="inlineStr">
        <is>
          <t>Daily</t>
        </is>
      </c>
      <c r="K5" s="14" t="inlineStr">
        <is>
          <t>06.01.2026</t>
        </is>
      </c>
      <c r="L5" s="14" t="inlineStr">
        <is>
          <t>Never</t>
        </is>
      </c>
      <c r="M5" s="14" t="inlineStr">
        <is>
          <t>Yes</t>
        </is>
      </c>
      <c r="N5" s="14" t="inlineStr">
        <is>
          <t>Compliant</t>
        </is>
      </c>
      <c r="O5" s="14" t="inlineStr"/>
      <c r="P5" s="14" t="inlineStr"/>
      <c r="Q5" s="14" t="inlineStr">
        <is>
          <t>Full protection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 t="n"/>
      <c r="L6" s="15" t="n"/>
      <c r="M6" s="15" t="n"/>
      <c r="N6" s="18">
        <f>IF(A6="","",
            IF(B6="Critical",
                IF(AND(C6="Yes",E6="Yes",J6="Daily"),"Compliant","Non-Compliant"),
            IF(B6="High",
                IF(AND(E6="Yes",OR(J6="Daily",J6="Weekly")),"Compliant","Non-Compliant"),
            IF(B6="Medium",
                IF(OR(J6="Daily",J6="Weekly",J6="Monthly"),"Compliant","Non-Compliant"),
                "Compliant"))))</f>
        <v/>
      </c>
      <c r="O6" s="15" t="n"/>
      <c r="P6" s="15" t="n"/>
      <c r="Q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5" t="n"/>
      <c r="M7" s="15" t="n"/>
      <c r="N7" s="18">
        <f>IF(A7="","",
            IF(B7="Critical",
                IF(AND(C7="Yes",E7="Yes",J7="Daily"),"Compliant","Non-Compliant"),
            IF(B7="High",
                IF(AND(E7="Yes",OR(J7="Daily",J7="Weekly")),"Compliant","Non-Compliant"),
            IF(B7="Medium",
                IF(OR(J7="Daily",J7="Weekly",J7="Monthly"),"Compliant","Non-Compliant"),
                "Compliant"))))</f>
        <v/>
      </c>
      <c r="O7" s="15" t="n"/>
      <c r="P7" s="15" t="n"/>
      <c r="Q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 t="n"/>
      <c r="L8" s="15" t="n"/>
      <c r="M8" s="15" t="n"/>
      <c r="N8" s="18">
        <f>IF(A8="","",
            IF(B8="Critical",
                IF(AND(C8="Yes",E8="Yes",J8="Daily"),"Compliant","Non-Compliant"),
            IF(B8="High",
                IF(AND(E8="Yes",OR(J8="Daily",J8="Weekly")),"Compliant","Non-Compliant"),
            IF(B8="Medium",
                IF(OR(J8="Daily",J8="Weekly",J8="Monthly"),"Compliant","Non-Compliant"),
                "Compliant"))))</f>
        <v/>
      </c>
      <c r="O8" s="15" t="n"/>
      <c r="P8" s="15" t="n"/>
      <c r="Q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5" t="n"/>
      <c r="M9" s="15" t="n"/>
      <c r="N9" s="18">
        <f>IF(A9="","",
            IF(B9="Critical",
                IF(AND(C9="Yes",E9="Yes",J9="Daily"),"Compliant","Non-Compliant"),
            IF(B9="High",
                IF(AND(E9="Yes",OR(J9="Daily",J9="Weekly")),"Compliant","Non-Compliant"),
            IF(B9="Medium",
                IF(OR(J9="Daily",J9="Weekly",J9="Monthly"),"Compliant","Non-Compliant"),
                "Compliant"))))</f>
        <v/>
      </c>
      <c r="O9" s="15" t="n"/>
      <c r="P9" s="15" t="n"/>
      <c r="Q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8">
        <f>IF(A10="","",
            IF(B10="Critical",
                IF(AND(C10="Yes",E10="Yes",J10="Daily"),"Compliant","Non-Compliant"),
            IF(B10="High",
                IF(AND(E10="Yes",OR(J10="Daily",J10="Weekly")),"Compliant","Non-Compliant"),
            IF(B10="Medium",
                IF(OR(J10="Daily",J10="Weekly",J10="Monthly"),"Compliant","Non-Compliant"),
                "Compliant"))))</f>
        <v/>
      </c>
      <c r="O10" s="15" t="n"/>
      <c r="P10" s="15" t="n"/>
      <c r="Q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5" t="n"/>
      <c r="M11" s="15" t="n"/>
      <c r="N11" s="18">
        <f>IF(A11="","",
            IF(B11="Critical",
                IF(AND(C11="Yes",E11="Yes",J11="Daily"),"Compliant","Non-Compliant"),
            IF(B11="High",
                IF(AND(E11="Yes",OR(J11="Daily",J11="Weekly")),"Compliant","Non-Compliant"),
            IF(B11="Medium",
                IF(OR(J11="Daily",J11="Weekly",J11="Monthly"),"Compliant","Non-Compliant"),
                "Compliant"))))</f>
        <v/>
      </c>
      <c r="O11" s="15" t="n"/>
      <c r="P11" s="15" t="n"/>
      <c r="Q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 t="n"/>
      <c r="L12" s="15" t="n"/>
      <c r="M12" s="15" t="n"/>
      <c r="N12" s="18">
        <f>IF(A12="","",
            IF(B12="Critical",
                IF(AND(C12="Yes",E12="Yes",J12="Daily"),"Compliant","Non-Compliant"),
            IF(B12="High",
                IF(AND(E12="Yes",OR(J12="Daily",J12="Weekly")),"Compliant","Non-Compliant"),
            IF(B12="Medium",
                IF(OR(J12="Daily",J12="Weekly",J12="Monthly"),"Compliant","Non-Compliant"),
                "Compliant"))))</f>
        <v/>
      </c>
      <c r="O12" s="15" t="n"/>
      <c r="P12" s="15" t="n"/>
      <c r="Q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5" t="n"/>
      <c r="M13" s="15" t="n"/>
      <c r="N13" s="18">
        <f>IF(A13="","",
            IF(B13="Critical",
                IF(AND(C13="Yes",E13="Yes",J13="Daily"),"Compliant","Non-Compliant"),
            IF(B13="High",
                IF(AND(E13="Yes",OR(J13="Daily",J13="Weekly")),"Compliant","Non-Compliant"),
            IF(B13="Medium",
                IF(OR(J13="Daily",J13="Weekly",J13="Monthly"),"Compliant","Non-Compliant"),
                "Compliant"))))</f>
        <v/>
      </c>
      <c r="O13" s="15" t="n"/>
      <c r="P13" s="15" t="n"/>
      <c r="Q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  <c r="L14" s="15" t="n"/>
      <c r="M14" s="15" t="n"/>
      <c r="N14" s="18">
        <f>IF(A14="","",
            IF(B14="Critical",
                IF(AND(C14="Yes",E14="Yes",J14="Daily"),"Compliant","Non-Compliant"),
            IF(B14="High",
                IF(AND(E14="Yes",OR(J14="Daily",J14="Weekly")),"Compliant","Non-Compliant"),
            IF(B14="Medium",
                IF(OR(J14="Daily",J14="Weekly",J14="Monthly"),"Compliant","Non-Compliant"),
                "Compliant"))))</f>
        <v/>
      </c>
      <c r="O14" s="15" t="n"/>
      <c r="P14" s="15" t="n"/>
      <c r="Q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5" t="n"/>
      <c r="M15" s="15" t="n"/>
      <c r="N15" s="18">
        <f>IF(A15="","",
            IF(B15="Critical",
                IF(AND(C15="Yes",E15="Yes",J15="Daily"),"Compliant","Non-Compliant"),
            IF(B15="High",
                IF(AND(E15="Yes",OR(J15="Daily",J15="Weekly")),"Compliant","Non-Compliant"),
            IF(B15="Medium",
                IF(OR(J15="Daily",J15="Weekly",J15="Monthly"),"Compliant","Non-Compliant"),
                "Compliant"))))</f>
        <v/>
      </c>
      <c r="O15" s="15" t="n"/>
      <c r="P15" s="15" t="n"/>
      <c r="Q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  <c r="L16" s="15" t="n"/>
      <c r="M16" s="15" t="n"/>
      <c r="N16" s="18">
        <f>IF(A16="","",
            IF(B16="Critical",
                IF(AND(C16="Yes",E16="Yes",J16="Daily"),"Compliant","Non-Compliant"),
            IF(B16="High",
                IF(AND(E16="Yes",OR(J16="Daily",J16="Weekly")),"Compliant","Non-Compliant"),
            IF(B16="Medium",
                IF(OR(J16="Daily",J16="Weekly",J16="Monthly"),"Compliant","Non-Compliant"),
                "Compliant"))))</f>
        <v/>
      </c>
      <c r="O16" s="15" t="n"/>
      <c r="P16" s="15" t="n"/>
      <c r="Q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5" t="n"/>
      <c r="M17" s="15" t="n"/>
      <c r="N17" s="18">
        <f>IF(A17="","",
            IF(B17="Critical",
                IF(AND(C17="Yes",E17="Yes",J17="Daily"),"Compliant","Non-Compliant"),
            IF(B17="High",
                IF(AND(E17="Yes",OR(J17="Daily",J17="Weekly")),"Compliant","Non-Compliant"),
            IF(B17="Medium",
                IF(OR(J17="Daily",J17="Weekly",J17="Monthly"),"Compliant","Non-Compliant"),
                "Compliant"))))</f>
        <v/>
      </c>
      <c r="O17" s="15" t="n"/>
      <c r="P17" s="15" t="n"/>
      <c r="Q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  <c r="L18" s="15" t="n"/>
      <c r="M18" s="15" t="n"/>
      <c r="N18" s="18">
        <f>IF(A18="","",
            IF(B18="Critical",
                IF(AND(C18="Yes",E18="Yes",J18="Daily"),"Compliant","Non-Compliant"),
            IF(B18="High",
                IF(AND(E18="Yes",OR(J18="Daily",J18="Weekly")),"Compliant","Non-Compliant"),
            IF(B18="Medium",
                IF(OR(J18="Daily",J18="Weekly",J18="Monthly"),"Compliant","Non-Compliant"),
                "Compliant"))))</f>
        <v/>
      </c>
      <c r="O18" s="15" t="n"/>
      <c r="P18" s="15" t="n"/>
      <c r="Q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5" t="n"/>
      <c r="M19" s="15" t="n"/>
      <c r="N19" s="18">
        <f>IF(A19="","",
            IF(B19="Critical",
                IF(AND(C19="Yes",E19="Yes",J19="Daily"),"Compliant","Non-Compliant"),
            IF(B19="High",
                IF(AND(E19="Yes",OR(J19="Daily",J19="Weekly")),"Compliant","Non-Compliant"),
            IF(B19="Medium",
                IF(OR(J19="Daily",J19="Weekly",J19="Monthly"),"Compliant","Non-Compliant"),
                "Compliant"))))</f>
        <v/>
      </c>
      <c r="O19" s="15" t="n"/>
      <c r="P19" s="15" t="n"/>
      <c r="Q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 t="n"/>
      <c r="L20" s="15" t="n"/>
      <c r="M20" s="15" t="n"/>
      <c r="N20" s="18">
        <f>IF(A20="","",
            IF(B20="Critical",
                IF(AND(C20="Yes",E20="Yes",J20="Daily"),"Compliant","Non-Compliant"),
            IF(B20="High",
                IF(AND(E20="Yes",OR(J20="Daily",J20="Weekly")),"Compliant","Non-Compliant"),
            IF(B20="Medium",
                IF(OR(J20="Daily",J20="Weekly",J20="Monthly"),"Compliant","Non-Compliant"),
                "Compliant"))))</f>
        <v/>
      </c>
      <c r="O20" s="15" t="n"/>
      <c r="P20" s="15" t="n"/>
      <c r="Q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5" t="n"/>
      <c r="M21" s="15" t="n"/>
      <c r="N21" s="18">
        <f>IF(A21="","",
            IF(B21="Critical",
                IF(AND(C21="Yes",E21="Yes",J21="Daily"),"Compliant","Non-Compliant"),
            IF(B21="High",
                IF(AND(E21="Yes",OR(J21="Daily",J21="Weekly")),"Compliant","Non-Compliant"),
            IF(B21="Medium",
                IF(OR(J21="Daily",J21="Weekly",J21="Monthly"),"Compliant","Non-Compliant"),
                "Compliant"))))</f>
        <v/>
      </c>
      <c r="O21" s="15" t="n"/>
      <c r="P21" s="15" t="n"/>
      <c r="Q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15" t="n"/>
      <c r="M22" s="15" t="n"/>
      <c r="N22" s="18">
        <f>IF(A22="","",
            IF(B22="Critical",
                IF(AND(C22="Yes",E22="Yes",J22="Daily"),"Compliant","Non-Compliant"),
            IF(B22="High",
                IF(AND(E22="Yes",OR(J22="Daily",J22="Weekly")),"Compliant","Non-Compliant"),
            IF(B22="Medium",
                IF(OR(J22="Daily",J22="Weekly",J22="Monthly"),"Compliant","Non-Compliant"),
                "Compliant"))))</f>
        <v/>
      </c>
      <c r="O22" s="15" t="n"/>
      <c r="P22" s="15" t="n"/>
      <c r="Q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5" t="n"/>
      <c r="M23" s="15" t="n"/>
      <c r="N23" s="18">
        <f>IF(A23="","",
            IF(B23="Critical",
                IF(AND(C23="Yes",E23="Yes",J23="Daily"),"Compliant","Non-Compliant"),
            IF(B23="High",
                IF(AND(E23="Yes",OR(J23="Daily",J23="Weekly")),"Compliant","Non-Compliant"),
            IF(B23="Medium",
                IF(OR(J23="Daily",J23="Weekly",J23="Monthly"),"Compliant","Non-Compliant"),
                "Compliant"))))</f>
        <v/>
      </c>
      <c r="O23" s="15" t="n"/>
      <c r="P23" s="15" t="n"/>
      <c r="Q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 t="n"/>
      <c r="L24" s="15" t="n"/>
      <c r="M24" s="15" t="n"/>
      <c r="N24" s="18">
        <f>IF(A24="","",
            IF(B24="Critical",
                IF(AND(C24="Yes",E24="Yes",J24="Daily"),"Compliant","Non-Compliant"),
            IF(B24="High",
                IF(AND(E24="Yes",OR(J24="Daily",J24="Weekly")),"Compliant","Non-Compliant"),
            IF(B24="Medium",
                IF(OR(J24="Daily",J24="Weekly",J24="Monthly"),"Compliant","Non-Compliant"),
                "Compliant"))))</f>
        <v/>
      </c>
      <c r="O24" s="15" t="n"/>
      <c r="P24" s="15" t="n"/>
      <c r="Q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5" t="n"/>
      <c r="M25" s="15" t="n"/>
      <c r="N25" s="18">
        <f>IF(A25="","",
            IF(B25="Critical",
                IF(AND(C25="Yes",E25="Yes",J25="Daily"),"Compliant","Non-Compliant"),
            IF(B25="High",
                IF(AND(E25="Yes",OR(J25="Daily",J25="Weekly")),"Compliant","Non-Compliant"),
            IF(B25="Medium",
                IF(OR(J25="Daily",J25="Weekly",J25="Monthly"),"Compliant","Non-Compliant"),
                "Compliant"))))</f>
        <v/>
      </c>
      <c r="O25" s="15" t="n"/>
      <c r="P25" s="15" t="n"/>
      <c r="Q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  <c r="L26" s="15" t="n"/>
      <c r="M26" s="15" t="n"/>
      <c r="N26" s="18">
        <f>IF(A26="","",
            IF(B26="Critical",
                IF(AND(C26="Yes",E26="Yes",J26="Daily"),"Compliant","Non-Compliant"),
            IF(B26="High",
                IF(AND(E26="Yes",OR(J26="Daily",J26="Weekly")),"Compliant","Non-Compliant"),
            IF(B26="Medium",
                IF(OR(J26="Daily",J26="Weekly",J26="Monthly"),"Compliant","Non-Compliant"),
                "Compliant"))))</f>
        <v/>
      </c>
      <c r="O26" s="15" t="n"/>
      <c r="P26" s="15" t="n"/>
      <c r="Q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5" t="n"/>
      <c r="M27" s="15" t="n"/>
      <c r="N27" s="18">
        <f>IF(A27="","",
            IF(B27="Critical",
                IF(AND(C27="Yes",E27="Yes",J27="Daily"),"Compliant","Non-Compliant"),
            IF(B27="High",
                IF(AND(E27="Yes",OR(J27="Daily",J27="Weekly")),"Compliant","Non-Compliant"),
            IF(B27="Medium",
                IF(OR(J27="Daily",J27="Weekly",J27="Monthly"),"Compliant","Non-Compliant"),
                "Compliant"))))</f>
        <v/>
      </c>
      <c r="O27" s="15" t="n"/>
      <c r="P27" s="15" t="n"/>
      <c r="Q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/>
      <c r="L28" s="15" t="n"/>
      <c r="M28" s="15" t="n"/>
      <c r="N28" s="18">
        <f>IF(A28="","",
            IF(B28="Critical",
                IF(AND(C28="Yes",E28="Yes",J28="Daily"),"Compliant","Non-Compliant"),
            IF(B28="High",
                IF(AND(E28="Yes",OR(J28="Daily",J28="Weekly")),"Compliant","Non-Compliant"),
            IF(B28="Medium",
                IF(OR(J28="Daily",J28="Weekly",J28="Monthly"),"Compliant","Non-Compliant"),
                "Compliant"))))</f>
        <v/>
      </c>
      <c r="O28" s="15" t="n"/>
      <c r="P28" s="15" t="n"/>
      <c r="Q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5" t="n"/>
      <c r="M29" s="15" t="n"/>
      <c r="N29" s="18">
        <f>IF(A29="","",
            IF(B29="Critical",
                IF(AND(C29="Yes",E29="Yes",J29="Daily"),"Compliant","Non-Compliant"),
            IF(B29="High",
                IF(AND(E29="Yes",OR(J29="Daily",J29="Weekly")),"Compliant","Non-Compliant"),
            IF(B29="Medium",
                IF(OR(J29="Daily",J29="Weekly",J29="Monthly"),"Compliant","Non-Compliant"),
                "Compliant"))))</f>
        <v/>
      </c>
      <c r="O29" s="15" t="n"/>
      <c r="P29" s="15" t="n"/>
      <c r="Q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 t="n"/>
      <c r="L30" s="15" t="n"/>
      <c r="M30" s="15" t="n"/>
      <c r="N30" s="18">
        <f>IF(A30="","",
            IF(B30="Critical",
                IF(AND(C30="Yes",E30="Yes",J30="Daily"),"Compliant","Non-Compliant"),
            IF(B30="High",
                IF(AND(E30="Yes",OR(J30="Daily",J30="Weekly")),"Compliant","Non-Compliant"),
            IF(B30="Medium",
                IF(OR(J30="Daily",J30="Weekly",J30="Monthly"),"Compliant","Non-Compliant"),
                "Compliant"))))</f>
        <v/>
      </c>
      <c r="O30" s="15" t="n"/>
      <c r="P30" s="15" t="n"/>
      <c r="Q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5" t="n"/>
      <c r="M31" s="15" t="n"/>
      <c r="N31" s="18">
        <f>IF(A31="","",
            IF(B31="Critical",
                IF(AND(C31="Yes",E31="Yes",J31="Daily"),"Compliant","Non-Compliant"),
            IF(B31="High",
                IF(AND(E31="Yes",OR(J31="Daily",J31="Weekly")),"Compliant","Non-Compliant"),
            IF(B31="Medium",
                IF(OR(J31="Daily",J31="Weekly",J31="Monthly"),"Compliant","Non-Compliant"),
                "Compliant"))))</f>
        <v/>
      </c>
      <c r="O31" s="15" t="n"/>
      <c r="P31" s="15" t="n"/>
      <c r="Q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  <c r="L32" s="15" t="n"/>
      <c r="M32" s="15" t="n"/>
      <c r="N32" s="18">
        <f>IF(A32="","",
            IF(B32="Critical",
                IF(AND(C32="Yes",E32="Yes",J32="Daily"),"Compliant","Non-Compliant"),
            IF(B32="High",
                IF(AND(E32="Yes",OR(J32="Daily",J32="Weekly")),"Compliant","Non-Compliant"),
            IF(B32="Medium",
                IF(OR(J32="Daily",J32="Weekly",J32="Monthly"),"Compliant","Non-Compliant"),
                "Compliant"))))</f>
        <v/>
      </c>
      <c r="O32" s="15" t="n"/>
      <c r="P32" s="15" t="n"/>
      <c r="Q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5" t="n"/>
      <c r="M33" s="15" t="n"/>
      <c r="N33" s="18">
        <f>IF(A33="","",
            IF(B33="Critical",
                IF(AND(C33="Yes",E33="Yes",J33="Daily"),"Compliant","Non-Compliant"),
            IF(B33="High",
                IF(AND(E33="Yes",OR(J33="Daily",J33="Weekly")),"Compliant","Non-Compliant"),
            IF(B33="Medium",
                IF(OR(J33="Daily",J33="Weekly",J33="Monthly"),"Compliant","Non-Compliant"),
                "Compliant"))))</f>
        <v/>
      </c>
      <c r="O33" s="15" t="n"/>
      <c r="P33" s="15" t="n"/>
      <c r="Q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  <c r="L34" s="15" t="n"/>
      <c r="M34" s="15" t="n"/>
      <c r="N34" s="18">
        <f>IF(A34="","",
            IF(B34="Critical",
                IF(AND(C34="Yes",E34="Yes",J34="Daily"),"Compliant","Non-Compliant"),
            IF(B34="High",
                IF(AND(E34="Yes",OR(J34="Daily",J34="Weekly")),"Compliant","Non-Compliant"),
            IF(B34="Medium",
                IF(OR(J34="Daily",J34="Weekly",J34="Monthly"),"Compliant","Non-Compliant"),
                "Compliant"))))</f>
        <v/>
      </c>
      <c r="O34" s="15" t="n"/>
      <c r="P34" s="15" t="n"/>
      <c r="Q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5" t="n"/>
      <c r="M35" s="15" t="n"/>
      <c r="N35" s="18">
        <f>IF(A35="","",
            IF(B35="Critical",
                IF(AND(C35="Yes",E35="Yes",J35="Daily"),"Compliant","Non-Compliant"),
            IF(B35="High",
                IF(AND(E35="Yes",OR(J35="Daily",J35="Weekly")),"Compliant","Non-Compliant"),
            IF(B35="Medium",
                IF(OR(J35="Daily",J35="Weekly",J35="Monthly"),"Compliant","Non-Compliant"),
                "Compliant"))))</f>
        <v/>
      </c>
      <c r="O35" s="15" t="n"/>
      <c r="P35" s="15" t="n"/>
      <c r="Q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 t="n"/>
      <c r="L36" s="15" t="n"/>
      <c r="M36" s="15" t="n"/>
      <c r="N36" s="18">
        <f>IF(A36="","",
            IF(B36="Critical",
                IF(AND(C36="Yes",E36="Yes",J36="Daily"),"Compliant","Non-Compliant"),
            IF(B36="High",
                IF(AND(E36="Yes",OR(J36="Daily",J36="Weekly")),"Compliant","Non-Compliant"),
            IF(B36="Medium",
                IF(OR(J36="Daily",J36="Weekly",J36="Monthly"),"Compliant","Non-Compliant"),
                "Compliant"))))</f>
        <v/>
      </c>
      <c r="O36" s="15" t="n"/>
      <c r="P36" s="15" t="n"/>
      <c r="Q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5" t="n"/>
      <c r="M37" s="15" t="n"/>
      <c r="N37" s="18">
        <f>IF(A37="","",
            IF(B37="Critical",
                IF(AND(C37="Yes",E37="Yes",J37="Daily"),"Compliant","Non-Compliant"),
            IF(B37="High",
                IF(AND(E37="Yes",OR(J37="Daily",J37="Weekly")),"Compliant","Non-Compliant"),
            IF(B37="Medium",
                IF(OR(J37="Daily",J37="Weekly",J37="Monthly"),"Compliant","Non-Compliant"),
                "Compliant"))))</f>
        <v/>
      </c>
      <c r="O37" s="15" t="n"/>
      <c r="P37" s="15" t="n"/>
      <c r="Q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  <c r="L38" s="15" t="n"/>
      <c r="M38" s="15" t="n"/>
      <c r="N38" s="18">
        <f>IF(A38="","",
            IF(B38="Critical",
                IF(AND(C38="Yes",E38="Yes",J38="Daily"),"Compliant","Non-Compliant"),
            IF(B38="High",
                IF(AND(E38="Yes",OR(J38="Daily",J38="Weekly")),"Compliant","Non-Compliant"),
            IF(B38="Medium",
                IF(OR(J38="Daily",J38="Weekly",J38="Monthly"),"Compliant","Non-Compliant"),
                "Compliant"))))</f>
        <v/>
      </c>
      <c r="O38" s="15" t="n"/>
      <c r="P38" s="15" t="n"/>
      <c r="Q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5" t="n"/>
      <c r="M39" s="15" t="n"/>
      <c r="N39" s="18">
        <f>IF(A39="","",
            IF(B39="Critical",
                IF(AND(C39="Yes",E39="Yes",J39="Daily"),"Compliant","Non-Compliant"),
            IF(B39="High",
                IF(AND(E39="Yes",OR(J39="Daily",J39="Weekly")),"Compliant","Non-Compliant"),
            IF(B39="Medium",
                IF(OR(J39="Daily",J39="Weekly",J39="Monthly"),"Compliant","Non-Compliant"),
                "Compliant"))))</f>
        <v/>
      </c>
      <c r="O39" s="15" t="n"/>
      <c r="P39" s="15" t="n"/>
      <c r="Q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 t="n"/>
      <c r="L40" s="15" t="n"/>
      <c r="M40" s="15" t="n"/>
      <c r="N40" s="18">
        <f>IF(A40="","",
            IF(B40="Critical",
                IF(AND(C40="Yes",E40="Yes",J40="Daily"),"Compliant","Non-Compliant"),
            IF(B40="High",
                IF(AND(E40="Yes",OR(J40="Daily",J40="Weekly")),"Compliant","Non-Compliant"),
            IF(B40="Medium",
                IF(OR(J40="Daily",J40="Weekly",J40="Monthly"),"Compliant","Non-Compliant"),
                "Compliant"))))</f>
        <v/>
      </c>
      <c r="O40" s="15" t="n"/>
      <c r="P40" s="15" t="n"/>
      <c r="Q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5" t="n"/>
      <c r="M41" s="15" t="n"/>
      <c r="N41" s="18">
        <f>IF(A41="","",
            IF(B41="Critical",
                IF(AND(C41="Yes",E41="Yes",J41="Daily"),"Compliant","Non-Compliant"),
            IF(B41="High",
                IF(AND(E41="Yes",OR(J41="Daily",J41="Weekly")),"Compliant","Non-Compliant"),
            IF(B41="Medium",
                IF(OR(J41="Daily",J41="Weekly",J41="Monthly"),"Compliant","Non-Compliant"),
                "Compliant"))))</f>
        <v/>
      </c>
      <c r="O41" s="15" t="n"/>
      <c r="P41" s="15" t="n"/>
      <c r="Q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 t="n"/>
      <c r="L42" s="15" t="n"/>
      <c r="M42" s="15" t="n"/>
      <c r="N42" s="18">
        <f>IF(A42="","",
            IF(B42="Critical",
                IF(AND(C42="Yes",E42="Yes",J42="Daily"),"Compliant","Non-Compliant"),
            IF(B42="High",
                IF(AND(E42="Yes",OR(J42="Daily",J42="Weekly")),"Compliant","Non-Compliant"),
            IF(B42="Medium",
                IF(OR(J42="Daily",J42="Weekly",J42="Monthly"),"Compliant","Non-Compliant"),
                "Compliant"))))</f>
        <v/>
      </c>
      <c r="O42" s="15" t="n"/>
      <c r="P42" s="15" t="n"/>
      <c r="Q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5" t="n"/>
      <c r="M43" s="15" t="n"/>
      <c r="N43" s="18">
        <f>IF(A43="","",
            IF(B43="Critical",
                IF(AND(C43="Yes",E43="Yes",J43="Daily"),"Compliant","Non-Compliant"),
            IF(B43="High",
                IF(AND(E43="Yes",OR(J43="Daily",J43="Weekly")),"Compliant","Non-Compliant"),
            IF(B43="Medium",
                IF(OR(J43="Daily",J43="Weekly",J43="Monthly"),"Compliant","Non-Compliant"),
                "Compliant"))))</f>
        <v/>
      </c>
      <c r="O43" s="15" t="n"/>
      <c r="P43" s="15" t="n"/>
      <c r="Q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 t="n"/>
      <c r="L44" s="15" t="n"/>
      <c r="M44" s="15" t="n"/>
      <c r="N44" s="18">
        <f>IF(A44="","",
            IF(B44="Critical",
                IF(AND(C44="Yes",E44="Yes",J44="Daily"),"Compliant","Non-Compliant"),
            IF(B44="High",
                IF(AND(E44="Yes",OR(J44="Daily",J44="Weekly")),"Compliant","Non-Compliant"),
            IF(B44="Medium",
                IF(OR(J44="Daily",J44="Weekly",J44="Monthly"),"Compliant","Non-Compliant"),
                "Compliant"))))</f>
        <v/>
      </c>
      <c r="O44" s="15" t="n"/>
      <c r="P44" s="15" t="n"/>
      <c r="Q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8">
        <f>IF(A45="","",
            IF(B45="Critical",
                IF(AND(C45="Yes",E45="Yes",J45="Daily"),"Compliant","Non-Compliant"),
            IF(B45="High",
                IF(AND(E45="Yes",OR(J45="Daily",J45="Weekly")),"Compliant","Non-Compliant"),
            IF(B45="Medium",
                IF(OR(J45="Daily",J45="Weekly",J45="Monthly"),"Compliant","Non-Compliant"),
                "Compliant"))))</f>
        <v/>
      </c>
      <c r="O45" s="15" t="n"/>
      <c r="P45" s="15" t="n"/>
      <c r="Q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  <c r="L46" s="15" t="n"/>
      <c r="M46" s="15" t="n"/>
      <c r="N46" s="18">
        <f>IF(A46="","",
            IF(B46="Critical",
                IF(AND(C46="Yes",E46="Yes",J46="Daily"),"Compliant","Non-Compliant"),
            IF(B46="High",
                IF(AND(E46="Yes",OR(J46="Daily",J46="Weekly")),"Compliant","Non-Compliant"),
            IF(B46="Medium",
                IF(OR(J46="Daily",J46="Weekly",J46="Monthly"),"Compliant","Non-Compliant"),
                "Compliant"))))</f>
        <v/>
      </c>
      <c r="O46" s="15" t="n"/>
      <c r="P46" s="15" t="n"/>
      <c r="Q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5" t="n"/>
      <c r="M47" s="15" t="n"/>
      <c r="N47" s="18">
        <f>IF(A47="","",
            IF(B47="Critical",
                IF(AND(C47="Yes",E47="Yes",J47="Daily"),"Compliant","Non-Compliant"),
            IF(B47="High",
                IF(AND(E47="Yes",OR(J47="Daily",J47="Weekly")),"Compliant","Non-Compliant"),
            IF(B47="Medium",
                IF(OR(J47="Daily",J47="Weekly",J47="Monthly"),"Compliant","Non-Compliant"),
                "Compliant"))))</f>
        <v/>
      </c>
      <c r="O47" s="15" t="n"/>
      <c r="P47" s="15" t="n"/>
      <c r="Q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 t="n"/>
      <c r="L48" s="15" t="n"/>
      <c r="M48" s="15" t="n"/>
      <c r="N48" s="18">
        <f>IF(A48="","",
            IF(B48="Critical",
                IF(AND(C48="Yes",E48="Yes",J48="Daily"),"Compliant","Non-Compliant"),
            IF(B48="High",
                IF(AND(E48="Yes",OR(J48="Daily",J48="Weekly")),"Compliant","Non-Compliant"),
            IF(B48="Medium",
                IF(OR(J48="Daily",J48="Weekly",J48="Monthly"),"Compliant","Non-Compliant"),
                "Compliant"))))</f>
        <v/>
      </c>
      <c r="O48" s="15" t="n"/>
      <c r="P48" s="15" t="n"/>
      <c r="Q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5" t="n"/>
      <c r="M49" s="15" t="n"/>
      <c r="N49" s="18">
        <f>IF(A49="","",
            IF(B49="Critical",
                IF(AND(C49="Yes",E49="Yes",J49="Daily"),"Compliant","Non-Compliant"),
            IF(B49="High",
                IF(AND(E49="Yes",OR(J49="Daily",J49="Weekly")),"Compliant","Non-Compliant"),
            IF(B49="Medium",
                IF(OR(J49="Daily",J49="Weekly",J49="Monthly"),"Compliant","Non-Compliant"),
                "Compliant"))))</f>
        <v/>
      </c>
      <c r="O49" s="15" t="n"/>
      <c r="P49" s="15" t="n"/>
      <c r="Q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 t="n"/>
      <c r="L50" s="15" t="n"/>
      <c r="M50" s="15" t="n"/>
      <c r="N50" s="18">
        <f>IF(A50="","",
            IF(B50="Critical",
                IF(AND(C50="Yes",E50="Yes",J50="Daily"),"Compliant","Non-Compliant"),
            IF(B50="High",
                IF(AND(E50="Yes",OR(J50="Daily",J50="Weekly")),"Compliant","Non-Compliant"),
            IF(B50="Medium",
                IF(OR(J50="Daily",J50="Weekly",J50="Monthly"),"Compliant","Non-Compliant"),
                "Compliant"))))</f>
        <v/>
      </c>
      <c r="O50" s="15" t="n"/>
      <c r="P50" s="15" t="n"/>
      <c r="Q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5" t="n"/>
      <c r="M51" s="15" t="n"/>
      <c r="N51" s="18">
        <f>IF(A51="","",
            IF(B51="Critical",
                IF(AND(C51="Yes",E51="Yes",J51="Daily"),"Compliant","Non-Compliant"),
            IF(B51="High",
                IF(AND(E51="Yes",OR(J51="Daily",J51="Weekly")),"Compliant","Non-Compliant"),
            IF(B51="Medium",
                IF(OR(J51="Daily",J51="Weekly",J51="Monthly"),"Compliant","Non-Compliant"),
                "Compliant"))))</f>
        <v/>
      </c>
      <c r="O51" s="15" t="n"/>
      <c r="P51" s="15" t="n"/>
      <c r="Q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 t="n"/>
      <c r="L52" s="15" t="n"/>
      <c r="M52" s="15" t="n"/>
      <c r="N52" s="18">
        <f>IF(A52="","",
            IF(B52="Critical",
                IF(AND(C52="Yes",E52="Yes",J52="Daily"),"Compliant","Non-Compliant"),
            IF(B52="High",
                IF(AND(E52="Yes",OR(J52="Daily",J52="Weekly")),"Compliant","Non-Compliant"),
            IF(B52="Medium",
                IF(OR(J52="Daily",J52="Weekly",J52="Monthly"),"Compliant","Non-Compliant"),
                "Compliant"))))</f>
        <v/>
      </c>
      <c r="O52" s="15" t="n"/>
      <c r="P52" s="15" t="n"/>
      <c r="Q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5" t="n"/>
      <c r="M53" s="15" t="n"/>
      <c r="N53" s="18">
        <f>IF(A53="","",
            IF(B53="Critical",
                IF(AND(C53="Yes",E53="Yes",J53="Daily"),"Compliant","Non-Compliant"),
            IF(B53="High",
                IF(AND(E53="Yes",OR(J53="Daily",J53="Weekly")),"Compliant","Non-Compliant"),
            IF(B53="Medium",
                IF(OR(J53="Daily",J53="Weekly",J53="Monthly"),"Compliant","Non-Compliant"),
                "Compliant"))))</f>
        <v/>
      </c>
      <c r="O53" s="15" t="n"/>
      <c r="P53" s="15" t="n"/>
      <c r="Q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 t="n"/>
      <c r="L54" s="15" t="n"/>
      <c r="M54" s="15" t="n"/>
      <c r="N54" s="18">
        <f>IF(A54="","",
            IF(B54="Critical",
                IF(AND(C54="Yes",E54="Yes",J54="Daily"),"Compliant","Non-Compliant"),
            IF(B54="High",
                IF(AND(E54="Yes",OR(J54="Daily",J54="Weekly")),"Compliant","Non-Compliant"),
            IF(B54="Medium",
                IF(OR(J54="Daily",J54="Weekly",J54="Monthly"),"Compliant","Non-Compliant"),
                "Compliant"))))</f>
        <v/>
      </c>
      <c r="O54" s="15" t="n"/>
      <c r="P54" s="15" t="n"/>
      <c r="Q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5" t="n"/>
      <c r="M55" s="15" t="n"/>
      <c r="N55" s="18">
        <f>IF(A55="","",
            IF(B55="Critical",
                IF(AND(C55="Yes",E55="Yes",J55="Daily"),"Compliant","Non-Compliant"),
            IF(B55="High",
                IF(AND(E55="Yes",OR(J55="Daily",J55="Weekly")),"Compliant","Non-Compliant"),
            IF(B55="Medium",
                IF(OR(J55="Daily",J55="Weekly",J55="Monthly"),"Compliant","Non-Compliant"),
                "Compliant"))))</f>
        <v/>
      </c>
      <c r="O55" s="15" t="n"/>
      <c r="P55" s="15" t="n"/>
      <c r="Q55" s="15" t="n"/>
    </row>
  </sheetData>
  <mergeCells count="2">
    <mergeCell ref="A2:Q2"/>
    <mergeCell ref="A1:Q1"/>
  </mergeCells>
  <dataValidations count="6">
    <dataValidation sqref="B6:B55" showDropDown="0" showInputMessage="0" showErrorMessage="0" allowBlank="1" type="list">
      <formula1>"Critical,High,Medium,Low"</formula1>
    </dataValidation>
    <dataValidation sqref="C6:C55 E6:E55 H6:H55 I6:I55 M6:M55" showDropDown="0" showInputMessage="0" showErrorMessage="0" allowBlank="1" type="list">
      <formula1>"Yes,No,N/A"</formula1>
    </dataValidation>
    <dataValidation sqref="D6:D55" showDropDown="0" showInputMessage="0" showErrorMessage="0" allowBlank="1" type="list">
      <formula1>"Hardware WORM,Software WORM,Cloud Object Lock,None"</formula1>
    </dataValidation>
    <dataValidation sqref="F6:F55" showDropDown="0" showInputMessage="0" showErrorMessage="0" allowBlank="1" type="list">
      <formula1>"SHA-256,SHA-512,SHA-3,MD5 (weak),None"</formula1>
    </dataValidation>
    <dataValidation sqref="J6:J55" showDropDown="0" showInputMessage="0" showErrorMessage="0" allowBlank="1" type="list">
      <formula1>"Daily,Weekly,Monthly,None"</formula1>
    </dataValidation>
    <dataValidation sqref="L6:L55" showDropDown="0" showInputMessage="0" showErrorMessage="0" allowBlank="1" type="list">
      <formula1>"Never,Historical,Recent"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5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5" customWidth="1" min="13" max="13"/>
    <col width="40" customWidth="1" min="14" max="14"/>
  </cols>
  <sheetData>
    <row r="1" ht="35" customHeight="1">
      <c r="A1" s="11" t="inlineStr">
        <is>
          <t>SECURE TRANSMISSION ASSESSMENT</t>
        </is>
      </c>
    </row>
    <row r="2">
      <c r="A2" s="12" t="inlineStr">
        <is>
          <t>Assess log transmission security per ISMS-POL-A.8.15-S2.2.3</t>
        </is>
      </c>
    </row>
    <row r="4">
      <c r="A4" s="13" t="inlineStr">
        <is>
          <t>Source System</t>
        </is>
      </c>
      <c r="B4" s="13" t="inlineStr">
        <is>
          <t>Destination (SIEM)</t>
        </is>
      </c>
      <c r="C4" s="13" t="inlineStr">
        <is>
          <t>Transport Protocol</t>
        </is>
      </c>
      <c r="D4" s="13" t="inlineStr">
        <is>
          <t>Encryption in Transit</t>
        </is>
      </c>
      <c r="E4" s="13" t="inlineStr">
        <is>
          <t>TLS Version</t>
        </is>
      </c>
      <c r="F4" s="13" t="inlineStr">
        <is>
          <t>Certificate Validation</t>
        </is>
      </c>
      <c r="G4" s="13" t="inlineStr">
        <is>
          <t>Network Segment</t>
        </is>
      </c>
      <c r="H4" s="13" t="inlineStr">
        <is>
          <t>Firewall Protection</t>
        </is>
      </c>
      <c r="I4" s="13" t="inlineStr">
        <is>
          <t>Source Authentication</t>
        </is>
      </c>
      <c r="J4" s="13" t="inlineStr">
        <is>
          <t>Vulnerability Risk</t>
        </is>
      </c>
      <c r="K4" s="13" t="inlineStr">
        <is>
          <t>Compliance Status</t>
        </is>
      </c>
      <c r="L4" s="13" t="inlineStr">
        <is>
          <t>Remediation Required</t>
        </is>
      </c>
      <c r="M4" s="13" t="inlineStr">
        <is>
          <t>Target Date</t>
        </is>
      </c>
      <c r="N4" s="13" t="inlineStr">
        <is>
          <t>Notes</t>
        </is>
      </c>
    </row>
    <row r="5">
      <c r="A5" s="14" t="inlineStr">
        <is>
          <t>web-prod-01</t>
        </is>
      </c>
      <c r="B5" s="14" t="inlineStr">
        <is>
          <t>siem-core-01</t>
        </is>
      </c>
      <c r="C5" s="14" t="inlineStr">
        <is>
          <t>TLS</t>
        </is>
      </c>
      <c r="D5" s="14" t="inlineStr">
        <is>
          <t>Yes (TLS)</t>
        </is>
      </c>
      <c r="E5" s="14" t="inlineStr">
        <is>
          <t>TLS 1.3</t>
        </is>
      </c>
      <c r="F5" s="14" t="inlineStr">
        <is>
          <t>Yes</t>
        </is>
      </c>
      <c r="G5" s="14" t="inlineStr">
        <is>
          <t>Internal Network</t>
        </is>
      </c>
      <c r="H5" s="14" t="inlineStr">
        <is>
          <t>Yes</t>
        </is>
      </c>
      <c r="I5" s="14" t="inlineStr">
        <is>
          <t>Yes (mutual TLS/certs)</t>
        </is>
      </c>
      <c r="J5" s="14" t="inlineStr">
        <is>
          <t>None</t>
        </is>
      </c>
      <c r="K5" s="14" t="inlineStr">
        <is>
          <t>Compliant</t>
        </is>
      </c>
      <c r="L5" s="14" t="inlineStr">
        <is>
          <t>No</t>
        </is>
      </c>
      <c r="M5" s="14" t="inlineStr"/>
      <c r="N5" s="14" t="inlineStr">
        <is>
          <t>Secure configuration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8">
        <f>IF(A6="","",
            IF(OR(G6="Internet",G6="DMZ"),
                IF(OR(E6="TLS 1.3",E6="TLS 1.2"),"Compliant","Non-Compliant"),
                IF(D6="Yes (TLS)","Compliant","Partial")))</f>
        <v/>
      </c>
      <c r="L6" s="15" t="n"/>
      <c r="M6" s="16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8">
        <f>IF(A7="","",
            IF(OR(G7="Internet",G7="DMZ"),
                IF(OR(E7="TLS 1.3",E7="TLS 1.2"),"Compliant","Non-Compliant"),
                IF(D7="Yes (TLS)","Compliant","Partial")))</f>
        <v/>
      </c>
      <c r="L7" s="15" t="n"/>
      <c r="M7" s="16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8">
        <f>IF(A8="","",
            IF(OR(G8="Internet",G8="DMZ"),
                IF(OR(E8="TLS 1.3",E8="TLS 1.2"),"Compliant","Non-Compliant"),
                IF(D8="Yes (TLS)","Compliant","Partial")))</f>
        <v/>
      </c>
      <c r="L8" s="15" t="n"/>
      <c r="M8" s="16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8">
        <f>IF(A9="","",
            IF(OR(G9="Internet",G9="DMZ"),
                IF(OR(E9="TLS 1.3",E9="TLS 1.2"),"Compliant","Non-Compliant"),
                IF(D9="Yes (TLS)","Compliant","Partial")))</f>
        <v/>
      </c>
      <c r="L9" s="15" t="n"/>
      <c r="M9" s="16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8">
        <f>IF(A10="","",
            IF(OR(G10="Internet",G10="DMZ"),
                IF(OR(E10="TLS 1.3",E10="TLS 1.2"),"Compliant","Non-Compliant"),
                IF(D10="Yes (TLS)","Compliant","Partial")))</f>
        <v/>
      </c>
      <c r="L10" s="15" t="n"/>
      <c r="M10" s="16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8">
        <f>IF(A11="","",
            IF(OR(G11="Internet",G11="DMZ"),
                IF(OR(E11="TLS 1.3",E11="TLS 1.2"),"Compliant","Non-Compliant"),
                IF(D11="Yes (TLS)","Compliant","Partial")))</f>
        <v/>
      </c>
      <c r="L11" s="15" t="n"/>
      <c r="M11" s="16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8">
        <f>IF(A12="","",
            IF(OR(G12="Internet",G12="DMZ"),
                IF(OR(E12="TLS 1.3",E12="TLS 1.2"),"Compliant","Non-Compliant"),
                IF(D12="Yes (TLS)","Compliant","Partial")))</f>
        <v/>
      </c>
      <c r="L12" s="15" t="n"/>
      <c r="M12" s="16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8">
        <f>IF(A13="","",
            IF(OR(G13="Internet",G13="DMZ"),
                IF(OR(E13="TLS 1.3",E13="TLS 1.2"),"Compliant","Non-Compliant"),
                IF(D13="Yes (TLS)","Compliant","Partial")))</f>
        <v/>
      </c>
      <c r="L13" s="15" t="n"/>
      <c r="M13" s="16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8">
        <f>IF(A14="","",
            IF(OR(G14="Internet",G14="DMZ"),
                IF(OR(E14="TLS 1.3",E14="TLS 1.2"),"Compliant","Non-Compliant"),
                IF(D14="Yes (TLS)","Compliant","Partial")))</f>
        <v/>
      </c>
      <c r="L14" s="15" t="n"/>
      <c r="M14" s="16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8">
        <f>IF(A15="","",
            IF(OR(G15="Internet",G15="DMZ"),
                IF(OR(E15="TLS 1.3",E15="TLS 1.2"),"Compliant","Non-Compliant"),
                IF(D15="Yes (TLS)","Compliant","Partial")))</f>
        <v/>
      </c>
      <c r="L15" s="15" t="n"/>
      <c r="M15" s="16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8">
        <f>IF(A16="","",
            IF(OR(G16="Internet",G16="DMZ"),
                IF(OR(E16="TLS 1.3",E16="TLS 1.2"),"Compliant","Non-Compliant"),
                IF(D16="Yes (TLS)","Compliant","Partial")))</f>
        <v/>
      </c>
      <c r="L16" s="15" t="n"/>
      <c r="M16" s="16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8">
        <f>IF(A17="","",
            IF(OR(G17="Internet",G17="DMZ"),
                IF(OR(E17="TLS 1.3",E17="TLS 1.2"),"Compliant","Non-Compliant"),
                IF(D17="Yes (TLS)","Compliant","Partial")))</f>
        <v/>
      </c>
      <c r="L17" s="15" t="n"/>
      <c r="M17" s="16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8">
        <f>IF(A18="","",
            IF(OR(G18="Internet",G18="DMZ"),
                IF(OR(E18="TLS 1.3",E18="TLS 1.2"),"Compliant","Non-Compliant"),
                IF(D18="Yes (TLS)","Compliant","Partial")))</f>
        <v/>
      </c>
      <c r="L18" s="15" t="n"/>
      <c r="M18" s="16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8">
        <f>IF(A19="","",
            IF(OR(G19="Internet",G19="DMZ"),
                IF(OR(E19="TLS 1.3",E19="TLS 1.2"),"Compliant","Non-Compliant"),
                IF(D19="Yes (TLS)","Compliant","Partial")))</f>
        <v/>
      </c>
      <c r="L19" s="15" t="n"/>
      <c r="M19" s="16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8">
        <f>IF(A20="","",
            IF(OR(G20="Internet",G20="DMZ"),
                IF(OR(E20="TLS 1.3",E20="TLS 1.2"),"Compliant","Non-Compliant"),
                IF(D20="Yes (TLS)","Compliant","Partial")))</f>
        <v/>
      </c>
      <c r="L20" s="15" t="n"/>
      <c r="M20" s="16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8">
        <f>IF(A21="","",
            IF(OR(G21="Internet",G21="DMZ"),
                IF(OR(E21="TLS 1.3",E21="TLS 1.2"),"Compliant","Non-Compliant"),
                IF(D21="Yes (TLS)","Compliant","Partial")))</f>
        <v/>
      </c>
      <c r="L21" s="15" t="n"/>
      <c r="M21" s="16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8">
        <f>IF(A22="","",
            IF(OR(G22="Internet",G22="DMZ"),
                IF(OR(E22="TLS 1.3",E22="TLS 1.2"),"Compliant","Non-Compliant"),
                IF(D22="Yes (TLS)","Compliant","Partial")))</f>
        <v/>
      </c>
      <c r="L22" s="15" t="n"/>
      <c r="M22" s="16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8">
        <f>IF(A23="","",
            IF(OR(G23="Internet",G23="DMZ"),
                IF(OR(E23="TLS 1.3",E23="TLS 1.2"),"Compliant","Non-Compliant"),
                IF(D23="Yes (TLS)","Compliant","Partial")))</f>
        <v/>
      </c>
      <c r="L23" s="15" t="n"/>
      <c r="M23" s="16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8">
        <f>IF(A24="","",
            IF(OR(G24="Internet",G24="DMZ"),
                IF(OR(E24="TLS 1.3",E24="TLS 1.2"),"Compliant","Non-Compliant"),
                IF(D24="Yes (TLS)","Compliant","Partial")))</f>
        <v/>
      </c>
      <c r="L24" s="15" t="n"/>
      <c r="M24" s="16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8">
        <f>IF(A25="","",
            IF(OR(G25="Internet",G25="DMZ"),
                IF(OR(E25="TLS 1.3",E25="TLS 1.2"),"Compliant","Non-Compliant"),
                IF(D25="Yes (TLS)","Compliant","Partial")))</f>
        <v/>
      </c>
      <c r="L25" s="15" t="n"/>
      <c r="M25" s="16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8">
        <f>IF(A26="","",
            IF(OR(G26="Internet",G26="DMZ"),
                IF(OR(E26="TLS 1.3",E26="TLS 1.2"),"Compliant","Non-Compliant"),
                IF(D26="Yes (TLS)","Compliant","Partial")))</f>
        <v/>
      </c>
      <c r="L26" s="15" t="n"/>
      <c r="M26" s="16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8">
        <f>IF(A27="","",
            IF(OR(G27="Internet",G27="DMZ"),
                IF(OR(E27="TLS 1.3",E27="TLS 1.2"),"Compliant","Non-Compliant"),
                IF(D27="Yes (TLS)","Compliant","Partial")))</f>
        <v/>
      </c>
      <c r="L27" s="15" t="n"/>
      <c r="M27" s="16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8">
        <f>IF(A28="","",
            IF(OR(G28="Internet",G28="DMZ"),
                IF(OR(E28="TLS 1.3",E28="TLS 1.2"),"Compliant","Non-Compliant"),
                IF(D28="Yes (TLS)","Compliant","Partial")))</f>
        <v/>
      </c>
      <c r="L28" s="15" t="n"/>
      <c r="M28" s="16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8">
        <f>IF(A29="","",
            IF(OR(G29="Internet",G29="DMZ"),
                IF(OR(E29="TLS 1.3",E29="TLS 1.2"),"Compliant","Non-Compliant"),
                IF(D29="Yes (TLS)","Compliant","Partial")))</f>
        <v/>
      </c>
      <c r="L29" s="15" t="n"/>
      <c r="M29" s="16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8">
        <f>IF(A30="","",
            IF(OR(G30="Internet",G30="DMZ"),
                IF(OR(E30="TLS 1.3",E30="TLS 1.2"),"Compliant","Non-Compliant"),
                IF(D30="Yes (TLS)","Compliant","Partial")))</f>
        <v/>
      </c>
      <c r="L30" s="15" t="n"/>
      <c r="M30" s="16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8">
        <f>IF(A31="","",
            IF(OR(G31="Internet",G31="DMZ"),
                IF(OR(E31="TLS 1.3",E31="TLS 1.2"),"Compliant","Non-Compliant"),
                IF(D31="Yes (TLS)","Compliant","Partial")))</f>
        <v/>
      </c>
      <c r="L31" s="15" t="n"/>
      <c r="M31" s="16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8">
        <f>IF(A32="","",
            IF(OR(G32="Internet",G32="DMZ"),
                IF(OR(E32="TLS 1.3",E32="TLS 1.2"),"Compliant","Non-Compliant"),
                IF(D32="Yes (TLS)","Compliant","Partial")))</f>
        <v/>
      </c>
      <c r="L32" s="15" t="n"/>
      <c r="M32" s="16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8">
        <f>IF(A33="","",
            IF(OR(G33="Internet",G33="DMZ"),
                IF(OR(E33="TLS 1.3",E33="TLS 1.2"),"Compliant","Non-Compliant"),
                IF(D33="Yes (TLS)","Compliant","Partial")))</f>
        <v/>
      </c>
      <c r="L33" s="15" t="n"/>
      <c r="M33" s="16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8">
        <f>IF(A34="","",
            IF(OR(G34="Internet",G34="DMZ"),
                IF(OR(E34="TLS 1.3",E34="TLS 1.2"),"Compliant","Non-Compliant"),
                IF(D34="Yes (TLS)","Compliant","Partial")))</f>
        <v/>
      </c>
      <c r="L34" s="15" t="n"/>
      <c r="M34" s="16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8">
        <f>IF(A35="","",
            IF(OR(G35="Internet",G35="DMZ"),
                IF(OR(E35="TLS 1.3",E35="TLS 1.2"),"Compliant","Non-Compliant"),
                IF(D35="Yes (TLS)","Compliant","Partial")))</f>
        <v/>
      </c>
      <c r="L35" s="15" t="n"/>
      <c r="M35" s="16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8">
        <f>IF(A36="","",
            IF(OR(G36="Internet",G36="DMZ"),
                IF(OR(E36="TLS 1.3",E36="TLS 1.2"),"Compliant","Non-Compliant"),
                IF(D36="Yes (TLS)","Compliant","Partial")))</f>
        <v/>
      </c>
      <c r="L36" s="15" t="n"/>
      <c r="M36" s="16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8">
        <f>IF(A37="","",
            IF(OR(G37="Internet",G37="DMZ"),
                IF(OR(E37="TLS 1.3",E37="TLS 1.2"),"Compliant","Non-Compliant"),
                IF(D37="Yes (TLS)","Compliant","Partial")))</f>
        <v/>
      </c>
      <c r="L37" s="15" t="n"/>
      <c r="M37" s="16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8">
        <f>IF(A38="","",
            IF(OR(G38="Internet",G38="DMZ"),
                IF(OR(E38="TLS 1.3",E38="TLS 1.2"),"Compliant","Non-Compliant"),
                IF(D38="Yes (TLS)","Compliant","Partial")))</f>
        <v/>
      </c>
      <c r="L38" s="15" t="n"/>
      <c r="M38" s="16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8">
        <f>IF(A39="","",
            IF(OR(G39="Internet",G39="DMZ"),
                IF(OR(E39="TLS 1.3",E39="TLS 1.2"),"Compliant","Non-Compliant"),
                IF(D39="Yes (TLS)","Compliant","Partial")))</f>
        <v/>
      </c>
      <c r="L39" s="15" t="n"/>
      <c r="M39" s="16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8">
        <f>IF(A40="","",
            IF(OR(G40="Internet",G40="DMZ"),
                IF(OR(E40="TLS 1.3",E40="TLS 1.2"),"Compliant","Non-Compliant"),
                IF(D40="Yes (TLS)","Compliant","Partial")))</f>
        <v/>
      </c>
      <c r="L40" s="15" t="n"/>
      <c r="M40" s="16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8">
        <f>IF(A41="","",
            IF(OR(G41="Internet",G41="DMZ"),
                IF(OR(E41="TLS 1.3",E41="TLS 1.2"),"Compliant","Non-Compliant"),
                IF(D41="Yes (TLS)","Compliant","Partial")))</f>
        <v/>
      </c>
      <c r="L41" s="15" t="n"/>
      <c r="M41" s="16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8">
        <f>IF(A42="","",
            IF(OR(G42="Internet",G42="DMZ"),
                IF(OR(E42="TLS 1.3",E42="TLS 1.2"),"Compliant","Non-Compliant"),
                IF(D42="Yes (TLS)","Compliant","Partial")))</f>
        <v/>
      </c>
      <c r="L42" s="15" t="n"/>
      <c r="M42" s="16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8">
        <f>IF(A43="","",
            IF(OR(G43="Internet",G43="DMZ"),
                IF(OR(E43="TLS 1.3",E43="TLS 1.2"),"Compliant","Non-Compliant"),
                IF(D43="Yes (TLS)","Compliant","Partial")))</f>
        <v/>
      </c>
      <c r="L43" s="15" t="n"/>
      <c r="M43" s="16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8">
        <f>IF(A44="","",
            IF(OR(G44="Internet",G44="DMZ"),
                IF(OR(E44="TLS 1.3",E44="TLS 1.2"),"Compliant","Non-Compliant"),
                IF(D44="Yes (TLS)","Compliant","Partial")))</f>
        <v/>
      </c>
      <c r="L44" s="15" t="n"/>
      <c r="M44" s="16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8">
        <f>IF(A45="","",
            IF(OR(G45="Internet",G45="DMZ"),
                IF(OR(E45="TLS 1.3",E45="TLS 1.2"),"Compliant","Non-Compliant"),
                IF(D45="Yes (TLS)","Compliant","Partial")))</f>
        <v/>
      </c>
      <c r="L45" s="15" t="n"/>
      <c r="M45" s="16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8">
        <f>IF(A46="","",
            IF(OR(G46="Internet",G46="DMZ"),
                IF(OR(E46="TLS 1.3",E46="TLS 1.2"),"Compliant","Non-Compliant"),
                IF(D46="Yes (TLS)","Compliant","Partial")))</f>
        <v/>
      </c>
      <c r="L46" s="15" t="n"/>
      <c r="M46" s="16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8">
        <f>IF(A47="","",
            IF(OR(G47="Internet",G47="DMZ"),
                IF(OR(E47="TLS 1.3",E47="TLS 1.2"),"Compliant","Non-Compliant"),
                IF(D47="Yes (TLS)","Compliant","Partial")))</f>
        <v/>
      </c>
      <c r="L47" s="15" t="n"/>
      <c r="M47" s="16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8">
        <f>IF(A48="","",
            IF(OR(G48="Internet",G48="DMZ"),
                IF(OR(E48="TLS 1.3",E48="TLS 1.2"),"Compliant","Non-Compliant"),
                IF(D48="Yes (TLS)","Compliant","Partial")))</f>
        <v/>
      </c>
      <c r="L48" s="15" t="n"/>
      <c r="M48" s="16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8">
        <f>IF(A49="","",
            IF(OR(G49="Internet",G49="DMZ"),
                IF(OR(E49="TLS 1.3",E49="TLS 1.2"),"Compliant","Non-Compliant"),
                IF(D49="Yes (TLS)","Compliant","Partial")))</f>
        <v/>
      </c>
      <c r="L49" s="15" t="n"/>
      <c r="M49" s="16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8">
        <f>IF(A50="","",
            IF(OR(G50="Internet",G50="DMZ"),
                IF(OR(E50="TLS 1.3",E50="TLS 1.2"),"Compliant","Non-Compliant"),
                IF(D50="Yes (TLS)","Compliant","Partial")))</f>
        <v/>
      </c>
      <c r="L50" s="15" t="n"/>
      <c r="M50" s="16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8">
        <f>IF(A51="","",
            IF(OR(G51="Internet",G51="DMZ"),
                IF(OR(E51="TLS 1.3",E51="TLS 1.2"),"Compliant","Non-Compliant"),
                IF(D51="Yes (TLS)","Compliant","Partial")))</f>
        <v/>
      </c>
      <c r="L51" s="15" t="n"/>
      <c r="M51" s="16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8">
        <f>IF(A52="","",
            IF(OR(G52="Internet",G52="DMZ"),
                IF(OR(E52="TLS 1.3",E52="TLS 1.2"),"Compliant","Non-Compliant"),
                IF(D52="Yes (TLS)","Compliant","Partial")))</f>
        <v/>
      </c>
      <c r="L52" s="15" t="n"/>
      <c r="M52" s="16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8">
        <f>IF(A53="","",
            IF(OR(G53="Internet",G53="DMZ"),
                IF(OR(E53="TLS 1.3",E53="TLS 1.2"),"Compliant","Non-Compliant"),
                IF(D53="Yes (TLS)","Compliant","Partial")))</f>
        <v/>
      </c>
      <c r="L53" s="15" t="n"/>
      <c r="M53" s="16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8">
        <f>IF(A54="","",
            IF(OR(G54="Internet",G54="DMZ"),
                IF(OR(E54="TLS 1.3",E54="TLS 1.2"),"Compliant","Non-Compliant"),
                IF(D54="Yes (TLS)","Compliant","Partial")))</f>
        <v/>
      </c>
      <c r="L54" s="15" t="n"/>
      <c r="M54" s="16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8">
        <f>IF(A55="","",
            IF(OR(G55="Internet",G55="DMZ"),
                IF(OR(E55="TLS 1.3",E55="TLS 1.2"),"Compliant","Non-Compliant"),
                IF(D55="Yes (TLS)","Compliant","Partial")))</f>
        <v/>
      </c>
      <c r="L55" s="15" t="n"/>
      <c r="M55" s="16" t="n"/>
      <c r="N55" s="15" t="n"/>
    </row>
  </sheetData>
  <mergeCells count="2">
    <mergeCell ref="A2:N2"/>
    <mergeCell ref="A1:N1"/>
  </mergeCells>
  <dataValidations count="8">
    <dataValidation sqref="C6:C55" showDropDown="0" showInputMessage="0" showErrorMessage="0" allowBlank="1" type="list">
      <formula1>"TLS,TCP,UDP,HTTPS,Other"</formula1>
    </dataValidation>
    <dataValidation sqref="D6:D55" showDropDown="0" showInputMessage="0" showErrorMessage="0" allowBlank="1" type="list">
      <formula1>"Yes (TLS),No"</formula1>
    </dataValidation>
    <dataValidation sqref="E6:E55" showDropDown="0" showInputMessage="0" showErrorMessage="0" allowBlank="1" type="list">
      <formula1>"TLS 1.3,TLS 1.2,TLS 1.1 (weak),TLS 1.0 (weak),None"</formula1>
    </dataValidation>
    <dataValidation sqref="F6:F55" showDropDown="0" showInputMessage="0" showErrorMessage="0" allowBlank="1" type="list">
      <formula1>"Yes,No,N/A"</formula1>
    </dataValidation>
    <dataValidation sqref="G6:G55" showDropDown="0" showInputMessage="0" showErrorMessage="0" allowBlank="1" type="list">
      <formula1>"Isolated Mgmt Network,Internal Network,Internet,DMZ"</formula1>
    </dataValidation>
    <dataValidation sqref="H6:H55 L6:L55" showDropDown="0" showInputMessage="0" showErrorMessage="0" allowBlank="1" type="list">
      <formula1>"Yes,No"</formula1>
    </dataValidation>
    <dataValidation sqref="I6:I55" showDropDown="0" showInputMessage="0" showErrorMessage="0" allowBlank="1" type="list">
      <formula1>"Yes (mutual TLS/certs),No"</formula1>
    </dataValidation>
    <dataValidation sqref="J6:J55" showDropDown="0" showInputMessage="0" showErrorMessage="0" allowBlank="1" type="list">
      <formula1>"None,Low,Medium,High"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15" customWidth="1" min="17" max="17"/>
    <col width="40" customWidth="1" min="18" max="18"/>
  </cols>
  <sheetData>
    <row r="1" ht="35" customHeight="1">
      <c r="A1" s="11" t="inlineStr">
        <is>
          <t>RETENTION PERIOD COMPLIANCE</t>
        </is>
      </c>
    </row>
    <row r="2">
      <c r="A2" s="12" t="inlineStr">
        <is>
          <t>Assess retention period compliance per ISMS-POL-A.8.15-S2.3.2</t>
        </is>
      </c>
    </row>
    <row r="4">
      <c r="A4" s="13" t="inlineStr">
        <is>
          <t>Log Source / Type</t>
        </is>
      </c>
      <c r="B4" s="13" t="inlineStr">
        <is>
          <t>Log Category</t>
        </is>
      </c>
      <c r="C4" s="13" t="inlineStr">
        <is>
          <t>Regulatory Requirement</t>
        </is>
      </c>
      <c r="D4" s="13" t="inlineStr">
        <is>
          <t>Policy Retention (months)</t>
        </is>
      </c>
      <c r="E4" s="13" t="inlineStr">
        <is>
          <t>Hot Storage Period (months)</t>
        </is>
      </c>
      <c r="F4" s="13" t="inlineStr">
        <is>
          <t>Warm Storage Period (months)</t>
        </is>
      </c>
      <c r="G4" s="13" t="inlineStr">
        <is>
          <t>Cold Storage Period (years)</t>
        </is>
      </c>
      <c r="H4" s="13" t="inlineStr">
        <is>
          <t>Total Retention (months)</t>
        </is>
      </c>
      <c r="I4" s="13" t="inlineStr">
        <is>
          <t>Meets Policy Requirement</t>
        </is>
      </c>
      <c r="J4" s="13" t="inlineStr">
        <is>
          <t>Retention Gap (months)</t>
        </is>
      </c>
      <c r="K4" s="13" t="inlineStr">
        <is>
          <t>Over-Retention (months)</t>
        </is>
      </c>
      <c r="L4" s="13" t="inlineStr">
        <is>
          <t>Automated Disposal</t>
        </is>
      </c>
      <c r="M4" s="13" t="inlineStr">
        <is>
          <t>Last Disposal Date</t>
        </is>
      </c>
      <c r="N4" s="13" t="inlineStr">
        <is>
          <t>Legal Hold Capability</t>
        </is>
      </c>
      <c r="O4" s="13" t="inlineStr">
        <is>
          <t>Compliance Status</t>
        </is>
      </c>
      <c r="P4" s="13" t="inlineStr">
        <is>
          <t>Remediation Action</t>
        </is>
      </c>
      <c r="Q4" s="13" t="inlineStr">
        <is>
          <t>Target Date</t>
        </is>
      </c>
      <c r="R4" s="13" t="inlineStr">
        <is>
          <t>Notes</t>
        </is>
      </c>
    </row>
    <row r="5">
      <c r="A5" s="14" t="inlineStr">
        <is>
          <t>Authentication Logs</t>
        </is>
      </c>
      <c r="B5" s="14" t="inlineStr">
        <is>
          <t>Authentication</t>
        </is>
      </c>
      <c r="C5" s="14" t="inlineStr">
        <is>
          <t>ISO 27001</t>
        </is>
      </c>
      <c r="D5" s="14" t="inlineStr">
        <is>
          <t>12</t>
        </is>
      </c>
      <c r="E5" s="14" t="inlineStr">
        <is>
          <t>3</t>
        </is>
      </c>
      <c r="F5" s="14" t="inlineStr">
        <is>
          <t>9</t>
        </is>
      </c>
      <c r="G5" s="14" t="inlineStr">
        <is>
          <t>0</t>
        </is>
      </c>
      <c r="H5" s="14" t="inlineStr">
        <is>
          <t>12</t>
        </is>
      </c>
      <c r="I5" s="14" t="inlineStr">
        <is>
          <t>Yes</t>
        </is>
      </c>
      <c r="J5" s="14" t="inlineStr">
        <is>
          <t>0</t>
        </is>
      </c>
      <c r="K5" s="14" t="inlineStr">
        <is>
          <t>0</t>
        </is>
      </c>
      <c r="L5" s="14" t="inlineStr">
        <is>
          <t>Yes</t>
        </is>
      </c>
      <c r="M5" s="14" t="inlineStr">
        <is>
          <t>01.01.2026</t>
        </is>
      </c>
      <c r="N5" s="14" t="inlineStr">
        <is>
          <t>Yes</t>
        </is>
      </c>
      <c r="O5" s="14" t="inlineStr">
        <is>
          <t>Compliant</t>
        </is>
      </c>
      <c r="P5" s="14" t="inlineStr"/>
      <c r="Q5" s="14" t="inlineStr"/>
      <c r="R5" s="14" t="inlineStr">
        <is>
          <t>Meets minimum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8">
        <f>IF(A6="","",E6+F6+(G6*12))</f>
        <v/>
      </c>
      <c r="I6" s="18">
        <f>IF(A6="","",IF(H6&gt;=D6,"Yes","No"))</f>
        <v/>
      </c>
      <c r="J6" s="18">
        <f>IF(I6="Yes",0,D6-H6)</f>
        <v/>
      </c>
      <c r="K6" s="18">
        <f>IF(H6&lt;=D6*1.5,0,H6-D6)</f>
        <v/>
      </c>
      <c r="L6" s="15" t="n"/>
      <c r="M6" s="16" t="n"/>
      <c r="N6" s="15" t="n"/>
      <c r="O6" s="18">
        <f>IF(A6="","",IF(I6="Yes","Compliant","Non-Compliant"))</f>
        <v/>
      </c>
      <c r="P6" s="15" t="n"/>
      <c r="Q6" s="16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8">
        <f>IF(A7="","",E7+F7+(G7*12))</f>
        <v/>
      </c>
      <c r="I7" s="18">
        <f>IF(A7="","",IF(H7&gt;=D7,"Yes","No"))</f>
        <v/>
      </c>
      <c r="J7" s="18">
        <f>IF(I7="Yes",0,D7-H7)</f>
        <v/>
      </c>
      <c r="K7" s="18">
        <f>IF(H7&lt;=D7*1.5,0,H7-D7)</f>
        <v/>
      </c>
      <c r="L7" s="15" t="n"/>
      <c r="M7" s="16" t="n"/>
      <c r="N7" s="15" t="n"/>
      <c r="O7" s="18">
        <f>IF(A7="","",IF(I7="Yes","Compliant","Non-Compliant"))</f>
        <v/>
      </c>
      <c r="P7" s="15" t="n"/>
      <c r="Q7" s="16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8">
        <f>IF(A8="","",E8+F8+(G8*12))</f>
        <v/>
      </c>
      <c r="I8" s="18">
        <f>IF(A8="","",IF(H8&gt;=D8,"Yes","No"))</f>
        <v/>
      </c>
      <c r="J8" s="18">
        <f>IF(I8="Yes",0,D8-H8)</f>
        <v/>
      </c>
      <c r="K8" s="18">
        <f>IF(H8&lt;=D8*1.5,0,H8-D8)</f>
        <v/>
      </c>
      <c r="L8" s="15" t="n"/>
      <c r="M8" s="16" t="n"/>
      <c r="N8" s="15" t="n"/>
      <c r="O8" s="18">
        <f>IF(A8="","",IF(I8="Yes","Compliant","Non-Compliant"))</f>
        <v/>
      </c>
      <c r="P8" s="15" t="n"/>
      <c r="Q8" s="16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8">
        <f>IF(A9="","",E9+F9+(G9*12))</f>
        <v/>
      </c>
      <c r="I9" s="18">
        <f>IF(A9="","",IF(H9&gt;=D9,"Yes","No"))</f>
        <v/>
      </c>
      <c r="J9" s="18">
        <f>IF(I9="Yes",0,D9-H9)</f>
        <v/>
      </c>
      <c r="K9" s="18">
        <f>IF(H9&lt;=D9*1.5,0,H9-D9)</f>
        <v/>
      </c>
      <c r="L9" s="15" t="n"/>
      <c r="M9" s="16" t="n"/>
      <c r="N9" s="15" t="n"/>
      <c r="O9" s="18">
        <f>IF(A9="","",IF(I9="Yes","Compliant","Non-Compliant"))</f>
        <v/>
      </c>
      <c r="P9" s="15" t="n"/>
      <c r="Q9" s="16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8">
        <f>IF(A10="","",E10+F10+(G10*12))</f>
        <v/>
      </c>
      <c r="I10" s="18">
        <f>IF(A10="","",IF(H10&gt;=D10,"Yes","No"))</f>
        <v/>
      </c>
      <c r="J10" s="18">
        <f>IF(I10="Yes",0,D10-H10)</f>
        <v/>
      </c>
      <c r="K10" s="18">
        <f>IF(H10&lt;=D10*1.5,0,H10-D10)</f>
        <v/>
      </c>
      <c r="L10" s="15" t="n"/>
      <c r="M10" s="16" t="n"/>
      <c r="N10" s="15" t="n"/>
      <c r="O10" s="18">
        <f>IF(A10="","",IF(I10="Yes","Compliant","Non-Compliant"))</f>
        <v/>
      </c>
      <c r="P10" s="15" t="n"/>
      <c r="Q10" s="16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8">
        <f>IF(A11="","",E11+F11+(G11*12))</f>
        <v/>
      </c>
      <c r="I11" s="18">
        <f>IF(A11="","",IF(H11&gt;=D11,"Yes","No"))</f>
        <v/>
      </c>
      <c r="J11" s="18">
        <f>IF(I11="Yes",0,D11-H11)</f>
        <v/>
      </c>
      <c r="K11" s="18">
        <f>IF(H11&lt;=D11*1.5,0,H11-D11)</f>
        <v/>
      </c>
      <c r="L11" s="15" t="n"/>
      <c r="M11" s="16" t="n"/>
      <c r="N11" s="15" t="n"/>
      <c r="O11" s="18">
        <f>IF(A11="","",IF(I11="Yes","Compliant","Non-Compliant"))</f>
        <v/>
      </c>
      <c r="P11" s="15" t="n"/>
      <c r="Q11" s="16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8">
        <f>IF(A12="","",E12+F12+(G12*12))</f>
        <v/>
      </c>
      <c r="I12" s="18">
        <f>IF(A12="","",IF(H12&gt;=D12,"Yes","No"))</f>
        <v/>
      </c>
      <c r="J12" s="18">
        <f>IF(I12="Yes",0,D12-H12)</f>
        <v/>
      </c>
      <c r="K12" s="18">
        <f>IF(H12&lt;=D12*1.5,0,H12-D12)</f>
        <v/>
      </c>
      <c r="L12" s="15" t="n"/>
      <c r="M12" s="16" t="n"/>
      <c r="N12" s="15" t="n"/>
      <c r="O12" s="18">
        <f>IF(A12="","",IF(I12="Yes","Compliant","Non-Compliant"))</f>
        <v/>
      </c>
      <c r="P12" s="15" t="n"/>
      <c r="Q12" s="16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8">
        <f>IF(A13="","",E13+F13+(G13*12))</f>
        <v/>
      </c>
      <c r="I13" s="18">
        <f>IF(A13="","",IF(H13&gt;=D13,"Yes","No"))</f>
        <v/>
      </c>
      <c r="J13" s="18">
        <f>IF(I13="Yes",0,D13-H13)</f>
        <v/>
      </c>
      <c r="K13" s="18">
        <f>IF(H13&lt;=D13*1.5,0,H13-D13)</f>
        <v/>
      </c>
      <c r="L13" s="15" t="n"/>
      <c r="M13" s="16" t="n"/>
      <c r="N13" s="15" t="n"/>
      <c r="O13" s="18">
        <f>IF(A13="","",IF(I13="Yes","Compliant","Non-Compliant"))</f>
        <v/>
      </c>
      <c r="P13" s="15" t="n"/>
      <c r="Q13" s="16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8">
        <f>IF(A14="","",E14+F14+(G14*12))</f>
        <v/>
      </c>
      <c r="I14" s="18">
        <f>IF(A14="","",IF(H14&gt;=D14,"Yes","No"))</f>
        <v/>
      </c>
      <c r="J14" s="18">
        <f>IF(I14="Yes",0,D14-H14)</f>
        <v/>
      </c>
      <c r="K14" s="18">
        <f>IF(H14&lt;=D14*1.5,0,H14-D14)</f>
        <v/>
      </c>
      <c r="L14" s="15" t="n"/>
      <c r="M14" s="16" t="n"/>
      <c r="N14" s="15" t="n"/>
      <c r="O14" s="18">
        <f>IF(A14="","",IF(I14="Yes","Compliant","Non-Compliant"))</f>
        <v/>
      </c>
      <c r="P14" s="15" t="n"/>
      <c r="Q14" s="16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8">
        <f>IF(A15="","",E15+F15+(G15*12))</f>
        <v/>
      </c>
      <c r="I15" s="18">
        <f>IF(A15="","",IF(H15&gt;=D15,"Yes","No"))</f>
        <v/>
      </c>
      <c r="J15" s="18">
        <f>IF(I15="Yes",0,D15-H15)</f>
        <v/>
      </c>
      <c r="K15" s="18">
        <f>IF(H15&lt;=D15*1.5,0,H15-D15)</f>
        <v/>
      </c>
      <c r="L15" s="15" t="n"/>
      <c r="M15" s="16" t="n"/>
      <c r="N15" s="15" t="n"/>
      <c r="O15" s="18">
        <f>IF(A15="","",IF(I15="Yes","Compliant","Non-Compliant"))</f>
        <v/>
      </c>
      <c r="P15" s="15" t="n"/>
      <c r="Q15" s="16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8">
        <f>IF(A16="","",E16+F16+(G16*12))</f>
        <v/>
      </c>
      <c r="I16" s="18">
        <f>IF(A16="","",IF(H16&gt;=D16,"Yes","No"))</f>
        <v/>
      </c>
      <c r="J16" s="18">
        <f>IF(I16="Yes",0,D16-H16)</f>
        <v/>
      </c>
      <c r="K16" s="18">
        <f>IF(H16&lt;=D16*1.5,0,H16-D16)</f>
        <v/>
      </c>
      <c r="L16" s="15" t="n"/>
      <c r="M16" s="16" t="n"/>
      <c r="N16" s="15" t="n"/>
      <c r="O16" s="18">
        <f>IF(A16="","",IF(I16="Yes","Compliant","Non-Compliant"))</f>
        <v/>
      </c>
      <c r="P16" s="15" t="n"/>
      <c r="Q16" s="16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8">
        <f>IF(A17="","",E17+F17+(G17*12))</f>
        <v/>
      </c>
      <c r="I17" s="18">
        <f>IF(A17="","",IF(H17&gt;=D17,"Yes","No"))</f>
        <v/>
      </c>
      <c r="J17" s="18">
        <f>IF(I17="Yes",0,D17-H17)</f>
        <v/>
      </c>
      <c r="K17" s="18">
        <f>IF(H17&lt;=D17*1.5,0,H17-D17)</f>
        <v/>
      </c>
      <c r="L17" s="15" t="n"/>
      <c r="M17" s="16" t="n"/>
      <c r="N17" s="15" t="n"/>
      <c r="O17" s="18">
        <f>IF(A17="","",IF(I17="Yes","Compliant","Non-Compliant"))</f>
        <v/>
      </c>
      <c r="P17" s="15" t="n"/>
      <c r="Q17" s="16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8">
        <f>IF(A18="","",E18+F18+(G18*12))</f>
        <v/>
      </c>
      <c r="I18" s="18">
        <f>IF(A18="","",IF(H18&gt;=D18,"Yes","No"))</f>
        <v/>
      </c>
      <c r="J18" s="18">
        <f>IF(I18="Yes",0,D18-H18)</f>
        <v/>
      </c>
      <c r="K18" s="18">
        <f>IF(H18&lt;=D18*1.5,0,H18-D18)</f>
        <v/>
      </c>
      <c r="L18" s="15" t="n"/>
      <c r="M18" s="16" t="n"/>
      <c r="N18" s="15" t="n"/>
      <c r="O18" s="18">
        <f>IF(A18="","",IF(I18="Yes","Compliant","Non-Compliant"))</f>
        <v/>
      </c>
      <c r="P18" s="15" t="n"/>
      <c r="Q18" s="16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8">
        <f>IF(A19="","",E19+F19+(G19*12))</f>
        <v/>
      </c>
      <c r="I19" s="18">
        <f>IF(A19="","",IF(H19&gt;=D19,"Yes","No"))</f>
        <v/>
      </c>
      <c r="J19" s="18">
        <f>IF(I19="Yes",0,D19-H19)</f>
        <v/>
      </c>
      <c r="K19" s="18">
        <f>IF(H19&lt;=D19*1.5,0,H19-D19)</f>
        <v/>
      </c>
      <c r="L19" s="15" t="n"/>
      <c r="M19" s="16" t="n"/>
      <c r="N19" s="15" t="n"/>
      <c r="O19" s="18">
        <f>IF(A19="","",IF(I19="Yes","Compliant","Non-Compliant"))</f>
        <v/>
      </c>
      <c r="P19" s="15" t="n"/>
      <c r="Q19" s="16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8">
        <f>IF(A20="","",E20+F20+(G20*12))</f>
        <v/>
      </c>
      <c r="I20" s="18">
        <f>IF(A20="","",IF(H20&gt;=D20,"Yes","No"))</f>
        <v/>
      </c>
      <c r="J20" s="18">
        <f>IF(I20="Yes",0,D20-H20)</f>
        <v/>
      </c>
      <c r="K20" s="18">
        <f>IF(H20&lt;=D20*1.5,0,H20-D20)</f>
        <v/>
      </c>
      <c r="L20" s="15" t="n"/>
      <c r="M20" s="16" t="n"/>
      <c r="N20" s="15" t="n"/>
      <c r="O20" s="18">
        <f>IF(A20="","",IF(I20="Yes","Compliant","Non-Compliant"))</f>
        <v/>
      </c>
      <c r="P20" s="15" t="n"/>
      <c r="Q20" s="16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8">
        <f>IF(A21="","",E21+F21+(G21*12))</f>
        <v/>
      </c>
      <c r="I21" s="18">
        <f>IF(A21="","",IF(H21&gt;=D21,"Yes","No"))</f>
        <v/>
      </c>
      <c r="J21" s="18">
        <f>IF(I21="Yes",0,D21-H21)</f>
        <v/>
      </c>
      <c r="K21" s="18">
        <f>IF(H21&lt;=D21*1.5,0,H21-D21)</f>
        <v/>
      </c>
      <c r="L21" s="15" t="n"/>
      <c r="M21" s="16" t="n"/>
      <c r="N21" s="15" t="n"/>
      <c r="O21" s="18">
        <f>IF(A21="","",IF(I21="Yes","Compliant","Non-Compliant"))</f>
        <v/>
      </c>
      <c r="P21" s="15" t="n"/>
      <c r="Q21" s="16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8">
        <f>IF(A22="","",E22+F22+(G22*12))</f>
        <v/>
      </c>
      <c r="I22" s="18">
        <f>IF(A22="","",IF(H22&gt;=D22,"Yes","No"))</f>
        <v/>
      </c>
      <c r="J22" s="18">
        <f>IF(I22="Yes",0,D22-H22)</f>
        <v/>
      </c>
      <c r="K22" s="18">
        <f>IF(H22&lt;=D22*1.5,0,H22-D22)</f>
        <v/>
      </c>
      <c r="L22" s="15" t="n"/>
      <c r="M22" s="16" t="n"/>
      <c r="N22" s="15" t="n"/>
      <c r="O22" s="18">
        <f>IF(A22="","",IF(I22="Yes","Compliant","Non-Compliant"))</f>
        <v/>
      </c>
      <c r="P22" s="15" t="n"/>
      <c r="Q22" s="16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8">
        <f>IF(A23="","",E23+F23+(G23*12))</f>
        <v/>
      </c>
      <c r="I23" s="18">
        <f>IF(A23="","",IF(H23&gt;=D23,"Yes","No"))</f>
        <v/>
      </c>
      <c r="J23" s="18">
        <f>IF(I23="Yes",0,D23-H23)</f>
        <v/>
      </c>
      <c r="K23" s="18">
        <f>IF(H23&lt;=D23*1.5,0,H23-D23)</f>
        <v/>
      </c>
      <c r="L23" s="15" t="n"/>
      <c r="M23" s="16" t="n"/>
      <c r="N23" s="15" t="n"/>
      <c r="O23" s="18">
        <f>IF(A23="","",IF(I23="Yes","Compliant","Non-Compliant"))</f>
        <v/>
      </c>
      <c r="P23" s="15" t="n"/>
      <c r="Q23" s="16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8">
        <f>IF(A24="","",E24+F24+(G24*12))</f>
        <v/>
      </c>
      <c r="I24" s="18">
        <f>IF(A24="","",IF(H24&gt;=D24,"Yes","No"))</f>
        <v/>
      </c>
      <c r="J24" s="18">
        <f>IF(I24="Yes",0,D24-H24)</f>
        <v/>
      </c>
      <c r="K24" s="18">
        <f>IF(H24&lt;=D24*1.5,0,H24-D24)</f>
        <v/>
      </c>
      <c r="L24" s="15" t="n"/>
      <c r="M24" s="16" t="n"/>
      <c r="N24" s="15" t="n"/>
      <c r="O24" s="18">
        <f>IF(A24="","",IF(I24="Yes","Compliant","Non-Compliant"))</f>
        <v/>
      </c>
      <c r="P24" s="15" t="n"/>
      <c r="Q24" s="16" t="n"/>
      <c r="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8">
        <f>IF(A25="","",E25+F25+(G25*12))</f>
        <v/>
      </c>
      <c r="I25" s="18">
        <f>IF(A25="","",IF(H25&gt;=D25,"Yes","No"))</f>
        <v/>
      </c>
      <c r="J25" s="18">
        <f>IF(I25="Yes",0,D25-H25)</f>
        <v/>
      </c>
      <c r="K25" s="18">
        <f>IF(H25&lt;=D25*1.5,0,H25-D25)</f>
        <v/>
      </c>
      <c r="L25" s="15" t="n"/>
      <c r="M25" s="16" t="n"/>
      <c r="N25" s="15" t="n"/>
      <c r="O25" s="18">
        <f>IF(A25="","",IF(I25="Yes","Compliant","Non-Compliant"))</f>
        <v/>
      </c>
      <c r="P25" s="15" t="n"/>
      <c r="Q25" s="16" t="n"/>
      <c r="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8">
        <f>IF(A26="","",E26+F26+(G26*12))</f>
        <v/>
      </c>
      <c r="I26" s="18">
        <f>IF(A26="","",IF(H26&gt;=D26,"Yes","No"))</f>
        <v/>
      </c>
      <c r="J26" s="18">
        <f>IF(I26="Yes",0,D26-H26)</f>
        <v/>
      </c>
      <c r="K26" s="18">
        <f>IF(H26&lt;=D26*1.5,0,H26-D26)</f>
        <v/>
      </c>
      <c r="L26" s="15" t="n"/>
      <c r="M26" s="16" t="n"/>
      <c r="N26" s="15" t="n"/>
      <c r="O26" s="18">
        <f>IF(A26="","",IF(I26="Yes","Compliant","Non-Compliant"))</f>
        <v/>
      </c>
      <c r="P26" s="15" t="n"/>
      <c r="Q26" s="16" t="n"/>
      <c r="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8">
        <f>IF(A27="","",E27+F27+(G27*12))</f>
        <v/>
      </c>
      <c r="I27" s="18">
        <f>IF(A27="","",IF(H27&gt;=D27,"Yes","No"))</f>
        <v/>
      </c>
      <c r="J27" s="18">
        <f>IF(I27="Yes",0,D27-H27)</f>
        <v/>
      </c>
      <c r="K27" s="18">
        <f>IF(H27&lt;=D27*1.5,0,H27-D27)</f>
        <v/>
      </c>
      <c r="L27" s="15" t="n"/>
      <c r="M27" s="16" t="n"/>
      <c r="N27" s="15" t="n"/>
      <c r="O27" s="18">
        <f>IF(A27="","",IF(I27="Yes","Compliant","Non-Compliant"))</f>
        <v/>
      </c>
      <c r="P27" s="15" t="n"/>
      <c r="Q27" s="16" t="n"/>
      <c r="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8">
        <f>IF(A28="","",E28+F28+(G28*12))</f>
        <v/>
      </c>
      <c r="I28" s="18">
        <f>IF(A28="","",IF(H28&gt;=D28,"Yes","No"))</f>
        <v/>
      </c>
      <c r="J28" s="18">
        <f>IF(I28="Yes",0,D28-H28)</f>
        <v/>
      </c>
      <c r="K28" s="18">
        <f>IF(H28&lt;=D28*1.5,0,H28-D28)</f>
        <v/>
      </c>
      <c r="L28" s="15" t="n"/>
      <c r="M28" s="16" t="n"/>
      <c r="N28" s="15" t="n"/>
      <c r="O28" s="18">
        <f>IF(A28="","",IF(I28="Yes","Compliant","Non-Compliant"))</f>
        <v/>
      </c>
      <c r="P28" s="15" t="n"/>
      <c r="Q28" s="16" t="n"/>
      <c r="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8">
        <f>IF(A29="","",E29+F29+(G29*12))</f>
        <v/>
      </c>
      <c r="I29" s="18">
        <f>IF(A29="","",IF(H29&gt;=D29,"Yes","No"))</f>
        <v/>
      </c>
      <c r="J29" s="18">
        <f>IF(I29="Yes",0,D29-H29)</f>
        <v/>
      </c>
      <c r="K29" s="18">
        <f>IF(H29&lt;=D29*1.5,0,H29-D29)</f>
        <v/>
      </c>
      <c r="L29" s="15" t="n"/>
      <c r="M29" s="16" t="n"/>
      <c r="N29" s="15" t="n"/>
      <c r="O29" s="18">
        <f>IF(A29="","",IF(I29="Yes","Compliant","Non-Compliant"))</f>
        <v/>
      </c>
      <c r="P29" s="15" t="n"/>
      <c r="Q29" s="16" t="n"/>
      <c r="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8">
        <f>IF(A30="","",E30+F30+(G30*12))</f>
        <v/>
      </c>
      <c r="I30" s="18">
        <f>IF(A30="","",IF(H30&gt;=D30,"Yes","No"))</f>
        <v/>
      </c>
      <c r="J30" s="18">
        <f>IF(I30="Yes",0,D30-H30)</f>
        <v/>
      </c>
      <c r="K30" s="18">
        <f>IF(H30&lt;=D30*1.5,0,H30-D30)</f>
        <v/>
      </c>
      <c r="L30" s="15" t="n"/>
      <c r="M30" s="16" t="n"/>
      <c r="N30" s="15" t="n"/>
      <c r="O30" s="18">
        <f>IF(A30="","",IF(I30="Yes","Compliant","Non-Compliant"))</f>
        <v/>
      </c>
      <c r="P30" s="15" t="n"/>
      <c r="Q30" s="16" t="n"/>
      <c r="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8">
        <f>IF(A31="","",E31+F31+(G31*12))</f>
        <v/>
      </c>
      <c r="I31" s="18">
        <f>IF(A31="","",IF(H31&gt;=D31,"Yes","No"))</f>
        <v/>
      </c>
      <c r="J31" s="18">
        <f>IF(I31="Yes",0,D31-H31)</f>
        <v/>
      </c>
      <c r="K31" s="18">
        <f>IF(H31&lt;=D31*1.5,0,H31-D31)</f>
        <v/>
      </c>
      <c r="L31" s="15" t="n"/>
      <c r="M31" s="16" t="n"/>
      <c r="N31" s="15" t="n"/>
      <c r="O31" s="18">
        <f>IF(A31="","",IF(I31="Yes","Compliant","Non-Compliant"))</f>
        <v/>
      </c>
      <c r="P31" s="15" t="n"/>
      <c r="Q31" s="16" t="n"/>
      <c r="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8">
        <f>IF(A32="","",E32+F32+(G32*12))</f>
        <v/>
      </c>
      <c r="I32" s="18">
        <f>IF(A32="","",IF(H32&gt;=D32,"Yes","No"))</f>
        <v/>
      </c>
      <c r="J32" s="18">
        <f>IF(I32="Yes",0,D32-H32)</f>
        <v/>
      </c>
      <c r="K32" s="18">
        <f>IF(H32&lt;=D32*1.5,0,H32-D32)</f>
        <v/>
      </c>
      <c r="L32" s="15" t="n"/>
      <c r="M32" s="16" t="n"/>
      <c r="N32" s="15" t="n"/>
      <c r="O32" s="18">
        <f>IF(A32="","",IF(I32="Yes","Compliant","Non-Compliant"))</f>
        <v/>
      </c>
      <c r="P32" s="15" t="n"/>
      <c r="Q32" s="16" t="n"/>
      <c r="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8">
        <f>IF(A33="","",E33+F33+(G33*12))</f>
        <v/>
      </c>
      <c r="I33" s="18">
        <f>IF(A33="","",IF(H33&gt;=D33,"Yes","No"))</f>
        <v/>
      </c>
      <c r="J33" s="18">
        <f>IF(I33="Yes",0,D33-H33)</f>
        <v/>
      </c>
      <c r="K33" s="18">
        <f>IF(H33&lt;=D33*1.5,0,H33-D33)</f>
        <v/>
      </c>
      <c r="L33" s="15" t="n"/>
      <c r="M33" s="16" t="n"/>
      <c r="N33" s="15" t="n"/>
      <c r="O33" s="18">
        <f>IF(A33="","",IF(I33="Yes","Compliant","Non-Compliant"))</f>
        <v/>
      </c>
      <c r="P33" s="15" t="n"/>
      <c r="Q33" s="16" t="n"/>
      <c r="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8">
        <f>IF(A34="","",E34+F34+(G34*12))</f>
        <v/>
      </c>
      <c r="I34" s="18">
        <f>IF(A34="","",IF(H34&gt;=D34,"Yes","No"))</f>
        <v/>
      </c>
      <c r="J34" s="18">
        <f>IF(I34="Yes",0,D34-H34)</f>
        <v/>
      </c>
      <c r="K34" s="18">
        <f>IF(H34&lt;=D34*1.5,0,H34-D34)</f>
        <v/>
      </c>
      <c r="L34" s="15" t="n"/>
      <c r="M34" s="16" t="n"/>
      <c r="N34" s="15" t="n"/>
      <c r="O34" s="18">
        <f>IF(A34="","",IF(I34="Yes","Compliant","Non-Compliant"))</f>
        <v/>
      </c>
      <c r="P34" s="15" t="n"/>
      <c r="Q34" s="16" t="n"/>
      <c r="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8">
        <f>IF(A35="","",E35+F35+(G35*12))</f>
        <v/>
      </c>
      <c r="I35" s="18">
        <f>IF(A35="","",IF(H35&gt;=D35,"Yes","No"))</f>
        <v/>
      </c>
      <c r="J35" s="18">
        <f>IF(I35="Yes",0,D35-H35)</f>
        <v/>
      </c>
      <c r="K35" s="18">
        <f>IF(H35&lt;=D35*1.5,0,H35-D35)</f>
        <v/>
      </c>
      <c r="L35" s="15" t="n"/>
      <c r="M35" s="16" t="n"/>
      <c r="N35" s="15" t="n"/>
      <c r="O35" s="18">
        <f>IF(A35="","",IF(I35="Yes","Compliant","Non-Compliant"))</f>
        <v/>
      </c>
      <c r="P35" s="15" t="n"/>
      <c r="Q35" s="16" t="n"/>
      <c r="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8">
        <f>IF(A36="","",E36+F36+(G36*12))</f>
        <v/>
      </c>
      <c r="I36" s="18">
        <f>IF(A36="","",IF(H36&gt;=D36,"Yes","No"))</f>
        <v/>
      </c>
      <c r="J36" s="18">
        <f>IF(I36="Yes",0,D36-H36)</f>
        <v/>
      </c>
      <c r="K36" s="18">
        <f>IF(H36&lt;=D36*1.5,0,H36-D36)</f>
        <v/>
      </c>
      <c r="L36" s="15" t="n"/>
      <c r="M36" s="16" t="n"/>
      <c r="N36" s="15" t="n"/>
      <c r="O36" s="18">
        <f>IF(A36="","",IF(I36="Yes","Compliant","Non-Compliant"))</f>
        <v/>
      </c>
      <c r="P36" s="15" t="n"/>
      <c r="Q36" s="16" t="n"/>
      <c r="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8">
        <f>IF(A37="","",E37+F37+(G37*12))</f>
        <v/>
      </c>
      <c r="I37" s="18">
        <f>IF(A37="","",IF(H37&gt;=D37,"Yes","No"))</f>
        <v/>
      </c>
      <c r="J37" s="18">
        <f>IF(I37="Yes",0,D37-H37)</f>
        <v/>
      </c>
      <c r="K37" s="18">
        <f>IF(H37&lt;=D37*1.5,0,H37-D37)</f>
        <v/>
      </c>
      <c r="L37" s="15" t="n"/>
      <c r="M37" s="16" t="n"/>
      <c r="N37" s="15" t="n"/>
      <c r="O37" s="18">
        <f>IF(A37="","",IF(I37="Yes","Compliant","Non-Compliant"))</f>
        <v/>
      </c>
      <c r="P37" s="15" t="n"/>
      <c r="Q37" s="16" t="n"/>
      <c r="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8">
        <f>IF(A38="","",E38+F38+(G38*12))</f>
        <v/>
      </c>
      <c r="I38" s="18">
        <f>IF(A38="","",IF(H38&gt;=D38,"Yes","No"))</f>
        <v/>
      </c>
      <c r="J38" s="18">
        <f>IF(I38="Yes",0,D38-H38)</f>
        <v/>
      </c>
      <c r="K38" s="18">
        <f>IF(H38&lt;=D38*1.5,0,H38-D38)</f>
        <v/>
      </c>
      <c r="L38" s="15" t="n"/>
      <c r="M38" s="16" t="n"/>
      <c r="N38" s="15" t="n"/>
      <c r="O38" s="18">
        <f>IF(A38="","",IF(I38="Yes","Compliant","Non-Compliant"))</f>
        <v/>
      </c>
      <c r="P38" s="15" t="n"/>
      <c r="Q38" s="16" t="n"/>
      <c r="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8">
        <f>IF(A39="","",E39+F39+(G39*12))</f>
        <v/>
      </c>
      <c r="I39" s="18">
        <f>IF(A39="","",IF(H39&gt;=D39,"Yes","No"))</f>
        <v/>
      </c>
      <c r="J39" s="18">
        <f>IF(I39="Yes",0,D39-H39)</f>
        <v/>
      </c>
      <c r="K39" s="18">
        <f>IF(H39&lt;=D39*1.5,0,H39-D39)</f>
        <v/>
      </c>
      <c r="L39" s="15" t="n"/>
      <c r="M39" s="16" t="n"/>
      <c r="N39" s="15" t="n"/>
      <c r="O39" s="18">
        <f>IF(A39="","",IF(I39="Yes","Compliant","Non-Compliant"))</f>
        <v/>
      </c>
      <c r="P39" s="15" t="n"/>
      <c r="Q39" s="16" t="n"/>
      <c r="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8">
        <f>IF(A40="","",E40+F40+(G40*12))</f>
        <v/>
      </c>
      <c r="I40" s="18">
        <f>IF(A40="","",IF(H40&gt;=D40,"Yes","No"))</f>
        <v/>
      </c>
      <c r="J40" s="18">
        <f>IF(I40="Yes",0,D40-H40)</f>
        <v/>
      </c>
      <c r="K40" s="18">
        <f>IF(H40&lt;=D40*1.5,0,H40-D40)</f>
        <v/>
      </c>
      <c r="L40" s="15" t="n"/>
      <c r="M40" s="16" t="n"/>
      <c r="N40" s="15" t="n"/>
      <c r="O40" s="18">
        <f>IF(A40="","",IF(I40="Yes","Compliant","Non-Compliant"))</f>
        <v/>
      </c>
      <c r="P40" s="15" t="n"/>
      <c r="Q40" s="16" t="n"/>
      <c r="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8">
        <f>IF(A41="","",E41+F41+(G41*12))</f>
        <v/>
      </c>
      <c r="I41" s="18">
        <f>IF(A41="","",IF(H41&gt;=D41,"Yes","No"))</f>
        <v/>
      </c>
      <c r="J41" s="18">
        <f>IF(I41="Yes",0,D41-H41)</f>
        <v/>
      </c>
      <c r="K41" s="18">
        <f>IF(H41&lt;=D41*1.5,0,H41-D41)</f>
        <v/>
      </c>
      <c r="L41" s="15" t="n"/>
      <c r="M41" s="16" t="n"/>
      <c r="N41" s="15" t="n"/>
      <c r="O41" s="18">
        <f>IF(A41="","",IF(I41="Yes","Compliant","Non-Compliant"))</f>
        <v/>
      </c>
      <c r="P41" s="15" t="n"/>
      <c r="Q41" s="16" t="n"/>
      <c r="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8">
        <f>IF(A42="","",E42+F42+(G42*12))</f>
        <v/>
      </c>
      <c r="I42" s="18">
        <f>IF(A42="","",IF(H42&gt;=D42,"Yes","No"))</f>
        <v/>
      </c>
      <c r="J42" s="18">
        <f>IF(I42="Yes",0,D42-H42)</f>
        <v/>
      </c>
      <c r="K42" s="18">
        <f>IF(H42&lt;=D42*1.5,0,H42-D42)</f>
        <v/>
      </c>
      <c r="L42" s="15" t="n"/>
      <c r="M42" s="16" t="n"/>
      <c r="N42" s="15" t="n"/>
      <c r="O42" s="18">
        <f>IF(A42="","",IF(I42="Yes","Compliant","Non-Compliant"))</f>
        <v/>
      </c>
      <c r="P42" s="15" t="n"/>
      <c r="Q42" s="16" t="n"/>
      <c r="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8">
        <f>IF(A43="","",E43+F43+(G43*12))</f>
        <v/>
      </c>
      <c r="I43" s="18">
        <f>IF(A43="","",IF(H43&gt;=D43,"Yes","No"))</f>
        <v/>
      </c>
      <c r="J43" s="18">
        <f>IF(I43="Yes",0,D43-H43)</f>
        <v/>
      </c>
      <c r="K43" s="18">
        <f>IF(H43&lt;=D43*1.5,0,H43-D43)</f>
        <v/>
      </c>
      <c r="L43" s="15" t="n"/>
      <c r="M43" s="16" t="n"/>
      <c r="N43" s="15" t="n"/>
      <c r="O43" s="18">
        <f>IF(A43="","",IF(I43="Yes","Compliant","Non-Compliant"))</f>
        <v/>
      </c>
      <c r="P43" s="15" t="n"/>
      <c r="Q43" s="16" t="n"/>
      <c r="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8">
        <f>IF(A44="","",E44+F44+(G44*12))</f>
        <v/>
      </c>
      <c r="I44" s="18">
        <f>IF(A44="","",IF(H44&gt;=D44,"Yes","No"))</f>
        <v/>
      </c>
      <c r="J44" s="18">
        <f>IF(I44="Yes",0,D44-H44)</f>
        <v/>
      </c>
      <c r="K44" s="18">
        <f>IF(H44&lt;=D44*1.5,0,H44-D44)</f>
        <v/>
      </c>
      <c r="L44" s="15" t="n"/>
      <c r="M44" s="16" t="n"/>
      <c r="N44" s="15" t="n"/>
      <c r="O44" s="18">
        <f>IF(A44="","",IF(I44="Yes","Compliant","Non-Compliant"))</f>
        <v/>
      </c>
      <c r="P44" s="15" t="n"/>
      <c r="Q44" s="16" t="n"/>
      <c r="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8">
        <f>IF(A45="","",E45+F45+(G45*12))</f>
        <v/>
      </c>
      <c r="I45" s="18">
        <f>IF(A45="","",IF(H45&gt;=D45,"Yes","No"))</f>
        <v/>
      </c>
      <c r="J45" s="18">
        <f>IF(I45="Yes",0,D45-H45)</f>
        <v/>
      </c>
      <c r="K45" s="18">
        <f>IF(H45&lt;=D45*1.5,0,H45-D45)</f>
        <v/>
      </c>
      <c r="L45" s="15" t="n"/>
      <c r="M45" s="16" t="n"/>
      <c r="N45" s="15" t="n"/>
      <c r="O45" s="18">
        <f>IF(A45="","",IF(I45="Yes","Compliant","Non-Compliant"))</f>
        <v/>
      </c>
      <c r="P45" s="15" t="n"/>
      <c r="Q45" s="16" t="n"/>
      <c r="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8">
        <f>IF(A46="","",E46+F46+(G46*12))</f>
        <v/>
      </c>
      <c r="I46" s="18">
        <f>IF(A46="","",IF(H46&gt;=D46,"Yes","No"))</f>
        <v/>
      </c>
      <c r="J46" s="18">
        <f>IF(I46="Yes",0,D46-H46)</f>
        <v/>
      </c>
      <c r="K46" s="18">
        <f>IF(H46&lt;=D46*1.5,0,H46-D46)</f>
        <v/>
      </c>
      <c r="L46" s="15" t="n"/>
      <c r="M46" s="16" t="n"/>
      <c r="N46" s="15" t="n"/>
      <c r="O46" s="18">
        <f>IF(A46="","",IF(I46="Yes","Compliant","Non-Compliant"))</f>
        <v/>
      </c>
      <c r="P46" s="15" t="n"/>
      <c r="Q46" s="16" t="n"/>
      <c r="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8">
        <f>IF(A47="","",E47+F47+(G47*12))</f>
        <v/>
      </c>
      <c r="I47" s="18">
        <f>IF(A47="","",IF(H47&gt;=D47,"Yes","No"))</f>
        <v/>
      </c>
      <c r="J47" s="18">
        <f>IF(I47="Yes",0,D47-H47)</f>
        <v/>
      </c>
      <c r="K47" s="18">
        <f>IF(H47&lt;=D47*1.5,0,H47-D47)</f>
        <v/>
      </c>
      <c r="L47" s="15" t="n"/>
      <c r="M47" s="16" t="n"/>
      <c r="N47" s="15" t="n"/>
      <c r="O47" s="18">
        <f>IF(A47="","",IF(I47="Yes","Compliant","Non-Compliant"))</f>
        <v/>
      </c>
      <c r="P47" s="15" t="n"/>
      <c r="Q47" s="16" t="n"/>
      <c r="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8">
        <f>IF(A48="","",E48+F48+(G48*12))</f>
        <v/>
      </c>
      <c r="I48" s="18">
        <f>IF(A48="","",IF(H48&gt;=D48,"Yes","No"))</f>
        <v/>
      </c>
      <c r="J48" s="18">
        <f>IF(I48="Yes",0,D48-H48)</f>
        <v/>
      </c>
      <c r="K48" s="18">
        <f>IF(H48&lt;=D48*1.5,0,H48-D48)</f>
        <v/>
      </c>
      <c r="L48" s="15" t="n"/>
      <c r="M48" s="16" t="n"/>
      <c r="N48" s="15" t="n"/>
      <c r="O48" s="18">
        <f>IF(A48="","",IF(I48="Yes","Compliant","Non-Compliant"))</f>
        <v/>
      </c>
      <c r="P48" s="15" t="n"/>
      <c r="Q48" s="16" t="n"/>
      <c r="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8">
        <f>IF(A49="","",E49+F49+(G49*12))</f>
        <v/>
      </c>
      <c r="I49" s="18">
        <f>IF(A49="","",IF(H49&gt;=D49,"Yes","No"))</f>
        <v/>
      </c>
      <c r="J49" s="18">
        <f>IF(I49="Yes",0,D49-H49)</f>
        <v/>
      </c>
      <c r="K49" s="18">
        <f>IF(H49&lt;=D49*1.5,0,H49-D49)</f>
        <v/>
      </c>
      <c r="L49" s="15" t="n"/>
      <c r="M49" s="16" t="n"/>
      <c r="N49" s="15" t="n"/>
      <c r="O49" s="18">
        <f>IF(A49="","",IF(I49="Yes","Compliant","Non-Compliant"))</f>
        <v/>
      </c>
      <c r="P49" s="15" t="n"/>
      <c r="Q49" s="16" t="n"/>
      <c r="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8">
        <f>IF(A50="","",E50+F50+(G50*12))</f>
        <v/>
      </c>
      <c r="I50" s="18">
        <f>IF(A50="","",IF(H50&gt;=D50,"Yes","No"))</f>
        <v/>
      </c>
      <c r="J50" s="18">
        <f>IF(I50="Yes",0,D50-H50)</f>
        <v/>
      </c>
      <c r="K50" s="18">
        <f>IF(H50&lt;=D50*1.5,0,H50-D50)</f>
        <v/>
      </c>
      <c r="L50" s="15" t="n"/>
      <c r="M50" s="16" t="n"/>
      <c r="N50" s="15" t="n"/>
      <c r="O50" s="18">
        <f>IF(A50="","",IF(I50="Yes","Compliant","Non-Compliant"))</f>
        <v/>
      </c>
      <c r="P50" s="15" t="n"/>
      <c r="Q50" s="16" t="n"/>
      <c r="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8">
        <f>IF(A51="","",E51+F51+(G51*12))</f>
        <v/>
      </c>
      <c r="I51" s="18">
        <f>IF(A51="","",IF(H51&gt;=D51,"Yes","No"))</f>
        <v/>
      </c>
      <c r="J51" s="18">
        <f>IF(I51="Yes",0,D51-H51)</f>
        <v/>
      </c>
      <c r="K51" s="18">
        <f>IF(H51&lt;=D51*1.5,0,H51-D51)</f>
        <v/>
      </c>
      <c r="L51" s="15" t="n"/>
      <c r="M51" s="16" t="n"/>
      <c r="N51" s="15" t="n"/>
      <c r="O51" s="18">
        <f>IF(A51="","",IF(I51="Yes","Compliant","Non-Compliant"))</f>
        <v/>
      </c>
      <c r="P51" s="15" t="n"/>
      <c r="Q51" s="16" t="n"/>
      <c r="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8">
        <f>IF(A52="","",E52+F52+(G52*12))</f>
        <v/>
      </c>
      <c r="I52" s="18">
        <f>IF(A52="","",IF(H52&gt;=D52,"Yes","No"))</f>
        <v/>
      </c>
      <c r="J52" s="18">
        <f>IF(I52="Yes",0,D52-H52)</f>
        <v/>
      </c>
      <c r="K52" s="18">
        <f>IF(H52&lt;=D52*1.5,0,H52-D52)</f>
        <v/>
      </c>
      <c r="L52" s="15" t="n"/>
      <c r="M52" s="16" t="n"/>
      <c r="N52" s="15" t="n"/>
      <c r="O52" s="18">
        <f>IF(A52="","",IF(I52="Yes","Compliant","Non-Compliant"))</f>
        <v/>
      </c>
      <c r="P52" s="15" t="n"/>
      <c r="Q52" s="16" t="n"/>
      <c r="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8">
        <f>IF(A53="","",E53+F53+(G53*12))</f>
        <v/>
      </c>
      <c r="I53" s="18">
        <f>IF(A53="","",IF(H53&gt;=D53,"Yes","No"))</f>
        <v/>
      </c>
      <c r="J53" s="18">
        <f>IF(I53="Yes",0,D53-H53)</f>
        <v/>
      </c>
      <c r="K53" s="18">
        <f>IF(H53&lt;=D53*1.5,0,H53-D53)</f>
        <v/>
      </c>
      <c r="L53" s="15" t="n"/>
      <c r="M53" s="16" t="n"/>
      <c r="N53" s="15" t="n"/>
      <c r="O53" s="18">
        <f>IF(A53="","",IF(I53="Yes","Compliant","Non-Compliant"))</f>
        <v/>
      </c>
      <c r="P53" s="15" t="n"/>
      <c r="Q53" s="16" t="n"/>
      <c r="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8">
        <f>IF(A54="","",E54+F54+(G54*12))</f>
        <v/>
      </c>
      <c r="I54" s="18">
        <f>IF(A54="","",IF(H54&gt;=D54,"Yes","No"))</f>
        <v/>
      </c>
      <c r="J54" s="18">
        <f>IF(I54="Yes",0,D54-H54)</f>
        <v/>
      </c>
      <c r="K54" s="18">
        <f>IF(H54&lt;=D54*1.5,0,H54-D54)</f>
        <v/>
      </c>
      <c r="L54" s="15" t="n"/>
      <c r="M54" s="16" t="n"/>
      <c r="N54" s="15" t="n"/>
      <c r="O54" s="18">
        <f>IF(A54="","",IF(I54="Yes","Compliant","Non-Compliant"))</f>
        <v/>
      </c>
      <c r="P54" s="15" t="n"/>
      <c r="Q54" s="16" t="n"/>
      <c r="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8">
        <f>IF(A55="","",E55+F55+(G55*12))</f>
        <v/>
      </c>
      <c r="I55" s="18">
        <f>IF(A55="","",IF(H55&gt;=D55,"Yes","No"))</f>
        <v/>
      </c>
      <c r="J55" s="18">
        <f>IF(I55="Yes",0,D55-H55)</f>
        <v/>
      </c>
      <c r="K55" s="18">
        <f>IF(H55&lt;=D55*1.5,0,H55-D55)</f>
        <v/>
      </c>
      <c r="L55" s="15" t="n"/>
      <c r="M55" s="16" t="n"/>
      <c r="N55" s="15" t="n"/>
      <c r="O55" s="18">
        <f>IF(A55="","",IF(I55="Yes","Compliant","Non-Compliant"))</f>
        <v/>
      </c>
      <c r="P55" s="15" t="n"/>
      <c r="Q55" s="16" t="n"/>
      <c r="R55" s="15" t="n"/>
    </row>
    <row r="60">
      <c r="A60" s="12" t="inlineStr">
        <is>
          <t>QUICK REFERENCE - STANDARD RETENTION PERIODS</t>
        </is>
      </c>
    </row>
    <row r="62">
      <c r="A62" s="13" t="inlineStr">
        <is>
          <t>Log Category</t>
        </is>
      </c>
      <c r="B62" s="13" t="inlineStr">
        <is>
          <t>Minimum Retention</t>
        </is>
      </c>
      <c r="C62" s="13" t="inlineStr">
        <is>
          <t>Regulatory Notes</t>
        </is>
      </c>
    </row>
    <row r="63">
      <c r="A63" s="19" t="inlineStr">
        <is>
          <t>Security Events</t>
        </is>
      </c>
      <c r="B63" t="inlineStr">
        <is>
          <t>12 months</t>
        </is>
      </c>
      <c r="C63" t="inlineStr">
        <is>
          <t>ISO 27001, most regulations</t>
        </is>
      </c>
    </row>
    <row r="64">
      <c r="A64" s="19" t="inlineStr">
        <is>
          <t>Authentication</t>
        </is>
      </c>
      <c r="B64" t="inlineStr">
        <is>
          <t>12 months</t>
        </is>
      </c>
      <c r="C64" t="inlineStr">
        <is>
          <t>PCI DSS v4.0.1: 12 months minimum</t>
        </is>
      </c>
    </row>
    <row r="65">
      <c r="A65" s="19" t="inlineStr">
        <is>
          <t>Administrative Actions</t>
        </is>
      </c>
      <c r="B65" t="inlineStr">
        <is>
          <t>12 months</t>
        </is>
      </c>
      <c r="C65" t="inlineStr">
        <is>
          <t>SOX: audit trail required</t>
        </is>
      </c>
    </row>
    <row r="66">
      <c r="A66" s="19" t="inlineStr">
        <is>
          <t>Financial Transactions</t>
        </is>
      </c>
      <c r="B66" t="inlineStr">
        <is>
          <t>7 years</t>
        </is>
      </c>
      <c r="C66" t="inlineStr">
        <is>
          <t>SOX compliance</t>
        </is>
      </c>
    </row>
    <row r="67">
      <c r="A67" s="19" t="inlineStr">
        <is>
          <t>Healthcare Access</t>
        </is>
      </c>
      <c r="B67" t="inlineStr">
        <is>
          <t>6 years</t>
        </is>
      </c>
      <c r="C67" t="inlineStr">
        <is>
          <t>HIPAA requirements</t>
        </is>
      </c>
    </row>
    <row r="68">
      <c r="A68" s="19" t="inlineStr">
        <is>
          <t>Payment Card Data</t>
        </is>
      </c>
      <c r="B68" t="inlineStr">
        <is>
          <t>12 months</t>
        </is>
      </c>
      <c r="C68" t="inlineStr">
        <is>
          <t>PCI DSS v4.0.1</t>
        </is>
      </c>
    </row>
  </sheetData>
  <mergeCells count="9">
    <mergeCell ref="C65:R65"/>
    <mergeCell ref="C66:R66"/>
    <mergeCell ref="A2:R2"/>
    <mergeCell ref="C64:R64"/>
    <mergeCell ref="A60:R60"/>
    <mergeCell ref="A1:R1"/>
    <mergeCell ref="C68:R68"/>
    <mergeCell ref="C67:R67"/>
    <mergeCell ref="C63:R63"/>
  </mergeCells>
  <conditionalFormatting sqref="O6:O55">
    <cfRule type="cellIs" priority="1" operator="equal" dxfId="0">
      <formula>"Compliant"</formula>
    </cfRule>
    <cfRule type="cellIs" priority="2" operator="equal" dxfId="2">
      <formula>"Non-Compliant"</formula>
    </cfRule>
  </conditionalFormatting>
  <dataValidations count="3">
    <dataValidation sqref="B6:B55" showDropDown="0" showInputMessage="0" showErrorMessage="0" allowBlank="1" type="list">
      <formula1>"Security,Authentication,Admin,Application,System,Network,Database"</formula1>
    </dataValidation>
    <dataValidation sqref="C6:C55" showDropDown="0" showInputMessage="0" showErrorMessage="0" allowBlank="1" type="list">
      <formula1>"PCI DSS v4.0.1,HIPAA,SOX,GDPR,FADP,ISO 27001,None"</formula1>
    </dataValidation>
    <dataValidation sqref="L6:L55 N6:N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0" customWidth="1" min="13" max="13"/>
    <col width="40" customWidth="1" min="14" max="14"/>
    <col width="40" customWidth="1" min="15" max="15"/>
  </cols>
  <sheetData>
    <row r="1" ht="35" customHeight="1">
      <c r="A1" s="11" t="inlineStr">
        <is>
          <t>STORAGE TIER IMPLEMENTATION</t>
        </is>
      </c>
    </row>
    <row r="2">
      <c r="A2" s="12" t="inlineStr">
        <is>
          <t>Assess tiered storage implementation per ISMS-POL-A.8.15-S2.3.3</t>
        </is>
      </c>
    </row>
    <row r="4">
      <c r="A4" s="13" t="inlineStr">
        <is>
          <t>Storage Tier</t>
        </is>
      </c>
      <c r="B4" s="13" t="inlineStr">
        <is>
          <t>Technology</t>
        </is>
      </c>
      <c r="C4" s="13" t="inlineStr">
        <is>
          <t>Capacity (TB)</t>
        </is>
      </c>
      <c r="D4" s="13" t="inlineStr">
        <is>
          <t>Used (TB)</t>
        </is>
      </c>
      <c r="E4" s="13" t="inlineStr">
        <is>
          <t>% Used</t>
        </is>
      </c>
      <c r="F4" s="13" t="inlineStr">
        <is>
          <t>Retention Period</t>
        </is>
      </c>
      <c r="G4" s="13" t="inlineStr">
        <is>
          <t>Access Performance</t>
        </is>
      </c>
      <c r="H4" s="13" t="inlineStr">
        <is>
          <t>Encryption at Rest</t>
        </is>
      </c>
      <c r="I4" s="13" t="inlineStr">
        <is>
          <t>Encryption Method</t>
        </is>
      </c>
      <c r="J4" s="13" t="inlineStr">
        <is>
          <t>Geographic Location</t>
        </is>
      </c>
      <c r="K4" s="13" t="inlineStr">
        <is>
          <t>Redundancy</t>
        </is>
      </c>
      <c r="L4" s="13" t="inlineStr">
        <is>
          <t>Backup Implemented</t>
        </is>
      </c>
      <c r="M4" s="13" t="inlineStr">
        <is>
          <t>Meets Policy Requirements</t>
        </is>
      </c>
      <c r="N4" s="13" t="inlineStr">
        <is>
          <t>Issues</t>
        </is>
      </c>
      <c r="O4" s="13" t="inlineStr">
        <is>
          <t>Notes</t>
        </is>
      </c>
    </row>
    <row r="5">
      <c r="A5" s="14" t="inlineStr">
        <is>
          <t>Hot</t>
        </is>
      </c>
      <c r="B5" s="14" t="inlineStr">
        <is>
          <t>Local SSD</t>
        </is>
      </c>
      <c r="C5" s="14" t="inlineStr">
        <is>
          <t>10</t>
        </is>
      </c>
      <c r="D5" s="14" t="inlineStr">
        <is>
          <t>6.5</t>
        </is>
      </c>
      <c r="E5" s="14" t="inlineStr">
        <is>
          <t>65%</t>
        </is>
      </c>
      <c r="F5" s="14" t="inlineStr">
        <is>
          <t>0-90 days</t>
        </is>
      </c>
      <c r="G5" s="14" t="inlineStr">
        <is>
          <t>Real-time (&lt;1 min)</t>
        </is>
      </c>
      <c r="H5" s="14" t="inlineStr">
        <is>
          <t>Yes</t>
        </is>
      </c>
      <c r="I5" s="14" t="inlineStr">
        <is>
          <t>AES-256</t>
        </is>
      </c>
      <c r="J5" s="14" t="inlineStr">
        <is>
          <t>Primary DC</t>
        </is>
      </c>
      <c r="K5" s="14" t="inlineStr">
        <is>
          <t>Both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None</t>
        </is>
      </c>
      <c r="O5" s="14" t="inlineStr">
        <is>
          <t>Production hot storage</t>
        </is>
      </c>
    </row>
    <row r="6">
      <c r="A6" s="15" t="n"/>
      <c r="B6" s="15" t="n"/>
      <c r="C6" s="15" t="n"/>
      <c r="D6" s="15" t="n"/>
      <c r="E6" s="17">
        <f>IF(C6=0,0,D6/C6)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17">
        <f>IF(C7=0,0,D7/C7)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17">
        <f>IF(C8=0,0,D8/C8)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17">
        <f>IF(C9=0,0,D9/C9)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17">
        <f>IF(C10=0,0,D10/C10)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17">
        <f>IF(C11=0,0,D11/C11)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17">
        <f>IF(C12=0,0,D12/C12)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17">
        <f>IF(C13=0,0,D13/C13)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17">
        <f>IF(C14=0,0,D14/C14)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17">
        <f>IF(C15=0,0,D15/C15)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17">
        <f>IF(C16=0,0,D16/C16)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17">
        <f>IF(C17=0,0,D17/C17)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17">
        <f>IF(C18=0,0,D18/C18)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17">
        <f>IF(C19=0,0,D19/C19)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17">
        <f>IF(C20=0,0,D20/C20)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17">
        <f>IF(C21=0,0,D21/C21)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17">
        <f>IF(C22=0,0,D22/C22)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17">
        <f>IF(C23=0,0,D23/C23)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17">
        <f>IF(C24=0,0,D24/C24)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17">
        <f>IF(C25=0,0,D25/C25)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17">
        <f>IF(C26=0,0,D26/C26)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17">
        <f>IF(C27=0,0,D27/C27)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17">
        <f>IF(C28=0,0,D28/C28)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17">
        <f>IF(C29=0,0,D29/C29)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17">
        <f>IF(C30=0,0,D30/C30)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17">
        <f>IF(C31=0,0,D31/C31)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17">
        <f>IF(C32=0,0,D32/C32)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17">
        <f>IF(C33=0,0,D33/C33)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17">
        <f>IF(C34=0,0,D34/C34)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17">
        <f>IF(C35=0,0,D35/C35)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17">
        <f>IF(C36=0,0,D36/C36)</f>
        <v/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17">
        <f>IF(C37=0,0,D37/C37)</f>
        <v/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17">
        <f>IF(C38=0,0,D38/C38)</f>
        <v/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17">
        <f>IF(C39=0,0,D39/C39)</f>
        <v/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17">
        <f>IF(C40=0,0,D40/C40)</f>
        <v/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17">
        <f>IF(C41=0,0,D41/C41)</f>
        <v/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17">
        <f>IF(C42=0,0,D42/C42)</f>
        <v/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17">
        <f>IF(C43=0,0,D43/C43)</f>
        <v/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17">
        <f>IF(C44=0,0,D44/C44)</f>
        <v/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17">
        <f>IF(C45=0,0,D45/C45)</f>
        <v/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17">
        <f>IF(C46=0,0,D46/C46)</f>
        <v/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17">
        <f>IF(C47=0,0,D47/C47)</f>
        <v/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17">
        <f>IF(C48=0,0,D48/C48)</f>
        <v/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17">
        <f>IF(C49=0,0,D49/C49)</f>
        <v/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17">
        <f>IF(C50=0,0,D50/C50)</f>
        <v/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17">
        <f>IF(C51=0,0,D51/C51)</f>
        <v/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17">
        <f>IF(C52=0,0,D52/C52)</f>
        <v/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17">
        <f>IF(C53=0,0,D53/C53)</f>
        <v/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7">
        <f>IF(C54=0,0,D54/C54)</f>
        <v/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17">
        <f>IF(C55=0,0,D55/C55)</f>
        <v/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60">
      <c r="A60" s="12" t="inlineStr">
        <is>
          <t>TIERING ASSESSMENT QUESTIONS</t>
        </is>
      </c>
    </row>
    <row r="62">
      <c r="A62" s="20" t="inlineStr">
        <is>
          <t>☐ Is 3-tier model implemented (hot/warm/cold)?</t>
        </is>
      </c>
    </row>
    <row r="63">
      <c r="A63" s="20" t="inlineStr">
        <is>
          <t>☐ Are transitions between tiers automated?</t>
        </is>
      </c>
    </row>
    <row r="64">
      <c r="A64" s="20" t="inlineStr">
        <is>
          <t>☐ Are retention periods matched to storage tiers?</t>
        </is>
      </c>
    </row>
    <row r="65">
      <c r="A65" s="20" t="inlineStr">
        <is>
          <t>☐ Is encryption at rest implemented for all tiers?</t>
        </is>
      </c>
    </row>
    <row r="66">
      <c r="A66" s="20" t="inlineStr">
        <is>
          <t>☐ Is geographic redundancy implemented for critical logs?</t>
        </is>
      </c>
    </row>
    <row r="67">
      <c r="A67" s="20" t="inlineStr">
        <is>
          <t>☐ Are backups taken from all tiers?</t>
        </is>
      </c>
    </row>
    <row r="68">
      <c r="A68" s="20" t="inlineStr">
        <is>
          <t>☐ Is performance adequate for each tier's use case?</t>
        </is>
      </c>
    </row>
  </sheetData>
  <mergeCells count="10">
    <mergeCell ref="A65:O65"/>
    <mergeCell ref="A2:O2"/>
    <mergeCell ref="A63:O63"/>
    <mergeCell ref="A64:O64"/>
    <mergeCell ref="A60:O60"/>
    <mergeCell ref="A68:O68"/>
    <mergeCell ref="A66:O66"/>
    <mergeCell ref="A1:O1"/>
    <mergeCell ref="A67:O67"/>
    <mergeCell ref="A62:O62"/>
  </mergeCells>
  <dataValidations count="6">
    <dataValidation sqref="A6:A55" showDropDown="0" showInputMessage="0" showErrorMessage="0" allowBlank="1" type="list">
      <formula1>"Hot,Warm,Cold"</formula1>
    </dataValidation>
    <dataValidation sqref="B6:B55" showDropDown="0" showInputMessage="0" showErrorMessage="0" allowBlank="1" type="list">
      <formula1>"Local Disk/SSD,SAN,NAS,Object Storage,Tape,Other"</formula1>
    </dataValidation>
    <dataValidation sqref="G6:G55" showDropDown="0" showInputMessage="0" showErrorMessage="0" allowBlank="1" type="list">
      <formula1>"Real-time (&lt;1 min),Fast (&lt;15 min),Slow (hours),Very Slow (days)"</formula1>
    </dataValidation>
    <dataValidation sqref="H6:H55 L6:L55 M6:M55" showDropDown="0" showInputMessage="0" showErrorMessage="0" allowBlank="1" type="list">
      <formula1>"Yes,No"</formula1>
    </dataValidation>
    <dataValidation sqref="I6:I55" showDropDown="0" showInputMessage="0" showErrorMessage="0" allowBlank="1" type="list">
      <formula1>"AES-256,AES-128,None"</formula1>
    </dataValidation>
    <dataValidation sqref="K6:K55" showDropDown="0" showInputMessage="0" showErrorMessage="0" allowBlank="1" type="list">
      <formula1>"None,Local (RAID),Remote (Replication),Both"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0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18" customWidth="1" min="15" max="15"/>
    <col width="40" customWidth="1" min="16" max="16"/>
  </cols>
  <sheetData>
    <row r="1" ht="35" customHeight="1">
      <c r="A1" s="11" t="inlineStr">
        <is>
          <t>LOG BACKUP &amp; RECOVERY</t>
        </is>
      </c>
    </row>
    <row r="2">
      <c r="A2" s="12" t="inlineStr">
        <is>
          <t>Assess backup and recovery capabilities per ISMS-POL-A.8.15-S2.2.7</t>
        </is>
      </c>
    </row>
    <row r="4">
      <c r="A4" s="13" t="inlineStr">
        <is>
          <t>Backup Scope</t>
        </is>
      </c>
      <c r="B4" s="13" t="inlineStr">
        <is>
          <t>Backup Frequency</t>
        </is>
      </c>
      <c r="C4" s="13" t="inlineStr">
        <is>
          <t>Backup Technology</t>
        </is>
      </c>
      <c r="D4" s="13" t="inlineStr">
        <is>
          <t>Backup Location</t>
        </is>
      </c>
      <c r="E4" s="13" t="inlineStr">
        <is>
          <t>Backup Encrypted</t>
        </is>
      </c>
      <c r="F4" s="13" t="inlineStr">
        <is>
          <t>Encryption Algorithm</t>
        </is>
      </c>
      <c r="G4" s="13" t="inlineStr">
        <is>
          <t>Backup Integrity Verified</t>
        </is>
      </c>
      <c r="H4" s="13" t="inlineStr">
        <is>
          <t>Last Backup Date</t>
        </is>
      </c>
      <c r="I4" s="13" t="inlineStr">
        <is>
          <t>Last Restore Test Date</t>
        </is>
      </c>
      <c r="J4" s="13" t="inlineStr">
        <is>
          <t>Restore Test Frequency</t>
        </is>
      </c>
      <c r="K4" s="13" t="inlineStr">
        <is>
          <t>Last Restore Success</t>
        </is>
      </c>
      <c r="L4" s="13" t="inlineStr">
        <is>
          <t>RTO (Recovery Time)</t>
        </is>
      </c>
      <c r="M4" s="13" t="inlineStr">
        <is>
          <t>RPO (Recovery Point)</t>
        </is>
      </c>
      <c r="N4" s="13" t="inlineStr">
        <is>
          <t>Backup Retention Period</t>
        </is>
      </c>
      <c r="O4" s="13" t="inlineStr">
        <is>
          <t>Compliance Status</t>
        </is>
      </c>
      <c r="P4" s="13" t="inlineStr">
        <is>
          <t>Notes</t>
        </is>
      </c>
    </row>
    <row r="5">
      <c r="A5" s="14" t="inlineStr">
        <is>
          <t>All Logs</t>
        </is>
      </c>
      <c r="B5" s="14" t="inlineStr">
        <is>
          <t>Daily</t>
        </is>
      </c>
      <c r="C5" s="14" t="inlineStr">
        <is>
          <t>Veeam</t>
        </is>
      </c>
      <c r="D5" s="14" t="inlineStr">
        <is>
          <t>Offsite</t>
        </is>
      </c>
      <c r="E5" s="14" t="inlineStr">
        <is>
          <t>Yes</t>
        </is>
      </c>
      <c r="F5" s="14" t="inlineStr">
        <is>
          <t>AES-256</t>
        </is>
      </c>
      <c r="G5" s="14" t="inlineStr">
        <is>
          <t>Yes (always)</t>
        </is>
      </c>
      <c r="H5" s="14" t="inlineStr">
        <is>
          <t>06.01.2026</t>
        </is>
      </c>
      <c r="I5" s="14" t="inlineStr">
        <is>
          <t>15.12.2025</t>
        </is>
      </c>
      <c r="J5" s="14" t="inlineStr">
        <is>
          <t>Quarterly</t>
        </is>
      </c>
      <c r="K5" s="14" t="inlineStr">
        <is>
          <t>Yes</t>
        </is>
      </c>
      <c r="L5" s="14" t="inlineStr">
        <is>
          <t>24 hours</t>
        </is>
      </c>
      <c r="M5" s="14" t="inlineStr">
        <is>
          <t>24 hours</t>
        </is>
      </c>
      <c r="N5" s="14" t="inlineStr">
        <is>
          <t>90 days</t>
        </is>
      </c>
      <c r="O5" s="14" t="inlineStr">
        <is>
          <t>Compliant</t>
        </is>
      </c>
      <c r="P5" s="14" t="inlineStr">
        <is>
          <t>Full backup daily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8">
        <f>IF(A6="","",
            IF(AND(B6="Daily",OR(D6="Offsite",D6="Cloud",D6="Multiple"),
                   E6="Yes",OR(J6="Quarterly",J6="Monthly")),
                "Compliant","Partial"))</f>
        <v/>
      </c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6" t="n"/>
      <c r="I7" s="16" t="n"/>
      <c r="J7" s="15" t="n"/>
      <c r="K7" s="15" t="n"/>
      <c r="L7" s="15" t="n"/>
      <c r="M7" s="15" t="n"/>
      <c r="N7" s="15" t="n"/>
      <c r="O7" s="18">
        <f>IF(A7="","",
            IF(AND(B7="Daily",OR(D7="Offsite",D7="Cloud",D7="Multiple"),
                   E7="Yes",OR(J7="Quarterly",J7="Monthly")),
                "Compliant","Partial"))</f>
        <v/>
      </c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6" t="n"/>
      <c r="I8" s="16" t="n"/>
      <c r="J8" s="15" t="n"/>
      <c r="K8" s="15" t="n"/>
      <c r="L8" s="15" t="n"/>
      <c r="M8" s="15" t="n"/>
      <c r="N8" s="15" t="n"/>
      <c r="O8" s="18">
        <f>IF(A8="","",
            IF(AND(B8="Daily",OR(D8="Offsite",D8="Cloud",D8="Multiple"),
                   E8="Yes",OR(J8="Quarterly",J8="Monthly")),
                "Compliant","Partial"))</f>
        <v/>
      </c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8">
        <f>IF(A9="","",
            IF(AND(B9="Daily",OR(D9="Offsite",D9="Cloud",D9="Multiple"),
                   E9="Yes",OR(J9="Quarterly",J9="Monthly")),
                "Compliant","Partial"))</f>
        <v/>
      </c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8">
        <f>IF(A10="","",
            IF(AND(B10="Daily",OR(D10="Offsite",D10="Cloud",D10="Multiple"),
                   E10="Yes",OR(J10="Quarterly",J10="Monthly")),
                "Compliant","Partial"))</f>
        <v/>
      </c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8">
        <f>IF(A11="","",
            IF(AND(B11="Daily",OR(D11="Offsite",D11="Cloud",D11="Multiple"),
                   E11="Yes",OR(J11="Quarterly",J11="Monthly")),
                "Compliant","Partial"))</f>
        <v/>
      </c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8">
        <f>IF(A12="","",
            IF(AND(B12="Daily",OR(D12="Offsite",D12="Cloud",D12="Multiple"),
                   E12="Yes",OR(J12="Quarterly",J12="Monthly")),
                "Compliant","Partial"))</f>
        <v/>
      </c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8">
        <f>IF(A13="","",
            IF(AND(B13="Daily",OR(D13="Offsite",D13="Cloud",D13="Multiple"),
                   E13="Yes",OR(J13="Quarterly",J13="Monthly")),
                "Compliant","Partial"))</f>
        <v/>
      </c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6" t="n"/>
      <c r="I14" s="16" t="n"/>
      <c r="J14" s="15" t="n"/>
      <c r="K14" s="15" t="n"/>
      <c r="L14" s="15" t="n"/>
      <c r="M14" s="15" t="n"/>
      <c r="N14" s="15" t="n"/>
      <c r="O14" s="18">
        <f>IF(A14="","",
            IF(AND(B14="Daily",OR(D14="Offsite",D14="Cloud",D14="Multiple"),
                   E14="Yes",OR(J14="Quarterly",J14="Monthly")),
                "Compliant","Partial"))</f>
        <v/>
      </c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6" t="n"/>
      <c r="I15" s="16" t="n"/>
      <c r="J15" s="15" t="n"/>
      <c r="K15" s="15" t="n"/>
      <c r="L15" s="15" t="n"/>
      <c r="M15" s="15" t="n"/>
      <c r="N15" s="15" t="n"/>
      <c r="O15" s="18">
        <f>IF(A15="","",
            IF(AND(B15="Daily",OR(D15="Offsite",D15="Cloud",D15="Multiple"),
                   E15="Yes",OR(J15="Quarterly",J15="Monthly")),
                "Compliant","Partial"))</f>
        <v/>
      </c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8">
        <f>IF(A16="","",
            IF(AND(B16="Daily",OR(D16="Offsite",D16="Cloud",D16="Multiple"),
                   E16="Yes",OR(J16="Quarterly",J16="Monthly")),
                "Compliant","Partial"))</f>
        <v/>
      </c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8">
        <f>IF(A17="","",
            IF(AND(B17="Daily",OR(D17="Offsite",D17="Cloud",D17="Multiple"),
                   E17="Yes",OR(J17="Quarterly",J17="Monthly")),
                "Compliant","Partial"))</f>
        <v/>
      </c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8">
        <f>IF(A18="","",
            IF(AND(B18="Daily",OR(D18="Offsite",D18="Cloud",D18="Multiple"),
                   E18="Yes",OR(J18="Quarterly",J18="Monthly")),
                "Compliant","Partial"))</f>
        <v/>
      </c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8">
        <f>IF(A19="","",
            IF(AND(B19="Daily",OR(D19="Offsite",D19="Cloud",D19="Multiple"),
                   E19="Yes",OR(J19="Quarterly",J19="Monthly")),
                "Compliant","Partial"))</f>
        <v/>
      </c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8">
        <f>IF(A20="","",
            IF(AND(B20="Daily",OR(D20="Offsite",D20="Cloud",D20="Multiple"),
                   E20="Yes",OR(J20="Quarterly",J20="Monthly")),
                "Compliant","Partial"))</f>
        <v/>
      </c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6" t="n"/>
      <c r="I21" s="16" t="n"/>
      <c r="J21" s="15" t="n"/>
      <c r="K21" s="15" t="n"/>
      <c r="L21" s="15" t="n"/>
      <c r="M21" s="15" t="n"/>
      <c r="N21" s="15" t="n"/>
      <c r="O21" s="18">
        <f>IF(A21="","",
            IF(AND(B21="Daily",OR(D21="Offsite",D21="Cloud",D21="Multiple"),
                   E21="Yes",OR(J21="Quarterly",J21="Monthly")),
                "Compliant","Partial"))</f>
        <v/>
      </c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6" t="n"/>
      <c r="I22" s="16" t="n"/>
      <c r="J22" s="15" t="n"/>
      <c r="K22" s="15" t="n"/>
      <c r="L22" s="15" t="n"/>
      <c r="M22" s="15" t="n"/>
      <c r="N22" s="15" t="n"/>
      <c r="O22" s="18">
        <f>IF(A22="","",
            IF(AND(B22="Daily",OR(D22="Offsite",D22="Cloud",D22="Multiple"),
                   E22="Yes",OR(J22="Quarterly",J22="Monthly")),
                "Compliant","Partial"))</f>
        <v/>
      </c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8">
        <f>IF(A23="","",
            IF(AND(B23="Daily",OR(D23="Offsite",D23="Cloud",D23="Multiple"),
                   E23="Yes",OR(J23="Quarterly",J23="Monthly")),
                "Compliant","Partial"))</f>
        <v/>
      </c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8">
        <f>IF(A24="","",
            IF(AND(B24="Daily",OR(D24="Offsite",D24="Cloud",D24="Multiple"),
                   E24="Yes",OR(J24="Quarterly",J24="Monthly")),
                "Compliant","Partial"))</f>
        <v/>
      </c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8">
        <f>IF(A25="","",
            IF(AND(B25="Daily",OR(D25="Offsite",D25="Cloud",D25="Multiple"),
                   E25="Yes",OR(J25="Quarterly",J25="Monthly")),
                "Compliant","Partial"))</f>
        <v/>
      </c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6" t="n"/>
      <c r="I26" s="16" t="n"/>
      <c r="J26" s="15" t="n"/>
      <c r="K26" s="15" t="n"/>
      <c r="L26" s="15" t="n"/>
      <c r="M26" s="15" t="n"/>
      <c r="N26" s="15" t="n"/>
      <c r="O26" s="18">
        <f>IF(A26="","",
            IF(AND(B26="Daily",OR(D26="Offsite",D26="Cloud",D26="Multiple"),
                   E26="Yes",OR(J26="Quarterly",J26="Monthly")),
                "Compliant","Partial"))</f>
        <v/>
      </c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6" t="n"/>
      <c r="I27" s="16" t="n"/>
      <c r="J27" s="15" t="n"/>
      <c r="K27" s="15" t="n"/>
      <c r="L27" s="15" t="n"/>
      <c r="M27" s="15" t="n"/>
      <c r="N27" s="15" t="n"/>
      <c r="O27" s="18">
        <f>IF(A27="","",
            IF(AND(B27="Daily",OR(D27="Offsite",D27="Cloud",D27="Multiple"),
                   E27="Yes",OR(J27="Quarterly",J27="Monthly")),
                "Compliant","Partial"))</f>
        <v/>
      </c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8">
        <f>IF(A28="","",
            IF(AND(B28="Daily",OR(D28="Offsite",D28="Cloud",D28="Multiple"),
                   E28="Yes",OR(J28="Quarterly",J28="Monthly")),
                "Compliant","Partial"))</f>
        <v/>
      </c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8">
        <f>IF(A29="","",
            IF(AND(B29="Daily",OR(D29="Offsite",D29="Cloud",D29="Multiple"),
                   E29="Yes",OR(J29="Quarterly",J29="Monthly")),
                "Compliant","Partial"))</f>
        <v/>
      </c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6" t="n"/>
      <c r="I30" s="16" t="n"/>
      <c r="J30" s="15" t="n"/>
      <c r="K30" s="15" t="n"/>
      <c r="L30" s="15" t="n"/>
      <c r="M30" s="15" t="n"/>
      <c r="N30" s="15" t="n"/>
      <c r="O30" s="18">
        <f>IF(A30="","",
            IF(AND(B30="Daily",OR(D30="Offsite",D30="Cloud",D30="Multiple"),
                   E30="Yes",OR(J30="Quarterly",J30="Monthly")),
                "Compliant","Partial"))</f>
        <v/>
      </c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6" t="n"/>
      <c r="I31" s="16" t="n"/>
      <c r="J31" s="15" t="n"/>
      <c r="K31" s="15" t="n"/>
      <c r="L31" s="15" t="n"/>
      <c r="M31" s="15" t="n"/>
      <c r="N31" s="15" t="n"/>
      <c r="O31" s="18">
        <f>IF(A31="","",
            IF(AND(B31="Daily",OR(D31="Offsite",D31="Cloud",D31="Multiple"),
                   E31="Yes",OR(J31="Quarterly",J31="Monthly")),
                "Compliant","Partial"))</f>
        <v/>
      </c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6" t="n"/>
      <c r="I32" s="16" t="n"/>
      <c r="J32" s="15" t="n"/>
      <c r="K32" s="15" t="n"/>
      <c r="L32" s="15" t="n"/>
      <c r="M32" s="15" t="n"/>
      <c r="N32" s="15" t="n"/>
      <c r="O32" s="18">
        <f>IF(A32="","",
            IF(AND(B32="Daily",OR(D32="Offsite",D32="Cloud",D32="Multiple"),
                   E32="Yes",OR(J32="Quarterly",J32="Monthly")),
                "Compliant","Partial"))</f>
        <v/>
      </c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6" t="n"/>
      <c r="I33" s="16" t="n"/>
      <c r="J33" s="15" t="n"/>
      <c r="K33" s="15" t="n"/>
      <c r="L33" s="15" t="n"/>
      <c r="M33" s="15" t="n"/>
      <c r="N33" s="15" t="n"/>
      <c r="O33" s="18">
        <f>IF(A33="","",
            IF(AND(B33="Daily",OR(D33="Offsite",D33="Cloud",D33="Multiple"),
                   E33="Yes",OR(J33="Quarterly",J33="Monthly")),
                "Compliant","Partial"))</f>
        <v/>
      </c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6" t="n"/>
      <c r="I34" s="16" t="n"/>
      <c r="J34" s="15" t="n"/>
      <c r="K34" s="15" t="n"/>
      <c r="L34" s="15" t="n"/>
      <c r="M34" s="15" t="n"/>
      <c r="N34" s="15" t="n"/>
      <c r="O34" s="18">
        <f>IF(A34="","",
            IF(AND(B34="Daily",OR(D34="Offsite",D34="Cloud",D34="Multiple"),
                   E34="Yes",OR(J34="Quarterly",J34="Monthly")),
                "Compliant","Partial"))</f>
        <v/>
      </c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6" t="n"/>
      <c r="I35" s="16" t="n"/>
      <c r="J35" s="15" t="n"/>
      <c r="K35" s="15" t="n"/>
      <c r="L35" s="15" t="n"/>
      <c r="M35" s="15" t="n"/>
      <c r="N35" s="15" t="n"/>
      <c r="O35" s="18">
        <f>IF(A35="","",
            IF(AND(B35="Daily",OR(D35="Offsite",D35="Cloud",D35="Multiple"),
                   E35="Yes",OR(J35="Quarterly",J35="Monthly")),
                "Compliant","Partial"))</f>
        <v/>
      </c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6" t="n"/>
      <c r="I36" s="16" t="n"/>
      <c r="J36" s="15" t="n"/>
      <c r="K36" s="15" t="n"/>
      <c r="L36" s="15" t="n"/>
      <c r="M36" s="15" t="n"/>
      <c r="N36" s="15" t="n"/>
      <c r="O36" s="18">
        <f>IF(A36="","",
            IF(AND(B36="Daily",OR(D36="Offsite",D36="Cloud",D36="Multiple"),
                   E36="Yes",OR(J36="Quarterly",J36="Monthly")),
                "Compliant","Partial"))</f>
        <v/>
      </c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6" t="n"/>
      <c r="I37" s="16" t="n"/>
      <c r="J37" s="15" t="n"/>
      <c r="K37" s="15" t="n"/>
      <c r="L37" s="15" t="n"/>
      <c r="M37" s="15" t="n"/>
      <c r="N37" s="15" t="n"/>
      <c r="O37" s="18">
        <f>IF(A37="","",
            IF(AND(B37="Daily",OR(D37="Offsite",D37="Cloud",D37="Multiple"),
                   E37="Yes",OR(J37="Quarterly",J37="Monthly")),
                "Compliant","Partial"))</f>
        <v/>
      </c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6" t="n"/>
      <c r="I38" s="16" t="n"/>
      <c r="J38" s="15" t="n"/>
      <c r="K38" s="15" t="n"/>
      <c r="L38" s="15" t="n"/>
      <c r="M38" s="15" t="n"/>
      <c r="N38" s="15" t="n"/>
      <c r="O38" s="18">
        <f>IF(A38="","",
            IF(AND(B38="Daily",OR(D38="Offsite",D38="Cloud",D38="Multiple"),
                   E38="Yes",OR(J38="Quarterly",J38="Monthly")),
                "Compliant","Partial"))</f>
        <v/>
      </c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6" t="n"/>
      <c r="I39" s="16" t="n"/>
      <c r="J39" s="15" t="n"/>
      <c r="K39" s="15" t="n"/>
      <c r="L39" s="15" t="n"/>
      <c r="M39" s="15" t="n"/>
      <c r="N39" s="15" t="n"/>
      <c r="O39" s="18">
        <f>IF(A39="","",
            IF(AND(B39="Daily",OR(D39="Offsite",D39="Cloud",D39="Multiple"),
                   E39="Yes",OR(J39="Quarterly",J39="Monthly")),
                "Compliant","Partial"))</f>
        <v/>
      </c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6" t="n"/>
      <c r="I40" s="16" t="n"/>
      <c r="J40" s="15" t="n"/>
      <c r="K40" s="15" t="n"/>
      <c r="L40" s="15" t="n"/>
      <c r="M40" s="15" t="n"/>
      <c r="N40" s="15" t="n"/>
      <c r="O40" s="18">
        <f>IF(A40="","",
            IF(AND(B40="Daily",OR(D40="Offsite",D40="Cloud",D40="Multiple"),
                   E40="Yes",OR(J40="Quarterly",J40="Monthly")),
                "Compliant","Partial"))</f>
        <v/>
      </c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6" t="n"/>
      <c r="I41" s="16" t="n"/>
      <c r="J41" s="15" t="n"/>
      <c r="K41" s="15" t="n"/>
      <c r="L41" s="15" t="n"/>
      <c r="M41" s="15" t="n"/>
      <c r="N41" s="15" t="n"/>
      <c r="O41" s="18">
        <f>IF(A41="","",
            IF(AND(B41="Daily",OR(D41="Offsite",D41="Cloud",D41="Multiple"),
                   E41="Yes",OR(J41="Quarterly",J41="Monthly")),
                "Compliant","Partial"))</f>
        <v/>
      </c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15" t="n"/>
      <c r="K42" s="15" t="n"/>
      <c r="L42" s="15" t="n"/>
      <c r="M42" s="15" t="n"/>
      <c r="N42" s="15" t="n"/>
      <c r="O42" s="18">
        <f>IF(A42="","",
            IF(AND(B42="Daily",OR(D42="Offsite",D42="Cloud",D42="Multiple"),
                   E42="Yes",OR(J42="Quarterly",J42="Monthly")),
                "Compliant","Partial"))</f>
        <v/>
      </c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6" t="n"/>
      <c r="I43" s="16" t="n"/>
      <c r="J43" s="15" t="n"/>
      <c r="K43" s="15" t="n"/>
      <c r="L43" s="15" t="n"/>
      <c r="M43" s="15" t="n"/>
      <c r="N43" s="15" t="n"/>
      <c r="O43" s="18">
        <f>IF(A43="","",
            IF(AND(B43="Daily",OR(D43="Offsite",D43="Cloud",D43="Multiple"),
                   E43="Yes",OR(J43="Quarterly",J43="Monthly")),
                "Compliant","Partial"))</f>
        <v/>
      </c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6" t="n"/>
      <c r="I44" s="16" t="n"/>
      <c r="J44" s="15" t="n"/>
      <c r="K44" s="15" t="n"/>
      <c r="L44" s="15" t="n"/>
      <c r="M44" s="15" t="n"/>
      <c r="N44" s="15" t="n"/>
      <c r="O44" s="18">
        <f>IF(A44="","",
            IF(AND(B44="Daily",OR(D44="Offsite",D44="Cloud",D44="Multiple"),
                   E44="Yes",OR(J44="Quarterly",J44="Monthly")),
                "Compliant","Partial"))</f>
        <v/>
      </c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6" t="n"/>
      <c r="I45" s="16" t="n"/>
      <c r="J45" s="15" t="n"/>
      <c r="K45" s="15" t="n"/>
      <c r="L45" s="15" t="n"/>
      <c r="M45" s="15" t="n"/>
      <c r="N45" s="15" t="n"/>
      <c r="O45" s="18">
        <f>IF(A45="","",
            IF(AND(B45="Daily",OR(D45="Offsite",D45="Cloud",D45="Multiple"),
                   E45="Yes",OR(J45="Quarterly",J45="Monthly")),
                "Compliant","Partial"))</f>
        <v/>
      </c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6" t="n"/>
      <c r="I46" s="16" t="n"/>
      <c r="J46" s="15" t="n"/>
      <c r="K46" s="15" t="n"/>
      <c r="L46" s="15" t="n"/>
      <c r="M46" s="15" t="n"/>
      <c r="N46" s="15" t="n"/>
      <c r="O46" s="18">
        <f>IF(A46="","",
            IF(AND(B46="Daily",OR(D46="Offsite",D46="Cloud",D46="Multiple"),
                   E46="Yes",OR(J46="Quarterly",J46="Monthly")),
                "Compliant","Partial"))</f>
        <v/>
      </c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6" t="n"/>
      <c r="I47" s="16" t="n"/>
      <c r="J47" s="15" t="n"/>
      <c r="K47" s="15" t="n"/>
      <c r="L47" s="15" t="n"/>
      <c r="M47" s="15" t="n"/>
      <c r="N47" s="15" t="n"/>
      <c r="O47" s="18">
        <f>IF(A47="","",
            IF(AND(B47="Daily",OR(D47="Offsite",D47="Cloud",D47="Multiple"),
                   E47="Yes",OR(J47="Quarterly",J47="Monthly")),
                "Compliant","Partial"))</f>
        <v/>
      </c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6" t="n"/>
      <c r="I48" s="16" t="n"/>
      <c r="J48" s="15" t="n"/>
      <c r="K48" s="15" t="n"/>
      <c r="L48" s="15" t="n"/>
      <c r="M48" s="15" t="n"/>
      <c r="N48" s="15" t="n"/>
      <c r="O48" s="18">
        <f>IF(A48="","",
            IF(AND(B48="Daily",OR(D48="Offsite",D48="Cloud",D48="Multiple"),
                   E48="Yes",OR(J48="Quarterly",J48="Monthly")),
                "Compliant","Partial"))</f>
        <v/>
      </c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6" t="n"/>
      <c r="I49" s="16" t="n"/>
      <c r="J49" s="15" t="n"/>
      <c r="K49" s="15" t="n"/>
      <c r="L49" s="15" t="n"/>
      <c r="M49" s="15" t="n"/>
      <c r="N49" s="15" t="n"/>
      <c r="O49" s="18">
        <f>IF(A49="","",
            IF(AND(B49="Daily",OR(D49="Offsite",D49="Cloud",D49="Multiple"),
                   E49="Yes",OR(J49="Quarterly",J49="Monthly")),
                "Compliant","Partial"))</f>
        <v/>
      </c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6" t="n"/>
      <c r="I50" s="16" t="n"/>
      <c r="J50" s="15" t="n"/>
      <c r="K50" s="15" t="n"/>
      <c r="L50" s="15" t="n"/>
      <c r="M50" s="15" t="n"/>
      <c r="N50" s="15" t="n"/>
      <c r="O50" s="18">
        <f>IF(A50="","",
            IF(AND(B50="Daily",OR(D50="Offsite",D50="Cloud",D50="Multiple"),
                   E50="Yes",OR(J50="Quarterly",J50="Monthly")),
                "Compliant","Partial"))</f>
        <v/>
      </c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6" t="n"/>
      <c r="I51" s="16" t="n"/>
      <c r="J51" s="15" t="n"/>
      <c r="K51" s="15" t="n"/>
      <c r="L51" s="15" t="n"/>
      <c r="M51" s="15" t="n"/>
      <c r="N51" s="15" t="n"/>
      <c r="O51" s="18">
        <f>IF(A51="","",
            IF(AND(B51="Daily",OR(D51="Offsite",D51="Cloud",D51="Multiple"),
                   E51="Yes",OR(J51="Quarterly",J51="Monthly")),
                "Compliant","Partial"))</f>
        <v/>
      </c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6" t="n"/>
      <c r="I52" s="16" t="n"/>
      <c r="J52" s="15" t="n"/>
      <c r="K52" s="15" t="n"/>
      <c r="L52" s="15" t="n"/>
      <c r="M52" s="15" t="n"/>
      <c r="N52" s="15" t="n"/>
      <c r="O52" s="18">
        <f>IF(A52="","",
            IF(AND(B52="Daily",OR(D52="Offsite",D52="Cloud",D52="Multiple"),
                   E52="Yes",OR(J52="Quarterly",J52="Monthly")),
                "Compliant","Partial"))</f>
        <v/>
      </c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6" t="n"/>
      <c r="I53" s="16" t="n"/>
      <c r="J53" s="15" t="n"/>
      <c r="K53" s="15" t="n"/>
      <c r="L53" s="15" t="n"/>
      <c r="M53" s="15" t="n"/>
      <c r="N53" s="15" t="n"/>
      <c r="O53" s="18">
        <f>IF(A53="","",
            IF(AND(B53="Daily",OR(D53="Offsite",D53="Cloud",D53="Multiple"),
                   E53="Yes",OR(J53="Quarterly",J53="Monthly")),
                "Compliant","Partial"))</f>
        <v/>
      </c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6" t="n"/>
      <c r="I54" s="16" t="n"/>
      <c r="J54" s="15" t="n"/>
      <c r="K54" s="15" t="n"/>
      <c r="L54" s="15" t="n"/>
      <c r="M54" s="15" t="n"/>
      <c r="N54" s="15" t="n"/>
      <c r="O54" s="18">
        <f>IF(A54="","",
            IF(AND(B54="Daily",OR(D54="Offsite",D54="Cloud",D54="Multiple"),
                   E54="Yes",OR(J54="Quarterly",J54="Monthly")),
                "Compliant","Partial"))</f>
        <v/>
      </c>
      <c r="P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6" t="n"/>
      <c r="I55" s="16" t="n"/>
      <c r="J55" s="15" t="n"/>
      <c r="K55" s="15" t="n"/>
      <c r="L55" s="15" t="n"/>
      <c r="M55" s="15" t="n"/>
      <c r="N55" s="15" t="n"/>
      <c r="O55" s="18">
        <f>IF(A55="","",
            IF(AND(B55="Daily",OR(D55="Offsite",D55="Cloud",D55="Multiple"),
                   E55="Yes",OR(J55="Quarterly",J55="Monthly")),
                "Compliant","Partial"))</f>
        <v/>
      </c>
      <c r="P55" s="15" t="n"/>
    </row>
  </sheetData>
  <mergeCells count="2">
    <mergeCell ref="A1:P1"/>
    <mergeCell ref="A2:P2"/>
  </mergeCells>
  <dataValidations count="7">
    <dataValidation sqref="A6:A55" showDropDown="0" showInputMessage="0" showErrorMessage="0" allowBlank="1" type="list">
      <formula1>"All Logs,Hot Storage Only,Critical Logs Only,None"</formula1>
    </dataValidation>
    <dataValidation sqref="B6:B55" showDropDown="0" showInputMessage="0" showErrorMessage="0" allowBlank="1" type="list">
      <formula1>"Daily,Weekly,Monthly"</formula1>
    </dataValidation>
    <dataValidation sqref="D6:D55" showDropDown="0" showInputMessage="0" showErrorMessage="0" allowBlank="1" type="list">
      <formula1>"Same Site,Offsite,Cloud,Multiple"</formula1>
    </dataValidation>
    <dataValidation sqref="E6:E55 K6:K55" showDropDown="0" showInputMessage="0" showErrorMessage="0" allowBlank="1" type="list">
      <formula1>"Yes,No"</formula1>
    </dataValidation>
    <dataValidation sqref="F6:F55" showDropDown="0" showInputMessage="0" showErrorMessage="0" allowBlank="1" type="list">
      <formula1>"AES-256,AES-128,None"</formula1>
    </dataValidation>
    <dataValidation sqref="G6:G55" showDropDown="0" showInputMessage="0" showErrorMessage="0" allowBlank="1" type="list">
      <formula1>"Yes (periodic),Yes (always),No"</formula1>
    </dataValidation>
    <dataValidation sqref="J6:J55" showDropDown="0" showInputMessage="0" showErrorMessage="0" allowBlank="1" type="list">
      <formula1>"Quarterly,Semi-annual,Annual,Never"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2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40" customWidth="1" min="12" max="12"/>
    <col width="40" customWidth="1" min="13" max="13"/>
    <col width="40" customWidth="1" min="14" max="14"/>
  </cols>
  <sheetData>
    <row r="1" ht="35" customHeight="1">
      <c r="A1" s="11" t="inlineStr">
        <is>
          <t>DISPOSAL PROCEDURES</t>
        </is>
      </c>
    </row>
    <row r="2">
      <c r="A2" s="12" t="inlineStr">
        <is>
          <t>Assess secure disposal practices per ISMS-POL-A.8.15-S2.3.5</t>
        </is>
      </c>
    </row>
    <row r="4">
      <c r="A4" s="13" t="inlineStr">
        <is>
          <t>Log Type / Source</t>
        </is>
      </c>
      <c r="B4" s="13" t="inlineStr">
        <is>
          <t>Retention Period Expired</t>
        </is>
      </c>
      <c r="C4" s="13" t="inlineStr">
        <is>
          <t>Automated Disposal</t>
        </is>
      </c>
      <c r="D4" s="13" t="inlineStr">
        <is>
          <t>Disposal Method</t>
        </is>
      </c>
      <c r="E4" s="13" t="inlineStr">
        <is>
          <t>Disposal Approval Required</t>
        </is>
      </c>
      <c r="F4" s="13" t="inlineStr">
        <is>
          <t>Legal Hold Check</t>
        </is>
      </c>
      <c r="G4" s="13" t="inlineStr">
        <is>
          <t>Disposal Logged</t>
        </is>
      </c>
      <c r="H4" s="13" t="inlineStr">
        <is>
          <t>Last Disposal Date</t>
        </is>
      </c>
      <c r="I4" s="13" t="inlineStr">
        <is>
          <t>Volume Disposed (GB)</t>
        </is>
      </c>
      <c r="J4" s="13" t="inlineStr">
        <is>
          <t>Disposal Verification</t>
        </is>
      </c>
      <c r="K4" s="13" t="inlineStr">
        <is>
          <t>Compliance with Policy</t>
        </is>
      </c>
      <c r="L4" s="13" t="inlineStr">
        <is>
          <t>Issues</t>
        </is>
      </c>
      <c r="M4" s="13" t="inlineStr">
        <is>
          <t>Remediation</t>
        </is>
      </c>
      <c r="N4" s="13" t="inlineStr">
        <is>
          <t>Notes</t>
        </is>
      </c>
    </row>
    <row r="5">
      <c r="A5" s="14" t="inlineStr">
        <is>
          <t>Web Server Logs (&gt;12 months)</t>
        </is>
      </c>
      <c r="B5" s="14" t="inlineStr">
        <is>
          <t>Monthly</t>
        </is>
      </c>
      <c r="C5" s="14" t="inlineStr">
        <is>
          <t>Yes</t>
        </is>
      </c>
      <c r="D5" s="14" t="inlineStr">
        <is>
          <t>Cryptographic Erasure</t>
        </is>
      </c>
      <c r="E5" s="14" t="inlineStr">
        <is>
          <t>No (automated)</t>
        </is>
      </c>
      <c r="F5" s="14" t="inlineStr">
        <is>
          <t>Yes (checked)</t>
        </is>
      </c>
      <c r="G5" s="14" t="inlineStr">
        <is>
          <t>Yes</t>
        </is>
      </c>
      <c r="H5" s="14" t="inlineStr">
        <is>
          <t>01.01.2026</t>
        </is>
      </c>
      <c r="I5" s="14" t="inlineStr">
        <is>
          <t>250</t>
        </is>
      </c>
      <c r="J5" s="14" t="inlineStr">
        <is>
          <t>Verified</t>
        </is>
      </c>
      <c r="K5" s="14" t="inlineStr">
        <is>
          <t>Compliant</t>
        </is>
      </c>
      <c r="L5" s="14" t="inlineStr">
        <is>
          <t>None</t>
        </is>
      </c>
      <c r="M5" s="14" t="inlineStr"/>
      <c r="N5" s="14" t="inlineStr">
        <is>
          <t>Automated monthly cleanup</t>
        </is>
      </c>
    </row>
    <row r="6">
      <c r="A6" s="15" t="n"/>
      <c r="B6" s="16" t="n"/>
      <c r="C6" s="15" t="n"/>
      <c r="D6" s="15" t="n"/>
      <c r="E6" s="15" t="n"/>
      <c r="F6" s="15" t="n"/>
      <c r="G6" s="15" t="n"/>
      <c r="H6" s="16" t="n"/>
      <c r="I6" s="15" t="n"/>
      <c r="J6" s="15" t="n"/>
      <c r="K6" s="18">
        <f>IF(A6="","",
            IF(AND(F6="Yes (checked)",G6="Yes",
                   OR(D6="Cryptographic Erasure",D6="Multi-pass Overwrite",D6="Physical Destruction")),
                "Compliant","Non-Compliant"))</f>
        <v/>
      </c>
      <c r="L6" s="15" t="n"/>
      <c r="M6" s="15" t="n"/>
      <c r="N6" s="15" t="n"/>
    </row>
    <row r="7">
      <c r="A7" s="15" t="n"/>
      <c r="B7" s="16" t="n"/>
      <c r="C7" s="15" t="n"/>
      <c r="D7" s="15" t="n"/>
      <c r="E7" s="15" t="n"/>
      <c r="F7" s="15" t="n"/>
      <c r="G7" s="15" t="n"/>
      <c r="H7" s="16" t="n"/>
      <c r="I7" s="15" t="n"/>
      <c r="J7" s="15" t="n"/>
      <c r="K7" s="18">
        <f>IF(A7="","",
            IF(AND(F7="Yes (checked)",G7="Yes",
                   OR(D7="Cryptographic Erasure",D7="Multi-pass Overwrite",D7="Physical Destruction")),
                "Compliant","Non-Compliant"))</f>
        <v/>
      </c>
      <c r="L7" s="15" t="n"/>
      <c r="M7" s="15" t="n"/>
      <c r="N7" s="15" t="n"/>
    </row>
    <row r="8">
      <c r="A8" s="15" t="n"/>
      <c r="B8" s="16" t="n"/>
      <c r="C8" s="15" t="n"/>
      <c r="D8" s="15" t="n"/>
      <c r="E8" s="15" t="n"/>
      <c r="F8" s="15" t="n"/>
      <c r="G8" s="15" t="n"/>
      <c r="H8" s="16" t="n"/>
      <c r="I8" s="15" t="n"/>
      <c r="J8" s="15" t="n"/>
      <c r="K8" s="18">
        <f>IF(A8="","",
            IF(AND(F8="Yes (checked)",G8="Yes",
                   OR(D8="Cryptographic Erasure",D8="Multi-pass Overwrite",D8="Physical Destruction")),
                "Compliant","Non-Compliant"))</f>
        <v/>
      </c>
      <c r="L8" s="15" t="n"/>
      <c r="M8" s="15" t="n"/>
      <c r="N8" s="15" t="n"/>
    </row>
    <row r="9">
      <c r="A9" s="15" t="n"/>
      <c r="B9" s="16" t="n"/>
      <c r="C9" s="15" t="n"/>
      <c r="D9" s="15" t="n"/>
      <c r="E9" s="15" t="n"/>
      <c r="F9" s="15" t="n"/>
      <c r="G9" s="15" t="n"/>
      <c r="H9" s="16" t="n"/>
      <c r="I9" s="15" t="n"/>
      <c r="J9" s="15" t="n"/>
      <c r="K9" s="18">
        <f>IF(A9="","",
            IF(AND(F9="Yes (checked)",G9="Yes",
                   OR(D9="Cryptographic Erasure",D9="Multi-pass Overwrite",D9="Physical Destruction")),
                "Compliant","Non-Compliant"))</f>
        <v/>
      </c>
      <c r="L9" s="15" t="n"/>
      <c r="M9" s="15" t="n"/>
      <c r="N9" s="15" t="n"/>
    </row>
    <row r="10">
      <c r="A10" s="15" t="n"/>
      <c r="B10" s="16" t="n"/>
      <c r="C10" s="15" t="n"/>
      <c r="D10" s="15" t="n"/>
      <c r="E10" s="15" t="n"/>
      <c r="F10" s="15" t="n"/>
      <c r="G10" s="15" t="n"/>
      <c r="H10" s="16" t="n"/>
      <c r="I10" s="15" t="n"/>
      <c r="J10" s="15" t="n"/>
      <c r="K10" s="18">
        <f>IF(A10="","",
            IF(AND(F10="Yes (checked)",G10="Yes",
                   OR(D10="Cryptographic Erasure",D10="Multi-pass Overwrite",D10="Physical Destruction")),
                "Compliant","Non-Compliant"))</f>
        <v/>
      </c>
      <c r="L10" s="15" t="n"/>
      <c r="M10" s="15" t="n"/>
      <c r="N10" s="15" t="n"/>
    </row>
    <row r="11">
      <c r="A11" s="15" t="n"/>
      <c r="B11" s="16" t="n"/>
      <c r="C11" s="15" t="n"/>
      <c r="D11" s="15" t="n"/>
      <c r="E11" s="15" t="n"/>
      <c r="F11" s="15" t="n"/>
      <c r="G11" s="15" t="n"/>
      <c r="H11" s="16" t="n"/>
      <c r="I11" s="15" t="n"/>
      <c r="J11" s="15" t="n"/>
      <c r="K11" s="18">
        <f>IF(A11="","",
            IF(AND(F11="Yes (checked)",G11="Yes",
                   OR(D11="Cryptographic Erasure",D11="Multi-pass Overwrite",D11="Physical Destruction")),
                "Compliant","Non-Compliant"))</f>
        <v/>
      </c>
      <c r="L11" s="15" t="n"/>
      <c r="M11" s="15" t="n"/>
      <c r="N11" s="15" t="n"/>
    </row>
    <row r="12">
      <c r="A12" s="15" t="n"/>
      <c r="B12" s="16" t="n"/>
      <c r="C12" s="15" t="n"/>
      <c r="D12" s="15" t="n"/>
      <c r="E12" s="15" t="n"/>
      <c r="F12" s="15" t="n"/>
      <c r="G12" s="15" t="n"/>
      <c r="H12" s="16" t="n"/>
      <c r="I12" s="15" t="n"/>
      <c r="J12" s="15" t="n"/>
      <c r="K12" s="18">
        <f>IF(A12="","",
            IF(AND(F12="Yes (checked)",G12="Yes",
                   OR(D12="Cryptographic Erasure",D12="Multi-pass Overwrite",D12="Physical Destruction")),
                "Compliant","Non-Compliant"))</f>
        <v/>
      </c>
      <c r="L12" s="15" t="n"/>
      <c r="M12" s="15" t="n"/>
      <c r="N12" s="15" t="n"/>
    </row>
    <row r="13">
      <c r="A13" s="15" t="n"/>
      <c r="B13" s="16" t="n"/>
      <c r="C13" s="15" t="n"/>
      <c r="D13" s="15" t="n"/>
      <c r="E13" s="15" t="n"/>
      <c r="F13" s="15" t="n"/>
      <c r="G13" s="15" t="n"/>
      <c r="H13" s="16" t="n"/>
      <c r="I13" s="15" t="n"/>
      <c r="J13" s="15" t="n"/>
      <c r="K13" s="18">
        <f>IF(A13="","",
            IF(AND(F13="Yes (checked)",G13="Yes",
                   OR(D13="Cryptographic Erasure",D13="Multi-pass Overwrite",D13="Physical Destruction")),
                "Compliant","Non-Compliant"))</f>
        <v/>
      </c>
      <c r="L13" s="15" t="n"/>
      <c r="M13" s="15" t="n"/>
      <c r="N13" s="15" t="n"/>
    </row>
    <row r="14">
      <c r="A14" s="15" t="n"/>
      <c r="B14" s="16" t="n"/>
      <c r="C14" s="15" t="n"/>
      <c r="D14" s="15" t="n"/>
      <c r="E14" s="15" t="n"/>
      <c r="F14" s="15" t="n"/>
      <c r="G14" s="15" t="n"/>
      <c r="H14" s="16" t="n"/>
      <c r="I14" s="15" t="n"/>
      <c r="J14" s="15" t="n"/>
      <c r="K14" s="18">
        <f>IF(A14="","",
            IF(AND(F14="Yes (checked)",G14="Yes",
                   OR(D14="Cryptographic Erasure",D14="Multi-pass Overwrite",D14="Physical Destruction")),
                "Compliant","Non-Compliant"))</f>
        <v/>
      </c>
      <c r="L14" s="15" t="n"/>
      <c r="M14" s="15" t="n"/>
      <c r="N14" s="15" t="n"/>
    </row>
    <row r="15">
      <c r="A15" s="15" t="n"/>
      <c r="B15" s="16" t="n"/>
      <c r="C15" s="15" t="n"/>
      <c r="D15" s="15" t="n"/>
      <c r="E15" s="15" t="n"/>
      <c r="F15" s="15" t="n"/>
      <c r="G15" s="15" t="n"/>
      <c r="H15" s="16" t="n"/>
      <c r="I15" s="15" t="n"/>
      <c r="J15" s="15" t="n"/>
      <c r="K15" s="18">
        <f>IF(A15="","",
            IF(AND(F15="Yes (checked)",G15="Yes",
                   OR(D15="Cryptographic Erasure",D15="Multi-pass Overwrite",D15="Physical Destruction")),
                "Compliant","Non-Compliant"))</f>
        <v/>
      </c>
      <c r="L15" s="15" t="n"/>
      <c r="M15" s="15" t="n"/>
      <c r="N15" s="15" t="n"/>
    </row>
    <row r="16">
      <c r="A16" s="15" t="n"/>
      <c r="B16" s="16" t="n"/>
      <c r="C16" s="15" t="n"/>
      <c r="D16" s="15" t="n"/>
      <c r="E16" s="15" t="n"/>
      <c r="F16" s="15" t="n"/>
      <c r="G16" s="15" t="n"/>
      <c r="H16" s="16" t="n"/>
      <c r="I16" s="15" t="n"/>
      <c r="J16" s="15" t="n"/>
      <c r="K16" s="18">
        <f>IF(A16="","",
            IF(AND(F16="Yes (checked)",G16="Yes",
                   OR(D16="Cryptographic Erasure",D16="Multi-pass Overwrite",D16="Physical Destruction")),
                "Compliant","Non-Compliant"))</f>
        <v/>
      </c>
      <c r="L16" s="15" t="n"/>
      <c r="M16" s="15" t="n"/>
      <c r="N16" s="15" t="n"/>
    </row>
    <row r="17">
      <c r="A17" s="15" t="n"/>
      <c r="B17" s="16" t="n"/>
      <c r="C17" s="15" t="n"/>
      <c r="D17" s="15" t="n"/>
      <c r="E17" s="15" t="n"/>
      <c r="F17" s="15" t="n"/>
      <c r="G17" s="15" t="n"/>
      <c r="H17" s="16" t="n"/>
      <c r="I17" s="15" t="n"/>
      <c r="J17" s="15" t="n"/>
      <c r="K17" s="18">
        <f>IF(A17="","",
            IF(AND(F17="Yes (checked)",G17="Yes",
                   OR(D17="Cryptographic Erasure",D17="Multi-pass Overwrite",D17="Physical Destruction")),
                "Compliant","Non-Compliant"))</f>
        <v/>
      </c>
      <c r="L17" s="15" t="n"/>
      <c r="M17" s="15" t="n"/>
      <c r="N17" s="15" t="n"/>
    </row>
    <row r="18">
      <c r="A18" s="15" t="n"/>
      <c r="B18" s="16" t="n"/>
      <c r="C18" s="15" t="n"/>
      <c r="D18" s="15" t="n"/>
      <c r="E18" s="15" t="n"/>
      <c r="F18" s="15" t="n"/>
      <c r="G18" s="15" t="n"/>
      <c r="H18" s="16" t="n"/>
      <c r="I18" s="15" t="n"/>
      <c r="J18" s="15" t="n"/>
      <c r="K18" s="18">
        <f>IF(A18="","",
            IF(AND(F18="Yes (checked)",G18="Yes",
                   OR(D18="Cryptographic Erasure",D18="Multi-pass Overwrite",D18="Physical Destruction")),
                "Compliant","Non-Compliant"))</f>
        <v/>
      </c>
      <c r="L18" s="15" t="n"/>
      <c r="M18" s="15" t="n"/>
      <c r="N18" s="15" t="n"/>
    </row>
    <row r="19">
      <c r="A19" s="15" t="n"/>
      <c r="B19" s="16" t="n"/>
      <c r="C19" s="15" t="n"/>
      <c r="D19" s="15" t="n"/>
      <c r="E19" s="15" t="n"/>
      <c r="F19" s="15" t="n"/>
      <c r="G19" s="15" t="n"/>
      <c r="H19" s="16" t="n"/>
      <c r="I19" s="15" t="n"/>
      <c r="J19" s="15" t="n"/>
      <c r="K19" s="18">
        <f>IF(A19="","",
            IF(AND(F19="Yes (checked)",G19="Yes",
                   OR(D19="Cryptographic Erasure",D19="Multi-pass Overwrite",D19="Physical Destruction")),
                "Compliant","Non-Compliant"))</f>
        <v/>
      </c>
      <c r="L19" s="15" t="n"/>
      <c r="M19" s="15" t="n"/>
      <c r="N19" s="15" t="n"/>
    </row>
    <row r="20">
      <c r="A20" s="15" t="n"/>
      <c r="B20" s="16" t="n"/>
      <c r="C20" s="15" t="n"/>
      <c r="D20" s="15" t="n"/>
      <c r="E20" s="15" t="n"/>
      <c r="F20" s="15" t="n"/>
      <c r="G20" s="15" t="n"/>
      <c r="H20" s="16" t="n"/>
      <c r="I20" s="15" t="n"/>
      <c r="J20" s="15" t="n"/>
      <c r="K20" s="18">
        <f>IF(A20="","",
            IF(AND(F20="Yes (checked)",G20="Yes",
                   OR(D20="Cryptographic Erasure",D20="Multi-pass Overwrite",D20="Physical Destruction")),
                "Compliant","Non-Compliant"))</f>
        <v/>
      </c>
      <c r="L20" s="15" t="n"/>
      <c r="M20" s="15" t="n"/>
      <c r="N20" s="15" t="n"/>
    </row>
    <row r="21">
      <c r="A21" s="15" t="n"/>
      <c r="B21" s="16" t="n"/>
      <c r="C21" s="15" t="n"/>
      <c r="D21" s="15" t="n"/>
      <c r="E21" s="15" t="n"/>
      <c r="F21" s="15" t="n"/>
      <c r="G21" s="15" t="n"/>
      <c r="H21" s="16" t="n"/>
      <c r="I21" s="15" t="n"/>
      <c r="J21" s="15" t="n"/>
      <c r="K21" s="18">
        <f>IF(A21="","",
            IF(AND(F21="Yes (checked)",G21="Yes",
                   OR(D21="Cryptographic Erasure",D21="Multi-pass Overwrite",D21="Physical Destruction")),
                "Compliant","Non-Compliant"))</f>
        <v/>
      </c>
      <c r="L21" s="15" t="n"/>
      <c r="M21" s="15" t="n"/>
      <c r="N21" s="15" t="n"/>
    </row>
    <row r="22">
      <c r="A22" s="15" t="n"/>
      <c r="B22" s="16" t="n"/>
      <c r="C22" s="15" t="n"/>
      <c r="D22" s="15" t="n"/>
      <c r="E22" s="15" t="n"/>
      <c r="F22" s="15" t="n"/>
      <c r="G22" s="15" t="n"/>
      <c r="H22" s="16" t="n"/>
      <c r="I22" s="15" t="n"/>
      <c r="J22" s="15" t="n"/>
      <c r="K22" s="18">
        <f>IF(A22="","",
            IF(AND(F22="Yes (checked)",G22="Yes",
                   OR(D22="Cryptographic Erasure",D22="Multi-pass Overwrite",D22="Physical Destruction")),
                "Compliant","Non-Compliant"))</f>
        <v/>
      </c>
      <c r="L22" s="15" t="n"/>
      <c r="M22" s="15" t="n"/>
      <c r="N22" s="15" t="n"/>
    </row>
    <row r="23">
      <c r="A23" s="15" t="n"/>
      <c r="B23" s="16" t="n"/>
      <c r="C23" s="15" t="n"/>
      <c r="D23" s="15" t="n"/>
      <c r="E23" s="15" t="n"/>
      <c r="F23" s="15" t="n"/>
      <c r="G23" s="15" t="n"/>
      <c r="H23" s="16" t="n"/>
      <c r="I23" s="15" t="n"/>
      <c r="J23" s="15" t="n"/>
      <c r="K23" s="18">
        <f>IF(A23="","",
            IF(AND(F23="Yes (checked)",G23="Yes",
                   OR(D23="Cryptographic Erasure",D23="Multi-pass Overwrite",D23="Physical Destruction")),
                "Compliant","Non-Compliant"))</f>
        <v/>
      </c>
      <c r="L23" s="15" t="n"/>
      <c r="M23" s="15" t="n"/>
      <c r="N23" s="15" t="n"/>
    </row>
    <row r="24">
      <c r="A24" s="15" t="n"/>
      <c r="B24" s="16" t="n"/>
      <c r="C24" s="15" t="n"/>
      <c r="D24" s="15" t="n"/>
      <c r="E24" s="15" t="n"/>
      <c r="F24" s="15" t="n"/>
      <c r="G24" s="15" t="n"/>
      <c r="H24" s="16" t="n"/>
      <c r="I24" s="15" t="n"/>
      <c r="J24" s="15" t="n"/>
      <c r="K24" s="18">
        <f>IF(A24="","",
            IF(AND(F24="Yes (checked)",G24="Yes",
                   OR(D24="Cryptographic Erasure",D24="Multi-pass Overwrite",D24="Physical Destruction")),
                "Compliant","Non-Compliant"))</f>
        <v/>
      </c>
      <c r="L24" s="15" t="n"/>
      <c r="M24" s="15" t="n"/>
      <c r="N24" s="15" t="n"/>
    </row>
    <row r="25">
      <c r="A25" s="15" t="n"/>
      <c r="B25" s="16" t="n"/>
      <c r="C25" s="15" t="n"/>
      <c r="D25" s="15" t="n"/>
      <c r="E25" s="15" t="n"/>
      <c r="F25" s="15" t="n"/>
      <c r="G25" s="15" t="n"/>
      <c r="H25" s="16" t="n"/>
      <c r="I25" s="15" t="n"/>
      <c r="J25" s="15" t="n"/>
      <c r="K25" s="18">
        <f>IF(A25="","",
            IF(AND(F25="Yes (checked)",G25="Yes",
                   OR(D25="Cryptographic Erasure",D25="Multi-pass Overwrite",D25="Physical Destruction")),
                "Compliant","Non-Compliant"))</f>
        <v/>
      </c>
      <c r="L25" s="15" t="n"/>
      <c r="M25" s="15" t="n"/>
      <c r="N25" s="15" t="n"/>
    </row>
    <row r="26">
      <c r="A26" s="15" t="n"/>
      <c r="B26" s="16" t="n"/>
      <c r="C26" s="15" t="n"/>
      <c r="D26" s="15" t="n"/>
      <c r="E26" s="15" t="n"/>
      <c r="F26" s="15" t="n"/>
      <c r="G26" s="15" t="n"/>
      <c r="H26" s="16" t="n"/>
      <c r="I26" s="15" t="n"/>
      <c r="J26" s="15" t="n"/>
      <c r="K26" s="18">
        <f>IF(A26="","",
            IF(AND(F26="Yes (checked)",G26="Yes",
                   OR(D26="Cryptographic Erasure",D26="Multi-pass Overwrite",D26="Physical Destruction")),
                "Compliant","Non-Compliant"))</f>
        <v/>
      </c>
      <c r="L26" s="15" t="n"/>
      <c r="M26" s="15" t="n"/>
      <c r="N26" s="15" t="n"/>
    </row>
    <row r="27">
      <c r="A27" s="15" t="n"/>
      <c r="B27" s="16" t="n"/>
      <c r="C27" s="15" t="n"/>
      <c r="D27" s="15" t="n"/>
      <c r="E27" s="15" t="n"/>
      <c r="F27" s="15" t="n"/>
      <c r="G27" s="15" t="n"/>
      <c r="H27" s="16" t="n"/>
      <c r="I27" s="15" t="n"/>
      <c r="J27" s="15" t="n"/>
      <c r="K27" s="18">
        <f>IF(A27="","",
            IF(AND(F27="Yes (checked)",G27="Yes",
                   OR(D27="Cryptographic Erasure",D27="Multi-pass Overwrite",D27="Physical Destruction")),
                "Compliant","Non-Compliant"))</f>
        <v/>
      </c>
      <c r="L27" s="15" t="n"/>
      <c r="M27" s="15" t="n"/>
      <c r="N27" s="15" t="n"/>
    </row>
    <row r="28">
      <c r="A28" s="15" t="n"/>
      <c r="B28" s="16" t="n"/>
      <c r="C28" s="15" t="n"/>
      <c r="D28" s="15" t="n"/>
      <c r="E28" s="15" t="n"/>
      <c r="F28" s="15" t="n"/>
      <c r="G28" s="15" t="n"/>
      <c r="H28" s="16" t="n"/>
      <c r="I28" s="15" t="n"/>
      <c r="J28" s="15" t="n"/>
      <c r="K28" s="18">
        <f>IF(A28="","",
            IF(AND(F28="Yes (checked)",G28="Yes",
                   OR(D28="Cryptographic Erasure",D28="Multi-pass Overwrite",D28="Physical Destruction")),
                "Compliant","Non-Compliant"))</f>
        <v/>
      </c>
      <c r="L28" s="15" t="n"/>
      <c r="M28" s="15" t="n"/>
      <c r="N28" s="15" t="n"/>
    </row>
    <row r="29">
      <c r="A29" s="15" t="n"/>
      <c r="B29" s="16" t="n"/>
      <c r="C29" s="15" t="n"/>
      <c r="D29" s="15" t="n"/>
      <c r="E29" s="15" t="n"/>
      <c r="F29" s="15" t="n"/>
      <c r="G29" s="15" t="n"/>
      <c r="H29" s="16" t="n"/>
      <c r="I29" s="15" t="n"/>
      <c r="J29" s="15" t="n"/>
      <c r="K29" s="18">
        <f>IF(A29="","",
            IF(AND(F29="Yes (checked)",G29="Yes",
                   OR(D29="Cryptographic Erasure",D29="Multi-pass Overwrite",D29="Physical Destruction")),
                "Compliant","Non-Compliant"))</f>
        <v/>
      </c>
      <c r="L29" s="15" t="n"/>
      <c r="M29" s="15" t="n"/>
      <c r="N29" s="15" t="n"/>
    </row>
    <row r="30">
      <c r="A30" s="15" t="n"/>
      <c r="B30" s="16" t="n"/>
      <c r="C30" s="15" t="n"/>
      <c r="D30" s="15" t="n"/>
      <c r="E30" s="15" t="n"/>
      <c r="F30" s="15" t="n"/>
      <c r="G30" s="15" t="n"/>
      <c r="H30" s="16" t="n"/>
      <c r="I30" s="15" t="n"/>
      <c r="J30" s="15" t="n"/>
      <c r="K30" s="18">
        <f>IF(A30="","",
            IF(AND(F30="Yes (checked)",G30="Yes",
                   OR(D30="Cryptographic Erasure",D30="Multi-pass Overwrite",D30="Physical Destruction")),
                "Compliant","Non-Compliant"))</f>
        <v/>
      </c>
      <c r="L30" s="15" t="n"/>
      <c r="M30" s="15" t="n"/>
      <c r="N30" s="15" t="n"/>
    </row>
    <row r="31">
      <c r="A31" s="15" t="n"/>
      <c r="B31" s="16" t="n"/>
      <c r="C31" s="15" t="n"/>
      <c r="D31" s="15" t="n"/>
      <c r="E31" s="15" t="n"/>
      <c r="F31" s="15" t="n"/>
      <c r="G31" s="15" t="n"/>
      <c r="H31" s="16" t="n"/>
      <c r="I31" s="15" t="n"/>
      <c r="J31" s="15" t="n"/>
      <c r="K31" s="18">
        <f>IF(A31="","",
            IF(AND(F31="Yes (checked)",G31="Yes",
                   OR(D31="Cryptographic Erasure",D31="Multi-pass Overwrite",D31="Physical Destruction")),
                "Compliant","Non-Compliant"))</f>
        <v/>
      </c>
      <c r="L31" s="15" t="n"/>
      <c r="M31" s="15" t="n"/>
      <c r="N31" s="15" t="n"/>
    </row>
    <row r="32">
      <c r="A32" s="15" t="n"/>
      <c r="B32" s="16" t="n"/>
      <c r="C32" s="15" t="n"/>
      <c r="D32" s="15" t="n"/>
      <c r="E32" s="15" t="n"/>
      <c r="F32" s="15" t="n"/>
      <c r="G32" s="15" t="n"/>
      <c r="H32" s="16" t="n"/>
      <c r="I32" s="15" t="n"/>
      <c r="J32" s="15" t="n"/>
      <c r="K32" s="18">
        <f>IF(A32="","",
            IF(AND(F32="Yes (checked)",G32="Yes",
                   OR(D32="Cryptographic Erasure",D32="Multi-pass Overwrite",D32="Physical Destruction")),
                "Compliant","Non-Compliant"))</f>
        <v/>
      </c>
      <c r="L32" s="15" t="n"/>
      <c r="M32" s="15" t="n"/>
      <c r="N32" s="15" t="n"/>
    </row>
    <row r="33">
      <c r="A33" s="15" t="n"/>
      <c r="B33" s="16" t="n"/>
      <c r="C33" s="15" t="n"/>
      <c r="D33" s="15" t="n"/>
      <c r="E33" s="15" t="n"/>
      <c r="F33" s="15" t="n"/>
      <c r="G33" s="15" t="n"/>
      <c r="H33" s="16" t="n"/>
      <c r="I33" s="15" t="n"/>
      <c r="J33" s="15" t="n"/>
      <c r="K33" s="18">
        <f>IF(A33="","",
            IF(AND(F33="Yes (checked)",G33="Yes",
                   OR(D33="Cryptographic Erasure",D33="Multi-pass Overwrite",D33="Physical Destruction")),
                "Compliant","Non-Compliant"))</f>
        <v/>
      </c>
      <c r="L33" s="15" t="n"/>
      <c r="M33" s="15" t="n"/>
      <c r="N33" s="15" t="n"/>
    </row>
    <row r="34">
      <c r="A34" s="15" t="n"/>
      <c r="B34" s="16" t="n"/>
      <c r="C34" s="15" t="n"/>
      <c r="D34" s="15" t="n"/>
      <c r="E34" s="15" t="n"/>
      <c r="F34" s="15" t="n"/>
      <c r="G34" s="15" t="n"/>
      <c r="H34" s="16" t="n"/>
      <c r="I34" s="15" t="n"/>
      <c r="J34" s="15" t="n"/>
      <c r="K34" s="18">
        <f>IF(A34="","",
            IF(AND(F34="Yes (checked)",G34="Yes",
                   OR(D34="Cryptographic Erasure",D34="Multi-pass Overwrite",D34="Physical Destruction")),
                "Compliant","Non-Compliant"))</f>
        <v/>
      </c>
      <c r="L34" s="15" t="n"/>
      <c r="M34" s="15" t="n"/>
      <c r="N34" s="15" t="n"/>
    </row>
    <row r="35">
      <c r="A35" s="15" t="n"/>
      <c r="B35" s="16" t="n"/>
      <c r="C35" s="15" t="n"/>
      <c r="D35" s="15" t="n"/>
      <c r="E35" s="15" t="n"/>
      <c r="F35" s="15" t="n"/>
      <c r="G35" s="15" t="n"/>
      <c r="H35" s="16" t="n"/>
      <c r="I35" s="15" t="n"/>
      <c r="J35" s="15" t="n"/>
      <c r="K35" s="18">
        <f>IF(A35="","",
            IF(AND(F35="Yes (checked)",G35="Yes",
                   OR(D35="Cryptographic Erasure",D35="Multi-pass Overwrite",D35="Physical Destruction")),
                "Compliant","Non-Compliant"))</f>
        <v/>
      </c>
      <c r="L35" s="15" t="n"/>
      <c r="M35" s="15" t="n"/>
      <c r="N35" s="15" t="n"/>
    </row>
    <row r="36">
      <c r="A36" s="15" t="n"/>
      <c r="B36" s="16" t="n"/>
      <c r="C36" s="15" t="n"/>
      <c r="D36" s="15" t="n"/>
      <c r="E36" s="15" t="n"/>
      <c r="F36" s="15" t="n"/>
      <c r="G36" s="15" t="n"/>
      <c r="H36" s="16" t="n"/>
      <c r="I36" s="15" t="n"/>
      <c r="J36" s="15" t="n"/>
      <c r="K36" s="18">
        <f>IF(A36="","",
            IF(AND(F36="Yes (checked)",G36="Yes",
                   OR(D36="Cryptographic Erasure",D36="Multi-pass Overwrite",D36="Physical Destruction")),
                "Compliant","Non-Compliant"))</f>
        <v/>
      </c>
      <c r="L36" s="15" t="n"/>
      <c r="M36" s="15" t="n"/>
      <c r="N36" s="15" t="n"/>
    </row>
    <row r="37">
      <c r="A37" s="15" t="n"/>
      <c r="B37" s="16" t="n"/>
      <c r="C37" s="15" t="n"/>
      <c r="D37" s="15" t="n"/>
      <c r="E37" s="15" t="n"/>
      <c r="F37" s="15" t="n"/>
      <c r="G37" s="15" t="n"/>
      <c r="H37" s="16" t="n"/>
      <c r="I37" s="15" t="n"/>
      <c r="J37" s="15" t="n"/>
      <c r="K37" s="18">
        <f>IF(A37="","",
            IF(AND(F37="Yes (checked)",G37="Yes",
                   OR(D37="Cryptographic Erasure",D37="Multi-pass Overwrite",D37="Physical Destruction")),
                "Compliant","Non-Compliant"))</f>
        <v/>
      </c>
      <c r="L37" s="15" t="n"/>
      <c r="M37" s="15" t="n"/>
      <c r="N37" s="15" t="n"/>
    </row>
    <row r="38">
      <c r="A38" s="15" t="n"/>
      <c r="B38" s="16" t="n"/>
      <c r="C38" s="15" t="n"/>
      <c r="D38" s="15" t="n"/>
      <c r="E38" s="15" t="n"/>
      <c r="F38" s="15" t="n"/>
      <c r="G38" s="15" t="n"/>
      <c r="H38" s="16" t="n"/>
      <c r="I38" s="15" t="n"/>
      <c r="J38" s="15" t="n"/>
      <c r="K38" s="18">
        <f>IF(A38="","",
            IF(AND(F38="Yes (checked)",G38="Yes",
                   OR(D38="Cryptographic Erasure",D38="Multi-pass Overwrite",D38="Physical Destruction")),
                "Compliant","Non-Compliant"))</f>
        <v/>
      </c>
      <c r="L38" s="15" t="n"/>
      <c r="M38" s="15" t="n"/>
      <c r="N38" s="15" t="n"/>
    </row>
    <row r="39">
      <c r="A39" s="15" t="n"/>
      <c r="B39" s="16" t="n"/>
      <c r="C39" s="15" t="n"/>
      <c r="D39" s="15" t="n"/>
      <c r="E39" s="15" t="n"/>
      <c r="F39" s="15" t="n"/>
      <c r="G39" s="15" t="n"/>
      <c r="H39" s="16" t="n"/>
      <c r="I39" s="15" t="n"/>
      <c r="J39" s="15" t="n"/>
      <c r="K39" s="18">
        <f>IF(A39="","",
            IF(AND(F39="Yes (checked)",G39="Yes",
                   OR(D39="Cryptographic Erasure",D39="Multi-pass Overwrite",D39="Physical Destruction")),
                "Compliant","Non-Compliant"))</f>
        <v/>
      </c>
      <c r="L39" s="15" t="n"/>
      <c r="M39" s="15" t="n"/>
      <c r="N39" s="15" t="n"/>
    </row>
    <row r="40">
      <c r="A40" s="15" t="n"/>
      <c r="B40" s="16" t="n"/>
      <c r="C40" s="15" t="n"/>
      <c r="D40" s="15" t="n"/>
      <c r="E40" s="15" t="n"/>
      <c r="F40" s="15" t="n"/>
      <c r="G40" s="15" t="n"/>
      <c r="H40" s="16" t="n"/>
      <c r="I40" s="15" t="n"/>
      <c r="J40" s="15" t="n"/>
      <c r="K40" s="18">
        <f>IF(A40="","",
            IF(AND(F40="Yes (checked)",G40="Yes",
                   OR(D40="Cryptographic Erasure",D40="Multi-pass Overwrite",D40="Physical Destruction")),
                "Compliant","Non-Compliant"))</f>
        <v/>
      </c>
      <c r="L40" s="15" t="n"/>
      <c r="M40" s="15" t="n"/>
      <c r="N40" s="15" t="n"/>
    </row>
    <row r="41">
      <c r="A41" s="15" t="n"/>
      <c r="B41" s="16" t="n"/>
      <c r="C41" s="15" t="n"/>
      <c r="D41" s="15" t="n"/>
      <c r="E41" s="15" t="n"/>
      <c r="F41" s="15" t="n"/>
      <c r="G41" s="15" t="n"/>
      <c r="H41" s="16" t="n"/>
      <c r="I41" s="15" t="n"/>
      <c r="J41" s="15" t="n"/>
      <c r="K41" s="18">
        <f>IF(A41="","",
            IF(AND(F41="Yes (checked)",G41="Yes",
                   OR(D41="Cryptographic Erasure",D41="Multi-pass Overwrite",D41="Physical Destruction")),
                "Compliant","Non-Compliant"))</f>
        <v/>
      </c>
      <c r="L41" s="15" t="n"/>
      <c r="M41" s="15" t="n"/>
      <c r="N41" s="15" t="n"/>
    </row>
    <row r="42">
      <c r="A42" s="15" t="n"/>
      <c r="B42" s="16" t="n"/>
      <c r="C42" s="15" t="n"/>
      <c r="D42" s="15" t="n"/>
      <c r="E42" s="15" t="n"/>
      <c r="F42" s="15" t="n"/>
      <c r="G42" s="15" t="n"/>
      <c r="H42" s="16" t="n"/>
      <c r="I42" s="15" t="n"/>
      <c r="J42" s="15" t="n"/>
      <c r="K42" s="18">
        <f>IF(A42="","",
            IF(AND(F42="Yes (checked)",G42="Yes",
                   OR(D42="Cryptographic Erasure",D42="Multi-pass Overwrite",D42="Physical Destruction")),
                "Compliant","Non-Compliant"))</f>
        <v/>
      </c>
      <c r="L42" s="15" t="n"/>
      <c r="M42" s="15" t="n"/>
      <c r="N42" s="15" t="n"/>
    </row>
    <row r="43">
      <c r="A43" s="15" t="n"/>
      <c r="B43" s="16" t="n"/>
      <c r="C43" s="15" t="n"/>
      <c r="D43" s="15" t="n"/>
      <c r="E43" s="15" t="n"/>
      <c r="F43" s="15" t="n"/>
      <c r="G43" s="15" t="n"/>
      <c r="H43" s="16" t="n"/>
      <c r="I43" s="15" t="n"/>
      <c r="J43" s="15" t="n"/>
      <c r="K43" s="18">
        <f>IF(A43="","",
            IF(AND(F43="Yes (checked)",G43="Yes",
                   OR(D43="Cryptographic Erasure",D43="Multi-pass Overwrite",D43="Physical Destruction")),
                "Compliant","Non-Compliant"))</f>
        <v/>
      </c>
      <c r="L43" s="15" t="n"/>
      <c r="M43" s="15" t="n"/>
      <c r="N43" s="15" t="n"/>
    </row>
    <row r="44">
      <c r="A44" s="15" t="n"/>
      <c r="B44" s="16" t="n"/>
      <c r="C44" s="15" t="n"/>
      <c r="D44" s="15" t="n"/>
      <c r="E44" s="15" t="n"/>
      <c r="F44" s="15" t="n"/>
      <c r="G44" s="15" t="n"/>
      <c r="H44" s="16" t="n"/>
      <c r="I44" s="15" t="n"/>
      <c r="J44" s="15" t="n"/>
      <c r="K44" s="18">
        <f>IF(A44="","",
            IF(AND(F44="Yes (checked)",G44="Yes",
                   OR(D44="Cryptographic Erasure",D44="Multi-pass Overwrite",D44="Physical Destruction")),
                "Compliant","Non-Compliant"))</f>
        <v/>
      </c>
      <c r="L44" s="15" t="n"/>
      <c r="M44" s="15" t="n"/>
      <c r="N44" s="15" t="n"/>
    </row>
    <row r="45">
      <c r="A45" s="15" t="n"/>
      <c r="B45" s="16" t="n"/>
      <c r="C45" s="15" t="n"/>
      <c r="D45" s="15" t="n"/>
      <c r="E45" s="15" t="n"/>
      <c r="F45" s="15" t="n"/>
      <c r="G45" s="15" t="n"/>
      <c r="H45" s="16" t="n"/>
      <c r="I45" s="15" t="n"/>
      <c r="J45" s="15" t="n"/>
      <c r="K45" s="18">
        <f>IF(A45="","",
            IF(AND(F45="Yes (checked)",G45="Yes",
                   OR(D45="Cryptographic Erasure",D45="Multi-pass Overwrite",D45="Physical Destruction")),
                "Compliant","Non-Compliant"))</f>
        <v/>
      </c>
      <c r="L45" s="15" t="n"/>
      <c r="M45" s="15" t="n"/>
      <c r="N45" s="15" t="n"/>
    </row>
    <row r="46">
      <c r="A46" s="15" t="n"/>
      <c r="B46" s="16" t="n"/>
      <c r="C46" s="15" t="n"/>
      <c r="D46" s="15" t="n"/>
      <c r="E46" s="15" t="n"/>
      <c r="F46" s="15" t="n"/>
      <c r="G46" s="15" t="n"/>
      <c r="H46" s="16" t="n"/>
      <c r="I46" s="15" t="n"/>
      <c r="J46" s="15" t="n"/>
      <c r="K46" s="18">
        <f>IF(A46="","",
            IF(AND(F46="Yes (checked)",G46="Yes",
                   OR(D46="Cryptographic Erasure",D46="Multi-pass Overwrite",D46="Physical Destruction")),
                "Compliant","Non-Compliant"))</f>
        <v/>
      </c>
      <c r="L46" s="15" t="n"/>
      <c r="M46" s="15" t="n"/>
      <c r="N46" s="15" t="n"/>
    </row>
    <row r="47">
      <c r="A47" s="15" t="n"/>
      <c r="B47" s="16" t="n"/>
      <c r="C47" s="15" t="n"/>
      <c r="D47" s="15" t="n"/>
      <c r="E47" s="15" t="n"/>
      <c r="F47" s="15" t="n"/>
      <c r="G47" s="15" t="n"/>
      <c r="H47" s="16" t="n"/>
      <c r="I47" s="15" t="n"/>
      <c r="J47" s="15" t="n"/>
      <c r="K47" s="18">
        <f>IF(A47="","",
            IF(AND(F47="Yes (checked)",G47="Yes",
                   OR(D47="Cryptographic Erasure",D47="Multi-pass Overwrite",D47="Physical Destruction")),
                "Compliant","Non-Compliant"))</f>
        <v/>
      </c>
      <c r="L47" s="15" t="n"/>
      <c r="M47" s="15" t="n"/>
      <c r="N47" s="15" t="n"/>
    </row>
    <row r="48">
      <c r="A48" s="15" t="n"/>
      <c r="B48" s="16" t="n"/>
      <c r="C48" s="15" t="n"/>
      <c r="D48" s="15" t="n"/>
      <c r="E48" s="15" t="n"/>
      <c r="F48" s="15" t="n"/>
      <c r="G48" s="15" t="n"/>
      <c r="H48" s="16" t="n"/>
      <c r="I48" s="15" t="n"/>
      <c r="J48" s="15" t="n"/>
      <c r="K48" s="18">
        <f>IF(A48="","",
            IF(AND(F48="Yes (checked)",G48="Yes",
                   OR(D48="Cryptographic Erasure",D48="Multi-pass Overwrite",D48="Physical Destruction")),
                "Compliant","Non-Compliant"))</f>
        <v/>
      </c>
      <c r="L48" s="15" t="n"/>
      <c r="M48" s="15" t="n"/>
      <c r="N48" s="15" t="n"/>
    </row>
    <row r="49">
      <c r="A49" s="15" t="n"/>
      <c r="B49" s="16" t="n"/>
      <c r="C49" s="15" t="n"/>
      <c r="D49" s="15" t="n"/>
      <c r="E49" s="15" t="n"/>
      <c r="F49" s="15" t="n"/>
      <c r="G49" s="15" t="n"/>
      <c r="H49" s="16" t="n"/>
      <c r="I49" s="15" t="n"/>
      <c r="J49" s="15" t="n"/>
      <c r="K49" s="18">
        <f>IF(A49="","",
            IF(AND(F49="Yes (checked)",G49="Yes",
                   OR(D49="Cryptographic Erasure",D49="Multi-pass Overwrite",D49="Physical Destruction")),
                "Compliant","Non-Compliant"))</f>
        <v/>
      </c>
      <c r="L49" s="15" t="n"/>
      <c r="M49" s="15" t="n"/>
      <c r="N49" s="15" t="n"/>
    </row>
    <row r="50">
      <c r="A50" s="15" t="n"/>
      <c r="B50" s="16" t="n"/>
      <c r="C50" s="15" t="n"/>
      <c r="D50" s="15" t="n"/>
      <c r="E50" s="15" t="n"/>
      <c r="F50" s="15" t="n"/>
      <c r="G50" s="15" t="n"/>
      <c r="H50" s="16" t="n"/>
      <c r="I50" s="15" t="n"/>
      <c r="J50" s="15" t="n"/>
      <c r="K50" s="18">
        <f>IF(A50="","",
            IF(AND(F50="Yes (checked)",G50="Yes",
                   OR(D50="Cryptographic Erasure",D50="Multi-pass Overwrite",D50="Physical Destruction")),
                "Compliant","Non-Compliant"))</f>
        <v/>
      </c>
      <c r="L50" s="15" t="n"/>
      <c r="M50" s="15" t="n"/>
      <c r="N50" s="15" t="n"/>
    </row>
    <row r="51">
      <c r="A51" s="15" t="n"/>
      <c r="B51" s="16" t="n"/>
      <c r="C51" s="15" t="n"/>
      <c r="D51" s="15" t="n"/>
      <c r="E51" s="15" t="n"/>
      <c r="F51" s="15" t="n"/>
      <c r="G51" s="15" t="n"/>
      <c r="H51" s="16" t="n"/>
      <c r="I51" s="15" t="n"/>
      <c r="J51" s="15" t="n"/>
      <c r="K51" s="18">
        <f>IF(A51="","",
            IF(AND(F51="Yes (checked)",G51="Yes",
                   OR(D51="Cryptographic Erasure",D51="Multi-pass Overwrite",D51="Physical Destruction")),
                "Compliant","Non-Compliant"))</f>
        <v/>
      </c>
      <c r="L51" s="15" t="n"/>
      <c r="M51" s="15" t="n"/>
      <c r="N51" s="15" t="n"/>
    </row>
    <row r="52">
      <c r="A52" s="15" t="n"/>
      <c r="B52" s="16" t="n"/>
      <c r="C52" s="15" t="n"/>
      <c r="D52" s="15" t="n"/>
      <c r="E52" s="15" t="n"/>
      <c r="F52" s="15" t="n"/>
      <c r="G52" s="15" t="n"/>
      <c r="H52" s="16" t="n"/>
      <c r="I52" s="15" t="n"/>
      <c r="J52" s="15" t="n"/>
      <c r="K52" s="18">
        <f>IF(A52="","",
            IF(AND(F52="Yes (checked)",G52="Yes",
                   OR(D52="Cryptographic Erasure",D52="Multi-pass Overwrite",D52="Physical Destruction")),
                "Compliant","Non-Compliant"))</f>
        <v/>
      </c>
      <c r="L52" s="15" t="n"/>
      <c r="M52" s="15" t="n"/>
      <c r="N52" s="15" t="n"/>
    </row>
    <row r="53">
      <c r="A53" s="15" t="n"/>
      <c r="B53" s="16" t="n"/>
      <c r="C53" s="15" t="n"/>
      <c r="D53" s="15" t="n"/>
      <c r="E53" s="15" t="n"/>
      <c r="F53" s="15" t="n"/>
      <c r="G53" s="15" t="n"/>
      <c r="H53" s="16" t="n"/>
      <c r="I53" s="15" t="n"/>
      <c r="J53" s="15" t="n"/>
      <c r="K53" s="18">
        <f>IF(A53="","",
            IF(AND(F53="Yes (checked)",G53="Yes",
                   OR(D53="Cryptographic Erasure",D53="Multi-pass Overwrite",D53="Physical Destruction")),
                "Compliant","Non-Compliant"))</f>
        <v/>
      </c>
      <c r="L53" s="15" t="n"/>
      <c r="M53" s="15" t="n"/>
      <c r="N53" s="15" t="n"/>
    </row>
    <row r="54">
      <c r="A54" s="15" t="n"/>
      <c r="B54" s="16" t="n"/>
      <c r="C54" s="15" t="n"/>
      <c r="D54" s="15" t="n"/>
      <c r="E54" s="15" t="n"/>
      <c r="F54" s="15" t="n"/>
      <c r="G54" s="15" t="n"/>
      <c r="H54" s="16" t="n"/>
      <c r="I54" s="15" t="n"/>
      <c r="J54" s="15" t="n"/>
      <c r="K54" s="18">
        <f>IF(A54="","",
            IF(AND(F54="Yes (checked)",G54="Yes",
                   OR(D54="Cryptographic Erasure",D54="Multi-pass Overwrite",D54="Physical Destruction")),
                "Compliant","Non-Compliant"))</f>
        <v/>
      </c>
      <c r="L54" s="15" t="n"/>
      <c r="M54" s="15" t="n"/>
      <c r="N54" s="15" t="n"/>
    </row>
    <row r="55">
      <c r="A55" s="15" t="n"/>
      <c r="B55" s="16" t="n"/>
      <c r="C55" s="15" t="n"/>
      <c r="D55" s="15" t="n"/>
      <c r="E55" s="15" t="n"/>
      <c r="F55" s="15" t="n"/>
      <c r="G55" s="15" t="n"/>
      <c r="H55" s="16" t="n"/>
      <c r="I55" s="15" t="n"/>
      <c r="J55" s="15" t="n"/>
      <c r="K55" s="18">
        <f>IF(A55="","",
            IF(AND(F55="Yes (checked)",G55="Yes",
                   OR(D55="Cryptographic Erasure",D55="Multi-pass Overwrite",D55="Physical Destruction")),
                "Compliant","Non-Compliant"))</f>
        <v/>
      </c>
      <c r="L55" s="15" t="n"/>
      <c r="M55" s="15" t="n"/>
      <c r="N55" s="15" t="n"/>
    </row>
  </sheetData>
  <mergeCells count="2">
    <mergeCell ref="A2:N2"/>
    <mergeCell ref="A1:N1"/>
  </mergeCells>
  <dataValidations count="6">
    <dataValidation sqref="C6:C55" showDropDown="0" showInputMessage="0" showErrorMessage="0" allowBlank="1" type="list">
      <formula1>"Yes,No"</formula1>
    </dataValidation>
    <dataValidation sqref="D6:D55" showDropDown="0" showInputMessage="0" showErrorMessage="0" allowBlank="1" type="list">
      <formula1>"Cryptographic Erasure,Multi-pass Overwrite,Physical Destruction,Deletion"</formula1>
    </dataValidation>
    <dataValidation sqref="E6:E55" showDropDown="0" showInputMessage="0" showErrorMessage="0" allowBlank="1" type="list">
      <formula1>"Yes (manual),No (automated),N/A"</formula1>
    </dataValidation>
    <dataValidation sqref="F6:F55" showDropDown="0" showInputMessage="0" showErrorMessage="0" allowBlank="1" type="list">
      <formula1>"Yes (checked),No,N/A"</formula1>
    </dataValidation>
    <dataValidation sqref="G6:G55" showDropDown="0" showInputMessage="0" showErrorMessage="0" allowBlank="1" type="list">
      <formula1>"Yes,No"</formula1>
    </dataValidation>
    <dataValidation sqref="J6:J55" showDropDown="0" showInputMessage="0" showErrorMessage="0" allowBlank="1" type="list">
      <formula1>"Verified,Not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25" customWidth="1" min="5" max="5"/>
    <col width="40" customWidth="1" min="6" max="6"/>
    <col width="20" customWidth="1" min="7" max="7"/>
    <col width="22" customWidth="1" min="8" max="8"/>
    <col width="20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</cols>
  <sheetData>
    <row r="1" ht="35" customHeight="1">
      <c r="A1" s="11" t="inlineStr">
        <is>
          <t>SEPARATION OF DUTIES</t>
        </is>
      </c>
    </row>
    <row r="2">
      <c r="A2" s="12" t="inlineStr">
        <is>
          <t>Assess separation of duties per ISMS-POL-A.8.15-S2.2.6</t>
        </is>
      </c>
    </row>
    <row r="4">
      <c r="A4" s="13" t="inlineStr">
        <is>
          <t>System / Component</t>
        </is>
      </c>
      <c r="B4" s="13" t="inlineStr">
        <is>
          <t>System Administrator(s)</t>
        </is>
      </c>
      <c r="C4" s="13" t="inlineStr">
        <is>
          <t>Log Administrator(s)</t>
        </is>
      </c>
      <c r="D4" s="13" t="inlineStr">
        <is>
          <t>Roles Separated</t>
        </is>
      </c>
      <c r="E4" s="13" t="inlineStr">
        <is>
          <t>Sys Admin Can Modify Logs</t>
        </is>
      </c>
      <c r="F4" s="13" t="inlineStr">
        <is>
          <t>Compensating Controls</t>
        </is>
      </c>
      <c r="G4" s="13" t="inlineStr">
        <is>
          <t>Break-Glass Procedure</t>
        </is>
      </c>
      <c r="H4" s="13" t="inlineStr">
        <is>
          <t>Break-Glass Usage Logged</t>
        </is>
      </c>
      <c r="I4" s="13" t="inlineStr">
        <is>
          <t>Independent Review</t>
        </is>
      </c>
      <c r="J4" s="13" t="inlineStr">
        <is>
          <t>Last Review Date</t>
        </is>
      </c>
      <c r="K4" s="13" t="inlineStr">
        <is>
          <t>Violations Detected</t>
        </is>
      </c>
      <c r="L4" s="13" t="inlineStr">
        <is>
          <t>Compliance Status</t>
        </is>
      </c>
      <c r="M4" s="13" t="inlineStr">
        <is>
          <t>Remediation Plan</t>
        </is>
      </c>
      <c r="N4" s="13" t="inlineStr">
        <is>
          <t>Notes</t>
        </is>
      </c>
    </row>
    <row r="5">
      <c r="A5" s="14" t="inlineStr">
        <is>
          <t>SIEM Platform</t>
        </is>
      </c>
      <c r="B5" s="14" t="inlineStr">
        <is>
          <t>IT Ops Team</t>
        </is>
      </c>
      <c r="C5" s="14" t="inlineStr">
        <is>
          <t>Security Team</t>
        </is>
      </c>
      <c r="D5" s="14" t="inlineStr">
        <is>
          <t>Yes (different people)</t>
        </is>
      </c>
      <c r="E5" s="14" t="inlineStr">
        <is>
          <t>No (compliant)</t>
        </is>
      </c>
      <c r="F5" s="14" t="inlineStr"/>
      <c r="G5" s="14" t="inlineStr">
        <is>
          <t>Yes (documented)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15.12.2025</t>
        </is>
      </c>
      <c r="K5" s="14" t="inlineStr">
        <is>
          <t>None</t>
        </is>
      </c>
      <c r="L5" s="14" t="inlineStr">
        <is>
          <t>Compliant</t>
        </is>
      </c>
      <c r="M5" s="14" t="inlineStr"/>
      <c r="N5" s="14" t="inlineStr">
        <is>
          <t>Proper separation implemented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 t="n"/>
      <c r="K6" s="15" t="n"/>
      <c r="L6" s="18">
        <f>IF(A6="","",
            IF(AND(D6="Yes (different people)",
                   OR(E6="No (compliant)",E6="Limited")),
                "Compliant","Non-Compliant"))</f>
        <v/>
      </c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 t="n"/>
      <c r="K7" s="15" t="n"/>
      <c r="L7" s="18">
        <f>IF(A7="","",
            IF(AND(D7="Yes (different people)",
                   OR(E7="No (compliant)",E7="Limited")),
                "Compliant","Non-Compliant"))</f>
        <v/>
      </c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 t="n"/>
      <c r="K8" s="15" t="n"/>
      <c r="L8" s="18">
        <f>IF(A8="","",
            IF(AND(D8="Yes (different people)",
                   OR(E8="No (compliant)",E8="Limited")),
                "Compliant","Non-Compliant"))</f>
        <v/>
      </c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5" t="n"/>
      <c r="L9" s="18">
        <f>IF(A9="","",
            IF(AND(D9="Yes (different people)",
                   OR(E9="No (compliant)",E9="Limited")),
                "Compliant","Non-Compliant"))</f>
        <v/>
      </c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  <c r="K10" s="15" t="n"/>
      <c r="L10" s="18">
        <f>IF(A10="","",
            IF(AND(D10="Yes (different people)",
                   OR(E10="No (compliant)",E10="Limited")),
                "Compliant","Non-Compliant"))</f>
        <v/>
      </c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5" t="n"/>
      <c r="L11" s="18">
        <f>IF(A11="","",
            IF(AND(D11="Yes (different people)",
                   OR(E11="No (compliant)",E11="Limited")),
                "Compliant","Non-Compliant"))</f>
        <v/>
      </c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15" t="n"/>
      <c r="L12" s="18">
        <f>IF(A12="","",
            IF(AND(D12="Yes (different people)",
                   OR(E12="No (compliant)",E12="Limited")),
                "Compliant","Non-Compliant"))</f>
        <v/>
      </c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5" t="n"/>
      <c r="L13" s="18">
        <f>IF(A13="","",
            IF(AND(D13="Yes (different people)",
                   OR(E13="No (compliant)",E13="Limited")),
                "Compliant","Non-Compliant"))</f>
        <v/>
      </c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6" t="n"/>
      <c r="K14" s="15" t="n"/>
      <c r="L14" s="18">
        <f>IF(A14="","",
            IF(AND(D14="Yes (different people)",
                   OR(E14="No (compliant)",E14="Limited")),
                "Compliant","Non-Compliant"))</f>
        <v/>
      </c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  <c r="K15" s="15" t="n"/>
      <c r="L15" s="18">
        <f>IF(A15="","",
            IF(AND(D15="Yes (different people)",
                   OR(E15="No (compliant)",E15="Limited")),
                "Compliant","Non-Compliant"))</f>
        <v/>
      </c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/>
      <c r="K16" s="15" t="n"/>
      <c r="L16" s="18">
        <f>IF(A16="","",
            IF(AND(D16="Yes (different people)",
                   OR(E16="No (compliant)",E16="Limited")),
                "Compliant","Non-Compliant"))</f>
        <v/>
      </c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6" t="n"/>
      <c r="K17" s="15" t="n"/>
      <c r="L17" s="18">
        <f>IF(A17="","",
            IF(AND(D17="Yes (different people)",
                   OR(E17="No (compliant)",E17="Limited")),
                "Compliant","Non-Compliant"))</f>
        <v/>
      </c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6" t="n"/>
      <c r="K18" s="15" t="n"/>
      <c r="L18" s="18">
        <f>IF(A18="","",
            IF(AND(D18="Yes (different people)",
                   OR(E18="No (compliant)",E18="Limited")),
                "Compliant","Non-Compliant"))</f>
        <v/>
      </c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6" t="n"/>
      <c r="K19" s="15" t="n"/>
      <c r="L19" s="18">
        <f>IF(A19="","",
            IF(AND(D19="Yes (different people)",
                   OR(E19="No (compliant)",E19="Limited")),
                "Compliant","Non-Compliant"))</f>
        <v/>
      </c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6" t="n"/>
      <c r="K20" s="15" t="n"/>
      <c r="L20" s="18">
        <f>IF(A20="","",
            IF(AND(D20="Yes (different people)",
                   OR(E20="No (compliant)",E20="Limited")),
                "Compliant","Non-Compliant"))</f>
        <v/>
      </c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6" t="n"/>
      <c r="K21" s="15" t="n"/>
      <c r="L21" s="18">
        <f>IF(A21="","",
            IF(AND(D21="Yes (different people)",
                   OR(E21="No (compliant)",E21="Limited")),
                "Compliant","Non-Compliant"))</f>
        <v/>
      </c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n"/>
      <c r="K22" s="15" t="n"/>
      <c r="L22" s="18">
        <f>IF(A22="","",
            IF(AND(D22="Yes (different people)",
                   OR(E22="No (compliant)",E22="Limited")),
                "Compliant","Non-Compliant"))</f>
        <v/>
      </c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n"/>
      <c r="K23" s="15" t="n"/>
      <c r="L23" s="18">
        <f>IF(A23="","",
            IF(AND(D23="Yes (different people)",
                   OR(E23="No (compliant)",E23="Limited")),
                "Compliant","Non-Compliant"))</f>
        <v/>
      </c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n"/>
      <c r="K24" s="15" t="n"/>
      <c r="L24" s="18">
        <f>IF(A24="","",
            IF(AND(D24="Yes (different people)",
                   OR(E24="No (compliant)",E24="Limited")),
                "Compliant","Non-Compliant"))</f>
        <v/>
      </c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n"/>
      <c r="K25" s="15" t="n"/>
      <c r="L25" s="18">
        <f>IF(A25="","",
            IF(AND(D25="Yes (different people)",
                   OR(E25="No (compliant)",E25="Limited")),
                "Compliant","Non-Compliant"))</f>
        <v/>
      </c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n"/>
      <c r="K26" s="15" t="n"/>
      <c r="L26" s="18">
        <f>IF(A26="","",
            IF(AND(D26="Yes (different people)",
                   OR(E26="No (compliant)",E26="Limited")),
                "Compliant","Non-Compliant"))</f>
        <v/>
      </c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15" t="n"/>
      <c r="L27" s="18">
        <f>IF(A27="","",
            IF(AND(D27="Yes (different people)",
                   OR(E27="No (compliant)",E27="Limited")),
                "Compliant","Non-Compliant"))</f>
        <v/>
      </c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n"/>
      <c r="K28" s="15" t="n"/>
      <c r="L28" s="18">
        <f>IF(A28="","",
            IF(AND(D28="Yes (different people)",
                   OR(E28="No (compliant)",E28="Limited")),
                "Compliant","Non-Compliant"))</f>
        <v/>
      </c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n"/>
      <c r="K29" s="15" t="n"/>
      <c r="L29" s="18">
        <f>IF(A29="","",
            IF(AND(D29="Yes (different people)",
                   OR(E29="No (compliant)",E29="Limited")),
                "Compliant","Non-Compliant"))</f>
        <v/>
      </c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n"/>
      <c r="K30" s="15" t="n"/>
      <c r="L30" s="18">
        <f>IF(A30="","",
            IF(AND(D30="Yes (different people)",
                   OR(E30="No (compliant)",E30="Limited")),
                "Compliant","Non-Compliant"))</f>
        <v/>
      </c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/>
      <c r="K31" s="15" t="n"/>
      <c r="L31" s="18">
        <f>IF(A31="","",
            IF(AND(D31="Yes (different people)",
                   OR(E31="No (compliant)",E31="Limited")),
                "Compliant","Non-Compliant"))</f>
        <v/>
      </c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n"/>
      <c r="K32" s="15" t="n"/>
      <c r="L32" s="18">
        <f>IF(A32="","",
            IF(AND(D32="Yes (different people)",
                   OR(E32="No (compliant)",E32="Limited")),
                "Compliant","Non-Compliant"))</f>
        <v/>
      </c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  <c r="K33" s="15" t="n"/>
      <c r="L33" s="18">
        <f>IF(A33="","",
            IF(AND(D33="Yes (different people)",
                   OR(E33="No (compliant)",E33="Limited")),
                "Compliant","Non-Compliant"))</f>
        <v/>
      </c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n"/>
      <c r="K34" s="15" t="n"/>
      <c r="L34" s="18">
        <f>IF(A34="","",
            IF(AND(D34="Yes (different people)",
                   OR(E34="No (compliant)",E34="Limited")),
                "Compliant","Non-Compliant"))</f>
        <v/>
      </c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  <c r="K35" s="15" t="n"/>
      <c r="L35" s="18">
        <f>IF(A35="","",
            IF(AND(D35="Yes (different people)",
                   OR(E35="No (compliant)",E35="Limited")),
                "Compliant","Non-Compliant"))</f>
        <v/>
      </c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n"/>
      <c r="K36" s="15" t="n"/>
      <c r="L36" s="18">
        <f>IF(A36="","",
            IF(AND(D36="Yes (different people)",
                   OR(E36="No (compliant)",E36="Limited")),
                "Compliant","Non-Compliant"))</f>
        <v/>
      </c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n"/>
      <c r="K37" s="15" t="n"/>
      <c r="L37" s="18">
        <f>IF(A37="","",
            IF(AND(D37="Yes (different people)",
                   OR(E37="No (compliant)",E37="Limited")),
                "Compliant","Non-Compliant"))</f>
        <v/>
      </c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n"/>
      <c r="K38" s="15" t="n"/>
      <c r="L38" s="18">
        <f>IF(A38="","",
            IF(AND(D38="Yes (different people)",
                   OR(E38="No (compliant)",E38="Limited")),
                "Compliant","Non-Compliant"))</f>
        <v/>
      </c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  <c r="K39" s="15" t="n"/>
      <c r="L39" s="18">
        <f>IF(A39="","",
            IF(AND(D39="Yes (different people)",
                   OR(E39="No (compliant)",E39="Limited")),
                "Compliant","Non-Compliant"))</f>
        <v/>
      </c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n"/>
      <c r="K40" s="15" t="n"/>
      <c r="L40" s="18">
        <f>IF(A40="","",
            IF(AND(D40="Yes (different people)",
                   OR(E40="No (compliant)",E40="Limited")),
                "Compliant","Non-Compliant"))</f>
        <v/>
      </c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15" t="n"/>
      <c r="L41" s="18">
        <f>IF(A41="","",
            IF(AND(D41="Yes (different people)",
                   OR(E41="No (compliant)",E41="Limited")),
                "Compliant","Non-Compliant"))</f>
        <v/>
      </c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n"/>
      <c r="K42" s="15" t="n"/>
      <c r="L42" s="18">
        <f>IF(A42="","",
            IF(AND(D42="Yes (different people)",
                   OR(E42="No (compliant)",E42="Limited")),
                "Compliant","Non-Compliant"))</f>
        <v/>
      </c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n"/>
      <c r="K43" s="15" t="n"/>
      <c r="L43" s="18">
        <f>IF(A43="","",
            IF(AND(D43="Yes (different people)",
                   OR(E43="No (compliant)",E43="Limited")),
                "Compliant","Non-Compliant"))</f>
        <v/>
      </c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n"/>
      <c r="K44" s="15" t="n"/>
      <c r="L44" s="18">
        <f>IF(A44="","",
            IF(AND(D44="Yes (different people)",
                   OR(E44="No (compliant)",E44="Limited")),
                "Compliant","Non-Compliant"))</f>
        <v/>
      </c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n"/>
      <c r="K45" s="15" t="n"/>
      <c r="L45" s="18">
        <f>IF(A45="","",
            IF(AND(D45="Yes (different people)",
                   OR(E45="No (compliant)",E45="Limited")),
                "Compliant","Non-Compliant"))</f>
        <v/>
      </c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n"/>
      <c r="K46" s="15" t="n"/>
      <c r="L46" s="18">
        <f>IF(A46="","",
            IF(AND(D46="Yes (different people)",
                   OR(E46="No (compliant)",E46="Limited")),
                "Compliant","Non-Compliant"))</f>
        <v/>
      </c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n"/>
      <c r="K47" s="15" t="n"/>
      <c r="L47" s="18">
        <f>IF(A47="","",
            IF(AND(D47="Yes (different people)",
                   OR(E47="No (compliant)",E47="Limited")),
                "Compliant","Non-Compliant"))</f>
        <v/>
      </c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n"/>
      <c r="K48" s="15" t="n"/>
      <c r="L48" s="18">
        <f>IF(A48="","",
            IF(AND(D48="Yes (different people)",
                   OR(E48="No (compliant)",E48="Limited")),
                "Compliant","Non-Compliant"))</f>
        <v/>
      </c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n"/>
      <c r="K49" s="15" t="n"/>
      <c r="L49" s="18">
        <f>IF(A49="","",
            IF(AND(D49="Yes (different people)",
                   OR(E49="No (compliant)",E49="Limited")),
                "Compliant","Non-Compliant"))</f>
        <v/>
      </c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6" t="n"/>
      <c r="K50" s="15" t="n"/>
      <c r="L50" s="18">
        <f>IF(A50="","",
            IF(AND(D50="Yes (different people)",
                   OR(E50="No (compliant)",E50="Limited")),
                "Compliant","Non-Compliant"))</f>
        <v/>
      </c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n"/>
      <c r="K51" s="15" t="n"/>
      <c r="L51" s="18">
        <f>IF(A51="","",
            IF(AND(D51="Yes (different people)",
                   OR(E51="No (compliant)",E51="Limited")),
                "Compliant","Non-Compliant"))</f>
        <v/>
      </c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n"/>
      <c r="K52" s="15" t="n"/>
      <c r="L52" s="18">
        <f>IF(A52="","",
            IF(AND(D52="Yes (different people)",
                   OR(E52="No (compliant)",E52="Limited")),
                "Compliant","Non-Compliant"))</f>
        <v/>
      </c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n"/>
      <c r="K53" s="15" t="n"/>
      <c r="L53" s="18">
        <f>IF(A53="","",
            IF(AND(D53="Yes (different people)",
                   OR(E53="No (compliant)",E53="Limited")),
                "Compliant","Non-Compliant"))</f>
        <v/>
      </c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n"/>
      <c r="K54" s="15" t="n"/>
      <c r="L54" s="18">
        <f>IF(A54="","",
            IF(AND(D54="Yes (different people)",
                   OR(E54="No (compliant)",E54="Limited")),
                "Compliant","Non-Compliant"))</f>
        <v/>
      </c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n"/>
      <c r="K55" s="15" t="n"/>
      <c r="L55" s="18">
        <f>IF(A55="","",
            IF(AND(D55="Yes (different people)",
                   OR(E55="No (compliant)",E55="Limited")),
                "Compliant","Non-Compliant"))</f>
        <v/>
      </c>
      <c r="M55" s="15" t="n"/>
      <c r="N55" s="15" t="n"/>
    </row>
  </sheetData>
  <mergeCells count="2">
    <mergeCell ref="A2:N2"/>
    <mergeCell ref="A1:N1"/>
  </mergeCells>
  <dataValidations count="5">
    <dataValidation sqref="D6:D55" showDropDown="0" showInputMessage="0" showErrorMessage="0" allowBlank="1" type="list">
      <formula1>"Yes (different people),No (same people),Partial"</formula1>
    </dataValidation>
    <dataValidation sqref="E6:E55" showDropDown="0" showInputMessage="0" showErrorMessage="0" allowBlank="1" type="list">
      <formula1>"No (compliant),Yes (violation),Limited"</formula1>
    </dataValidation>
    <dataValidation sqref="G6:G55" showDropDown="0" showInputMessage="0" showErrorMessage="0" allowBlank="1" type="list">
      <formula1>"Yes (documented),No"</formula1>
    </dataValidation>
    <dataValidation sqref="H6:H55 I6:I55" showDropDown="0" showInputMessage="0" showErrorMessage="0" allowBlank="1" type="list">
      <formula1>"Yes,No,N/A"</formula1>
    </dataValidation>
    <dataValidation sqref="K6:K55" showDropDown="0" showInputMessage="0" showErrorMessage="0" allowBlank="1" type="list">
      <formula1>"None,Historical,Recent"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0" customWidth="1" min="5" max="5"/>
    <col width="30" customWidth="1" min="6" max="6"/>
    <col width="20" customWidth="1" min="7" max="7"/>
    <col width="15" customWidth="1" min="8" max="8"/>
    <col width="15" customWidth="1" min="9" max="9"/>
    <col width="18" customWidth="1" min="10" max="10"/>
    <col width="15" customWidth="1" min="11" max="11"/>
    <col width="25" customWidth="1" min="12" max="12"/>
    <col width="40" customWidth="1" min="13" max="13"/>
  </cols>
  <sheetData>
    <row r="1" ht="35" customHeight="1">
      <c r="A1" s="11" t="inlineStr">
        <is>
          <t>LEGAL HOLD MANAGEMENT</t>
        </is>
      </c>
    </row>
    <row r="2">
      <c r="A2" s="12" t="inlineStr">
        <is>
          <t>Track legal holds per ISMS-POL-A.8.15-S2.3.6</t>
        </is>
      </c>
    </row>
    <row r="4">
      <c r="A4" s="13" t="inlineStr">
        <is>
          <t>Hold ID</t>
        </is>
      </c>
      <c r="B4" s="13" t="inlineStr">
        <is>
          <t>Hold Name / Matter</t>
        </is>
      </c>
      <c r="C4" s="13" t="inlineStr">
        <is>
          <t>Initiation Date</t>
        </is>
      </c>
      <c r="D4" s="13" t="inlineStr">
        <is>
          <t>Initiated By</t>
        </is>
      </c>
      <c r="E4" s="13" t="inlineStr">
        <is>
          <t>Scope Description</t>
        </is>
      </c>
      <c r="F4" s="13" t="inlineStr">
        <is>
          <t>Systems/Sources Affected</t>
        </is>
      </c>
      <c r="G4" s="13" t="inlineStr">
        <is>
          <t>Date Range</t>
        </is>
      </c>
      <c r="H4" s="13" t="inlineStr">
        <is>
          <t>Hold Status</t>
        </is>
      </c>
      <c r="I4" s="13" t="inlineStr">
        <is>
          <t>Review Date</t>
        </is>
      </c>
      <c r="J4" s="13" t="inlineStr">
        <is>
          <t>Disposal Prevented</t>
        </is>
      </c>
      <c r="K4" s="13" t="inlineStr">
        <is>
          <t>Release Date</t>
        </is>
      </c>
      <c r="L4" s="13" t="inlineStr">
        <is>
          <t>Release Authorised By</t>
        </is>
      </c>
      <c r="M4" s="13" t="inlineStr">
        <is>
          <t>Notes</t>
        </is>
      </c>
    </row>
    <row r="5">
      <c r="A5" s="14" t="inlineStr">
        <is>
          <t>HOLD-001</t>
        </is>
      </c>
      <c r="B5" s="14" t="inlineStr">
        <is>
          <t>Internal Investigation 2025-Q4</t>
        </is>
      </c>
      <c r="C5" s="14" t="inlineStr">
        <is>
          <t>15.10.2025</t>
        </is>
      </c>
      <c r="D5" s="14" t="inlineStr">
        <is>
          <t>Legal Counsel - Jane Smith</t>
        </is>
      </c>
      <c r="E5" s="14" t="inlineStr">
        <is>
          <t>All authentication and access logs for Finance Dept</t>
        </is>
      </c>
      <c r="F5" s="14" t="inlineStr">
        <is>
          <t>ERP System, File Servers</t>
        </is>
      </c>
      <c r="G5" s="14" t="inlineStr">
        <is>
          <t>01.09.2025 - 31.12.2025</t>
        </is>
      </c>
      <c r="H5" s="14" t="inlineStr">
        <is>
          <t>Active</t>
        </is>
      </c>
      <c r="I5" s="14" t="inlineStr">
        <is>
          <t>15.01.2026</t>
        </is>
      </c>
      <c r="J5" s="14" t="inlineStr">
        <is>
          <t>Yes (verified)</t>
        </is>
      </c>
      <c r="K5" s="14" t="inlineStr"/>
      <c r="L5" s="14" t="inlineStr"/>
      <c r="M5" s="14" t="inlineStr">
        <is>
          <t>Quarterly review scheduled</t>
        </is>
      </c>
    </row>
    <row r="6">
      <c r="A6" s="18">
        <f>IF(B6&lt;&gt;"","HOLD-"&amp;TEXT(ROW()-5,"000"),"")</f>
        <v/>
      </c>
      <c r="B6" s="15" t="n"/>
      <c r="C6" s="16" t="n"/>
      <c r="D6" s="15" t="n"/>
      <c r="E6" s="15" t="n"/>
      <c r="F6" s="15" t="n"/>
      <c r="G6" s="15" t="n"/>
      <c r="H6" s="15" t="n"/>
      <c r="I6" s="16" t="n"/>
      <c r="J6" s="15" t="n"/>
      <c r="K6" s="16" t="n"/>
      <c r="L6" s="15" t="n"/>
      <c r="M6" s="15" t="n"/>
    </row>
    <row r="7">
      <c r="A7" s="18">
        <f>IF(B7&lt;&gt;"","HOLD-"&amp;TEXT(ROW()-5,"000"),"")</f>
        <v/>
      </c>
      <c r="B7" s="15" t="n"/>
      <c r="C7" s="16" t="n"/>
      <c r="D7" s="15" t="n"/>
      <c r="E7" s="15" t="n"/>
      <c r="F7" s="15" t="n"/>
      <c r="G7" s="15" t="n"/>
      <c r="H7" s="15" t="n"/>
      <c r="I7" s="16" t="n"/>
      <c r="J7" s="15" t="n"/>
      <c r="K7" s="16" t="n"/>
      <c r="L7" s="15" t="n"/>
      <c r="M7" s="15" t="n"/>
    </row>
    <row r="8">
      <c r="A8" s="18">
        <f>IF(B8&lt;&gt;"","HOLD-"&amp;TEXT(ROW()-5,"000"),"")</f>
        <v/>
      </c>
      <c r="B8" s="15" t="n"/>
      <c r="C8" s="16" t="n"/>
      <c r="D8" s="15" t="n"/>
      <c r="E8" s="15" t="n"/>
      <c r="F8" s="15" t="n"/>
      <c r="G8" s="15" t="n"/>
      <c r="H8" s="15" t="n"/>
      <c r="I8" s="16" t="n"/>
      <c r="J8" s="15" t="n"/>
      <c r="K8" s="16" t="n"/>
      <c r="L8" s="15" t="n"/>
      <c r="M8" s="15" t="n"/>
    </row>
    <row r="9">
      <c r="A9" s="18">
        <f>IF(B9&lt;&gt;"","HOLD-"&amp;TEXT(ROW()-5,"000"),"")</f>
        <v/>
      </c>
      <c r="B9" s="15" t="n"/>
      <c r="C9" s="16" t="n"/>
      <c r="D9" s="15" t="n"/>
      <c r="E9" s="15" t="n"/>
      <c r="F9" s="15" t="n"/>
      <c r="G9" s="15" t="n"/>
      <c r="H9" s="15" t="n"/>
      <c r="I9" s="16" t="n"/>
      <c r="J9" s="15" t="n"/>
      <c r="K9" s="16" t="n"/>
      <c r="L9" s="15" t="n"/>
      <c r="M9" s="15" t="n"/>
    </row>
    <row r="10">
      <c r="A10" s="18">
        <f>IF(B10&lt;&gt;"","HOLD-"&amp;TEXT(ROW()-5,"000"),"")</f>
        <v/>
      </c>
      <c r="B10" s="15" t="n"/>
      <c r="C10" s="16" t="n"/>
      <c r="D10" s="15" t="n"/>
      <c r="E10" s="15" t="n"/>
      <c r="F10" s="15" t="n"/>
      <c r="G10" s="15" t="n"/>
      <c r="H10" s="15" t="n"/>
      <c r="I10" s="16" t="n"/>
      <c r="J10" s="15" t="n"/>
      <c r="K10" s="16" t="n"/>
      <c r="L10" s="15" t="n"/>
      <c r="M10" s="15" t="n"/>
    </row>
    <row r="11">
      <c r="A11" s="18">
        <f>IF(B11&lt;&gt;"","HOLD-"&amp;TEXT(ROW()-5,"000"),"")</f>
        <v/>
      </c>
      <c r="B11" s="15" t="n"/>
      <c r="C11" s="16" t="n"/>
      <c r="D11" s="15" t="n"/>
      <c r="E11" s="15" t="n"/>
      <c r="F11" s="15" t="n"/>
      <c r="G11" s="15" t="n"/>
      <c r="H11" s="15" t="n"/>
      <c r="I11" s="16" t="n"/>
      <c r="J11" s="15" t="n"/>
      <c r="K11" s="16" t="n"/>
      <c r="L11" s="15" t="n"/>
      <c r="M11" s="15" t="n"/>
    </row>
    <row r="12">
      <c r="A12" s="18">
        <f>IF(B12&lt;&gt;"","HOLD-"&amp;TEXT(ROW()-5,"000"),"")</f>
        <v/>
      </c>
      <c r="B12" s="15" t="n"/>
      <c r="C12" s="16" t="n"/>
      <c r="D12" s="15" t="n"/>
      <c r="E12" s="15" t="n"/>
      <c r="F12" s="15" t="n"/>
      <c r="G12" s="15" t="n"/>
      <c r="H12" s="15" t="n"/>
      <c r="I12" s="16" t="n"/>
      <c r="J12" s="15" t="n"/>
      <c r="K12" s="16" t="n"/>
      <c r="L12" s="15" t="n"/>
      <c r="M12" s="15" t="n"/>
    </row>
    <row r="13">
      <c r="A13" s="18">
        <f>IF(B13&lt;&gt;"","HOLD-"&amp;TEXT(ROW()-5,"000"),"")</f>
        <v/>
      </c>
      <c r="B13" s="15" t="n"/>
      <c r="C13" s="16" t="n"/>
      <c r="D13" s="15" t="n"/>
      <c r="E13" s="15" t="n"/>
      <c r="F13" s="15" t="n"/>
      <c r="G13" s="15" t="n"/>
      <c r="H13" s="15" t="n"/>
      <c r="I13" s="16" t="n"/>
      <c r="J13" s="15" t="n"/>
      <c r="K13" s="16" t="n"/>
      <c r="L13" s="15" t="n"/>
      <c r="M13" s="15" t="n"/>
    </row>
    <row r="14">
      <c r="A14" s="18">
        <f>IF(B14&lt;&gt;"","HOLD-"&amp;TEXT(ROW()-5,"000"),"")</f>
        <v/>
      </c>
      <c r="B14" s="15" t="n"/>
      <c r="C14" s="16" t="n"/>
      <c r="D14" s="15" t="n"/>
      <c r="E14" s="15" t="n"/>
      <c r="F14" s="15" t="n"/>
      <c r="G14" s="15" t="n"/>
      <c r="H14" s="15" t="n"/>
      <c r="I14" s="16" t="n"/>
      <c r="J14" s="15" t="n"/>
      <c r="K14" s="16" t="n"/>
      <c r="L14" s="15" t="n"/>
      <c r="M14" s="15" t="n"/>
    </row>
    <row r="15">
      <c r="A15" s="18">
        <f>IF(B15&lt;&gt;"","HOLD-"&amp;TEXT(ROW()-5,"000"),"")</f>
        <v/>
      </c>
      <c r="B15" s="15" t="n"/>
      <c r="C15" s="16" t="n"/>
      <c r="D15" s="15" t="n"/>
      <c r="E15" s="15" t="n"/>
      <c r="F15" s="15" t="n"/>
      <c r="G15" s="15" t="n"/>
      <c r="H15" s="15" t="n"/>
      <c r="I15" s="16" t="n"/>
      <c r="J15" s="15" t="n"/>
      <c r="K15" s="16" t="n"/>
      <c r="L15" s="15" t="n"/>
      <c r="M15" s="15" t="n"/>
    </row>
    <row r="16">
      <c r="A16" s="18">
        <f>IF(B16&lt;&gt;"","HOLD-"&amp;TEXT(ROW()-5,"000"),"")</f>
        <v/>
      </c>
      <c r="B16" s="15" t="n"/>
      <c r="C16" s="16" t="n"/>
      <c r="D16" s="15" t="n"/>
      <c r="E16" s="15" t="n"/>
      <c r="F16" s="15" t="n"/>
      <c r="G16" s="15" t="n"/>
      <c r="H16" s="15" t="n"/>
      <c r="I16" s="16" t="n"/>
      <c r="J16" s="15" t="n"/>
      <c r="K16" s="16" t="n"/>
      <c r="L16" s="15" t="n"/>
      <c r="M16" s="15" t="n"/>
    </row>
    <row r="17">
      <c r="A17" s="18">
        <f>IF(B17&lt;&gt;"","HOLD-"&amp;TEXT(ROW()-5,"000"),"")</f>
        <v/>
      </c>
      <c r="B17" s="15" t="n"/>
      <c r="C17" s="16" t="n"/>
      <c r="D17" s="15" t="n"/>
      <c r="E17" s="15" t="n"/>
      <c r="F17" s="15" t="n"/>
      <c r="G17" s="15" t="n"/>
      <c r="H17" s="15" t="n"/>
      <c r="I17" s="16" t="n"/>
      <c r="J17" s="15" t="n"/>
      <c r="K17" s="16" t="n"/>
      <c r="L17" s="15" t="n"/>
      <c r="M17" s="15" t="n"/>
    </row>
    <row r="18">
      <c r="A18" s="18">
        <f>IF(B18&lt;&gt;"","HOLD-"&amp;TEXT(ROW()-5,"000"),"")</f>
        <v/>
      </c>
      <c r="B18" s="15" t="n"/>
      <c r="C18" s="16" t="n"/>
      <c r="D18" s="15" t="n"/>
      <c r="E18" s="15" t="n"/>
      <c r="F18" s="15" t="n"/>
      <c r="G18" s="15" t="n"/>
      <c r="H18" s="15" t="n"/>
      <c r="I18" s="16" t="n"/>
      <c r="J18" s="15" t="n"/>
      <c r="K18" s="16" t="n"/>
      <c r="L18" s="15" t="n"/>
      <c r="M18" s="15" t="n"/>
    </row>
    <row r="19">
      <c r="A19" s="18">
        <f>IF(B19&lt;&gt;"","HOLD-"&amp;TEXT(ROW()-5,"000"),"")</f>
        <v/>
      </c>
      <c r="B19" s="15" t="n"/>
      <c r="C19" s="16" t="n"/>
      <c r="D19" s="15" t="n"/>
      <c r="E19" s="15" t="n"/>
      <c r="F19" s="15" t="n"/>
      <c r="G19" s="15" t="n"/>
      <c r="H19" s="15" t="n"/>
      <c r="I19" s="16" t="n"/>
      <c r="J19" s="15" t="n"/>
      <c r="K19" s="16" t="n"/>
      <c r="L19" s="15" t="n"/>
      <c r="M19" s="15" t="n"/>
    </row>
    <row r="20">
      <c r="A20" s="18">
        <f>IF(B20&lt;&gt;"","HOLD-"&amp;TEXT(ROW()-5,"000"),"")</f>
        <v/>
      </c>
      <c r="B20" s="15" t="n"/>
      <c r="C20" s="16" t="n"/>
      <c r="D20" s="15" t="n"/>
      <c r="E20" s="15" t="n"/>
      <c r="F20" s="15" t="n"/>
      <c r="G20" s="15" t="n"/>
      <c r="H20" s="15" t="n"/>
      <c r="I20" s="16" t="n"/>
      <c r="J20" s="15" t="n"/>
      <c r="K20" s="16" t="n"/>
      <c r="L20" s="15" t="n"/>
      <c r="M20" s="15" t="n"/>
    </row>
    <row r="21">
      <c r="A21" s="18">
        <f>IF(B21&lt;&gt;"","HOLD-"&amp;TEXT(ROW()-5,"000"),"")</f>
        <v/>
      </c>
      <c r="B21" s="15" t="n"/>
      <c r="C21" s="16" t="n"/>
      <c r="D21" s="15" t="n"/>
      <c r="E21" s="15" t="n"/>
      <c r="F21" s="15" t="n"/>
      <c r="G21" s="15" t="n"/>
      <c r="H21" s="15" t="n"/>
      <c r="I21" s="16" t="n"/>
      <c r="J21" s="15" t="n"/>
      <c r="K21" s="16" t="n"/>
      <c r="L21" s="15" t="n"/>
      <c r="M21" s="15" t="n"/>
    </row>
    <row r="22">
      <c r="A22" s="18">
        <f>IF(B22&lt;&gt;"","HOLD-"&amp;TEXT(ROW()-5,"000"),"")</f>
        <v/>
      </c>
      <c r="B22" s="15" t="n"/>
      <c r="C22" s="16" t="n"/>
      <c r="D22" s="15" t="n"/>
      <c r="E22" s="15" t="n"/>
      <c r="F22" s="15" t="n"/>
      <c r="G22" s="15" t="n"/>
      <c r="H22" s="15" t="n"/>
      <c r="I22" s="16" t="n"/>
      <c r="J22" s="15" t="n"/>
      <c r="K22" s="16" t="n"/>
      <c r="L22" s="15" t="n"/>
      <c r="M22" s="15" t="n"/>
    </row>
    <row r="23">
      <c r="A23" s="18">
        <f>IF(B23&lt;&gt;"","HOLD-"&amp;TEXT(ROW()-5,"000"),"")</f>
        <v/>
      </c>
      <c r="B23" s="15" t="n"/>
      <c r="C23" s="16" t="n"/>
      <c r="D23" s="15" t="n"/>
      <c r="E23" s="15" t="n"/>
      <c r="F23" s="15" t="n"/>
      <c r="G23" s="15" t="n"/>
      <c r="H23" s="15" t="n"/>
      <c r="I23" s="16" t="n"/>
      <c r="J23" s="15" t="n"/>
      <c r="K23" s="16" t="n"/>
      <c r="L23" s="15" t="n"/>
      <c r="M23" s="15" t="n"/>
    </row>
    <row r="24">
      <c r="A24" s="18">
        <f>IF(B24&lt;&gt;"","HOLD-"&amp;TEXT(ROW()-5,"000"),"")</f>
        <v/>
      </c>
      <c r="B24" s="15" t="n"/>
      <c r="C24" s="16" t="n"/>
      <c r="D24" s="15" t="n"/>
      <c r="E24" s="15" t="n"/>
      <c r="F24" s="15" t="n"/>
      <c r="G24" s="15" t="n"/>
      <c r="H24" s="15" t="n"/>
      <c r="I24" s="16" t="n"/>
      <c r="J24" s="15" t="n"/>
      <c r="K24" s="16" t="n"/>
      <c r="L24" s="15" t="n"/>
      <c r="M24" s="15" t="n"/>
    </row>
    <row r="25">
      <c r="A25" s="18">
        <f>IF(B25&lt;&gt;"","HOLD-"&amp;TEXT(ROW()-5,"000"),"")</f>
        <v/>
      </c>
      <c r="B25" s="15" t="n"/>
      <c r="C25" s="16" t="n"/>
      <c r="D25" s="15" t="n"/>
      <c r="E25" s="15" t="n"/>
      <c r="F25" s="15" t="n"/>
      <c r="G25" s="15" t="n"/>
      <c r="H25" s="15" t="n"/>
      <c r="I25" s="16" t="n"/>
      <c r="J25" s="15" t="n"/>
      <c r="K25" s="16" t="n"/>
      <c r="L25" s="15" t="n"/>
      <c r="M25" s="15" t="n"/>
    </row>
    <row r="26">
      <c r="A26" s="18">
        <f>IF(B26&lt;&gt;"","HOLD-"&amp;TEXT(ROW()-5,"000"),"")</f>
        <v/>
      </c>
      <c r="B26" s="15" t="n"/>
      <c r="C26" s="16" t="n"/>
      <c r="D26" s="15" t="n"/>
      <c r="E26" s="15" t="n"/>
      <c r="F26" s="15" t="n"/>
      <c r="G26" s="15" t="n"/>
      <c r="H26" s="15" t="n"/>
      <c r="I26" s="16" t="n"/>
      <c r="J26" s="15" t="n"/>
      <c r="K26" s="16" t="n"/>
      <c r="L26" s="15" t="n"/>
      <c r="M26" s="15" t="n"/>
    </row>
    <row r="27">
      <c r="A27" s="18">
        <f>IF(B27&lt;&gt;"","HOLD-"&amp;TEXT(ROW()-5,"000"),"")</f>
        <v/>
      </c>
      <c r="B27" s="15" t="n"/>
      <c r="C27" s="16" t="n"/>
      <c r="D27" s="15" t="n"/>
      <c r="E27" s="15" t="n"/>
      <c r="F27" s="15" t="n"/>
      <c r="G27" s="15" t="n"/>
      <c r="H27" s="15" t="n"/>
      <c r="I27" s="16" t="n"/>
      <c r="J27" s="15" t="n"/>
      <c r="K27" s="16" t="n"/>
      <c r="L27" s="15" t="n"/>
      <c r="M27" s="15" t="n"/>
    </row>
    <row r="28">
      <c r="A28" s="18">
        <f>IF(B28&lt;&gt;"","HOLD-"&amp;TEXT(ROW()-5,"000"),"")</f>
        <v/>
      </c>
      <c r="B28" s="15" t="n"/>
      <c r="C28" s="16" t="n"/>
      <c r="D28" s="15" t="n"/>
      <c r="E28" s="15" t="n"/>
      <c r="F28" s="15" t="n"/>
      <c r="G28" s="15" t="n"/>
      <c r="H28" s="15" t="n"/>
      <c r="I28" s="16" t="n"/>
      <c r="J28" s="15" t="n"/>
      <c r="K28" s="16" t="n"/>
      <c r="L28" s="15" t="n"/>
      <c r="M28" s="15" t="n"/>
    </row>
    <row r="29">
      <c r="A29" s="18">
        <f>IF(B29&lt;&gt;"","HOLD-"&amp;TEXT(ROW()-5,"000"),"")</f>
        <v/>
      </c>
      <c r="B29" s="15" t="n"/>
      <c r="C29" s="16" t="n"/>
      <c r="D29" s="15" t="n"/>
      <c r="E29" s="15" t="n"/>
      <c r="F29" s="15" t="n"/>
      <c r="G29" s="15" t="n"/>
      <c r="H29" s="15" t="n"/>
      <c r="I29" s="16" t="n"/>
      <c r="J29" s="15" t="n"/>
      <c r="K29" s="16" t="n"/>
      <c r="L29" s="15" t="n"/>
      <c r="M29" s="15" t="n"/>
    </row>
    <row r="30">
      <c r="A30" s="18">
        <f>IF(B30&lt;&gt;"","HOLD-"&amp;TEXT(ROW()-5,"000"),"")</f>
        <v/>
      </c>
      <c r="B30" s="15" t="n"/>
      <c r="C30" s="16" t="n"/>
      <c r="D30" s="15" t="n"/>
      <c r="E30" s="15" t="n"/>
      <c r="F30" s="15" t="n"/>
      <c r="G30" s="15" t="n"/>
      <c r="H30" s="15" t="n"/>
      <c r="I30" s="16" t="n"/>
      <c r="J30" s="15" t="n"/>
      <c r="K30" s="16" t="n"/>
      <c r="L30" s="15" t="n"/>
      <c r="M30" s="15" t="n"/>
    </row>
    <row r="31">
      <c r="A31" s="18">
        <f>IF(B31&lt;&gt;"","HOLD-"&amp;TEXT(ROW()-5,"000"),"")</f>
        <v/>
      </c>
      <c r="B31" s="15" t="n"/>
      <c r="C31" s="16" t="n"/>
      <c r="D31" s="15" t="n"/>
      <c r="E31" s="15" t="n"/>
      <c r="F31" s="15" t="n"/>
      <c r="G31" s="15" t="n"/>
      <c r="H31" s="15" t="n"/>
      <c r="I31" s="16" t="n"/>
      <c r="J31" s="15" t="n"/>
      <c r="K31" s="16" t="n"/>
      <c r="L31" s="15" t="n"/>
      <c r="M31" s="15" t="n"/>
    </row>
    <row r="32">
      <c r="A32" s="18">
        <f>IF(B32&lt;&gt;"","HOLD-"&amp;TEXT(ROW()-5,"000"),"")</f>
        <v/>
      </c>
      <c r="B32" s="15" t="n"/>
      <c r="C32" s="16" t="n"/>
      <c r="D32" s="15" t="n"/>
      <c r="E32" s="15" t="n"/>
      <c r="F32" s="15" t="n"/>
      <c r="G32" s="15" t="n"/>
      <c r="H32" s="15" t="n"/>
      <c r="I32" s="16" t="n"/>
      <c r="J32" s="15" t="n"/>
      <c r="K32" s="16" t="n"/>
      <c r="L32" s="15" t="n"/>
      <c r="M32" s="15" t="n"/>
    </row>
    <row r="33">
      <c r="A33" s="18">
        <f>IF(B33&lt;&gt;"","HOLD-"&amp;TEXT(ROW()-5,"000"),"")</f>
        <v/>
      </c>
      <c r="B33" s="15" t="n"/>
      <c r="C33" s="16" t="n"/>
      <c r="D33" s="15" t="n"/>
      <c r="E33" s="15" t="n"/>
      <c r="F33" s="15" t="n"/>
      <c r="G33" s="15" t="n"/>
      <c r="H33" s="15" t="n"/>
      <c r="I33" s="16" t="n"/>
      <c r="J33" s="15" t="n"/>
      <c r="K33" s="16" t="n"/>
      <c r="L33" s="15" t="n"/>
      <c r="M33" s="15" t="n"/>
    </row>
    <row r="34">
      <c r="A34" s="18">
        <f>IF(B34&lt;&gt;"","HOLD-"&amp;TEXT(ROW()-5,"000"),"")</f>
        <v/>
      </c>
      <c r="B34" s="15" t="n"/>
      <c r="C34" s="16" t="n"/>
      <c r="D34" s="15" t="n"/>
      <c r="E34" s="15" t="n"/>
      <c r="F34" s="15" t="n"/>
      <c r="G34" s="15" t="n"/>
      <c r="H34" s="15" t="n"/>
      <c r="I34" s="16" t="n"/>
      <c r="J34" s="15" t="n"/>
      <c r="K34" s="16" t="n"/>
      <c r="L34" s="15" t="n"/>
      <c r="M34" s="15" t="n"/>
    </row>
    <row r="35">
      <c r="A35" s="18">
        <f>IF(B35&lt;&gt;"","HOLD-"&amp;TEXT(ROW()-5,"000"),"")</f>
        <v/>
      </c>
      <c r="B35" s="15" t="n"/>
      <c r="C35" s="16" t="n"/>
      <c r="D35" s="15" t="n"/>
      <c r="E35" s="15" t="n"/>
      <c r="F35" s="15" t="n"/>
      <c r="G35" s="15" t="n"/>
      <c r="H35" s="15" t="n"/>
      <c r="I35" s="16" t="n"/>
      <c r="J35" s="15" t="n"/>
      <c r="K35" s="16" t="n"/>
      <c r="L35" s="15" t="n"/>
      <c r="M35" s="15" t="n"/>
    </row>
    <row r="36">
      <c r="A36" s="18">
        <f>IF(B36&lt;&gt;"","HOLD-"&amp;TEXT(ROW()-5,"000"),"")</f>
        <v/>
      </c>
      <c r="B36" s="15" t="n"/>
      <c r="C36" s="16" t="n"/>
      <c r="D36" s="15" t="n"/>
      <c r="E36" s="15" t="n"/>
      <c r="F36" s="15" t="n"/>
      <c r="G36" s="15" t="n"/>
      <c r="H36" s="15" t="n"/>
      <c r="I36" s="16" t="n"/>
      <c r="J36" s="15" t="n"/>
      <c r="K36" s="16" t="n"/>
      <c r="L36" s="15" t="n"/>
      <c r="M36" s="15" t="n"/>
    </row>
    <row r="37">
      <c r="A37" s="18">
        <f>IF(B37&lt;&gt;"","HOLD-"&amp;TEXT(ROW()-5,"000"),"")</f>
        <v/>
      </c>
      <c r="B37" s="15" t="n"/>
      <c r="C37" s="16" t="n"/>
      <c r="D37" s="15" t="n"/>
      <c r="E37" s="15" t="n"/>
      <c r="F37" s="15" t="n"/>
      <c r="G37" s="15" t="n"/>
      <c r="H37" s="15" t="n"/>
      <c r="I37" s="16" t="n"/>
      <c r="J37" s="15" t="n"/>
      <c r="K37" s="16" t="n"/>
      <c r="L37" s="15" t="n"/>
      <c r="M37" s="15" t="n"/>
    </row>
    <row r="38">
      <c r="A38" s="18">
        <f>IF(B38&lt;&gt;"","HOLD-"&amp;TEXT(ROW()-5,"000"),"")</f>
        <v/>
      </c>
      <c r="B38" s="15" t="n"/>
      <c r="C38" s="16" t="n"/>
      <c r="D38" s="15" t="n"/>
      <c r="E38" s="15" t="n"/>
      <c r="F38" s="15" t="n"/>
      <c r="G38" s="15" t="n"/>
      <c r="H38" s="15" t="n"/>
      <c r="I38" s="16" t="n"/>
      <c r="J38" s="15" t="n"/>
      <c r="K38" s="16" t="n"/>
      <c r="L38" s="15" t="n"/>
      <c r="M38" s="15" t="n"/>
    </row>
    <row r="39">
      <c r="A39" s="18">
        <f>IF(B39&lt;&gt;"","HOLD-"&amp;TEXT(ROW()-5,"000"),"")</f>
        <v/>
      </c>
      <c r="B39" s="15" t="n"/>
      <c r="C39" s="16" t="n"/>
      <c r="D39" s="15" t="n"/>
      <c r="E39" s="15" t="n"/>
      <c r="F39" s="15" t="n"/>
      <c r="G39" s="15" t="n"/>
      <c r="H39" s="15" t="n"/>
      <c r="I39" s="16" t="n"/>
      <c r="J39" s="15" t="n"/>
      <c r="K39" s="16" t="n"/>
      <c r="L39" s="15" t="n"/>
      <c r="M39" s="15" t="n"/>
    </row>
    <row r="40">
      <c r="A40" s="18">
        <f>IF(B40&lt;&gt;"","HOLD-"&amp;TEXT(ROW()-5,"000"),"")</f>
        <v/>
      </c>
      <c r="B40" s="15" t="n"/>
      <c r="C40" s="16" t="n"/>
      <c r="D40" s="15" t="n"/>
      <c r="E40" s="15" t="n"/>
      <c r="F40" s="15" t="n"/>
      <c r="G40" s="15" t="n"/>
      <c r="H40" s="15" t="n"/>
      <c r="I40" s="16" t="n"/>
      <c r="J40" s="15" t="n"/>
      <c r="K40" s="16" t="n"/>
      <c r="L40" s="15" t="n"/>
      <c r="M40" s="15" t="n"/>
    </row>
    <row r="41">
      <c r="A41" s="18">
        <f>IF(B41&lt;&gt;"","HOLD-"&amp;TEXT(ROW()-5,"000"),"")</f>
        <v/>
      </c>
      <c r="B41" s="15" t="n"/>
      <c r="C41" s="16" t="n"/>
      <c r="D41" s="15" t="n"/>
      <c r="E41" s="15" t="n"/>
      <c r="F41" s="15" t="n"/>
      <c r="G41" s="15" t="n"/>
      <c r="H41" s="15" t="n"/>
      <c r="I41" s="16" t="n"/>
      <c r="J41" s="15" t="n"/>
      <c r="K41" s="16" t="n"/>
      <c r="L41" s="15" t="n"/>
      <c r="M41" s="15" t="n"/>
    </row>
    <row r="42">
      <c r="A42" s="18">
        <f>IF(B42&lt;&gt;"","HOLD-"&amp;TEXT(ROW()-5,"000"),"")</f>
        <v/>
      </c>
      <c r="B42" s="15" t="n"/>
      <c r="C42" s="16" t="n"/>
      <c r="D42" s="15" t="n"/>
      <c r="E42" s="15" t="n"/>
      <c r="F42" s="15" t="n"/>
      <c r="G42" s="15" t="n"/>
      <c r="H42" s="15" t="n"/>
      <c r="I42" s="16" t="n"/>
      <c r="J42" s="15" t="n"/>
      <c r="K42" s="16" t="n"/>
      <c r="L42" s="15" t="n"/>
      <c r="M42" s="15" t="n"/>
    </row>
    <row r="43">
      <c r="A43" s="18">
        <f>IF(B43&lt;&gt;"","HOLD-"&amp;TEXT(ROW()-5,"000"),"")</f>
        <v/>
      </c>
      <c r="B43" s="15" t="n"/>
      <c r="C43" s="16" t="n"/>
      <c r="D43" s="15" t="n"/>
      <c r="E43" s="15" t="n"/>
      <c r="F43" s="15" t="n"/>
      <c r="G43" s="15" t="n"/>
      <c r="H43" s="15" t="n"/>
      <c r="I43" s="16" t="n"/>
      <c r="J43" s="15" t="n"/>
      <c r="K43" s="16" t="n"/>
      <c r="L43" s="15" t="n"/>
      <c r="M43" s="15" t="n"/>
    </row>
    <row r="44">
      <c r="A44" s="18">
        <f>IF(B44&lt;&gt;"","HOLD-"&amp;TEXT(ROW()-5,"000"),"")</f>
        <v/>
      </c>
      <c r="B44" s="15" t="n"/>
      <c r="C44" s="16" t="n"/>
      <c r="D44" s="15" t="n"/>
      <c r="E44" s="15" t="n"/>
      <c r="F44" s="15" t="n"/>
      <c r="G44" s="15" t="n"/>
      <c r="H44" s="15" t="n"/>
      <c r="I44" s="16" t="n"/>
      <c r="J44" s="15" t="n"/>
      <c r="K44" s="16" t="n"/>
      <c r="L44" s="15" t="n"/>
      <c r="M44" s="15" t="n"/>
    </row>
    <row r="45">
      <c r="A45" s="18">
        <f>IF(B45&lt;&gt;"","HOLD-"&amp;TEXT(ROW()-5,"000"),"")</f>
        <v/>
      </c>
      <c r="B45" s="15" t="n"/>
      <c r="C45" s="16" t="n"/>
      <c r="D45" s="15" t="n"/>
      <c r="E45" s="15" t="n"/>
      <c r="F45" s="15" t="n"/>
      <c r="G45" s="15" t="n"/>
      <c r="H45" s="15" t="n"/>
      <c r="I45" s="16" t="n"/>
      <c r="J45" s="15" t="n"/>
      <c r="K45" s="16" t="n"/>
      <c r="L45" s="15" t="n"/>
      <c r="M45" s="15" t="n"/>
    </row>
    <row r="46">
      <c r="A46" s="18">
        <f>IF(B46&lt;&gt;"","HOLD-"&amp;TEXT(ROW()-5,"000"),"")</f>
        <v/>
      </c>
      <c r="B46" s="15" t="n"/>
      <c r="C46" s="16" t="n"/>
      <c r="D46" s="15" t="n"/>
      <c r="E46" s="15" t="n"/>
      <c r="F46" s="15" t="n"/>
      <c r="G46" s="15" t="n"/>
      <c r="H46" s="15" t="n"/>
      <c r="I46" s="16" t="n"/>
      <c r="J46" s="15" t="n"/>
      <c r="K46" s="16" t="n"/>
      <c r="L46" s="15" t="n"/>
      <c r="M46" s="15" t="n"/>
    </row>
    <row r="47">
      <c r="A47" s="18">
        <f>IF(B47&lt;&gt;"","HOLD-"&amp;TEXT(ROW()-5,"000"),"")</f>
        <v/>
      </c>
      <c r="B47" s="15" t="n"/>
      <c r="C47" s="16" t="n"/>
      <c r="D47" s="15" t="n"/>
      <c r="E47" s="15" t="n"/>
      <c r="F47" s="15" t="n"/>
      <c r="G47" s="15" t="n"/>
      <c r="H47" s="15" t="n"/>
      <c r="I47" s="16" t="n"/>
      <c r="J47" s="15" t="n"/>
      <c r="K47" s="16" t="n"/>
      <c r="L47" s="15" t="n"/>
      <c r="M47" s="15" t="n"/>
    </row>
    <row r="48">
      <c r="A48" s="18">
        <f>IF(B48&lt;&gt;"","HOLD-"&amp;TEXT(ROW()-5,"000"),"")</f>
        <v/>
      </c>
      <c r="B48" s="15" t="n"/>
      <c r="C48" s="16" t="n"/>
      <c r="D48" s="15" t="n"/>
      <c r="E48" s="15" t="n"/>
      <c r="F48" s="15" t="n"/>
      <c r="G48" s="15" t="n"/>
      <c r="H48" s="15" t="n"/>
      <c r="I48" s="16" t="n"/>
      <c r="J48" s="15" t="n"/>
      <c r="K48" s="16" t="n"/>
      <c r="L48" s="15" t="n"/>
      <c r="M48" s="15" t="n"/>
    </row>
    <row r="49">
      <c r="A49" s="18">
        <f>IF(B49&lt;&gt;"","HOLD-"&amp;TEXT(ROW()-5,"000"),"")</f>
        <v/>
      </c>
      <c r="B49" s="15" t="n"/>
      <c r="C49" s="16" t="n"/>
      <c r="D49" s="15" t="n"/>
      <c r="E49" s="15" t="n"/>
      <c r="F49" s="15" t="n"/>
      <c r="G49" s="15" t="n"/>
      <c r="H49" s="15" t="n"/>
      <c r="I49" s="16" t="n"/>
      <c r="J49" s="15" t="n"/>
      <c r="K49" s="16" t="n"/>
      <c r="L49" s="15" t="n"/>
      <c r="M49" s="15" t="n"/>
    </row>
    <row r="50">
      <c r="A50" s="18">
        <f>IF(B50&lt;&gt;"","HOLD-"&amp;TEXT(ROW()-5,"000"),"")</f>
        <v/>
      </c>
      <c r="B50" s="15" t="n"/>
      <c r="C50" s="16" t="n"/>
      <c r="D50" s="15" t="n"/>
      <c r="E50" s="15" t="n"/>
      <c r="F50" s="15" t="n"/>
      <c r="G50" s="15" t="n"/>
      <c r="H50" s="15" t="n"/>
      <c r="I50" s="16" t="n"/>
      <c r="J50" s="15" t="n"/>
      <c r="K50" s="16" t="n"/>
      <c r="L50" s="15" t="n"/>
      <c r="M50" s="15" t="n"/>
    </row>
    <row r="51">
      <c r="A51" s="18">
        <f>IF(B51&lt;&gt;"","HOLD-"&amp;TEXT(ROW()-5,"000"),"")</f>
        <v/>
      </c>
      <c r="B51" s="15" t="n"/>
      <c r="C51" s="16" t="n"/>
      <c r="D51" s="15" t="n"/>
      <c r="E51" s="15" t="n"/>
      <c r="F51" s="15" t="n"/>
      <c r="G51" s="15" t="n"/>
      <c r="H51" s="15" t="n"/>
      <c r="I51" s="16" t="n"/>
      <c r="J51" s="15" t="n"/>
      <c r="K51" s="16" t="n"/>
      <c r="L51" s="15" t="n"/>
      <c r="M51" s="15" t="n"/>
    </row>
    <row r="52">
      <c r="A52" s="18">
        <f>IF(B52&lt;&gt;"","HOLD-"&amp;TEXT(ROW()-5,"000"),"")</f>
        <v/>
      </c>
      <c r="B52" s="15" t="n"/>
      <c r="C52" s="16" t="n"/>
      <c r="D52" s="15" t="n"/>
      <c r="E52" s="15" t="n"/>
      <c r="F52" s="15" t="n"/>
      <c r="G52" s="15" t="n"/>
      <c r="H52" s="15" t="n"/>
      <c r="I52" s="16" t="n"/>
      <c r="J52" s="15" t="n"/>
      <c r="K52" s="16" t="n"/>
      <c r="L52" s="15" t="n"/>
      <c r="M52" s="15" t="n"/>
    </row>
    <row r="53">
      <c r="A53" s="18">
        <f>IF(B53&lt;&gt;"","HOLD-"&amp;TEXT(ROW()-5,"000"),"")</f>
        <v/>
      </c>
      <c r="B53" s="15" t="n"/>
      <c r="C53" s="16" t="n"/>
      <c r="D53" s="15" t="n"/>
      <c r="E53" s="15" t="n"/>
      <c r="F53" s="15" t="n"/>
      <c r="G53" s="15" t="n"/>
      <c r="H53" s="15" t="n"/>
      <c r="I53" s="16" t="n"/>
      <c r="J53" s="15" t="n"/>
      <c r="K53" s="16" t="n"/>
      <c r="L53" s="15" t="n"/>
      <c r="M53" s="15" t="n"/>
    </row>
    <row r="54">
      <c r="A54" s="18">
        <f>IF(B54&lt;&gt;"","HOLD-"&amp;TEXT(ROW()-5,"000"),"")</f>
        <v/>
      </c>
      <c r="B54" s="15" t="n"/>
      <c r="C54" s="16" t="n"/>
      <c r="D54" s="15" t="n"/>
      <c r="E54" s="15" t="n"/>
      <c r="F54" s="15" t="n"/>
      <c r="G54" s="15" t="n"/>
      <c r="H54" s="15" t="n"/>
      <c r="I54" s="16" t="n"/>
      <c r="J54" s="15" t="n"/>
      <c r="K54" s="16" t="n"/>
      <c r="L54" s="15" t="n"/>
      <c r="M54" s="15" t="n"/>
    </row>
    <row r="55">
      <c r="A55" s="18">
        <f>IF(B55&lt;&gt;"","HOLD-"&amp;TEXT(ROW()-5,"000"),"")</f>
        <v/>
      </c>
      <c r="B55" s="15" t="n"/>
      <c r="C55" s="16" t="n"/>
      <c r="D55" s="15" t="n"/>
      <c r="E55" s="15" t="n"/>
      <c r="F55" s="15" t="n"/>
      <c r="G55" s="15" t="n"/>
      <c r="H55" s="15" t="n"/>
      <c r="I55" s="16" t="n"/>
      <c r="J55" s="15" t="n"/>
      <c r="K55" s="16" t="n"/>
      <c r="L55" s="15" t="n"/>
      <c r="M55" s="15" t="n"/>
    </row>
  </sheetData>
  <mergeCells count="2">
    <mergeCell ref="A2:M2"/>
    <mergeCell ref="A1:M1"/>
  </mergeCells>
  <dataValidations count="2">
    <dataValidation sqref="H6:H55" showDropDown="0" showInputMessage="0" showErrorMessage="0" allowBlank="1" type="list">
      <formula1>"Active,Released,Suspended"</formula1>
    </dataValidation>
    <dataValidation sqref="J6:J55" showDropDown="0" showInputMessage="0" showErrorMessage="0" allowBlank="1" type="list">
      <formula1>"Yes (verified),No"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0" customWidth="1" min="4" max="4"/>
    <col width="25" customWidth="1" min="5" max="5"/>
    <col width="18" customWidth="1" min="6" max="6"/>
    <col width="15" customWidth="1" min="7" max="7"/>
    <col width="18" customWidth="1" min="8" max="8"/>
    <col width="14" customWidth="1" min="9" max="9"/>
    <col width="15" customWidth="1" min="10" max="10"/>
    <col width="30" customWidth="1" min="11" max="11"/>
  </cols>
  <sheetData>
    <row r="1">
      <c r="A1" s="11" t="inlineStr">
        <is>
          <t>PRIVACY IMPACT ASSESSMENT</t>
        </is>
      </c>
    </row>
    <row r="2">
      <c r="A2" s="12" t="inlineStr">
        <is>
          <t>Assess privacy implications of log data collection and retention</t>
        </is>
      </c>
    </row>
    <row r="4">
      <c r="A4" s="21" t="inlineStr">
        <is>
          <t>DATA MINIMIZATION ASSESSMENT</t>
        </is>
      </c>
    </row>
    <row r="5">
      <c r="A5" s="13" t="inlineStr">
        <is>
          <t>Log Category</t>
        </is>
      </c>
      <c r="B5" s="13" t="inlineStr">
        <is>
          <t>PII/Sensitive Data Present</t>
        </is>
      </c>
      <c r="C5" s="13" t="inlineStr">
        <is>
          <t>Data Types</t>
        </is>
      </c>
      <c r="D5" s="13" t="inlineStr">
        <is>
          <t>Minimization Applied</t>
        </is>
      </c>
      <c r="E5" s="13" t="inlineStr">
        <is>
          <t>Justification</t>
        </is>
      </c>
      <c r="F5" s="13" t="inlineStr">
        <is>
          <t>Retention Period</t>
        </is>
      </c>
      <c r="G5" s="13" t="inlineStr">
        <is>
          <t>GDPR Article</t>
        </is>
      </c>
      <c r="H5" s="13" t="inlineStr">
        <is>
          <t>Compliance Status</t>
        </is>
      </c>
      <c r="I5" s="13" t="inlineStr">
        <is>
          <t>Review Date</t>
        </is>
      </c>
      <c r="J5" s="13" t="inlineStr">
        <is>
          <t>Owner</t>
        </is>
      </c>
      <c r="K5" s="13" t="inlineStr">
        <is>
          <t>Notes</t>
        </is>
      </c>
    </row>
    <row r="6">
      <c r="A6" t="inlineStr">
        <is>
          <t>Authentication Logs</t>
        </is>
      </c>
      <c r="B6" s="15" t="inlineStr"/>
      <c r="C6" s="15" t="inlineStr"/>
      <c r="D6" s="15" t="inlineStr"/>
      <c r="E6" s="15" t="inlineStr"/>
      <c r="F6" s="15" t="inlineStr"/>
      <c r="G6" s="15" t="inlineStr">
        <is>
          <t>Art. 6(1)(f)</t>
        </is>
      </c>
      <c r="H6" s="15" t="inlineStr"/>
      <c r="I6" s="15" t="inlineStr"/>
      <c r="J6" s="15" t="inlineStr"/>
      <c r="K6" s="15" t="inlineStr"/>
    </row>
    <row r="7">
      <c r="A7" t="inlineStr">
        <is>
          <t>Access Logs</t>
        </is>
      </c>
      <c r="B7" s="15" t="inlineStr"/>
      <c r="C7" s="15" t="inlineStr"/>
      <c r="D7" s="15" t="inlineStr"/>
      <c r="E7" s="15" t="inlineStr"/>
      <c r="F7" s="15" t="inlineStr"/>
      <c r="G7" s="15" t="inlineStr">
        <is>
          <t>Art. 6(1)(f)</t>
        </is>
      </c>
      <c r="H7" s="15" t="inlineStr"/>
      <c r="I7" s="15" t="inlineStr"/>
      <c r="J7" s="15" t="inlineStr"/>
      <c r="K7" s="15" t="inlineStr"/>
    </row>
    <row r="8">
      <c r="A8" t="inlineStr">
        <is>
          <t>Application Logs</t>
        </is>
      </c>
      <c r="B8" s="15" t="inlineStr"/>
      <c r="C8" s="15" t="inlineStr"/>
      <c r="D8" s="15" t="inlineStr"/>
      <c r="E8" s="15" t="inlineStr"/>
      <c r="F8" s="15" t="inlineStr"/>
      <c r="G8" s="15" t="inlineStr">
        <is>
          <t>Art. 6(1)(f)</t>
        </is>
      </c>
      <c r="H8" s="15" t="inlineStr"/>
      <c r="I8" s="15" t="inlineStr"/>
      <c r="J8" s="15" t="inlineStr"/>
      <c r="K8" s="15" t="inlineStr"/>
    </row>
    <row r="9">
      <c r="A9" t="inlineStr">
        <is>
          <t>Network Logs</t>
        </is>
      </c>
      <c r="B9" s="15" t="inlineStr"/>
      <c r="C9" s="15" t="inlineStr"/>
      <c r="D9" s="15" t="inlineStr"/>
      <c r="E9" s="15" t="inlineStr"/>
      <c r="F9" s="15" t="inlineStr"/>
      <c r="G9" s="15" t="inlineStr">
        <is>
          <t>Art. 6(1)(f)</t>
        </is>
      </c>
      <c r="H9" s="15" t="inlineStr"/>
      <c r="I9" s="15" t="inlineStr"/>
      <c r="J9" s="15" t="inlineStr"/>
      <c r="K9" s="15" t="inlineStr"/>
    </row>
    <row r="10">
      <c r="A10" t="inlineStr">
        <is>
          <t>Database Audit Logs</t>
        </is>
      </c>
      <c r="B10" s="15" t="inlineStr"/>
      <c r="C10" s="15" t="inlineStr"/>
      <c r="D10" s="15" t="inlineStr"/>
      <c r="E10" s="15" t="inlineStr"/>
      <c r="F10" s="15" t="inlineStr"/>
      <c r="G10" s="15" t="inlineStr">
        <is>
          <t>Art. 6(1)(c)</t>
        </is>
      </c>
      <c r="H10" s="15" t="inlineStr"/>
      <c r="I10" s="15" t="inlineStr"/>
      <c r="J10" s="15" t="inlineStr"/>
      <c r="K10" s="15" t="inlineStr"/>
    </row>
    <row r="11">
      <c r="A11" t="inlineStr">
        <is>
          <t>Email Logs</t>
        </is>
      </c>
      <c r="B11" s="15" t="inlineStr"/>
      <c r="C11" s="15" t="inlineStr"/>
      <c r="D11" s="15" t="inlineStr"/>
      <c r="E11" s="15" t="inlineStr"/>
      <c r="F11" s="15" t="inlineStr"/>
      <c r="G11" s="15" t="inlineStr">
        <is>
          <t>Art. 6(1)(f)</t>
        </is>
      </c>
      <c r="H11" s="15" t="inlineStr"/>
      <c r="I11" s="15" t="inlineStr"/>
      <c r="J11" s="15" t="inlineStr"/>
      <c r="K11" s="15" t="inlineStr"/>
    </row>
    <row r="12">
      <c r="A12" t="inlineStr">
        <is>
          <t>HR System Logs</t>
        </is>
      </c>
      <c r="B12" s="15" t="inlineStr"/>
      <c r="C12" s="15" t="inlineStr"/>
      <c r="D12" s="15" t="inlineStr"/>
      <c r="E12" s="15" t="inlineStr"/>
      <c r="F12" s="15" t="inlineStr"/>
      <c r="G12" s="15" t="inlineStr">
        <is>
          <t>Art. 6(1)(b)</t>
        </is>
      </c>
      <c r="H12" s="15" t="inlineStr"/>
      <c r="I12" s="15" t="inlineStr"/>
      <c r="J12" s="15" t="inlineStr"/>
      <c r="K12" s="15" t="inlineStr"/>
    </row>
    <row r="15">
      <c r="A15" s="21" t="inlineStr">
        <is>
          <t>PROHIBITED DATA CHECK</t>
        </is>
      </c>
    </row>
    <row r="16">
      <c r="A16" s="13" t="inlineStr">
        <is>
          <t>Data Type</t>
        </is>
      </c>
      <c r="B16" s="13" t="inlineStr">
        <is>
          <t>Logs Checked</t>
        </is>
      </c>
      <c r="C16" s="13" t="inlineStr">
        <is>
          <t>Found?</t>
        </is>
      </c>
      <c r="D16" s="13" t="inlineStr">
        <is>
          <t>Location</t>
        </is>
      </c>
      <c r="E16" s="13" t="inlineStr">
        <is>
          <t>Remediation Action</t>
        </is>
      </c>
      <c r="F16" s="13" t="inlineStr">
        <is>
          <t>Completion Date</t>
        </is>
      </c>
      <c r="G16" s="13" t="inlineStr">
        <is>
          <t>Verified By</t>
        </is>
      </c>
    </row>
    <row r="17">
      <c r="A17" t="inlineStr">
        <is>
          <t>Passwords/Credentials</t>
        </is>
      </c>
      <c r="B17" s="15" t="inlineStr"/>
      <c r="C17" s="15" t="inlineStr"/>
      <c r="D17" s="15" t="inlineStr"/>
      <c r="E17" s="15" t="inlineStr"/>
      <c r="F17" s="15" t="inlineStr"/>
      <c r="G17" s="15" t="inlineStr"/>
    </row>
    <row r="18">
      <c r="A18" t="inlineStr">
        <is>
          <t>Credit Card Numbers</t>
        </is>
      </c>
      <c r="B18" s="15" t="inlineStr"/>
      <c r="C18" s="15" t="inlineStr"/>
      <c r="D18" s="15" t="inlineStr"/>
      <c r="E18" s="15" t="inlineStr"/>
      <c r="F18" s="15" t="inlineStr"/>
      <c r="G18" s="15" t="inlineStr"/>
    </row>
    <row r="19">
      <c r="A19" t="inlineStr">
        <is>
          <t>Social Security Numbers</t>
        </is>
      </c>
      <c r="B19" s="15" t="inlineStr"/>
      <c r="C19" s="15" t="inlineStr"/>
      <c r="D19" s="15" t="inlineStr"/>
      <c r="E19" s="15" t="inlineStr"/>
      <c r="F19" s="15" t="inlineStr"/>
      <c r="G19" s="15" t="inlineStr"/>
    </row>
    <row r="20">
      <c r="A20" t="inlineStr">
        <is>
          <t>Health Information</t>
        </is>
      </c>
      <c r="B20" s="15" t="inlineStr"/>
      <c r="C20" s="15" t="inlineStr"/>
      <c r="D20" s="15" t="inlineStr"/>
      <c r="E20" s="15" t="inlineStr"/>
      <c r="F20" s="15" t="inlineStr"/>
      <c r="G20" s="15" t="inlineStr"/>
    </row>
    <row r="21">
      <c r="A21" t="inlineStr">
        <is>
          <t>Biometric Data</t>
        </is>
      </c>
      <c r="B21" s="15" t="inlineStr"/>
      <c r="C21" s="15" t="inlineStr"/>
      <c r="D21" s="15" t="inlineStr"/>
      <c r="E21" s="15" t="inlineStr"/>
      <c r="F21" s="15" t="inlineStr"/>
      <c r="G21" s="15" t="inlineStr"/>
    </row>
    <row r="22">
      <c r="A22" t="inlineStr">
        <is>
          <t>Racial/Ethnic Data</t>
        </is>
      </c>
      <c r="B22" s="15" t="inlineStr"/>
      <c r="C22" s="15" t="inlineStr"/>
      <c r="D22" s="15" t="inlineStr"/>
      <c r="E22" s="15" t="inlineStr"/>
      <c r="F22" s="15" t="inlineStr"/>
      <c r="G22" s="15" t="inlineStr"/>
    </row>
    <row r="23">
      <c r="A23" t="inlineStr">
        <is>
          <t>Political Opinions</t>
        </is>
      </c>
      <c r="B23" s="15" t="inlineStr"/>
      <c r="C23" s="15" t="inlineStr"/>
      <c r="D23" s="15" t="inlineStr"/>
      <c r="E23" s="15" t="inlineStr"/>
      <c r="F23" s="15" t="inlineStr"/>
      <c r="G23" s="15" t="inlineStr"/>
    </row>
    <row r="24">
      <c r="A24" t="inlineStr">
        <is>
          <t>Religious Beliefs</t>
        </is>
      </c>
      <c r="B24" s="15" t="inlineStr"/>
      <c r="C24" s="15" t="inlineStr"/>
      <c r="D24" s="15" t="inlineStr"/>
      <c r="E24" s="15" t="inlineStr"/>
      <c r="F24" s="15" t="inlineStr"/>
      <c r="G24" s="15" t="inlineStr"/>
    </row>
    <row r="27">
      <c r="A27" s="21" t="inlineStr">
        <is>
          <t>DATA SUBJECT RIGHTS COMPLIANCE</t>
        </is>
      </c>
    </row>
    <row r="28">
      <c r="A28" s="13" t="inlineStr">
        <is>
          <t>Right</t>
        </is>
      </c>
      <c r="B28" s="13" t="inlineStr">
        <is>
          <t>Applicable to Logs?</t>
        </is>
      </c>
      <c r="C28" s="13" t="inlineStr">
        <is>
          <t>Process Documented</t>
        </is>
      </c>
      <c r="D28" s="13" t="inlineStr">
        <is>
          <t>Can Be Fulfilled</t>
        </is>
      </c>
      <c r="E28" s="13" t="inlineStr">
        <is>
          <t>Response Time</t>
        </is>
      </c>
      <c r="F28" s="13" t="inlineStr">
        <is>
          <t>Evidence Ref</t>
        </is>
      </c>
    </row>
    <row r="29">
      <c r="A29" t="inlineStr">
        <is>
          <t>Right of Access (Art. 15)</t>
        </is>
      </c>
      <c r="B29" s="15" t="inlineStr"/>
      <c r="C29" s="15" t="inlineStr"/>
      <c r="D29" s="15" t="inlineStr"/>
      <c r="E29" s="15" t="inlineStr"/>
      <c r="F29" s="15" t="inlineStr"/>
    </row>
    <row r="30">
      <c r="A30" t="inlineStr">
        <is>
          <t>Right to Rectification (Art. 16)</t>
        </is>
      </c>
      <c r="B30" s="15" t="inlineStr"/>
      <c r="C30" s="15" t="inlineStr"/>
      <c r="D30" s="15" t="inlineStr"/>
      <c r="E30" s="15" t="inlineStr"/>
      <c r="F30" s="15" t="inlineStr"/>
    </row>
    <row r="31">
      <c r="A31" t="inlineStr">
        <is>
          <t>Right to Erasure (Art. 17)</t>
        </is>
      </c>
      <c r="B31" s="15" t="inlineStr"/>
      <c r="C31" s="15" t="inlineStr"/>
      <c r="D31" s="15" t="inlineStr"/>
      <c r="E31" s="15" t="inlineStr"/>
      <c r="F31" s="15" t="inlineStr"/>
    </row>
    <row r="32">
      <c r="A32" t="inlineStr">
        <is>
          <t>Right to Restriction (Art. 18)</t>
        </is>
      </c>
      <c r="B32" s="15" t="inlineStr"/>
      <c r="C32" s="15" t="inlineStr"/>
      <c r="D32" s="15" t="inlineStr"/>
      <c r="E32" s="15" t="inlineStr"/>
      <c r="F32" s="15" t="inlineStr"/>
    </row>
    <row r="33">
      <c r="A33" t="inlineStr">
        <is>
          <t>Right to Data Portability (Art. 20)</t>
        </is>
      </c>
      <c r="B33" s="15" t="inlineStr"/>
      <c r="C33" s="15" t="inlineStr"/>
      <c r="D33" s="15" t="inlineStr"/>
      <c r="E33" s="15" t="inlineStr"/>
      <c r="F33" s="15" t="inlineStr"/>
    </row>
  </sheetData>
  <mergeCells count="5">
    <mergeCell ref="A4:K4"/>
    <mergeCell ref="A15:K15"/>
    <mergeCell ref="A2:K2"/>
    <mergeCell ref="A1:K1"/>
    <mergeCell ref="A27:K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30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Consolidated protection and retention gaps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Affected Systems</t>
        </is>
      </c>
      <c r="E4" s="13" t="inlineStr">
        <is>
          <t>Policy Requirement</t>
        </is>
      </c>
      <c r="F4" s="13" t="inlineStr">
        <is>
          <t>Risk Level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  <c r="J4" s="13" t="inlineStr">
        <is>
          <t>Budget Required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Integrity Protection</t>
        </is>
      </c>
      <c r="C5" s="14" t="inlineStr">
        <is>
          <t>WORM storage not implemented for critical logs</t>
        </is>
      </c>
      <c r="D5" s="14" t="inlineStr">
        <is>
          <t>10 critical systems</t>
        </is>
      </c>
      <c r="E5" s="14" t="inlineStr">
        <is>
          <t>ISMS-POL-A.8.15-S2.2.4</t>
        </is>
      </c>
      <c r="F5" s="14" t="inlineStr">
        <is>
          <t>High</t>
        </is>
      </c>
      <c r="G5" s="14" t="inlineStr">
        <is>
          <t>Implement cloud object lock for critical log storage</t>
        </is>
      </c>
      <c r="H5" s="14" t="inlineStr">
        <is>
          <t>IT Ops</t>
        </is>
      </c>
      <c r="I5" s="14" t="inlineStr">
        <is>
          <t>31.03.2026</t>
        </is>
      </c>
      <c r="J5" s="14" t="inlineStr">
        <is>
          <t>Yes</t>
        </is>
      </c>
      <c r="K5" s="14" t="inlineStr">
        <is>
          <t>Open</t>
        </is>
      </c>
      <c r="L5" s="14" t="inlineStr">
        <is>
          <t>Budget approval pending</t>
        </is>
      </c>
    </row>
    <row r="6">
      <c r="A6" s="22">
        <f>IF(B6&lt;&gt;"","GAP-"&amp;TEXT(ROW()-5,"000"),"")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6" t="n"/>
      <c r="J6" s="15" t="n"/>
      <c r="K6" s="15" t="n"/>
      <c r="L6" s="15" t="n"/>
    </row>
    <row r="7">
      <c r="A7" s="22">
        <f>IF(B7&lt;&gt;"","GAP-"&amp;TEXT(ROW()-5,"000"),"")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6" t="n"/>
      <c r="J7" s="15" t="n"/>
      <c r="K7" s="15" t="n"/>
      <c r="L7" s="15" t="n"/>
    </row>
    <row r="8">
      <c r="A8" s="22">
        <f>IF(B8&lt;&gt;"","GAP-"&amp;TEXT(ROW()-5,"000"),"")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6" t="n"/>
      <c r="J8" s="15" t="n"/>
      <c r="K8" s="15" t="n"/>
      <c r="L8" s="15" t="n"/>
    </row>
    <row r="9">
      <c r="A9" s="22">
        <f>IF(B9&lt;&gt;"","GAP-"&amp;TEXT(ROW()-5,"000"),"")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6" t="n"/>
      <c r="J9" s="15" t="n"/>
      <c r="K9" s="15" t="n"/>
      <c r="L9" s="15" t="n"/>
    </row>
    <row r="10">
      <c r="A10" s="22">
        <f>IF(B10&lt;&gt;"","GAP-"&amp;TEXT(ROW()-5,"000"),"")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6" t="n"/>
      <c r="J10" s="15" t="n"/>
      <c r="K10" s="15" t="n"/>
      <c r="L10" s="15" t="n"/>
    </row>
    <row r="11">
      <c r="A11" s="22">
        <f>IF(B11&lt;&gt;"","GAP-"&amp;TEXT(ROW()-5,"000"),"")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6" t="n"/>
      <c r="J11" s="15" t="n"/>
      <c r="K11" s="15" t="n"/>
      <c r="L11" s="15" t="n"/>
    </row>
    <row r="12">
      <c r="A12" s="22">
        <f>IF(B12&lt;&gt;"","GAP-"&amp;TEXT(ROW()-5,"000"),"")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6" t="n"/>
      <c r="J12" s="15" t="n"/>
      <c r="K12" s="15" t="n"/>
      <c r="L12" s="15" t="n"/>
    </row>
    <row r="13">
      <c r="A13" s="22">
        <f>IF(B13&lt;&gt;"","GAP-"&amp;TEXT(ROW()-5,"000"),"")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6" t="n"/>
      <c r="J13" s="15" t="n"/>
      <c r="K13" s="15" t="n"/>
      <c r="L13" s="15" t="n"/>
    </row>
    <row r="14">
      <c r="A14" s="22">
        <f>IF(B14&lt;&gt;"","GAP-"&amp;TEXT(ROW()-5,"000"),"")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6" t="n"/>
      <c r="J14" s="15" t="n"/>
      <c r="K14" s="15" t="n"/>
      <c r="L14" s="15" t="n"/>
    </row>
    <row r="15">
      <c r="A15" s="22">
        <f>IF(B15&lt;&gt;"","GAP-"&amp;TEXT(ROW()-5,"000"),"")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6" t="n"/>
      <c r="J15" s="15" t="n"/>
      <c r="K15" s="15" t="n"/>
      <c r="L15" s="15" t="n"/>
    </row>
    <row r="16">
      <c r="A16" s="22">
        <f>IF(B16&lt;&gt;"","GAP-"&amp;TEXT(ROW()-5,"000"),"")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6" t="n"/>
      <c r="J16" s="15" t="n"/>
      <c r="K16" s="15" t="n"/>
      <c r="L16" s="15" t="n"/>
    </row>
    <row r="17">
      <c r="A17" s="22">
        <f>IF(B17&lt;&gt;"","GAP-"&amp;TEXT(ROW()-5,"000"),"")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6" t="n"/>
      <c r="J17" s="15" t="n"/>
      <c r="K17" s="15" t="n"/>
      <c r="L17" s="15" t="n"/>
    </row>
    <row r="18">
      <c r="A18" s="22">
        <f>IF(B18&lt;&gt;"","GAP-"&amp;TEXT(ROW()-5,"000"),"")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6" t="n"/>
      <c r="J18" s="15" t="n"/>
      <c r="K18" s="15" t="n"/>
      <c r="L18" s="15" t="n"/>
    </row>
    <row r="19">
      <c r="A19" s="22">
        <f>IF(B19&lt;&gt;"","GAP-"&amp;TEXT(ROW()-5,"000"),"")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6" t="n"/>
      <c r="J19" s="15" t="n"/>
      <c r="K19" s="15" t="n"/>
      <c r="L19" s="15" t="n"/>
    </row>
    <row r="20">
      <c r="A20" s="22">
        <f>IF(B20&lt;&gt;"","GAP-"&amp;TEXT(ROW()-5,"000"),"")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6" t="n"/>
      <c r="J20" s="15" t="n"/>
      <c r="K20" s="15" t="n"/>
      <c r="L20" s="15" t="n"/>
    </row>
    <row r="21">
      <c r="A21" s="22">
        <f>IF(B21&lt;&gt;"","GAP-"&amp;TEXT(ROW()-5,"000"),"")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6" t="n"/>
      <c r="J21" s="15" t="n"/>
      <c r="K21" s="15" t="n"/>
      <c r="L21" s="15" t="n"/>
    </row>
    <row r="22">
      <c r="A22" s="22">
        <f>IF(B22&lt;&gt;"","GAP-"&amp;TEXT(ROW()-5,"000"),"")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6" t="n"/>
      <c r="J22" s="15" t="n"/>
      <c r="K22" s="15" t="n"/>
      <c r="L22" s="15" t="n"/>
    </row>
    <row r="23">
      <c r="A23" s="22">
        <f>IF(B23&lt;&gt;"","GAP-"&amp;TEXT(ROW()-5,"000"),"")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6" t="n"/>
      <c r="J23" s="15" t="n"/>
      <c r="K23" s="15" t="n"/>
      <c r="L23" s="15" t="n"/>
    </row>
    <row r="24">
      <c r="A24" s="22">
        <f>IF(B24&lt;&gt;"","GAP-"&amp;TEXT(ROW()-5,"000"),"")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6" t="n"/>
      <c r="J24" s="15" t="n"/>
      <c r="K24" s="15" t="n"/>
      <c r="L24" s="15" t="n"/>
    </row>
    <row r="25">
      <c r="A25" s="22">
        <f>IF(B25&lt;&gt;"","GAP-"&amp;TEXT(ROW()-5,"000"),"")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6" t="n"/>
      <c r="J25" s="15" t="n"/>
      <c r="K25" s="15" t="n"/>
      <c r="L25" s="15" t="n"/>
    </row>
    <row r="26">
      <c r="A26" s="22">
        <f>IF(B26&lt;&gt;"","GAP-"&amp;TEXT(ROW()-5,"000"),"")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6" t="n"/>
      <c r="J26" s="15" t="n"/>
      <c r="K26" s="15" t="n"/>
      <c r="L26" s="15" t="n"/>
    </row>
    <row r="27">
      <c r="A27" s="22">
        <f>IF(B27&lt;&gt;"","GAP-"&amp;TEXT(ROW()-5,"000"),"")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6" t="n"/>
      <c r="J27" s="15" t="n"/>
      <c r="K27" s="15" t="n"/>
      <c r="L27" s="15" t="n"/>
    </row>
    <row r="28">
      <c r="A28" s="22">
        <f>IF(B28&lt;&gt;"","GAP-"&amp;TEXT(ROW()-5,"000"),"")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6" t="n"/>
      <c r="J28" s="15" t="n"/>
      <c r="K28" s="15" t="n"/>
      <c r="L28" s="15" t="n"/>
    </row>
    <row r="29">
      <c r="A29" s="22">
        <f>IF(B29&lt;&gt;"","GAP-"&amp;TEXT(ROW()-5,"000"),"")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6" t="n"/>
      <c r="J29" s="15" t="n"/>
      <c r="K29" s="15" t="n"/>
      <c r="L29" s="15" t="n"/>
    </row>
    <row r="30">
      <c r="A30" s="22">
        <f>IF(B30&lt;&gt;"","GAP-"&amp;TEXT(ROW()-5,"000"),"")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6" t="n"/>
      <c r="J30" s="15" t="n"/>
      <c r="K30" s="15" t="n"/>
      <c r="L30" s="15" t="n"/>
    </row>
    <row r="31">
      <c r="A31" s="22">
        <f>IF(B31&lt;&gt;"","GAP-"&amp;TEXT(ROW()-5,"000"),"")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6" t="n"/>
      <c r="J31" s="15" t="n"/>
      <c r="K31" s="15" t="n"/>
      <c r="L31" s="15" t="n"/>
    </row>
    <row r="32">
      <c r="A32" s="22">
        <f>IF(B32&lt;&gt;"","GAP-"&amp;TEXT(ROW()-5,"000"),"")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6" t="n"/>
      <c r="J32" s="15" t="n"/>
      <c r="K32" s="15" t="n"/>
      <c r="L32" s="15" t="n"/>
    </row>
    <row r="33">
      <c r="A33" s="22">
        <f>IF(B33&lt;&gt;"","GAP-"&amp;TEXT(ROW()-5,"000"),"")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6" t="n"/>
      <c r="J33" s="15" t="n"/>
      <c r="K33" s="15" t="n"/>
      <c r="L33" s="15" t="n"/>
    </row>
    <row r="34">
      <c r="A34" s="22">
        <f>IF(B34&lt;&gt;"","GAP-"&amp;TEXT(ROW()-5,"000"),"")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6" t="n"/>
      <c r="J34" s="15" t="n"/>
      <c r="K34" s="15" t="n"/>
      <c r="L34" s="15" t="n"/>
    </row>
    <row r="35">
      <c r="A35" s="22">
        <f>IF(B35&lt;&gt;"","GAP-"&amp;TEXT(ROW()-5,"000"),"")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6" t="n"/>
      <c r="J35" s="15" t="n"/>
      <c r="K35" s="15" t="n"/>
      <c r="L35" s="15" t="n"/>
    </row>
    <row r="36">
      <c r="A36" s="22">
        <f>IF(B36&lt;&gt;"","GAP-"&amp;TEXT(ROW()-5,"000"),"")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6" t="n"/>
      <c r="J36" s="15" t="n"/>
      <c r="K36" s="15" t="n"/>
      <c r="L36" s="15" t="n"/>
    </row>
    <row r="37">
      <c r="A37" s="22">
        <f>IF(B37&lt;&gt;"","GAP-"&amp;TEXT(ROW()-5,"000"),"")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6" t="n"/>
      <c r="J37" s="15" t="n"/>
      <c r="K37" s="15" t="n"/>
      <c r="L37" s="15" t="n"/>
    </row>
    <row r="38">
      <c r="A38" s="22">
        <f>IF(B38&lt;&gt;"","GAP-"&amp;TEXT(ROW()-5,"000"),"")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6" t="n"/>
      <c r="J38" s="15" t="n"/>
      <c r="K38" s="15" t="n"/>
      <c r="L38" s="15" t="n"/>
    </row>
    <row r="39">
      <c r="A39" s="22">
        <f>IF(B39&lt;&gt;"","GAP-"&amp;TEXT(ROW()-5,"000"),"")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6" t="n"/>
      <c r="J39" s="15" t="n"/>
      <c r="K39" s="15" t="n"/>
      <c r="L39" s="15" t="n"/>
    </row>
    <row r="40">
      <c r="A40" s="22">
        <f>IF(B40&lt;&gt;"","GAP-"&amp;TEXT(ROW()-5,"000"),"")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6" t="n"/>
      <c r="J40" s="15" t="n"/>
      <c r="K40" s="15" t="n"/>
      <c r="L40" s="15" t="n"/>
    </row>
    <row r="41">
      <c r="A41" s="22">
        <f>IF(B41&lt;&gt;"","GAP-"&amp;TEXT(ROW()-5,"000"),"")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6" t="n"/>
      <c r="J41" s="15" t="n"/>
      <c r="K41" s="15" t="n"/>
      <c r="L41" s="15" t="n"/>
    </row>
    <row r="42">
      <c r="A42" s="22">
        <f>IF(B42&lt;&gt;"","GAP-"&amp;TEXT(ROW()-5,"000"),"")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6" t="n"/>
      <c r="J42" s="15" t="n"/>
      <c r="K42" s="15" t="n"/>
      <c r="L42" s="15" t="n"/>
    </row>
    <row r="43">
      <c r="A43" s="22">
        <f>IF(B43&lt;&gt;"","GAP-"&amp;TEXT(ROW()-5,"000"),"")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6" t="n"/>
      <c r="J43" s="15" t="n"/>
      <c r="K43" s="15" t="n"/>
      <c r="L43" s="15" t="n"/>
    </row>
    <row r="44">
      <c r="A44" s="22">
        <f>IF(B44&lt;&gt;"","GAP-"&amp;TEXT(ROW()-5,"000"),"")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6" t="n"/>
      <c r="J44" s="15" t="n"/>
      <c r="K44" s="15" t="n"/>
      <c r="L44" s="15" t="n"/>
    </row>
    <row r="45">
      <c r="A45" s="22">
        <f>IF(B45&lt;&gt;"","GAP-"&amp;TEXT(ROW()-5,"000"),"")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6" t="n"/>
      <c r="J45" s="15" t="n"/>
      <c r="K45" s="15" t="n"/>
      <c r="L45" s="15" t="n"/>
    </row>
    <row r="46">
      <c r="A46" s="22">
        <f>IF(B46&lt;&gt;"","GAP-"&amp;TEXT(ROW()-5,"000"),"")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6" t="n"/>
      <c r="J46" s="15" t="n"/>
      <c r="K46" s="15" t="n"/>
      <c r="L46" s="15" t="n"/>
    </row>
    <row r="47">
      <c r="A47" s="22">
        <f>IF(B47&lt;&gt;"","GAP-"&amp;TEXT(ROW()-5,"000"),"")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6" t="n"/>
      <c r="J47" s="15" t="n"/>
      <c r="K47" s="15" t="n"/>
      <c r="L47" s="15" t="n"/>
    </row>
    <row r="48">
      <c r="A48" s="22">
        <f>IF(B48&lt;&gt;"","GAP-"&amp;TEXT(ROW()-5,"000"),"")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6" t="n"/>
      <c r="J48" s="15" t="n"/>
      <c r="K48" s="15" t="n"/>
      <c r="L48" s="15" t="n"/>
    </row>
    <row r="49">
      <c r="A49" s="22">
        <f>IF(B49&lt;&gt;"","GAP-"&amp;TEXT(ROW()-5,"000"),"")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6" t="n"/>
      <c r="J49" s="15" t="n"/>
      <c r="K49" s="15" t="n"/>
      <c r="L49" s="15" t="n"/>
    </row>
    <row r="50">
      <c r="A50" s="22">
        <f>IF(B50&lt;&gt;"","GAP-"&amp;TEXT(ROW()-5,"000"),"")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6" t="n"/>
      <c r="J50" s="15" t="n"/>
      <c r="K50" s="15" t="n"/>
      <c r="L50" s="15" t="n"/>
    </row>
    <row r="51">
      <c r="A51" s="22">
        <f>IF(B51&lt;&gt;"","GAP-"&amp;TEXT(ROW()-5,"000"),"")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6" t="n"/>
      <c r="J51" s="15" t="n"/>
      <c r="K51" s="15" t="n"/>
      <c r="L51" s="15" t="n"/>
    </row>
    <row r="52">
      <c r="A52" s="22">
        <f>IF(B52&lt;&gt;"","GAP-"&amp;TEXT(ROW()-5,"000"),"")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6" t="n"/>
      <c r="J52" s="15" t="n"/>
      <c r="K52" s="15" t="n"/>
      <c r="L52" s="15" t="n"/>
    </row>
    <row r="53">
      <c r="A53" s="22">
        <f>IF(B53&lt;&gt;"","GAP-"&amp;TEXT(ROW()-5,"000"),"")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6" t="n"/>
      <c r="J53" s="15" t="n"/>
      <c r="K53" s="15" t="n"/>
      <c r="L53" s="15" t="n"/>
    </row>
    <row r="54">
      <c r="A54" s="22">
        <f>IF(B54&lt;&gt;"","GAP-"&amp;TEXT(ROW()-5,"000"),"")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6" t="n"/>
      <c r="J54" s="15" t="n"/>
      <c r="K54" s="15" t="n"/>
      <c r="L54" s="15" t="n"/>
    </row>
    <row r="55">
      <c r="A55" s="22">
        <f>IF(B55&lt;&gt;"","GAP-"&amp;TEXT(ROW()-5,"000"),"")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6" t="n"/>
      <c r="J55" s="15" t="n"/>
      <c r="K55" s="15" t="n"/>
      <c r="L55" s="15" t="n"/>
    </row>
  </sheetData>
  <mergeCells count="2">
    <mergeCell ref="A2:L2"/>
    <mergeCell ref="A1:L1"/>
  </mergeCells>
  <conditionalFormatting sqref="F6:F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6:K55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4">
    <dataValidation sqref="B6:B55" showDropDown="0" showInputMessage="0" showErrorMessage="0" allowBlank="1" type="list">
      <formula1>"Access Control,Integrity Protection,Transmission Security,Retention Non-Compliance,Backup,Disposal,Separation of Duties,Other"</formula1>
    </dataValidation>
    <dataValidation sqref="F6:F55" showDropDown="0" showInputMessage="0" showErrorMessage="0" allowBlank="1" type="list">
      <formula1>"Critical,High,Medium,Low"</formula1>
    </dataValidation>
    <dataValidation sqref="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1" t="inlineStr">
        <is>
          <t>EVIDENCE REGISTER</t>
        </is>
      </c>
    </row>
    <row r="2">
      <c r="A2" s="23" t="inlineStr">
        <is>
          <t>Log Protection &amp; Retention Assessment - Audit Evidence Tracking</t>
        </is>
      </c>
    </row>
    <row r="4">
      <c r="A4" s="24" t="inlineStr">
        <is>
          <t>Evidence ID</t>
        </is>
      </c>
      <c r="B4" s="24" t="inlineStr">
        <is>
          <t>Assessment Area</t>
        </is>
      </c>
      <c r="C4" s="24" t="inlineStr">
        <is>
          <t>Evidence Type</t>
        </is>
      </c>
      <c r="D4" s="24" t="inlineStr">
        <is>
          <t>Description</t>
        </is>
      </c>
      <c r="E4" s="24" t="inlineStr">
        <is>
          <t>Location/Path</t>
        </is>
      </c>
      <c r="F4" s="24" t="inlineStr">
        <is>
          <t>Date Collected</t>
        </is>
      </c>
      <c r="G4" s="24" t="inlineStr">
        <is>
          <t>Collected By</t>
        </is>
      </c>
      <c r="H4" s="24" t="inlineStr">
        <is>
          <t>Verification Status</t>
        </is>
      </c>
    </row>
    <row r="5">
      <c r="A5" s="25" t="inlineStr">
        <is>
          <t>EV-001</t>
        </is>
      </c>
      <c r="B5" s="25" t="inlineStr">
        <is>
          <t>Log Protection &amp; Retention</t>
        </is>
      </c>
      <c r="C5" s="25" t="inlineStr">
        <is>
          <t>Configuration file</t>
        </is>
      </c>
      <c r="D5" s="25" t="inlineStr">
        <is>
          <t>SIEM log protection settings export confirming WORM storage enabled</t>
        </is>
      </c>
      <c r="E5" s="25" t="inlineStr">
        <is>
          <t>/evidence/a815.3/log-protection-config.pdf</t>
        </is>
      </c>
      <c r="F5" s="26" t="inlineStr">
        <is>
          <t>01.01.2026</t>
        </is>
      </c>
      <c r="G5" s="25" t="inlineStr">
        <is>
          <t>Security Analyst</t>
        </is>
      </c>
      <c r="H5" s="25" t="inlineStr">
        <is>
          <t>Verified</t>
        </is>
      </c>
    </row>
    <row r="6">
      <c r="A6" s="27" t="n"/>
      <c r="B6" s="27" t="n"/>
      <c r="C6" s="27" t="n"/>
      <c r="D6" s="27" t="n"/>
      <c r="E6" s="27" t="n"/>
      <c r="F6" s="28" t="n"/>
      <c r="G6" s="27" t="n"/>
      <c r="H6" s="27" t="n"/>
    </row>
    <row r="7">
      <c r="A7" s="27" t="n"/>
      <c r="B7" s="27" t="n"/>
      <c r="C7" s="27" t="n"/>
      <c r="D7" s="27" t="n"/>
      <c r="E7" s="27" t="n"/>
      <c r="F7" s="28" t="n"/>
      <c r="G7" s="27" t="n"/>
      <c r="H7" s="27" t="n"/>
    </row>
    <row r="8">
      <c r="A8" s="27" t="n"/>
      <c r="B8" s="27" t="n"/>
      <c r="C8" s="27" t="n"/>
      <c r="D8" s="27" t="n"/>
      <c r="E8" s="27" t="n"/>
      <c r="F8" s="28" t="n"/>
      <c r="G8" s="27" t="n"/>
      <c r="H8" s="27" t="n"/>
    </row>
    <row r="9">
      <c r="A9" s="27" t="n"/>
      <c r="B9" s="27" t="n"/>
      <c r="C9" s="27" t="n"/>
      <c r="D9" s="27" t="n"/>
      <c r="E9" s="27" t="n"/>
      <c r="F9" s="28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8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8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8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8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8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8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8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8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8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8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8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8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8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8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8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8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8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8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8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8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8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8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8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8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8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8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8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8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8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8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8" t="n"/>
      <c r="G40" s="27" t="n"/>
      <c r="H40" s="27" t="n"/>
    </row>
    <row r="41">
      <c r="A41" s="27" t="n"/>
      <c r="B41" s="27" t="n"/>
      <c r="C41" s="27" t="n"/>
      <c r="D41" s="27" t="n"/>
      <c r="E41" s="27" t="n"/>
      <c r="F41" s="28" t="n"/>
      <c r="G41" s="27" t="n"/>
      <c r="H41" s="27" t="n"/>
    </row>
    <row r="42">
      <c r="A42" s="27" t="n"/>
      <c r="B42" s="27" t="n"/>
      <c r="C42" s="27" t="n"/>
      <c r="D42" s="27" t="n"/>
      <c r="E42" s="27" t="n"/>
      <c r="F42" s="28" t="n"/>
      <c r="G42" s="27" t="n"/>
      <c r="H42" s="27" t="n"/>
    </row>
    <row r="43">
      <c r="A43" s="27" t="n"/>
      <c r="B43" s="27" t="n"/>
      <c r="C43" s="27" t="n"/>
      <c r="D43" s="27" t="n"/>
      <c r="E43" s="27" t="n"/>
      <c r="F43" s="28" t="n"/>
      <c r="G43" s="27" t="n"/>
      <c r="H43" s="27" t="n"/>
    </row>
    <row r="44">
      <c r="A44" s="27" t="n"/>
      <c r="B44" s="27" t="n"/>
      <c r="C44" s="27" t="n"/>
      <c r="D44" s="27" t="n"/>
      <c r="E44" s="27" t="n"/>
      <c r="F44" s="28" t="n"/>
      <c r="G44" s="27" t="n"/>
      <c r="H44" s="27" t="n"/>
    </row>
    <row r="45">
      <c r="A45" s="27" t="n"/>
      <c r="B45" s="27" t="n"/>
      <c r="C45" s="27" t="n"/>
      <c r="D45" s="27" t="n"/>
      <c r="E45" s="27" t="n"/>
      <c r="F45" s="28" t="n"/>
      <c r="G45" s="27" t="n"/>
      <c r="H45" s="27" t="n"/>
    </row>
    <row r="46">
      <c r="A46" s="27" t="n"/>
      <c r="B46" s="27" t="n"/>
      <c r="C46" s="27" t="n"/>
      <c r="D46" s="27" t="n"/>
      <c r="E46" s="27" t="n"/>
      <c r="F46" s="28" t="n"/>
      <c r="G46" s="27" t="n"/>
      <c r="H46" s="27" t="n"/>
    </row>
    <row r="47">
      <c r="A47" s="27" t="n"/>
      <c r="B47" s="27" t="n"/>
      <c r="C47" s="27" t="n"/>
      <c r="D47" s="27" t="n"/>
      <c r="E47" s="27" t="n"/>
      <c r="F47" s="28" t="n"/>
      <c r="G47" s="27" t="n"/>
      <c r="H47" s="27" t="n"/>
    </row>
    <row r="48">
      <c r="A48" s="27" t="n"/>
      <c r="B48" s="27" t="n"/>
      <c r="C48" s="27" t="n"/>
      <c r="D48" s="27" t="n"/>
      <c r="E48" s="27" t="n"/>
      <c r="F48" s="28" t="n"/>
      <c r="G48" s="27" t="n"/>
      <c r="H48" s="27" t="n"/>
    </row>
    <row r="49">
      <c r="A49" s="27" t="n"/>
      <c r="B49" s="27" t="n"/>
      <c r="C49" s="27" t="n"/>
      <c r="D49" s="27" t="n"/>
      <c r="E49" s="27" t="n"/>
      <c r="F49" s="28" t="n"/>
      <c r="G49" s="27" t="n"/>
      <c r="H49" s="27" t="n"/>
    </row>
    <row r="50">
      <c r="A50" s="27" t="n"/>
      <c r="B50" s="27" t="n"/>
      <c r="C50" s="27" t="n"/>
      <c r="D50" s="27" t="n"/>
      <c r="E50" s="27" t="n"/>
      <c r="F50" s="28" t="n"/>
      <c r="G50" s="27" t="n"/>
      <c r="H50" s="27" t="n"/>
    </row>
    <row r="51">
      <c r="A51" s="27" t="n"/>
      <c r="B51" s="27" t="n"/>
      <c r="C51" s="27" t="n"/>
      <c r="D51" s="27" t="n"/>
      <c r="E51" s="27" t="n"/>
      <c r="F51" s="28" t="n"/>
      <c r="G51" s="27" t="n"/>
      <c r="H51" s="27" t="n"/>
    </row>
    <row r="52">
      <c r="A52" s="27" t="n"/>
      <c r="B52" s="27" t="n"/>
      <c r="C52" s="27" t="n"/>
      <c r="D52" s="27" t="n"/>
      <c r="E52" s="27" t="n"/>
      <c r="F52" s="28" t="n"/>
      <c r="G52" s="27" t="n"/>
      <c r="H52" s="27" t="n"/>
    </row>
    <row r="53">
      <c r="A53" s="27" t="n"/>
      <c r="B53" s="27" t="n"/>
      <c r="C53" s="27" t="n"/>
      <c r="D53" s="27" t="n"/>
      <c r="E53" s="27" t="n"/>
      <c r="F53" s="28" t="n"/>
      <c r="G53" s="27" t="n"/>
      <c r="H53" s="27" t="n"/>
    </row>
    <row r="54">
      <c r="A54" s="27" t="n"/>
      <c r="B54" s="27" t="n"/>
      <c r="C54" s="27" t="n"/>
      <c r="D54" s="27" t="n"/>
      <c r="E54" s="27" t="n"/>
      <c r="F54" s="28" t="n"/>
      <c r="G54" s="27" t="n"/>
      <c r="H54" s="27" t="n"/>
    </row>
    <row r="55">
      <c r="A55" s="27" t="n"/>
      <c r="B55" s="27" t="n"/>
      <c r="C55" s="27" t="n"/>
      <c r="D55" s="27" t="n"/>
      <c r="E55" s="27" t="n"/>
      <c r="F55" s="28" t="n"/>
      <c r="G55" s="27" t="n"/>
      <c r="H55" s="27" t="n"/>
    </row>
    <row r="56">
      <c r="A56" s="27" t="n"/>
      <c r="B56" s="27" t="n"/>
      <c r="C56" s="27" t="n"/>
      <c r="D56" s="27" t="n"/>
      <c r="E56" s="27" t="n"/>
      <c r="F56" s="28" t="n"/>
      <c r="G56" s="27" t="n"/>
      <c r="H56" s="27" t="n"/>
    </row>
    <row r="57">
      <c r="A57" s="27" t="n"/>
      <c r="B57" s="27" t="n"/>
      <c r="C57" s="27" t="n"/>
      <c r="D57" s="27" t="n"/>
      <c r="E57" s="27" t="n"/>
      <c r="F57" s="28" t="n"/>
      <c r="G57" s="27" t="n"/>
      <c r="H57" s="27" t="n"/>
    </row>
    <row r="58">
      <c r="A58" s="27" t="n"/>
      <c r="B58" s="27" t="n"/>
      <c r="C58" s="27" t="n"/>
      <c r="D58" s="27" t="n"/>
      <c r="E58" s="27" t="n"/>
      <c r="F58" s="28" t="n"/>
      <c r="G58" s="27" t="n"/>
      <c r="H58" s="27" t="n"/>
    </row>
    <row r="59">
      <c r="A59" s="27" t="n"/>
      <c r="B59" s="27" t="n"/>
      <c r="C59" s="27" t="n"/>
      <c r="D59" s="27" t="n"/>
      <c r="E59" s="27" t="n"/>
      <c r="F59" s="28" t="n"/>
      <c r="G59" s="27" t="n"/>
      <c r="H59" s="27" t="n"/>
    </row>
    <row r="60">
      <c r="A60" s="27" t="n"/>
      <c r="B60" s="27" t="n"/>
      <c r="C60" s="27" t="n"/>
      <c r="D60" s="27" t="n"/>
      <c r="E60" s="27" t="n"/>
      <c r="F60" s="28" t="n"/>
      <c r="G60" s="27" t="n"/>
      <c r="H60" s="27" t="n"/>
    </row>
    <row r="61">
      <c r="A61" s="27" t="n"/>
      <c r="B61" s="27" t="n"/>
      <c r="C61" s="27" t="n"/>
      <c r="D61" s="27" t="n"/>
      <c r="E61" s="27" t="n"/>
      <c r="F61" s="28" t="n"/>
      <c r="G61" s="27" t="n"/>
      <c r="H61" s="27" t="n"/>
    </row>
    <row r="62">
      <c r="A62" s="27" t="n"/>
      <c r="B62" s="27" t="n"/>
      <c r="C62" s="27" t="n"/>
      <c r="D62" s="27" t="n"/>
      <c r="E62" s="27" t="n"/>
      <c r="F62" s="28" t="n"/>
      <c r="G62" s="27" t="n"/>
      <c r="H62" s="27" t="n"/>
    </row>
    <row r="63">
      <c r="A63" s="27" t="n"/>
      <c r="B63" s="27" t="n"/>
      <c r="C63" s="27" t="n"/>
      <c r="D63" s="27" t="n"/>
      <c r="E63" s="27" t="n"/>
      <c r="F63" s="28" t="n"/>
      <c r="G63" s="27" t="n"/>
      <c r="H63" s="27" t="n"/>
    </row>
    <row r="64">
      <c r="A64" s="27" t="n"/>
      <c r="B64" s="27" t="n"/>
      <c r="C64" s="27" t="n"/>
      <c r="D64" s="27" t="n"/>
      <c r="E64" s="27" t="n"/>
      <c r="F64" s="28" t="n"/>
      <c r="G64" s="27" t="n"/>
      <c r="H64" s="27" t="n"/>
    </row>
    <row r="65">
      <c r="A65" s="27" t="n"/>
      <c r="B65" s="27" t="n"/>
      <c r="C65" s="27" t="n"/>
      <c r="D65" s="27" t="n"/>
      <c r="E65" s="27" t="n"/>
      <c r="F65" s="28" t="n"/>
      <c r="G65" s="27" t="n"/>
      <c r="H65" s="27" t="n"/>
    </row>
    <row r="66">
      <c r="A66" s="27" t="n"/>
      <c r="B66" s="27" t="n"/>
      <c r="C66" s="27" t="n"/>
      <c r="D66" s="27" t="n"/>
      <c r="E66" s="27" t="n"/>
      <c r="F66" s="28" t="n"/>
      <c r="G66" s="27" t="n"/>
      <c r="H66" s="27" t="n"/>
    </row>
    <row r="67">
      <c r="A67" s="27" t="n"/>
      <c r="B67" s="27" t="n"/>
      <c r="C67" s="27" t="n"/>
      <c r="D67" s="27" t="n"/>
      <c r="E67" s="27" t="n"/>
      <c r="F67" s="28" t="n"/>
      <c r="G67" s="27" t="n"/>
      <c r="H67" s="27" t="n"/>
    </row>
    <row r="68">
      <c r="A68" s="27" t="n"/>
      <c r="B68" s="27" t="n"/>
      <c r="C68" s="27" t="n"/>
      <c r="D68" s="27" t="n"/>
      <c r="E68" s="27" t="n"/>
      <c r="F68" s="28" t="n"/>
      <c r="G68" s="27" t="n"/>
      <c r="H68" s="27" t="n"/>
    </row>
    <row r="69">
      <c r="A69" s="27" t="n"/>
      <c r="B69" s="27" t="n"/>
      <c r="C69" s="27" t="n"/>
      <c r="D69" s="27" t="n"/>
      <c r="E69" s="27" t="n"/>
      <c r="F69" s="28" t="n"/>
      <c r="G69" s="27" t="n"/>
      <c r="H69" s="27" t="n"/>
    </row>
    <row r="70">
      <c r="A70" s="27" t="n"/>
      <c r="B70" s="27" t="n"/>
      <c r="C70" s="27" t="n"/>
      <c r="D70" s="27" t="n"/>
      <c r="E70" s="27" t="n"/>
      <c r="F70" s="28" t="n"/>
      <c r="G70" s="27" t="n"/>
      <c r="H70" s="27" t="n"/>
    </row>
    <row r="71">
      <c r="A71" s="27" t="n"/>
      <c r="B71" s="27" t="n"/>
      <c r="C71" s="27" t="n"/>
      <c r="D71" s="27" t="n"/>
      <c r="E71" s="27" t="n"/>
      <c r="F71" s="28" t="n"/>
      <c r="G71" s="27" t="n"/>
      <c r="H71" s="27" t="n"/>
    </row>
    <row r="72">
      <c r="A72" s="27" t="n"/>
      <c r="B72" s="27" t="n"/>
      <c r="C72" s="27" t="n"/>
      <c r="D72" s="27" t="n"/>
      <c r="E72" s="27" t="n"/>
      <c r="F72" s="28" t="n"/>
      <c r="G72" s="27" t="n"/>
      <c r="H72" s="27" t="n"/>
    </row>
    <row r="73">
      <c r="A73" s="27" t="n"/>
      <c r="B73" s="27" t="n"/>
      <c r="C73" s="27" t="n"/>
      <c r="D73" s="27" t="n"/>
      <c r="E73" s="27" t="n"/>
      <c r="F73" s="28" t="n"/>
      <c r="G73" s="27" t="n"/>
      <c r="H73" s="27" t="n"/>
    </row>
    <row r="74">
      <c r="A74" s="27" t="n"/>
      <c r="B74" s="27" t="n"/>
      <c r="C74" s="27" t="n"/>
      <c r="D74" s="27" t="n"/>
      <c r="E74" s="27" t="n"/>
      <c r="F74" s="28" t="n"/>
      <c r="G74" s="27" t="n"/>
      <c r="H74" s="27" t="n"/>
    </row>
    <row r="75">
      <c r="A75" s="27" t="n"/>
      <c r="B75" s="27" t="n"/>
      <c r="C75" s="27" t="n"/>
      <c r="D75" s="27" t="n"/>
      <c r="E75" s="27" t="n"/>
      <c r="F75" s="28" t="n"/>
      <c r="G75" s="27" t="n"/>
      <c r="H75" s="27" t="n"/>
    </row>
    <row r="76">
      <c r="A76" s="27" t="n"/>
      <c r="B76" s="27" t="n"/>
      <c r="C76" s="27" t="n"/>
      <c r="D76" s="27" t="n"/>
      <c r="E76" s="27" t="n"/>
      <c r="F76" s="28" t="n"/>
      <c r="G76" s="27" t="n"/>
      <c r="H76" s="27" t="n"/>
    </row>
    <row r="77">
      <c r="A77" s="27" t="n"/>
      <c r="B77" s="27" t="n"/>
      <c r="C77" s="27" t="n"/>
      <c r="D77" s="27" t="n"/>
      <c r="E77" s="27" t="n"/>
      <c r="F77" s="28" t="n"/>
      <c r="G77" s="27" t="n"/>
      <c r="H77" s="27" t="n"/>
    </row>
    <row r="78">
      <c r="A78" s="27" t="n"/>
      <c r="B78" s="27" t="n"/>
      <c r="C78" s="27" t="n"/>
      <c r="D78" s="27" t="n"/>
      <c r="E78" s="27" t="n"/>
      <c r="F78" s="28" t="n"/>
      <c r="G78" s="27" t="n"/>
      <c r="H78" s="27" t="n"/>
    </row>
    <row r="79">
      <c r="A79" s="27" t="n"/>
      <c r="B79" s="27" t="n"/>
      <c r="C79" s="27" t="n"/>
      <c r="D79" s="27" t="n"/>
      <c r="E79" s="27" t="n"/>
      <c r="F79" s="28" t="n"/>
      <c r="G79" s="27" t="n"/>
      <c r="H79" s="27" t="n"/>
    </row>
    <row r="80">
      <c r="A80" s="27" t="n"/>
      <c r="B80" s="27" t="n"/>
      <c r="C80" s="27" t="n"/>
      <c r="D80" s="27" t="n"/>
      <c r="E80" s="27" t="n"/>
      <c r="F80" s="28" t="n"/>
      <c r="G80" s="27" t="n"/>
      <c r="H80" s="27" t="n"/>
    </row>
    <row r="81">
      <c r="A81" s="27" t="n"/>
      <c r="B81" s="27" t="n"/>
      <c r="C81" s="27" t="n"/>
      <c r="D81" s="27" t="n"/>
      <c r="E81" s="27" t="n"/>
      <c r="F81" s="28" t="n"/>
      <c r="G81" s="27" t="n"/>
      <c r="H81" s="27" t="n"/>
    </row>
    <row r="82">
      <c r="A82" s="27" t="n"/>
      <c r="B82" s="27" t="n"/>
      <c r="C82" s="27" t="n"/>
      <c r="D82" s="27" t="n"/>
      <c r="E82" s="27" t="n"/>
      <c r="F82" s="28" t="n"/>
      <c r="G82" s="27" t="n"/>
      <c r="H82" s="27" t="n"/>
    </row>
    <row r="83">
      <c r="A83" s="27" t="n"/>
      <c r="B83" s="27" t="n"/>
      <c r="C83" s="27" t="n"/>
      <c r="D83" s="27" t="n"/>
      <c r="E83" s="27" t="n"/>
      <c r="F83" s="28" t="n"/>
      <c r="G83" s="27" t="n"/>
      <c r="H83" s="27" t="n"/>
    </row>
    <row r="84">
      <c r="A84" s="27" t="n"/>
      <c r="B84" s="27" t="n"/>
      <c r="C84" s="27" t="n"/>
      <c r="D84" s="27" t="n"/>
      <c r="E84" s="27" t="n"/>
      <c r="F84" s="28" t="n"/>
      <c r="G84" s="27" t="n"/>
      <c r="H84" s="27" t="n"/>
    </row>
    <row r="85">
      <c r="A85" s="27" t="n"/>
      <c r="B85" s="27" t="n"/>
      <c r="C85" s="27" t="n"/>
      <c r="D85" s="27" t="n"/>
      <c r="E85" s="27" t="n"/>
      <c r="F85" s="28" t="n"/>
      <c r="G85" s="27" t="n"/>
      <c r="H85" s="27" t="n"/>
    </row>
    <row r="86">
      <c r="A86" s="27" t="n"/>
      <c r="B86" s="27" t="n"/>
      <c r="C86" s="27" t="n"/>
      <c r="D86" s="27" t="n"/>
      <c r="E86" s="27" t="n"/>
      <c r="F86" s="28" t="n"/>
      <c r="G86" s="27" t="n"/>
      <c r="H86" s="27" t="n"/>
    </row>
    <row r="87">
      <c r="A87" s="27" t="n"/>
      <c r="B87" s="27" t="n"/>
      <c r="C87" s="27" t="n"/>
      <c r="D87" s="27" t="n"/>
      <c r="E87" s="27" t="n"/>
      <c r="F87" s="28" t="n"/>
      <c r="G87" s="27" t="n"/>
      <c r="H87" s="27" t="n"/>
    </row>
    <row r="88">
      <c r="A88" s="27" t="n"/>
      <c r="B88" s="27" t="n"/>
      <c r="C88" s="27" t="n"/>
      <c r="D88" s="27" t="n"/>
      <c r="E88" s="27" t="n"/>
      <c r="F88" s="28" t="n"/>
      <c r="G88" s="27" t="n"/>
      <c r="H88" s="27" t="n"/>
    </row>
    <row r="89">
      <c r="A89" s="27" t="n"/>
      <c r="B89" s="27" t="n"/>
      <c r="C89" s="27" t="n"/>
      <c r="D89" s="27" t="n"/>
      <c r="E89" s="27" t="n"/>
      <c r="F89" s="28" t="n"/>
      <c r="G89" s="27" t="n"/>
      <c r="H89" s="27" t="n"/>
    </row>
    <row r="90">
      <c r="A90" s="27" t="n"/>
      <c r="B90" s="27" t="n"/>
      <c r="C90" s="27" t="n"/>
      <c r="D90" s="27" t="n"/>
      <c r="E90" s="27" t="n"/>
      <c r="F90" s="28" t="n"/>
      <c r="G90" s="27" t="n"/>
      <c r="H90" s="27" t="n"/>
    </row>
    <row r="91">
      <c r="A91" s="27" t="n"/>
      <c r="B91" s="27" t="n"/>
      <c r="C91" s="27" t="n"/>
      <c r="D91" s="27" t="n"/>
      <c r="E91" s="27" t="n"/>
      <c r="F91" s="28" t="n"/>
      <c r="G91" s="27" t="n"/>
      <c r="H91" s="27" t="n"/>
    </row>
    <row r="92">
      <c r="A92" s="27" t="n"/>
      <c r="B92" s="27" t="n"/>
      <c r="C92" s="27" t="n"/>
      <c r="D92" s="27" t="n"/>
      <c r="E92" s="27" t="n"/>
      <c r="F92" s="28" t="n"/>
      <c r="G92" s="27" t="n"/>
      <c r="H92" s="27" t="n"/>
    </row>
    <row r="93">
      <c r="A93" s="27" t="n"/>
      <c r="B93" s="27" t="n"/>
      <c r="C93" s="27" t="n"/>
      <c r="D93" s="27" t="n"/>
      <c r="E93" s="27" t="n"/>
      <c r="F93" s="28" t="n"/>
      <c r="G93" s="27" t="n"/>
      <c r="H93" s="27" t="n"/>
    </row>
    <row r="94">
      <c r="A94" s="27" t="n"/>
      <c r="B94" s="27" t="n"/>
      <c r="C94" s="27" t="n"/>
      <c r="D94" s="27" t="n"/>
      <c r="E94" s="27" t="n"/>
      <c r="F94" s="28" t="n"/>
      <c r="G94" s="27" t="n"/>
      <c r="H94" s="27" t="n"/>
    </row>
    <row r="95">
      <c r="A95" s="27" t="n"/>
      <c r="B95" s="27" t="n"/>
      <c r="C95" s="27" t="n"/>
      <c r="D95" s="27" t="n"/>
      <c r="E95" s="27" t="n"/>
      <c r="F95" s="28" t="n"/>
      <c r="G95" s="27" t="n"/>
      <c r="H95" s="27" t="n"/>
    </row>
    <row r="96">
      <c r="A96" s="27" t="n"/>
      <c r="B96" s="27" t="n"/>
      <c r="C96" s="27" t="n"/>
      <c r="D96" s="27" t="n"/>
      <c r="E96" s="27" t="n"/>
      <c r="F96" s="28" t="n"/>
      <c r="G96" s="27" t="n"/>
      <c r="H96" s="27" t="n"/>
    </row>
    <row r="97">
      <c r="A97" s="27" t="n"/>
      <c r="B97" s="27" t="n"/>
      <c r="C97" s="27" t="n"/>
      <c r="D97" s="27" t="n"/>
      <c r="E97" s="27" t="n"/>
      <c r="F97" s="28" t="n"/>
      <c r="G97" s="27" t="n"/>
      <c r="H97" s="27" t="n"/>
    </row>
    <row r="98">
      <c r="A98" s="27" t="n"/>
      <c r="B98" s="27" t="n"/>
      <c r="C98" s="27" t="n"/>
      <c r="D98" s="27" t="n"/>
      <c r="E98" s="27" t="n"/>
      <c r="F98" s="28" t="n"/>
      <c r="G98" s="27" t="n"/>
      <c r="H98" s="27" t="n"/>
    </row>
    <row r="99">
      <c r="A99" s="27" t="n"/>
      <c r="B99" s="27" t="n"/>
      <c r="C99" s="27" t="n"/>
      <c r="D99" s="27" t="n"/>
      <c r="E99" s="27" t="n"/>
      <c r="F99" s="28" t="n"/>
      <c r="G99" s="27" t="n"/>
      <c r="H99" s="27" t="n"/>
    </row>
    <row r="100">
      <c r="A100" s="27" t="n"/>
      <c r="B100" s="27" t="n"/>
      <c r="C100" s="27" t="n"/>
      <c r="D100" s="27" t="n"/>
      <c r="E100" s="27" t="n"/>
      <c r="F100" s="28" t="n"/>
      <c r="G100" s="27" t="n"/>
      <c r="H100" s="27" t="n"/>
    </row>
    <row r="101">
      <c r="A101" s="27" t="n"/>
      <c r="B101" s="27" t="n"/>
      <c r="C101" s="27" t="n"/>
      <c r="D101" s="27" t="n"/>
      <c r="E101" s="27" t="n"/>
      <c r="F101" s="28" t="n"/>
      <c r="G101" s="27" t="n"/>
      <c r="H101" s="27" t="n"/>
    </row>
    <row r="102">
      <c r="A102" s="27" t="n"/>
      <c r="B102" s="27" t="n"/>
      <c r="C102" s="27" t="n"/>
      <c r="D102" s="27" t="n"/>
      <c r="E102" s="27" t="n"/>
      <c r="F102" s="28" t="n"/>
      <c r="G102" s="27" t="n"/>
      <c r="H102" s="27" t="n"/>
    </row>
    <row r="103">
      <c r="A103" s="27" t="n"/>
      <c r="B103" s="27" t="n"/>
      <c r="C103" s="27" t="n"/>
      <c r="D103" s="27" t="n"/>
      <c r="E103" s="27" t="n"/>
      <c r="F103" s="28" t="n"/>
      <c r="G103" s="27" t="n"/>
      <c r="H103" s="27" t="n"/>
    </row>
    <row r="104">
      <c r="A104" s="27" t="n"/>
      <c r="B104" s="27" t="n"/>
      <c r="C104" s="27" t="n"/>
      <c r="D104" s="27" t="n"/>
      <c r="E104" s="27" t="n"/>
      <c r="F104" s="28" t="n"/>
      <c r="G104" s="27" t="n"/>
      <c r="H104" s="27" t="n"/>
    </row>
    <row r="105">
      <c r="A105" s="27" t="n"/>
      <c r="B105" s="27" t="n"/>
      <c r="C105" s="27" t="n"/>
      <c r="D105" s="27" t="n"/>
      <c r="E105" s="27" t="n"/>
      <c r="F105" s="28" t="n"/>
      <c r="G105" s="27" t="n"/>
      <c r="H105" s="27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file,Screenshot,Policy document,Audit log,Access control report,Retention schedule,Disposal certificate,Compliance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9" t="inlineStr">
        <is>
          <t>Log Protection &amp; Retention Assessment — SUMMARY DASHBOARD</t>
        </is>
      </c>
    </row>
    <row r="2">
      <c r="A2" s="30" t="inlineStr">
        <is>
          <t>ISO/IEC 27001:2022 A.8.15 requires logs to be protected from unauthorised access and retained for defined periods. This assessment evaluates access controls, integrity protection, retention compliance, and secure disposal.</t>
        </is>
      </c>
    </row>
    <row r="4">
      <c r="A4" s="21" t="inlineStr">
        <is>
          <t>TABLE 1 — COMPLIANCE OVERVIEW BY ASSESSMENT AREA</t>
        </is>
      </c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Log Access Controls</t>
        </is>
      </c>
      <c r="B6" s="32">
        <f>C6+D6+E6+F6</f>
        <v/>
      </c>
      <c r="C6" s="32">
        <f>COUNTIF('Access Control Assessment'!N6:N55,"Compliant")</f>
        <v/>
      </c>
      <c r="D6" s="32">
        <f>COUNTIF('Access Control Assessment'!N6:N55,"Partial")</f>
        <v/>
      </c>
      <c r="E6" s="32">
        <f>COUNTIF('Access Control Assessment'!N6:N55,"Non-Compliant")</f>
        <v/>
      </c>
      <c r="F6" s="32">
        <f>0</f>
        <v/>
      </c>
      <c r="G6" s="33">
        <f>IF((B6-F6)=0,0,C6/(B6-F6))</f>
        <v/>
      </c>
    </row>
    <row r="7">
      <c r="A7" s="32" t="inlineStr">
        <is>
          <t>Integrity Protection</t>
        </is>
      </c>
      <c r="B7" s="32">
        <f>C7+D7+E7+F7</f>
        <v/>
      </c>
      <c r="C7" s="32">
        <f>COUNTIF('Integrity Protection'!N6:N55,"Compliant")</f>
        <v/>
      </c>
      <c r="D7" s="32">
        <f>0</f>
        <v/>
      </c>
      <c r="E7" s="32">
        <f>COUNTIF('Integrity Protection'!N6:N55,"Non-Compliant")</f>
        <v/>
      </c>
      <c r="F7" s="32">
        <f>0</f>
        <v/>
      </c>
      <c r="G7" s="33">
        <f>IF((B7-F7)=0,0,C7/(B7-F7))</f>
        <v/>
      </c>
    </row>
    <row r="8">
      <c r="A8" s="32" t="inlineStr">
        <is>
          <t>Secure Transmission</t>
        </is>
      </c>
      <c r="B8" s="32">
        <f>C8+D8+E8+F8</f>
        <v/>
      </c>
      <c r="C8" s="32">
        <f>COUNTIF('Secure Transmission'!K6:K55,"Compliant")</f>
        <v/>
      </c>
      <c r="D8" s="32">
        <f>COUNTIF('Secure Transmission'!K6:K55,"Partial")</f>
        <v/>
      </c>
      <c r="E8" s="32">
        <f>COUNTIF('Secure Transmission'!K6:K55,"Non-Compliant")</f>
        <v/>
      </c>
      <c r="F8" s="32">
        <f>0</f>
        <v/>
      </c>
      <c r="G8" s="33">
        <f>IF((B8-F8)=0,0,C8/(B8-F8))</f>
        <v/>
      </c>
    </row>
    <row r="9">
      <c r="A9" s="32" t="inlineStr">
        <is>
          <t>Retention Period Compliance</t>
        </is>
      </c>
      <c r="B9" s="32">
        <f>C9+D9+E9+F9</f>
        <v/>
      </c>
      <c r="C9" s="32">
        <f>COUNTIF('Retention Period Compliance'!O6:O55,"Compliant")</f>
        <v/>
      </c>
      <c r="D9" s="32">
        <f>0</f>
        <v/>
      </c>
      <c r="E9" s="32">
        <f>COUNTIF('Retention Period Compliance'!O6:O55,"Non-Compliant")</f>
        <v/>
      </c>
      <c r="F9" s="32">
        <f>0</f>
        <v/>
      </c>
      <c r="G9" s="33">
        <f>IF((B9-F9)=0,0,C9/(B9-F9))</f>
        <v/>
      </c>
    </row>
    <row r="10">
      <c r="A10" s="32" t="inlineStr">
        <is>
          <t>Storage Tier Implementation</t>
        </is>
      </c>
      <c r="B10" s="32">
        <f>C10+D10+E10+F10</f>
        <v/>
      </c>
      <c r="C10" s="32">
        <f>COUNTA('Storage Tier Implementation'!B6:B55)</f>
        <v/>
      </c>
      <c r="D10" s="32">
        <f>0</f>
        <v/>
      </c>
      <c r="E10" s="32">
        <f>0</f>
        <v/>
      </c>
      <c r="F10" s="32">
        <f>0</f>
        <v/>
      </c>
      <c r="G10" s="33">
        <f>IF((B10-F10)=0,0,C10/(B10-F10))</f>
        <v/>
      </c>
    </row>
    <row r="11">
      <c r="A11" s="32" t="inlineStr">
        <is>
          <t>Log Backup &amp; Recovery</t>
        </is>
      </c>
      <c r="B11" s="32">
        <f>C11+D11+E11+F11</f>
        <v/>
      </c>
      <c r="C11" s="32">
        <f>COUNTIF('Log Backup &amp; Recovery'!O6:O55,"Compliant")</f>
        <v/>
      </c>
      <c r="D11" s="32">
        <f>0</f>
        <v/>
      </c>
      <c r="E11" s="32">
        <f>COUNTIF('Log Backup &amp; Recovery'!O6:O55,"Non-Compliant")</f>
        <v/>
      </c>
      <c r="F11" s="32">
        <f>0</f>
        <v/>
      </c>
      <c r="G11" s="33">
        <f>IF((B11-F11)=0,0,C11/(B11-F11))</f>
        <v/>
      </c>
    </row>
    <row r="12">
      <c r="A12" s="32" t="inlineStr">
        <is>
          <t>Disposal Procedures</t>
        </is>
      </c>
      <c r="B12" s="32">
        <f>C12+D12+E12+F12</f>
        <v/>
      </c>
      <c r="C12" s="32">
        <f>COUNTA('Disposal Procedures'!A6:A55)</f>
        <v/>
      </c>
      <c r="D12" s="32">
        <f>0</f>
        <v/>
      </c>
      <c r="E12" s="32">
        <f>0</f>
        <v/>
      </c>
      <c r="F12" s="32">
        <f>0</f>
        <v/>
      </c>
      <c r="G12" s="33">
        <f>IF((B12-F12)=0,0,C12/(B12-F12))</f>
        <v/>
      </c>
    </row>
    <row r="13">
      <c r="A13" s="32" t="inlineStr">
        <is>
          <t>Separation of Duties</t>
        </is>
      </c>
      <c r="B13" s="32">
        <f>C13+D13+E13+F13</f>
        <v/>
      </c>
      <c r="C13" s="32">
        <f>COUNTA('Separation of Duties'!A6:A55)</f>
        <v/>
      </c>
      <c r="D13" s="32">
        <f>0</f>
        <v/>
      </c>
      <c r="E13" s="32">
        <f>0</f>
        <v/>
      </c>
      <c r="F13" s="32">
        <f>0</f>
        <v/>
      </c>
      <c r="G13" s="33">
        <f>IF((B13-F13)=0,0,C13/(B13-F13))</f>
        <v/>
      </c>
    </row>
    <row r="14">
      <c r="A14" s="32" t="inlineStr">
        <is>
          <t>Privacy Impact Assessment</t>
        </is>
      </c>
      <c r="B14" s="32">
        <f>C14+D14+E14+F14</f>
        <v/>
      </c>
      <c r="C14" s="32">
        <f>COUNTA('Privacy Impact Assessment'!A6:A55)</f>
        <v/>
      </c>
      <c r="D14" s="32">
        <f>0</f>
        <v/>
      </c>
      <c r="E14" s="32">
        <f>0</f>
        <v/>
      </c>
      <c r="F14" s="32">
        <f>0</f>
        <v/>
      </c>
      <c r="G14" s="33">
        <f>IF((B14-F14)=0,0,C14/(B14-F14))</f>
        <v/>
      </c>
    </row>
    <row r="15">
      <c r="A15" s="32" t="inlineStr">
        <is>
          <t>Gap Remediation</t>
        </is>
      </c>
      <c r="B15" s="32">
        <f>C15+D15+E15+F15</f>
        <v/>
      </c>
      <c r="C15" s="32">
        <f>COUNTIF('Gap Analysis'!K6:K55,"Resolved")</f>
        <v/>
      </c>
      <c r="D15" s="32">
        <f>COUNTIF('Gap Analysis'!K6:K55,"In Progress")</f>
        <v/>
      </c>
      <c r="E15" s="32">
        <f>COUNTIF('Gap Analysis'!K6:K55,"Open")</f>
        <v/>
      </c>
      <c r="F15" s="32">
        <f>COUNTIF('Gap Analysis'!K6:K55,"Deferred")</f>
        <v/>
      </c>
      <c r="G15" s="33">
        <f>IF((B15-F15)=0,0,C15/(B15-F15))</f>
        <v/>
      </c>
    </row>
    <row r="16">
      <c r="A16" s="34" t="inlineStr">
        <is>
          <t>TOTAL</t>
        </is>
      </c>
      <c r="B16" s="34">
        <f>SUM(B6:B15)</f>
        <v/>
      </c>
      <c r="C16" s="34">
        <f>SUM(C6:C15)</f>
        <v/>
      </c>
      <c r="D16" s="34">
        <f>SUM(D6:D15)</f>
        <v/>
      </c>
      <c r="E16" s="34">
        <f>SUM(E6:E15)</f>
        <v/>
      </c>
      <c r="F16" s="34">
        <f>SUM(F6:F15)</f>
        <v/>
      </c>
      <c r="G16" s="35">
        <f>IF((B16-F16)=0,0,C16/(B16-F16))</f>
        <v/>
      </c>
    </row>
    <row r="18">
      <c r="A18" s="21" t="inlineStr">
        <is>
          <t>TABLE 2 — KEY METRICS</t>
        </is>
      </c>
    </row>
    <row r="19">
      <c r="A19" s="36" t="inlineStr">
        <is>
          <t>Metric</t>
        </is>
      </c>
      <c r="B19" s="36" t="inlineStr">
        <is>
          <t>Value</t>
        </is>
      </c>
      <c r="C19" s="36" t="inlineStr">
        <is>
          <t>Target</t>
        </is>
      </c>
      <c r="D19" s="36" t="n"/>
      <c r="E19" s="36" t="n"/>
      <c r="F19" s="36" t="n"/>
      <c r="G19" s="36" t="n"/>
    </row>
    <row r="20">
      <c r="A20" s="32" t="inlineStr">
        <is>
          <t>Total log stores assessed</t>
        </is>
      </c>
      <c r="B20" s="32">
        <f>COUNTA('Access Control Assessment'!A6:A55)</f>
        <v/>
      </c>
      <c r="C20" s="37" t="inlineStr">
        <is>
          <t>All stores</t>
        </is>
      </c>
      <c r="D20" s="6" t="n"/>
      <c r="E20" s="6" t="n"/>
      <c r="F20" s="6" t="n"/>
      <c r="G20" s="6" t="n"/>
    </row>
    <row r="21">
      <c r="A21" s="32" t="inlineStr">
        <is>
          <t>Stores with access controls compliant</t>
        </is>
      </c>
      <c r="B21" s="33">
        <f>COUNTIF('Access Control Assessment'!N6:N55,"Compliant")</f>
        <v/>
      </c>
      <c r="C21" s="37" t="inlineStr">
        <is>
          <t>100%</t>
        </is>
      </c>
      <c r="D21" s="6" t="n"/>
      <c r="E21" s="6" t="n"/>
      <c r="F21" s="6" t="n"/>
      <c r="G21" s="6" t="n"/>
    </row>
    <row r="22">
      <c r="A22" s="32" t="inlineStr">
        <is>
          <t>Log types meeting retention requirement</t>
        </is>
      </c>
      <c r="B22" s="33">
        <f>COUNTIF('Retention Period Compliance'!O6:O55,"Compliant")</f>
        <v/>
      </c>
      <c r="C22" s="37" t="inlineStr">
        <is>
          <t>100%</t>
        </is>
      </c>
      <c r="D22" s="6" t="n"/>
      <c r="E22" s="6" t="n"/>
      <c r="F22" s="6" t="n"/>
      <c r="G22" s="6" t="n"/>
    </row>
    <row r="23">
      <c r="A23" s="32" t="inlineStr">
        <is>
          <t>Log types with integrity verification</t>
        </is>
      </c>
      <c r="B23" s="33">
        <f>COUNTIF('Integrity Protection'!N6:N55,"Compliant")</f>
        <v/>
      </c>
      <c r="C23" s="37" t="inlineStr">
        <is>
          <t>100%</t>
        </is>
      </c>
      <c r="D23" s="6" t="n"/>
      <c r="E23" s="6" t="n"/>
      <c r="F23" s="6" t="n"/>
      <c r="G23" s="6" t="n"/>
    </row>
    <row r="24">
      <c r="A24" s="32" t="inlineStr">
        <is>
          <t>Secure transmission paths compliant</t>
        </is>
      </c>
      <c r="B24" s="33">
        <f>COUNTIF('Secure Transmission'!K6:K55,"Compliant")</f>
        <v/>
      </c>
      <c r="C24" s="37" t="inlineStr">
        <is>
          <t>100%</t>
        </is>
      </c>
      <c r="D24" s="6" t="n"/>
      <c r="E24" s="6" t="n"/>
      <c r="F24" s="6" t="n"/>
      <c r="G24" s="6" t="n"/>
    </row>
    <row r="25">
      <c r="A25" s="32" t="inlineStr">
        <is>
          <t>Open protection/retention gaps</t>
        </is>
      </c>
      <c r="B25" s="32">
        <f>COUNTIF('Gap Analysis'!K6:K55,"Open")</f>
        <v/>
      </c>
      <c r="C25" s="37" t="inlineStr">
        <is>
          <t>0</t>
        </is>
      </c>
      <c r="D25" s="6" t="n"/>
      <c r="E25" s="6" t="n"/>
      <c r="F25" s="6" t="n"/>
      <c r="G25" s="6" t="n"/>
    </row>
    <row r="27">
      <c r="A27" s="38" t="inlineStr">
        <is>
          <t>TABLE 3 — CRITICAL FINDINGS REQUIRING ATTENTION</t>
        </is>
      </c>
    </row>
    <row r="28">
      <c r="A28" s="31" t="inlineStr">
        <is>
          <t>Finding Type</t>
        </is>
      </c>
      <c r="B28" s="31" t="inlineStr">
        <is>
          <t>Risk Level</t>
        </is>
      </c>
      <c r="C28" s="31" t="inlineStr">
        <is>
          <t>Associated Sheet</t>
        </is>
      </c>
      <c r="D28" s="31" t="inlineStr">
        <is>
          <t>Recommended Action</t>
        </is>
      </c>
      <c r="E28" s="31" t="inlineStr">
        <is>
          <t>ISO Clause</t>
        </is>
      </c>
    </row>
    <row r="29">
      <c r="A29" s="39" t="inlineStr">
        <is>
          <t>Log administrator can modify own logs (SoD failure)</t>
        </is>
      </c>
      <c r="B29" s="39" t="inlineStr">
        <is>
          <t>Critical</t>
        </is>
      </c>
      <c r="C29" s="39" t="inlineStr">
        <is>
          <t>Separation of Duties</t>
        </is>
      </c>
      <c r="D29" s="39" t="inlineStr">
        <is>
          <t>Implement strict separation between system administrators and log administrators</t>
        </is>
      </c>
      <c r="E29" s="39" t="inlineStr">
        <is>
          <t>A.8.15</t>
        </is>
      </c>
    </row>
    <row r="30">
      <c r="A30" s="39" t="inlineStr">
        <is>
          <t>Logs transmitted without encryption</t>
        </is>
      </c>
      <c r="B30" s="39" t="inlineStr">
        <is>
          <t>High</t>
        </is>
      </c>
      <c r="C30" s="39" t="inlineStr">
        <is>
          <t>Secure Transmission</t>
        </is>
      </c>
      <c r="D30" s="39" t="inlineStr">
        <is>
          <t>Configure TLS 1.2+ on all log forwarding paths; plaintext transmission violates A.8.15</t>
        </is>
      </c>
      <c r="E30" s="39" t="inlineStr">
        <is>
          <t>A.8.15</t>
        </is>
      </c>
    </row>
    <row r="31">
      <c r="A31" s="39" t="inlineStr">
        <is>
          <t>No integrity verification (hashing) on security logs</t>
        </is>
      </c>
      <c r="B31" s="39" t="inlineStr">
        <is>
          <t>High</t>
        </is>
      </c>
      <c r="C31" s="39" t="inlineStr">
        <is>
          <t>Integrity Protection</t>
        </is>
      </c>
      <c r="D31" s="39" t="inlineStr">
        <is>
          <t>Implement cryptographic hashing or WORM storage for critical security logs</t>
        </is>
      </c>
      <c r="E31" s="39" t="inlineStr">
        <is>
          <t>A.8.15</t>
        </is>
      </c>
    </row>
    <row r="32">
      <c r="A32" s="39" t="inlineStr">
        <is>
          <t>Retention period below regulatory minimum</t>
        </is>
      </c>
      <c r="B32" s="39" t="inlineStr">
        <is>
          <t>High</t>
        </is>
      </c>
      <c r="C32" s="39" t="inlineStr">
        <is>
          <t>Retention Period Compliance</t>
        </is>
      </c>
      <c r="D32" s="39" t="inlineStr">
        <is>
          <t>Update retention schedule to meet applicable regulatory requirements (nFADP, GDPR, PCI DSS)</t>
        </is>
      </c>
      <c r="E32" s="39" t="inlineStr">
        <is>
          <t>A.8.15</t>
        </is>
      </c>
    </row>
    <row r="33">
      <c r="A33" s="39" t="inlineStr">
        <is>
          <t>Log storage overflow detected (logs lost)</t>
        </is>
      </c>
      <c r="B33" s="39" t="inlineStr">
        <is>
          <t>Critical</t>
        </is>
      </c>
      <c r="C33" s="39" t="inlineStr">
        <is>
          <t>Storage Tier Implementation</t>
        </is>
      </c>
      <c r="D33" s="39" t="inlineStr">
        <is>
          <t>Expand storage capacity immediately; log loss is a direct non-conformity under A.8.15</t>
        </is>
      </c>
      <c r="E33" s="39" t="inlineStr">
        <is>
          <t>A.8.15</t>
        </is>
      </c>
    </row>
  </sheetData>
  <mergeCells count="5">
    <mergeCell ref="A1:G1"/>
    <mergeCell ref="A18:G18"/>
    <mergeCell ref="A4:G4"/>
    <mergeCell ref="A2:G2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ISMS-IMP-A.8.15.3 - Log Protection &amp; Retention Assessment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ISMS-IMP-A.8.15.3 - Log Protection &amp; Retention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27" t="inlineStr"/>
      <c r="C5" s="6" t="n"/>
      <c r="D5" s="6" t="n"/>
      <c r="E5" s="6" t="n"/>
    </row>
    <row r="6">
      <c r="A6" s="3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" t="inlineStr">
        <is>
          <t>Assessment Status:</t>
        </is>
      </c>
      <c r="B7" s="27" t="inlineStr"/>
      <c r="C7" s="6" t="n"/>
      <c r="D7" s="6" t="n"/>
      <c r="E7" s="6" t="n"/>
    </row>
    <row r="10">
      <c r="A10" s="42" t="inlineStr">
        <is>
          <t>COMPLETED BY (ASSESSOR)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27" t="n"/>
      <c r="C11" s="6" t="n"/>
      <c r="D11" s="6" t="n"/>
      <c r="E11" s="6" t="n"/>
    </row>
    <row r="12">
      <c r="A12" s="3" t="inlineStr">
        <is>
          <t>Title:</t>
        </is>
      </c>
      <c r="B12" s="27" t="n"/>
      <c r="C12" s="6" t="n"/>
      <c r="D12" s="6" t="n"/>
      <c r="E12" s="6" t="n"/>
    </row>
    <row r="13">
      <c r="A13" s="3" t="inlineStr">
        <is>
          <t>Date:</t>
        </is>
      </c>
      <c r="B13" s="27" t="n"/>
      <c r="C13" s="6" t="n"/>
      <c r="D13" s="6" t="n"/>
      <c r="E13" s="6" t="n"/>
    </row>
    <row r="14">
      <c r="A14" s="3" t="inlineStr">
        <is>
          <t>Signature:</t>
        </is>
      </c>
      <c r="B14" s="27" t="n"/>
      <c r="C14" s="6" t="n"/>
      <c r="D14" s="6" t="n"/>
      <c r="E14" s="6" t="n"/>
    </row>
    <row r="15">
      <c r="A15" s="3" t="inlineStr">
        <is>
          <t>Comments:</t>
        </is>
      </c>
      <c r="B15" s="27" t="n"/>
      <c r="C15" s="6" t="n"/>
      <c r="D15" s="6" t="n"/>
      <c r="E15" s="6" t="n"/>
    </row>
    <row r="17">
      <c r="A17" s="42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27" t="n"/>
      <c r="C18" s="6" t="n"/>
      <c r="D18" s="6" t="n"/>
      <c r="E18" s="6" t="n"/>
    </row>
    <row r="19">
      <c r="A19" s="3" t="inlineStr">
        <is>
          <t>Title:</t>
        </is>
      </c>
      <c r="B19" s="27" t="n"/>
      <c r="C19" s="6" t="n"/>
      <c r="D19" s="6" t="n"/>
      <c r="E19" s="6" t="n"/>
    </row>
    <row r="20">
      <c r="A20" s="3" t="inlineStr">
        <is>
          <t>Date:</t>
        </is>
      </c>
      <c r="B20" s="27" t="n"/>
      <c r="C20" s="6" t="n"/>
      <c r="D20" s="6" t="n"/>
      <c r="E20" s="6" t="n"/>
    </row>
    <row r="21">
      <c r="A21" s="3" t="inlineStr">
        <is>
          <t>Signature:</t>
        </is>
      </c>
      <c r="B21" s="27" t="n"/>
      <c r="C21" s="6" t="n"/>
      <c r="D21" s="6" t="n"/>
      <c r="E21" s="6" t="n"/>
    </row>
    <row r="22">
      <c r="A22" s="3" t="inlineStr">
        <is>
          <t>Comments:</t>
        </is>
      </c>
      <c r="B22" s="27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27" t="n"/>
      <c r="C25" s="6" t="n"/>
      <c r="D25" s="6" t="n"/>
      <c r="E25" s="6" t="n"/>
    </row>
    <row r="26">
      <c r="A26" s="3" t="inlineStr">
        <is>
          <t>Title:</t>
        </is>
      </c>
      <c r="B26" s="27" t="n"/>
      <c r="C26" s="6" t="n"/>
      <c r="D26" s="6" t="n"/>
      <c r="E26" s="6" t="n"/>
    </row>
    <row r="27">
      <c r="A27" s="3" t="inlineStr">
        <is>
          <t>Date:</t>
        </is>
      </c>
      <c r="B27" s="27" t="n"/>
      <c r="C27" s="6" t="n"/>
      <c r="D27" s="6" t="n"/>
      <c r="E27" s="6" t="n"/>
    </row>
    <row r="28">
      <c r="A28" s="3" t="inlineStr">
        <is>
          <t>Signature:</t>
        </is>
      </c>
      <c r="B28" s="27" t="n"/>
      <c r="C28" s="6" t="n"/>
      <c r="D28" s="6" t="n"/>
      <c r="E28" s="6" t="n"/>
    </row>
    <row r="29">
      <c r="A29" s="3" t="inlineStr">
        <is>
          <t>Comments:</t>
        </is>
      </c>
      <c r="B29" s="27" t="n"/>
      <c r="C29" s="6" t="n"/>
      <c r="D29" s="6" t="n"/>
      <c r="E29" s="6" t="n"/>
    </row>
    <row r="31">
      <c r="A31" s="3" t="inlineStr">
        <is>
          <t>FINAL DECISION:</t>
        </is>
      </c>
      <c r="B31" s="27" t="n"/>
      <c r="C31" s="6" t="n"/>
      <c r="D31" s="6" t="n"/>
      <c r="E31" s="6" t="n"/>
    </row>
    <row r="34">
      <c r="A34" s="42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27" t="n"/>
      <c r="C35" s="6" t="n"/>
      <c r="D35" s="6" t="n"/>
      <c r="E35" s="6" t="n"/>
    </row>
    <row r="36">
      <c r="A36" s="3" t="inlineStr">
        <is>
          <t>Review Responsible:</t>
        </is>
      </c>
      <c r="B36" s="27" t="n"/>
      <c r="C36" s="6" t="n"/>
      <c r="D36" s="6" t="n"/>
      <c r="E36" s="6" t="n"/>
    </row>
    <row r="37">
      <c r="A37" s="3" t="inlineStr">
        <is>
          <t>Special Considerations:</t>
        </is>
      </c>
      <c r="B37" s="27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ISMS-IMP-A.8.15.3 — Log Protection &amp; Retention</dc:title>
  <dc:description xmlns:dc="http://purl.org/dc/elements/1.1/">ISMS Implementation Workbook — ISMS-IMP-A.8.15.3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2026-03-10T18:49:22Z</dcterms:created>
  <dcterms:modified xmlns:dcterms="http://purl.org/dc/terms/" xmlns:xsi="http://www.w3.org/2001/XMLSchema-instance" xsi:type="dcterms:W3CDTF">2026-03-10T18:49:22Z</dcterms:modified>
</cp:coreProperties>
</file>