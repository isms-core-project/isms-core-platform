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Log Review Schedule" sheetId="2" state="visible" r:id="rId2"/>
    <sheet xmlns:r="http://schemas.openxmlformats.org/officeDocument/2006/relationships" name="Alert Management" sheetId="3" state="visible" r:id="rId3"/>
    <sheet xmlns:r="http://schemas.openxmlformats.org/officeDocument/2006/relationships" name="Investigation Workflow" sheetId="4" state="visible" r:id="rId4"/>
    <sheet xmlns:r="http://schemas.openxmlformats.org/officeDocument/2006/relationships" name="Analysis Tools &amp; Capabilities" sheetId="5" state="visible" r:id="rId5"/>
    <sheet xmlns:r="http://schemas.openxmlformats.org/officeDocument/2006/relationships" name="Review Findings" sheetId="6" state="visible" r:id="rId6"/>
    <sheet xmlns:r="http://schemas.openxmlformats.org/officeDocument/2006/relationships" name="Continuous Monitoring" sheetId="7" state="visible" r:id="rId7"/>
    <sheet xmlns:r="http://schemas.openxmlformats.org/officeDocument/2006/relationships" name="Performance Metric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DD.MM.YYYY HH:MM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808080"/>
      <sz val="10"/>
    </font>
    <font>
      <name val="Calibri"/>
      <color rgb="00000000"/>
      <sz val="10"/>
    </font>
    <font>
      <name val="Calibri"/>
      <sz val="10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top" wrapText="1"/>
    </xf>
    <xf numFmtId="164" fontId="0" fillId="11" borderId="1" applyAlignment="1" pivotButton="0" quotePrefix="0" xfId="0">
      <alignment horizontal="left" vertical="top" wrapText="1"/>
    </xf>
    <xf numFmtId="165" fontId="0" fillId="11" borderId="1" applyAlignment="1" pivotButton="0" quotePrefix="0" xfId="0">
      <alignment horizontal="left" vertical="top" wrapText="1"/>
    </xf>
    <xf numFmtId="165" fontId="0" fillId="10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center" wrapText="1"/>
    </xf>
    <xf numFmtId="164" fontId="11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164" fontId="0" fillId="11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165" fontId="12" fillId="0" borderId="1" pivotButton="0" quotePrefix="0" xfId="0"/>
    <xf numFmtId="0" fontId="4" fillId="9" borderId="1" pivotButton="0" quotePrefix="0" xfId="0"/>
    <xf numFmtId="165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13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3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4" fillId="13" borderId="1" pivotButton="0" quotePrefix="0" xfId="0"/>
    <xf numFmtId="0" fontId="15" fillId="0" borderId="0" pivotButton="0" quotePrefix="0" xfId="0"/>
    <xf numFmtId="0" fontId="0" fillId="11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ISMS-IMP-A.8.15.4  -  Log Analysis &amp; Review Assessment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ISMS-IMP-A.8.15.4</t>
        </is>
      </c>
    </row>
    <row r="5">
      <c r="A5" s="3" t="inlineStr">
        <is>
          <t>Workbook Title</t>
        </is>
      </c>
      <c r="B5" t="inlineStr">
        <is>
          <t>Log Analysis &amp; Review Assessment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each worksheet tab in sequence.</t>
        </is>
      </c>
    </row>
    <row r="14">
      <c r="A14" t="inlineStr">
        <is>
          <t>2. Use dropdown menus where provided — do not type directly.</t>
        </is>
      </c>
    </row>
    <row r="15">
      <c r="A15" t="inlineStr">
        <is>
          <t>3. Fill all yellow-highlighted cells with your organisation’s information.</t>
        </is>
      </c>
    </row>
    <row r="16">
      <c r="A16" t="inlineStr">
        <is>
          <t>4. Document log review schedules and alert management procedures.</t>
        </is>
      </c>
    </row>
    <row r="17">
      <c r="A17" t="inlineStr">
        <is>
          <t>5. Track investigation workflows and analysis tool capabilities.</t>
        </is>
      </c>
    </row>
    <row r="18">
      <c r="A18" t="inlineStr">
        <is>
          <t>6. Record findings from reviews and continuous monitoring metrics.</t>
        </is>
      </c>
    </row>
    <row r="19">
      <c r="A19" t="inlineStr">
        <is>
          <t>7. Identify gaps and document remediation plans.</t>
        </is>
      </c>
    </row>
    <row r="20">
      <c r="A20" t="inlineStr">
        <is>
          <t>8. Gather evidence and list in Evidence Register.</t>
        </is>
      </c>
    </row>
    <row r="21">
      <c r="A21" t="inlineStr">
        <is>
          <t>9. Obtain approvals via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25" customWidth="1" min="5" max="5"/>
    <col width="4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40" customWidth="1" min="12" max="12"/>
    <col width="40" customWidth="1" min="13" max="13"/>
    <col width="40" customWidth="1" min="14" max="14"/>
  </cols>
  <sheetData>
    <row r="1" ht="35" customHeight="1">
      <c r="A1" s="11" t="inlineStr">
        <is>
          <t>LOG REVIEW SCHEDULE</t>
        </is>
      </c>
    </row>
    <row r="2">
      <c r="A2" s="12" t="inlineStr">
        <is>
          <t>Document log review schedule and completion status per ISMS-POL-A.8.15-S2.4.1</t>
        </is>
      </c>
    </row>
    <row r="4">
      <c r="A4" s="13" t="inlineStr">
        <is>
          <t>Review ID</t>
        </is>
      </c>
      <c r="B4" s="13" t="inlineStr">
        <is>
          <t>Review Type</t>
        </is>
      </c>
      <c r="C4" s="13" t="inlineStr">
        <is>
          <t>Log Source / Scope</t>
        </is>
      </c>
      <c r="D4" s="13" t="inlineStr">
        <is>
          <t>Frequency</t>
        </is>
      </c>
      <c r="E4" s="13" t="inlineStr">
        <is>
          <t>Responsible Party</t>
        </is>
      </c>
      <c r="F4" s="13" t="inlineStr">
        <is>
          <t>Review Procedure</t>
        </is>
      </c>
      <c r="G4" s="13" t="inlineStr">
        <is>
          <t>Last Review Date</t>
        </is>
      </c>
      <c r="H4" s="13" t="inlineStr">
        <is>
          <t>Next Review Due</t>
        </is>
      </c>
      <c r="I4" s="13" t="inlineStr">
        <is>
          <t>Status</t>
        </is>
      </c>
      <c r="J4" s="13" t="inlineStr">
        <is>
          <t>Days Overdue</t>
        </is>
      </c>
      <c r="K4" s="13" t="inlineStr">
        <is>
          <t>Completion Rate %</t>
        </is>
      </c>
      <c r="L4" s="13" t="inlineStr">
        <is>
          <t>Findings (Last Review)</t>
        </is>
      </c>
      <c r="M4" s="13" t="inlineStr">
        <is>
          <t>Actions Taken</t>
        </is>
      </c>
      <c r="N4" s="13" t="inlineStr">
        <is>
          <t>Notes</t>
        </is>
      </c>
    </row>
    <row r="5">
      <c r="A5" s="14" t="inlineStr">
        <is>
          <t>REV-001</t>
        </is>
      </c>
      <c r="B5" s="14" t="inlineStr">
        <is>
          <t>Security Event Review</t>
        </is>
      </c>
      <c r="C5" s="14" t="inlineStr">
        <is>
          <t>Firewall logs</t>
        </is>
      </c>
      <c r="D5" s="14" t="inlineStr">
        <is>
          <t>Daily</t>
        </is>
      </c>
      <c r="E5" s="14" t="inlineStr">
        <is>
          <t>SOC Analyst</t>
        </is>
      </c>
      <c r="F5" s="14" t="inlineStr">
        <is>
          <t>Review denied connections, scan attempts</t>
        </is>
      </c>
      <c r="G5" s="14" t="inlineStr">
        <is>
          <t>06.01.2026</t>
        </is>
      </c>
      <c r="H5" s="14" t="inlineStr">
        <is>
          <t>07.01.2026</t>
        </is>
      </c>
      <c r="I5" s="14" t="inlineStr">
        <is>
          <t>On Schedule</t>
        </is>
      </c>
      <c r="J5" s="14" t="inlineStr">
        <is>
          <t>0</t>
        </is>
      </c>
      <c r="K5" s="14" t="inlineStr">
        <is>
          <t>100%</t>
        </is>
      </c>
      <c r="L5" s="14" t="inlineStr">
        <is>
          <t>3 port scans detected</t>
        </is>
      </c>
      <c r="M5" s="14" t="inlineStr">
        <is>
          <t>Blocked IPs added to blocklist</t>
        </is>
      </c>
      <c r="N5" s="14" t="inlineStr">
        <is>
          <t>Daily review completed</t>
        </is>
      </c>
    </row>
    <row r="6">
      <c r="A6" s="15">
        <f>IF(B6&lt;&gt;"","REV-"&amp;TEXT(ROW()-5,"000"),"")</f>
        <v/>
      </c>
      <c r="B6" s="16" t="n"/>
      <c r="C6" s="16" t="n"/>
      <c r="D6" s="16" t="n"/>
      <c r="E6" s="16" t="n"/>
      <c r="F6" s="16" t="n"/>
      <c r="G6" s="17" t="n"/>
      <c r="H6" s="17" t="n"/>
      <c r="I6" s="16" t="n"/>
      <c r="J6" s="15">
        <f>IF(AND(H6&lt;&gt;"",H6&lt;TODAY(),I6&lt;&gt;"Completed"),TODAY()-H6,0)</f>
        <v/>
      </c>
      <c r="K6" s="18" t="n"/>
      <c r="L6" s="16" t="n"/>
      <c r="M6" s="16" t="n"/>
      <c r="N6" s="16" t="n"/>
    </row>
    <row r="7">
      <c r="A7" s="15">
        <f>IF(B7&lt;&gt;"","REV-"&amp;TEXT(ROW()-5,"000"),"")</f>
        <v/>
      </c>
      <c r="B7" s="16" t="n"/>
      <c r="C7" s="16" t="n"/>
      <c r="D7" s="16" t="n"/>
      <c r="E7" s="16" t="n"/>
      <c r="F7" s="16" t="n"/>
      <c r="G7" s="17" t="n"/>
      <c r="H7" s="17" t="n"/>
      <c r="I7" s="16" t="n"/>
      <c r="J7" s="15">
        <f>IF(AND(H7&lt;&gt;"",H7&lt;TODAY(),I7&lt;&gt;"Completed"),TODAY()-H7,0)</f>
        <v/>
      </c>
      <c r="K7" s="18" t="n"/>
      <c r="L7" s="16" t="n"/>
      <c r="M7" s="16" t="n"/>
      <c r="N7" s="16" t="n"/>
    </row>
    <row r="8">
      <c r="A8" s="15">
        <f>IF(B8&lt;&gt;"","REV-"&amp;TEXT(ROW()-5,"000"),"")</f>
        <v/>
      </c>
      <c r="B8" s="16" t="n"/>
      <c r="C8" s="16" t="n"/>
      <c r="D8" s="16" t="n"/>
      <c r="E8" s="16" t="n"/>
      <c r="F8" s="16" t="n"/>
      <c r="G8" s="17" t="n"/>
      <c r="H8" s="17" t="n"/>
      <c r="I8" s="16" t="n"/>
      <c r="J8" s="15">
        <f>IF(AND(H8&lt;&gt;"",H8&lt;TODAY(),I8&lt;&gt;"Completed"),TODAY()-H8,0)</f>
        <v/>
      </c>
      <c r="K8" s="18" t="n"/>
      <c r="L8" s="16" t="n"/>
      <c r="M8" s="16" t="n"/>
      <c r="N8" s="16" t="n"/>
    </row>
    <row r="9">
      <c r="A9" s="15">
        <f>IF(B9&lt;&gt;"","REV-"&amp;TEXT(ROW()-5,"000"),"")</f>
        <v/>
      </c>
      <c r="B9" s="16" t="n"/>
      <c r="C9" s="16" t="n"/>
      <c r="D9" s="16" t="n"/>
      <c r="E9" s="16" t="n"/>
      <c r="F9" s="16" t="n"/>
      <c r="G9" s="17" t="n"/>
      <c r="H9" s="17" t="n"/>
      <c r="I9" s="16" t="n"/>
      <c r="J9" s="15">
        <f>IF(AND(H9&lt;&gt;"",H9&lt;TODAY(),I9&lt;&gt;"Completed"),TODAY()-H9,0)</f>
        <v/>
      </c>
      <c r="K9" s="18" t="n"/>
      <c r="L9" s="16" t="n"/>
      <c r="M9" s="16" t="n"/>
      <c r="N9" s="16" t="n"/>
    </row>
    <row r="10">
      <c r="A10" s="15">
        <f>IF(B10&lt;&gt;"","REV-"&amp;TEXT(ROW()-5,"000"),"")</f>
        <v/>
      </c>
      <c r="B10" s="16" t="n"/>
      <c r="C10" s="16" t="n"/>
      <c r="D10" s="16" t="n"/>
      <c r="E10" s="16" t="n"/>
      <c r="F10" s="16" t="n"/>
      <c r="G10" s="17" t="n"/>
      <c r="H10" s="17" t="n"/>
      <c r="I10" s="16" t="n"/>
      <c r="J10" s="15">
        <f>IF(AND(H10&lt;&gt;"",H10&lt;TODAY(),I10&lt;&gt;"Completed"),TODAY()-H10,0)</f>
        <v/>
      </c>
      <c r="K10" s="18" t="n"/>
      <c r="L10" s="16" t="n"/>
      <c r="M10" s="16" t="n"/>
      <c r="N10" s="16" t="n"/>
    </row>
    <row r="11">
      <c r="A11" s="15">
        <f>IF(B11&lt;&gt;"","REV-"&amp;TEXT(ROW()-5,"000"),"")</f>
        <v/>
      </c>
      <c r="B11" s="16" t="n"/>
      <c r="C11" s="16" t="n"/>
      <c r="D11" s="16" t="n"/>
      <c r="E11" s="16" t="n"/>
      <c r="F11" s="16" t="n"/>
      <c r="G11" s="17" t="n"/>
      <c r="H11" s="17" t="n"/>
      <c r="I11" s="16" t="n"/>
      <c r="J11" s="15">
        <f>IF(AND(H11&lt;&gt;"",H11&lt;TODAY(),I11&lt;&gt;"Completed"),TODAY()-H11,0)</f>
        <v/>
      </c>
      <c r="K11" s="18" t="n"/>
      <c r="L11" s="16" t="n"/>
      <c r="M11" s="16" t="n"/>
      <c r="N11" s="16" t="n"/>
    </row>
    <row r="12">
      <c r="A12" s="15">
        <f>IF(B12&lt;&gt;"","REV-"&amp;TEXT(ROW()-5,"000"),"")</f>
        <v/>
      </c>
      <c r="B12" s="16" t="n"/>
      <c r="C12" s="16" t="n"/>
      <c r="D12" s="16" t="n"/>
      <c r="E12" s="16" t="n"/>
      <c r="F12" s="16" t="n"/>
      <c r="G12" s="17" t="n"/>
      <c r="H12" s="17" t="n"/>
      <c r="I12" s="16" t="n"/>
      <c r="J12" s="15">
        <f>IF(AND(H12&lt;&gt;"",H12&lt;TODAY(),I12&lt;&gt;"Completed"),TODAY()-H12,0)</f>
        <v/>
      </c>
      <c r="K12" s="18" t="n"/>
      <c r="L12" s="16" t="n"/>
      <c r="M12" s="16" t="n"/>
      <c r="N12" s="16" t="n"/>
    </row>
    <row r="13">
      <c r="A13" s="15">
        <f>IF(B13&lt;&gt;"","REV-"&amp;TEXT(ROW()-5,"000"),"")</f>
        <v/>
      </c>
      <c r="B13" s="16" t="n"/>
      <c r="C13" s="16" t="n"/>
      <c r="D13" s="16" t="n"/>
      <c r="E13" s="16" t="n"/>
      <c r="F13" s="16" t="n"/>
      <c r="G13" s="17" t="n"/>
      <c r="H13" s="17" t="n"/>
      <c r="I13" s="16" t="n"/>
      <c r="J13" s="15">
        <f>IF(AND(H13&lt;&gt;"",H13&lt;TODAY(),I13&lt;&gt;"Completed"),TODAY()-H13,0)</f>
        <v/>
      </c>
      <c r="K13" s="18" t="n"/>
      <c r="L13" s="16" t="n"/>
      <c r="M13" s="16" t="n"/>
      <c r="N13" s="16" t="n"/>
    </row>
    <row r="14">
      <c r="A14" s="15">
        <f>IF(B14&lt;&gt;"","REV-"&amp;TEXT(ROW()-5,"000"),"")</f>
        <v/>
      </c>
      <c r="B14" s="16" t="n"/>
      <c r="C14" s="16" t="n"/>
      <c r="D14" s="16" t="n"/>
      <c r="E14" s="16" t="n"/>
      <c r="F14" s="16" t="n"/>
      <c r="G14" s="17" t="n"/>
      <c r="H14" s="17" t="n"/>
      <c r="I14" s="16" t="n"/>
      <c r="J14" s="15">
        <f>IF(AND(H14&lt;&gt;"",H14&lt;TODAY(),I14&lt;&gt;"Completed"),TODAY()-H14,0)</f>
        <v/>
      </c>
      <c r="K14" s="18" t="n"/>
      <c r="L14" s="16" t="n"/>
      <c r="M14" s="16" t="n"/>
      <c r="N14" s="16" t="n"/>
    </row>
    <row r="15">
      <c r="A15" s="15">
        <f>IF(B15&lt;&gt;"","REV-"&amp;TEXT(ROW()-5,"000"),"")</f>
        <v/>
      </c>
      <c r="B15" s="16" t="n"/>
      <c r="C15" s="16" t="n"/>
      <c r="D15" s="16" t="n"/>
      <c r="E15" s="16" t="n"/>
      <c r="F15" s="16" t="n"/>
      <c r="G15" s="17" t="n"/>
      <c r="H15" s="17" t="n"/>
      <c r="I15" s="16" t="n"/>
      <c r="J15" s="15">
        <f>IF(AND(H15&lt;&gt;"",H15&lt;TODAY(),I15&lt;&gt;"Completed"),TODAY()-H15,0)</f>
        <v/>
      </c>
      <c r="K15" s="18" t="n"/>
      <c r="L15" s="16" t="n"/>
      <c r="M15" s="16" t="n"/>
      <c r="N15" s="16" t="n"/>
    </row>
    <row r="16">
      <c r="A16" s="15">
        <f>IF(B16&lt;&gt;"","REV-"&amp;TEXT(ROW()-5,"000"),"")</f>
        <v/>
      </c>
      <c r="B16" s="16" t="n"/>
      <c r="C16" s="16" t="n"/>
      <c r="D16" s="16" t="n"/>
      <c r="E16" s="16" t="n"/>
      <c r="F16" s="16" t="n"/>
      <c r="G16" s="17" t="n"/>
      <c r="H16" s="17" t="n"/>
      <c r="I16" s="16" t="n"/>
      <c r="J16" s="15">
        <f>IF(AND(H16&lt;&gt;"",H16&lt;TODAY(),I16&lt;&gt;"Completed"),TODAY()-H16,0)</f>
        <v/>
      </c>
      <c r="K16" s="18" t="n"/>
      <c r="L16" s="16" t="n"/>
      <c r="M16" s="16" t="n"/>
      <c r="N16" s="16" t="n"/>
    </row>
    <row r="17">
      <c r="A17" s="15">
        <f>IF(B17&lt;&gt;"","REV-"&amp;TEXT(ROW()-5,"000"),"")</f>
        <v/>
      </c>
      <c r="B17" s="16" t="n"/>
      <c r="C17" s="16" t="n"/>
      <c r="D17" s="16" t="n"/>
      <c r="E17" s="16" t="n"/>
      <c r="F17" s="16" t="n"/>
      <c r="G17" s="17" t="n"/>
      <c r="H17" s="17" t="n"/>
      <c r="I17" s="16" t="n"/>
      <c r="J17" s="15">
        <f>IF(AND(H17&lt;&gt;"",H17&lt;TODAY(),I17&lt;&gt;"Completed"),TODAY()-H17,0)</f>
        <v/>
      </c>
      <c r="K17" s="18" t="n"/>
      <c r="L17" s="16" t="n"/>
      <c r="M17" s="16" t="n"/>
      <c r="N17" s="16" t="n"/>
    </row>
    <row r="18">
      <c r="A18" s="15">
        <f>IF(B18&lt;&gt;"","REV-"&amp;TEXT(ROW()-5,"000"),"")</f>
        <v/>
      </c>
      <c r="B18" s="16" t="n"/>
      <c r="C18" s="16" t="n"/>
      <c r="D18" s="16" t="n"/>
      <c r="E18" s="16" t="n"/>
      <c r="F18" s="16" t="n"/>
      <c r="G18" s="17" t="n"/>
      <c r="H18" s="17" t="n"/>
      <c r="I18" s="16" t="n"/>
      <c r="J18" s="15">
        <f>IF(AND(H18&lt;&gt;"",H18&lt;TODAY(),I18&lt;&gt;"Completed"),TODAY()-H18,0)</f>
        <v/>
      </c>
      <c r="K18" s="18" t="n"/>
      <c r="L18" s="16" t="n"/>
      <c r="M18" s="16" t="n"/>
      <c r="N18" s="16" t="n"/>
    </row>
    <row r="19">
      <c r="A19" s="15">
        <f>IF(B19&lt;&gt;"","REV-"&amp;TEXT(ROW()-5,"000"),"")</f>
        <v/>
      </c>
      <c r="B19" s="16" t="n"/>
      <c r="C19" s="16" t="n"/>
      <c r="D19" s="16" t="n"/>
      <c r="E19" s="16" t="n"/>
      <c r="F19" s="16" t="n"/>
      <c r="G19" s="17" t="n"/>
      <c r="H19" s="17" t="n"/>
      <c r="I19" s="16" t="n"/>
      <c r="J19" s="15">
        <f>IF(AND(H19&lt;&gt;"",H19&lt;TODAY(),I19&lt;&gt;"Completed"),TODAY()-H19,0)</f>
        <v/>
      </c>
      <c r="K19" s="18" t="n"/>
      <c r="L19" s="16" t="n"/>
      <c r="M19" s="16" t="n"/>
      <c r="N19" s="16" t="n"/>
    </row>
    <row r="20">
      <c r="A20" s="15">
        <f>IF(B20&lt;&gt;"","REV-"&amp;TEXT(ROW()-5,"000"),"")</f>
        <v/>
      </c>
      <c r="B20" s="16" t="n"/>
      <c r="C20" s="16" t="n"/>
      <c r="D20" s="16" t="n"/>
      <c r="E20" s="16" t="n"/>
      <c r="F20" s="16" t="n"/>
      <c r="G20" s="17" t="n"/>
      <c r="H20" s="17" t="n"/>
      <c r="I20" s="16" t="n"/>
      <c r="J20" s="15">
        <f>IF(AND(H20&lt;&gt;"",H20&lt;TODAY(),I20&lt;&gt;"Completed"),TODAY()-H20,0)</f>
        <v/>
      </c>
      <c r="K20" s="18" t="n"/>
      <c r="L20" s="16" t="n"/>
      <c r="M20" s="16" t="n"/>
      <c r="N20" s="16" t="n"/>
    </row>
    <row r="21">
      <c r="A21" s="15">
        <f>IF(B21&lt;&gt;"","REV-"&amp;TEXT(ROW()-5,"000"),"")</f>
        <v/>
      </c>
      <c r="B21" s="16" t="n"/>
      <c r="C21" s="16" t="n"/>
      <c r="D21" s="16" t="n"/>
      <c r="E21" s="16" t="n"/>
      <c r="F21" s="16" t="n"/>
      <c r="G21" s="17" t="n"/>
      <c r="H21" s="17" t="n"/>
      <c r="I21" s="16" t="n"/>
      <c r="J21" s="15">
        <f>IF(AND(H21&lt;&gt;"",H21&lt;TODAY(),I21&lt;&gt;"Completed"),TODAY()-H21,0)</f>
        <v/>
      </c>
      <c r="K21" s="18" t="n"/>
      <c r="L21" s="16" t="n"/>
      <c r="M21" s="16" t="n"/>
      <c r="N21" s="16" t="n"/>
    </row>
    <row r="22">
      <c r="A22" s="15">
        <f>IF(B22&lt;&gt;"","REV-"&amp;TEXT(ROW()-5,"000"),"")</f>
        <v/>
      </c>
      <c r="B22" s="16" t="n"/>
      <c r="C22" s="16" t="n"/>
      <c r="D22" s="16" t="n"/>
      <c r="E22" s="16" t="n"/>
      <c r="F22" s="16" t="n"/>
      <c r="G22" s="17" t="n"/>
      <c r="H22" s="17" t="n"/>
      <c r="I22" s="16" t="n"/>
      <c r="J22" s="15">
        <f>IF(AND(H22&lt;&gt;"",H22&lt;TODAY(),I22&lt;&gt;"Completed"),TODAY()-H22,0)</f>
        <v/>
      </c>
      <c r="K22" s="18" t="n"/>
      <c r="L22" s="16" t="n"/>
      <c r="M22" s="16" t="n"/>
      <c r="N22" s="16" t="n"/>
    </row>
    <row r="23">
      <c r="A23" s="15">
        <f>IF(B23&lt;&gt;"","REV-"&amp;TEXT(ROW()-5,"000"),"")</f>
        <v/>
      </c>
      <c r="B23" s="16" t="n"/>
      <c r="C23" s="16" t="n"/>
      <c r="D23" s="16" t="n"/>
      <c r="E23" s="16" t="n"/>
      <c r="F23" s="16" t="n"/>
      <c r="G23" s="17" t="n"/>
      <c r="H23" s="17" t="n"/>
      <c r="I23" s="16" t="n"/>
      <c r="J23" s="15">
        <f>IF(AND(H23&lt;&gt;"",H23&lt;TODAY(),I23&lt;&gt;"Completed"),TODAY()-H23,0)</f>
        <v/>
      </c>
      <c r="K23" s="18" t="n"/>
      <c r="L23" s="16" t="n"/>
      <c r="M23" s="16" t="n"/>
      <c r="N23" s="16" t="n"/>
    </row>
    <row r="24">
      <c r="A24" s="15">
        <f>IF(B24&lt;&gt;"","REV-"&amp;TEXT(ROW()-5,"000"),"")</f>
        <v/>
      </c>
      <c r="B24" s="16" t="n"/>
      <c r="C24" s="16" t="n"/>
      <c r="D24" s="16" t="n"/>
      <c r="E24" s="16" t="n"/>
      <c r="F24" s="16" t="n"/>
      <c r="G24" s="17" t="n"/>
      <c r="H24" s="17" t="n"/>
      <c r="I24" s="16" t="n"/>
      <c r="J24" s="15">
        <f>IF(AND(H24&lt;&gt;"",H24&lt;TODAY(),I24&lt;&gt;"Completed"),TODAY()-H24,0)</f>
        <v/>
      </c>
      <c r="K24" s="18" t="n"/>
      <c r="L24" s="16" t="n"/>
      <c r="M24" s="16" t="n"/>
      <c r="N24" s="16" t="n"/>
    </row>
    <row r="25">
      <c r="A25" s="15">
        <f>IF(B25&lt;&gt;"","REV-"&amp;TEXT(ROW()-5,"000"),"")</f>
        <v/>
      </c>
      <c r="B25" s="16" t="n"/>
      <c r="C25" s="16" t="n"/>
      <c r="D25" s="16" t="n"/>
      <c r="E25" s="16" t="n"/>
      <c r="F25" s="16" t="n"/>
      <c r="G25" s="17" t="n"/>
      <c r="H25" s="17" t="n"/>
      <c r="I25" s="16" t="n"/>
      <c r="J25" s="15">
        <f>IF(AND(H25&lt;&gt;"",H25&lt;TODAY(),I25&lt;&gt;"Completed"),TODAY()-H25,0)</f>
        <v/>
      </c>
      <c r="K25" s="18" t="n"/>
      <c r="L25" s="16" t="n"/>
      <c r="M25" s="16" t="n"/>
      <c r="N25" s="16" t="n"/>
    </row>
    <row r="26">
      <c r="A26" s="15">
        <f>IF(B26&lt;&gt;"","REV-"&amp;TEXT(ROW()-5,"000"),"")</f>
        <v/>
      </c>
      <c r="B26" s="16" t="n"/>
      <c r="C26" s="16" t="n"/>
      <c r="D26" s="16" t="n"/>
      <c r="E26" s="16" t="n"/>
      <c r="F26" s="16" t="n"/>
      <c r="G26" s="17" t="n"/>
      <c r="H26" s="17" t="n"/>
      <c r="I26" s="16" t="n"/>
      <c r="J26" s="15">
        <f>IF(AND(H26&lt;&gt;"",H26&lt;TODAY(),I26&lt;&gt;"Completed"),TODAY()-H26,0)</f>
        <v/>
      </c>
      <c r="K26" s="18" t="n"/>
      <c r="L26" s="16" t="n"/>
      <c r="M26" s="16" t="n"/>
      <c r="N26" s="16" t="n"/>
    </row>
    <row r="27">
      <c r="A27" s="15">
        <f>IF(B27&lt;&gt;"","REV-"&amp;TEXT(ROW()-5,"000"),"")</f>
        <v/>
      </c>
      <c r="B27" s="16" t="n"/>
      <c r="C27" s="16" t="n"/>
      <c r="D27" s="16" t="n"/>
      <c r="E27" s="16" t="n"/>
      <c r="F27" s="16" t="n"/>
      <c r="G27" s="17" t="n"/>
      <c r="H27" s="17" t="n"/>
      <c r="I27" s="16" t="n"/>
      <c r="J27" s="15">
        <f>IF(AND(H27&lt;&gt;"",H27&lt;TODAY(),I27&lt;&gt;"Completed"),TODAY()-H27,0)</f>
        <v/>
      </c>
      <c r="K27" s="18" t="n"/>
      <c r="L27" s="16" t="n"/>
      <c r="M27" s="16" t="n"/>
      <c r="N27" s="16" t="n"/>
    </row>
    <row r="28">
      <c r="A28" s="15">
        <f>IF(B28&lt;&gt;"","REV-"&amp;TEXT(ROW()-5,"000"),"")</f>
        <v/>
      </c>
      <c r="B28" s="16" t="n"/>
      <c r="C28" s="16" t="n"/>
      <c r="D28" s="16" t="n"/>
      <c r="E28" s="16" t="n"/>
      <c r="F28" s="16" t="n"/>
      <c r="G28" s="17" t="n"/>
      <c r="H28" s="17" t="n"/>
      <c r="I28" s="16" t="n"/>
      <c r="J28" s="15">
        <f>IF(AND(H28&lt;&gt;"",H28&lt;TODAY(),I28&lt;&gt;"Completed"),TODAY()-H28,0)</f>
        <v/>
      </c>
      <c r="K28" s="18" t="n"/>
      <c r="L28" s="16" t="n"/>
      <c r="M28" s="16" t="n"/>
      <c r="N28" s="16" t="n"/>
    </row>
    <row r="29">
      <c r="A29" s="15">
        <f>IF(B29&lt;&gt;"","REV-"&amp;TEXT(ROW()-5,"000"),"")</f>
        <v/>
      </c>
      <c r="B29" s="16" t="n"/>
      <c r="C29" s="16" t="n"/>
      <c r="D29" s="16" t="n"/>
      <c r="E29" s="16" t="n"/>
      <c r="F29" s="16" t="n"/>
      <c r="G29" s="17" t="n"/>
      <c r="H29" s="17" t="n"/>
      <c r="I29" s="16" t="n"/>
      <c r="J29" s="15">
        <f>IF(AND(H29&lt;&gt;"",H29&lt;TODAY(),I29&lt;&gt;"Completed"),TODAY()-H29,0)</f>
        <v/>
      </c>
      <c r="K29" s="18" t="n"/>
      <c r="L29" s="16" t="n"/>
      <c r="M29" s="16" t="n"/>
      <c r="N29" s="16" t="n"/>
    </row>
    <row r="30">
      <c r="A30" s="15">
        <f>IF(B30&lt;&gt;"","REV-"&amp;TEXT(ROW()-5,"000"),"")</f>
        <v/>
      </c>
      <c r="B30" s="16" t="n"/>
      <c r="C30" s="16" t="n"/>
      <c r="D30" s="16" t="n"/>
      <c r="E30" s="16" t="n"/>
      <c r="F30" s="16" t="n"/>
      <c r="G30" s="17" t="n"/>
      <c r="H30" s="17" t="n"/>
      <c r="I30" s="16" t="n"/>
      <c r="J30" s="15">
        <f>IF(AND(H30&lt;&gt;"",H30&lt;TODAY(),I30&lt;&gt;"Completed"),TODAY()-H30,0)</f>
        <v/>
      </c>
      <c r="K30" s="18" t="n"/>
      <c r="L30" s="16" t="n"/>
      <c r="M30" s="16" t="n"/>
      <c r="N30" s="16" t="n"/>
    </row>
    <row r="31">
      <c r="A31" s="15">
        <f>IF(B31&lt;&gt;"","REV-"&amp;TEXT(ROW()-5,"000"),"")</f>
        <v/>
      </c>
      <c r="B31" s="16" t="n"/>
      <c r="C31" s="16" t="n"/>
      <c r="D31" s="16" t="n"/>
      <c r="E31" s="16" t="n"/>
      <c r="F31" s="16" t="n"/>
      <c r="G31" s="17" t="n"/>
      <c r="H31" s="17" t="n"/>
      <c r="I31" s="16" t="n"/>
      <c r="J31" s="15">
        <f>IF(AND(H31&lt;&gt;"",H31&lt;TODAY(),I31&lt;&gt;"Completed"),TODAY()-H31,0)</f>
        <v/>
      </c>
      <c r="K31" s="18" t="n"/>
      <c r="L31" s="16" t="n"/>
      <c r="M31" s="16" t="n"/>
      <c r="N31" s="16" t="n"/>
    </row>
    <row r="32">
      <c r="A32" s="15">
        <f>IF(B32&lt;&gt;"","REV-"&amp;TEXT(ROW()-5,"000"),"")</f>
        <v/>
      </c>
      <c r="B32" s="16" t="n"/>
      <c r="C32" s="16" t="n"/>
      <c r="D32" s="16" t="n"/>
      <c r="E32" s="16" t="n"/>
      <c r="F32" s="16" t="n"/>
      <c r="G32" s="17" t="n"/>
      <c r="H32" s="17" t="n"/>
      <c r="I32" s="16" t="n"/>
      <c r="J32" s="15">
        <f>IF(AND(H32&lt;&gt;"",H32&lt;TODAY(),I32&lt;&gt;"Completed"),TODAY()-H32,0)</f>
        <v/>
      </c>
      <c r="K32" s="18" t="n"/>
      <c r="L32" s="16" t="n"/>
      <c r="M32" s="16" t="n"/>
      <c r="N32" s="16" t="n"/>
    </row>
    <row r="33">
      <c r="A33" s="15">
        <f>IF(B33&lt;&gt;"","REV-"&amp;TEXT(ROW()-5,"000"),"")</f>
        <v/>
      </c>
      <c r="B33" s="16" t="n"/>
      <c r="C33" s="16" t="n"/>
      <c r="D33" s="16" t="n"/>
      <c r="E33" s="16" t="n"/>
      <c r="F33" s="16" t="n"/>
      <c r="G33" s="17" t="n"/>
      <c r="H33" s="17" t="n"/>
      <c r="I33" s="16" t="n"/>
      <c r="J33" s="15">
        <f>IF(AND(H33&lt;&gt;"",H33&lt;TODAY(),I33&lt;&gt;"Completed"),TODAY()-H33,0)</f>
        <v/>
      </c>
      <c r="K33" s="18" t="n"/>
      <c r="L33" s="16" t="n"/>
      <c r="M33" s="16" t="n"/>
      <c r="N33" s="16" t="n"/>
    </row>
    <row r="34">
      <c r="A34" s="15">
        <f>IF(B34&lt;&gt;"","REV-"&amp;TEXT(ROW()-5,"000"),"")</f>
        <v/>
      </c>
      <c r="B34" s="16" t="n"/>
      <c r="C34" s="16" t="n"/>
      <c r="D34" s="16" t="n"/>
      <c r="E34" s="16" t="n"/>
      <c r="F34" s="16" t="n"/>
      <c r="G34" s="17" t="n"/>
      <c r="H34" s="17" t="n"/>
      <c r="I34" s="16" t="n"/>
      <c r="J34" s="15">
        <f>IF(AND(H34&lt;&gt;"",H34&lt;TODAY(),I34&lt;&gt;"Completed"),TODAY()-H34,0)</f>
        <v/>
      </c>
      <c r="K34" s="18" t="n"/>
      <c r="L34" s="16" t="n"/>
      <c r="M34" s="16" t="n"/>
      <c r="N34" s="16" t="n"/>
    </row>
    <row r="35">
      <c r="A35" s="15">
        <f>IF(B35&lt;&gt;"","REV-"&amp;TEXT(ROW()-5,"000"),"")</f>
        <v/>
      </c>
      <c r="B35" s="16" t="n"/>
      <c r="C35" s="16" t="n"/>
      <c r="D35" s="16" t="n"/>
      <c r="E35" s="16" t="n"/>
      <c r="F35" s="16" t="n"/>
      <c r="G35" s="17" t="n"/>
      <c r="H35" s="17" t="n"/>
      <c r="I35" s="16" t="n"/>
      <c r="J35" s="15">
        <f>IF(AND(H35&lt;&gt;"",H35&lt;TODAY(),I35&lt;&gt;"Completed"),TODAY()-H35,0)</f>
        <v/>
      </c>
      <c r="K35" s="18" t="n"/>
      <c r="L35" s="16" t="n"/>
      <c r="M35" s="16" t="n"/>
      <c r="N35" s="16" t="n"/>
    </row>
    <row r="36">
      <c r="A36" s="15">
        <f>IF(B36&lt;&gt;"","REV-"&amp;TEXT(ROW()-5,"000"),"")</f>
        <v/>
      </c>
      <c r="B36" s="16" t="n"/>
      <c r="C36" s="16" t="n"/>
      <c r="D36" s="16" t="n"/>
      <c r="E36" s="16" t="n"/>
      <c r="F36" s="16" t="n"/>
      <c r="G36" s="17" t="n"/>
      <c r="H36" s="17" t="n"/>
      <c r="I36" s="16" t="n"/>
      <c r="J36" s="15">
        <f>IF(AND(H36&lt;&gt;"",H36&lt;TODAY(),I36&lt;&gt;"Completed"),TODAY()-H36,0)</f>
        <v/>
      </c>
      <c r="K36" s="18" t="n"/>
      <c r="L36" s="16" t="n"/>
      <c r="M36" s="16" t="n"/>
      <c r="N36" s="16" t="n"/>
    </row>
    <row r="37">
      <c r="A37" s="15">
        <f>IF(B37&lt;&gt;"","REV-"&amp;TEXT(ROW()-5,"000"),"")</f>
        <v/>
      </c>
      <c r="B37" s="16" t="n"/>
      <c r="C37" s="16" t="n"/>
      <c r="D37" s="16" t="n"/>
      <c r="E37" s="16" t="n"/>
      <c r="F37" s="16" t="n"/>
      <c r="G37" s="17" t="n"/>
      <c r="H37" s="17" t="n"/>
      <c r="I37" s="16" t="n"/>
      <c r="J37" s="15">
        <f>IF(AND(H37&lt;&gt;"",H37&lt;TODAY(),I37&lt;&gt;"Completed"),TODAY()-H37,0)</f>
        <v/>
      </c>
      <c r="K37" s="18" t="n"/>
      <c r="L37" s="16" t="n"/>
      <c r="M37" s="16" t="n"/>
      <c r="N37" s="16" t="n"/>
    </row>
    <row r="38">
      <c r="A38" s="15">
        <f>IF(B38&lt;&gt;"","REV-"&amp;TEXT(ROW()-5,"000"),"")</f>
        <v/>
      </c>
      <c r="B38" s="16" t="n"/>
      <c r="C38" s="16" t="n"/>
      <c r="D38" s="16" t="n"/>
      <c r="E38" s="16" t="n"/>
      <c r="F38" s="16" t="n"/>
      <c r="G38" s="17" t="n"/>
      <c r="H38" s="17" t="n"/>
      <c r="I38" s="16" t="n"/>
      <c r="J38" s="15">
        <f>IF(AND(H38&lt;&gt;"",H38&lt;TODAY(),I38&lt;&gt;"Completed"),TODAY()-H38,0)</f>
        <v/>
      </c>
      <c r="K38" s="18" t="n"/>
      <c r="L38" s="16" t="n"/>
      <c r="M38" s="16" t="n"/>
      <c r="N38" s="16" t="n"/>
    </row>
    <row r="39">
      <c r="A39" s="15">
        <f>IF(B39&lt;&gt;"","REV-"&amp;TEXT(ROW()-5,"000"),"")</f>
        <v/>
      </c>
      <c r="B39" s="16" t="n"/>
      <c r="C39" s="16" t="n"/>
      <c r="D39" s="16" t="n"/>
      <c r="E39" s="16" t="n"/>
      <c r="F39" s="16" t="n"/>
      <c r="G39" s="17" t="n"/>
      <c r="H39" s="17" t="n"/>
      <c r="I39" s="16" t="n"/>
      <c r="J39" s="15">
        <f>IF(AND(H39&lt;&gt;"",H39&lt;TODAY(),I39&lt;&gt;"Completed"),TODAY()-H39,0)</f>
        <v/>
      </c>
      <c r="K39" s="18" t="n"/>
      <c r="L39" s="16" t="n"/>
      <c r="M39" s="16" t="n"/>
      <c r="N39" s="16" t="n"/>
    </row>
    <row r="40">
      <c r="A40" s="15">
        <f>IF(B40&lt;&gt;"","REV-"&amp;TEXT(ROW()-5,"000"),"")</f>
        <v/>
      </c>
      <c r="B40" s="16" t="n"/>
      <c r="C40" s="16" t="n"/>
      <c r="D40" s="16" t="n"/>
      <c r="E40" s="16" t="n"/>
      <c r="F40" s="16" t="n"/>
      <c r="G40" s="17" t="n"/>
      <c r="H40" s="17" t="n"/>
      <c r="I40" s="16" t="n"/>
      <c r="J40" s="15">
        <f>IF(AND(H40&lt;&gt;"",H40&lt;TODAY(),I40&lt;&gt;"Completed"),TODAY()-H40,0)</f>
        <v/>
      </c>
      <c r="K40" s="18" t="n"/>
      <c r="L40" s="16" t="n"/>
      <c r="M40" s="16" t="n"/>
      <c r="N40" s="16" t="n"/>
    </row>
    <row r="41">
      <c r="A41" s="15">
        <f>IF(B41&lt;&gt;"","REV-"&amp;TEXT(ROW()-5,"000"),"")</f>
        <v/>
      </c>
      <c r="B41" s="16" t="n"/>
      <c r="C41" s="16" t="n"/>
      <c r="D41" s="16" t="n"/>
      <c r="E41" s="16" t="n"/>
      <c r="F41" s="16" t="n"/>
      <c r="G41" s="17" t="n"/>
      <c r="H41" s="17" t="n"/>
      <c r="I41" s="16" t="n"/>
      <c r="J41" s="15">
        <f>IF(AND(H41&lt;&gt;"",H41&lt;TODAY(),I41&lt;&gt;"Completed"),TODAY()-H41,0)</f>
        <v/>
      </c>
      <c r="K41" s="18" t="n"/>
      <c r="L41" s="16" t="n"/>
      <c r="M41" s="16" t="n"/>
      <c r="N41" s="16" t="n"/>
    </row>
    <row r="42">
      <c r="A42" s="15">
        <f>IF(B42&lt;&gt;"","REV-"&amp;TEXT(ROW()-5,"000"),"")</f>
        <v/>
      </c>
      <c r="B42" s="16" t="n"/>
      <c r="C42" s="16" t="n"/>
      <c r="D42" s="16" t="n"/>
      <c r="E42" s="16" t="n"/>
      <c r="F42" s="16" t="n"/>
      <c r="G42" s="17" t="n"/>
      <c r="H42" s="17" t="n"/>
      <c r="I42" s="16" t="n"/>
      <c r="J42" s="15">
        <f>IF(AND(H42&lt;&gt;"",H42&lt;TODAY(),I42&lt;&gt;"Completed"),TODAY()-H42,0)</f>
        <v/>
      </c>
      <c r="K42" s="18" t="n"/>
      <c r="L42" s="16" t="n"/>
      <c r="M42" s="16" t="n"/>
      <c r="N42" s="16" t="n"/>
    </row>
    <row r="43">
      <c r="A43" s="15">
        <f>IF(B43&lt;&gt;"","REV-"&amp;TEXT(ROW()-5,"000"),"")</f>
        <v/>
      </c>
      <c r="B43" s="16" t="n"/>
      <c r="C43" s="16" t="n"/>
      <c r="D43" s="16" t="n"/>
      <c r="E43" s="16" t="n"/>
      <c r="F43" s="16" t="n"/>
      <c r="G43" s="17" t="n"/>
      <c r="H43" s="17" t="n"/>
      <c r="I43" s="16" t="n"/>
      <c r="J43" s="15">
        <f>IF(AND(H43&lt;&gt;"",H43&lt;TODAY(),I43&lt;&gt;"Completed"),TODAY()-H43,0)</f>
        <v/>
      </c>
      <c r="K43" s="18" t="n"/>
      <c r="L43" s="16" t="n"/>
      <c r="M43" s="16" t="n"/>
      <c r="N43" s="16" t="n"/>
    </row>
    <row r="44">
      <c r="A44" s="15">
        <f>IF(B44&lt;&gt;"","REV-"&amp;TEXT(ROW()-5,"000"),"")</f>
        <v/>
      </c>
      <c r="B44" s="16" t="n"/>
      <c r="C44" s="16" t="n"/>
      <c r="D44" s="16" t="n"/>
      <c r="E44" s="16" t="n"/>
      <c r="F44" s="16" t="n"/>
      <c r="G44" s="17" t="n"/>
      <c r="H44" s="17" t="n"/>
      <c r="I44" s="16" t="n"/>
      <c r="J44" s="15">
        <f>IF(AND(H44&lt;&gt;"",H44&lt;TODAY(),I44&lt;&gt;"Completed"),TODAY()-H44,0)</f>
        <v/>
      </c>
      <c r="K44" s="18" t="n"/>
      <c r="L44" s="16" t="n"/>
      <c r="M44" s="16" t="n"/>
      <c r="N44" s="16" t="n"/>
    </row>
    <row r="45">
      <c r="A45" s="15">
        <f>IF(B45&lt;&gt;"","REV-"&amp;TEXT(ROW()-5,"000"),"")</f>
        <v/>
      </c>
      <c r="B45" s="16" t="n"/>
      <c r="C45" s="16" t="n"/>
      <c r="D45" s="16" t="n"/>
      <c r="E45" s="16" t="n"/>
      <c r="F45" s="16" t="n"/>
      <c r="G45" s="17" t="n"/>
      <c r="H45" s="17" t="n"/>
      <c r="I45" s="16" t="n"/>
      <c r="J45" s="15">
        <f>IF(AND(H45&lt;&gt;"",H45&lt;TODAY(),I45&lt;&gt;"Completed"),TODAY()-H45,0)</f>
        <v/>
      </c>
      <c r="K45" s="18" t="n"/>
      <c r="L45" s="16" t="n"/>
      <c r="M45" s="16" t="n"/>
      <c r="N45" s="16" t="n"/>
    </row>
    <row r="46">
      <c r="A46" s="15">
        <f>IF(B46&lt;&gt;"","REV-"&amp;TEXT(ROW()-5,"000"),"")</f>
        <v/>
      </c>
      <c r="B46" s="16" t="n"/>
      <c r="C46" s="16" t="n"/>
      <c r="D46" s="16" t="n"/>
      <c r="E46" s="16" t="n"/>
      <c r="F46" s="16" t="n"/>
      <c r="G46" s="17" t="n"/>
      <c r="H46" s="17" t="n"/>
      <c r="I46" s="16" t="n"/>
      <c r="J46" s="15">
        <f>IF(AND(H46&lt;&gt;"",H46&lt;TODAY(),I46&lt;&gt;"Completed"),TODAY()-H46,0)</f>
        <v/>
      </c>
      <c r="K46" s="18" t="n"/>
      <c r="L46" s="16" t="n"/>
      <c r="M46" s="16" t="n"/>
      <c r="N46" s="16" t="n"/>
    </row>
    <row r="47">
      <c r="A47" s="15">
        <f>IF(B47&lt;&gt;"","REV-"&amp;TEXT(ROW()-5,"000"),"")</f>
        <v/>
      </c>
      <c r="B47" s="16" t="n"/>
      <c r="C47" s="16" t="n"/>
      <c r="D47" s="16" t="n"/>
      <c r="E47" s="16" t="n"/>
      <c r="F47" s="16" t="n"/>
      <c r="G47" s="17" t="n"/>
      <c r="H47" s="17" t="n"/>
      <c r="I47" s="16" t="n"/>
      <c r="J47" s="15">
        <f>IF(AND(H47&lt;&gt;"",H47&lt;TODAY(),I47&lt;&gt;"Completed"),TODAY()-H47,0)</f>
        <v/>
      </c>
      <c r="K47" s="18" t="n"/>
      <c r="L47" s="16" t="n"/>
      <c r="M47" s="16" t="n"/>
      <c r="N47" s="16" t="n"/>
    </row>
    <row r="48">
      <c r="A48" s="15">
        <f>IF(B48&lt;&gt;"","REV-"&amp;TEXT(ROW()-5,"000"),"")</f>
        <v/>
      </c>
      <c r="B48" s="16" t="n"/>
      <c r="C48" s="16" t="n"/>
      <c r="D48" s="16" t="n"/>
      <c r="E48" s="16" t="n"/>
      <c r="F48" s="16" t="n"/>
      <c r="G48" s="17" t="n"/>
      <c r="H48" s="17" t="n"/>
      <c r="I48" s="16" t="n"/>
      <c r="J48" s="15">
        <f>IF(AND(H48&lt;&gt;"",H48&lt;TODAY(),I48&lt;&gt;"Completed"),TODAY()-H48,0)</f>
        <v/>
      </c>
      <c r="K48" s="18" t="n"/>
      <c r="L48" s="16" t="n"/>
      <c r="M48" s="16" t="n"/>
      <c r="N48" s="16" t="n"/>
    </row>
    <row r="49">
      <c r="A49" s="15">
        <f>IF(B49&lt;&gt;"","REV-"&amp;TEXT(ROW()-5,"000"),"")</f>
        <v/>
      </c>
      <c r="B49" s="16" t="n"/>
      <c r="C49" s="16" t="n"/>
      <c r="D49" s="16" t="n"/>
      <c r="E49" s="16" t="n"/>
      <c r="F49" s="16" t="n"/>
      <c r="G49" s="17" t="n"/>
      <c r="H49" s="17" t="n"/>
      <c r="I49" s="16" t="n"/>
      <c r="J49" s="15">
        <f>IF(AND(H49&lt;&gt;"",H49&lt;TODAY(),I49&lt;&gt;"Completed"),TODAY()-H49,0)</f>
        <v/>
      </c>
      <c r="K49" s="18" t="n"/>
      <c r="L49" s="16" t="n"/>
      <c r="M49" s="16" t="n"/>
      <c r="N49" s="16" t="n"/>
    </row>
    <row r="50">
      <c r="A50" s="15">
        <f>IF(B50&lt;&gt;"","REV-"&amp;TEXT(ROW()-5,"000"),"")</f>
        <v/>
      </c>
      <c r="B50" s="16" t="n"/>
      <c r="C50" s="16" t="n"/>
      <c r="D50" s="16" t="n"/>
      <c r="E50" s="16" t="n"/>
      <c r="F50" s="16" t="n"/>
      <c r="G50" s="17" t="n"/>
      <c r="H50" s="17" t="n"/>
      <c r="I50" s="16" t="n"/>
      <c r="J50" s="15">
        <f>IF(AND(H50&lt;&gt;"",H50&lt;TODAY(),I50&lt;&gt;"Completed"),TODAY()-H50,0)</f>
        <v/>
      </c>
      <c r="K50" s="18" t="n"/>
      <c r="L50" s="16" t="n"/>
      <c r="M50" s="16" t="n"/>
      <c r="N50" s="16" t="n"/>
    </row>
    <row r="51">
      <c r="A51" s="15">
        <f>IF(B51&lt;&gt;"","REV-"&amp;TEXT(ROW()-5,"000"),"")</f>
        <v/>
      </c>
      <c r="B51" s="16" t="n"/>
      <c r="C51" s="16" t="n"/>
      <c r="D51" s="16" t="n"/>
      <c r="E51" s="16" t="n"/>
      <c r="F51" s="16" t="n"/>
      <c r="G51" s="17" t="n"/>
      <c r="H51" s="17" t="n"/>
      <c r="I51" s="16" t="n"/>
      <c r="J51" s="15">
        <f>IF(AND(H51&lt;&gt;"",H51&lt;TODAY(),I51&lt;&gt;"Completed"),TODAY()-H51,0)</f>
        <v/>
      </c>
      <c r="K51" s="18" t="n"/>
      <c r="L51" s="16" t="n"/>
      <c r="M51" s="16" t="n"/>
      <c r="N51" s="16" t="n"/>
    </row>
    <row r="52">
      <c r="A52" s="15">
        <f>IF(B52&lt;&gt;"","REV-"&amp;TEXT(ROW()-5,"000"),"")</f>
        <v/>
      </c>
      <c r="B52" s="16" t="n"/>
      <c r="C52" s="16" t="n"/>
      <c r="D52" s="16" t="n"/>
      <c r="E52" s="16" t="n"/>
      <c r="F52" s="16" t="n"/>
      <c r="G52" s="17" t="n"/>
      <c r="H52" s="17" t="n"/>
      <c r="I52" s="16" t="n"/>
      <c r="J52" s="15">
        <f>IF(AND(H52&lt;&gt;"",H52&lt;TODAY(),I52&lt;&gt;"Completed"),TODAY()-H52,0)</f>
        <v/>
      </c>
      <c r="K52" s="18" t="n"/>
      <c r="L52" s="16" t="n"/>
      <c r="M52" s="16" t="n"/>
      <c r="N52" s="16" t="n"/>
    </row>
    <row r="53">
      <c r="A53" s="15">
        <f>IF(B53&lt;&gt;"","REV-"&amp;TEXT(ROW()-5,"000"),"")</f>
        <v/>
      </c>
      <c r="B53" s="16" t="n"/>
      <c r="C53" s="16" t="n"/>
      <c r="D53" s="16" t="n"/>
      <c r="E53" s="16" t="n"/>
      <c r="F53" s="16" t="n"/>
      <c r="G53" s="17" t="n"/>
      <c r="H53" s="17" t="n"/>
      <c r="I53" s="16" t="n"/>
      <c r="J53" s="15">
        <f>IF(AND(H53&lt;&gt;"",H53&lt;TODAY(),I53&lt;&gt;"Completed"),TODAY()-H53,0)</f>
        <v/>
      </c>
      <c r="K53" s="18" t="n"/>
      <c r="L53" s="16" t="n"/>
      <c r="M53" s="16" t="n"/>
      <c r="N53" s="16" t="n"/>
    </row>
    <row r="54">
      <c r="A54" s="15">
        <f>IF(B54&lt;&gt;"","REV-"&amp;TEXT(ROW()-5,"000"),"")</f>
        <v/>
      </c>
      <c r="B54" s="16" t="n"/>
      <c r="C54" s="16" t="n"/>
      <c r="D54" s="16" t="n"/>
      <c r="E54" s="16" t="n"/>
      <c r="F54" s="16" t="n"/>
      <c r="G54" s="17" t="n"/>
      <c r="H54" s="17" t="n"/>
      <c r="I54" s="16" t="n"/>
      <c r="J54" s="15">
        <f>IF(AND(H54&lt;&gt;"",H54&lt;TODAY(),I54&lt;&gt;"Completed"),TODAY()-H54,0)</f>
        <v/>
      </c>
      <c r="K54" s="18" t="n"/>
      <c r="L54" s="16" t="n"/>
      <c r="M54" s="16" t="n"/>
      <c r="N54" s="16" t="n"/>
    </row>
    <row r="55">
      <c r="A55" s="15">
        <f>IF(B55&lt;&gt;"","REV-"&amp;TEXT(ROW()-5,"000"),"")</f>
        <v/>
      </c>
      <c r="B55" s="16" t="n"/>
      <c r="C55" s="16" t="n"/>
      <c r="D55" s="16" t="n"/>
      <c r="E55" s="16" t="n"/>
      <c r="F55" s="16" t="n"/>
      <c r="G55" s="17" t="n"/>
      <c r="H55" s="17" t="n"/>
      <c r="I55" s="16" t="n"/>
      <c r="J55" s="15">
        <f>IF(AND(H55&lt;&gt;"",H55&lt;TODAY(),I55&lt;&gt;"Completed"),TODAY()-H55,0)</f>
        <v/>
      </c>
      <c r="K55" s="18" t="n"/>
      <c r="L55" s="16" t="n"/>
      <c r="M55" s="16" t="n"/>
      <c r="N55" s="16" t="n"/>
    </row>
  </sheetData>
  <mergeCells count="2">
    <mergeCell ref="A2:N2"/>
    <mergeCell ref="A1:N1"/>
  </mergeCells>
  <dataValidations count="3">
    <dataValidation sqref="B6:B55" showDropDown="0" showInputMessage="0" showErrorMessage="0" allowBlank="1" type="list">
      <formula1>"Security Event Review,Compliance Review,Administrative Review,Access Review,Error Review,Performance Review"</formula1>
    </dataValidation>
    <dataValidation sqref="D6:D55" showDropDown="0" showInputMessage="0" showErrorMessage="0" allowBlank="1" type="list">
      <formula1>"Real-time,Hourly,Daily,Weekly,Monthly,Quarterly,Annual,Ad-hoc"</formula1>
    </dataValidation>
    <dataValidation sqref="I6:I55" showDropDown="0" showInputMessage="0" showErrorMessage="0" allowBlank="1" type="list">
      <formula1>"On Schedule,Overdue,Completed,Deferred"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25" customWidth="1" min="5" max="5"/>
    <col width="4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40" customWidth="1" min="16" max="16"/>
  </cols>
  <sheetData>
    <row r="1" ht="35" customHeight="1">
      <c r="A1" s="11" t="inlineStr">
        <is>
          <t>ALERT MANAGEMENT</t>
        </is>
      </c>
    </row>
    <row r="2">
      <c r="A2" s="12" t="inlineStr">
        <is>
          <t>Assess alert configuration and effectiveness per ISMS-POL-A.8.15-S2.4.3</t>
        </is>
      </c>
    </row>
    <row r="4">
      <c r="A4" s="13" t="inlineStr">
        <is>
          <t>Alert ID</t>
        </is>
      </c>
      <c r="B4" s="13" t="inlineStr">
        <is>
          <t>Alert Name</t>
        </is>
      </c>
      <c r="C4" s="13" t="inlineStr">
        <is>
          <t>Alert Type</t>
        </is>
      </c>
      <c r="D4" s="13" t="inlineStr">
        <is>
          <t>Severity</t>
        </is>
      </c>
      <c r="E4" s="13" t="inlineStr">
        <is>
          <t>MITRE ATT&amp;CK Tactic</t>
        </is>
      </c>
      <c r="F4" s="13" t="inlineStr">
        <is>
          <t>Detection Logic</t>
        </is>
      </c>
      <c r="G4" s="13" t="inlineStr">
        <is>
          <t>Threshold</t>
        </is>
      </c>
      <c r="H4" s="13" t="inlineStr">
        <is>
          <t>Alerts/Month</t>
        </is>
      </c>
      <c r="I4" s="13" t="inlineStr">
        <is>
          <t>True Positives</t>
        </is>
      </c>
      <c r="J4" s="13" t="inlineStr">
        <is>
          <t>False Positives</t>
        </is>
      </c>
      <c r="K4" s="13" t="inlineStr">
        <is>
          <t>True Positive Rate %</t>
        </is>
      </c>
      <c r="L4" s="13" t="inlineStr">
        <is>
          <t>Tuning Required</t>
        </is>
      </c>
      <c r="M4" s="13" t="inlineStr">
        <is>
          <t>Playbook Exists</t>
        </is>
      </c>
      <c r="N4" s="13" t="inlineStr">
        <is>
          <t>Last Tuned</t>
        </is>
      </c>
      <c r="O4" s="13" t="inlineStr">
        <is>
          <t>Status</t>
        </is>
      </c>
      <c r="P4" s="13" t="inlineStr">
        <is>
          <t>Notes</t>
        </is>
      </c>
    </row>
    <row r="5">
      <c r="A5" s="14" t="inlineStr">
        <is>
          <t>ALT-001</t>
        </is>
      </c>
      <c r="B5" s="14" t="inlineStr">
        <is>
          <t>Multiple Failed Logins</t>
        </is>
      </c>
      <c r="C5" s="14" t="inlineStr">
        <is>
          <t>Authentication</t>
        </is>
      </c>
      <c r="D5" s="14" t="inlineStr">
        <is>
          <t>High</t>
        </is>
      </c>
      <c r="E5" s="14" t="inlineStr">
        <is>
          <t>TA0006 - Credential Access</t>
        </is>
      </c>
      <c r="F5" s="14" t="inlineStr">
        <is>
          <t>5+ failed logins in 5 minutes</t>
        </is>
      </c>
      <c r="G5" s="14" t="inlineStr">
        <is>
          <t>&gt;= 5 attempts</t>
        </is>
      </c>
      <c r="H5" s="14" t="inlineStr">
        <is>
          <t>45</t>
        </is>
      </c>
      <c r="I5" s="14" t="inlineStr">
        <is>
          <t>38</t>
        </is>
      </c>
      <c r="J5" s="14" t="inlineStr">
        <is>
          <t>7</t>
        </is>
      </c>
      <c r="K5" s="14" t="inlineStr">
        <is>
          <t>84.4%</t>
        </is>
      </c>
      <c r="L5" s="14" t="inlineStr">
        <is>
          <t>No</t>
        </is>
      </c>
      <c r="M5" s="14" t="inlineStr">
        <is>
          <t>Yes</t>
        </is>
      </c>
      <c r="N5" s="14" t="inlineStr">
        <is>
          <t>15.11.2025</t>
        </is>
      </c>
      <c r="O5" s="14" t="inlineStr">
        <is>
          <t>Active</t>
        </is>
      </c>
      <c r="P5" s="14" t="inlineStr">
        <is>
          <t>Well-tuned, low FP rate</t>
        </is>
      </c>
    </row>
    <row r="6">
      <c r="A6" s="15">
        <f>IF(B6&lt;&gt;"","ALT-"&amp;TEXT(ROW()-5,"000"),"")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9">
        <f>IF(AND(I6&lt;&gt;"",J6&lt;&gt;""),I6/(I6+J6),"")</f>
        <v/>
      </c>
      <c r="L6" s="16" t="n"/>
      <c r="M6" s="16" t="n"/>
      <c r="N6" s="17" t="n"/>
      <c r="O6" s="16" t="n"/>
      <c r="P6" s="16" t="n"/>
    </row>
    <row r="7">
      <c r="A7" s="15">
        <f>IF(B7&lt;&gt;"","ALT-"&amp;TEXT(ROW()-5,"000"),"")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9">
        <f>IF(AND(I7&lt;&gt;"",J7&lt;&gt;""),I7/(I7+J7),"")</f>
        <v/>
      </c>
      <c r="L7" s="16" t="n"/>
      <c r="M7" s="16" t="n"/>
      <c r="N7" s="17" t="n"/>
      <c r="O7" s="16" t="n"/>
      <c r="P7" s="16" t="n"/>
    </row>
    <row r="8">
      <c r="A8" s="15">
        <f>IF(B8&lt;&gt;"","ALT-"&amp;TEXT(ROW()-5,"000"),"")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9">
        <f>IF(AND(I8&lt;&gt;"",J8&lt;&gt;""),I8/(I8+J8),"")</f>
        <v/>
      </c>
      <c r="L8" s="16" t="n"/>
      <c r="M8" s="16" t="n"/>
      <c r="N8" s="17" t="n"/>
      <c r="O8" s="16" t="n"/>
      <c r="P8" s="16" t="n"/>
    </row>
    <row r="9">
      <c r="A9" s="15">
        <f>IF(B9&lt;&gt;"","ALT-"&amp;TEXT(ROW()-5,"000"),"")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9">
        <f>IF(AND(I9&lt;&gt;"",J9&lt;&gt;""),I9/(I9+J9),"")</f>
        <v/>
      </c>
      <c r="L9" s="16" t="n"/>
      <c r="M9" s="16" t="n"/>
      <c r="N9" s="17" t="n"/>
      <c r="O9" s="16" t="n"/>
      <c r="P9" s="16" t="n"/>
    </row>
    <row r="10">
      <c r="A10" s="15">
        <f>IF(B10&lt;&gt;"","ALT-"&amp;TEXT(ROW()-5,"000"),"")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9">
        <f>IF(AND(I10&lt;&gt;"",J10&lt;&gt;""),I10/(I10+J10),"")</f>
        <v/>
      </c>
      <c r="L10" s="16" t="n"/>
      <c r="M10" s="16" t="n"/>
      <c r="N10" s="17" t="n"/>
      <c r="O10" s="16" t="n"/>
      <c r="P10" s="16" t="n"/>
    </row>
    <row r="11">
      <c r="A11" s="15">
        <f>IF(B11&lt;&gt;"","ALT-"&amp;TEXT(ROW()-5,"000"),"")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9">
        <f>IF(AND(I11&lt;&gt;"",J11&lt;&gt;""),I11/(I11+J11),"")</f>
        <v/>
      </c>
      <c r="L11" s="16" t="n"/>
      <c r="M11" s="16" t="n"/>
      <c r="N11" s="17" t="n"/>
      <c r="O11" s="16" t="n"/>
      <c r="P11" s="16" t="n"/>
    </row>
    <row r="12">
      <c r="A12" s="15">
        <f>IF(B12&lt;&gt;"","ALT-"&amp;TEXT(ROW()-5,"000"),"")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9">
        <f>IF(AND(I12&lt;&gt;"",J12&lt;&gt;""),I12/(I12+J12),"")</f>
        <v/>
      </c>
      <c r="L12" s="16" t="n"/>
      <c r="M12" s="16" t="n"/>
      <c r="N12" s="17" t="n"/>
      <c r="O12" s="16" t="n"/>
      <c r="P12" s="16" t="n"/>
    </row>
    <row r="13">
      <c r="A13" s="15">
        <f>IF(B13&lt;&gt;"","ALT-"&amp;TEXT(ROW()-5,"000"),"")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9">
        <f>IF(AND(I13&lt;&gt;"",J13&lt;&gt;""),I13/(I13+J13),"")</f>
        <v/>
      </c>
      <c r="L13" s="16" t="n"/>
      <c r="M13" s="16" t="n"/>
      <c r="N13" s="17" t="n"/>
      <c r="O13" s="16" t="n"/>
      <c r="P13" s="16" t="n"/>
    </row>
    <row r="14">
      <c r="A14" s="15">
        <f>IF(B14&lt;&gt;"","ALT-"&amp;TEXT(ROW()-5,"000"),"")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9">
        <f>IF(AND(I14&lt;&gt;"",J14&lt;&gt;""),I14/(I14+J14),"")</f>
        <v/>
      </c>
      <c r="L14" s="16" t="n"/>
      <c r="M14" s="16" t="n"/>
      <c r="N14" s="17" t="n"/>
      <c r="O14" s="16" t="n"/>
      <c r="P14" s="16" t="n"/>
    </row>
    <row r="15">
      <c r="A15" s="15">
        <f>IF(B15&lt;&gt;"","ALT-"&amp;TEXT(ROW()-5,"000"),"")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9">
        <f>IF(AND(I15&lt;&gt;"",J15&lt;&gt;""),I15/(I15+J15),"")</f>
        <v/>
      </c>
      <c r="L15" s="16" t="n"/>
      <c r="M15" s="16" t="n"/>
      <c r="N15" s="17" t="n"/>
      <c r="O15" s="16" t="n"/>
      <c r="P15" s="16" t="n"/>
    </row>
    <row r="16">
      <c r="A16" s="15">
        <f>IF(B16&lt;&gt;"","ALT-"&amp;TEXT(ROW()-5,"000"),"")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9">
        <f>IF(AND(I16&lt;&gt;"",J16&lt;&gt;""),I16/(I16+J16),"")</f>
        <v/>
      </c>
      <c r="L16" s="16" t="n"/>
      <c r="M16" s="16" t="n"/>
      <c r="N16" s="17" t="n"/>
      <c r="O16" s="16" t="n"/>
      <c r="P16" s="16" t="n"/>
    </row>
    <row r="17">
      <c r="A17" s="15">
        <f>IF(B17&lt;&gt;"","ALT-"&amp;TEXT(ROW()-5,"000"),"")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9">
        <f>IF(AND(I17&lt;&gt;"",J17&lt;&gt;""),I17/(I17+J17),"")</f>
        <v/>
      </c>
      <c r="L17" s="16" t="n"/>
      <c r="M17" s="16" t="n"/>
      <c r="N17" s="17" t="n"/>
      <c r="O17" s="16" t="n"/>
      <c r="P17" s="16" t="n"/>
    </row>
    <row r="18">
      <c r="A18" s="15">
        <f>IF(B18&lt;&gt;"","ALT-"&amp;TEXT(ROW()-5,"000"),"")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9">
        <f>IF(AND(I18&lt;&gt;"",J18&lt;&gt;""),I18/(I18+J18),"")</f>
        <v/>
      </c>
      <c r="L18" s="16" t="n"/>
      <c r="M18" s="16" t="n"/>
      <c r="N18" s="17" t="n"/>
      <c r="O18" s="16" t="n"/>
      <c r="P18" s="16" t="n"/>
    </row>
    <row r="19">
      <c r="A19" s="15">
        <f>IF(B19&lt;&gt;"","ALT-"&amp;TEXT(ROW()-5,"000"),"")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9">
        <f>IF(AND(I19&lt;&gt;"",J19&lt;&gt;""),I19/(I19+J19),"")</f>
        <v/>
      </c>
      <c r="L19" s="16" t="n"/>
      <c r="M19" s="16" t="n"/>
      <c r="N19" s="17" t="n"/>
      <c r="O19" s="16" t="n"/>
      <c r="P19" s="16" t="n"/>
    </row>
    <row r="20">
      <c r="A20" s="15">
        <f>IF(B20&lt;&gt;"","ALT-"&amp;TEXT(ROW()-5,"000"),"")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9">
        <f>IF(AND(I20&lt;&gt;"",J20&lt;&gt;""),I20/(I20+J20),"")</f>
        <v/>
      </c>
      <c r="L20" s="16" t="n"/>
      <c r="M20" s="16" t="n"/>
      <c r="N20" s="17" t="n"/>
      <c r="O20" s="16" t="n"/>
      <c r="P20" s="16" t="n"/>
    </row>
    <row r="21">
      <c r="A21" s="15">
        <f>IF(B21&lt;&gt;"","ALT-"&amp;TEXT(ROW()-5,"000"),"")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9">
        <f>IF(AND(I21&lt;&gt;"",J21&lt;&gt;""),I21/(I21+J21),"")</f>
        <v/>
      </c>
      <c r="L21" s="16" t="n"/>
      <c r="M21" s="16" t="n"/>
      <c r="N21" s="17" t="n"/>
      <c r="O21" s="16" t="n"/>
      <c r="P21" s="16" t="n"/>
    </row>
    <row r="22">
      <c r="A22" s="15">
        <f>IF(B22&lt;&gt;"","ALT-"&amp;TEXT(ROW()-5,"000"),"")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9">
        <f>IF(AND(I22&lt;&gt;"",J22&lt;&gt;""),I22/(I22+J22),"")</f>
        <v/>
      </c>
      <c r="L22" s="16" t="n"/>
      <c r="M22" s="16" t="n"/>
      <c r="N22" s="17" t="n"/>
      <c r="O22" s="16" t="n"/>
      <c r="P22" s="16" t="n"/>
    </row>
    <row r="23">
      <c r="A23" s="15">
        <f>IF(B23&lt;&gt;"","ALT-"&amp;TEXT(ROW()-5,"000"),"")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9">
        <f>IF(AND(I23&lt;&gt;"",J23&lt;&gt;""),I23/(I23+J23),"")</f>
        <v/>
      </c>
      <c r="L23" s="16" t="n"/>
      <c r="M23" s="16" t="n"/>
      <c r="N23" s="17" t="n"/>
      <c r="O23" s="16" t="n"/>
      <c r="P23" s="16" t="n"/>
    </row>
    <row r="24">
      <c r="A24" s="15">
        <f>IF(B24&lt;&gt;"","ALT-"&amp;TEXT(ROW()-5,"000"),"")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9">
        <f>IF(AND(I24&lt;&gt;"",J24&lt;&gt;""),I24/(I24+J24),"")</f>
        <v/>
      </c>
      <c r="L24" s="16" t="n"/>
      <c r="M24" s="16" t="n"/>
      <c r="N24" s="17" t="n"/>
      <c r="O24" s="16" t="n"/>
      <c r="P24" s="16" t="n"/>
    </row>
    <row r="25">
      <c r="A25" s="15">
        <f>IF(B25&lt;&gt;"","ALT-"&amp;TEXT(ROW()-5,"000"),"")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9">
        <f>IF(AND(I25&lt;&gt;"",J25&lt;&gt;""),I25/(I25+J25),"")</f>
        <v/>
      </c>
      <c r="L25" s="16" t="n"/>
      <c r="M25" s="16" t="n"/>
      <c r="N25" s="17" t="n"/>
      <c r="O25" s="16" t="n"/>
      <c r="P25" s="16" t="n"/>
    </row>
    <row r="26">
      <c r="A26" s="15">
        <f>IF(B26&lt;&gt;"","ALT-"&amp;TEXT(ROW()-5,"000"),"")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9">
        <f>IF(AND(I26&lt;&gt;"",J26&lt;&gt;""),I26/(I26+J26),"")</f>
        <v/>
      </c>
      <c r="L26" s="16" t="n"/>
      <c r="M26" s="16" t="n"/>
      <c r="N26" s="17" t="n"/>
      <c r="O26" s="16" t="n"/>
      <c r="P26" s="16" t="n"/>
    </row>
    <row r="27">
      <c r="A27" s="15">
        <f>IF(B27&lt;&gt;"","ALT-"&amp;TEXT(ROW()-5,"000"),"")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9">
        <f>IF(AND(I27&lt;&gt;"",J27&lt;&gt;""),I27/(I27+J27),"")</f>
        <v/>
      </c>
      <c r="L27" s="16" t="n"/>
      <c r="M27" s="16" t="n"/>
      <c r="N27" s="17" t="n"/>
      <c r="O27" s="16" t="n"/>
      <c r="P27" s="16" t="n"/>
    </row>
    <row r="28">
      <c r="A28" s="15">
        <f>IF(B28&lt;&gt;"","ALT-"&amp;TEXT(ROW()-5,"000"),"")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9">
        <f>IF(AND(I28&lt;&gt;"",J28&lt;&gt;""),I28/(I28+J28),"")</f>
        <v/>
      </c>
      <c r="L28" s="16" t="n"/>
      <c r="M28" s="16" t="n"/>
      <c r="N28" s="17" t="n"/>
      <c r="O28" s="16" t="n"/>
      <c r="P28" s="16" t="n"/>
    </row>
    <row r="29">
      <c r="A29" s="15">
        <f>IF(B29&lt;&gt;"","ALT-"&amp;TEXT(ROW()-5,"000"),"")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9">
        <f>IF(AND(I29&lt;&gt;"",J29&lt;&gt;""),I29/(I29+J29),"")</f>
        <v/>
      </c>
      <c r="L29" s="16" t="n"/>
      <c r="M29" s="16" t="n"/>
      <c r="N29" s="17" t="n"/>
      <c r="O29" s="16" t="n"/>
      <c r="P29" s="16" t="n"/>
    </row>
    <row r="30">
      <c r="A30" s="15">
        <f>IF(B30&lt;&gt;"","ALT-"&amp;TEXT(ROW()-5,"000"),"")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9">
        <f>IF(AND(I30&lt;&gt;"",J30&lt;&gt;""),I30/(I30+J30),"")</f>
        <v/>
      </c>
      <c r="L30" s="16" t="n"/>
      <c r="M30" s="16" t="n"/>
      <c r="N30" s="17" t="n"/>
      <c r="O30" s="16" t="n"/>
      <c r="P30" s="16" t="n"/>
    </row>
    <row r="31">
      <c r="A31" s="15">
        <f>IF(B31&lt;&gt;"","ALT-"&amp;TEXT(ROW()-5,"000"),"")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9">
        <f>IF(AND(I31&lt;&gt;"",J31&lt;&gt;""),I31/(I31+J31),"")</f>
        <v/>
      </c>
      <c r="L31" s="16" t="n"/>
      <c r="M31" s="16" t="n"/>
      <c r="N31" s="17" t="n"/>
      <c r="O31" s="16" t="n"/>
      <c r="P31" s="16" t="n"/>
    </row>
    <row r="32">
      <c r="A32" s="15">
        <f>IF(B32&lt;&gt;"","ALT-"&amp;TEXT(ROW()-5,"000"),"")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9">
        <f>IF(AND(I32&lt;&gt;"",J32&lt;&gt;""),I32/(I32+J32),"")</f>
        <v/>
      </c>
      <c r="L32" s="16" t="n"/>
      <c r="M32" s="16" t="n"/>
      <c r="N32" s="17" t="n"/>
      <c r="O32" s="16" t="n"/>
      <c r="P32" s="16" t="n"/>
    </row>
    <row r="33">
      <c r="A33" s="15">
        <f>IF(B33&lt;&gt;"","ALT-"&amp;TEXT(ROW()-5,"000"),"")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9">
        <f>IF(AND(I33&lt;&gt;"",J33&lt;&gt;""),I33/(I33+J33),"")</f>
        <v/>
      </c>
      <c r="L33" s="16" t="n"/>
      <c r="M33" s="16" t="n"/>
      <c r="N33" s="17" t="n"/>
      <c r="O33" s="16" t="n"/>
      <c r="P33" s="16" t="n"/>
    </row>
    <row r="34">
      <c r="A34" s="15">
        <f>IF(B34&lt;&gt;"","ALT-"&amp;TEXT(ROW()-5,"000"),"")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9">
        <f>IF(AND(I34&lt;&gt;"",J34&lt;&gt;""),I34/(I34+J34),"")</f>
        <v/>
      </c>
      <c r="L34" s="16" t="n"/>
      <c r="M34" s="16" t="n"/>
      <c r="N34" s="17" t="n"/>
      <c r="O34" s="16" t="n"/>
      <c r="P34" s="16" t="n"/>
    </row>
    <row r="35">
      <c r="A35" s="15">
        <f>IF(B35&lt;&gt;"","ALT-"&amp;TEXT(ROW()-5,"000"),"")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9">
        <f>IF(AND(I35&lt;&gt;"",J35&lt;&gt;""),I35/(I35+J35),"")</f>
        <v/>
      </c>
      <c r="L35" s="16" t="n"/>
      <c r="M35" s="16" t="n"/>
      <c r="N35" s="17" t="n"/>
      <c r="O35" s="16" t="n"/>
      <c r="P35" s="16" t="n"/>
    </row>
    <row r="36">
      <c r="A36" s="15">
        <f>IF(B36&lt;&gt;"","ALT-"&amp;TEXT(ROW()-5,"000"),"")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9">
        <f>IF(AND(I36&lt;&gt;"",J36&lt;&gt;""),I36/(I36+J36),"")</f>
        <v/>
      </c>
      <c r="L36" s="16" t="n"/>
      <c r="M36" s="16" t="n"/>
      <c r="N36" s="17" t="n"/>
      <c r="O36" s="16" t="n"/>
      <c r="P36" s="16" t="n"/>
    </row>
    <row r="37">
      <c r="A37" s="15">
        <f>IF(B37&lt;&gt;"","ALT-"&amp;TEXT(ROW()-5,"000"),"")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9">
        <f>IF(AND(I37&lt;&gt;"",J37&lt;&gt;""),I37/(I37+J37),"")</f>
        <v/>
      </c>
      <c r="L37" s="16" t="n"/>
      <c r="M37" s="16" t="n"/>
      <c r="N37" s="17" t="n"/>
      <c r="O37" s="16" t="n"/>
      <c r="P37" s="16" t="n"/>
    </row>
    <row r="38">
      <c r="A38" s="15">
        <f>IF(B38&lt;&gt;"","ALT-"&amp;TEXT(ROW()-5,"000"),"")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9">
        <f>IF(AND(I38&lt;&gt;"",J38&lt;&gt;""),I38/(I38+J38),"")</f>
        <v/>
      </c>
      <c r="L38" s="16" t="n"/>
      <c r="M38" s="16" t="n"/>
      <c r="N38" s="17" t="n"/>
      <c r="O38" s="16" t="n"/>
      <c r="P38" s="16" t="n"/>
    </row>
    <row r="39">
      <c r="A39" s="15">
        <f>IF(B39&lt;&gt;"","ALT-"&amp;TEXT(ROW()-5,"000"),"")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9">
        <f>IF(AND(I39&lt;&gt;"",J39&lt;&gt;""),I39/(I39+J39),"")</f>
        <v/>
      </c>
      <c r="L39" s="16" t="n"/>
      <c r="M39" s="16" t="n"/>
      <c r="N39" s="17" t="n"/>
      <c r="O39" s="16" t="n"/>
      <c r="P39" s="16" t="n"/>
    </row>
    <row r="40">
      <c r="A40" s="15">
        <f>IF(B40&lt;&gt;"","ALT-"&amp;TEXT(ROW()-5,"000"),"")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9">
        <f>IF(AND(I40&lt;&gt;"",J40&lt;&gt;""),I40/(I40+J40),"")</f>
        <v/>
      </c>
      <c r="L40" s="16" t="n"/>
      <c r="M40" s="16" t="n"/>
      <c r="N40" s="17" t="n"/>
      <c r="O40" s="16" t="n"/>
      <c r="P40" s="16" t="n"/>
    </row>
    <row r="41">
      <c r="A41" s="15">
        <f>IF(B41&lt;&gt;"","ALT-"&amp;TEXT(ROW()-5,"000"),"")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9">
        <f>IF(AND(I41&lt;&gt;"",J41&lt;&gt;""),I41/(I41+J41),"")</f>
        <v/>
      </c>
      <c r="L41" s="16" t="n"/>
      <c r="M41" s="16" t="n"/>
      <c r="N41" s="17" t="n"/>
      <c r="O41" s="16" t="n"/>
      <c r="P41" s="16" t="n"/>
    </row>
    <row r="42">
      <c r="A42" s="15">
        <f>IF(B42&lt;&gt;"","ALT-"&amp;TEXT(ROW()-5,"000"),"")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9">
        <f>IF(AND(I42&lt;&gt;"",J42&lt;&gt;""),I42/(I42+J42),"")</f>
        <v/>
      </c>
      <c r="L42" s="16" t="n"/>
      <c r="M42" s="16" t="n"/>
      <c r="N42" s="17" t="n"/>
      <c r="O42" s="16" t="n"/>
      <c r="P42" s="16" t="n"/>
    </row>
    <row r="43">
      <c r="A43" s="15">
        <f>IF(B43&lt;&gt;"","ALT-"&amp;TEXT(ROW()-5,"000"),"")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9">
        <f>IF(AND(I43&lt;&gt;"",J43&lt;&gt;""),I43/(I43+J43),"")</f>
        <v/>
      </c>
      <c r="L43" s="16" t="n"/>
      <c r="M43" s="16" t="n"/>
      <c r="N43" s="17" t="n"/>
      <c r="O43" s="16" t="n"/>
      <c r="P43" s="16" t="n"/>
    </row>
    <row r="44">
      <c r="A44" s="15">
        <f>IF(B44&lt;&gt;"","ALT-"&amp;TEXT(ROW()-5,"000"),"")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9">
        <f>IF(AND(I44&lt;&gt;"",J44&lt;&gt;""),I44/(I44+J44),"")</f>
        <v/>
      </c>
      <c r="L44" s="16" t="n"/>
      <c r="M44" s="16" t="n"/>
      <c r="N44" s="17" t="n"/>
      <c r="O44" s="16" t="n"/>
      <c r="P44" s="16" t="n"/>
    </row>
    <row r="45">
      <c r="A45" s="15">
        <f>IF(B45&lt;&gt;"","ALT-"&amp;TEXT(ROW()-5,"000"),"")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9">
        <f>IF(AND(I45&lt;&gt;"",J45&lt;&gt;""),I45/(I45+J45),"")</f>
        <v/>
      </c>
      <c r="L45" s="16" t="n"/>
      <c r="M45" s="16" t="n"/>
      <c r="N45" s="17" t="n"/>
      <c r="O45" s="16" t="n"/>
      <c r="P45" s="16" t="n"/>
    </row>
    <row r="46">
      <c r="A46" s="15">
        <f>IF(B46&lt;&gt;"","ALT-"&amp;TEXT(ROW()-5,"000"),"")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9">
        <f>IF(AND(I46&lt;&gt;"",J46&lt;&gt;""),I46/(I46+J46),"")</f>
        <v/>
      </c>
      <c r="L46" s="16" t="n"/>
      <c r="M46" s="16" t="n"/>
      <c r="N46" s="17" t="n"/>
      <c r="O46" s="16" t="n"/>
      <c r="P46" s="16" t="n"/>
    </row>
    <row r="47">
      <c r="A47" s="15">
        <f>IF(B47&lt;&gt;"","ALT-"&amp;TEXT(ROW()-5,"000"),"")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9">
        <f>IF(AND(I47&lt;&gt;"",J47&lt;&gt;""),I47/(I47+J47),"")</f>
        <v/>
      </c>
      <c r="L47" s="16" t="n"/>
      <c r="M47" s="16" t="n"/>
      <c r="N47" s="17" t="n"/>
      <c r="O47" s="16" t="n"/>
      <c r="P47" s="16" t="n"/>
    </row>
    <row r="48">
      <c r="A48" s="15">
        <f>IF(B48&lt;&gt;"","ALT-"&amp;TEXT(ROW()-5,"000"),"")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9">
        <f>IF(AND(I48&lt;&gt;"",J48&lt;&gt;""),I48/(I48+J48),"")</f>
        <v/>
      </c>
      <c r="L48" s="16" t="n"/>
      <c r="M48" s="16" t="n"/>
      <c r="N48" s="17" t="n"/>
      <c r="O48" s="16" t="n"/>
      <c r="P48" s="16" t="n"/>
    </row>
    <row r="49">
      <c r="A49" s="15">
        <f>IF(B49&lt;&gt;"","ALT-"&amp;TEXT(ROW()-5,"000"),"")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9">
        <f>IF(AND(I49&lt;&gt;"",J49&lt;&gt;""),I49/(I49+J49),"")</f>
        <v/>
      </c>
      <c r="L49" s="16" t="n"/>
      <c r="M49" s="16" t="n"/>
      <c r="N49" s="17" t="n"/>
      <c r="O49" s="16" t="n"/>
      <c r="P49" s="16" t="n"/>
    </row>
    <row r="50">
      <c r="A50" s="15">
        <f>IF(B50&lt;&gt;"","ALT-"&amp;TEXT(ROW()-5,"000"),"")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9">
        <f>IF(AND(I50&lt;&gt;"",J50&lt;&gt;""),I50/(I50+J50),"")</f>
        <v/>
      </c>
      <c r="L50" s="16" t="n"/>
      <c r="M50" s="16" t="n"/>
      <c r="N50" s="17" t="n"/>
      <c r="O50" s="16" t="n"/>
      <c r="P50" s="16" t="n"/>
    </row>
    <row r="51">
      <c r="A51" s="15">
        <f>IF(B51&lt;&gt;"","ALT-"&amp;TEXT(ROW()-5,"000"),"")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9">
        <f>IF(AND(I51&lt;&gt;"",J51&lt;&gt;""),I51/(I51+J51),"")</f>
        <v/>
      </c>
      <c r="L51" s="16" t="n"/>
      <c r="M51" s="16" t="n"/>
      <c r="N51" s="17" t="n"/>
      <c r="O51" s="16" t="n"/>
      <c r="P51" s="16" t="n"/>
    </row>
    <row r="52">
      <c r="A52" s="15">
        <f>IF(B52&lt;&gt;"","ALT-"&amp;TEXT(ROW()-5,"000"),"")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9">
        <f>IF(AND(I52&lt;&gt;"",J52&lt;&gt;""),I52/(I52+J52),"")</f>
        <v/>
      </c>
      <c r="L52" s="16" t="n"/>
      <c r="M52" s="16" t="n"/>
      <c r="N52" s="17" t="n"/>
      <c r="O52" s="16" t="n"/>
      <c r="P52" s="16" t="n"/>
    </row>
    <row r="53">
      <c r="A53" s="15">
        <f>IF(B53&lt;&gt;"","ALT-"&amp;TEXT(ROW()-5,"000"),"")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9">
        <f>IF(AND(I53&lt;&gt;"",J53&lt;&gt;""),I53/(I53+J53),"")</f>
        <v/>
      </c>
      <c r="L53" s="16" t="n"/>
      <c r="M53" s="16" t="n"/>
      <c r="N53" s="17" t="n"/>
      <c r="O53" s="16" t="n"/>
      <c r="P53" s="16" t="n"/>
    </row>
    <row r="54">
      <c r="A54" s="15">
        <f>IF(B54&lt;&gt;"","ALT-"&amp;TEXT(ROW()-5,"000"),"")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9">
        <f>IF(AND(I54&lt;&gt;"",J54&lt;&gt;""),I54/(I54+J54),"")</f>
        <v/>
      </c>
      <c r="L54" s="16" t="n"/>
      <c r="M54" s="16" t="n"/>
      <c r="N54" s="17" t="n"/>
      <c r="O54" s="16" t="n"/>
      <c r="P54" s="16" t="n"/>
    </row>
    <row r="55">
      <c r="A55" s="15">
        <f>IF(B55&lt;&gt;"","ALT-"&amp;TEXT(ROW()-5,"000"),"")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9">
        <f>IF(AND(I55&lt;&gt;"",J55&lt;&gt;""),I55/(I55+J55),"")</f>
        <v/>
      </c>
      <c r="L55" s="16" t="n"/>
      <c r="M55" s="16" t="n"/>
      <c r="N55" s="17" t="n"/>
      <c r="O55" s="16" t="n"/>
      <c r="P55" s="16" t="n"/>
    </row>
  </sheetData>
  <mergeCells count="2">
    <mergeCell ref="A1:P1"/>
    <mergeCell ref="A2:P2"/>
  </mergeCells>
  <conditionalFormatting sqref="K6:K55">
    <cfRule type="cellIs" priority="1" operator="greaterThanOrEqual" dxfId="0">
      <formula>0.7</formula>
    </cfRule>
    <cfRule type="cellIs" priority="2" operator="between" dxfId="1">
      <formula>0.5</formula>
      <formula>0.69</formula>
    </cfRule>
    <cfRule type="cellIs" priority="3" operator="lessThan" dxfId="2">
      <formula>0.5</formula>
    </cfRule>
  </conditionalFormatting>
  <dataValidations count="4">
    <dataValidation sqref="C6:C55" showDropDown="0" showInputMessage="0" showErrorMessage="0" allowBlank="1" type="list">
      <formula1>"Authentication,Authorisation,Malware,Network,Data Exfiltration,Lateral Movement,Privilege Escalation,Reconnaissance,Other"</formula1>
    </dataValidation>
    <dataValidation sqref="D6:D55" showDropDown="0" showInputMessage="0" showErrorMessage="0" allowBlank="1" type="list">
      <formula1>"Critical,High,Medium,Low,Informational"</formula1>
    </dataValidation>
    <dataValidation sqref="L6:L55 M6:M55" showDropDown="0" showInputMessage="0" showErrorMessage="0" allowBlank="1" type="list">
      <formula1>"Yes,No"</formula1>
    </dataValidation>
    <dataValidation sqref="O6:O55" showDropDown="0" showInputMessage="0" showErrorMessage="0" allowBlank="1" type="list">
      <formula1>"Active,Disabled,Testing,Deprecated"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15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 ht="35" customHeight="1">
      <c r="A1" s="11" t="inlineStr">
        <is>
          <t>INVESTIGATION WORKFLOW</t>
        </is>
      </c>
    </row>
    <row r="2">
      <c r="A2" s="12" t="inlineStr">
        <is>
          <t>Document investigation procedures and incident handling per ISMS-POL-A.8.15-S2.4.4</t>
        </is>
      </c>
    </row>
    <row r="4">
      <c r="A4" s="13" t="inlineStr">
        <is>
          <t>Incident ID</t>
        </is>
      </c>
      <c r="B4" s="13" t="inlineStr">
        <is>
          <t>Detection Date</t>
        </is>
      </c>
      <c r="C4" s="13" t="inlineStr">
        <is>
          <t>Alert Source</t>
        </is>
      </c>
      <c r="D4" s="13" t="inlineStr">
        <is>
          <t>Severity</t>
        </is>
      </c>
      <c r="E4" s="13" t="inlineStr">
        <is>
          <t>Incident Type</t>
        </is>
      </c>
      <c r="F4" s="13" t="inlineStr">
        <is>
          <t>Status</t>
        </is>
      </c>
      <c r="G4" s="13" t="inlineStr">
        <is>
          <t>Assigned To</t>
        </is>
      </c>
      <c r="H4" s="13" t="inlineStr">
        <is>
          <t>MTTD (hours)</t>
        </is>
      </c>
      <c r="I4" s="13" t="inlineStr">
        <is>
          <t>MTTR (hours)</t>
        </is>
      </c>
      <c r="J4" s="13" t="inlineStr">
        <is>
          <t>Root Cause</t>
        </is>
      </c>
      <c r="K4" s="13" t="inlineStr">
        <is>
          <t>Actions Taken</t>
        </is>
      </c>
      <c r="L4" s="13" t="inlineStr">
        <is>
          <t>Lessons Learned</t>
        </is>
      </c>
      <c r="M4" s="13" t="inlineStr">
        <is>
          <t>Notes</t>
        </is>
      </c>
    </row>
    <row r="5">
      <c r="A5" s="14" t="inlineStr">
        <is>
          <t>INC-2026-001</t>
        </is>
      </c>
      <c r="B5" s="14" t="inlineStr">
        <is>
          <t>05.01.2026</t>
        </is>
      </c>
      <c r="C5" s="14" t="inlineStr">
        <is>
          <t>ALT-001 (Multiple Failed Logins)</t>
        </is>
      </c>
      <c r="D5" s="14" t="inlineStr">
        <is>
          <t>High</t>
        </is>
      </c>
      <c r="E5" s="14" t="inlineStr">
        <is>
          <t>Brute Force Attack</t>
        </is>
      </c>
      <c r="F5" s="14" t="inlineStr">
        <is>
          <t>Resolved</t>
        </is>
      </c>
      <c r="G5" s="14" t="inlineStr">
        <is>
          <t>SOC Analyst - Jane Smith</t>
        </is>
      </c>
      <c r="H5" s="14" t="inlineStr">
        <is>
          <t>0.5</t>
        </is>
      </c>
      <c r="I5" s="14" t="inlineStr">
        <is>
          <t>2.0</t>
        </is>
      </c>
      <c r="J5" s="14" t="inlineStr">
        <is>
          <t>Automated brute force from compromised botnet</t>
        </is>
      </c>
      <c r="K5" s="14" t="inlineStr">
        <is>
          <t>Blocked source IPs, forced password reset</t>
        </is>
      </c>
      <c r="L5" s="14" t="inlineStr">
        <is>
          <t>Consider rate limiting at firewall</t>
        </is>
      </c>
      <c r="M5" s="14" t="inlineStr">
        <is>
          <t>Customer notified, no data breach</t>
        </is>
      </c>
    </row>
    <row r="6">
      <c r="A6" s="15">
        <f>IF(B6&lt;&gt;"","INC-2026-"&amp;TEXT(ROW()-5,"000"),"")</f>
        <v/>
      </c>
      <c r="B6" s="20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5">
        <f>IF(B7&lt;&gt;"","INC-2026-"&amp;TEXT(ROW()-5,"000"),"")</f>
        <v/>
      </c>
      <c r="B7" s="20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5">
        <f>IF(B8&lt;&gt;"","INC-2026-"&amp;TEXT(ROW()-5,"000"),"")</f>
        <v/>
      </c>
      <c r="B8" s="20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5">
        <f>IF(B9&lt;&gt;"","INC-2026-"&amp;TEXT(ROW()-5,"000"),"")</f>
        <v/>
      </c>
      <c r="B9" s="20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5">
        <f>IF(B10&lt;&gt;"","INC-2026-"&amp;TEXT(ROW()-5,"000"),"")</f>
        <v/>
      </c>
      <c r="B10" s="20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5">
        <f>IF(B11&lt;&gt;"","INC-2026-"&amp;TEXT(ROW()-5,"000"),"")</f>
        <v/>
      </c>
      <c r="B11" s="20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15">
        <f>IF(B12&lt;&gt;"","INC-2026-"&amp;TEXT(ROW()-5,"000"),"")</f>
        <v/>
      </c>
      <c r="B12" s="20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5">
        <f>IF(B13&lt;&gt;"","INC-2026-"&amp;TEXT(ROW()-5,"000"),"")</f>
        <v/>
      </c>
      <c r="B13" s="20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</row>
    <row r="14">
      <c r="A14" s="15">
        <f>IF(B14&lt;&gt;"","INC-2026-"&amp;TEXT(ROW()-5,"000"),"")</f>
        <v/>
      </c>
      <c r="B14" s="20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5">
        <f>IF(B15&lt;&gt;"","INC-2026-"&amp;TEXT(ROW()-5,"000"),"")</f>
        <v/>
      </c>
      <c r="B15" s="20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</row>
    <row r="16">
      <c r="A16" s="15">
        <f>IF(B16&lt;&gt;"","INC-2026-"&amp;TEXT(ROW()-5,"000"),"")</f>
        <v/>
      </c>
      <c r="B16" s="20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5">
        <f>IF(B17&lt;&gt;"","INC-2026-"&amp;TEXT(ROW()-5,"000"),"")</f>
        <v/>
      </c>
      <c r="B17" s="20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>
      <c r="A18" s="15">
        <f>IF(B18&lt;&gt;"","INC-2026-"&amp;TEXT(ROW()-5,"000"),"")</f>
        <v/>
      </c>
      <c r="B18" s="20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5">
        <f>IF(B19&lt;&gt;"","INC-2026-"&amp;TEXT(ROW()-5,"000"),"")</f>
        <v/>
      </c>
      <c r="B19" s="20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</row>
    <row r="20">
      <c r="A20" s="15">
        <f>IF(B20&lt;&gt;"","INC-2026-"&amp;TEXT(ROW()-5,"000"),"")</f>
        <v/>
      </c>
      <c r="B20" s="20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5">
        <f>IF(B21&lt;&gt;"","INC-2026-"&amp;TEXT(ROW()-5,"000"),"")</f>
        <v/>
      </c>
      <c r="B21" s="20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</row>
    <row r="22">
      <c r="A22" s="15">
        <f>IF(B22&lt;&gt;"","INC-2026-"&amp;TEXT(ROW()-5,"000"),"")</f>
        <v/>
      </c>
      <c r="B22" s="20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5">
        <f>IF(B23&lt;&gt;"","INC-2026-"&amp;TEXT(ROW()-5,"000"),"")</f>
        <v/>
      </c>
      <c r="B23" s="20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</row>
    <row r="24">
      <c r="A24" s="15">
        <f>IF(B24&lt;&gt;"","INC-2026-"&amp;TEXT(ROW()-5,"000"),"")</f>
        <v/>
      </c>
      <c r="B24" s="20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5">
        <f>IF(B25&lt;&gt;"","INC-2026-"&amp;TEXT(ROW()-5,"000"),"")</f>
        <v/>
      </c>
      <c r="B25" s="20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>
      <c r="A26" s="15">
        <f>IF(B26&lt;&gt;"","INC-2026-"&amp;TEXT(ROW()-5,"000"),"")</f>
        <v/>
      </c>
      <c r="B26" s="20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5">
        <f>IF(B27&lt;&gt;"","INC-2026-"&amp;TEXT(ROW()-5,"000"),"")</f>
        <v/>
      </c>
      <c r="B27" s="20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</row>
    <row r="28">
      <c r="A28" s="15">
        <f>IF(B28&lt;&gt;"","INC-2026-"&amp;TEXT(ROW()-5,"000"),"")</f>
        <v/>
      </c>
      <c r="B28" s="20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5">
        <f>IF(B29&lt;&gt;"","INC-2026-"&amp;TEXT(ROW()-5,"000"),"")</f>
        <v/>
      </c>
      <c r="B29" s="20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</row>
    <row r="30">
      <c r="A30" s="15">
        <f>IF(B30&lt;&gt;"","INC-2026-"&amp;TEXT(ROW()-5,"000"),"")</f>
        <v/>
      </c>
      <c r="B30" s="20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5">
        <f>IF(B31&lt;&gt;"","INC-2026-"&amp;TEXT(ROW()-5,"000"),"")</f>
        <v/>
      </c>
      <c r="B31" s="20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>
      <c r="A32" s="15">
        <f>IF(B32&lt;&gt;"","INC-2026-"&amp;TEXT(ROW()-5,"000"),"")</f>
        <v/>
      </c>
      <c r="B32" s="20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5">
        <f>IF(B33&lt;&gt;"","INC-2026-"&amp;TEXT(ROW()-5,"000"),"")</f>
        <v/>
      </c>
      <c r="B33" s="20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</row>
    <row r="34">
      <c r="A34" s="15">
        <f>IF(B34&lt;&gt;"","INC-2026-"&amp;TEXT(ROW()-5,"000"),"")</f>
        <v/>
      </c>
      <c r="B34" s="20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5">
        <f>IF(B35&lt;&gt;"","INC-2026-"&amp;TEXT(ROW()-5,"000"),"")</f>
        <v/>
      </c>
      <c r="B35" s="20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15">
        <f>IF(B36&lt;&gt;"","INC-2026-"&amp;TEXT(ROW()-5,"000"),"")</f>
        <v/>
      </c>
      <c r="B36" s="20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5">
        <f>IF(B37&lt;&gt;"","INC-2026-"&amp;TEXT(ROW()-5,"000"),"")</f>
        <v/>
      </c>
      <c r="B37" s="20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</row>
    <row r="38">
      <c r="A38" s="15">
        <f>IF(B38&lt;&gt;"","INC-2026-"&amp;TEXT(ROW()-5,"000"),"")</f>
        <v/>
      </c>
      <c r="B38" s="20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5">
        <f>IF(B39&lt;&gt;"","INC-2026-"&amp;TEXT(ROW()-5,"000"),"")</f>
        <v/>
      </c>
      <c r="B39" s="20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15">
        <f>IF(B40&lt;&gt;"","INC-2026-"&amp;TEXT(ROW()-5,"000"),"")</f>
        <v/>
      </c>
      <c r="B40" s="20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5">
        <f>IF(B41&lt;&gt;"","INC-2026-"&amp;TEXT(ROW()-5,"000"),"")</f>
        <v/>
      </c>
      <c r="B41" s="20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</row>
    <row r="42">
      <c r="A42" s="15">
        <f>IF(B42&lt;&gt;"","INC-2026-"&amp;TEXT(ROW()-5,"000"),"")</f>
        <v/>
      </c>
      <c r="B42" s="20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5">
        <f>IF(B43&lt;&gt;"","INC-2026-"&amp;TEXT(ROW()-5,"000"),"")</f>
        <v/>
      </c>
      <c r="B43" s="20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</row>
    <row r="44">
      <c r="A44" s="15">
        <f>IF(B44&lt;&gt;"","INC-2026-"&amp;TEXT(ROW()-5,"000"),"")</f>
        <v/>
      </c>
      <c r="B44" s="20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  <row r="45">
      <c r="A45" s="15">
        <f>IF(B45&lt;&gt;"","INC-2026-"&amp;TEXT(ROW()-5,"000"),"")</f>
        <v/>
      </c>
      <c r="B45" s="20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</row>
    <row r="46">
      <c r="A46" s="15">
        <f>IF(B46&lt;&gt;"","INC-2026-"&amp;TEXT(ROW()-5,"000"),"")</f>
        <v/>
      </c>
      <c r="B46" s="20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</row>
    <row r="47">
      <c r="A47" s="15">
        <f>IF(B47&lt;&gt;"","INC-2026-"&amp;TEXT(ROW()-5,"000"),"")</f>
        <v/>
      </c>
      <c r="B47" s="20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</row>
    <row r="48">
      <c r="A48" s="15">
        <f>IF(B48&lt;&gt;"","INC-2026-"&amp;TEXT(ROW()-5,"000"),"")</f>
        <v/>
      </c>
      <c r="B48" s="20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15">
        <f>IF(B49&lt;&gt;"","INC-2026-"&amp;TEXT(ROW()-5,"000"),"")</f>
        <v/>
      </c>
      <c r="B49" s="20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</row>
    <row r="50">
      <c r="A50" s="15">
        <f>IF(B50&lt;&gt;"","INC-2026-"&amp;TEXT(ROW()-5,"000"),"")</f>
        <v/>
      </c>
      <c r="B50" s="20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</row>
    <row r="51">
      <c r="A51" s="15">
        <f>IF(B51&lt;&gt;"","INC-2026-"&amp;TEXT(ROW()-5,"000"),"")</f>
        <v/>
      </c>
      <c r="B51" s="20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</row>
    <row r="52">
      <c r="A52" s="15">
        <f>IF(B52&lt;&gt;"","INC-2026-"&amp;TEXT(ROW()-5,"000"),"")</f>
        <v/>
      </c>
      <c r="B52" s="20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15">
        <f>IF(B53&lt;&gt;"","INC-2026-"&amp;TEXT(ROW()-5,"000"),"")</f>
        <v/>
      </c>
      <c r="B53" s="20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</row>
    <row r="54">
      <c r="A54" s="15">
        <f>IF(B54&lt;&gt;"","INC-2026-"&amp;TEXT(ROW()-5,"000"),"")</f>
        <v/>
      </c>
      <c r="B54" s="20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>
      <c r="A55" s="15">
        <f>IF(B55&lt;&gt;"","INC-2026-"&amp;TEXT(ROW()-5,"000"),"")</f>
        <v/>
      </c>
      <c r="B55" s="20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</sheetData>
  <mergeCells count="2">
    <mergeCell ref="A2:M2"/>
    <mergeCell ref="A1:M1"/>
  </mergeCells>
  <dataValidations count="3">
    <dataValidation sqref="D6:D55" showDropDown="0" showInputMessage="0" showErrorMessage="0" allowBlank="1" type="list">
      <formula1>"Critical,High,Medium,Low"</formula1>
    </dataValidation>
    <dataValidation sqref="E6:E55" showDropDown="0" showInputMessage="0" showErrorMessage="0" allowBlank="1" type="list">
      <formula1>"Malware,Brute Force Attack,Unauthorised Access,Data Exfiltration,DDoS,Phishing,Insider Threat,Configuration Error,Other"</formula1>
    </dataValidation>
    <dataValidation sqref="F6:F55" showDropDown="0" showInputMessage="0" showErrorMessage="0" allowBlank="1" type="list">
      <formula1>"New,Investigating,Contained,Resolved,False Positive"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40" customWidth="1" min="5" max="5"/>
    <col width="20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ANALYSIS TOOLS &amp; CAPABILITIES</t>
        </is>
      </c>
    </row>
    <row r="2">
      <c r="A2" s="12" t="inlineStr">
        <is>
          <t>Document available analysis tools and capabilities per ISMS-POL-A.8.15-S2.4.2</t>
        </is>
      </c>
    </row>
    <row r="4">
      <c r="A4" s="13" t="inlineStr">
        <is>
          <t>Tool / Capability</t>
        </is>
      </c>
      <c r="B4" s="13" t="inlineStr">
        <is>
          <t>Category</t>
        </is>
      </c>
      <c r="C4" s="13" t="inlineStr">
        <is>
          <t>Vendor / Product</t>
        </is>
      </c>
      <c r="D4" s="13" t="inlineStr">
        <is>
          <t>Version</t>
        </is>
      </c>
      <c r="E4" s="13" t="inlineStr">
        <is>
          <t>Purpose</t>
        </is>
      </c>
      <c r="F4" s="13" t="inlineStr">
        <is>
          <t>Users Trained</t>
        </is>
      </c>
      <c r="G4" s="13" t="inlineStr">
        <is>
          <t>Usage Frequency</t>
        </is>
      </c>
      <c r="H4" s="13" t="inlineStr">
        <is>
          <t>Effectiveness</t>
        </is>
      </c>
      <c r="I4" s="13" t="inlineStr">
        <is>
          <t>Integration with SIEM</t>
        </is>
      </c>
      <c r="J4" s="13" t="inlineStr">
        <is>
          <t>Last Updated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Splunk SIEM</t>
        </is>
      </c>
      <c r="B5" s="14" t="inlineStr">
        <is>
          <t>SIEM Platform</t>
        </is>
      </c>
      <c r="C5" s="14" t="inlineStr">
        <is>
          <t>Splunk Enterprise</t>
        </is>
      </c>
      <c r="D5" s="14" t="inlineStr">
        <is>
          <t>9.1.3</t>
        </is>
      </c>
      <c r="E5" s="14" t="inlineStr">
        <is>
          <t>Centralised log aggregation and analysis</t>
        </is>
      </c>
      <c r="F5" s="14" t="inlineStr">
        <is>
          <t>15</t>
        </is>
      </c>
      <c r="G5" s="14" t="inlineStr">
        <is>
          <t>Daily</t>
        </is>
      </c>
      <c r="H5" s="14" t="inlineStr">
        <is>
          <t>High</t>
        </is>
      </c>
      <c r="I5" s="14" t="inlineStr">
        <is>
          <t>Native</t>
        </is>
      </c>
      <c r="J5" s="14" t="inlineStr">
        <is>
          <t>01.12.2025</t>
        </is>
      </c>
      <c r="K5" s="14" t="inlineStr">
        <is>
          <t>Production</t>
        </is>
      </c>
      <c r="L5" s="14" t="inlineStr">
        <is>
          <t>Primary SIEM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7" t="n"/>
      <c r="K6" s="16" t="n"/>
      <c r="L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7" t="n"/>
      <c r="K7" s="16" t="n"/>
      <c r="L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7" t="n"/>
      <c r="K8" s="16" t="n"/>
      <c r="L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7" t="n"/>
      <c r="K9" s="16" t="n"/>
      <c r="L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16" t="n"/>
      <c r="L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7" t="n"/>
      <c r="K11" s="16" t="n"/>
      <c r="L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7" t="n"/>
      <c r="K12" s="16" t="n"/>
      <c r="L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6" t="n"/>
      <c r="L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6" t="n"/>
      <c r="L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6" t="n"/>
      <c r="L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6" t="n"/>
      <c r="L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6" t="n"/>
      <c r="L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6" t="n"/>
      <c r="L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6" t="n"/>
      <c r="L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6" t="n"/>
      <c r="L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6" t="n"/>
      <c r="L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6" t="n"/>
      <c r="L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6" t="n"/>
      <c r="L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6" t="n"/>
      <c r="L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6" t="n"/>
      <c r="L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6" t="n"/>
      <c r="L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6" t="n"/>
      <c r="L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6" t="n"/>
      <c r="L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6" t="n"/>
      <c r="L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6" t="n"/>
      <c r="L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6" t="n"/>
      <c r="L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6" t="n"/>
      <c r="L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6" t="n"/>
      <c r="L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6" t="n"/>
      <c r="L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6" t="n"/>
      <c r="L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6" t="n"/>
      <c r="L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6" t="n"/>
      <c r="L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6" t="n"/>
      <c r="L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6" t="n"/>
      <c r="L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6" t="n"/>
      <c r="L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6" t="n"/>
      <c r="L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6" t="n"/>
      <c r="L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6" t="n"/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6" t="n"/>
      <c r="L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6" t="n"/>
      <c r="L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6" t="n"/>
      <c r="L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6" t="n"/>
      <c r="L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6" t="n"/>
      <c r="L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6" t="n"/>
      <c r="L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6" t="n"/>
      <c r="L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6" t="n"/>
      <c r="L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6" t="n"/>
      <c r="L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6" t="n"/>
      <c r="L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6" t="n"/>
      <c r="L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6" t="n"/>
      <c r="L55" s="16" t="n"/>
    </row>
  </sheetData>
  <mergeCells count="2">
    <mergeCell ref="A2:L2"/>
    <mergeCell ref="A1:L1"/>
  </mergeCells>
  <dataValidations count="5">
    <dataValidation sqref="B6:B55" showDropDown="0" showInputMessage="0" showErrorMessage="0" allowBlank="1" type="list">
      <formula1>"SIEM Platform,Log Analysis,Threat Intelligence,Forensics,Visualisation,Automation,Other"</formula1>
    </dataValidation>
    <dataValidation sqref="G6:G55" showDropDown="0" showInputMessage="0" showErrorMessage="0" allowBlank="1" type="list">
      <formula1>"Daily,Weekly,Monthly,As Needed,Rarely"</formula1>
    </dataValidation>
    <dataValidation sqref="H6:H55" showDropDown="0" showInputMessage="0" showErrorMessage="0" allowBlank="1" type="list">
      <formula1>"High,Medium,Low,Unknown"</formula1>
    </dataValidation>
    <dataValidation sqref="I6:I55" showDropDown="0" showInputMessage="0" showErrorMessage="0" allowBlank="1" type="list">
      <formula1>"Native,API,Manual Export,No Integration"</formula1>
    </dataValidation>
    <dataValidation sqref="K6:K55" showDropDown="0" showInputMessage="0" showErrorMessage="0" allowBlank="1" type="list">
      <formula1>"Production,Testing,Deprecated,Planned"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50" customWidth="1" min="5" max="5"/>
    <col width="15" customWidth="1" min="6" max="6"/>
    <col width="20" customWidth="1" min="7" max="7"/>
    <col width="4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REVIEW FINDINGS</t>
        </is>
      </c>
    </row>
    <row r="2">
      <c r="A2" s="12" t="inlineStr">
        <is>
          <t>Document findings from log reviews and analysis</t>
        </is>
      </c>
    </row>
    <row r="4">
      <c r="A4" s="13" t="inlineStr">
        <is>
          <t>Finding ID</t>
        </is>
      </c>
      <c r="B4" s="13" t="inlineStr">
        <is>
          <t>Review Date</t>
        </is>
      </c>
      <c r="C4" s="13" t="inlineStr">
        <is>
          <t>Review Type</t>
        </is>
      </c>
      <c r="D4" s="13" t="inlineStr">
        <is>
          <t>Log Source</t>
        </is>
      </c>
      <c r="E4" s="13" t="inlineStr">
        <is>
          <t>Finding Description</t>
        </is>
      </c>
      <c r="F4" s="13" t="inlineStr">
        <is>
          <t>Severity</t>
        </is>
      </c>
      <c r="G4" s="13" t="inlineStr">
        <is>
          <t>Category</t>
        </is>
      </c>
      <c r="H4" s="13" t="inlineStr">
        <is>
          <t>Action Required</t>
        </is>
      </c>
      <c r="I4" s="13" t="inlineStr">
        <is>
          <t>Assigned To</t>
        </is>
      </c>
      <c r="J4" s="13" t="inlineStr">
        <is>
          <t>Due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FND-001</t>
        </is>
      </c>
      <c r="B5" s="14" t="inlineStr">
        <is>
          <t>05.01.2026</t>
        </is>
      </c>
      <c r="C5" s="14" t="inlineStr">
        <is>
          <t>Security Event Review</t>
        </is>
      </c>
      <c r="D5" s="14" t="inlineStr">
        <is>
          <t>Firewall logs</t>
        </is>
      </c>
      <c r="E5" s="14" t="inlineStr">
        <is>
          <t>Multiple port scan attempts from same source</t>
        </is>
      </c>
      <c r="F5" s="14" t="inlineStr">
        <is>
          <t>Medium</t>
        </is>
      </c>
      <c r="G5" s="14" t="inlineStr">
        <is>
          <t>Reconnaissance</t>
        </is>
      </c>
      <c r="H5" s="14" t="inlineStr">
        <is>
          <t>Block source IP, investigate if internal</t>
        </is>
      </c>
      <c r="I5" s="14" t="inlineStr">
        <is>
          <t>SOC Team</t>
        </is>
      </c>
      <c r="J5" s="14" t="inlineStr">
        <is>
          <t>10.01.2026</t>
        </is>
      </c>
      <c r="K5" s="14" t="inlineStr">
        <is>
          <t>In Progress</t>
        </is>
      </c>
      <c r="L5" s="14" t="inlineStr">
        <is>
          <t>Source appears to be compromised external host</t>
        </is>
      </c>
    </row>
    <row r="6">
      <c r="A6" s="15">
        <f>IF(B6&lt;&gt;"","FND-"&amp;TEXT(ROW()-5,"000"),"")</f>
        <v/>
      </c>
      <c r="B6" s="17" t="n"/>
      <c r="C6" s="16" t="n"/>
      <c r="D6" s="16" t="n"/>
      <c r="E6" s="16" t="n"/>
      <c r="F6" s="16" t="n"/>
      <c r="G6" s="16" t="n"/>
      <c r="H6" s="16" t="n"/>
      <c r="I6" s="16" t="n"/>
      <c r="J6" s="17" t="n"/>
      <c r="K6" s="16" t="n"/>
      <c r="L6" s="16" t="n"/>
    </row>
    <row r="7">
      <c r="A7" s="15">
        <f>IF(B7&lt;&gt;"","FND-"&amp;TEXT(ROW()-5,"000"),"")</f>
        <v/>
      </c>
      <c r="B7" s="17" t="n"/>
      <c r="C7" s="16" t="n"/>
      <c r="D7" s="16" t="n"/>
      <c r="E7" s="16" t="n"/>
      <c r="F7" s="16" t="n"/>
      <c r="G7" s="16" t="n"/>
      <c r="H7" s="16" t="n"/>
      <c r="I7" s="16" t="n"/>
      <c r="J7" s="17" t="n"/>
      <c r="K7" s="16" t="n"/>
      <c r="L7" s="16" t="n"/>
    </row>
    <row r="8">
      <c r="A8" s="15">
        <f>IF(B8&lt;&gt;"","FND-"&amp;TEXT(ROW()-5,"000"),"")</f>
        <v/>
      </c>
      <c r="B8" s="17" t="n"/>
      <c r="C8" s="16" t="n"/>
      <c r="D8" s="16" t="n"/>
      <c r="E8" s="16" t="n"/>
      <c r="F8" s="16" t="n"/>
      <c r="G8" s="16" t="n"/>
      <c r="H8" s="16" t="n"/>
      <c r="I8" s="16" t="n"/>
      <c r="J8" s="17" t="n"/>
      <c r="K8" s="16" t="n"/>
      <c r="L8" s="16" t="n"/>
    </row>
    <row r="9">
      <c r="A9" s="15">
        <f>IF(B9&lt;&gt;"","FND-"&amp;TEXT(ROW()-5,"000"),"")</f>
        <v/>
      </c>
      <c r="B9" s="17" t="n"/>
      <c r="C9" s="16" t="n"/>
      <c r="D9" s="16" t="n"/>
      <c r="E9" s="16" t="n"/>
      <c r="F9" s="16" t="n"/>
      <c r="G9" s="16" t="n"/>
      <c r="H9" s="16" t="n"/>
      <c r="I9" s="16" t="n"/>
      <c r="J9" s="17" t="n"/>
      <c r="K9" s="16" t="n"/>
      <c r="L9" s="16" t="n"/>
    </row>
    <row r="10">
      <c r="A10" s="15">
        <f>IF(B10&lt;&gt;"","FND-"&amp;TEXT(ROW()-5,"000"),"")</f>
        <v/>
      </c>
      <c r="B10" s="17" t="n"/>
      <c r="C10" s="16" t="n"/>
      <c r="D10" s="16" t="n"/>
      <c r="E10" s="16" t="n"/>
      <c r="F10" s="16" t="n"/>
      <c r="G10" s="16" t="n"/>
      <c r="H10" s="16" t="n"/>
      <c r="I10" s="16" t="n"/>
      <c r="J10" s="17" t="n"/>
      <c r="K10" s="16" t="n"/>
      <c r="L10" s="16" t="n"/>
    </row>
    <row r="11">
      <c r="A11" s="15">
        <f>IF(B11&lt;&gt;"","FND-"&amp;TEXT(ROW()-5,"000"),"")</f>
        <v/>
      </c>
      <c r="B11" s="17" t="n"/>
      <c r="C11" s="16" t="n"/>
      <c r="D11" s="16" t="n"/>
      <c r="E11" s="16" t="n"/>
      <c r="F11" s="16" t="n"/>
      <c r="G11" s="16" t="n"/>
      <c r="H11" s="16" t="n"/>
      <c r="I11" s="16" t="n"/>
      <c r="J11" s="17" t="n"/>
      <c r="K11" s="16" t="n"/>
      <c r="L11" s="16" t="n"/>
    </row>
    <row r="12">
      <c r="A12" s="15">
        <f>IF(B12&lt;&gt;"","FND-"&amp;TEXT(ROW()-5,"000"),"")</f>
        <v/>
      </c>
      <c r="B12" s="17" t="n"/>
      <c r="C12" s="16" t="n"/>
      <c r="D12" s="16" t="n"/>
      <c r="E12" s="16" t="n"/>
      <c r="F12" s="16" t="n"/>
      <c r="G12" s="16" t="n"/>
      <c r="H12" s="16" t="n"/>
      <c r="I12" s="16" t="n"/>
      <c r="J12" s="17" t="n"/>
      <c r="K12" s="16" t="n"/>
      <c r="L12" s="16" t="n"/>
    </row>
    <row r="13">
      <c r="A13" s="15">
        <f>IF(B13&lt;&gt;"","FND-"&amp;TEXT(ROW()-5,"000"),"")</f>
        <v/>
      </c>
      <c r="B13" s="17" t="n"/>
      <c r="C13" s="16" t="n"/>
      <c r="D13" s="16" t="n"/>
      <c r="E13" s="16" t="n"/>
      <c r="F13" s="16" t="n"/>
      <c r="G13" s="16" t="n"/>
      <c r="H13" s="16" t="n"/>
      <c r="I13" s="16" t="n"/>
      <c r="J13" s="17" t="n"/>
      <c r="K13" s="16" t="n"/>
      <c r="L13" s="16" t="n"/>
    </row>
    <row r="14">
      <c r="A14" s="15">
        <f>IF(B14&lt;&gt;"","FND-"&amp;TEXT(ROW()-5,"000"),"")</f>
        <v/>
      </c>
      <c r="B14" s="17" t="n"/>
      <c r="C14" s="16" t="n"/>
      <c r="D14" s="16" t="n"/>
      <c r="E14" s="16" t="n"/>
      <c r="F14" s="16" t="n"/>
      <c r="G14" s="16" t="n"/>
      <c r="H14" s="16" t="n"/>
      <c r="I14" s="16" t="n"/>
      <c r="J14" s="17" t="n"/>
      <c r="K14" s="16" t="n"/>
      <c r="L14" s="16" t="n"/>
    </row>
    <row r="15">
      <c r="A15" s="15">
        <f>IF(B15&lt;&gt;"","FND-"&amp;TEXT(ROW()-5,"000"),"")</f>
        <v/>
      </c>
      <c r="B15" s="17" t="n"/>
      <c r="C15" s="16" t="n"/>
      <c r="D15" s="16" t="n"/>
      <c r="E15" s="16" t="n"/>
      <c r="F15" s="16" t="n"/>
      <c r="G15" s="16" t="n"/>
      <c r="H15" s="16" t="n"/>
      <c r="I15" s="16" t="n"/>
      <c r="J15" s="17" t="n"/>
      <c r="K15" s="16" t="n"/>
      <c r="L15" s="16" t="n"/>
    </row>
    <row r="16">
      <c r="A16" s="15">
        <f>IF(B16&lt;&gt;"","FND-"&amp;TEXT(ROW()-5,"000"),"")</f>
        <v/>
      </c>
      <c r="B16" s="17" t="n"/>
      <c r="C16" s="16" t="n"/>
      <c r="D16" s="16" t="n"/>
      <c r="E16" s="16" t="n"/>
      <c r="F16" s="16" t="n"/>
      <c r="G16" s="16" t="n"/>
      <c r="H16" s="16" t="n"/>
      <c r="I16" s="16" t="n"/>
      <c r="J16" s="17" t="n"/>
      <c r="K16" s="16" t="n"/>
      <c r="L16" s="16" t="n"/>
    </row>
    <row r="17">
      <c r="A17" s="15">
        <f>IF(B17&lt;&gt;"","FND-"&amp;TEXT(ROW()-5,"000"),"")</f>
        <v/>
      </c>
      <c r="B17" s="17" t="n"/>
      <c r="C17" s="16" t="n"/>
      <c r="D17" s="16" t="n"/>
      <c r="E17" s="16" t="n"/>
      <c r="F17" s="16" t="n"/>
      <c r="G17" s="16" t="n"/>
      <c r="H17" s="16" t="n"/>
      <c r="I17" s="16" t="n"/>
      <c r="J17" s="17" t="n"/>
      <c r="K17" s="16" t="n"/>
      <c r="L17" s="16" t="n"/>
    </row>
    <row r="18">
      <c r="A18" s="15">
        <f>IF(B18&lt;&gt;"","FND-"&amp;TEXT(ROW()-5,"000"),"")</f>
        <v/>
      </c>
      <c r="B18" s="17" t="n"/>
      <c r="C18" s="16" t="n"/>
      <c r="D18" s="16" t="n"/>
      <c r="E18" s="16" t="n"/>
      <c r="F18" s="16" t="n"/>
      <c r="G18" s="16" t="n"/>
      <c r="H18" s="16" t="n"/>
      <c r="I18" s="16" t="n"/>
      <c r="J18" s="17" t="n"/>
      <c r="K18" s="16" t="n"/>
      <c r="L18" s="16" t="n"/>
    </row>
    <row r="19">
      <c r="A19" s="15">
        <f>IF(B19&lt;&gt;"","FND-"&amp;TEXT(ROW()-5,"000"),"")</f>
        <v/>
      </c>
      <c r="B19" s="17" t="n"/>
      <c r="C19" s="16" t="n"/>
      <c r="D19" s="16" t="n"/>
      <c r="E19" s="16" t="n"/>
      <c r="F19" s="16" t="n"/>
      <c r="G19" s="16" t="n"/>
      <c r="H19" s="16" t="n"/>
      <c r="I19" s="16" t="n"/>
      <c r="J19" s="17" t="n"/>
      <c r="K19" s="16" t="n"/>
      <c r="L19" s="16" t="n"/>
    </row>
    <row r="20">
      <c r="A20" s="15">
        <f>IF(B20&lt;&gt;"","FND-"&amp;TEXT(ROW()-5,"000"),"")</f>
        <v/>
      </c>
      <c r="B20" s="17" t="n"/>
      <c r="C20" s="16" t="n"/>
      <c r="D20" s="16" t="n"/>
      <c r="E20" s="16" t="n"/>
      <c r="F20" s="16" t="n"/>
      <c r="G20" s="16" t="n"/>
      <c r="H20" s="16" t="n"/>
      <c r="I20" s="16" t="n"/>
      <c r="J20" s="17" t="n"/>
      <c r="K20" s="16" t="n"/>
      <c r="L20" s="16" t="n"/>
    </row>
    <row r="21">
      <c r="A21" s="15">
        <f>IF(B21&lt;&gt;"","FND-"&amp;TEXT(ROW()-5,"000"),"")</f>
        <v/>
      </c>
      <c r="B21" s="17" t="n"/>
      <c r="C21" s="16" t="n"/>
      <c r="D21" s="16" t="n"/>
      <c r="E21" s="16" t="n"/>
      <c r="F21" s="16" t="n"/>
      <c r="G21" s="16" t="n"/>
      <c r="H21" s="16" t="n"/>
      <c r="I21" s="16" t="n"/>
      <c r="J21" s="17" t="n"/>
      <c r="K21" s="16" t="n"/>
      <c r="L21" s="16" t="n"/>
    </row>
    <row r="22">
      <c r="A22" s="15">
        <f>IF(B22&lt;&gt;"","FND-"&amp;TEXT(ROW()-5,"000"),"")</f>
        <v/>
      </c>
      <c r="B22" s="17" t="n"/>
      <c r="C22" s="16" t="n"/>
      <c r="D22" s="16" t="n"/>
      <c r="E22" s="16" t="n"/>
      <c r="F22" s="16" t="n"/>
      <c r="G22" s="16" t="n"/>
      <c r="H22" s="16" t="n"/>
      <c r="I22" s="16" t="n"/>
      <c r="J22" s="17" t="n"/>
      <c r="K22" s="16" t="n"/>
      <c r="L22" s="16" t="n"/>
    </row>
    <row r="23">
      <c r="A23" s="15">
        <f>IF(B23&lt;&gt;"","FND-"&amp;TEXT(ROW()-5,"000"),"")</f>
        <v/>
      </c>
      <c r="B23" s="17" t="n"/>
      <c r="C23" s="16" t="n"/>
      <c r="D23" s="16" t="n"/>
      <c r="E23" s="16" t="n"/>
      <c r="F23" s="16" t="n"/>
      <c r="G23" s="16" t="n"/>
      <c r="H23" s="16" t="n"/>
      <c r="I23" s="16" t="n"/>
      <c r="J23" s="17" t="n"/>
      <c r="K23" s="16" t="n"/>
      <c r="L23" s="16" t="n"/>
    </row>
    <row r="24">
      <c r="A24" s="15">
        <f>IF(B24&lt;&gt;"","FND-"&amp;TEXT(ROW()-5,"000"),"")</f>
        <v/>
      </c>
      <c r="B24" s="17" t="n"/>
      <c r="C24" s="16" t="n"/>
      <c r="D24" s="16" t="n"/>
      <c r="E24" s="16" t="n"/>
      <c r="F24" s="16" t="n"/>
      <c r="G24" s="16" t="n"/>
      <c r="H24" s="16" t="n"/>
      <c r="I24" s="16" t="n"/>
      <c r="J24" s="17" t="n"/>
      <c r="K24" s="16" t="n"/>
      <c r="L24" s="16" t="n"/>
    </row>
    <row r="25">
      <c r="A25" s="15">
        <f>IF(B25&lt;&gt;"","FND-"&amp;TEXT(ROW()-5,"000"),"")</f>
        <v/>
      </c>
      <c r="B25" s="17" t="n"/>
      <c r="C25" s="16" t="n"/>
      <c r="D25" s="16" t="n"/>
      <c r="E25" s="16" t="n"/>
      <c r="F25" s="16" t="n"/>
      <c r="G25" s="16" t="n"/>
      <c r="H25" s="16" t="n"/>
      <c r="I25" s="16" t="n"/>
      <c r="J25" s="17" t="n"/>
      <c r="K25" s="16" t="n"/>
      <c r="L25" s="16" t="n"/>
    </row>
    <row r="26">
      <c r="A26" s="15">
        <f>IF(B26&lt;&gt;"","FND-"&amp;TEXT(ROW()-5,"000"),"")</f>
        <v/>
      </c>
      <c r="B26" s="17" t="n"/>
      <c r="C26" s="16" t="n"/>
      <c r="D26" s="16" t="n"/>
      <c r="E26" s="16" t="n"/>
      <c r="F26" s="16" t="n"/>
      <c r="G26" s="16" t="n"/>
      <c r="H26" s="16" t="n"/>
      <c r="I26" s="16" t="n"/>
      <c r="J26" s="17" t="n"/>
      <c r="K26" s="16" t="n"/>
      <c r="L26" s="16" t="n"/>
    </row>
    <row r="27">
      <c r="A27" s="15">
        <f>IF(B27&lt;&gt;"","FND-"&amp;TEXT(ROW()-5,"000"),"")</f>
        <v/>
      </c>
      <c r="B27" s="17" t="n"/>
      <c r="C27" s="16" t="n"/>
      <c r="D27" s="16" t="n"/>
      <c r="E27" s="16" t="n"/>
      <c r="F27" s="16" t="n"/>
      <c r="G27" s="16" t="n"/>
      <c r="H27" s="16" t="n"/>
      <c r="I27" s="16" t="n"/>
      <c r="J27" s="17" t="n"/>
      <c r="K27" s="16" t="n"/>
      <c r="L27" s="16" t="n"/>
    </row>
    <row r="28">
      <c r="A28" s="15">
        <f>IF(B28&lt;&gt;"","FND-"&amp;TEXT(ROW()-5,"000"),"")</f>
        <v/>
      </c>
      <c r="B28" s="17" t="n"/>
      <c r="C28" s="16" t="n"/>
      <c r="D28" s="16" t="n"/>
      <c r="E28" s="16" t="n"/>
      <c r="F28" s="16" t="n"/>
      <c r="G28" s="16" t="n"/>
      <c r="H28" s="16" t="n"/>
      <c r="I28" s="16" t="n"/>
      <c r="J28" s="17" t="n"/>
      <c r="K28" s="16" t="n"/>
      <c r="L28" s="16" t="n"/>
    </row>
    <row r="29">
      <c r="A29" s="15">
        <f>IF(B29&lt;&gt;"","FND-"&amp;TEXT(ROW()-5,"000"),"")</f>
        <v/>
      </c>
      <c r="B29" s="17" t="n"/>
      <c r="C29" s="16" t="n"/>
      <c r="D29" s="16" t="n"/>
      <c r="E29" s="16" t="n"/>
      <c r="F29" s="16" t="n"/>
      <c r="G29" s="16" t="n"/>
      <c r="H29" s="16" t="n"/>
      <c r="I29" s="16" t="n"/>
      <c r="J29" s="17" t="n"/>
      <c r="K29" s="16" t="n"/>
      <c r="L29" s="16" t="n"/>
    </row>
    <row r="30">
      <c r="A30" s="15">
        <f>IF(B30&lt;&gt;"","FND-"&amp;TEXT(ROW()-5,"000"),"")</f>
        <v/>
      </c>
      <c r="B30" s="17" t="n"/>
      <c r="C30" s="16" t="n"/>
      <c r="D30" s="16" t="n"/>
      <c r="E30" s="16" t="n"/>
      <c r="F30" s="16" t="n"/>
      <c r="G30" s="16" t="n"/>
      <c r="H30" s="16" t="n"/>
      <c r="I30" s="16" t="n"/>
      <c r="J30" s="17" t="n"/>
      <c r="K30" s="16" t="n"/>
      <c r="L30" s="16" t="n"/>
    </row>
    <row r="31">
      <c r="A31" s="15">
        <f>IF(B31&lt;&gt;"","FND-"&amp;TEXT(ROW()-5,"000"),"")</f>
        <v/>
      </c>
      <c r="B31" s="17" t="n"/>
      <c r="C31" s="16" t="n"/>
      <c r="D31" s="16" t="n"/>
      <c r="E31" s="16" t="n"/>
      <c r="F31" s="16" t="n"/>
      <c r="G31" s="16" t="n"/>
      <c r="H31" s="16" t="n"/>
      <c r="I31" s="16" t="n"/>
      <c r="J31" s="17" t="n"/>
      <c r="K31" s="16" t="n"/>
      <c r="L31" s="16" t="n"/>
    </row>
    <row r="32">
      <c r="A32" s="15">
        <f>IF(B32&lt;&gt;"","FND-"&amp;TEXT(ROW()-5,"000"),"")</f>
        <v/>
      </c>
      <c r="B32" s="17" t="n"/>
      <c r="C32" s="16" t="n"/>
      <c r="D32" s="16" t="n"/>
      <c r="E32" s="16" t="n"/>
      <c r="F32" s="16" t="n"/>
      <c r="G32" s="16" t="n"/>
      <c r="H32" s="16" t="n"/>
      <c r="I32" s="16" t="n"/>
      <c r="J32" s="17" t="n"/>
      <c r="K32" s="16" t="n"/>
      <c r="L32" s="16" t="n"/>
    </row>
    <row r="33">
      <c r="A33" s="15">
        <f>IF(B33&lt;&gt;"","FND-"&amp;TEXT(ROW()-5,"000"),"")</f>
        <v/>
      </c>
      <c r="B33" s="17" t="n"/>
      <c r="C33" s="16" t="n"/>
      <c r="D33" s="16" t="n"/>
      <c r="E33" s="16" t="n"/>
      <c r="F33" s="16" t="n"/>
      <c r="G33" s="16" t="n"/>
      <c r="H33" s="16" t="n"/>
      <c r="I33" s="16" t="n"/>
      <c r="J33" s="17" t="n"/>
      <c r="K33" s="16" t="n"/>
      <c r="L33" s="16" t="n"/>
    </row>
    <row r="34">
      <c r="A34" s="15">
        <f>IF(B34&lt;&gt;"","FND-"&amp;TEXT(ROW()-5,"000"),"")</f>
        <v/>
      </c>
      <c r="B34" s="17" t="n"/>
      <c r="C34" s="16" t="n"/>
      <c r="D34" s="16" t="n"/>
      <c r="E34" s="16" t="n"/>
      <c r="F34" s="16" t="n"/>
      <c r="G34" s="16" t="n"/>
      <c r="H34" s="16" t="n"/>
      <c r="I34" s="16" t="n"/>
      <c r="J34" s="17" t="n"/>
      <c r="K34" s="16" t="n"/>
      <c r="L34" s="16" t="n"/>
    </row>
    <row r="35">
      <c r="A35" s="15">
        <f>IF(B35&lt;&gt;"","FND-"&amp;TEXT(ROW()-5,"000"),"")</f>
        <v/>
      </c>
      <c r="B35" s="17" t="n"/>
      <c r="C35" s="16" t="n"/>
      <c r="D35" s="16" t="n"/>
      <c r="E35" s="16" t="n"/>
      <c r="F35" s="16" t="n"/>
      <c r="G35" s="16" t="n"/>
      <c r="H35" s="16" t="n"/>
      <c r="I35" s="16" t="n"/>
      <c r="J35" s="17" t="n"/>
      <c r="K35" s="16" t="n"/>
      <c r="L35" s="16" t="n"/>
    </row>
    <row r="36">
      <c r="A36" s="15">
        <f>IF(B36&lt;&gt;"","FND-"&amp;TEXT(ROW()-5,"000"),"")</f>
        <v/>
      </c>
      <c r="B36" s="17" t="n"/>
      <c r="C36" s="16" t="n"/>
      <c r="D36" s="16" t="n"/>
      <c r="E36" s="16" t="n"/>
      <c r="F36" s="16" t="n"/>
      <c r="G36" s="16" t="n"/>
      <c r="H36" s="16" t="n"/>
      <c r="I36" s="16" t="n"/>
      <c r="J36" s="17" t="n"/>
      <c r="K36" s="16" t="n"/>
      <c r="L36" s="16" t="n"/>
    </row>
    <row r="37">
      <c r="A37" s="15">
        <f>IF(B37&lt;&gt;"","FND-"&amp;TEXT(ROW()-5,"000"),"")</f>
        <v/>
      </c>
      <c r="B37" s="17" t="n"/>
      <c r="C37" s="16" t="n"/>
      <c r="D37" s="16" t="n"/>
      <c r="E37" s="16" t="n"/>
      <c r="F37" s="16" t="n"/>
      <c r="G37" s="16" t="n"/>
      <c r="H37" s="16" t="n"/>
      <c r="I37" s="16" t="n"/>
      <c r="J37" s="17" t="n"/>
      <c r="K37" s="16" t="n"/>
      <c r="L37" s="16" t="n"/>
    </row>
    <row r="38">
      <c r="A38" s="15">
        <f>IF(B38&lt;&gt;"","FND-"&amp;TEXT(ROW()-5,"000"),"")</f>
        <v/>
      </c>
      <c r="B38" s="17" t="n"/>
      <c r="C38" s="16" t="n"/>
      <c r="D38" s="16" t="n"/>
      <c r="E38" s="16" t="n"/>
      <c r="F38" s="16" t="n"/>
      <c r="G38" s="16" t="n"/>
      <c r="H38" s="16" t="n"/>
      <c r="I38" s="16" t="n"/>
      <c r="J38" s="17" t="n"/>
      <c r="K38" s="16" t="n"/>
      <c r="L38" s="16" t="n"/>
    </row>
    <row r="39">
      <c r="A39" s="15">
        <f>IF(B39&lt;&gt;"","FND-"&amp;TEXT(ROW()-5,"000"),"")</f>
        <v/>
      </c>
      <c r="B39" s="17" t="n"/>
      <c r="C39" s="16" t="n"/>
      <c r="D39" s="16" t="n"/>
      <c r="E39" s="16" t="n"/>
      <c r="F39" s="16" t="n"/>
      <c r="G39" s="16" t="n"/>
      <c r="H39" s="16" t="n"/>
      <c r="I39" s="16" t="n"/>
      <c r="J39" s="17" t="n"/>
      <c r="K39" s="16" t="n"/>
      <c r="L39" s="16" t="n"/>
    </row>
    <row r="40">
      <c r="A40" s="15">
        <f>IF(B40&lt;&gt;"","FND-"&amp;TEXT(ROW()-5,"000"),"")</f>
        <v/>
      </c>
      <c r="B40" s="17" t="n"/>
      <c r="C40" s="16" t="n"/>
      <c r="D40" s="16" t="n"/>
      <c r="E40" s="16" t="n"/>
      <c r="F40" s="16" t="n"/>
      <c r="G40" s="16" t="n"/>
      <c r="H40" s="16" t="n"/>
      <c r="I40" s="16" t="n"/>
      <c r="J40" s="17" t="n"/>
      <c r="K40" s="16" t="n"/>
      <c r="L40" s="16" t="n"/>
    </row>
    <row r="41">
      <c r="A41" s="15">
        <f>IF(B41&lt;&gt;"","FND-"&amp;TEXT(ROW()-5,"000"),"")</f>
        <v/>
      </c>
      <c r="B41" s="17" t="n"/>
      <c r="C41" s="16" t="n"/>
      <c r="D41" s="16" t="n"/>
      <c r="E41" s="16" t="n"/>
      <c r="F41" s="16" t="n"/>
      <c r="G41" s="16" t="n"/>
      <c r="H41" s="16" t="n"/>
      <c r="I41" s="16" t="n"/>
      <c r="J41" s="17" t="n"/>
      <c r="K41" s="16" t="n"/>
      <c r="L41" s="16" t="n"/>
    </row>
    <row r="42">
      <c r="A42" s="15">
        <f>IF(B42&lt;&gt;"","FND-"&amp;TEXT(ROW()-5,"000"),"")</f>
        <v/>
      </c>
      <c r="B42" s="17" t="n"/>
      <c r="C42" s="16" t="n"/>
      <c r="D42" s="16" t="n"/>
      <c r="E42" s="16" t="n"/>
      <c r="F42" s="16" t="n"/>
      <c r="G42" s="16" t="n"/>
      <c r="H42" s="16" t="n"/>
      <c r="I42" s="16" t="n"/>
      <c r="J42" s="17" t="n"/>
      <c r="K42" s="16" t="n"/>
      <c r="L42" s="16" t="n"/>
    </row>
    <row r="43">
      <c r="A43" s="15">
        <f>IF(B43&lt;&gt;"","FND-"&amp;TEXT(ROW()-5,"000"),"")</f>
        <v/>
      </c>
      <c r="B43" s="17" t="n"/>
      <c r="C43" s="16" t="n"/>
      <c r="D43" s="16" t="n"/>
      <c r="E43" s="16" t="n"/>
      <c r="F43" s="16" t="n"/>
      <c r="G43" s="16" t="n"/>
      <c r="H43" s="16" t="n"/>
      <c r="I43" s="16" t="n"/>
      <c r="J43" s="17" t="n"/>
      <c r="K43" s="16" t="n"/>
      <c r="L43" s="16" t="n"/>
    </row>
    <row r="44">
      <c r="A44" s="15">
        <f>IF(B44&lt;&gt;"","FND-"&amp;TEXT(ROW()-5,"000"),"")</f>
        <v/>
      </c>
      <c r="B44" s="17" t="n"/>
      <c r="C44" s="16" t="n"/>
      <c r="D44" s="16" t="n"/>
      <c r="E44" s="16" t="n"/>
      <c r="F44" s="16" t="n"/>
      <c r="G44" s="16" t="n"/>
      <c r="H44" s="16" t="n"/>
      <c r="I44" s="16" t="n"/>
      <c r="J44" s="17" t="n"/>
      <c r="K44" s="16" t="n"/>
      <c r="L44" s="16" t="n"/>
    </row>
    <row r="45">
      <c r="A45" s="15">
        <f>IF(B45&lt;&gt;"","FND-"&amp;TEXT(ROW()-5,"000"),"")</f>
        <v/>
      </c>
      <c r="B45" s="17" t="n"/>
      <c r="C45" s="16" t="n"/>
      <c r="D45" s="16" t="n"/>
      <c r="E45" s="16" t="n"/>
      <c r="F45" s="16" t="n"/>
      <c r="G45" s="16" t="n"/>
      <c r="H45" s="16" t="n"/>
      <c r="I45" s="16" t="n"/>
      <c r="J45" s="17" t="n"/>
      <c r="K45" s="16" t="n"/>
      <c r="L45" s="16" t="n"/>
    </row>
    <row r="46">
      <c r="A46" s="15">
        <f>IF(B46&lt;&gt;"","FND-"&amp;TEXT(ROW()-5,"000"),"")</f>
        <v/>
      </c>
      <c r="B46" s="17" t="n"/>
      <c r="C46" s="16" t="n"/>
      <c r="D46" s="16" t="n"/>
      <c r="E46" s="16" t="n"/>
      <c r="F46" s="16" t="n"/>
      <c r="G46" s="16" t="n"/>
      <c r="H46" s="16" t="n"/>
      <c r="I46" s="16" t="n"/>
      <c r="J46" s="17" t="n"/>
      <c r="K46" s="16" t="n"/>
      <c r="L46" s="16" t="n"/>
    </row>
    <row r="47">
      <c r="A47" s="15">
        <f>IF(B47&lt;&gt;"","FND-"&amp;TEXT(ROW()-5,"000"),"")</f>
        <v/>
      </c>
      <c r="B47" s="17" t="n"/>
      <c r="C47" s="16" t="n"/>
      <c r="D47" s="16" t="n"/>
      <c r="E47" s="16" t="n"/>
      <c r="F47" s="16" t="n"/>
      <c r="G47" s="16" t="n"/>
      <c r="H47" s="16" t="n"/>
      <c r="I47" s="16" t="n"/>
      <c r="J47" s="17" t="n"/>
      <c r="K47" s="16" t="n"/>
      <c r="L47" s="16" t="n"/>
    </row>
    <row r="48">
      <c r="A48" s="15">
        <f>IF(B48&lt;&gt;"","FND-"&amp;TEXT(ROW()-5,"000"),"")</f>
        <v/>
      </c>
      <c r="B48" s="17" t="n"/>
      <c r="C48" s="16" t="n"/>
      <c r="D48" s="16" t="n"/>
      <c r="E48" s="16" t="n"/>
      <c r="F48" s="16" t="n"/>
      <c r="G48" s="16" t="n"/>
      <c r="H48" s="16" t="n"/>
      <c r="I48" s="16" t="n"/>
      <c r="J48" s="17" t="n"/>
      <c r="K48" s="16" t="n"/>
      <c r="L48" s="16" t="n"/>
    </row>
    <row r="49">
      <c r="A49" s="15">
        <f>IF(B49&lt;&gt;"","FND-"&amp;TEXT(ROW()-5,"000"),"")</f>
        <v/>
      </c>
      <c r="B49" s="17" t="n"/>
      <c r="C49" s="16" t="n"/>
      <c r="D49" s="16" t="n"/>
      <c r="E49" s="16" t="n"/>
      <c r="F49" s="16" t="n"/>
      <c r="G49" s="16" t="n"/>
      <c r="H49" s="16" t="n"/>
      <c r="I49" s="16" t="n"/>
      <c r="J49" s="17" t="n"/>
      <c r="K49" s="16" t="n"/>
      <c r="L49" s="16" t="n"/>
    </row>
    <row r="50">
      <c r="A50" s="15">
        <f>IF(B50&lt;&gt;"","FND-"&amp;TEXT(ROW()-5,"000"),"")</f>
        <v/>
      </c>
      <c r="B50" s="17" t="n"/>
      <c r="C50" s="16" t="n"/>
      <c r="D50" s="16" t="n"/>
      <c r="E50" s="16" t="n"/>
      <c r="F50" s="16" t="n"/>
      <c r="G50" s="16" t="n"/>
      <c r="H50" s="16" t="n"/>
      <c r="I50" s="16" t="n"/>
      <c r="J50" s="17" t="n"/>
      <c r="K50" s="16" t="n"/>
      <c r="L50" s="16" t="n"/>
    </row>
    <row r="51">
      <c r="A51" s="15">
        <f>IF(B51&lt;&gt;"","FND-"&amp;TEXT(ROW()-5,"000"),"")</f>
        <v/>
      </c>
      <c r="B51" s="17" t="n"/>
      <c r="C51" s="16" t="n"/>
      <c r="D51" s="16" t="n"/>
      <c r="E51" s="16" t="n"/>
      <c r="F51" s="16" t="n"/>
      <c r="G51" s="16" t="n"/>
      <c r="H51" s="16" t="n"/>
      <c r="I51" s="16" t="n"/>
      <c r="J51" s="17" t="n"/>
      <c r="K51" s="16" t="n"/>
      <c r="L51" s="16" t="n"/>
    </row>
    <row r="52">
      <c r="A52" s="15">
        <f>IF(B52&lt;&gt;"","FND-"&amp;TEXT(ROW()-5,"000"),"")</f>
        <v/>
      </c>
      <c r="B52" s="17" t="n"/>
      <c r="C52" s="16" t="n"/>
      <c r="D52" s="16" t="n"/>
      <c r="E52" s="16" t="n"/>
      <c r="F52" s="16" t="n"/>
      <c r="G52" s="16" t="n"/>
      <c r="H52" s="16" t="n"/>
      <c r="I52" s="16" t="n"/>
      <c r="J52" s="17" t="n"/>
      <c r="K52" s="16" t="n"/>
      <c r="L52" s="16" t="n"/>
    </row>
    <row r="53">
      <c r="A53" s="15">
        <f>IF(B53&lt;&gt;"","FND-"&amp;TEXT(ROW()-5,"000"),"")</f>
        <v/>
      </c>
      <c r="B53" s="17" t="n"/>
      <c r="C53" s="16" t="n"/>
      <c r="D53" s="16" t="n"/>
      <c r="E53" s="16" t="n"/>
      <c r="F53" s="16" t="n"/>
      <c r="G53" s="16" t="n"/>
      <c r="H53" s="16" t="n"/>
      <c r="I53" s="16" t="n"/>
      <c r="J53" s="17" t="n"/>
      <c r="K53" s="16" t="n"/>
      <c r="L53" s="16" t="n"/>
    </row>
    <row r="54">
      <c r="A54" s="15">
        <f>IF(B54&lt;&gt;"","FND-"&amp;TEXT(ROW()-5,"000"),"")</f>
        <v/>
      </c>
      <c r="B54" s="17" t="n"/>
      <c r="C54" s="16" t="n"/>
      <c r="D54" s="16" t="n"/>
      <c r="E54" s="16" t="n"/>
      <c r="F54" s="16" t="n"/>
      <c r="G54" s="16" t="n"/>
      <c r="H54" s="16" t="n"/>
      <c r="I54" s="16" t="n"/>
      <c r="J54" s="17" t="n"/>
      <c r="K54" s="16" t="n"/>
      <c r="L54" s="16" t="n"/>
    </row>
    <row r="55">
      <c r="A55" s="15">
        <f>IF(B55&lt;&gt;"","FND-"&amp;TEXT(ROW()-5,"000"),"")</f>
        <v/>
      </c>
      <c r="B55" s="17" t="n"/>
      <c r="C55" s="16" t="n"/>
      <c r="D55" s="16" t="n"/>
      <c r="E55" s="16" t="n"/>
      <c r="F55" s="16" t="n"/>
      <c r="G55" s="16" t="n"/>
      <c r="H55" s="16" t="n"/>
      <c r="I55" s="16" t="n"/>
      <c r="J55" s="17" t="n"/>
      <c r="K55" s="16" t="n"/>
      <c r="L55" s="16" t="n"/>
    </row>
  </sheetData>
  <mergeCells count="2">
    <mergeCell ref="A2:L2"/>
    <mergeCell ref="A1:L1"/>
  </mergeCells>
  <dataValidations count="4">
    <dataValidation sqref="C6:C55" showDropDown="0" showInputMessage="0" showErrorMessage="0" allowBlank="1" type="list">
      <formula1>"Security Event Review,Compliance Review,Administrative Review,Access Review,Error Review"</formula1>
    </dataValidation>
    <dataValidation sqref="F6:F55" showDropDown="0" showInputMessage="0" showErrorMessage="0" allowBlank="1" type="list">
      <formula1>"Critical,High,Medium,Low,Informational"</formula1>
    </dataValidation>
    <dataValidation sqref="G6:G55" showDropDown="0" showInputMessage="0" showErrorMessage="0" allowBlank="1" type="list">
      <formula1>"Policy Violation,Security Event,Performance Issue,Configuration Error,Compliance Issue,Other"</formula1>
    </dataValidation>
    <dataValidation sqref="K6:K55" showDropDown="0" showInputMessage="0" showErrorMessage="0" allowBlank="1" type="list">
      <formula1>"New,In Progress,Resolved,Deferred"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 ht="35" customHeight="1">
      <c r="A1" s="11" t="inlineStr">
        <is>
          <t>CONTINUOUS MONITORING</t>
        </is>
      </c>
    </row>
    <row r="2">
      <c r="A2" s="12" t="inlineStr">
        <is>
          <t>Document continuous monitoring metrics and health indicators</t>
        </is>
      </c>
    </row>
    <row r="4">
      <c r="A4" s="13" t="inlineStr">
        <is>
          <t>Metric Date</t>
        </is>
      </c>
      <c r="B4" s="13" t="inlineStr">
        <is>
          <t>Total Events/Day</t>
        </is>
      </c>
      <c r="C4" s="13" t="inlineStr">
        <is>
          <t>Security Alerts Generated</t>
        </is>
      </c>
      <c r="D4" s="13" t="inlineStr">
        <is>
          <t>Alerts Investigated</t>
        </is>
      </c>
      <c r="E4" s="13" t="inlineStr">
        <is>
          <t>True Positives</t>
        </is>
      </c>
      <c r="F4" s="13" t="inlineStr">
        <is>
          <t>False Positives</t>
        </is>
      </c>
      <c r="G4" s="13" t="inlineStr">
        <is>
          <t>True Positive Rate %</t>
        </is>
      </c>
      <c r="H4" s="13" t="inlineStr">
        <is>
          <t>Avg MTTD (hours)</t>
        </is>
      </c>
      <c r="I4" s="13" t="inlineStr">
        <is>
          <t>Avg MTTR (hours)</t>
        </is>
      </c>
      <c r="J4" s="13" t="inlineStr">
        <is>
          <t>Critical Incidents</t>
        </is>
      </c>
      <c r="K4" s="13" t="inlineStr">
        <is>
          <t>Review Completion %</t>
        </is>
      </c>
      <c r="L4" s="13" t="inlineStr">
        <is>
          <t>Notes</t>
        </is>
      </c>
    </row>
    <row r="5">
      <c r="A5" s="14" t="inlineStr">
        <is>
          <t>06.01.2026</t>
        </is>
      </c>
      <c r="B5" s="14" t="inlineStr">
        <is>
          <t>25000000</t>
        </is>
      </c>
      <c r="C5" s="14" t="inlineStr">
        <is>
          <t>125</t>
        </is>
      </c>
      <c r="D5" s="14" t="inlineStr">
        <is>
          <t>125</t>
        </is>
      </c>
      <c r="E5" s="14" t="inlineStr">
        <is>
          <t>95</t>
        </is>
      </c>
      <c r="F5" s="14" t="inlineStr">
        <is>
          <t>30</t>
        </is>
      </c>
      <c r="G5" s="14" t="inlineStr">
        <is>
          <t>76%</t>
        </is>
      </c>
      <c r="H5" s="14" t="inlineStr">
        <is>
          <t>0.8</t>
        </is>
      </c>
      <c r="I5" s="14" t="inlineStr">
        <is>
          <t>3.2</t>
        </is>
      </c>
      <c r="J5" s="14" t="inlineStr">
        <is>
          <t>2</t>
        </is>
      </c>
      <c r="K5" s="14" t="inlineStr">
        <is>
          <t>98%</t>
        </is>
      </c>
      <c r="L5" s="14" t="inlineStr">
        <is>
          <t>Normal operations</t>
        </is>
      </c>
    </row>
    <row r="6">
      <c r="A6" s="17" t="n"/>
      <c r="B6" s="16" t="n"/>
      <c r="C6" s="16" t="n"/>
      <c r="D6" s="16" t="n"/>
      <c r="E6" s="16" t="n"/>
      <c r="F6" s="16" t="n"/>
      <c r="G6" s="19">
        <f>IF(AND(E6&lt;&gt;"",F6&lt;&gt;""),E6/(E6+F6),"")</f>
        <v/>
      </c>
      <c r="H6" s="16" t="n"/>
      <c r="I6" s="16" t="n"/>
      <c r="J6" s="16" t="n"/>
      <c r="K6" s="16" t="n"/>
      <c r="L6" s="16" t="n"/>
    </row>
    <row r="7">
      <c r="A7" s="17" t="n"/>
      <c r="B7" s="16" t="n"/>
      <c r="C7" s="16" t="n"/>
      <c r="D7" s="16" t="n"/>
      <c r="E7" s="16" t="n"/>
      <c r="F7" s="16" t="n"/>
      <c r="G7" s="19">
        <f>IF(AND(E7&lt;&gt;"",F7&lt;&gt;""),E7/(E7+F7),"")</f>
        <v/>
      </c>
      <c r="H7" s="16" t="n"/>
      <c r="I7" s="16" t="n"/>
      <c r="J7" s="16" t="n"/>
      <c r="K7" s="16" t="n"/>
      <c r="L7" s="16" t="n"/>
    </row>
    <row r="8">
      <c r="A8" s="17" t="n"/>
      <c r="B8" s="16" t="n"/>
      <c r="C8" s="16" t="n"/>
      <c r="D8" s="16" t="n"/>
      <c r="E8" s="16" t="n"/>
      <c r="F8" s="16" t="n"/>
      <c r="G8" s="19">
        <f>IF(AND(E8&lt;&gt;"",F8&lt;&gt;""),E8/(E8+F8),"")</f>
        <v/>
      </c>
      <c r="H8" s="16" t="n"/>
      <c r="I8" s="16" t="n"/>
      <c r="J8" s="16" t="n"/>
      <c r="K8" s="16" t="n"/>
      <c r="L8" s="16" t="n"/>
    </row>
    <row r="9">
      <c r="A9" s="17" t="n"/>
      <c r="B9" s="16" t="n"/>
      <c r="C9" s="16" t="n"/>
      <c r="D9" s="16" t="n"/>
      <c r="E9" s="16" t="n"/>
      <c r="F9" s="16" t="n"/>
      <c r="G9" s="19">
        <f>IF(AND(E9&lt;&gt;"",F9&lt;&gt;""),E9/(E9+F9),"")</f>
        <v/>
      </c>
      <c r="H9" s="16" t="n"/>
      <c r="I9" s="16" t="n"/>
      <c r="J9" s="16" t="n"/>
      <c r="K9" s="16" t="n"/>
      <c r="L9" s="16" t="n"/>
    </row>
    <row r="10">
      <c r="A10" s="17" t="n"/>
      <c r="B10" s="16" t="n"/>
      <c r="C10" s="16" t="n"/>
      <c r="D10" s="16" t="n"/>
      <c r="E10" s="16" t="n"/>
      <c r="F10" s="16" t="n"/>
      <c r="G10" s="19">
        <f>IF(AND(E10&lt;&gt;"",F10&lt;&gt;""),E10/(E10+F10),"")</f>
        <v/>
      </c>
      <c r="H10" s="16" t="n"/>
      <c r="I10" s="16" t="n"/>
      <c r="J10" s="16" t="n"/>
      <c r="K10" s="16" t="n"/>
      <c r="L10" s="16" t="n"/>
    </row>
    <row r="11">
      <c r="A11" s="17" t="n"/>
      <c r="B11" s="16" t="n"/>
      <c r="C11" s="16" t="n"/>
      <c r="D11" s="16" t="n"/>
      <c r="E11" s="16" t="n"/>
      <c r="F11" s="16" t="n"/>
      <c r="G11" s="19">
        <f>IF(AND(E11&lt;&gt;"",F11&lt;&gt;""),E11/(E11+F11),"")</f>
        <v/>
      </c>
      <c r="H11" s="16" t="n"/>
      <c r="I11" s="16" t="n"/>
      <c r="J11" s="16" t="n"/>
      <c r="K11" s="16" t="n"/>
      <c r="L11" s="16" t="n"/>
    </row>
    <row r="12">
      <c r="A12" s="17" t="n"/>
      <c r="B12" s="16" t="n"/>
      <c r="C12" s="16" t="n"/>
      <c r="D12" s="16" t="n"/>
      <c r="E12" s="16" t="n"/>
      <c r="F12" s="16" t="n"/>
      <c r="G12" s="19">
        <f>IF(AND(E12&lt;&gt;"",F12&lt;&gt;""),E12/(E12+F12),"")</f>
        <v/>
      </c>
      <c r="H12" s="16" t="n"/>
      <c r="I12" s="16" t="n"/>
      <c r="J12" s="16" t="n"/>
      <c r="K12" s="16" t="n"/>
      <c r="L12" s="16" t="n"/>
    </row>
    <row r="13">
      <c r="A13" s="17" t="n"/>
      <c r="B13" s="16" t="n"/>
      <c r="C13" s="16" t="n"/>
      <c r="D13" s="16" t="n"/>
      <c r="E13" s="16" t="n"/>
      <c r="F13" s="16" t="n"/>
      <c r="G13" s="19">
        <f>IF(AND(E13&lt;&gt;"",F13&lt;&gt;""),E13/(E13+F13),"")</f>
        <v/>
      </c>
      <c r="H13" s="16" t="n"/>
      <c r="I13" s="16" t="n"/>
      <c r="J13" s="16" t="n"/>
      <c r="K13" s="16" t="n"/>
      <c r="L13" s="16" t="n"/>
    </row>
    <row r="14">
      <c r="A14" s="17" t="n"/>
      <c r="B14" s="16" t="n"/>
      <c r="C14" s="16" t="n"/>
      <c r="D14" s="16" t="n"/>
      <c r="E14" s="16" t="n"/>
      <c r="F14" s="16" t="n"/>
      <c r="G14" s="19">
        <f>IF(AND(E14&lt;&gt;"",F14&lt;&gt;""),E14/(E14+F14),"")</f>
        <v/>
      </c>
      <c r="H14" s="16" t="n"/>
      <c r="I14" s="16" t="n"/>
      <c r="J14" s="16" t="n"/>
      <c r="K14" s="16" t="n"/>
      <c r="L14" s="16" t="n"/>
    </row>
    <row r="15">
      <c r="A15" s="17" t="n"/>
      <c r="B15" s="16" t="n"/>
      <c r="C15" s="16" t="n"/>
      <c r="D15" s="16" t="n"/>
      <c r="E15" s="16" t="n"/>
      <c r="F15" s="16" t="n"/>
      <c r="G15" s="19">
        <f>IF(AND(E15&lt;&gt;"",F15&lt;&gt;""),E15/(E15+F15),"")</f>
        <v/>
      </c>
      <c r="H15" s="16" t="n"/>
      <c r="I15" s="16" t="n"/>
      <c r="J15" s="16" t="n"/>
      <c r="K15" s="16" t="n"/>
      <c r="L15" s="16" t="n"/>
    </row>
    <row r="16">
      <c r="A16" s="17" t="n"/>
      <c r="B16" s="16" t="n"/>
      <c r="C16" s="16" t="n"/>
      <c r="D16" s="16" t="n"/>
      <c r="E16" s="16" t="n"/>
      <c r="F16" s="16" t="n"/>
      <c r="G16" s="19">
        <f>IF(AND(E16&lt;&gt;"",F16&lt;&gt;""),E16/(E16+F16),"")</f>
        <v/>
      </c>
      <c r="H16" s="16" t="n"/>
      <c r="I16" s="16" t="n"/>
      <c r="J16" s="16" t="n"/>
      <c r="K16" s="16" t="n"/>
      <c r="L16" s="16" t="n"/>
    </row>
    <row r="17">
      <c r="A17" s="17" t="n"/>
      <c r="B17" s="16" t="n"/>
      <c r="C17" s="16" t="n"/>
      <c r="D17" s="16" t="n"/>
      <c r="E17" s="16" t="n"/>
      <c r="F17" s="16" t="n"/>
      <c r="G17" s="19">
        <f>IF(AND(E17&lt;&gt;"",F17&lt;&gt;""),E17/(E17+F17),"")</f>
        <v/>
      </c>
      <c r="H17" s="16" t="n"/>
      <c r="I17" s="16" t="n"/>
      <c r="J17" s="16" t="n"/>
      <c r="K17" s="16" t="n"/>
      <c r="L17" s="16" t="n"/>
    </row>
    <row r="18">
      <c r="A18" s="17" t="n"/>
      <c r="B18" s="16" t="n"/>
      <c r="C18" s="16" t="n"/>
      <c r="D18" s="16" t="n"/>
      <c r="E18" s="16" t="n"/>
      <c r="F18" s="16" t="n"/>
      <c r="G18" s="19">
        <f>IF(AND(E18&lt;&gt;"",F18&lt;&gt;""),E18/(E18+F18),"")</f>
        <v/>
      </c>
      <c r="H18" s="16" t="n"/>
      <c r="I18" s="16" t="n"/>
      <c r="J18" s="16" t="n"/>
      <c r="K18" s="16" t="n"/>
      <c r="L18" s="16" t="n"/>
    </row>
    <row r="19">
      <c r="A19" s="17" t="n"/>
      <c r="B19" s="16" t="n"/>
      <c r="C19" s="16" t="n"/>
      <c r="D19" s="16" t="n"/>
      <c r="E19" s="16" t="n"/>
      <c r="F19" s="16" t="n"/>
      <c r="G19" s="19">
        <f>IF(AND(E19&lt;&gt;"",F19&lt;&gt;""),E19/(E19+F19),"")</f>
        <v/>
      </c>
      <c r="H19" s="16" t="n"/>
      <c r="I19" s="16" t="n"/>
      <c r="J19" s="16" t="n"/>
      <c r="K19" s="16" t="n"/>
      <c r="L19" s="16" t="n"/>
    </row>
    <row r="20">
      <c r="A20" s="17" t="n"/>
      <c r="B20" s="16" t="n"/>
      <c r="C20" s="16" t="n"/>
      <c r="D20" s="16" t="n"/>
      <c r="E20" s="16" t="n"/>
      <c r="F20" s="16" t="n"/>
      <c r="G20" s="19">
        <f>IF(AND(E20&lt;&gt;"",F20&lt;&gt;""),E20/(E20+F20),"")</f>
        <v/>
      </c>
      <c r="H20" s="16" t="n"/>
      <c r="I20" s="16" t="n"/>
      <c r="J20" s="16" t="n"/>
      <c r="K20" s="16" t="n"/>
      <c r="L20" s="16" t="n"/>
    </row>
    <row r="21">
      <c r="A21" s="17" t="n"/>
      <c r="B21" s="16" t="n"/>
      <c r="C21" s="16" t="n"/>
      <c r="D21" s="16" t="n"/>
      <c r="E21" s="16" t="n"/>
      <c r="F21" s="16" t="n"/>
      <c r="G21" s="19">
        <f>IF(AND(E21&lt;&gt;"",F21&lt;&gt;""),E21/(E21+F21),"")</f>
        <v/>
      </c>
      <c r="H21" s="16" t="n"/>
      <c r="I21" s="16" t="n"/>
      <c r="J21" s="16" t="n"/>
      <c r="K21" s="16" t="n"/>
      <c r="L21" s="16" t="n"/>
    </row>
    <row r="22">
      <c r="A22" s="17" t="n"/>
      <c r="B22" s="16" t="n"/>
      <c r="C22" s="16" t="n"/>
      <c r="D22" s="16" t="n"/>
      <c r="E22" s="16" t="n"/>
      <c r="F22" s="16" t="n"/>
      <c r="G22" s="19">
        <f>IF(AND(E22&lt;&gt;"",F22&lt;&gt;""),E22/(E22+F22),"")</f>
        <v/>
      </c>
      <c r="H22" s="16" t="n"/>
      <c r="I22" s="16" t="n"/>
      <c r="J22" s="16" t="n"/>
      <c r="K22" s="16" t="n"/>
      <c r="L22" s="16" t="n"/>
    </row>
    <row r="23">
      <c r="A23" s="17" t="n"/>
      <c r="B23" s="16" t="n"/>
      <c r="C23" s="16" t="n"/>
      <c r="D23" s="16" t="n"/>
      <c r="E23" s="16" t="n"/>
      <c r="F23" s="16" t="n"/>
      <c r="G23" s="19">
        <f>IF(AND(E23&lt;&gt;"",F23&lt;&gt;""),E23/(E23+F23),"")</f>
        <v/>
      </c>
      <c r="H23" s="16" t="n"/>
      <c r="I23" s="16" t="n"/>
      <c r="J23" s="16" t="n"/>
      <c r="K23" s="16" t="n"/>
      <c r="L23" s="16" t="n"/>
    </row>
    <row r="24">
      <c r="A24" s="17" t="n"/>
      <c r="B24" s="16" t="n"/>
      <c r="C24" s="16" t="n"/>
      <c r="D24" s="16" t="n"/>
      <c r="E24" s="16" t="n"/>
      <c r="F24" s="16" t="n"/>
      <c r="G24" s="19">
        <f>IF(AND(E24&lt;&gt;"",F24&lt;&gt;""),E24/(E24+F24),"")</f>
        <v/>
      </c>
      <c r="H24" s="16" t="n"/>
      <c r="I24" s="16" t="n"/>
      <c r="J24" s="16" t="n"/>
      <c r="K24" s="16" t="n"/>
      <c r="L24" s="16" t="n"/>
    </row>
    <row r="25">
      <c r="A25" s="17" t="n"/>
      <c r="B25" s="16" t="n"/>
      <c r="C25" s="16" t="n"/>
      <c r="D25" s="16" t="n"/>
      <c r="E25" s="16" t="n"/>
      <c r="F25" s="16" t="n"/>
      <c r="G25" s="19">
        <f>IF(AND(E25&lt;&gt;"",F25&lt;&gt;""),E25/(E25+F25),"")</f>
        <v/>
      </c>
      <c r="H25" s="16" t="n"/>
      <c r="I25" s="16" t="n"/>
      <c r="J25" s="16" t="n"/>
      <c r="K25" s="16" t="n"/>
      <c r="L25" s="16" t="n"/>
    </row>
    <row r="26">
      <c r="A26" s="17" t="n"/>
      <c r="B26" s="16" t="n"/>
      <c r="C26" s="16" t="n"/>
      <c r="D26" s="16" t="n"/>
      <c r="E26" s="16" t="n"/>
      <c r="F26" s="16" t="n"/>
      <c r="G26" s="19">
        <f>IF(AND(E26&lt;&gt;"",F26&lt;&gt;""),E26/(E26+F26),"")</f>
        <v/>
      </c>
      <c r="H26" s="16" t="n"/>
      <c r="I26" s="16" t="n"/>
      <c r="J26" s="16" t="n"/>
      <c r="K26" s="16" t="n"/>
      <c r="L26" s="16" t="n"/>
    </row>
    <row r="27">
      <c r="A27" s="17" t="n"/>
      <c r="B27" s="16" t="n"/>
      <c r="C27" s="16" t="n"/>
      <c r="D27" s="16" t="n"/>
      <c r="E27" s="16" t="n"/>
      <c r="F27" s="16" t="n"/>
      <c r="G27" s="19">
        <f>IF(AND(E27&lt;&gt;"",F27&lt;&gt;""),E27/(E27+F27),"")</f>
        <v/>
      </c>
      <c r="H27" s="16" t="n"/>
      <c r="I27" s="16" t="n"/>
      <c r="J27" s="16" t="n"/>
      <c r="K27" s="16" t="n"/>
      <c r="L27" s="16" t="n"/>
    </row>
    <row r="28">
      <c r="A28" s="17" t="n"/>
      <c r="B28" s="16" t="n"/>
      <c r="C28" s="16" t="n"/>
      <c r="D28" s="16" t="n"/>
      <c r="E28" s="16" t="n"/>
      <c r="F28" s="16" t="n"/>
      <c r="G28" s="19">
        <f>IF(AND(E28&lt;&gt;"",F28&lt;&gt;""),E28/(E28+F28),"")</f>
        <v/>
      </c>
      <c r="H28" s="16" t="n"/>
      <c r="I28" s="16" t="n"/>
      <c r="J28" s="16" t="n"/>
      <c r="K28" s="16" t="n"/>
      <c r="L28" s="16" t="n"/>
    </row>
    <row r="29">
      <c r="A29" s="17" t="n"/>
      <c r="B29" s="16" t="n"/>
      <c r="C29" s="16" t="n"/>
      <c r="D29" s="16" t="n"/>
      <c r="E29" s="16" t="n"/>
      <c r="F29" s="16" t="n"/>
      <c r="G29" s="19">
        <f>IF(AND(E29&lt;&gt;"",F29&lt;&gt;""),E29/(E29+F29),"")</f>
        <v/>
      </c>
      <c r="H29" s="16" t="n"/>
      <c r="I29" s="16" t="n"/>
      <c r="J29" s="16" t="n"/>
      <c r="K29" s="16" t="n"/>
      <c r="L29" s="16" t="n"/>
    </row>
    <row r="30">
      <c r="A30" s="17" t="n"/>
      <c r="B30" s="16" t="n"/>
      <c r="C30" s="16" t="n"/>
      <c r="D30" s="16" t="n"/>
      <c r="E30" s="16" t="n"/>
      <c r="F30" s="16" t="n"/>
      <c r="G30" s="19">
        <f>IF(AND(E30&lt;&gt;"",F30&lt;&gt;""),E30/(E30+F30),"")</f>
        <v/>
      </c>
      <c r="H30" s="16" t="n"/>
      <c r="I30" s="16" t="n"/>
      <c r="J30" s="16" t="n"/>
      <c r="K30" s="16" t="n"/>
      <c r="L30" s="16" t="n"/>
    </row>
    <row r="31">
      <c r="A31" s="17" t="n"/>
      <c r="B31" s="16" t="n"/>
      <c r="C31" s="16" t="n"/>
      <c r="D31" s="16" t="n"/>
      <c r="E31" s="16" t="n"/>
      <c r="F31" s="16" t="n"/>
      <c r="G31" s="19">
        <f>IF(AND(E31&lt;&gt;"",F31&lt;&gt;""),E31/(E31+F31),"")</f>
        <v/>
      </c>
      <c r="H31" s="16" t="n"/>
      <c r="I31" s="16" t="n"/>
      <c r="J31" s="16" t="n"/>
      <c r="K31" s="16" t="n"/>
      <c r="L31" s="16" t="n"/>
    </row>
    <row r="32">
      <c r="A32" s="17" t="n"/>
      <c r="B32" s="16" t="n"/>
      <c r="C32" s="16" t="n"/>
      <c r="D32" s="16" t="n"/>
      <c r="E32" s="16" t="n"/>
      <c r="F32" s="16" t="n"/>
      <c r="G32" s="19">
        <f>IF(AND(E32&lt;&gt;"",F32&lt;&gt;""),E32/(E32+F32),"")</f>
        <v/>
      </c>
      <c r="H32" s="16" t="n"/>
      <c r="I32" s="16" t="n"/>
      <c r="J32" s="16" t="n"/>
      <c r="K32" s="16" t="n"/>
      <c r="L32" s="16" t="n"/>
    </row>
    <row r="33">
      <c r="A33" s="17" t="n"/>
      <c r="B33" s="16" t="n"/>
      <c r="C33" s="16" t="n"/>
      <c r="D33" s="16" t="n"/>
      <c r="E33" s="16" t="n"/>
      <c r="F33" s="16" t="n"/>
      <c r="G33" s="19">
        <f>IF(AND(E33&lt;&gt;"",F33&lt;&gt;""),E33/(E33+F33),"")</f>
        <v/>
      </c>
      <c r="H33" s="16" t="n"/>
      <c r="I33" s="16" t="n"/>
      <c r="J33" s="16" t="n"/>
      <c r="K33" s="16" t="n"/>
      <c r="L33" s="16" t="n"/>
    </row>
    <row r="34">
      <c r="A34" s="17" t="n"/>
      <c r="B34" s="16" t="n"/>
      <c r="C34" s="16" t="n"/>
      <c r="D34" s="16" t="n"/>
      <c r="E34" s="16" t="n"/>
      <c r="F34" s="16" t="n"/>
      <c r="G34" s="19">
        <f>IF(AND(E34&lt;&gt;"",F34&lt;&gt;""),E34/(E34+F34),"")</f>
        <v/>
      </c>
      <c r="H34" s="16" t="n"/>
      <c r="I34" s="16" t="n"/>
      <c r="J34" s="16" t="n"/>
      <c r="K34" s="16" t="n"/>
      <c r="L34" s="16" t="n"/>
    </row>
    <row r="35">
      <c r="A35" s="17" t="n"/>
      <c r="B35" s="16" t="n"/>
      <c r="C35" s="16" t="n"/>
      <c r="D35" s="16" t="n"/>
      <c r="E35" s="16" t="n"/>
      <c r="F35" s="16" t="n"/>
      <c r="G35" s="19">
        <f>IF(AND(E35&lt;&gt;"",F35&lt;&gt;""),E35/(E35+F35),"")</f>
        <v/>
      </c>
      <c r="H35" s="16" t="n"/>
      <c r="I35" s="16" t="n"/>
      <c r="J35" s="16" t="n"/>
      <c r="K35" s="16" t="n"/>
      <c r="L35" s="16" t="n"/>
    </row>
    <row r="36">
      <c r="A36" s="17" t="n"/>
      <c r="B36" s="16" t="n"/>
      <c r="C36" s="16" t="n"/>
      <c r="D36" s="16" t="n"/>
      <c r="E36" s="16" t="n"/>
      <c r="F36" s="16" t="n"/>
      <c r="G36" s="19">
        <f>IF(AND(E36&lt;&gt;"",F36&lt;&gt;""),E36/(E36+F36),"")</f>
        <v/>
      </c>
      <c r="H36" s="16" t="n"/>
      <c r="I36" s="16" t="n"/>
      <c r="J36" s="16" t="n"/>
      <c r="K36" s="16" t="n"/>
      <c r="L36" s="16" t="n"/>
    </row>
    <row r="37">
      <c r="A37" s="17" t="n"/>
      <c r="B37" s="16" t="n"/>
      <c r="C37" s="16" t="n"/>
      <c r="D37" s="16" t="n"/>
      <c r="E37" s="16" t="n"/>
      <c r="F37" s="16" t="n"/>
      <c r="G37" s="19">
        <f>IF(AND(E37&lt;&gt;"",F37&lt;&gt;""),E37/(E37+F37),"")</f>
        <v/>
      </c>
      <c r="H37" s="16" t="n"/>
      <c r="I37" s="16" t="n"/>
      <c r="J37" s="16" t="n"/>
      <c r="K37" s="16" t="n"/>
      <c r="L37" s="16" t="n"/>
    </row>
    <row r="38">
      <c r="A38" s="17" t="n"/>
      <c r="B38" s="16" t="n"/>
      <c r="C38" s="16" t="n"/>
      <c r="D38" s="16" t="n"/>
      <c r="E38" s="16" t="n"/>
      <c r="F38" s="16" t="n"/>
      <c r="G38" s="19">
        <f>IF(AND(E38&lt;&gt;"",F38&lt;&gt;""),E38/(E38+F38),"")</f>
        <v/>
      </c>
      <c r="H38" s="16" t="n"/>
      <c r="I38" s="16" t="n"/>
      <c r="J38" s="16" t="n"/>
      <c r="K38" s="16" t="n"/>
      <c r="L38" s="16" t="n"/>
    </row>
    <row r="39">
      <c r="A39" s="17" t="n"/>
      <c r="B39" s="16" t="n"/>
      <c r="C39" s="16" t="n"/>
      <c r="D39" s="16" t="n"/>
      <c r="E39" s="16" t="n"/>
      <c r="F39" s="16" t="n"/>
      <c r="G39" s="19">
        <f>IF(AND(E39&lt;&gt;"",F39&lt;&gt;""),E39/(E39+F39),"")</f>
        <v/>
      </c>
      <c r="H39" s="16" t="n"/>
      <c r="I39" s="16" t="n"/>
      <c r="J39" s="16" t="n"/>
      <c r="K39" s="16" t="n"/>
      <c r="L39" s="16" t="n"/>
    </row>
    <row r="40">
      <c r="A40" s="17" t="n"/>
      <c r="B40" s="16" t="n"/>
      <c r="C40" s="16" t="n"/>
      <c r="D40" s="16" t="n"/>
      <c r="E40" s="16" t="n"/>
      <c r="F40" s="16" t="n"/>
      <c r="G40" s="19">
        <f>IF(AND(E40&lt;&gt;"",F40&lt;&gt;""),E40/(E40+F40),"")</f>
        <v/>
      </c>
      <c r="H40" s="16" t="n"/>
      <c r="I40" s="16" t="n"/>
      <c r="J40" s="16" t="n"/>
      <c r="K40" s="16" t="n"/>
      <c r="L40" s="16" t="n"/>
    </row>
    <row r="41">
      <c r="A41" s="17" t="n"/>
      <c r="B41" s="16" t="n"/>
      <c r="C41" s="16" t="n"/>
      <c r="D41" s="16" t="n"/>
      <c r="E41" s="16" t="n"/>
      <c r="F41" s="16" t="n"/>
      <c r="G41" s="19">
        <f>IF(AND(E41&lt;&gt;"",F41&lt;&gt;""),E41/(E41+F41),"")</f>
        <v/>
      </c>
      <c r="H41" s="16" t="n"/>
      <c r="I41" s="16" t="n"/>
      <c r="J41" s="16" t="n"/>
      <c r="K41" s="16" t="n"/>
      <c r="L41" s="16" t="n"/>
    </row>
    <row r="42">
      <c r="A42" s="17" t="n"/>
      <c r="B42" s="16" t="n"/>
      <c r="C42" s="16" t="n"/>
      <c r="D42" s="16" t="n"/>
      <c r="E42" s="16" t="n"/>
      <c r="F42" s="16" t="n"/>
      <c r="G42" s="19">
        <f>IF(AND(E42&lt;&gt;"",F42&lt;&gt;""),E42/(E42+F42),"")</f>
        <v/>
      </c>
      <c r="H42" s="16" t="n"/>
      <c r="I42" s="16" t="n"/>
      <c r="J42" s="16" t="n"/>
      <c r="K42" s="16" t="n"/>
      <c r="L42" s="16" t="n"/>
    </row>
    <row r="43">
      <c r="A43" s="17" t="n"/>
      <c r="B43" s="16" t="n"/>
      <c r="C43" s="16" t="n"/>
      <c r="D43" s="16" t="n"/>
      <c r="E43" s="16" t="n"/>
      <c r="F43" s="16" t="n"/>
      <c r="G43" s="19">
        <f>IF(AND(E43&lt;&gt;"",F43&lt;&gt;""),E43/(E43+F43),"")</f>
        <v/>
      </c>
      <c r="H43" s="16" t="n"/>
      <c r="I43" s="16" t="n"/>
      <c r="J43" s="16" t="n"/>
      <c r="K43" s="16" t="n"/>
      <c r="L43" s="16" t="n"/>
    </row>
    <row r="44">
      <c r="A44" s="17" t="n"/>
      <c r="B44" s="16" t="n"/>
      <c r="C44" s="16" t="n"/>
      <c r="D44" s="16" t="n"/>
      <c r="E44" s="16" t="n"/>
      <c r="F44" s="16" t="n"/>
      <c r="G44" s="19">
        <f>IF(AND(E44&lt;&gt;"",F44&lt;&gt;""),E44/(E44+F44),"")</f>
        <v/>
      </c>
      <c r="H44" s="16" t="n"/>
      <c r="I44" s="16" t="n"/>
      <c r="J44" s="16" t="n"/>
      <c r="K44" s="16" t="n"/>
      <c r="L44" s="16" t="n"/>
    </row>
    <row r="45">
      <c r="A45" s="17" t="n"/>
      <c r="B45" s="16" t="n"/>
      <c r="C45" s="16" t="n"/>
      <c r="D45" s="16" t="n"/>
      <c r="E45" s="16" t="n"/>
      <c r="F45" s="16" t="n"/>
      <c r="G45" s="19">
        <f>IF(AND(E45&lt;&gt;"",F45&lt;&gt;""),E45/(E45+F45),"")</f>
        <v/>
      </c>
      <c r="H45" s="16" t="n"/>
      <c r="I45" s="16" t="n"/>
      <c r="J45" s="16" t="n"/>
      <c r="K45" s="16" t="n"/>
      <c r="L45" s="16" t="n"/>
    </row>
    <row r="46">
      <c r="A46" s="17" t="n"/>
      <c r="B46" s="16" t="n"/>
      <c r="C46" s="16" t="n"/>
      <c r="D46" s="16" t="n"/>
      <c r="E46" s="16" t="n"/>
      <c r="F46" s="16" t="n"/>
      <c r="G46" s="19">
        <f>IF(AND(E46&lt;&gt;"",F46&lt;&gt;""),E46/(E46+F46),"")</f>
        <v/>
      </c>
      <c r="H46" s="16" t="n"/>
      <c r="I46" s="16" t="n"/>
      <c r="J46" s="16" t="n"/>
      <c r="K46" s="16" t="n"/>
      <c r="L46" s="16" t="n"/>
    </row>
    <row r="47">
      <c r="A47" s="17" t="n"/>
      <c r="B47" s="16" t="n"/>
      <c r="C47" s="16" t="n"/>
      <c r="D47" s="16" t="n"/>
      <c r="E47" s="16" t="n"/>
      <c r="F47" s="16" t="n"/>
      <c r="G47" s="19">
        <f>IF(AND(E47&lt;&gt;"",F47&lt;&gt;""),E47/(E47+F47),"")</f>
        <v/>
      </c>
      <c r="H47" s="16" t="n"/>
      <c r="I47" s="16" t="n"/>
      <c r="J47" s="16" t="n"/>
      <c r="K47" s="16" t="n"/>
      <c r="L47" s="16" t="n"/>
    </row>
    <row r="48">
      <c r="A48" s="17" t="n"/>
      <c r="B48" s="16" t="n"/>
      <c r="C48" s="16" t="n"/>
      <c r="D48" s="16" t="n"/>
      <c r="E48" s="16" t="n"/>
      <c r="F48" s="16" t="n"/>
      <c r="G48" s="19">
        <f>IF(AND(E48&lt;&gt;"",F48&lt;&gt;""),E48/(E48+F48),"")</f>
        <v/>
      </c>
      <c r="H48" s="16" t="n"/>
      <c r="I48" s="16" t="n"/>
      <c r="J48" s="16" t="n"/>
      <c r="K48" s="16" t="n"/>
      <c r="L48" s="16" t="n"/>
    </row>
    <row r="49">
      <c r="A49" s="17" t="n"/>
      <c r="B49" s="16" t="n"/>
      <c r="C49" s="16" t="n"/>
      <c r="D49" s="16" t="n"/>
      <c r="E49" s="16" t="n"/>
      <c r="F49" s="16" t="n"/>
      <c r="G49" s="19">
        <f>IF(AND(E49&lt;&gt;"",F49&lt;&gt;""),E49/(E49+F49),"")</f>
        <v/>
      </c>
      <c r="H49" s="16" t="n"/>
      <c r="I49" s="16" t="n"/>
      <c r="J49" s="16" t="n"/>
      <c r="K49" s="16" t="n"/>
      <c r="L49" s="16" t="n"/>
    </row>
    <row r="50">
      <c r="A50" s="17" t="n"/>
      <c r="B50" s="16" t="n"/>
      <c r="C50" s="16" t="n"/>
      <c r="D50" s="16" t="n"/>
      <c r="E50" s="16" t="n"/>
      <c r="F50" s="16" t="n"/>
      <c r="G50" s="19">
        <f>IF(AND(E50&lt;&gt;"",F50&lt;&gt;""),E50/(E50+F50),"")</f>
        <v/>
      </c>
      <c r="H50" s="16" t="n"/>
      <c r="I50" s="16" t="n"/>
      <c r="J50" s="16" t="n"/>
      <c r="K50" s="16" t="n"/>
      <c r="L50" s="16" t="n"/>
    </row>
    <row r="51">
      <c r="A51" s="17" t="n"/>
      <c r="B51" s="16" t="n"/>
      <c r="C51" s="16" t="n"/>
      <c r="D51" s="16" t="n"/>
      <c r="E51" s="16" t="n"/>
      <c r="F51" s="16" t="n"/>
      <c r="G51" s="19">
        <f>IF(AND(E51&lt;&gt;"",F51&lt;&gt;""),E51/(E51+F51),"")</f>
        <v/>
      </c>
      <c r="H51" s="16" t="n"/>
      <c r="I51" s="16" t="n"/>
      <c r="J51" s="16" t="n"/>
      <c r="K51" s="16" t="n"/>
      <c r="L51" s="16" t="n"/>
    </row>
    <row r="52">
      <c r="A52" s="17" t="n"/>
      <c r="B52" s="16" t="n"/>
      <c r="C52" s="16" t="n"/>
      <c r="D52" s="16" t="n"/>
      <c r="E52" s="16" t="n"/>
      <c r="F52" s="16" t="n"/>
      <c r="G52" s="19">
        <f>IF(AND(E52&lt;&gt;"",F52&lt;&gt;""),E52/(E52+F52),"")</f>
        <v/>
      </c>
      <c r="H52" s="16" t="n"/>
      <c r="I52" s="16" t="n"/>
      <c r="J52" s="16" t="n"/>
      <c r="K52" s="16" t="n"/>
      <c r="L52" s="16" t="n"/>
    </row>
    <row r="53">
      <c r="A53" s="17" t="n"/>
      <c r="B53" s="16" t="n"/>
      <c r="C53" s="16" t="n"/>
      <c r="D53" s="16" t="n"/>
      <c r="E53" s="16" t="n"/>
      <c r="F53" s="16" t="n"/>
      <c r="G53" s="19">
        <f>IF(AND(E53&lt;&gt;"",F53&lt;&gt;""),E53/(E53+F53),"")</f>
        <v/>
      </c>
      <c r="H53" s="16" t="n"/>
      <c r="I53" s="16" t="n"/>
      <c r="J53" s="16" t="n"/>
      <c r="K53" s="16" t="n"/>
      <c r="L53" s="16" t="n"/>
    </row>
    <row r="54">
      <c r="A54" s="17" t="n"/>
      <c r="B54" s="16" t="n"/>
      <c r="C54" s="16" t="n"/>
      <c r="D54" s="16" t="n"/>
      <c r="E54" s="16" t="n"/>
      <c r="F54" s="16" t="n"/>
      <c r="G54" s="19">
        <f>IF(AND(E54&lt;&gt;"",F54&lt;&gt;""),E54/(E54+F54),"")</f>
        <v/>
      </c>
      <c r="H54" s="16" t="n"/>
      <c r="I54" s="16" t="n"/>
      <c r="J54" s="16" t="n"/>
      <c r="K54" s="16" t="n"/>
      <c r="L54" s="16" t="n"/>
    </row>
    <row r="55">
      <c r="A55" s="17" t="n"/>
      <c r="B55" s="16" t="n"/>
      <c r="C55" s="16" t="n"/>
      <c r="D55" s="16" t="n"/>
      <c r="E55" s="16" t="n"/>
      <c r="F55" s="16" t="n"/>
      <c r="G55" s="19">
        <f>IF(AND(E55&lt;&gt;"",F55&lt;&gt;""),E55/(E55+F55),"")</f>
        <v/>
      </c>
      <c r="H55" s="16" t="n"/>
      <c r="I55" s="16" t="n"/>
      <c r="J55" s="16" t="n"/>
      <c r="K55" s="16" t="n"/>
      <c r="L55" s="16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5" customHeight="1">
      <c r="A1" s="11" t="inlineStr">
        <is>
          <t>PERFORMANCE METRICS</t>
        </is>
      </c>
    </row>
    <row r="2">
      <c r="A2" s="12" t="inlineStr">
        <is>
          <t>Key performance indicators for log analysis and review programme</t>
        </is>
      </c>
    </row>
    <row r="4">
      <c r="A4" s="12" t="inlineStr">
        <is>
          <t>CURRENT PERIOD METRICS</t>
        </is>
      </c>
    </row>
    <row r="6">
      <c r="A6" s="13" t="inlineStr">
        <is>
          <t>Metric</t>
        </is>
      </c>
      <c r="B6" s="13" t="inlineStr">
        <is>
          <t>Value</t>
        </is>
      </c>
      <c r="C6" s="13" t="inlineStr">
        <is>
          <t>Target</t>
        </is>
      </c>
      <c r="D6" s="13" t="inlineStr">
        <is>
          <t>Status</t>
        </is>
      </c>
    </row>
    <row r="7">
      <c r="A7" s="21" t="inlineStr">
        <is>
          <t>Avg True Positive Rate</t>
        </is>
      </c>
      <c r="B7" s="19">
        <f>AVERAGE('Continuous Monitoring'!G9:G98)</f>
        <v/>
      </c>
      <c r="C7" s="22" t="inlineStr">
        <is>
          <t>&gt;50%</t>
        </is>
      </c>
      <c r="D7" s="15">
        <f>IF(B7&gt;0,"✓","✗")</f>
        <v/>
      </c>
    </row>
    <row r="8">
      <c r="A8" s="21" t="inlineStr">
        <is>
          <t>Avg MTTD (hours)</t>
        </is>
      </c>
      <c r="B8" s="15">
        <f>AVERAGE('Continuous Monitoring'!H9:H98)</f>
        <v/>
      </c>
      <c r="C8" s="22" t="inlineStr">
        <is>
          <t>&lt;1</t>
        </is>
      </c>
      <c r="D8" s="15">
        <f>IF(B8&gt;0,"✓","✗")</f>
        <v/>
      </c>
    </row>
    <row r="9">
      <c r="A9" s="21" t="inlineStr">
        <is>
          <t>Avg MTTR (hours)</t>
        </is>
      </c>
      <c r="B9" s="15">
        <f>AVERAGE('Continuous Monitoring'!I9:I98)</f>
        <v/>
      </c>
      <c r="C9" s="22" t="inlineStr">
        <is>
          <t>&lt;4</t>
        </is>
      </c>
      <c r="D9" s="15">
        <f>IF(B9&gt;0,"✓","✗")</f>
        <v/>
      </c>
    </row>
    <row r="10">
      <c r="A10" s="21" t="inlineStr">
        <is>
          <t>Total Incidents</t>
        </is>
      </c>
      <c r="B10" s="15">
        <f>COUNTA('Investigation Workflow'!A9:A208)</f>
        <v/>
      </c>
      <c r="C10" s="22" t="inlineStr">
        <is>
          <t>N/A</t>
        </is>
      </c>
      <c r="D10" s="15">
        <f>IF(B10&gt;0,"✓","✗")</f>
        <v/>
      </c>
    </row>
    <row r="11">
      <c r="A11" s="21" t="inlineStr">
        <is>
          <t>Critical Incidents</t>
        </is>
      </c>
      <c r="B11" s="15">
        <f>COUNTIF('Investigation Workflow'!D:D,"Critical")</f>
        <v/>
      </c>
      <c r="C11" s="22" t="inlineStr">
        <is>
          <t>Minimise</t>
        </is>
      </c>
      <c r="D11" s="15">
        <f>IF(B11&gt;0,"✓","✗")</f>
        <v/>
      </c>
    </row>
    <row r="12">
      <c r="A12" s="21" t="inlineStr">
        <is>
          <t>Review Completion Rate</t>
        </is>
      </c>
      <c r="B12" s="19">
        <f>COUNTIF('Log Review Schedule'!I:I,"On Schedule")/COUNTA('Log Review Schedule'!I9:I100)</f>
        <v/>
      </c>
      <c r="C12" s="22" t="inlineStr">
        <is>
          <t>&gt;95%</t>
        </is>
      </c>
      <c r="D12" s="15">
        <f>IF(B12&gt;0,"✓","✗")</f>
        <v/>
      </c>
    </row>
    <row r="13">
      <c r="A13" s="21" t="inlineStr">
        <is>
          <t>Alerts Requiring Tuning</t>
        </is>
      </c>
      <c r="B13" s="15">
        <f>COUNTIF('Alert Management'!L:L,"Yes")</f>
        <v/>
      </c>
      <c r="C13" s="22" t="inlineStr">
        <is>
          <t>Minimise</t>
        </is>
      </c>
      <c r="D13" s="15">
        <f>IF(B13&gt;0,"✓","✗")</f>
        <v/>
      </c>
    </row>
    <row r="14">
      <c r="A14" s="21" t="inlineStr">
        <is>
          <t>Playbook Coverage</t>
        </is>
      </c>
      <c r="B14" s="19">
        <f>COUNTIF('Alert Management'!M:M,"Yes")/COUNTA('Alert Management'!M9:M150)</f>
        <v/>
      </c>
      <c r="C14" s="22" t="inlineStr">
        <is>
          <t>100%</t>
        </is>
      </c>
      <c r="D14" s="15">
        <f>IF(B14&gt;0,"✓","✗")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Identify gaps in log analysis and review capabilities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Impact</t>
        </is>
      </c>
      <c r="E4" s="13" t="inlineStr">
        <is>
          <t>Policy Requirement</t>
        </is>
      </c>
      <c r="F4" s="13" t="inlineStr">
        <is>
          <t>Priority</t>
        </is>
      </c>
      <c r="G4" s="13" t="inlineStr">
        <is>
          <t>Remediation Action</t>
        </is>
      </c>
      <c r="H4" s="13" t="inlineStr">
        <is>
          <t>Owner</t>
        </is>
      </c>
      <c r="I4" s="13" t="inlineStr">
        <is>
          <t>Target Date</t>
        </is>
      </c>
      <c r="J4" s="13" t="inlineStr">
        <is>
          <t>Budget Required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Alert Tuning</t>
        </is>
      </c>
      <c r="C5" s="14" t="inlineStr">
        <is>
          <t>High false positive rate for network alerts</t>
        </is>
      </c>
      <c r="D5" s="14" t="inlineStr">
        <is>
          <t>Analyst fatigue, missed real threats</t>
        </is>
      </c>
      <c r="E5" s="14" t="inlineStr">
        <is>
          <t>S2.4.3</t>
        </is>
      </c>
      <c r="F5" s="14" t="inlineStr">
        <is>
          <t>High</t>
        </is>
      </c>
      <c r="G5" s="14" t="inlineStr">
        <is>
          <t>Tune network alert thresholds, add context enrichment</t>
        </is>
      </c>
      <c r="H5" s="14" t="inlineStr">
        <is>
          <t>SOC Lead</t>
        </is>
      </c>
      <c r="I5" s="14" t="inlineStr">
        <is>
          <t>28.02.2026</t>
        </is>
      </c>
      <c r="J5" s="14" t="inlineStr">
        <is>
          <t>No</t>
        </is>
      </c>
      <c r="K5" s="14" t="inlineStr">
        <is>
          <t>In Progress</t>
        </is>
      </c>
      <c r="L5" s="14" t="inlineStr">
        <is>
          <t>Working with vendor support</t>
        </is>
      </c>
    </row>
    <row r="6">
      <c r="A6" s="23">
        <f>IF(B6&lt;&gt;"","GAP-"&amp;TEXT(ROW()-5,"000"),"")</f>
        <v/>
      </c>
      <c r="B6" s="16" t="n"/>
      <c r="C6" s="16" t="n"/>
      <c r="D6" s="16" t="n"/>
      <c r="E6" s="16" t="n"/>
      <c r="F6" s="16" t="n"/>
      <c r="G6" s="16" t="n"/>
      <c r="H6" s="16" t="n"/>
      <c r="I6" s="17" t="n"/>
      <c r="J6" s="16" t="n"/>
      <c r="K6" s="16" t="n"/>
      <c r="L6" s="16" t="n"/>
    </row>
    <row r="7">
      <c r="A7" s="23">
        <f>IF(B7&lt;&gt;"","GAP-"&amp;TEXT(ROW()-5,"000"),"")</f>
        <v/>
      </c>
      <c r="B7" s="16" t="n"/>
      <c r="C7" s="16" t="n"/>
      <c r="D7" s="16" t="n"/>
      <c r="E7" s="16" t="n"/>
      <c r="F7" s="16" t="n"/>
      <c r="G7" s="16" t="n"/>
      <c r="H7" s="16" t="n"/>
      <c r="I7" s="17" t="n"/>
      <c r="J7" s="16" t="n"/>
      <c r="K7" s="16" t="n"/>
      <c r="L7" s="16" t="n"/>
    </row>
    <row r="8">
      <c r="A8" s="23">
        <f>IF(B8&lt;&gt;"","GAP-"&amp;TEXT(ROW()-5,"000"),"")</f>
        <v/>
      </c>
      <c r="B8" s="16" t="n"/>
      <c r="C8" s="16" t="n"/>
      <c r="D8" s="16" t="n"/>
      <c r="E8" s="16" t="n"/>
      <c r="F8" s="16" t="n"/>
      <c r="G8" s="16" t="n"/>
      <c r="H8" s="16" t="n"/>
      <c r="I8" s="17" t="n"/>
      <c r="J8" s="16" t="n"/>
      <c r="K8" s="16" t="n"/>
      <c r="L8" s="16" t="n"/>
    </row>
    <row r="9">
      <c r="A9" s="23">
        <f>IF(B9&lt;&gt;"","GAP-"&amp;TEXT(ROW()-5,"000"),"")</f>
        <v/>
      </c>
      <c r="B9" s="16" t="n"/>
      <c r="C9" s="16" t="n"/>
      <c r="D9" s="16" t="n"/>
      <c r="E9" s="16" t="n"/>
      <c r="F9" s="16" t="n"/>
      <c r="G9" s="16" t="n"/>
      <c r="H9" s="16" t="n"/>
      <c r="I9" s="17" t="n"/>
      <c r="J9" s="16" t="n"/>
      <c r="K9" s="16" t="n"/>
      <c r="L9" s="16" t="n"/>
    </row>
    <row r="10">
      <c r="A10" s="23">
        <f>IF(B10&lt;&gt;"","GAP-"&amp;TEXT(ROW()-5,"000"),"")</f>
        <v/>
      </c>
      <c r="B10" s="16" t="n"/>
      <c r="C10" s="16" t="n"/>
      <c r="D10" s="16" t="n"/>
      <c r="E10" s="16" t="n"/>
      <c r="F10" s="16" t="n"/>
      <c r="G10" s="16" t="n"/>
      <c r="H10" s="16" t="n"/>
      <c r="I10" s="17" t="n"/>
      <c r="J10" s="16" t="n"/>
      <c r="K10" s="16" t="n"/>
      <c r="L10" s="16" t="n"/>
    </row>
    <row r="11">
      <c r="A11" s="23">
        <f>IF(B11&lt;&gt;"","GAP-"&amp;TEXT(ROW()-5,"000"),"")</f>
        <v/>
      </c>
      <c r="B11" s="16" t="n"/>
      <c r="C11" s="16" t="n"/>
      <c r="D11" s="16" t="n"/>
      <c r="E11" s="16" t="n"/>
      <c r="F11" s="16" t="n"/>
      <c r="G11" s="16" t="n"/>
      <c r="H11" s="16" t="n"/>
      <c r="I11" s="17" t="n"/>
      <c r="J11" s="16" t="n"/>
      <c r="K11" s="16" t="n"/>
      <c r="L11" s="16" t="n"/>
    </row>
    <row r="12">
      <c r="A12" s="23">
        <f>IF(B12&lt;&gt;"","GAP-"&amp;TEXT(ROW()-5,"000"),"")</f>
        <v/>
      </c>
      <c r="B12" s="16" t="n"/>
      <c r="C12" s="16" t="n"/>
      <c r="D12" s="16" t="n"/>
      <c r="E12" s="16" t="n"/>
      <c r="F12" s="16" t="n"/>
      <c r="G12" s="16" t="n"/>
      <c r="H12" s="16" t="n"/>
      <c r="I12" s="17" t="n"/>
      <c r="J12" s="16" t="n"/>
      <c r="K12" s="16" t="n"/>
      <c r="L12" s="16" t="n"/>
    </row>
    <row r="13">
      <c r="A13" s="23">
        <f>IF(B13&lt;&gt;"","GAP-"&amp;TEXT(ROW()-5,"000"),"")</f>
        <v/>
      </c>
      <c r="B13" s="16" t="n"/>
      <c r="C13" s="16" t="n"/>
      <c r="D13" s="16" t="n"/>
      <c r="E13" s="16" t="n"/>
      <c r="F13" s="16" t="n"/>
      <c r="G13" s="16" t="n"/>
      <c r="H13" s="16" t="n"/>
      <c r="I13" s="17" t="n"/>
      <c r="J13" s="16" t="n"/>
      <c r="K13" s="16" t="n"/>
      <c r="L13" s="16" t="n"/>
    </row>
    <row r="14">
      <c r="A14" s="23">
        <f>IF(B14&lt;&gt;"","GAP-"&amp;TEXT(ROW()-5,"000"),"")</f>
        <v/>
      </c>
      <c r="B14" s="16" t="n"/>
      <c r="C14" s="16" t="n"/>
      <c r="D14" s="16" t="n"/>
      <c r="E14" s="16" t="n"/>
      <c r="F14" s="16" t="n"/>
      <c r="G14" s="16" t="n"/>
      <c r="H14" s="16" t="n"/>
      <c r="I14" s="17" t="n"/>
      <c r="J14" s="16" t="n"/>
      <c r="K14" s="16" t="n"/>
      <c r="L14" s="16" t="n"/>
    </row>
    <row r="15">
      <c r="A15" s="23">
        <f>IF(B15&lt;&gt;"","GAP-"&amp;TEXT(ROW()-5,"000"),"")</f>
        <v/>
      </c>
      <c r="B15" s="16" t="n"/>
      <c r="C15" s="16" t="n"/>
      <c r="D15" s="16" t="n"/>
      <c r="E15" s="16" t="n"/>
      <c r="F15" s="16" t="n"/>
      <c r="G15" s="16" t="n"/>
      <c r="H15" s="16" t="n"/>
      <c r="I15" s="17" t="n"/>
      <c r="J15" s="16" t="n"/>
      <c r="K15" s="16" t="n"/>
      <c r="L15" s="16" t="n"/>
    </row>
    <row r="16">
      <c r="A16" s="23">
        <f>IF(B16&lt;&gt;"","GAP-"&amp;TEXT(ROW()-5,"000"),"")</f>
        <v/>
      </c>
      <c r="B16" s="16" t="n"/>
      <c r="C16" s="16" t="n"/>
      <c r="D16" s="16" t="n"/>
      <c r="E16" s="16" t="n"/>
      <c r="F16" s="16" t="n"/>
      <c r="G16" s="16" t="n"/>
      <c r="H16" s="16" t="n"/>
      <c r="I16" s="17" t="n"/>
      <c r="J16" s="16" t="n"/>
      <c r="K16" s="16" t="n"/>
      <c r="L16" s="16" t="n"/>
    </row>
    <row r="17">
      <c r="A17" s="23">
        <f>IF(B17&lt;&gt;"","GAP-"&amp;TEXT(ROW()-5,"000"),"")</f>
        <v/>
      </c>
      <c r="B17" s="16" t="n"/>
      <c r="C17" s="16" t="n"/>
      <c r="D17" s="16" t="n"/>
      <c r="E17" s="16" t="n"/>
      <c r="F17" s="16" t="n"/>
      <c r="G17" s="16" t="n"/>
      <c r="H17" s="16" t="n"/>
      <c r="I17" s="17" t="n"/>
      <c r="J17" s="16" t="n"/>
      <c r="K17" s="16" t="n"/>
      <c r="L17" s="16" t="n"/>
    </row>
    <row r="18">
      <c r="A18" s="23">
        <f>IF(B18&lt;&gt;"","GAP-"&amp;TEXT(ROW()-5,"000"),"")</f>
        <v/>
      </c>
      <c r="B18" s="16" t="n"/>
      <c r="C18" s="16" t="n"/>
      <c r="D18" s="16" t="n"/>
      <c r="E18" s="16" t="n"/>
      <c r="F18" s="16" t="n"/>
      <c r="G18" s="16" t="n"/>
      <c r="H18" s="16" t="n"/>
      <c r="I18" s="17" t="n"/>
      <c r="J18" s="16" t="n"/>
      <c r="K18" s="16" t="n"/>
      <c r="L18" s="16" t="n"/>
    </row>
    <row r="19">
      <c r="A19" s="23">
        <f>IF(B19&lt;&gt;"","GAP-"&amp;TEXT(ROW()-5,"000"),"")</f>
        <v/>
      </c>
      <c r="B19" s="16" t="n"/>
      <c r="C19" s="16" t="n"/>
      <c r="D19" s="16" t="n"/>
      <c r="E19" s="16" t="n"/>
      <c r="F19" s="16" t="n"/>
      <c r="G19" s="16" t="n"/>
      <c r="H19" s="16" t="n"/>
      <c r="I19" s="17" t="n"/>
      <c r="J19" s="16" t="n"/>
      <c r="K19" s="16" t="n"/>
      <c r="L19" s="16" t="n"/>
    </row>
    <row r="20">
      <c r="A20" s="23">
        <f>IF(B20&lt;&gt;"","GAP-"&amp;TEXT(ROW()-5,"000"),"")</f>
        <v/>
      </c>
      <c r="B20" s="16" t="n"/>
      <c r="C20" s="16" t="n"/>
      <c r="D20" s="16" t="n"/>
      <c r="E20" s="16" t="n"/>
      <c r="F20" s="16" t="n"/>
      <c r="G20" s="16" t="n"/>
      <c r="H20" s="16" t="n"/>
      <c r="I20" s="17" t="n"/>
      <c r="J20" s="16" t="n"/>
      <c r="K20" s="16" t="n"/>
      <c r="L20" s="16" t="n"/>
    </row>
    <row r="21">
      <c r="A21" s="23">
        <f>IF(B21&lt;&gt;"","GAP-"&amp;TEXT(ROW()-5,"000"),"")</f>
        <v/>
      </c>
      <c r="B21" s="16" t="n"/>
      <c r="C21" s="16" t="n"/>
      <c r="D21" s="16" t="n"/>
      <c r="E21" s="16" t="n"/>
      <c r="F21" s="16" t="n"/>
      <c r="G21" s="16" t="n"/>
      <c r="H21" s="16" t="n"/>
      <c r="I21" s="17" t="n"/>
      <c r="J21" s="16" t="n"/>
      <c r="K21" s="16" t="n"/>
      <c r="L21" s="16" t="n"/>
    </row>
    <row r="22">
      <c r="A22" s="23">
        <f>IF(B22&lt;&gt;"","GAP-"&amp;TEXT(ROW()-5,"000"),"")</f>
        <v/>
      </c>
      <c r="B22" s="16" t="n"/>
      <c r="C22" s="16" t="n"/>
      <c r="D22" s="16" t="n"/>
      <c r="E22" s="16" t="n"/>
      <c r="F22" s="16" t="n"/>
      <c r="G22" s="16" t="n"/>
      <c r="H22" s="16" t="n"/>
      <c r="I22" s="17" t="n"/>
      <c r="J22" s="16" t="n"/>
      <c r="K22" s="16" t="n"/>
      <c r="L22" s="16" t="n"/>
    </row>
    <row r="23">
      <c r="A23" s="23">
        <f>IF(B23&lt;&gt;"","GAP-"&amp;TEXT(ROW()-5,"000"),"")</f>
        <v/>
      </c>
      <c r="B23" s="16" t="n"/>
      <c r="C23" s="16" t="n"/>
      <c r="D23" s="16" t="n"/>
      <c r="E23" s="16" t="n"/>
      <c r="F23" s="16" t="n"/>
      <c r="G23" s="16" t="n"/>
      <c r="H23" s="16" t="n"/>
      <c r="I23" s="17" t="n"/>
      <c r="J23" s="16" t="n"/>
      <c r="K23" s="16" t="n"/>
      <c r="L23" s="16" t="n"/>
    </row>
    <row r="24">
      <c r="A24" s="23">
        <f>IF(B24&lt;&gt;"","GAP-"&amp;TEXT(ROW()-5,"000"),"")</f>
        <v/>
      </c>
      <c r="B24" s="16" t="n"/>
      <c r="C24" s="16" t="n"/>
      <c r="D24" s="16" t="n"/>
      <c r="E24" s="16" t="n"/>
      <c r="F24" s="16" t="n"/>
      <c r="G24" s="16" t="n"/>
      <c r="H24" s="16" t="n"/>
      <c r="I24" s="17" t="n"/>
      <c r="J24" s="16" t="n"/>
      <c r="K24" s="16" t="n"/>
      <c r="L24" s="16" t="n"/>
    </row>
    <row r="25">
      <c r="A25" s="23">
        <f>IF(B25&lt;&gt;"","GAP-"&amp;TEXT(ROW()-5,"000"),"")</f>
        <v/>
      </c>
      <c r="B25" s="16" t="n"/>
      <c r="C25" s="16" t="n"/>
      <c r="D25" s="16" t="n"/>
      <c r="E25" s="16" t="n"/>
      <c r="F25" s="16" t="n"/>
      <c r="G25" s="16" t="n"/>
      <c r="H25" s="16" t="n"/>
      <c r="I25" s="17" t="n"/>
      <c r="J25" s="16" t="n"/>
      <c r="K25" s="16" t="n"/>
      <c r="L25" s="16" t="n"/>
    </row>
    <row r="26">
      <c r="A26" s="23">
        <f>IF(B26&lt;&gt;"","GAP-"&amp;TEXT(ROW()-5,"000"),"")</f>
        <v/>
      </c>
      <c r="B26" s="16" t="n"/>
      <c r="C26" s="16" t="n"/>
      <c r="D26" s="16" t="n"/>
      <c r="E26" s="16" t="n"/>
      <c r="F26" s="16" t="n"/>
      <c r="G26" s="16" t="n"/>
      <c r="H26" s="16" t="n"/>
      <c r="I26" s="17" t="n"/>
      <c r="J26" s="16" t="n"/>
      <c r="K26" s="16" t="n"/>
      <c r="L26" s="16" t="n"/>
    </row>
    <row r="27">
      <c r="A27" s="23">
        <f>IF(B27&lt;&gt;"","GAP-"&amp;TEXT(ROW()-5,"000"),"")</f>
        <v/>
      </c>
      <c r="B27" s="16" t="n"/>
      <c r="C27" s="16" t="n"/>
      <c r="D27" s="16" t="n"/>
      <c r="E27" s="16" t="n"/>
      <c r="F27" s="16" t="n"/>
      <c r="G27" s="16" t="n"/>
      <c r="H27" s="16" t="n"/>
      <c r="I27" s="17" t="n"/>
      <c r="J27" s="16" t="n"/>
      <c r="K27" s="16" t="n"/>
      <c r="L27" s="16" t="n"/>
    </row>
    <row r="28">
      <c r="A28" s="23">
        <f>IF(B28&lt;&gt;"","GAP-"&amp;TEXT(ROW()-5,"000"),"")</f>
        <v/>
      </c>
      <c r="B28" s="16" t="n"/>
      <c r="C28" s="16" t="n"/>
      <c r="D28" s="16" t="n"/>
      <c r="E28" s="16" t="n"/>
      <c r="F28" s="16" t="n"/>
      <c r="G28" s="16" t="n"/>
      <c r="H28" s="16" t="n"/>
      <c r="I28" s="17" t="n"/>
      <c r="J28" s="16" t="n"/>
      <c r="K28" s="16" t="n"/>
      <c r="L28" s="16" t="n"/>
    </row>
    <row r="29">
      <c r="A29" s="23">
        <f>IF(B29&lt;&gt;"","GAP-"&amp;TEXT(ROW()-5,"000"),"")</f>
        <v/>
      </c>
      <c r="B29" s="16" t="n"/>
      <c r="C29" s="16" t="n"/>
      <c r="D29" s="16" t="n"/>
      <c r="E29" s="16" t="n"/>
      <c r="F29" s="16" t="n"/>
      <c r="G29" s="16" t="n"/>
      <c r="H29" s="16" t="n"/>
      <c r="I29" s="17" t="n"/>
      <c r="J29" s="16" t="n"/>
      <c r="K29" s="16" t="n"/>
      <c r="L29" s="16" t="n"/>
    </row>
    <row r="30">
      <c r="A30" s="23">
        <f>IF(B30&lt;&gt;"","GAP-"&amp;TEXT(ROW()-5,"000"),"")</f>
        <v/>
      </c>
      <c r="B30" s="16" t="n"/>
      <c r="C30" s="16" t="n"/>
      <c r="D30" s="16" t="n"/>
      <c r="E30" s="16" t="n"/>
      <c r="F30" s="16" t="n"/>
      <c r="G30" s="16" t="n"/>
      <c r="H30" s="16" t="n"/>
      <c r="I30" s="17" t="n"/>
      <c r="J30" s="16" t="n"/>
      <c r="K30" s="16" t="n"/>
      <c r="L30" s="16" t="n"/>
    </row>
    <row r="31">
      <c r="A31" s="23">
        <f>IF(B31&lt;&gt;"","GAP-"&amp;TEXT(ROW()-5,"000"),"")</f>
        <v/>
      </c>
      <c r="B31" s="16" t="n"/>
      <c r="C31" s="16" t="n"/>
      <c r="D31" s="16" t="n"/>
      <c r="E31" s="16" t="n"/>
      <c r="F31" s="16" t="n"/>
      <c r="G31" s="16" t="n"/>
      <c r="H31" s="16" t="n"/>
      <c r="I31" s="17" t="n"/>
      <c r="J31" s="16" t="n"/>
      <c r="K31" s="16" t="n"/>
      <c r="L31" s="16" t="n"/>
    </row>
    <row r="32">
      <c r="A32" s="23">
        <f>IF(B32&lt;&gt;"","GAP-"&amp;TEXT(ROW()-5,"000"),"")</f>
        <v/>
      </c>
      <c r="B32" s="16" t="n"/>
      <c r="C32" s="16" t="n"/>
      <c r="D32" s="16" t="n"/>
      <c r="E32" s="16" t="n"/>
      <c r="F32" s="16" t="n"/>
      <c r="G32" s="16" t="n"/>
      <c r="H32" s="16" t="n"/>
      <c r="I32" s="17" t="n"/>
      <c r="J32" s="16" t="n"/>
      <c r="K32" s="16" t="n"/>
      <c r="L32" s="16" t="n"/>
    </row>
    <row r="33">
      <c r="A33" s="23">
        <f>IF(B33&lt;&gt;"","GAP-"&amp;TEXT(ROW()-5,"000"),"")</f>
        <v/>
      </c>
      <c r="B33" s="16" t="n"/>
      <c r="C33" s="16" t="n"/>
      <c r="D33" s="16" t="n"/>
      <c r="E33" s="16" t="n"/>
      <c r="F33" s="16" t="n"/>
      <c r="G33" s="16" t="n"/>
      <c r="H33" s="16" t="n"/>
      <c r="I33" s="17" t="n"/>
      <c r="J33" s="16" t="n"/>
      <c r="K33" s="16" t="n"/>
      <c r="L33" s="16" t="n"/>
    </row>
    <row r="34">
      <c r="A34" s="23">
        <f>IF(B34&lt;&gt;"","GAP-"&amp;TEXT(ROW()-5,"000"),"")</f>
        <v/>
      </c>
      <c r="B34" s="16" t="n"/>
      <c r="C34" s="16" t="n"/>
      <c r="D34" s="16" t="n"/>
      <c r="E34" s="16" t="n"/>
      <c r="F34" s="16" t="n"/>
      <c r="G34" s="16" t="n"/>
      <c r="H34" s="16" t="n"/>
      <c r="I34" s="17" t="n"/>
      <c r="J34" s="16" t="n"/>
      <c r="K34" s="16" t="n"/>
      <c r="L34" s="16" t="n"/>
    </row>
    <row r="35">
      <c r="A35" s="23">
        <f>IF(B35&lt;&gt;"","GAP-"&amp;TEXT(ROW()-5,"000"),"")</f>
        <v/>
      </c>
      <c r="B35" s="16" t="n"/>
      <c r="C35" s="16" t="n"/>
      <c r="D35" s="16" t="n"/>
      <c r="E35" s="16" t="n"/>
      <c r="F35" s="16" t="n"/>
      <c r="G35" s="16" t="n"/>
      <c r="H35" s="16" t="n"/>
      <c r="I35" s="17" t="n"/>
      <c r="J35" s="16" t="n"/>
      <c r="K35" s="16" t="n"/>
      <c r="L35" s="16" t="n"/>
    </row>
    <row r="36">
      <c r="A36" s="23">
        <f>IF(B36&lt;&gt;"","GAP-"&amp;TEXT(ROW()-5,"000"),"")</f>
        <v/>
      </c>
      <c r="B36" s="16" t="n"/>
      <c r="C36" s="16" t="n"/>
      <c r="D36" s="16" t="n"/>
      <c r="E36" s="16" t="n"/>
      <c r="F36" s="16" t="n"/>
      <c r="G36" s="16" t="n"/>
      <c r="H36" s="16" t="n"/>
      <c r="I36" s="17" t="n"/>
      <c r="J36" s="16" t="n"/>
      <c r="K36" s="16" t="n"/>
      <c r="L36" s="16" t="n"/>
    </row>
    <row r="37">
      <c r="A37" s="23">
        <f>IF(B37&lt;&gt;"","GAP-"&amp;TEXT(ROW()-5,"000"),"")</f>
        <v/>
      </c>
      <c r="B37" s="16" t="n"/>
      <c r="C37" s="16" t="n"/>
      <c r="D37" s="16" t="n"/>
      <c r="E37" s="16" t="n"/>
      <c r="F37" s="16" t="n"/>
      <c r="G37" s="16" t="n"/>
      <c r="H37" s="16" t="n"/>
      <c r="I37" s="17" t="n"/>
      <c r="J37" s="16" t="n"/>
      <c r="K37" s="16" t="n"/>
      <c r="L37" s="16" t="n"/>
    </row>
    <row r="38">
      <c r="A38" s="23">
        <f>IF(B38&lt;&gt;"","GAP-"&amp;TEXT(ROW()-5,"000"),"")</f>
        <v/>
      </c>
      <c r="B38" s="16" t="n"/>
      <c r="C38" s="16" t="n"/>
      <c r="D38" s="16" t="n"/>
      <c r="E38" s="16" t="n"/>
      <c r="F38" s="16" t="n"/>
      <c r="G38" s="16" t="n"/>
      <c r="H38" s="16" t="n"/>
      <c r="I38" s="17" t="n"/>
      <c r="J38" s="16" t="n"/>
      <c r="K38" s="16" t="n"/>
      <c r="L38" s="16" t="n"/>
    </row>
    <row r="39">
      <c r="A39" s="23">
        <f>IF(B39&lt;&gt;"","GAP-"&amp;TEXT(ROW()-5,"000"),"")</f>
        <v/>
      </c>
      <c r="B39" s="16" t="n"/>
      <c r="C39" s="16" t="n"/>
      <c r="D39" s="16" t="n"/>
      <c r="E39" s="16" t="n"/>
      <c r="F39" s="16" t="n"/>
      <c r="G39" s="16" t="n"/>
      <c r="H39" s="16" t="n"/>
      <c r="I39" s="17" t="n"/>
      <c r="J39" s="16" t="n"/>
      <c r="K39" s="16" t="n"/>
      <c r="L39" s="16" t="n"/>
    </row>
    <row r="40">
      <c r="A40" s="23">
        <f>IF(B40&lt;&gt;"","GAP-"&amp;TEXT(ROW()-5,"000"),"")</f>
        <v/>
      </c>
      <c r="B40" s="16" t="n"/>
      <c r="C40" s="16" t="n"/>
      <c r="D40" s="16" t="n"/>
      <c r="E40" s="16" t="n"/>
      <c r="F40" s="16" t="n"/>
      <c r="G40" s="16" t="n"/>
      <c r="H40" s="16" t="n"/>
      <c r="I40" s="17" t="n"/>
      <c r="J40" s="16" t="n"/>
      <c r="K40" s="16" t="n"/>
      <c r="L40" s="16" t="n"/>
    </row>
    <row r="41">
      <c r="A41" s="23">
        <f>IF(B41&lt;&gt;"","GAP-"&amp;TEXT(ROW()-5,"000"),"")</f>
        <v/>
      </c>
      <c r="B41" s="16" t="n"/>
      <c r="C41" s="16" t="n"/>
      <c r="D41" s="16" t="n"/>
      <c r="E41" s="16" t="n"/>
      <c r="F41" s="16" t="n"/>
      <c r="G41" s="16" t="n"/>
      <c r="H41" s="16" t="n"/>
      <c r="I41" s="17" t="n"/>
      <c r="J41" s="16" t="n"/>
      <c r="K41" s="16" t="n"/>
      <c r="L41" s="16" t="n"/>
    </row>
    <row r="42">
      <c r="A42" s="23">
        <f>IF(B42&lt;&gt;"","GAP-"&amp;TEXT(ROW()-5,"000"),"")</f>
        <v/>
      </c>
      <c r="B42" s="16" t="n"/>
      <c r="C42" s="16" t="n"/>
      <c r="D42" s="16" t="n"/>
      <c r="E42" s="16" t="n"/>
      <c r="F42" s="16" t="n"/>
      <c r="G42" s="16" t="n"/>
      <c r="H42" s="16" t="n"/>
      <c r="I42" s="17" t="n"/>
      <c r="J42" s="16" t="n"/>
      <c r="K42" s="16" t="n"/>
      <c r="L42" s="16" t="n"/>
    </row>
    <row r="43">
      <c r="A43" s="23">
        <f>IF(B43&lt;&gt;"","GAP-"&amp;TEXT(ROW()-5,"000"),"")</f>
        <v/>
      </c>
      <c r="B43" s="16" t="n"/>
      <c r="C43" s="16" t="n"/>
      <c r="D43" s="16" t="n"/>
      <c r="E43" s="16" t="n"/>
      <c r="F43" s="16" t="n"/>
      <c r="G43" s="16" t="n"/>
      <c r="H43" s="16" t="n"/>
      <c r="I43" s="17" t="n"/>
      <c r="J43" s="16" t="n"/>
      <c r="K43" s="16" t="n"/>
      <c r="L43" s="16" t="n"/>
    </row>
    <row r="44">
      <c r="A44" s="23">
        <f>IF(B44&lt;&gt;"","GAP-"&amp;TEXT(ROW()-5,"000"),"")</f>
        <v/>
      </c>
      <c r="B44" s="16" t="n"/>
      <c r="C44" s="16" t="n"/>
      <c r="D44" s="16" t="n"/>
      <c r="E44" s="16" t="n"/>
      <c r="F44" s="16" t="n"/>
      <c r="G44" s="16" t="n"/>
      <c r="H44" s="16" t="n"/>
      <c r="I44" s="17" t="n"/>
      <c r="J44" s="16" t="n"/>
      <c r="K44" s="16" t="n"/>
      <c r="L44" s="16" t="n"/>
    </row>
    <row r="45">
      <c r="A45" s="23">
        <f>IF(B45&lt;&gt;"","GAP-"&amp;TEXT(ROW()-5,"000"),"")</f>
        <v/>
      </c>
      <c r="B45" s="16" t="n"/>
      <c r="C45" s="16" t="n"/>
      <c r="D45" s="16" t="n"/>
      <c r="E45" s="16" t="n"/>
      <c r="F45" s="16" t="n"/>
      <c r="G45" s="16" t="n"/>
      <c r="H45" s="16" t="n"/>
      <c r="I45" s="17" t="n"/>
      <c r="J45" s="16" t="n"/>
      <c r="K45" s="16" t="n"/>
      <c r="L45" s="16" t="n"/>
    </row>
    <row r="46">
      <c r="A46" s="23">
        <f>IF(B46&lt;&gt;"","GAP-"&amp;TEXT(ROW()-5,"000"),"")</f>
        <v/>
      </c>
      <c r="B46" s="16" t="n"/>
      <c r="C46" s="16" t="n"/>
      <c r="D46" s="16" t="n"/>
      <c r="E46" s="16" t="n"/>
      <c r="F46" s="16" t="n"/>
      <c r="G46" s="16" t="n"/>
      <c r="H46" s="16" t="n"/>
      <c r="I46" s="17" t="n"/>
      <c r="J46" s="16" t="n"/>
      <c r="K46" s="16" t="n"/>
      <c r="L46" s="16" t="n"/>
    </row>
    <row r="47">
      <c r="A47" s="23">
        <f>IF(B47&lt;&gt;"","GAP-"&amp;TEXT(ROW()-5,"000"),"")</f>
        <v/>
      </c>
      <c r="B47" s="16" t="n"/>
      <c r="C47" s="16" t="n"/>
      <c r="D47" s="16" t="n"/>
      <c r="E47" s="16" t="n"/>
      <c r="F47" s="16" t="n"/>
      <c r="G47" s="16" t="n"/>
      <c r="H47" s="16" t="n"/>
      <c r="I47" s="17" t="n"/>
      <c r="J47" s="16" t="n"/>
      <c r="K47" s="16" t="n"/>
      <c r="L47" s="16" t="n"/>
    </row>
    <row r="48">
      <c r="A48" s="23">
        <f>IF(B48&lt;&gt;"","GAP-"&amp;TEXT(ROW()-5,"000"),"")</f>
        <v/>
      </c>
      <c r="B48" s="16" t="n"/>
      <c r="C48" s="16" t="n"/>
      <c r="D48" s="16" t="n"/>
      <c r="E48" s="16" t="n"/>
      <c r="F48" s="16" t="n"/>
      <c r="G48" s="16" t="n"/>
      <c r="H48" s="16" t="n"/>
      <c r="I48" s="17" t="n"/>
      <c r="J48" s="16" t="n"/>
      <c r="K48" s="16" t="n"/>
      <c r="L48" s="16" t="n"/>
    </row>
    <row r="49">
      <c r="A49" s="23">
        <f>IF(B49&lt;&gt;"","GAP-"&amp;TEXT(ROW()-5,"000"),"")</f>
        <v/>
      </c>
      <c r="B49" s="16" t="n"/>
      <c r="C49" s="16" t="n"/>
      <c r="D49" s="16" t="n"/>
      <c r="E49" s="16" t="n"/>
      <c r="F49" s="16" t="n"/>
      <c r="G49" s="16" t="n"/>
      <c r="H49" s="16" t="n"/>
      <c r="I49" s="17" t="n"/>
      <c r="J49" s="16" t="n"/>
      <c r="K49" s="16" t="n"/>
      <c r="L49" s="16" t="n"/>
    </row>
    <row r="50">
      <c r="A50" s="23">
        <f>IF(B50&lt;&gt;"","GAP-"&amp;TEXT(ROW()-5,"000"),"")</f>
        <v/>
      </c>
      <c r="B50" s="16" t="n"/>
      <c r="C50" s="16" t="n"/>
      <c r="D50" s="16" t="n"/>
      <c r="E50" s="16" t="n"/>
      <c r="F50" s="16" t="n"/>
      <c r="G50" s="16" t="n"/>
      <c r="H50" s="16" t="n"/>
      <c r="I50" s="17" t="n"/>
      <c r="J50" s="16" t="n"/>
      <c r="K50" s="16" t="n"/>
      <c r="L50" s="16" t="n"/>
    </row>
    <row r="51">
      <c r="A51" s="23">
        <f>IF(B51&lt;&gt;"","GAP-"&amp;TEXT(ROW()-5,"000"),"")</f>
        <v/>
      </c>
      <c r="B51" s="16" t="n"/>
      <c r="C51" s="16" t="n"/>
      <c r="D51" s="16" t="n"/>
      <c r="E51" s="16" t="n"/>
      <c r="F51" s="16" t="n"/>
      <c r="G51" s="16" t="n"/>
      <c r="H51" s="16" t="n"/>
      <c r="I51" s="17" t="n"/>
      <c r="J51" s="16" t="n"/>
      <c r="K51" s="16" t="n"/>
      <c r="L51" s="16" t="n"/>
    </row>
    <row r="52">
      <c r="A52" s="23">
        <f>IF(B52&lt;&gt;"","GAP-"&amp;TEXT(ROW()-5,"000"),"")</f>
        <v/>
      </c>
      <c r="B52" s="16" t="n"/>
      <c r="C52" s="16" t="n"/>
      <c r="D52" s="16" t="n"/>
      <c r="E52" s="16" t="n"/>
      <c r="F52" s="16" t="n"/>
      <c r="G52" s="16" t="n"/>
      <c r="H52" s="16" t="n"/>
      <c r="I52" s="17" t="n"/>
      <c r="J52" s="16" t="n"/>
      <c r="K52" s="16" t="n"/>
      <c r="L52" s="16" t="n"/>
    </row>
    <row r="53">
      <c r="A53" s="23">
        <f>IF(B53&lt;&gt;"","GAP-"&amp;TEXT(ROW()-5,"000"),"")</f>
        <v/>
      </c>
      <c r="B53" s="16" t="n"/>
      <c r="C53" s="16" t="n"/>
      <c r="D53" s="16" t="n"/>
      <c r="E53" s="16" t="n"/>
      <c r="F53" s="16" t="n"/>
      <c r="G53" s="16" t="n"/>
      <c r="H53" s="16" t="n"/>
      <c r="I53" s="17" t="n"/>
      <c r="J53" s="16" t="n"/>
      <c r="K53" s="16" t="n"/>
      <c r="L53" s="16" t="n"/>
    </row>
    <row r="54">
      <c r="A54" s="23">
        <f>IF(B54&lt;&gt;"","GAP-"&amp;TEXT(ROW()-5,"000"),"")</f>
        <v/>
      </c>
      <c r="B54" s="16" t="n"/>
      <c r="C54" s="16" t="n"/>
      <c r="D54" s="16" t="n"/>
      <c r="E54" s="16" t="n"/>
      <c r="F54" s="16" t="n"/>
      <c r="G54" s="16" t="n"/>
      <c r="H54" s="16" t="n"/>
      <c r="I54" s="17" t="n"/>
      <c r="J54" s="16" t="n"/>
      <c r="K54" s="16" t="n"/>
      <c r="L54" s="16" t="n"/>
    </row>
    <row r="55">
      <c r="A55" s="23">
        <f>IF(B55&lt;&gt;"","GAP-"&amp;TEXT(ROW()-5,"000"),"")</f>
        <v/>
      </c>
      <c r="B55" s="16" t="n"/>
      <c r="C55" s="16" t="n"/>
      <c r="D55" s="16" t="n"/>
      <c r="E55" s="16" t="n"/>
      <c r="F55" s="16" t="n"/>
      <c r="G55" s="16" t="n"/>
      <c r="H55" s="16" t="n"/>
      <c r="I55" s="17" t="n"/>
      <c r="J55" s="16" t="n"/>
      <c r="K55" s="16" t="n"/>
      <c r="L55" s="16" t="n"/>
    </row>
  </sheetData>
  <mergeCells count="2">
    <mergeCell ref="A2:L2"/>
    <mergeCell ref="A1:L1"/>
  </mergeCells>
  <conditionalFormatting sqref="F6:F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4">
    <dataValidation sqref="B6:B55" showDropDown="0" showInputMessage="0" showErrorMessage="0" allowBlank="1" type="list">
      <formula1>"Alert Tuning,Review Process,Tools/Capabilities,Staffing,Training,Automation,Documentation,Other"</formula1>
    </dataValidation>
    <dataValidation sqref="F6:F55" showDropDown="0" showInputMessage="0" showErrorMessage="0" allowBlank="1" type="list">
      <formula1>"Critical,High,Medium,Low"</formula1>
    </dataValidation>
    <dataValidation sqref="J6:J55" showDropDown="0" showInputMessage="0" showErrorMessage="0" allowBlank="1" type="list">
      <formula1>"Yes,No"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45" customWidth="1" min="4" max="4"/>
    <col width="40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Evidence tracking for ISMS-IMP-A.8.15.4 — Log Analysis &amp; Review Assessment</t>
        </is>
      </c>
    </row>
    <row r="4">
      <c r="A4" s="26" t="inlineStr">
        <is>
          <t>Evidence ID</t>
        </is>
      </c>
      <c r="B4" s="26" t="inlineStr">
        <is>
          <t>Assessment Area</t>
        </is>
      </c>
      <c r="C4" s="26" t="inlineStr">
        <is>
          <t>Evidence Type</t>
        </is>
      </c>
      <c r="D4" s="26" t="inlineStr">
        <is>
          <t>Description</t>
        </is>
      </c>
      <c r="E4" s="26" t="inlineStr">
        <is>
          <t>Location/Path</t>
        </is>
      </c>
      <c r="F4" s="26" t="inlineStr">
        <is>
          <t>Date Collected</t>
        </is>
      </c>
      <c r="G4" s="26" t="inlineStr">
        <is>
          <t>Collected By</t>
        </is>
      </c>
      <c r="H4" s="26" t="inlineStr">
        <is>
          <t>Verification Status</t>
        </is>
      </c>
    </row>
    <row r="5">
      <c r="A5" s="27" t="inlineStr">
        <is>
          <t>EV-001</t>
        </is>
      </c>
      <c r="B5" s="27" t="inlineStr">
        <is>
          <t>Log Analysis &amp; Review</t>
        </is>
      </c>
      <c r="C5" s="27" t="inlineStr">
        <is>
          <t>Screenshot</t>
        </is>
      </c>
      <c r="D5" s="27" t="inlineStr">
        <is>
          <t>SIEM dashboard screenshot showing daily log review completion for all sources</t>
        </is>
      </c>
      <c r="E5" s="27" t="inlineStr">
        <is>
          <t>/evidence/a815.4/siem-review-dashboard.png</t>
        </is>
      </c>
      <c r="F5" s="28" t="inlineStr">
        <is>
          <t>01.01.2026</t>
        </is>
      </c>
      <c r="G5" s="27" t="inlineStr">
        <is>
          <t>SOC Analyst</t>
        </is>
      </c>
      <c r="H5" s="27" t="inlineStr">
        <is>
          <t>Verified</t>
        </is>
      </c>
    </row>
    <row r="6">
      <c r="A6" s="29" t="n"/>
      <c r="B6" s="29" t="n"/>
      <c r="C6" s="29" t="n"/>
      <c r="D6" s="29" t="n"/>
      <c r="E6" s="29" t="n"/>
      <c r="F6" s="30" t="n"/>
      <c r="G6" s="29" t="n"/>
      <c r="H6" s="29" t="n"/>
    </row>
    <row r="7">
      <c r="A7" s="29" t="n"/>
      <c r="B7" s="29" t="n"/>
      <c r="C7" s="29" t="n"/>
      <c r="D7" s="29" t="n"/>
      <c r="E7" s="29" t="n"/>
      <c r="F7" s="30" t="n"/>
      <c r="G7" s="29" t="n"/>
      <c r="H7" s="29" t="n"/>
    </row>
    <row r="8">
      <c r="A8" s="29" t="n"/>
      <c r="B8" s="29" t="n"/>
      <c r="C8" s="29" t="n"/>
      <c r="D8" s="29" t="n"/>
      <c r="E8" s="29" t="n"/>
      <c r="F8" s="30" t="n"/>
      <c r="G8" s="29" t="n"/>
      <c r="H8" s="29" t="n"/>
    </row>
    <row r="9">
      <c r="A9" s="29" t="n"/>
      <c r="B9" s="29" t="n"/>
      <c r="C9" s="29" t="n"/>
      <c r="D9" s="29" t="n"/>
      <c r="E9" s="29" t="n"/>
      <c r="F9" s="30" t="n"/>
      <c r="G9" s="29" t="n"/>
      <c r="H9" s="29" t="n"/>
    </row>
    <row r="10">
      <c r="A10" s="29" t="n"/>
      <c r="B10" s="29" t="n"/>
      <c r="C10" s="29" t="n"/>
      <c r="D10" s="29" t="n"/>
      <c r="E10" s="29" t="n"/>
      <c r="F10" s="30" t="n"/>
      <c r="G10" s="29" t="n"/>
      <c r="H10" s="29" t="n"/>
    </row>
    <row r="11">
      <c r="A11" s="29" t="n"/>
      <c r="B11" s="29" t="n"/>
      <c r="C11" s="29" t="n"/>
      <c r="D11" s="29" t="n"/>
      <c r="E11" s="29" t="n"/>
      <c r="F11" s="30" t="n"/>
      <c r="G11" s="29" t="n"/>
      <c r="H11" s="29" t="n"/>
    </row>
    <row r="12">
      <c r="A12" s="29" t="n"/>
      <c r="B12" s="29" t="n"/>
      <c r="C12" s="29" t="n"/>
      <c r="D12" s="29" t="n"/>
      <c r="E12" s="29" t="n"/>
      <c r="F12" s="30" t="n"/>
      <c r="G12" s="29" t="n"/>
      <c r="H12" s="29" t="n"/>
    </row>
    <row r="13">
      <c r="A13" s="29" t="n"/>
      <c r="B13" s="29" t="n"/>
      <c r="C13" s="29" t="n"/>
      <c r="D13" s="29" t="n"/>
      <c r="E13" s="29" t="n"/>
      <c r="F13" s="30" t="n"/>
      <c r="G13" s="29" t="n"/>
      <c r="H13" s="29" t="n"/>
    </row>
    <row r="14">
      <c r="A14" s="29" t="n"/>
      <c r="B14" s="29" t="n"/>
      <c r="C14" s="29" t="n"/>
      <c r="D14" s="29" t="n"/>
      <c r="E14" s="29" t="n"/>
      <c r="F14" s="30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30" t="n"/>
      <c r="G15" s="29" t="n"/>
      <c r="H15" s="29" t="n"/>
    </row>
    <row r="16">
      <c r="A16" s="29" t="n"/>
      <c r="B16" s="29" t="n"/>
      <c r="C16" s="29" t="n"/>
      <c r="D16" s="29" t="n"/>
      <c r="E16" s="29" t="n"/>
      <c r="F16" s="30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30" t="n"/>
      <c r="G17" s="29" t="n"/>
      <c r="H17" s="29" t="n"/>
    </row>
    <row r="18">
      <c r="A18" s="29" t="n"/>
      <c r="B18" s="29" t="n"/>
      <c r="C18" s="29" t="n"/>
      <c r="D18" s="29" t="n"/>
      <c r="E18" s="29" t="n"/>
      <c r="F18" s="30" t="n"/>
      <c r="G18" s="29" t="n"/>
      <c r="H18" s="29" t="n"/>
    </row>
    <row r="19">
      <c r="A19" s="29" t="n"/>
      <c r="B19" s="29" t="n"/>
      <c r="C19" s="29" t="n"/>
      <c r="D19" s="29" t="n"/>
      <c r="E19" s="29" t="n"/>
      <c r="F19" s="30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30" t="n"/>
      <c r="G20" s="29" t="n"/>
      <c r="H20" s="29" t="n"/>
    </row>
    <row r="21">
      <c r="A21" s="29" t="n"/>
      <c r="B21" s="29" t="n"/>
      <c r="C21" s="29" t="n"/>
      <c r="D21" s="29" t="n"/>
      <c r="E21" s="29" t="n"/>
      <c r="F21" s="30" t="n"/>
      <c r="G21" s="29" t="n"/>
      <c r="H21" s="29" t="n"/>
    </row>
    <row r="22">
      <c r="A22" s="29" t="n"/>
      <c r="B22" s="29" t="n"/>
      <c r="C22" s="29" t="n"/>
      <c r="D22" s="29" t="n"/>
      <c r="E22" s="29" t="n"/>
      <c r="F22" s="30" t="n"/>
      <c r="G22" s="29" t="n"/>
      <c r="H22" s="29" t="n"/>
    </row>
    <row r="23">
      <c r="A23" s="29" t="n"/>
      <c r="B23" s="29" t="n"/>
      <c r="C23" s="29" t="n"/>
      <c r="D23" s="29" t="n"/>
      <c r="E23" s="29" t="n"/>
      <c r="F23" s="30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30" t="n"/>
      <c r="G24" s="29" t="n"/>
      <c r="H24" s="29" t="n"/>
    </row>
    <row r="25">
      <c r="A25" s="29" t="n"/>
      <c r="B25" s="29" t="n"/>
      <c r="C25" s="29" t="n"/>
      <c r="D25" s="29" t="n"/>
      <c r="E25" s="29" t="n"/>
      <c r="F25" s="30" t="n"/>
      <c r="G25" s="29" t="n"/>
      <c r="H25" s="29" t="n"/>
    </row>
    <row r="26">
      <c r="A26" s="29" t="n"/>
      <c r="B26" s="29" t="n"/>
      <c r="C26" s="29" t="n"/>
      <c r="D26" s="29" t="n"/>
      <c r="E26" s="29" t="n"/>
      <c r="F26" s="30" t="n"/>
      <c r="G26" s="29" t="n"/>
      <c r="H26" s="29" t="n"/>
    </row>
    <row r="27">
      <c r="A27" s="29" t="n"/>
      <c r="B27" s="29" t="n"/>
      <c r="C27" s="29" t="n"/>
      <c r="D27" s="29" t="n"/>
      <c r="E27" s="29" t="n"/>
      <c r="F27" s="30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30" t="n"/>
      <c r="G28" s="29" t="n"/>
      <c r="H28" s="29" t="n"/>
    </row>
    <row r="29">
      <c r="A29" s="29" t="n"/>
      <c r="B29" s="29" t="n"/>
      <c r="C29" s="29" t="n"/>
      <c r="D29" s="29" t="n"/>
      <c r="E29" s="29" t="n"/>
      <c r="F29" s="30" t="n"/>
      <c r="G29" s="29" t="n"/>
      <c r="H29" s="29" t="n"/>
    </row>
    <row r="30">
      <c r="A30" s="29" t="n"/>
      <c r="B30" s="29" t="n"/>
      <c r="C30" s="29" t="n"/>
      <c r="D30" s="29" t="n"/>
      <c r="E30" s="29" t="n"/>
      <c r="F30" s="30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30" t="n"/>
      <c r="G31" s="29" t="n"/>
      <c r="H31" s="29" t="n"/>
    </row>
    <row r="32">
      <c r="A32" s="29" t="n"/>
      <c r="B32" s="29" t="n"/>
      <c r="C32" s="29" t="n"/>
      <c r="D32" s="29" t="n"/>
      <c r="E32" s="29" t="n"/>
      <c r="F32" s="30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30" t="n"/>
      <c r="G33" s="29" t="n"/>
      <c r="H33" s="29" t="n"/>
    </row>
    <row r="34">
      <c r="A34" s="29" t="n"/>
      <c r="B34" s="29" t="n"/>
      <c r="C34" s="29" t="n"/>
      <c r="D34" s="29" t="n"/>
      <c r="E34" s="29" t="n"/>
      <c r="F34" s="30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30" t="n"/>
      <c r="G35" s="29" t="n"/>
      <c r="H35" s="29" t="n"/>
    </row>
    <row r="36">
      <c r="A36" s="29" t="n"/>
      <c r="B36" s="29" t="n"/>
      <c r="C36" s="29" t="n"/>
      <c r="D36" s="29" t="n"/>
      <c r="E36" s="29" t="n"/>
      <c r="F36" s="30" t="n"/>
      <c r="G36" s="29" t="n"/>
      <c r="H36" s="29" t="n"/>
    </row>
    <row r="37">
      <c r="A37" s="29" t="n"/>
      <c r="B37" s="29" t="n"/>
      <c r="C37" s="29" t="n"/>
      <c r="D37" s="29" t="n"/>
      <c r="E37" s="29" t="n"/>
      <c r="F37" s="30" t="n"/>
      <c r="G37" s="29" t="n"/>
      <c r="H37" s="29" t="n"/>
    </row>
    <row r="38">
      <c r="A38" s="29" t="n"/>
      <c r="B38" s="29" t="n"/>
      <c r="C38" s="29" t="n"/>
      <c r="D38" s="29" t="n"/>
      <c r="E38" s="29" t="n"/>
      <c r="F38" s="30" t="n"/>
      <c r="G38" s="29" t="n"/>
      <c r="H38" s="29" t="n"/>
    </row>
    <row r="39">
      <c r="A39" s="29" t="n"/>
      <c r="B39" s="29" t="n"/>
      <c r="C39" s="29" t="n"/>
      <c r="D39" s="29" t="n"/>
      <c r="E39" s="29" t="n"/>
      <c r="F39" s="30" t="n"/>
      <c r="G39" s="29" t="n"/>
      <c r="H39" s="29" t="n"/>
    </row>
    <row r="40">
      <c r="A40" s="29" t="n"/>
      <c r="B40" s="29" t="n"/>
      <c r="C40" s="29" t="n"/>
      <c r="D40" s="29" t="n"/>
      <c r="E40" s="29" t="n"/>
      <c r="F40" s="30" t="n"/>
      <c r="G40" s="29" t="n"/>
      <c r="H40" s="29" t="n"/>
    </row>
    <row r="41">
      <c r="A41" s="29" t="n"/>
      <c r="B41" s="29" t="n"/>
      <c r="C41" s="29" t="n"/>
      <c r="D41" s="29" t="n"/>
      <c r="E41" s="29" t="n"/>
      <c r="F41" s="30" t="n"/>
      <c r="G41" s="29" t="n"/>
      <c r="H41" s="29" t="n"/>
    </row>
    <row r="42">
      <c r="A42" s="29" t="n"/>
      <c r="B42" s="29" t="n"/>
      <c r="C42" s="29" t="n"/>
      <c r="D42" s="29" t="n"/>
      <c r="E42" s="29" t="n"/>
      <c r="F42" s="30" t="n"/>
      <c r="G42" s="29" t="n"/>
      <c r="H42" s="29" t="n"/>
    </row>
    <row r="43">
      <c r="A43" s="29" t="n"/>
      <c r="B43" s="29" t="n"/>
      <c r="C43" s="29" t="n"/>
      <c r="D43" s="29" t="n"/>
      <c r="E43" s="29" t="n"/>
      <c r="F43" s="30" t="n"/>
      <c r="G43" s="29" t="n"/>
      <c r="H43" s="29" t="n"/>
    </row>
    <row r="44">
      <c r="A44" s="29" t="n"/>
      <c r="B44" s="29" t="n"/>
      <c r="C44" s="29" t="n"/>
      <c r="D44" s="29" t="n"/>
      <c r="E44" s="29" t="n"/>
      <c r="F44" s="30" t="n"/>
      <c r="G44" s="29" t="n"/>
      <c r="H44" s="29" t="n"/>
    </row>
    <row r="45">
      <c r="A45" s="29" t="n"/>
      <c r="B45" s="29" t="n"/>
      <c r="C45" s="29" t="n"/>
      <c r="D45" s="29" t="n"/>
      <c r="E45" s="29" t="n"/>
      <c r="F45" s="30" t="n"/>
      <c r="G45" s="29" t="n"/>
      <c r="H45" s="29" t="n"/>
    </row>
    <row r="46">
      <c r="A46" s="29" t="n"/>
      <c r="B46" s="29" t="n"/>
      <c r="C46" s="29" t="n"/>
      <c r="D46" s="29" t="n"/>
      <c r="E46" s="29" t="n"/>
      <c r="F46" s="30" t="n"/>
      <c r="G46" s="29" t="n"/>
      <c r="H46" s="29" t="n"/>
    </row>
    <row r="47">
      <c r="A47" s="29" t="n"/>
      <c r="B47" s="29" t="n"/>
      <c r="C47" s="29" t="n"/>
      <c r="D47" s="29" t="n"/>
      <c r="E47" s="29" t="n"/>
      <c r="F47" s="30" t="n"/>
      <c r="G47" s="29" t="n"/>
      <c r="H47" s="29" t="n"/>
    </row>
    <row r="48">
      <c r="A48" s="29" t="n"/>
      <c r="B48" s="29" t="n"/>
      <c r="C48" s="29" t="n"/>
      <c r="D48" s="29" t="n"/>
      <c r="E48" s="29" t="n"/>
      <c r="F48" s="30" t="n"/>
      <c r="G48" s="29" t="n"/>
      <c r="H48" s="29" t="n"/>
    </row>
    <row r="49">
      <c r="A49" s="29" t="n"/>
      <c r="B49" s="29" t="n"/>
      <c r="C49" s="29" t="n"/>
      <c r="D49" s="29" t="n"/>
      <c r="E49" s="29" t="n"/>
      <c r="F49" s="30" t="n"/>
      <c r="G49" s="29" t="n"/>
      <c r="H49" s="29" t="n"/>
    </row>
    <row r="50">
      <c r="A50" s="29" t="n"/>
      <c r="B50" s="29" t="n"/>
      <c r="C50" s="29" t="n"/>
      <c r="D50" s="29" t="n"/>
      <c r="E50" s="29" t="n"/>
      <c r="F50" s="30" t="n"/>
      <c r="G50" s="29" t="n"/>
      <c r="H50" s="29" t="n"/>
    </row>
    <row r="51">
      <c r="A51" s="29" t="n"/>
      <c r="B51" s="29" t="n"/>
      <c r="C51" s="29" t="n"/>
      <c r="D51" s="29" t="n"/>
      <c r="E51" s="29" t="n"/>
      <c r="F51" s="30" t="n"/>
      <c r="G51" s="29" t="n"/>
      <c r="H51" s="29" t="n"/>
    </row>
    <row r="52">
      <c r="A52" s="29" t="n"/>
      <c r="B52" s="29" t="n"/>
      <c r="C52" s="29" t="n"/>
      <c r="D52" s="29" t="n"/>
      <c r="E52" s="29" t="n"/>
      <c r="F52" s="30" t="n"/>
      <c r="G52" s="29" t="n"/>
      <c r="H52" s="29" t="n"/>
    </row>
    <row r="53">
      <c r="A53" s="29" t="n"/>
      <c r="B53" s="29" t="n"/>
      <c r="C53" s="29" t="n"/>
      <c r="D53" s="29" t="n"/>
      <c r="E53" s="29" t="n"/>
      <c r="F53" s="30" t="n"/>
      <c r="G53" s="29" t="n"/>
      <c r="H53" s="29" t="n"/>
    </row>
    <row r="54">
      <c r="A54" s="29" t="n"/>
      <c r="B54" s="29" t="n"/>
      <c r="C54" s="29" t="n"/>
      <c r="D54" s="29" t="n"/>
      <c r="E54" s="29" t="n"/>
      <c r="F54" s="30" t="n"/>
      <c r="G54" s="29" t="n"/>
      <c r="H54" s="29" t="n"/>
    </row>
    <row r="55">
      <c r="A55" s="29" t="n"/>
      <c r="B55" s="29" t="n"/>
      <c r="C55" s="29" t="n"/>
      <c r="D55" s="29" t="n"/>
      <c r="E55" s="29" t="n"/>
      <c r="F55" s="30" t="n"/>
      <c r="G55" s="29" t="n"/>
      <c r="H55" s="29" t="n"/>
    </row>
    <row r="56">
      <c r="A56" s="29" t="n"/>
      <c r="B56" s="29" t="n"/>
      <c r="C56" s="29" t="n"/>
      <c r="D56" s="29" t="n"/>
      <c r="E56" s="29" t="n"/>
      <c r="F56" s="30" t="n"/>
      <c r="G56" s="29" t="n"/>
      <c r="H56" s="29" t="n"/>
    </row>
    <row r="57">
      <c r="A57" s="29" t="n"/>
      <c r="B57" s="29" t="n"/>
      <c r="C57" s="29" t="n"/>
      <c r="D57" s="29" t="n"/>
      <c r="E57" s="29" t="n"/>
      <c r="F57" s="30" t="n"/>
      <c r="G57" s="29" t="n"/>
      <c r="H57" s="29" t="n"/>
    </row>
    <row r="58">
      <c r="A58" s="29" t="n"/>
      <c r="B58" s="29" t="n"/>
      <c r="C58" s="29" t="n"/>
      <c r="D58" s="29" t="n"/>
      <c r="E58" s="29" t="n"/>
      <c r="F58" s="30" t="n"/>
      <c r="G58" s="29" t="n"/>
      <c r="H58" s="29" t="n"/>
    </row>
    <row r="59">
      <c r="A59" s="29" t="n"/>
      <c r="B59" s="29" t="n"/>
      <c r="C59" s="29" t="n"/>
      <c r="D59" s="29" t="n"/>
      <c r="E59" s="29" t="n"/>
      <c r="F59" s="30" t="n"/>
      <c r="G59" s="29" t="n"/>
      <c r="H59" s="29" t="n"/>
    </row>
    <row r="60">
      <c r="A60" s="29" t="n"/>
      <c r="B60" s="29" t="n"/>
      <c r="C60" s="29" t="n"/>
      <c r="D60" s="29" t="n"/>
      <c r="E60" s="29" t="n"/>
      <c r="F60" s="30" t="n"/>
      <c r="G60" s="29" t="n"/>
      <c r="H60" s="29" t="n"/>
    </row>
    <row r="61">
      <c r="A61" s="29" t="n"/>
      <c r="B61" s="29" t="n"/>
      <c r="C61" s="29" t="n"/>
      <c r="D61" s="29" t="n"/>
      <c r="E61" s="29" t="n"/>
      <c r="F61" s="30" t="n"/>
      <c r="G61" s="29" t="n"/>
      <c r="H61" s="29" t="n"/>
    </row>
    <row r="62">
      <c r="A62" s="29" t="n"/>
      <c r="B62" s="29" t="n"/>
      <c r="C62" s="29" t="n"/>
      <c r="D62" s="29" t="n"/>
      <c r="E62" s="29" t="n"/>
      <c r="F62" s="30" t="n"/>
      <c r="G62" s="29" t="n"/>
      <c r="H62" s="29" t="n"/>
    </row>
    <row r="63">
      <c r="A63" s="29" t="n"/>
      <c r="B63" s="29" t="n"/>
      <c r="C63" s="29" t="n"/>
      <c r="D63" s="29" t="n"/>
      <c r="E63" s="29" t="n"/>
      <c r="F63" s="30" t="n"/>
      <c r="G63" s="29" t="n"/>
      <c r="H63" s="29" t="n"/>
    </row>
    <row r="64">
      <c r="A64" s="29" t="n"/>
      <c r="B64" s="29" t="n"/>
      <c r="C64" s="29" t="n"/>
      <c r="D64" s="29" t="n"/>
      <c r="E64" s="29" t="n"/>
      <c r="F64" s="30" t="n"/>
      <c r="G64" s="29" t="n"/>
      <c r="H64" s="29" t="n"/>
    </row>
    <row r="65">
      <c r="A65" s="29" t="n"/>
      <c r="B65" s="29" t="n"/>
      <c r="C65" s="29" t="n"/>
      <c r="D65" s="29" t="n"/>
      <c r="E65" s="29" t="n"/>
      <c r="F65" s="30" t="n"/>
      <c r="G65" s="29" t="n"/>
      <c r="H65" s="29" t="n"/>
    </row>
    <row r="66">
      <c r="A66" s="29" t="n"/>
      <c r="B66" s="29" t="n"/>
      <c r="C66" s="29" t="n"/>
      <c r="D66" s="29" t="n"/>
      <c r="E66" s="29" t="n"/>
      <c r="F66" s="30" t="n"/>
      <c r="G66" s="29" t="n"/>
      <c r="H66" s="29" t="n"/>
    </row>
    <row r="67">
      <c r="A67" s="29" t="n"/>
      <c r="B67" s="29" t="n"/>
      <c r="C67" s="29" t="n"/>
      <c r="D67" s="29" t="n"/>
      <c r="E67" s="29" t="n"/>
      <c r="F67" s="30" t="n"/>
      <c r="G67" s="29" t="n"/>
      <c r="H67" s="29" t="n"/>
    </row>
    <row r="68">
      <c r="A68" s="29" t="n"/>
      <c r="B68" s="29" t="n"/>
      <c r="C68" s="29" t="n"/>
      <c r="D68" s="29" t="n"/>
      <c r="E68" s="29" t="n"/>
      <c r="F68" s="30" t="n"/>
      <c r="G68" s="29" t="n"/>
      <c r="H68" s="29" t="n"/>
    </row>
    <row r="69">
      <c r="A69" s="29" t="n"/>
      <c r="B69" s="29" t="n"/>
      <c r="C69" s="29" t="n"/>
      <c r="D69" s="29" t="n"/>
      <c r="E69" s="29" t="n"/>
      <c r="F69" s="30" t="n"/>
      <c r="G69" s="29" t="n"/>
      <c r="H69" s="29" t="n"/>
    </row>
    <row r="70">
      <c r="A70" s="29" t="n"/>
      <c r="B70" s="29" t="n"/>
      <c r="C70" s="29" t="n"/>
      <c r="D70" s="29" t="n"/>
      <c r="E70" s="29" t="n"/>
      <c r="F70" s="30" t="n"/>
      <c r="G70" s="29" t="n"/>
      <c r="H70" s="29" t="n"/>
    </row>
    <row r="71">
      <c r="A71" s="29" t="n"/>
      <c r="B71" s="29" t="n"/>
      <c r="C71" s="29" t="n"/>
      <c r="D71" s="29" t="n"/>
      <c r="E71" s="29" t="n"/>
      <c r="F71" s="30" t="n"/>
      <c r="G71" s="29" t="n"/>
      <c r="H71" s="29" t="n"/>
    </row>
    <row r="72">
      <c r="A72" s="29" t="n"/>
      <c r="B72" s="29" t="n"/>
      <c r="C72" s="29" t="n"/>
      <c r="D72" s="29" t="n"/>
      <c r="E72" s="29" t="n"/>
      <c r="F72" s="30" t="n"/>
      <c r="G72" s="29" t="n"/>
      <c r="H72" s="29" t="n"/>
    </row>
    <row r="73">
      <c r="A73" s="29" t="n"/>
      <c r="B73" s="29" t="n"/>
      <c r="C73" s="29" t="n"/>
      <c r="D73" s="29" t="n"/>
      <c r="E73" s="29" t="n"/>
      <c r="F73" s="30" t="n"/>
      <c r="G73" s="29" t="n"/>
      <c r="H73" s="29" t="n"/>
    </row>
    <row r="74">
      <c r="A74" s="29" t="n"/>
      <c r="B74" s="29" t="n"/>
      <c r="C74" s="29" t="n"/>
      <c r="D74" s="29" t="n"/>
      <c r="E74" s="29" t="n"/>
      <c r="F74" s="30" t="n"/>
      <c r="G74" s="29" t="n"/>
      <c r="H74" s="29" t="n"/>
    </row>
    <row r="75">
      <c r="A75" s="29" t="n"/>
      <c r="B75" s="29" t="n"/>
      <c r="C75" s="29" t="n"/>
      <c r="D75" s="29" t="n"/>
      <c r="E75" s="29" t="n"/>
      <c r="F75" s="30" t="n"/>
      <c r="G75" s="29" t="n"/>
      <c r="H75" s="29" t="n"/>
    </row>
    <row r="76">
      <c r="A76" s="29" t="n"/>
      <c r="B76" s="29" t="n"/>
      <c r="C76" s="29" t="n"/>
      <c r="D76" s="29" t="n"/>
      <c r="E76" s="29" t="n"/>
      <c r="F76" s="30" t="n"/>
      <c r="G76" s="29" t="n"/>
      <c r="H76" s="29" t="n"/>
    </row>
    <row r="77">
      <c r="A77" s="29" t="n"/>
      <c r="B77" s="29" t="n"/>
      <c r="C77" s="29" t="n"/>
      <c r="D77" s="29" t="n"/>
      <c r="E77" s="29" t="n"/>
      <c r="F77" s="30" t="n"/>
      <c r="G77" s="29" t="n"/>
      <c r="H77" s="29" t="n"/>
    </row>
    <row r="78">
      <c r="A78" s="29" t="n"/>
      <c r="B78" s="29" t="n"/>
      <c r="C78" s="29" t="n"/>
      <c r="D78" s="29" t="n"/>
      <c r="E78" s="29" t="n"/>
      <c r="F78" s="30" t="n"/>
      <c r="G78" s="29" t="n"/>
      <c r="H78" s="29" t="n"/>
    </row>
    <row r="79">
      <c r="A79" s="29" t="n"/>
      <c r="B79" s="29" t="n"/>
      <c r="C79" s="29" t="n"/>
      <c r="D79" s="29" t="n"/>
      <c r="E79" s="29" t="n"/>
      <c r="F79" s="30" t="n"/>
      <c r="G79" s="29" t="n"/>
      <c r="H79" s="29" t="n"/>
    </row>
    <row r="80">
      <c r="A80" s="29" t="n"/>
      <c r="B80" s="29" t="n"/>
      <c r="C80" s="29" t="n"/>
      <c r="D80" s="29" t="n"/>
      <c r="E80" s="29" t="n"/>
      <c r="F80" s="30" t="n"/>
      <c r="G80" s="29" t="n"/>
      <c r="H80" s="29" t="n"/>
    </row>
    <row r="81">
      <c r="A81" s="29" t="n"/>
      <c r="B81" s="29" t="n"/>
      <c r="C81" s="29" t="n"/>
      <c r="D81" s="29" t="n"/>
      <c r="E81" s="29" t="n"/>
      <c r="F81" s="30" t="n"/>
      <c r="G81" s="29" t="n"/>
      <c r="H81" s="29" t="n"/>
    </row>
    <row r="82">
      <c r="A82" s="29" t="n"/>
      <c r="B82" s="29" t="n"/>
      <c r="C82" s="29" t="n"/>
      <c r="D82" s="29" t="n"/>
      <c r="E82" s="29" t="n"/>
      <c r="F82" s="30" t="n"/>
      <c r="G82" s="29" t="n"/>
      <c r="H82" s="29" t="n"/>
    </row>
    <row r="83">
      <c r="A83" s="29" t="n"/>
      <c r="B83" s="29" t="n"/>
      <c r="C83" s="29" t="n"/>
      <c r="D83" s="29" t="n"/>
      <c r="E83" s="29" t="n"/>
      <c r="F83" s="30" t="n"/>
      <c r="G83" s="29" t="n"/>
      <c r="H83" s="29" t="n"/>
    </row>
    <row r="84">
      <c r="A84" s="29" t="n"/>
      <c r="B84" s="29" t="n"/>
      <c r="C84" s="29" t="n"/>
      <c r="D84" s="29" t="n"/>
      <c r="E84" s="29" t="n"/>
      <c r="F84" s="30" t="n"/>
      <c r="G84" s="29" t="n"/>
      <c r="H84" s="29" t="n"/>
    </row>
    <row r="85">
      <c r="A85" s="29" t="n"/>
      <c r="B85" s="29" t="n"/>
      <c r="C85" s="29" t="n"/>
      <c r="D85" s="29" t="n"/>
      <c r="E85" s="29" t="n"/>
      <c r="F85" s="30" t="n"/>
      <c r="G85" s="29" t="n"/>
      <c r="H85" s="29" t="n"/>
    </row>
    <row r="86">
      <c r="A86" s="29" t="n"/>
      <c r="B86" s="29" t="n"/>
      <c r="C86" s="29" t="n"/>
      <c r="D86" s="29" t="n"/>
      <c r="E86" s="29" t="n"/>
      <c r="F86" s="30" t="n"/>
      <c r="G86" s="29" t="n"/>
      <c r="H86" s="29" t="n"/>
    </row>
    <row r="87">
      <c r="A87" s="29" t="n"/>
      <c r="B87" s="29" t="n"/>
      <c r="C87" s="29" t="n"/>
      <c r="D87" s="29" t="n"/>
      <c r="E87" s="29" t="n"/>
      <c r="F87" s="30" t="n"/>
      <c r="G87" s="29" t="n"/>
      <c r="H87" s="29" t="n"/>
    </row>
    <row r="88">
      <c r="A88" s="29" t="n"/>
      <c r="B88" s="29" t="n"/>
      <c r="C88" s="29" t="n"/>
      <c r="D88" s="29" t="n"/>
      <c r="E88" s="29" t="n"/>
      <c r="F88" s="30" t="n"/>
      <c r="G88" s="29" t="n"/>
      <c r="H88" s="29" t="n"/>
    </row>
    <row r="89">
      <c r="A89" s="29" t="n"/>
      <c r="B89" s="29" t="n"/>
      <c r="C89" s="29" t="n"/>
      <c r="D89" s="29" t="n"/>
      <c r="E89" s="29" t="n"/>
      <c r="F89" s="30" t="n"/>
      <c r="G89" s="29" t="n"/>
      <c r="H89" s="29" t="n"/>
    </row>
    <row r="90">
      <c r="A90" s="29" t="n"/>
      <c r="B90" s="29" t="n"/>
      <c r="C90" s="29" t="n"/>
      <c r="D90" s="29" t="n"/>
      <c r="E90" s="29" t="n"/>
      <c r="F90" s="30" t="n"/>
      <c r="G90" s="29" t="n"/>
      <c r="H90" s="29" t="n"/>
    </row>
    <row r="91">
      <c r="A91" s="29" t="n"/>
      <c r="B91" s="29" t="n"/>
      <c r="C91" s="29" t="n"/>
      <c r="D91" s="29" t="n"/>
      <c r="E91" s="29" t="n"/>
      <c r="F91" s="30" t="n"/>
      <c r="G91" s="29" t="n"/>
      <c r="H91" s="29" t="n"/>
    </row>
    <row r="92">
      <c r="A92" s="29" t="n"/>
      <c r="B92" s="29" t="n"/>
      <c r="C92" s="29" t="n"/>
      <c r="D92" s="29" t="n"/>
      <c r="E92" s="29" t="n"/>
      <c r="F92" s="30" t="n"/>
      <c r="G92" s="29" t="n"/>
      <c r="H92" s="29" t="n"/>
    </row>
    <row r="93">
      <c r="A93" s="29" t="n"/>
      <c r="B93" s="29" t="n"/>
      <c r="C93" s="29" t="n"/>
      <c r="D93" s="29" t="n"/>
      <c r="E93" s="29" t="n"/>
      <c r="F93" s="30" t="n"/>
      <c r="G93" s="29" t="n"/>
      <c r="H93" s="29" t="n"/>
    </row>
    <row r="94">
      <c r="A94" s="29" t="n"/>
      <c r="B94" s="29" t="n"/>
      <c r="C94" s="29" t="n"/>
      <c r="D94" s="29" t="n"/>
      <c r="E94" s="29" t="n"/>
      <c r="F94" s="30" t="n"/>
      <c r="G94" s="29" t="n"/>
      <c r="H94" s="29" t="n"/>
    </row>
    <row r="95">
      <c r="A95" s="29" t="n"/>
      <c r="B95" s="29" t="n"/>
      <c r="C95" s="29" t="n"/>
      <c r="D95" s="29" t="n"/>
      <c r="E95" s="29" t="n"/>
      <c r="F95" s="30" t="n"/>
      <c r="G95" s="29" t="n"/>
      <c r="H95" s="29" t="n"/>
    </row>
    <row r="96">
      <c r="A96" s="29" t="n"/>
      <c r="B96" s="29" t="n"/>
      <c r="C96" s="29" t="n"/>
      <c r="D96" s="29" t="n"/>
      <c r="E96" s="29" t="n"/>
      <c r="F96" s="30" t="n"/>
      <c r="G96" s="29" t="n"/>
      <c r="H96" s="29" t="n"/>
    </row>
    <row r="97">
      <c r="A97" s="29" t="n"/>
      <c r="B97" s="29" t="n"/>
      <c r="C97" s="29" t="n"/>
      <c r="D97" s="29" t="n"/>
      <c r="E97" s="29" t="n"/>
      <c r="F97" s="30" t="n"/>
      <c r="G97" s="29" t="n"/>
      <c r="H97" s="29" t="n"/>
    </row>
    <row r="98">
      <c r="A98" s="29" t="n"/>
      <c r="B98" s="29" t="n"/>
      <c r="C98" s="29" t="n"/>
      <c r="D98" s="29" t="n"/>
      <c r="E98" s="29" t="n"/>
      <c r="F98" s="30" t="n"/>
      <c r="G98" s="29" t="n"/>
      <c r="H98" s="29" t="n"/>
    </row>
    <row r="99">
      <c r="A99" s="29" t="n"/>
      <c r="B99" s="29" t="n"/>
      <c r="C99" s="29" t="n"/>
      <c r="D99" s="29" t="n"/>
      <c r="E99" s="29" t="n"/>
      <c r="F99" s="30" t="n"/>
      <c r="G99" s="29" t="n"/>
      <c r="H99" s="29" t="n"/>
    </row>
    <row r="100">
      <c r="A100" s="29" t="n"/>
      <c r="B100" s="29" t="n"/>
      <c r="C100" s="29" t="n"/>
      <c r="D100" s="29" t="n"/>
      <c r="E100" s="29" t="n"/>
      <c r="F100" s="30" t="n"/>
      <c r="G100" s="29" t="n"/>
      <c r="H100" s="29" t="n"/>
    </row>
    <row r="101">
      <c r="A101" s="29" t="n"/>
      <c r="B101" s="29" t="n"/>
      <c r="C101" s="29" t="n"/>
      <c r="D101" s="29" t="n"/>
      <c r="E101" s="29" t="n"/>
      <c r="F101" s="30" t="n"/>
      <c r="G101" s="29" t="n"/>
      <c r="H101" s="29" t="n"/>
    </row>
    <row r="102">
      <c r="A102" s="29" t="n"/>
      <c r="B102" s="29" t="n"/>
      <c r="C102" s="29" t="n"/>
      <c r="D102" s="29" t="n"/>
      <c r="E102" s="29" t="n"/>
      <c r="F102" s="30" t="n"/>
      <c r="G102" s="29" t="n"/>
      <c r="H102" s="29" t="n"/>
    </row>
    <row r="103">
      <c r="A103" s="29" t="n"/>
      <c r="B103" s="29" t="n"/>
      <c r="C103" s="29" t="n"/>
      <c r="D103" s="29" t="n"/>
      <c r="E103" s="29" t="n"/>
      <c r="F103" s="30" t="n"/>
      <c r="G103" s="29" t="n"/>
      <c r="H103" s="29" t="n"/>
    </row>
    <row r="104">
      <c r="A104" s="29" t="n"/>
      <c r="B104" s="29" t="n"/>
      <c r="C104" s="29" t="n"/>
      <c r="D104" s="29" t="n"/>
      <c r="E104" s="29" t="n"/>
      <c r="F104" s="30" t="n"/>
      <c r="G104" s="29" t="n"/>
      <c r="H104" s="29" t="n"/>
    </row>
    <row r="105">
      <c r="A105" s="29" t="n"/>
      <c r="B105" s="29" t="n"/>
      <c r="C105" s="29" t="n"/>
      <c r="D105" s="29" t="n"/>
      <c r="E105" s="29" t="n"/>
      <c r="F105" s="30" t="n"/>
      <c r="G105" s="29" t="n"/>
      <c r="H105" s="29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"Screenshot,Configuration File,Log Export,Report,Policy Document,SOC Procedure,Meeting Notes,Training Record,Other"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4" t="inlineStr">
        <is>
          <t>{WORKBOOK_NAME} — SUMMARY DASHBOARD</t>
        </is>
      </c>
    </row>
    <row r="2">
      <c r="A2" s="31" t="inlineStr">
        <is>
          <t>ISO/IEC 27001:2022 A.8.15 requires logs to be regularly reviewed and analysed. Storing logs without review is a direct non-conformity. This assessment evaluates review schedules, alert management, investigation procedures, and analysis tool capabilities.</t>
        </is>
      </c>
    </row>
    <row r="4">
      <c r="A4" s="32" t="inlineStr">
        <is>
          <t>TABLE 1 — COMPLIANCE OVERVIEW BY ASSESSMENT AREA</t>
        </is>
      </c>
    </row>
    <row r="5">
      <c r="A5" s="33" t="inlineStr">
        <is>
          <t>Assessment Area</t>
        </is>
      </c>
      <c r="B5" s="33" t="inlineStr">
        <is>
          <t>Total Items</t>
        </is>
      </c>
      <c r="C5" s="33" t="inlineStr">
        <is>
          <t>Compliant</t>
        </is>
      </c>
      <c r="D5" s="33" t="inlineStr">
        <is>
          <t>Partial</t>
        </is>
      </c>
      <c r="E5" s="33" t="inlineStr">
        <is>
          <t>Non-Compliant</t>
        </is>
      </c>
      <c r="F5" s="33" t="inlineStr">
        <is>
          <t>N/A</t>
        </is>
      </c>
      <c r="G5" s="33" t="inlineStr">
        <is>
          <t>Compliance %</t>
        </is>
      </c>
    </row>
    <row r="6">
      <c r="A6" s="34" t="inlineStr">
        <is>
          <t>Log Review Schedule</t>
        </is>
      </c>
      <c r="B6" s="34">
        <f>C6+D6+E6+F6</f>
        <v/>
      </c>
      <c r="C6" s="34">
        <f>COUNTIF('Log Review Schedule'!I6:I55,"On Schedule")+COUNTIF('Log Review Schedule'!I6:I55,"Completed")</f>
        <v/>
      </c>
      <c r="D6" s="34">
        <f>0</f>
        <v/>
      </c>
      <c r="E6" s="34">
        <f>COUNTIF('Log Review Schedule'!I6:I55,"Overdue")</f>
        <v/>
      </c>
      <c r="F6" s="34">
        <f>COUNTIF('Log Review Schedule'!I6:I55,"Deferred")</f>
        <v/>
      </c>
      <c r="G6" s="35">
        <f>IF((B6-F6)=0,0,C6/(B6-F6))</f>
        <v/>
      </c>
    </row>
    <row r="7">
      <c r="A7" s="34" t="inlineStr">
        <is>
          <t>Alert Management</t>
        </is>
      </c>
      <c r="B7" s="34">
        <f>C7+D7+E7+F7</f>
        <v/>
      </c>
      <c r="C7" s="34">
        <f>COUNTIF('Alert Management'!O6:O55,"Active")</f>
        <v/>
      </c>
      <c r="D7" s="34">
        <f>COUNTIF('Alert Management'!O6:O55,"Testing")</f>
        <v/>
      </c>
      <c r="E7" s="34">
        <f>COUNTIF('Alert Management'!O6:O55,"Disabled")+COUNTIF('Alert Management'!O6:O55,"Deprecated")</f>
        <v/>
      </c>
      <c r="F7" s="34">
        <f>0</f>
        <v/>
      </c>
      <c r="G7" s="35">
        <f>IF((B7-F7)=0,0,C7/(B7-F7))</f>
        <v/>
      </c>
    </row>
    <row r="8">
      <c r="A8" s="34" t="inlineStr">
        <is>
          <t>Investigation Workflow</t>
        </is>
      </c>
      <c r="B8" s="34">
        <f>C8+D8+E8+F8</f>
        <v/>
      </c>
      <c r="C8" s="34">
        <f>COUNTA('Investigation Workflow'!B6:B55)</f>
        <v/>
      </c>
      <c r="D8" s="34">
        <f>0</f>
        <v/>
      </c>
      <c r="E8" s="34">
        <f>0</f>
        <v/>
      </c>
      <c r="F8" s="34">
        <f>0</f>
        <v/>
      </c>
      <c r="G8" s="35">
        <f>IF((B8-F8)=0,0,C8/(B8-F8))</f>
        <v/>
      </c>
    </row>
    <row r="9">
      <c r="A9" s="34" t="inlineStr">
        <is>
          <t>Analysis Tools &amp; Capabilities</t>
        </is>
      </c>
      <c r="B9" s="34">
        <f>C9+D9+E9+F9</f>
        <v/>
      </c>
      <c r="C9" s="34">
        <f>COUNTA('Analysis Tools &amp; Capabilities'!A6:A55)</f>
        <v/>
      </c>
      <c r="D9" s="34">
        <f>0</f>
        <v/>
      </c>
      <c r="E9" s="34">
        <f>0</f>
        <v/>
      </c>
      <c r="F9" s="34">
        <f>0</f>
        <v/>
      </c>
      <c r="G9" s="35">
        <f>IF((B9-F9)=0,0,C9/(B9-F9))</f>
        <v/>
      </c>
    </row>
    <row r="10">
      <c r="A10" s="34" t="inlineStr">
        <is>
          <t>Review Findings</t>
        </is>
      </c>
      <c r="B10" s="34">
        <f>C10+D10+E10+F10</f>
        <v/>
      </c>
      <c r="C10" s="34">
        <f>COUNTIF('Review Findings'!K6:K55,"Resolved")</f>
        <v/>
      </c>
      <c r="D10" s="34">
        <f>COUNTIF('Review Findings'!K6:K55,"In Progress")</f>
        <v/>
      </c>
      <c r="E10" s="34">
        <f>COUNTIF('Review Findings'!K6:K55,"New")</f>
        <v/>
      </c>
      <c r="F10" s="34">
        <f>COUNTIF('Review Findings'!K6:K55,"Deferred")</f>
        <v/>
      </c>
      <c r="G10" s="35">
        <f>IF((B10-F10)=0,0,C10/(B10-F10))</f>
        <v/>
      </c>
    </row>
    <row r="11">
      <c r="A11" s="34" t="inlineStr">
        <is>
          <t>Continuous Monitoring</t>
        </is>
      </c>
      <c r="B11" s="34">
        <f>C11+D11+E11+F11</f>
        <v/>
      </c>
      <c r="C11" s="34">
        <f>COUNTA('Continuous Monitoring'!A6:A55)</f>
        <v/>
      </c>
      <c r="D11" s="34">
        <f>0</f>
        <v/>
      </c>
      <c r="E11" s="34">
        <f>0</f>
        <v/>
      </c>
      <c r="F11" s="34">
        <f>0</f>
        <v/>
      </c>
      <c r="G11" s="35">
        <f>IF((B11-F11)=0,0,C11/(B11-F11))</f>
        <v/>
      </c>
    </row>
    <row r="12">
      <c r="A12" s="34" t="inlineStr">
        <is>
          <t>Gap Remediation</t>
        </is>
      </c>
      <c r="B12" s="34">
        <f>C12+D12+E12+F12</f>
        <v/>
      </c>
      <c r="C12" s="34">
        <f>COUNTIF('Gap Analysis'!K6:K55,"Resolved")</f>
        <v/>
      </c>
      <c r="D12" s="34">
        <f>COUNTIF('Gap Analysis'!K6:K55,"In Progress")</f>
        <v/>
      </c>
      <c r="E12" s="34">
        <f>COUNTIF('Gap Analysis'!K6:K55,"Open")</f>
        <v/>
      </c>
      <c r="F12" s="34">
        <f>COUNTIF('Gap Analysis'!K6:K55,"Deferred")</f>
        <v/>
      </c>
      <c r="G12" s="35">
        <f>IF((B12-F12)=0,0,C12/(B12-F12))</f>
        <v/>
      </c>
    </row>
    <row r="13">
      <c r="A13" s="36" t="inlineStr">
        <is>
          <t>TOTAL</t>
        </is>
      </c>
      <c r="B13" s="36">
        <f>SUM(B6:B12)</f>
        <v/>
      </c>
      <c r="C13" s="36">
        <f>SUM(C6:C12)</f>
        <v/>
      </c>
      <c r="D13" s="36">
        <f>SUM(D6:D12)</f>
        <v/>
      </c>
      <c r="E13" s="36">
        <f>SUM(E6:E12)</f>
        <v/>
      </c>
      <c r="F13" s="36">
        <f>SUM(F6:F12)</f>
        <v/>
      </c>
      <c r="G13" s="37">
        <f>IF((B13-F13)=0,0,C13/(B13-F13))</f>
        <v/>
      </c>
    </row>
    <row r="15">
      <c r="A15" s="32" t="inlineStr">
        <is>
          <t>TABLE 2 — KEY METRICS</t>
        </is>
      </c>
    </row>
    <row r="16">
      <c r="A16" s="38" t="inlineStr">
        <is>
          <t>Metric</t>
        </is>
      </c>
      <c r="B16" s="38" t="inlineStr">
        <is>
          <t>Value</t>
        </is>
      </c>
      <c r="C16" s="38" t="inlineStr">
        <is>
          <t>Target</t>
        </is>
      </c>
      <c r="D16" s="38" t="n"/>
      <c r="E16" s="38" t="n"/>
      <c r="F16" s="38" t="n"/>
      <c r="G16" s="38" t="n"/>
    </row>
    <row r="17">
      <c r="A17" s="34" t="inlineStr">
        <is>
          <t>Log reviews with active schedule</t>
        </is>
      </c>
      <c r="B17" s="34">
        <f>COUNTA('Log Review Schedule'!B6:B55)</f>
        <v/>
      </c>
      <c r="C17" s="39" t="inlineStr">
        <is>
          <t>All log sources</t>
        </is>
      </c>
      <c r="D17" s="6" t="n"/>
      <c r="E17" s="6" t="n"/>
      <c r="F17" s="6" t="n"/>
      <c r="G17" s="6" t="n"/>
    </row>
    <row r="18">
      <c r="A18" s="34" t="inlineStr">
        <is>
          <t>Overdue log reviews</t>
        </is>
      </c>
      <c r="B18" s="34">
        <f>COUNTIF('Log Review Schedule'!I6:I55,"Overdue")</f>
        <v/>
      </c>
      <c r="C18" s="39" t="inlineStr">
        <is>
          <t>0</t>
        </is>
      </c>
      <c r="D18" s="6" t="n"/>
      <c r="E18" s="6" t="n"/>
      <c r="F18" s="6" t="n"/>
      <c r="G18" s="6" t="n"/>
    </row>
    <row r="19">
      <c r="A19" s="34" t="inlineStr">
        <is>
          <t>Active SIEM correlation rules</t>
        </is>
      </c>
      <c r="B19" s="34">
        <f>COUNTIF('Alert Management'!O6:O55,"Active")</f>
        <v/>
      </c>
      <c r="C19" s="39" t="inlineStr">
        <is>
          <t>All configured</t>
        </is>
      </c>
      <c r="D19" s="6" t="n"/>
      <c r="E19" s="6" t="n"/>
      <c r="F19" s="6" t="n"/>
      <c r="G19" s="6" t="n"/>
    </row>
    <row r="20">
      <c r="A20" s="34" t="inlineStr">
        <is>
          <t>Open review findings</t>
        </is>
      </c>
      <c r="B20" s="34">
        <f>COUNTIF('Review Findings'!K6:K55,"New")+COUNTIF('Review Findings'!K6:K55,"In Progress")</f>
        <v/>
      </c>
      <c r="C20" s="39" t="inlineStr">
        <is>
          <t>0</t>
        </is>
      </c>
      <c r="D20" s="6" t="n"/>
      <c r="E20" s="6" t="n"/>
      <c r="F20" s="6" t="n"/>
      <c r="G20" s="6" t="n"/>
    </row>
    <row r="21">
      <c r="A21" s="34" t="inlineStr">
        <is>
          <t>Open analysis capability gaps</t>
        </is>
      </c>
      <c r="B21" s="34">
        <f>COUNTIF('Gap Analysis'!K6:K55,"Open")</f>
        <v/>
      </c>
      <c r="C21" s="39" t="inlineStr">
        <is>
          <t>0</t>
        </is>
      </c>
      <c r="D21" s="6" t="n"/>
      <c r="E21" s="6" t="n"/>
      <c r="F21" s="6" t="n"/>
      <c r="G21" s="6" t="n"/>
    </row>
    <row r="23">
      <c r="A23" s="40" t="inlineStr">
        <is>
          <t>TABLE 3 — CRITICAL FINDINGS REQUIRING ATTENTION</t>
        </is>
      </c>
    </row>
    <row r="24">
      <c r="A24" s="33" t="inlineStr">
        <is>
          <t>Finding Type</t>
        </is>
      </c>
      <c r="B24" s="33" t="inlineStr">
        <is>
          <t>Risk Level</t>
        </is>
      </c>
      <c r="C24" s="33" t="inlineStr">
        <is>
          <t>Associated Sheet</t>
        </is>
      </c>
      <c r="D24" s="33" t="inlineStr">
        <is>
          <t>Recommended Action</t>
        </is>
      </c>
      <c r="E24" s="33" t="inlineStr">
        <is>
          <t>ISO Clause</t>
        </is>
      </c>
    </row>
    <row r="25">
      <c r="A25" s="41" t="inlineStr">
        <is>
          <t>No log review schedule in place (digital graveyard)</t>
        </is>
      </c>
      <c r="B25" s="41" t="inlineStr">
        <is>
          <t>Critical</t>
        </is>
      </c>
      <c r="C25" s="41" t="inlineStr">
        <is>
          <t>Log Review Schedule</t>
        </is>
      </c>
      <c r="D25" s="41" t="inlineStr">
        <is>
          <t>Establish review schedule per ISMS-POL-A.8.15 — storing without reviewing is non-compliant</t>
        </is>
      </c>
      <c r="E25" s="41" t="inlineStr">
        <is>
          <t>A.8.15</t>
        </is>
      </c>
    </row>
    <row r="26">
      <c r="A26" s="41" t="inlineStr">
        <is>
          <t>Overdue log reviews</t>
        </is>
      </c>
      <c r="B26" s="41" t="inlineStr">
        <is>
          <t>High</t>
        </is>
      </c>
      <c r="C26" s="41" t="inlineStr">
        <is>
          <t>Log Review Schedule</t>
        </is>
      </c>
      <c r="D26" s="41" t="inlineStr">
        <is>
          <t>Immediately conduct overdue reviews; escalate to Information Security Manager within 24 hours</t>
        </is>
      </c>
      <c r="E26" s="41" t="inlineStr">
        <is>
          <t>A.8.15</t>
        </is>
      </c>
    </row>
    <row r="27">
      <c r="A27" s="41" t="inlineStr">
        <is>
          <t>SIEM alert queue not being triaged (unreviewed alerts)</t>
        </is>
      </c>
      <c r="B27" s="41" t="inlineStr">
        <is>
          <t>Critical</t>
        </is>
      </c>
      <c r="C27" s="41" t="inlineStr">
        <is>
          <t>Alert Management</t>
        </is>
      </c>
      <c r="D27" s="41" t="inlineStr">
        <is>
          <t>Institute daily SOC triage process; unreviewed alerts indicate monitoring in name only</t>
        </is>
      </c>
      <c r="E27" s="41" t="inlineStr">
        <is>
          <t>A.8.15</t>
        </is>
      </c>
    </row>
    <row r="28">
      <c r="A28" s="41" t="inlineStr">
        <is>
          <t>No investigation workflow for security anomalies</t>
        </is>
      </c>
      <c r="B28" s="41" t="inlineStr">
        <is>
          <t>High</t>
        </is>
      </c>
      <c r="C28" s="41" t="inlineStr">
        <is>
          <t>Investigation Workflow</t>
        </is>
      </c>
      <c r="D28" s="41" t="inlineStr">
        <is>
          <t>Document and implement escalation procedures for security log anomalies</t>
        </is>
      </c>
      <c r="E28" s="41" t="inlineStr">
        <is>
          <t>A.8.15</t>
        </is>
      </c>
    </row>
    <row r="29">
      <c r="A29" s="41" t="inlineStr">
        <is>
          <t>Authentication failure anomalies not reviewed</t>
        </is>
      </c>
      <c r="B29" s="41" t="inlineStr">
        <is>
          <t>High</t>
        </is>
      </c>
      <c r="C29" s="41" t="inlineStr">
        <is>
          <t>Log Review Schedule / Alert Management</t>
        </is>
      </c>
      <c r="D29" s="41" t="inlineStr">
        <is>
          <t>Configure automated alerting for repeated authentication failures per A.8.15(a)</t>
        </is>
      </c>
      <c r="E29" s="41" t="inlineStr">
        <is>
          <t>A.8.15(a)</t>
        </is>
      </c>
    </row>
  </sheetData>
  <mergeCells count="5">
    <mergeCell ref="A1:G1"/>
    <mergeCell ref="A4:G4"/>
    <mergeCell ref="A2:G2"/>
    <mergeCell ref="A23:E23"/>
    <mergeCell ref="A15:G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2" t="inlineStr">
        <is>
          <t>ASSESSMENT APPROVAL AND SIGN-OFF</t>
        </is>
      </c>
      <c r="B1" s="6" t="n"/>
      <c r="C1" s="6" t="n"/>
      <c r="D1" s="6" t="n"/>
      <c r="E1" s="6" t="n"/>
    </row>
    <row r="2">
      <c r="A2" s="43" t="inlineStr">
        <is>
          <t>ISMS-IMP-A.8.15.4 - Log Analysis &amp; Review Assessment Approval Workflow</t>
        </is>
      </c>
      <c r="B2" s="6" t="n"/>
      <c r="C2" s="6" t="n"/>
      <c r="D2" s="6" t="n"/>
      <c r="E2" s="6" t="n"/>
    </row>
    <row r="3">
      <c r="A3" s="44" t="inlineStr">
        <is>
          <t>ASSESSMENT SUMMARY</t>
        </is>
      </c>
      <c r="B3" s="6" t="n"/>
      <c r="C3" s="6" t="n"/>
      <c r="D3" s="6" t="n"/>
      <c r="E3" s="6" t="n"/>
    </row>
    <row r="4">
      <c r="A4" s="45" t="inlineStr">
        <is>
          <t>Document:</t>
        </is>
      </c>
      <c r="B4" s="6" t="inlineStr">
        <is>
          <t>ISMS-IMP-A.8.15.4 - Log Analysis &amp; Review Assessment</t>
        </is>
      </c>
      <c r="C4" s="6" t="n"/>
      <c r="D4" s="6" t="n"/>
      <c r="E4" s="6" t="n"/>
    </row>
    <row r="5">
      <c r="A5" s="45" t="inlineStr">
        <is>
          <t>Assessment Period:</t>
        </is>
      </c>
      <c r="B5" s="46" t="inlineStr"/>
      <c r="C5" s="6" t="n"/>
      <c r="D5" s="6" t="n"/>
      <c r="E5" s="6" t="n"/>
    </row>
    <row r="6">
      <c r="A6" s="45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45" t="inlineStr">
        <is>
          <t>Assessment Status:</t>
        </is>
      </c>
      <c r="B7" s="46" t="inlineStr"/>
      <c r="C7" s="6" t="n"/>
      <c r="D7" s="6" t="n"/>
      <c r="E7" s="6" t="n"/>
    </row>
    <row r="10">
      <c r="A10" s="44" t="inlineStr">
        <is>
          <t>COMPLETED BY (ASSESSOR)</t>
        </is>
      </c>
      <c r="B10" s="6" t="n"/>
      <c r="C10" s="6" t="n"/>
      <c r="D10" s="6" t="n"/>
      <c r="E10" s="6" t="n"/>
    </row>
    <row r="11">
      <c r="A11" s="45" t="inlineStr">
        <is>
          <t>Name:</t>
        </is>
      </c>
      <c r="B11" s="46" t="n"/>
      <c r="C11" s="6" t="n"/>
      <c r="D11" s="6" t="n"/>
      <c r="E11" s="6" t="n"/>
    </row>
    <row r="12">
      <c r="A12" s="45" t="inlineStr">
        <is>
          <t>Title:</t>
        </is>
      </c>
      <c r="B12" s="46" t="n"/>
      <c r="C12" s="6" t="n"/>
      <c r="D12" s="6" t="n"/>
      <c r="E12" s="6" t="n"/>
    </row>
    <row r="13">
      <c r="A13" s="45" t="inlineStr">
        <is>
          <t>Date:</t>
        </is>
      </c>
      <c r="B13" s="46" t="n"/>
      <c r="C13" s="6" t="n"/>
      <c r="D13" s="6" t="n"/>
      <c r="E13" s="6" t="n"/>
    </row>
    <row r="14">
      <c r="A14" s="45" t="inlineStr">
        <is>
          <t>Signature:</t>
        </is>
      </c>
      <c r="B14" s="46" t="n"/>
      <c r="C14" s="6" t="n"/>
      <c r="D14" s="6" t="n"/>
      <c r="E14" s="6" t="n"/>
    </row>
    <row r="15">
      <c r="A15" s="45" t="inlineStr">
        <is>
          <t>Comments:</t>
        </is>
      </c>
      <c r="B15" s="46" t="n"/>
      <c r="C15" s="6" t="n"/>
      <c r="D15" s="6" t="n"/>
      <c r="E15" s="6" t="n"/>
    </row>
    <row r="17">
      <c r="A17" s="44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45" t="inlineStr">
        <is>
          <t>Name:</t>
        </is>
      </c>
      <c r="B18" s="46" t="n"/>
      <c r="C18" s="6" t="n"/>
      <c r="D18" s="6" t="n"/>
      <c r="E18" s="6" t="n"/>
    </row>
    <row r="19">
      <c r="A19" s="45" t="inlineStr">
        <is>
          <t>Title:</t>
        </is>
      </c>
      <c r="B19" s="46" t="n"/>
      <c r="C19" s="6" t="n"/>
      <c r="D19" s="6" t="n"/>
      <c r="E19" s="6" t="n"/>
    </row>
    <row r="20">
      <c r="A20" s="45" t="inlineStr">
        <is>
          <t>Date:</t>
        </is>
      </c>
      <c r="B20" s="46" t="n"/>
      <c r="C20" s="6" t="n"/>
      <c r="D20" s="6" t="n"/>
      <c r="E20" s="6" t="n"/>
    </row>
    <row r="21">
      <c r="A21" s="45" t="inlineStr">
        <is>
          <t>Signature:</t>
        </is>
      </c>
      <c r="B21" s="46" t="n"/>
      <c r="C21" s="6" t="n"/>
      <c r="D21" s="6" t="n"/>
      <c r="E21" s="6" t="n"/>
    </row>
    <row r="22">
      <c r="A22" s="45" t="inlineStr">
        <is>
          <t>Comments:</t>
        </is>
      </c>
      <c r="B22" s="46" t="n"/>
      <c r="C22" s="6" t="n"/>
      <c r="D22" s="6" t="n"/>
      <c r="E22" s="6" t="n"/>
    </row>
    <row r="24">
      <c r="A24" s="47" t="inlineStr">
        <is>
          <t>APPROVED BY (CISO)</t>
        </is>
      </c>
      <c r="B24" s="6" t="n"/>
      <c r="C24" s="6" t="n"/>
      <c r="D24" s="6" t="n"/>
      <c r="E24" s="6" t="n"/>
    </row>
    <row r="25">
      <c r="A25" s="45" t="inlineStr">
        <is>
          <t>Name:</t>
        </is>
      </c>
      <c r="B25" s="46" t="n"/>
      <c r="C25" s="6" t="n"/>
      <c r="D25" s="6" t="n"/>
      <c r="E25" s="6" t="n"/>
    </row>
    <row r="26">
      <c r="A26" s="45" t="inlineStr">
        <is>
          <t>Title:</t>
        </is>
      </c>
      <c r="B26" s="46" t="n"/>
      <c r="C26" s="6" t="n"/>
      <c r="D26" s="6" t="n"/>
      <c r="E26" s="6" t="n"/>
    </row>
    <row r="27">
      <c r="A27" s="45" t="inlineStr">
        <is>
          <t>Date:</t>
        </is>
      </c>
      <c r="B27" s="46" t="n"/>
      <c r="C27" s="6" t="n"/>
      <c r="D27" s="6" t="n"/>
      <c r="E27" s="6" t="n"/>
    </row>
    <row r="28">
      <c r="A28" s="45" t="inlineStr">
        <is>
          <t>Signature:</t>
        </is>
      </c>
      <c r="B28" s="46" t="n"/>
      <c r="C28" s="6" t="n"/>
      <c r="D28" s="6" t="n"/>
      <c r="E28" s="6" t="n"/>
    </row>
    <row r="29">
      <c r="A29" s="45" t="inlineStr">
        <is>
          <t>Comments:</t>
        </is>
      </c>
      <c r="B29" s="46" t="n"/>
      <c r="C29" s="6" t="n"/>
      <c r="D29" s="6" t="n"/>
      <c r="E29" s="6" t="n"/>
    </row>
    <row r="31">
      <c r="A31" s="45" t="inlineStr">
        <is>
          <t>FINAL DECISION:</t>
        </is>
      </c>
      <c r="B31" s="46" t="n"/>
      <c r="C31" s="6" t="n"/>
      <c r="D31" s="6" t="n"/>
      <c r="E31" s="6" t="n"/>
    </row>
    <row r="34">
      <c r="A34" s="44" t="inlineStr">
        <is>
          <t>NEXT REVIEW DETAILS</t>
        </is>
      </c>
      <c r="B34" s="6" t="n"/>
      <c r="C34" s="6" t="n"/>
      <c r="D34" s="6" t="n"/>
      <c r="E34" s="6" t="n"/>
    </row>
    <row r="35">
      <c r="A35" s="45" t="inlineStr">
        <is>
          <t>Next Review Date:</t>
        </is>
      </c>
      <c r="B35" s="46" t="n"/>
      <c r="C35" s="6" t="n"/>
      <c r="D35" s="6" t="n"/>
      <c r="E35" s="6" t="n"/>
    </row>
    <row r="36">
      <c r="A36" s="45" t="inlineStr">
        <is>
          <t>Review Responsible:</t>
        </is>
      </c>
      <c r="B36" s="46" t="n"/>
      <c r="C36" s="6" t="n"/>
      <c r="D36" s="6" t="n"/>
      <c r="E36" s="6" t="n"/>
    </row>
    <row r="37">
      <c r="A37" s="45" t="inlineStr">
        <is>
          <t>Special Considerations:</t>
        </is>
      </c>
      <c r="B37" s="46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ISMS-IMP-A.8.15.4 — Log Analysis &amp; Review Assessment</dc:title>
  <dc:description xmlns:dc="http://purl.org/dc/elements/1.1/">ISMS Implementation Workbook — ISMS-IMP-A.8.15.4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2026-03-10T18:49:22Z</dcterms:created>
  <dcterms:modified xmlns:dcterms="http://purl.org/dc/terms/" xmlns:xsi="http://www.w3.org/2001/XMLSchema-instance" xsi:type="dcterms:W3CDTF">2026-03-10T18:49:23Z</dcterms:modified>
</cp:coreProperties>
</file>