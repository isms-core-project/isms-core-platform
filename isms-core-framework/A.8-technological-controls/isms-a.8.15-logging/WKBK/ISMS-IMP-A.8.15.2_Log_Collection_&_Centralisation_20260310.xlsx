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SIEM Platform Details" sheetId="2" state="visible" r:id="rId2"/>
    <sheet xmlns:r="http://schemas.openxmlformats.org/officeDocument/2006/relationships" name="Log Forwarder Inventory" sheetId="3" state="visible" r:id="rId3"/>
    <sheet xmlns:r="http://schemas.openxmlformats.org/officeDocument/2006/relationships" name="Collection Reliability" sheetId="4" state="visible" r:id="rId4"/>
    <sheet xmlns:r="http://schemas.openxmlformats.org/officeDocument/2006/relationships" name="Integration Architecture" sheetId="5" state="visible" r:id="rId5"/>
    <sheet xmlns:r="http://schemas.openxmlformats.org/officeDocument/2006/relationships" name="SIEM Storage &amp; Capacity" sheetId="6" state="visible" r:id="rId6"/>
    <sheet xmlns:r="http://schemas.openxmlformats.org/officeDocument/2006/relationships" name="Log Parsing &amp; Normalisation" sheetId="7" state="visible" r:id="rId7"/>
    <sheet xmlns:r="http://schemas.openxmlformats.org/officeDocument/2006/relationships" name="SIEM Performance Metrics" sheetId="8" state="visible" r:id="rId8"/>
    <sheet xmlns:r="http://schemas.openxmlformats.org/officeDocument/2006/relationships" name="Data Quality Assessment" sheetId="9" state="visible" r:id="rId9"/>
    <sheet xmlns:r="http://schemas.openxmlformats.org/officeDocument/2006/relationships" name="Encryption &amp; Authentication" sheetId="10" state="visible" r:id="rId10"/>
    <sheet xmlns:r="http://schemas.openxmlformats.org/officeDocument/2006/relationships" name="Gap Analysis" sheetId="11" state="visible" r:id="rId11"/>
    <sheet xmlns:r="http://schemas.openxmlformats.org/officeDocument/2006/relationships" name="Evidence Register" sheetId="12" state="visible" r:id="rId12"/>
    <sheet xmlns:r="http://schemas.openxmlformats.org/officeDocument/2006/relationships" name="Summary Dashboard" sheetId="13" state="visible" r:id="rId13"/>
    <sheet xmlns:r="http://schemas.openxmlformats.org/officeDocument/2006/relationships" name="Approval Sign-Off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DD.MM.YYYY"/>
    <numFmt numFmtId="166" formatCode="DD.MM.YYYY HH:MM"/>
    <numFmt numFmtId="167" formatCode="0.0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i val="1"/>
      <color rgb="00666666"/>
      <sz val="10"/>
    </font>
    <font>
      <name val="Calibri"/>
      <i val="1"/>
      <color rgb="00003366"/>
      <sz val="10"/>
    </font>
    <font>
      <b val="1"/>
      <sz val="10"/>
    </font>
    <font>
      <name val="Calibri"/>
      <sz val="10"/>
    </font>
    <font>
      <name val="Calibri"/>
      <i val="1"/>
    </font>
    <font>
      <name val="Calibri"/>
      <b val="1"/>
      <color rgb="00FFFFFF"/>
    </font>
    <font>
      <name val="Calibri"/>
      <i val="1"/>
      <color rgb="00808080"/>
      <sz val="10"/>
    </font>
    <font>
      <name val="Calibri"/>
      <i val="1"/>
      <sz val="10"/>
    </font>
    <font>
      <name val="Calibri"/>
      <color rgb="00000000"/>
      <sz val="10"/>
    </font>
    <font>
      <name val="Calibri"/>
      <i val="1"/>
      <color rgb="00003366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top"/>
    </xf>
    <xf numFmtId="0" fontId="0" fillId="11" borderId="1" applyAlignment="1" pivotButton="0" quotePrefix="0" xfId="0">
      <alignment horizontal="left" vertical="top" wrapText="1"/>
    </xf>
    <xf numFmtId="164" fontId="0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left" vertical="top" wrapText="1"/>
    </xf>
    <xf numFmtId="166" fontId="0" fillId="11" borderId="1" applyAlignment="1" pivotButton="0" quotePrefix="0" xfId="0">
      <alignment horizontal="left" vertical="top" wrapText="1"/>
    </xf>
    <xf numFmtId="167" fontId="0" fillId="10" borderId="1" applyAlignment="1" pivotButton="0" quotePrefix="0" xfId="0">
      <alignment horizontal="center" vertical="center"/>
    </xf>
    <xf numFmtId="0" fontId="8" fillId="10" borderId="0" applyAlignment="1" pivotButton="0" quotePrefix="0" xfId="0">
      <alignment horizontal="left" vertical="top" wrapText="1"/>
    </xf>
    <xf numFmtId="1" fontId="0" fillId="10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10" borderId="1" pivotButton="0" quotePrefix="0" xfId="0"/>
    <xf numFmtId="0" fontId="0" fillId="0" borderId="0" applyAlignment="1" pivotButton="0" quotePrefix="0" xfId="0">
      <alignment horizontal="left" vertical="center"/>
    </xf>
    <xf numFmtId="167" fontId="0" fillId="11" borderId="1" applyAlignment="1" pivotButton="0" quotePrefix="0" xfId="0">
      <alignment horizontal="left" vertical="top" wrapText="1"/>
    </xf>
    <xf numFmtId="165" fontId="0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wrapText="1"/>
    </xf>
    <xf numFmtId="0" fontId="0" fillId="11" borderId="1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  <xf numFmtId="0" fontId="12" fillId="8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vertical="center" wrapText="1"/>
    </xf>
    <xf numFmtId="165" fontId="13" fillId="10" borderId="1" applyAlignment="1" pivotButton="0" quotePrefix="0" xfId="0">
      <alignment vertical="center" wrapText="1"/>
    </xf>
    <xf numFmtId="0" fontId="0" fillId="11" borderId="1" pivotButton="0" quotePrefix="0" xfId="0"/>
    <xf numFmtId="165" fontId="0" fillId="11" borderId="1" pivotButton="0" quotePrefix="0" xfId="0"/>
    <xf numFmtId="0" fontId="14" fillId="0" borderId="0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 wrapText="1"/>
    </xf>
    <xf numFmtId="0" fontId="15" fillId="0" borderId="1" pivotButton="0" quotePrefix="0" xfId="0"/>
    <xf numFmtId="164" fontId="15" fillId="0" borderId="1" pivotButton="0" quotePrefix="0" xfId="0"/>
    <xf numFmtId="0" fontId="4" fillId="9" borderId="1" pivotButton="0" quotePrefix="0" xfId="0"/>
    <xf numFmtId="164" fontId="4" fillId="9" borderId="1" pivotButton="0" quotePrefix="0" xfId="0"/>
    <xf numFmtId="0" fontId="4" fillId="9" borderId="1" applyAlignment="1" pivotButton="0" quotePrefix="0" xfId="0">
      <alignment horizontal="center" vertical="center"/>
    </xf>
    <xf numFmtId="0" fontId="4" fillId="0" borderId="1" pivotButton="0" quotePrefix="0" xfId="0"/>
    <xf numFmtId="0" fontId="10" fillId="0" borderId="1" pivotButton="0" quotePrefix="0" xfId="0"/>
    <xf numFmtId="0" fontId="5" fillId="12" borderId="1" applyAlignment="1" pivotButton="0" quotePrefix="0" xfId="0">
      <alignment horizontal="left" vertical="center"/>
    </xf>
    <xf numFmtId="0" fontId="10" fillId="11" borderId="1" applyAlignment="1" pivotButton="0" quotePrefix="0" xfId="0">
      <alignment vertical="top" wrapText="1"/>
    </xf>
    <xf numFmtId="0" fontId="1" fillId="8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/>
    </xf>
    <xf numFmtId="0" fontId="5" fillId="13" borderId="1" pivotButton="0" quotePrefix="0" xfId="0"/>
    <xf numFmtId="0" fontId="5" fillId="8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ISMS-IMP-A.8.15.2  -  Log Collection &amp; Centralisation
ISO/IEC 27001:2022 - Control A.8.15: Logging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ISMS-IMP-A.8.15.2</t>
        </is>
      </c>
    </row>
    <row r="5">
      <c r="A5" s="3" t="inlineStr">
        <is>
          <t>Workbook Title</t>
        </is>
      </c>
      <c r="B5" t="inlineStr">
        <is>
          <t>Log Collection &amp; Centralisation</t>
        </is>
      </c>
    </row>
    <row r="6">
      <c r="A6" s="3" t="inlineStr">
        <is>
          <t>Control Reference</t>
        </is>
      </c>
      <c r="B6" t="inlineStr">
        <is>
          <t>ISO/IEC 27001:2022 - Control A.8.15: Logging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Document SIEM/log management platform details.</t>
        </is>
      </c>
    </row>
    <row r="14">
      <c r="A14" t="inlineStr">
        <is>
          <t>2. Catalog all log forwarders and collectors.</t>
        </is>
      </c>
    </row>
    <row r="15">
      <c r="A15" t="inlineStr">
        <is>
          <t>3. Assess collection reliability and performance.</t>
        </is>
      </c>
    </row>
    <row r="16">
      <c r="A16" t="inlineStr">
        <is>
          <t>4. Document integration architecture.</t>
        </is>
      </c>
    </row>
    <row r="17">
      <c r="A17" t="inlineStr">
        <is>
          <t>5. Review capacity and scalability.</t>
        </is>
      </c>
    </row>
    <row r="18">
      <c r="A18" t="inlineStr">
        <is>
          <t>6. Identify collection gaps and failures.</t>
        </is>
      </c>
    </row>
    <row r="19">
      <c r="A19" t="inlineStr">
        <is>
          <t>7. Review Summary Dashboard for overall health.</t>
        </is>
      </c>
    </row>
    <row r="20">
      <c r="A20" t="inlineStr">
        <is>
          <t>8. Document gaps and remediation plans.</t>
        </is>
      </c>
    </row>
    <row r="21">
      <c r="A21" t="inlineStr">
        <is>
          <t>9. Obtain approvals in Approval Sign-Off sheet.</t>
        </is>
      </c>
    </row>
    <row r="23">
      <c r="A23" s="2" t="inlineStr">
        <is>
          <t>Status Legend</t>
        </is>
      </c>
    </row>
    <row r="24">
      <c r="A24" s="5" t="inlineStr">
        <is>
          <t>Symbol</t>
        </is>
      </c>
      <c r="B24" s="5" t="inlineStr">
        <is>
          <t>Status</t>
        </is>
      </c>
      <c r="C24" s="5" t="inlineStr">
        <is>
          <t>Description</t>
        </is>
      </c>
    </row>
    <row r="25">
      <c r="A25" s="6" t="inlineStr">
        <is>
          <t>✓</t>
        </is>
      </c>
      <c r="B25" s="7" t="inlineStr">
        <is>
          <t>Compliant / Complete</t>
        </is>
      </c>
      <c r="C25" s="8" t="inlineStr">
        <is>
          <t>Requirement fully met</t>
        </is>
      </c>
    </row>
    <row r="26">
      <c r="A26" s="6" t="inlineStr">
        <is>
          <t>⚠</t>
        </is>
      </c>
      <c r="B26" s="9" t="inlineStr">
        <is>
          <t>Partial / In Progress</t>
        </is>
      </c>
      <c r="C26" s="8" t="inlineStr">
        <is>
          <t>Partially met or in progress</t>
        </is>
      </c>
    </row>
    <row r="27">
      <c r="A27" s="6" t="inlineStr">
        <is>
          <t>✗</t>
        </is>
      </c>
      <c r="B27" s="10" t="inlineStr">
        <is>
          <t>Non-Compliant / Not Started</t>
        </is>
      </c>
      <c r="C27" s="8" t="inlineStr">
        <is>
          <t>Requirement not met</t>
        </is>
      </c>
    </row>
    <row r="28">
      <c r="A28" s="6" t="inlineStr">
        <is>
          <t>—</t>
        </is>
      </c>
      <c r="B28" s="8" t="inlineStr">
        <is>
          <t>Not Applicable</t>
        </is>
      </c>
      <c r="C28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30" customWidth="1" min="4" max="4"/>
    <col width="15" customWidth="1" min="5" max="5"/>
    <col width="20" customWidth="1" min="6" max="6"/>
    <col width="20" customWidth="1" min="7" max="7"/>
    <col width="10" customWidth="1" min="8" max="8"/>
    <col width="15" customWidth="1" min="9" max="9"/>
    <col width="20" customWidth="1" min="10" max="10"/>
    <col width="20" customWidth="1" min="11" max="11"/>
    <col width="15" customWidth="1" min="12" max="12"/>
    <col width="15" customWidth="1" min="13" max="13"/>
    <col width="40" customWidth="1" min="14" max="14"/>
  </cols>
  <sheetData>
    <row r="1" ht="35" customHeight="1">
      <c r="A1" s="11" t="inlineStr">
        <is>
          <t>SIEM PLATFORM DETAILS</t>
        </is>
      </c>
    </row>
    <row r="2">
      <c r="A2" s="12" t="inlineStr">
        <is>
          <t>Document SIEM/log management platform architecture and components</t>
        </is>
      </c>
    </row>
    <row r="4">
      <c r="A4" s="13" t="inlineStr">
        <is>
          <t>Platform Component</t>
        </is>
      </c>
      <c r="B4" s="13" t="inlineStr">
        <is>
          <t>Product/Vendor</t>
        </is>
      </c>
      <c r="C4" s="13" t="inlineStr">
        <is>
          <t>Version</t>
        </is>
      </c>
      <c r="D4" s="13" t="inlineStr">
        <is>
          <t>Hostname/FQDN</t>
        </is>
      </c>
      <c r="E4" s="13" t="inlineStr">
        <is>
          <t>IP Address</t>
        </is>
      </c>
      <c r="F4" s="13" t="inlineStr">
        <is>
          <t>Role</t>
        </is>
      </c>
      <c r="G4" s="13" t="inlineStr">
        <is>
          <t>OS/Platform</t>
        </is>
      </c>
      <c r="H4" s="13" t="inlineStr">
        <is>
          <t>CPU Cores</t>
        </is>
      </c>
      <c r="I4" s="13" t="inlineStr">
        <is>
          <t>Memory (GB)</t>
        </is>
      </c>
      <c r="J4" s="13" t="inlineStr">
        <is>
          <t>Storage Capacity (TB)</t>
        </is>
      </c>
      <c r="K4" s="13" t="inlineStr">
        <is>
          <t>Storage Used (TB)</t>
        </is>
      </c>
      <c r="L4" s="13" t="inlineStr">
        <is>
          <t>Storage % Used</t>
        </is>
      </c>
      <c r="M4" s="13" t="inlineStr">
        <is>
          <t>Availability</t>
        </is>
      </c>
      <c r="N4" s="13" t="inlineStr">
        <is>
          <t>Notes</t>
        </is>
      </c>
    </row>
    <row r="5">
      <c r="A5" s="14" t="inlineStr">
        <is>
          <t>SIEM Core</t>
        </is>
      </c>
      <c r="B5" s="14" t="inlineStr">
        <is>
          <t>Splunk Enterprise</t>
        </is>
      </c>
      <c r="C5" s="14" t="inlineStr">
        <is>
          <t>9.1.3</t>
        </is>
      </c>
      <c r="D5" s="14" t="inlineStr">
        <is>
          <t>siem-core-01.example.com</t>
        </is>
      </c>
      <c r="E5" s="14" t="inlineStr">
        <is>
          <t>10.10.1.10</t>
        </is>
      </c>
      <c r="F5" s="14" t="inlineStr">
        <is>
          <t>Primary</t>
        </is>
      </c>
      <c r="G5" s="14" t="inlineStr">
        <is>
          <t>Red Hat Linux 8</t>
        </is>
      </c>
      <c r="H5" s="14" t="inlineStr">
        <is>
          <t>32</t>
        </is>
      </c>
      <c r="I5" s="14" t="inlineStr">
        <is>
          <t>256</t>
        </is>
      </c>
      <c r="J5" s="14" t="inlineStr">
        <is>
          <t>50</t>
        </is>
      </c>
      <c r="K5" s="14" t="inlineStr">
        <is>
          <t>32</t>
        </is>
      </c>
      <c r="L5" s="14" t="inlineStr">
        <is>
          <t>64%</t>
        </is>
      </c>
      <c r="M5" s="14" t="inlineStr">
        <is>
          <t>Active</t>
        </is>
      </c>
      <c r="N5" s="14" t="inlineStr">
        <is>
          <t>Primary indexer cluster node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6">
        <f>IF(J6=0,0,K6/J6)</f>
        <v/>
      </c>
      <c r="M6" s="15" t="n"/>
      <c r="N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6">
        <f>IF(J7=0,0,K7/J7)</f>
        <v/>
      </c>
      <c r="M7" s="15" t="n"/>
      <c r="N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6">
        <f>IF(J8=0,0,K8/J8)</f>
        <v/>
      </c>
      <c r="M8" s="15" t="n"/>
      <c r="N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6">
        <f>IF(J9=0,0,K9/J9)</f>
        <v/>
      </c>
      <c r="M9" s="15" t="n"/>
      <c r="N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6">
        <f>IF(J10=0,0,K10/J10)</f>
        <v/>
      </c>
      <c r="M10" s="15" t="n"/>
      <c r="N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6">
        <f>IF(J11=0,0,K11/J11)</f>
        <v/>
      </c>
      <c r="M11" s="15" t="n"/>
      <c r="N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6">
        <f>IF(J12=0,0,K12/J12)</f>
        <v/>
      </c>
      <c r="M12" s="15" t="n"/>
      <c r="N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6">
        <f>IF(J13=0,0,K13/J13)</f>
        <v/>
      </c>
      <c r="M13" s="15" t="n"/>
      <c r="N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6">
        <f>IF(J14=0,0,K14/J14)</f>
        <v/>
      </c>
      <c r="M14" s="15" t="n"/>
      <c r="N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6">
        <f>IF(J15=0,0,K15/J15)</f>
        <v/>
      </c>
      <c r="M15" s="15" t="n"/>
      <c r="N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6">
        <f>IF(J16=0,0,K16/J16)</f>
        <v/>
      </c>
      <c r="M16" s="15" t="n"/>
      <c r="N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6">
        <f>IF(J17=0,0,K17/J17)</f>
        <v/>
      </c>
      <c r="M17" s="15" t="n"/>
      <c r="N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6">
        <f>IF(J18=0,0,K18/J18)</f>
        <v/>
      </c>
      <c r="M18" s="15" t="n"/>
      <c r="N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6">
        <f>IF(J19=0,0,K19/J19)</f>
        <v/>
      </c>
      <c r="M19" s="15" t="n"/>
      <c r="N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6">
        <f>IF(J20=0,0,K20/J20)</f>
        <v/>
      </c>
      <c r="M20" s="15" t="n"/>
      <c r="N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6">
        <f>IF(J21=0,0,K21/J21)</f>
        <v/>
      </c>
      <c r="M21" s="15" t="n"/>
      <c r="N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6">
        <f>IF(J22=0,0,K22/J22)</f>
        <v/>
      </c>
      <c r="M22" s="15" t="n"/>
      <c r="N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6">
        <f>IF(J23=0,0,K23/J23)</f>
        <v/>
      </c>
      <c r="M23" s="15" t="n"/>
      <c r="N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6">
        <f>IF(J24=0,0,K24/J24)</f>
        <v/>
      </c>
      <c r="M24" s="15" t="n"/>
      <c r="N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6">
        <f>IF(J25=0,0,K25/J25)</f>
        <v/>
      </c>
      <c r="M25" s="15" t="n"/>
      <c r="N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6">
        <f>IF(J26=0,0,K26/J26)</f>
        <v/>
      </c>
      <c r="M26" s="15" t="n"/>
      <c r="N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6">
        <f>IF(J27=0,0,K27/J27)</f>
        <v/>
      </c>
      <c r="M27" s="15" t="n"/>
      <c r="N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6">
        <f>IF(J28=0,0,K28/J28)</f>
        <v/>
      </c>
      <c r="M28" s="15" t="n"/>
      <c r="N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6">
        <f>IF(J29=0,0,K29/J29)</f>
        <v/>
      </c>
      <c r="M29" s="15" t="n"/>
      <c r="N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6">
        <f>IF(J30=0,0,K30/J30)</f>
        <v/>
      </c>
      <c r="M30" s="15" t="n"/>
      <c r="N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6">
        <f>IF(J31=0,0,K31/J31)</f>
        <v/>
      </c>
      <c r="M31" s="15" t="n"/>
      <c r="N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6">
        <f>IF(J32=0,0,K32/J32)</f>
        <v/>
      </c>
      <c r="M32" s="15" t="n"/>
      <c r="N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6">
        <f>IF(J33=0,0,K33/J33)</f>
        <v/>
      </c>
      <c r="M33" s="15" t="n"/>
      <c r="N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6">
        <f>IF(J34=0,0,K34/J34)</f>
        <v/>
      </c>
      <c r="M34" s="15" t="n"/>
      <c r="N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6">
        <f>IF(J35=0,0,K35/J35)</f>
        <v/>
      </c>
      <c r="M35" s="15" t="n"/>
      <c r="N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6">
        <f>IF(J36=0,0,K36/J36)</f>
        <v/>
      </c>
      <c r="M36" s="15" t="n"/>
      <c r="N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6">
        <f>IF(J37=0,0,K37/J37)</f>
        <v/>
      </c>
      <c r="M37" s="15" t="n"/>
      <c r="N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6">
        <f>IF(J38=0,0,K38/J38)</f>
        <v/>
      </c>
      <c r="M38" s="15" t="n"/>
      <c r="N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6">
        <f>IF(J39=0,0,K39/J39)</f>
        <v/>
      </c>
      <c r="M39" s="15" t="n"/>
      <c r="N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6">
        <f>IF(J40=0,0,K40/J40)</f>
        <v/>
      </c>
      <c r="M40" s="15" t="n"/>
      <c r="N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6">
        <f>IF(J41=0,0,K41/J41)</f>
        <v/>
      </c>
      <c r="M41" s="15" t="n"/>
      <c r="N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6">
        <f>IF(J42=0,0,K42/J42)</f>
        <v/>
      </c>
      <c r="M42" s="15" t="n"/>
      <c r="N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6">
        <f>IF(J43=0,0,K43/J43)</f>
        <v/>
      </c>
      <c r="M43" s="15" t="n"/>
      <c r="N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6">
        <f>IF(J44=0,0,K44/J44)</f>
        <v/>
      </c>
      <c r="M44" s="15" t="n"/>
      <c r="N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6">
        <f>IF(J45=0,0,K45/J45)</f>
        <v/>
      </c>
      <c r="M45" s="15" t="n"/>
      <c r="N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6">
        <f>IF(J46=0,0,K46/J46)</f>
        <v/>
      </c>
      <c r="M46" s="15" t="n"/>
      <c r="N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6">
        <f>IF(J47=0,0,K47/J47)</f>
        <v/>
      </c>
      <c r="M47" s="15" t="n"/>
      <c r="N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6">
        <f>IF(J48=0,0,K48/J48)</f>
        <v/>
      </c>
      <c r="M48" s="15" t="n"/>
      <c r="N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6">
        <f>IF(J49=0,0,K49/J49)</f>
        <v/>
      </c>
      <c r="M49" s="15" t="n"/>
      <c r="N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6">
        <f>IF(J50=0,0,K50/J50)</f>
        <v/>
      </c>
      <c r="M50" s="15" t="n"/>
      <c r="N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6">
        <f>IF(J51=0,0,K51/J51)</f>
        <v/>
      </c>
      <c r="M51" s="15" t="n"/>
      <c r="N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6">
        <f>IF(J52=0,0,K52/J52)</f>
        <v/>
      </c>
      <c r="M52" s="15" t="n"/>
      <c r="N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6">
        <f>IF(J53=0,0,K53/J53)</f>
        <v/>
      </c>
      <c r="M53" s="15" t="n"/>
      <c r="N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6">
        <f>IF(J54=0,0,K54/J54)</f>
        <v/>
      </c>
      <c r="M54" s="15" t="n"/>
      <c r="N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6">
        <f>IF(J55=0,0,K55/J55)</f>
        <v/>
      </c>
      <c r="M55" s="15" t="n"/>
      <c r="N55" s="15" t="n"/>
    </row>
  </sheetData>
  <mergeCells count="2">
    <mergeCell ref="A2:N2"/>
    <mergeCell ref="A1:N1"/>
  </mergeCells>
  <dataValidations count="4">
    <dataValidation sqref="A6:A55" showDropDown="0" showInputMessage="0" showErrorMessage="0" allowBlank="1" type="list">
      <formula1>"SIEM Core,Indexer,Search Head,Forwarder Management,Storage,API Gateway,Other"</formula1>
    </dataValidation>
    <dataValidation sqref="B6:B55" showDropDown="0" showInputMessage="0" showErrorMessage="0" allowBlank="1" type="list">
      <formula1>"Splunk,QRadar,Sentinel,LogRhythm,ELK Stack,Graylog,Custom,Other"</formula1>
    </dataValidation>
    <dataValidation sqref="F6:F55" showDropDown="0" showInputMessage="0" showErrorMessage="0" allowBlank="1" type="list">
      <formula1>"Primary,Secondary,DR,Dev/Test"</formula1>
    </dataValidation>
    <dataValidation sqref="M6:M55" showDropDown="0" showInputMessage="0" showErrorMessage="0" allowBlank="1" type="list">
      <formula1>"Active,Standby,Offline,Degraded"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30" customWidth="1" min="4" max="4"/>
    <col width="30" customWidth="1" min="5" max="5"/>
    <col width="25" customWidth="1" min="6" max="6"/>
    <col width="18" customWidth="1" min="7" max="7"/>
    <col width="10" customWidth="1" min="8" max="8"/>
    <col width="15" customWidth="1" min="9" max="9"/>
    <col width="15" customWidth="1" min="10" max="10"/>
    <col width="18" customWidth="1" min="11" max="11"/>
    <col width="15" customWidth="1" min="12" max="12"/>
    <col width="15" customWidth="1" min="13" max="13"/>
    <col width="15" customWidth="1" min="14" max="14"/>
    <col width="20" customWidth="1" min="15" max="15"/>
    <col width="20" customWidth="1" min="16" max="16"/>
    <col width="15" customWidth="1" min="17" max="17"/>
    <col width="40" customWidth="1" min="18" max="18"/>
  </cols>
  <sheetData>
    <row r="1" ht="35" customHeight="1">
      <c r="A1" s="11" t="inlineStr">
        <is>
          <t>LOG FORWARDER INVENTORY</t>
        </is>
      </c>
    </row>
    <row r="2">
      <c r="A2" s="12" t="inlineStr">
        <is>
          <t>Catalog all log forwarders/collectors deployed across infrastructure</t>
        </is>
      </c>
    </row>
    <row r="4">
      <c r="A4" s="13" t="inlineStr">
        <is>
          <t>Forwarder ID</t>
        </is>
      </c>
      <c r="B4" s="13" t="inlineStr">
        <is>
          <t>Forwarder Type</t>
        </is>
      </c>
      <c r="C4" s="13" t="inlineStr">
        <is>
          <t>Version</t>
        </is>
      </c>
      <c r="D4" s="13" t="inlineStr">
        <is>
          <t>Installed On System</t>
        </is>
      </c>
      <c r="E4" s="13" t="inlineStr">
        <is>
          <t>System Hostname</t>
        </is>
      </c>
      <c r="F4" s="13" t="inlineStr">
        <is>
          <t>Destination SIEM</t>
        </is>
      </c>
      <c r="G4" s="13" t="inlineStr">
        <is>
          <t>Transport Protocol</t>
        </is>
      </c>
      <c r="H4" s="13" t="inlineStr">
        <is>
          <t>Port</t>
        </is>
      </c>
      <c r="I4" s="13" t="inlineStr">
        <is>
          <t>Encryption</t>
        </is>
      </c>
      <c r="J4" s="13" t="inlineStr">
        <is>
          <t>Buffer Enabled</t>
        </is>
      </c>
      <c r="K4" s="13" t="inlineStr">
        <is>
          <t>Buffer Size (MB)</t>
        </is>
      </c>
      <c r="L4" s="13" t="inlineStr">
        <is>
          <t>Install Date</t>
        </is>
      </c>
      <c r="M4" s="13" t="inlineStr">
        <is>
          <t>Last Updated</t>
        </is>
      </c>
      <c r="N4" s="13" t="inlineStr">
        <is>
          <t>Status</t>
        </is>
      </c>
      <c r="O4" s="13" t="inlineStr">
        <is>
          <t>Events/Day</t>
        </is>
      </c>
      <c r="P4" s="13" t="inlineStr">
        <is>
          <t>Data/Day (MB)</t>
        </is>
      </c>
      <c r="Q4" s="13" t="inlineStr">
        <is>
          <t>Last Health Check</t>
        </is>
      </c>
      <c r="R4" s="13" t="inlineStr">
        <is>
          <t>Notes</t>
        </is>
      </c>
    </row>
    <row r="5">
      <c r="A5" s="14" t="inlineStr">
        <is>
          <t>FWD-001</t>
        </is>
      </c>
      <c r="B5" s="14" t="inlineStr">
        <is>
          <t>Splunk UF</t>
        </is>
      </c>
      <c r="C5" s="14" t="inlineStr">
        <is>
          <t>9.1.3</t>
        </is>
      </c>
      <c r="D5" s="14" t="inlineStr">
        <is>
          <t>SYS-001</t>
        </is>
      </c>
      <c r="E5" s="14" t="inlineStr">
        <is>
          <t>web-prod-01</t>
        </is>
      </c>
      <c r="F5" s="14" t="inlineStr">
        <is>
          <t>Primary</t>
        </is>
      </c>
      <c r="G5" s="14" t="inlineStr">
        <is>
          <t>Syslog/TLS</t>
        </is>
      </c>
      <c r="H5" s="14" t="inlineStr">
        <is>
          <t>9997</t>
        </is>
      </c>
      <c r="I5" s="14" t="inlineStr">
        <is>
          <t>Yes (TLS 1.3)</t>
        </is>
      </c>
      <c r="J5" s="14" t="inlineStr">
        <is>
          <t>Yes</t>
        </is>
      </c>
      <c r="K5" s="14" t="inlineStr">
        <is>
          <t>100</t>
        </is>
      </c>
      <c r="L5" s="14" t="inlineStr">
        <is>
          <t>15.06.2025</t>
        </is>
      </c>
      <c r="M5" s="14" t="inlineStr">
        <is>
          <t>01.12.2025</t>
        </is>
      </c>
      <c r="N5" s="14" t="inlineStr">
        <is>
          <t>Running</t>
        </is>
      </c>
      <c r="O5" s="14" t="inlineStr">
        <is>
          <t>250000</t>
        </is>
      </c>
      <c r="P5" s="14" t="inlineStr">
        <is>
          <t>150</t>
        </is>
      </c>
      <c r="Q5" s="14" t="inlineStr">
        <is>
          <t>06.01.2026</t>
        </is>
      </c>
      <c r="R5" s="14" t="inlineStr">
        <is>
          <t>Forwarding web server logs</t>
        </is>
      </c>
    </row>
    <row r="6">
      <c r="A6" s="17">
        <f>IF(B6&lt;&gt;"","FWD-"&amp;TEXT(ROW()-5,"000"),"")</f>
        <v/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8" t="n"/>
      <c r="M6" s="18" t="n"/>
      <c r="N6" s="15" t="n"/>
      <c r="O6" s="15" t="n"/>
      <c r="P6" s="15" t="n"/>
      <c r="Q6" s="18" t="n"/>
      <c r="R6" s="15" t="n"/>
    </row>
    <row r="7">
      <c r="A7" s="17">
        <f>IF(B7&lt;&gt;"","FWD-"&amp;TEXT(ROW()-5,"000"),"")</f>
        <v/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8" t="n"/>
      <c r="M7" s="18" t="n"/>
      <c r="N7" s="15" t="n"/>
      <c r="O7" s="15" t="n"/>
      <c r="P7" s="15" t="n"/>
      <c r="Q7" s="18" t="n"/>
      <c r="R7" s="15" t="n"/>
    </row>
    <row r="8">
      <c r="A8" s="17">
        <f>IF(B8&lt;&gt;"","FWD-"&amp;TEXT(ROW()-5,"000"),"")</f>
        <v/>
      </c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8" t="n"/>
      <c r="M8" s="18" t="n"/>
      <c r="N8" s="15" t="n"/>
      <c r="O8" s="15" t="n"/>
      <c r="P8" s="15" t="n"/>
      <c r="Q8" s="18" t="n"/>
      <c r="R8" s="15" t="n"/>
    </row>
    <row r="9">
      <c r="A9" s="17">
        <f>IF(B9&lt;&gt;"","FWD-"&amp;TEXT(ROW()-5,"000"),"")</f>
        <v/>
      </c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8" t="n"/>
      <c r="M9" s="18" t="n"/>
      <c r="N9" s="15" t="n"/>
      <c r="O9" s="15" t="n"/>
      <c r="P9" s="15" t="n"/>
      <c r="Q9" s="18" t="n"/>
      <c r="R9" s="15" t="n"/>
    </row>
    <row r="10">
      <c r="A10" s="17">
        <f>IF(B10&lt;&gt;"","FWD-"&amp;TEXT(ROW()-5,"000"),"")</f>
        <v/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8" t="n"/>
      <c r="M10" s="18" t="n"/>
      <c r="N10" s="15" t="n"/>
      <c r="O10" s="15" t="n"/>
      <c r="P10" s="15" t="n"/>
      <c r="Q10" s="18" t="n"/>
      <c r="R10" s="15" t="n"/>
    </row>
    <row r="11">
      <c r="A11" s="17">
        <f>IF(B11&lt;&gt;"","FWD-"&amp;TEXT(ROW()-5,"000"),"")</f>
        <v/>
      </c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8" t="n"/>
      <c r="M11" s="18" t="n"/>
      <c r="N11" s="15" t="n"/>
      <c r="O11" s="15" t="n"/>
      <c r="P11" s="15" t="n"/>
      <c r="Q11" s="18" t="n"/>
      <c r="R11" s="15" t="n"/>
    </row>
    <row r="12">
      <c r="A12" s="17">
        <f>IF(B12&lt;&gt;"","FWD-"&amp;TEXT(ROW()-5,"000"),"")</f>
        <v/>
      </c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8" t="n"/>
      <c r="M12" s="18" t="n"/>
      <c r="N12" s="15" t="n"/>
      <c r="O12" s="15" t="n"/>
      <c r="P12" s="15" t="n"/>
      <c r="Q12" s="18" t="n"/>
      <c r="R12" s="15" t="n"/>
    </row>
    <row r="13">
      <c r="A13" s="17">
        <f>IF(B13&lt;&gt;"","FWD-"&amp;TEXT(ROW()-5,"000"),"")</f>
        <v/>
      </c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8" t="n"/>
      <c r="M13" s="18" t="n"/>
      <c r="N13" s="15" t="n"/>
      <c r="O13" s="15" t="n"/>
      <c r="P13" s="15" t="n"/>
      <c r="Q13" s="18" t="n"/>
      <c r="R13" s="15" t="n"/>
    </row>
    <row r="14">
      <c r="A14" s="17">
        <f>IF(B14&lt;&gt;"","FWD-"&amp;TEXT(ROW()-5,"000"),"")</f>
        <v/>
      </c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8" t="n"/>
      <c r="M14" s="18" t="n"/>
      <c r="N14" s="15" t="n"/>
      <c r="O14" s="15" t="n"/>
      <c r="P14" s="15" t="n"/>
      <c r="Q14" s="18" t="n"/>
      <c r="R14" s="15" t="n"/>
    </row>
    <row r="15">
      <c r="A15" s="17">
        <f>IF(B15&lt;&gt;"","FWD-"&amp;TEXT(ROW()-5,"000"),"")</f>
        <v/>
      </c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8" t="n"/>
      <c r="M15" s="18" t="n"/>
      <c r="N15" s="15" t="n"/>
      <c r="O15" s="15" t="n"/>
      <c r="P15" s="15" t="n"/>
      <c r="Q15" s="18" t="n"/>
      <c r="R15" s="15" t="n"/>
    </row>
    <row r="16">
      <c r="A16" s="17">
        <f>IF(B16&lt;&gt;"","FWD-"&amp;TEXT(ROW()-5,"000"),"")</f>
        <v/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8" t="n"/>
      <c r="M16" s="18" t="n"/>
      <c r="N16" s="15" t="n"/>
      <c r="O16" s="15" t="n"/>
      <c r="P16" s="15" t="n"/>
      <c r="Q16" s="18" t="n"/>
      <c r="R16" s="15" t="n"/>
    </row>
    <row r="17">
      <c r="A17" s="17">
        <f>IF(B17&lt;&gt;"","FWD-"&amp;TEXT(ROW()-5,"000"),"")</f>
        <v/>
      </c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8" t="n"/>
      <c r="M17" s="18" t="n"/>
      <c r="N17" s="15" t="n"/>
      <c r="O17" s="15" t="n"/>
      <c r="P17" s="15" t="n"/>
      <c r="Q17" s="18" t="n"/>
      <c r="R17" s="15" t="n"/>
    </row>
    <row r="18">
      <c r="A18" s="17">
        <f>IF(B18&lt;&gt;"","FWD-"&amp;TEXT(ROW()-5,"000"),"")</f>
        <v/>
      </c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8" t="n"/>
      <c r="M18" s="18" t="n"/>
      <c r="N18" s="15" t="n"/>
      <c r="O18" s="15" t="n"/>
      <c r="P18" s="15" t="n"/>
      <c r="Q18" s="18" t="n"/>
      <c r="R18" s="15" t="n"/>
    </row>
    <row r="19">
      <c r="A19" s="17">
        <f>IF(B19&lt;&gt;"","FWD-"&amp;TEXT(ROW()-5,"000"),"")</f>
        <v/>
      </c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8" t="n"/>
      <c r="M19" s="18" t="n"/>
      <c r="N19" s="15" t="n"/>
      <c r="O19" s="15" t="n"/>
      <c r="P19" s="15" t="n"/>
      <c r="Q19" s="18" t="n"/>
      <c r="R19" s="15" t="n"/>
    </row>
    <row r="20">
      <c r="A20" s="17">
        <f>IF(B20&lt;&gt;"","FWD-"&amp;TEXT(ROW()-5,"000"),"")</f>
        <v/>
      </c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8" t="n"/>
      <c r="M20" s="18" t="n"/>
      <c r="N20" s="15" t="n"/>
      <c r="O20" s="15" t="n"/>
      <c r="P20" s="15" t="n"/>
      <c r="Q20" s="18" t="n"/>
      <c r="R20" s="15" t="n"/>
    </row>
    <row r="21">
      <c r="A21" s="17">
        <f>IF(B21&lt;&gt;"","FWD-"&amp;TEXT(ROW()-5,"000"),"")</f>
        <v/>
      </c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8" t="n"/>
      <c r="M21" s="18" t="n"/>
      <c r="N21" s="15" t="n"/>
      <c r="O21" s="15" t="n"/>
      <c r="P21" s="15" t="n"/>
      <c r="Q21" s="18" t="n"/>
      <c r="R21" s="15" t="n"/>
    </row>
    <row r="22">
      <c r="A22" s="17">
        <f>IF(B22&lt;&gt;"","FWD-"&amp;TEXT(ROW()-5,"000"),"")</f>
        <v/>
      </c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8" t="n"/>
      <c r="M22" s="18" t="n"/>
      <c r="N22" s="15" t="n"/>
      <c r="O22" s="15" t="n"/>
      <c r="P22" s="15" t="n"/>
      <c r="Q22" s="18" t="n"/>
      <c r="R22" s="15" t="n"/>
    </row>
    <row r="23">
      <c r="A23" s="17">
        <f>IF(B23&lt;&gt;"","FWD-"&amp;TEXT(ROW()-5,"000"),"")</f>
        <v/>
      </c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8" t="n"/>
      <c r="M23" s="18" t="n"/>
      <c r="N23" s="15" t="n"/>
      <c r="O23" s="15" t="n"/>
      <c r="P23" s="15" t="n"/>
      <c r="Q23" s="18" t="n"/>
      <c r="R23" s="15" t="n"/>
    </row>
    <row r="24">
      <c r="A24" s="17">
        <f>IF(B24&lt;&gt;"","FWD-"&amp;TEXT(ROW()-5,"000"),"")</f>
        <v/>
      </c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8" t="n"/>
      <c r="M24" s="18" t="n"/>
      <c r="N24" s="15" t="n"/>
      <c r="O24" s="15" t="n"/>
      <c r="P24" s="15" t="n"/>
      <c r="Q24" s="18" t="n"/>
      <c r="R24" s="15" t="n"/>
    </row>
    <row r="25">
      <c r="A25" s="17">
        <f>IF(B25&lt;&gt;"","FWD-"&amp;TEXT(ROW()-5,"000"),"")</f>
        <v/>
      </c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8" t="n"/>
      <c r="M25" s="18" t="n"/>
      <c r="N25" s="15" t="n"/>
      <c r="O25" s="15" t="n"/>
      <c r="P25" s="15" t="n"/>
      <c r="Q25" s="18" t="n"/>
      <c r="R25" s="15" t="n"/>
    </row>
    <row r="26">
      <c r="A26" s="17">
        <f>IF(B26&lt;&gt;"","FWD-"&amp;TEXT(ROW()-5,"000"),"")</f>
        <v/>
      </c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8" t="n"/>
      <c r="M26" s="18" t="n"/>
      <c r="N26" s="15" t="n"/>
      <c r="O26" s="15" t="n"/>
      <c r="P26" s="15" t="n"/>
      <c r="Q26" s="18" t="n"/>
      <c r="R26" s="15" t="n"/>
    </row>
    <row r="27">
      <c r="A27" s="17">
        <f>IF(B27&lt;&gt;"","FWD-"&amp;TEXT(ROW()-5,"000"),"")</f>
        <v/>
      </c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8" t="n"/>
      <c r="M27" s="18" t="n"/>
      <c r="N27" s="15" t="n"/>
      <c r="O27" s="15" t="n"/>
      <c r="P27" s="15" t="n"/>
      <c r="Q27" s="18" t="n"/>
      <c r="R27" s="15" t="n"/>
    </row>
    <row r="28">
      <c r="A28" s="17">
        <f>IF(B28&lt;&gt;"","FWD-"&amp;TEXT(ROW()-5,"000"),"")</f>
        <v/>
      </c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8" t="n"/>
      <c r="M28" s="18" t="n"/>
      <c r="N28" s="15" t="n"/>
      <c r="O28" s="15" t="n"/>
      <c r="P28" s="15" t="n"/>
      <c r="Q28" s="18" t="n"/>
      <c r="R28" s="15" t="n"/>
    </row>
    <row r="29">
      <c r="A29" s="17">
        <f>IF(B29&lt;&gt;"","FWD-"&amp;TEXT(ROW()-5,"000"),"")</f>
        <v/>
      </c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8" t="n"/>
      <c r="M29" s="18" t="n"/>
      <c r="N29" s="15" t="n"/>
      <c r="O29" s="15" t="n"/>
      <c r="P29" s="15" t="n"/>
      <c r="Q29" s="18" t="n"/>
      <c r="R29" s="15" t="n"/>
    </row>
    <row r="30">
      <c r="A30" s="17">
        <f>IF(B30&lt;&gt;"","FWD-"&amp;TEXT(ROW()-5,"000"),"")</f>
        <v/>
      </c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8" t="n"/>
      <c r="M30" s="18" t="n"/>
      <c r="N30" s="15" t="n"/>
      <c r="O30" s="15" t="n"/>
      <c r="P30" s="15" t="n"/>
      <c r="Q30" s="18" t="n"/>
      <c r="R30" s="15" t="n"/>
    </row>
    <row r="31">
      <c r="A31" s="17">
        <f>IF(B31&lt;&gt;"","FWD-"&amp;TEXT(ROW()-5,"000"),"")</f>
        <v/>
      </c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8" t="n"/>
      <c r="M31" s="18" t="n"/>
      <c r="N31" s="15" t="n"/>
      <c r="O31" s="15" t="n"/>
      <c r="P31" s="15" t="n"/>
      <c r="Q31" s="18" t="n"/>
      <c r="R31" s="15" t="n"/>
    </row>
    <row r="32">
      <c r="A32" s="17">
        <f>IF(B32&lt;&gt;"","FWD-"&amp;TEXT(ROW()-5,"000"),"")</f>
        <v/>
      </c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8" t="n"/>
      <c r="M32" s="18" t="n"/>
      <c r="N32" s="15" t="n"/>
      <c r="O32" s="15" t="n"/>
      <c r="P32" s="15" t="n"/>
      <c r="Q32" s="18" t="n"/>
      <c r="R32" s="15" t="n"/>
    </row>
    <row r="33">
      <c r="A33" s="17">
        <f>IF(B33&lt;&gt;"","FWD-"&amp;TEXT(ROW()-5,"000"),"")</f>
        <v/>
      </c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8" t="n"/>
      <c r="M33" s="18" t="n"/>
      <c r="N33" s="15" t="n"/>
      <c r="O33" s="15" t="n"/>
      <c r="P33" s="15" t="n"/>
      <c r="Q33" s="18" t="n"/>
      <c r="R33" s="15" t="n"/>
    </row>
    <row r="34">
      <c r="A34" s="17">
        <f>IF(B34&lt;&gt;"","FWD-"&amp;TEXT(ROW()-5,"000"),"")</f>
        <v/>
      </c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8" t="n"/>
      <c r="M34" s="18" t="n"/>
      <c r="N34" s="15" t="n"/>
      <c r="O34" s="15" t="n"/>
      <c r="P34" s="15" t="n"/>
      <c r="Q34" s="18" t="n"/>
      <c r="R34" s="15" t="n"/>
    </row>
    <row r="35">
      <c r="A35" s="17">
        <f>IF(B35&lt;&gt;"","FWD-"&amp;TEXT(ROW()-5,"000"),"")</f>
        <v/>
      </c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8" t="n"/>
      <c r="M35" s="18" t="n"/>
      <c r="N35" s="15" t="n"/>
      <c r="O35" s="15" t="n"/>
      <c r="P35" s="15" t="n"/>
      <c r="Q35" s="18" t="n"/>
      <c r="R35" s="15" t="n"/>
    </row>
    <row r="36">
      <c r="A36" s="17">
        <f>IF(B36&lt;&gt;"","FWD-"&amp;TEXT(ROW()-5,"000"),"")</f>
        <v/>
      </c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8" t="n"/>
      <c r="M36" s="18" t="n"/>
      <c r="N36" s="15" t="n"/>
      <c r="O36" s="15" t="n"/>
      <c r="P36" s="15" t="n"/>
      <c r="Q36" s="18" t="n"/>
      <c r="R36" s="15" t="n"/>
    </row>
    <row r="37">
      <c r="A37" s="17">
        <f>IF(B37&lt;&gt;"","FWD-"&amp;TEXT(ROW()-5,"000"),"")</f>
        <v/>
      </c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8" t="n"/>
      <c r="M37" s="18" t="n"/>
      <c r="N37" s="15" t="n"/>
      <c r="O37" s="15" t="n"/>
      <c r="P37" s="15" t="n"/>
      <c r="Q37" s="18" t="n"/>
      <c r="R37" s="15" t="n"/>
    </row>
    <row r="38">
      <c r="A38" s="17">
        <f>IF(B38&lt;&gt;"","FWD-"&amp;TEXT(ROW()-5,"000"),"")</f>
        <v/>
      </c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8" t="n"/>
      <c r="M38" s="18" t="n"/>
      <c r="N38" s="15" t="n"/>
      <c r="O38" s="15" t="n"/>
      <c r="P38" s="15" t="n"/>
      <c r="Q38" s="18" t="n"/>
      <c r="R38" s="15" t="n"/>
    </row>
    <row r="39">
      <c r="A39" s="17">
        <f>IF(B39&lt;&gt;"","FWD-"&amp;TEXT(ROW()-5,"000"),"")</f>
        <v/>
      </c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8" t="n"/>
      <c r="M39" s="18" t="n"/>
      <c r="N39" s="15" t="n"/>
      <c r="O39" s="15" t="n"/>
      <c r="P39" s="15" t="n"/>
      <c r="Q39" s="18" t="n"/>
      <c r="R39" s="15" t="n"/>
    </row>
    <row r="40">
      <c r="A40" s="17">
        <f>IF(B40&lt;&gt;"","FWD-"&amp;TEXT(ROW()-5,"000"),"")</f>
        <v/>
      </c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8" t="n"/>
      <c r="M40" s="18" t="n"/>
      <c r="N40" s="15" t="n"/>
      <c r="O40" s="15" t="n"/>
      <c r="P40" s="15" t="n"/>
      <c r="Q40" s="18" t="n"/>
      <c r="R40" s="15" t="n"/>
    </row>
    <row r="41">
      <c r="A41" s="17">
        <f>IF(B41&lt;&gt;"","FWD-"&amp;TEXT(ROW()-5,"000"),"")</f>
        <v/>
      </c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8" t="n"/>
      <c r="M41" s="18" t="n"/>
      <c r="N41" s="15" t="n"/>
      <c r="O41" s="15" t="n"/>
      <c r="P41" s="15" t="n"/>
      <c r="Q41" s="18" t="n"/>
      <c r="R41" s="15" t="n"/>
    </row>
    <row r="42">
      <c r="A42" s="17">
        <f>IF(B42&lt;&gt;"","FWD-"&amp;TEXT(ROW()-5,"000"),"")</f>
        <v/>
      </c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8" t="n"/>
      <c r="M42" s="18" t="n"/>
      <c r="N42" s="15" t="n"/>
      <c r="O42" s="15" t="n"/>
      <c r="P42" s="15" t="n"/>
      <c r="Q42" s="18" t="n"/>
      <c r="R42" s="15" t="n"/>
    </row>
    <row r="43">
      <c r="A43" s="17">
        <f>IF(B43&lt;&gt;"","FWD-"&amp;TEXT(ROW()-5,"000"),"")</f>
        <v/>
      </c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8" t="n"/>
      <c r="M43" s="18" t="n"/>
      <c r="N43" s="15" t="n"/>
      <c r="O43" s="15" t="n"/>
      <c r="P43" s="15" t="n"/>
      <c r="Q43" s="18" t="n"/>
      <c r="R43" s="15" t="n"/>
    </row>
    <row r="44">
      <c r="A44" s="17">
        <f>IF(B44&lt;&gt;"","FWD-"&amp;TEXT(ROW()-5,"000"),"")</f>
        <v/>
      </c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8" t="n"/>
      <c r="M44" s="18" t="n"/>
      <c r="N44" s="15" t="n"/>
      <c r="O44" s="15" t="n"/>
      <c r="P44" s="15" t="n"/>
      <c r="Q44" s="18" t="n"/>
      <c r="R44" s="15" t="n"/>
    </row>
    <row r="45">
      <c r="A45" s="17">
        <f>IF(B45&lt;&gt;"","FWD-"&amp;TEXT(ROW()-5,"000"),"")</f>
        <v/>
      </c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8" t="n"/>
      <c r="M45" s="18" t="n"/>
      <c r="N45" s="15" t="n"/>
      <c r="O45" s="15" t="n"/>
      <c r="P45" s="15" t="n"/>
      <c r="Q45" s="18" t="n"/>
      <c r="R45" s="15" t="n"/>
    </row>
    <row r="46">
      <c r="A46" s="17">
        <f>IF(B46&lt;&gt;"","FWD-"&amp;TEXT(ROW()-5,"000"),"")</f>
        <v/>
      </c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8" t="n"/>
      <c r="M46" s="18" t="n"/>
      <c r="N46" s="15" t="n"/>
      <c r="O46" s="15" t="n"/>
      <c r="P46" s="15" t="n"/>
      <c r="Q46" s="18" t="n"/>
      <c r="R46" s="15" t="n"/>
    </row>
    <row r="47">
      <c r="A47" s="17">
        <f>IF(B47&lt;&gt;"","FWD-"&amp;TEXT(ROW()-5,"000"),"")</f>
        <v/>
      </c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8" t="n"/>
      <c r="M47" s="18" t="n"/>
      <c r="N47" s="15" t="n"/>
      <c r="O47" s="15" t="n"/>
      <c r="P47" s="15" t="n"/>
      <c r="Q47" s="18" t="n"/>
      <c r="R47" s="15" t="n"/>
    </row>
    <row r="48">
      <c r="A48" s="17">
        <f>IF(B48&lt;&gt;"","FWD-"&amp;TEXT(ROW()-5,"000"),"")</f>
        <v/>
      </c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8" t="n"/>
      <c r="M48" s="18" t="n"/>
      <c r="N48" s="15" t="n"/>
      <c r="O48" s="15" t="n"/>
      <c r="P48" s="15" t="n"/>
      <c r="Q48" s="18" t="n"/>
      <c r="R48" s="15" t="n"/>
    </row>
    <row r="49">
      <c r="A49" s="17">
        <f>IF(B49&lt;&gt;"","FWD-"&amp;TEXT(ROW()-5,"000"),"")</f>
        <v/>
      </c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8" t="n"/>
      <c r="M49" s="18" t="n"/>
      <c r="N49" s="15" t="n"/>
      <c r="O49" s="15" t="n"/>
      <c r="P49" s="15" t="n"/>
      <c r="Q49" s="18" t="n"/>
      <c r="R49" s="15" t="n"/>
    </row>
    <row r="50">
      <c r="A50" s="17">
        <f>IF(B50&lt;&gt;"","FWD-"&amp;TEXT(ROW()-5,"000"),"")</f>
        <v/>
      </c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8" t="n"/>
      <c r="M50" s="18" t="n"/>
      <c r="N50" s="15" t="n"/>
      <c r="O50" s="15" t="n"/>
      <c r="P50" s="15" t="n"/>
      <c r="Q50" s="18" t="n"/>
      <c r="R50" s="15" t="n"/>
    </row>
    <row r="51">
      <c r="A51" s="17">
        <f>IF(B51&lt;&gt;"","FWD-"&amp;TEXT(ROW()-5,"000"),"")</f>
        <v/>
      </c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8" t="n"/>
      <c r="M51" s="18" t="n"/>
      <c r="N51" s="15" t="n"/>
      <c r="O51" s="15" t="n"/>
      <c r="P51" s="15" t="n"/>
      <c r="Q51" s="18" t="n"/>
      <c r="R51" s="15" t="n"/>
    </row>
    <row r="52">
      <c r="A52" s="17">
        <f>IF(B52&lt;&gt;"","FWD-"&amp;TEXT(ROW()-5,"000"),"")</f>
        <v/>
      </c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8" t="n"/>
      <c r="M52" s="18" t="n"/>
      <c r="N52" s="15" t="n"/>
      <c r="O52" s="15" t="n"/>
      <c r="P52" s="15" t="n"/>
      <c r="Q52" s="18" t="n"/>
      <c r="R52" s="15" t="n"/>
    </row>
    <row r="53">
      <c r="A53" s="17">
        <f>IF(B53&lt;&gt;"","FWD-"&amp;TEXT(ROW()-5,"000"),"")</f>
        <v/>
      </c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8" t="n"/>
      <c r="M53" s="18" t="n"/>
      <c r="N53" s="15" t="n"/>
      <c r="O53" s="15" t="n"/>
      <c r="P53" s="15" t="n"/>
      <c r="Q53" s="18" t="n"/>
      <c r="R53" s="15" t="n"/>
    </row>
    <row r="54">
      <c r="A54" s="17">
        <f>IF(B54&lt;&gt;"","FWD-"&amp;TEXT(ROW()-5,"000"),"")</f>
        <v/>
      </c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8" t="n"/>
      <c r="M54" s="18" t="n"/>
      <c r="N54" s="15" t="n"/>
      <c r="O54" s="15" t="n"/>
      <c r="P54" s="15" t="n"/>
      <c r="Q54" s="18" t="n"/>
      <c r="R54" s="15" t="n"/>
    </row>
    <row r="55">
      <c r="A55" s="17">
        <f>IF(B55&lt;&gt;"","FWD-"&amp;TEXT(ROW()-5,"000"),"")</f>
        <v/>
      </c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8" t="n"/>
      <c r="M55" s="18" t="n"/>
      <c r="N55" s="15" t="n"/>
      <c r="O55" s="15" t="n"/>
      <c r="P55" s="15" t="n"/>
      <c r="Q55" s="18" t="n"/>
      <c r="R55" s="15" t="n"/>
    </row>
  </sheetData>
  <mergeCells count="2">
    <mergeCell ref="A2:R2"/>
    <mergeCell ref="A1:R1"/>
  </mergeCells>
  <dataValidations count="6">
    <dataValidation sqref="B6:B55" showDropDown="0" showInputMessage="0" showErrorMessage="0" allowBlank="1" type="list">
      <formula1>"Splunk UF,Fluentd,Logstash,rsyslog,syslog-ng,Filebeat,Winlogbeat,Windows Event Forwarder,Cloud Connector,Other"</formula1>
    </dataValidation>
    <dataValidation sqref="F6:F55" showDropDown="0" showInputMessage="0" showErrorMessage="0" allowBlank="1" type="list">
      <formula1>"Primary,Secondary,Both,Load Balanced"</formula1>
    </dataValidation>
    <dataValidation sqref="G6:G55" showDropDown="0" showInputMessage="0" showErrorMessage="0" allowBlank="1" type="list">
      <formula1>"Syslog/TLS,Syslog/TCP,Syslog/UDP,HTTPS,gRPC,Proprietary"</formula1>
    </dataValidation>
    <dataValidation sqref="I6:I55" showDropDown="0" showInputMessage="0" showErrorMessage="0" allowBlank="1" type="list">
      <formula1>"Yes (TLS 1.3),Yes (TLS 1.2),No,N/A"</formula1>
    </dataValidation>
    <dataValidation sqref="J6:J55" showDropDown="0" showInputMessage="0" showErrorMessage="0" allowBlank="1" type="list">
      <formula1>"Yes,No"</formula1>
    </dataValidation>
    <dataValidation sqref="N6:N55" showDropDown="0" showInputMessage="0" showErrorMessage="0" allowBlank="1" type="list">
      <formula1>"Running,Stopped,Error,Unknown"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0" customWidth="1" min="4" max="4"/>
    <col width="18" customWidth="1" min="5" max="5"/>
    <col width="15" customWidth="1" min="6" max="6"/>
    <col width="18" customWidth="1" min="7" max="7"/>
    <col width="15" customWidth="1" min="8" max="8"/>
    <col width="18" customWidth="1" min="9" max="9"/>
    <col width="18" customWidth="1" min="10" max="10"/>
    <col width="20" customWidth="1" min="11" max="11"/>
    <col width="30" customWidth="1" min="12" max="12"/>
    <col width="40" customWidth="1" min="13" max="13"/>
    <col width="20" customWidth="1" min="14" max="14"/>
    <col width="15" customWidth="1" min="15" max="15"/>
    <col width="40" customWidth="1" min="16" max="16"/>
  </cols>
  <sheetData>
    <row r="1" ht="35" customHeight="1">
      <c r="A1" s="11" t="inlineStr">
        <is>
          <t>COLLECTION RELIABILITY</t>
        </is>
      </c>
    </row>
    <row r="2">
      <c r="A2" s="12" t="inlineStr">
        <is>
          <t>Track log collection reliability metrics over assessment period (last 30 days)</t>
        </is>
      </c>
    </row>
    <row r="4">
      <c r="A4" s="13" t="inlineStr">
        <is>
          <t>Source System ID</t>
        </is>
      </c>
      <c r="B4" s="13" t="inlineStr">
        <is>
          <t>Source System Name</t>
        </is>
      </c>
      <c r="C4" s="13" t="inlineStr">
        <is>
          <t>Expected Events/Day</t>
        </is>
      </c>
      <c r="D4" s="13" t="inlineStr">
        <is>
          <t>Actual Events/Day</t>
        </is>
      </c>
      <c r="E4" s="13" t="inlineStr">
        <is>
          <t>Collection Rate %</t>
        </is>
      </c>
      <c r="F4" s="13" t="inlineStr">
        <is>
          <t>Status</t>
        </is>
      </c>
      <c r="G4" s="13" t="inlineStr">
        <is>
          <t>Last Event Received</t>
        </is>
      </c>
      <c r="H4" s="13" t="inlineStr">
        <is>
          <t>Gap Detected</t>
        </is>
      </c>
      <c r="I4" s="13" t="inlineStr">
        <is>
          <t>Gap Start Time</t>
        </is>
      </c>
      <c r="J4" s="13" t="inlineStr">
        <is>
          <t>Gap End Time</t>
        </is>
      </c>
      <c r="K4" s="13" t="inlineStr">
        <is>
          <t>Gap Duration (hours)</t>
        </is>
      </c>
      <c r="L4" s="13" t="inlineStr">
        <is>
          <t>Gap Reason</t>
        </is>
      </c>
      <c r="M4" s="13" t="inlineStr">
        <is>
          <t>Resolution Actions</t>
        </is>
      </c>
      <c r="N4" s="13" t="inlineStr">
        <is>
          <t>Resolved By</t>
        </is>
      </c>
      <c r="O4" s="13" t="inlineStr">
        <is>
          <t>Resolved Date</t>
        </is>
      </c>
      <c r="P4" s="13" t="inlineStr">
        <is>
          <t>Notes</t>
        </is>
      </c>
    </row>
    <row r="5">
      <c r="A5" s="14" t="inlineStr">
        <is>
          <t>SYS-001</t>
        </is>
      </c>
      <c r="B5" s="14" t="inlineStr">
        <is>
          <t>web-prod-01</t>
        </is>
      </c>
      <c r="C5" s="14" t="inlineStr">
        <is>
          <t>250000</t>
        </is>
      </c>
      <c r="D5" s="14" t="inlineStr">
        <is>
          <t>248000</t>
        </is>
      </c>
      <c r="E5" s="14" t="inlineStr">
        <is>
          <t>99.2%</t>
        </is>
      </c>
      <c r="F5" s="14" t="inlineStr">
        <is>
          <t>Compliant</t>
        </is>
      </c>
      <c r="G5" s="14" t="inlineStr">
        <is>
          <t>06.01.2026 23:55</t>
        </is>
      </c>
      <c r="H5" s="14" t="inlineStr">
        <is>
          <t>No</t>
        </is>
      </c>
      <c r="I5" s="14" t="inlineStr"/>
      <c r="J5" s="14" t="inlineStr"/>
      <c r="K5" s="14" t="inlineStr"/>
      <c r="L5" s="14" t="inlineStr"/>
      <c r="M5" s="14" t="inlineStr"/>
      <c r="N5" s="14" t="inlineStr"/>
      <c r="O5" s="14" t="inlineStr"/>
      <c r="P5" s="14" t="inlineStr">
        <is>
          <t>Healthy collection</t>
        </is>
      </c>
    </row>
    <row r="6">
      <c r="A6" s="15" t="n"/>
      <c r="B6" s="17">
        <f>IF(A6="","",A6&amp;" (from IMP-1)")</f>
        <v/>
      </c>
      <c r="C6" s="15" t="n"/>
      <c r="D6" s="15" t="n"/>
      <c r="E6" s="16">
        <f>IF(C6=0,0,D6/C6)</f>
        <v/>
      </c>
      <c r="F6" s="17">
        <f>IF(A6="","",IF(E6&gt;=0.95,"Compliant",IF(E6&gt;=0.8,"Partial","Non-Compliant")))</f>
        <v/>
      </c>
      <c r="G6" s="19" t="n"/>
      <c r="H6" s="15" t="n"/>
      <c r="I6" s="19" t="n"/>
      <c r="J6" s="19" t="n"/>
      <c r="K6" s="20">
        <f>IF(AND(I6&lt;&gt;"",J6&lt;&gt;""),(J6-I6)*24,"")</f>
        <v/>
      </c>
      <c r="L6" s="15" t="n"/>
      <c r="M6" s="15" t="n"/>
      <c r="N6" s="15" t="n"/>
      <c r="O6" s="18" t="n"/>
      <c r="P6" s="15" t="n"/>
    </row>
    <row r="7">
      <c r="A7" s="15" t="n"/>
      <c r="B7" s="17">
        <f>IF(A7="","",A7&amp;" (from IMP-1)")</f>
        <v/>
      </c>
      <c r="C7" s="15" t="n"/>
      <c r="D7" s="15" t="n"/>
      <c r="E7" s="16">
        <f>IF(C7=0,0,D7/C7)</f>
        <v/>
      </c>
      <c r="F7" s="17">
        <f>IF(A7="","",IF(E7&gt;=0.95,"Compliant",IF(E7&gt;=0.8,"Partial","Non-Compliant")))</f>
        <v/>
      </c>
      <c r="G7" s="19" t="n"/>
      <c r="H7" s="15" t="n"/>
      <c r="I7" s="19" t="n"/>
      <c r="J7" s="19" t="n"/>
      <c r="K7" s="20">
        <f>IF(AND(I7&lt;&gt;"",J7&lt;&gt;""),(J7-I7)*24,"")</f>
        <v/>
      </c>
      <c r="L7" s="15" t="n"/>
      <c r="M7" s="15" t="n"/>
      <c r="N7" s="15" t="n"/>
      <c r="O7" s="18" t="n"/>
      <c r="P7" s="15" t="n"/>
    </row>
    <row r="8">
      <c r="A8" s="15" t="n"/>
      <c r="B8" s="17">
        <f>IF(A8="","",A8&amp;" (from IMP-1)")</f>
        <v/>
      </c>
      <c r="C8" s="15" t="n"/>
      <c r="D8" s="15" t="n"/>
      <c r="E8" s="16">
        <f>IF(C8=0,0,D8/C8)</f>
        <v/>
      </c>
      <c r="F8" s="17">
        <f>IF(A8="","",IF(E8&gt;=0.95,"Compliant",IF(E8&gt;=0.8,"Partial","Non-Compliant")))</f>
        <v/>
      </c>
      <c r="G8" s="19" t="n"/>
      <c r="H8" s="15" t="n"/>
      <c r="I8" s="19" t="n"/>
      <c r="J8" s="19" t="n"/>
      <c r="K8" s="20">
        <f>IF(AND(I8&lt;&gt;"",J8&lt;&gt;""),(J8-I8)*24,"")</f>
        <v/>
      </c>
      <c r="L8" s="15" t="n"/>
      <c r="M8" s="15" t="n"/>
      <c r="N8" s="15" t="n"/>
      <c r="O8" s="18" t="n"/>
      <c r="P8" s="15" t="n"/>
    </row>
    <row r="9">
      <c r="A9" s="15" t="n"/>
      <c r="B9" s="17">
        <f>IF(A9="","",A9&amp;" (from IMP-1)")</f>
        <v/>
      </c>
      <c r="C9" s="15" t="n"/>
      <c r="D9" s="15" t="n"/>
      <c r="E9" s="16">
        <f>IF(C9=0,0,D9/C9)</f>
        <v/>
      </c>
      <c r="F9" s="17">
        <f>IF(A9="","",IF(E9&gt;=0.95,"Compliant",IF(E9&gt;=0.8,"Partial","Non-Compliant")))</f>
        <v/>
      </c>
      <c r="G9" s="19" t="n"/>
      <c r="H9" s="15" t="n"/>
      <c r="I9" s="19" t="n"/>
      <c r="J9" s="19" t="n"/>
      <c r="K9" s="20">
        <f>IF(AND(I9&lt;&gt;"",J9&lt;&gt;""),(J9-I9)*24,"")</f>
        <v/>
      </c>
      <c r="L9" s="15" t="n"/>
      <c r="M9" s="15" t="n"/>
      <c r="N9" s="15" t="n"/>
      <c r="O9" s="18" t="n"/>
      <c r="P9" s="15" t="n"/>
    </row>
    <row r="10">
      <c r="A10" s="15" t="n"/>
      <c r="B10" s="17">
        <f>IF(A10="","",A10&amp;" (from IMP-1)")</f>
        <v/>
      </c>
      <c r="C10" s="15" t="n"/>
      <c r="D10" s="15" t="n"/>
      <c r="E10" s="16">
        <f>IF(C10=0,0,D10/C10)</f>
        <v/>
      </c>
      <c r="F10" s="17">
        <f>IF(A10="","",IF(E10&gt;=0.95,"Compliant",IF(E10&gt;=0.8,"Partial","Non-Compliant")))</f>
        <v/>
      </c>
      <c r="G10" s="19" t="n"/>
      <c r="H10" s="15" t="n"/>
      <c r="I10" s="19" t="n"/>
      <c r="J10" s="19" t="n"/>
      <c r="K10" s="20">
        <f>IF(AND(I10&lt;&gt;"",J10&lt;&gt;""),(J10-I10)*24,"")</f>
        <v/>
      </c>
      <c r="L10" s="15" t="n"/>
      <c r="M10" s="15" t="n"/>
      <c r="N10" s="15" t="n"/>
      <c r="O10" s="18" t="n"/>
      <c r="P10" s="15" t="n"/>
    </row>
    <row r="11">
      <c r="A11" s="15" t="n"/>
      <c r="B11" s="17">
        <f>IF(A11="","",A11&amp;" (from IMP-1)")</f>
        <v/>
      </c>
      <c r="C11" s="15" t="n"/>
      <c r="D11" s="15" t="n"/>
      <c r="E11" s="16">
        <f>IF(C11=0,0,D11/C11)</f>
        <v/>
      </c>
      <c r="F11" s="17">
        <f>IF(A11="","",IF(E11&gt;=0.95,"Compliant",IF(E11&gt;=0.8,"Partial","Non-Compliant")))</f>
        <v/>
      </c>
      <c r="G11" s="19" t="n"/>
      <c r="H11" s="15" t="n"/>
      <c r="I11" s="19" t="n"/>
      <c r="J11" s="19" t="n"/>
      <c r="K11" s="20">
        <f>IF(AND(I11&lt;&gt;"",J11&lt;&gt;""),(J11-I11)*24,"")</f>
        <v/>
      </c>
      <c r="L11" s="15" t="n"/>
      <c r="M11" s="15" t="n"/>
      <c r="N11" s="15" t="n"/>
      <c r="O11" s="18" t="n"/>
      <c r="P11" s="15" t="n"/>
    </row>
    <row r="12">
      <c r="A12" s="15" t="n"/>
      <c r="B12" s="17">
        <f>IF(A12="","",A12&amp;" (from IMP-1)")</f>
        <v/>
      </c>
      <c r="C12" s="15" t="n"/>
      <c r="D12" s="15" t="n"/>
      <c r="E12" s="16">
        <f>IF(C12=0,0,D12/C12)</f>
        <v/>
      </c>
      <c r="F12" s="17">
        <f>IF(A12="","",IF(E12&gt;=0.95,"Compliant",IF(E12&gt;=0.8,"Partial","Non-Compliant")))</f>
        <v/>
      </c>
      <c r="G12" s="19" t="n"/>
      <c r="H12" s="15" t="n"/>
      <c r="I12" s="19" t="n"/>
      <c r="J12" s="19" t="n"/>
      <c r="K12" s="20">
        <f>IF(AND(I12&lt;&gt;"",J12&lt;&gt;""),(J12-I12)*24,"")</f>
        <v/>
      </c>
      <c r="L12" s="15" t="n"/>
      <c r="M12" s="15" t="n"/>
      <c r="N12" s="15" t="n"/>
      <c r="O12" s="18" t="n"/>
      <c r="P12" s="15" t="n"/>
    </row>
    <row r="13">
      <c r="A13" s="15" t="n"/>
      <c r="B13" s="17">
        <f>IF(A13="","",A13&amp;" (from IMP-1)")</f>
        <v/>
      </c>
      <c r="C13" s="15" t="n"/>
      <c r="D13" s="15" t="n"/>
      <c r="E13" s="16">
        <f>IF(C13=0,0,D13/C13)</f>
        <v/>
      </c>
      <c r="F13" s="17">
        <f>IF(A13="","",IF(E13&gt;=0.95,"Compliant",IF(E13&gt;=0.8,"Partial","Non-Compliant")))</f>
        <v/>
      </c>
      <c r="G13" s="19" t="n"/>
      <c r="H13" s="15" t="n"/>
      <c r="I13" s="19" t="n"/>
      <c r="J13" s="19" t="n"/>
      <c r="K13" s="20">
        <f>IF(AND(I13&lt;&gt;"",J13&lt;&gt;""),(J13-I13)*24,"")</f>
        <v/>
      </c>
      <c r="L13" s="15" t="n"/>
      <c r="M13" s="15" t="n"/>
      <c r="N13" s="15" t="n"/>
      <c r="O13" s="18" t="n"/>
      <c r="P13" s="15" t="n"/>
    </row>
    <row r="14">
      <c r="A14" s="15" t="n"/>
      <c r="B14" s="17">
        <f>IF(A14="","",A14&amp;" (from IMP-1)")</f>
        <v/>
      </c>
      <c r="C14" s="15" t="n"/>
      <c r="D14" s="15" t="n"/>
      <c r="E14" s="16">
        <f>IF(C14=0,0,D14/C14)</f>
        <v/>
      </c>
      <c r="F14" s="17">
        <f>IF(A14="","",IF(E14&gt;=0.95,"Compliant",IF(E14&gt;=0.8,"Partial","Non-Compliant")))</f>
        <v/>
      </c>
      <c r="G14" s="19" t="n"/>
      <c r="H14" s="15" t="n"/>
      <c r="I14" s="19" t="n"/>
      <c r="J14" s="19" t="n"/>
      <c r="K14" s="20">
        <f>IF(AND(I14&lt;&gt;"",J14&lt;&gt;""),(J14-I14)*24,"")</f>
        <v/>
      </c>
      <c r="L14" s="15" t="n"/>
      <c r="M14" s="15" t="n"/>
      <c r="N14" s="15" t="n"/>
      <c r="O14" s="18" t="n"/>
      <c r="P14" s="15" t="n"/>
    </row>
    <row r="15">
      <c r="A15" s="15" t="n"/>
      <c r="B15" s="17">
        <f>IF(A15="","",A15&amp;" (from IMP-1)")</f>
        <v/>
      </c>
      <c r="C15" s="15" t="n"/>
      <c r="D15" s="15" t="n"/>
      <c r="E15" s="16">
        <f>IF(C15=0,0,D15/C15)</f>
        <v/>
      </c>
      <c r="F15" s="17">
        <f>IF(A15="","",IF(E15&gt;=0.95,"Compliant",IF(E15&gt;=0.8,"Partial","Non-Compliant")))</f>
        <v/>
      </c>
      <c r="G15" s="19" t="n"/>
      <c r="H15" s="15" t="n"/>
      <c r="I15" s="19" t="n"/>
      <c r="J15" s="19" t="n"/>
      <c r="K15" s="20">
        <f>IF(AND(I15&lt;&gt;"",J15&lt;&gt;""),(J15-I15)*24,"")</f>
        <v/>
      </c>
      <c r="L15" s="15" t="n"/>
      <c r="M15" s="15" t="n"/>
      <c r="N15" s="15" t="n"/>
      <c r="O15" s="18" t="n"/>
      <c r="P15" s="15" t="n"/>
    </row>
    <row r="16">
      <c r="A16" s="15" t="n"/>
      <c r="B16" s="17">
        <f>IF(A16="","",A16&amp;" (from IMP-1)")</f>
        <v/>
      </c>
      <c r="C16" s="15" t="n"/>
      <c r="D16" s="15" t="n"/>
      <c r="E16" s="16">
        <f>IF(C16=0,0,D16/C16)</f>
        <v/>
      </c>
      <c r="F16" s="17">
        <f>IF(A16="","",IF(E16&gt;=0.95,"Compliant",IF(E16&gt;=0.8,"Partial","Non-Compliant")))</f>
        <v/>
      </c>
      <c r="G16" s="19" t="n"/>
      <c r="H16" s="15" t="n"/>
      <c r="I16" s="19" t="n"/>
      <c r="J16" s="19" t="n"/>
      <c r="K16" s="20">
        <f>IF(AND(I16&lt;&gt;"",J16&lt;&gt;""),(J16-I16)*24,"")</f>
        <v/>
      </c>
      <c r="L16" s="15" t="n"/>
      <c r="M16" s="15" t="n"/>
      <c r="N16" s="15" t="n"/>
      <c r="O16" s="18" t="n"/>
      <c r="P16" s="15" t="n"/>
    </row>
    <row r="17">
      <c r="A17" s="15" t="n"/>
      <c r="B17" s="17">
        <f>IF(A17="","",A17&amp;" (from IMP-1)")</f>
        <v/>
      </c>
      <c r="C17" s="15" t="n"/>
      <c r="D17" s="15" t="n"/>
      <c r="E17" s="16">
        <f>IF(C17=0,0,D17/C17)</f>
        <v/>
      </c>
      <c r="F17" s="17">
        <f>IF(A17="","",IF(E17&gt;=0.95,"Compliant",IF(E17&gt;=0.8,"Partial","Non-Compliant")))</f>
        <v/>
      </c>
      <c r="G17" s="19" t="n"/>
      <c r="H17" s="15" t="n"/>
      <c r="I17" s="19" t="n"/>
      <c r="J17" s="19" t="n"/>
      <c r="K17" s="20">
        <f>IF(AND(I17&lt;&gt;"",J17&lt;&gt;""),(J17-I17)*24,"")</f>
        <v/>
      </c>
      <c r="L17" s="15" t="n"/>
      <c r="M17" s="15" t="n"/>
      <c r="N17" s="15" t="n"/>
      <c r="O17" s="18" t="n"/>
      <c r="P17" s="15" t="n"/>
    </row>
    <row r="18">
      <c r="A18" s="15" t="n"/>
      <c r="B18" s="17">
        <f>IF(A18="","",A18&amp;" (from IMP-1)")</f>
        <v/>
      </c>
      <c r="C18" s="15" t="n"/>
      <c r="D18" s="15" t="n"/>
      <c r="E18" s="16">
        <f>IF(C18=0,0,D18/C18)</f>
        <v/>
      </c>
      <c r="F18" s="17">
        <f>IF(A18="","",IF(E18&gt;=0.95,"Compliant",IF(E18&gt;=0.8,"Partial","Non-Compliant")))</f>
        <v/>
      </c>
      <c r="G18" s="19" t="n"/>
      <c r="H18" s="15" t="n"/>
      <c r="I18" s="19" t="n"/>
      <c r="J18" s="19" t="n"/>
      <c r="K18" s="20">
        <f>IF(AND(I18&lt;&gt;"",J18&lt;&gt;""),(J18-I18)*24,"")</f>
        <v/>
      </c>
      <c r="L18" s="15" t="n"/>
      <c r="M18" s="15" t="n"/>
      <c r="N18" s="15" t="n"/>
      <c r="O18" s="18" t="n"/>
      <c r="P18" s="15" t="n"/>
    </row>
    <row r="19">
      <c r="A19" s="15" t="n"/>
      <c r="B19" s="17">
        <f>IF(A19="","",A19&amp;" (from IMP-1)")</f>
        <v/>
      </c>
      <c r="C19" s="15" t="n"/>
      <c r="D19" s="15" t="n"/>
      <c r="E19" s="16">
        <f>IF(C19=0,0,D19/C19)</f>
        <v/>
      </c>
      <c r="F19" s="17">
        <f>IF(A19="","",IF(E19&gt;=0.95,"Compliant",IF(E19&gt;=0.8,"Partial","Non-Compliant")))</f>
        <v/>
      </c>
      <c r="G19" s="19" t="n"/>
      <c r="H19" s="15" t="n"/>
      <c r="I19" s="19" t="n"/>
      <c r="J19" s="19" t="n"/>
      <c r="K19" s="20">
        <f>IF(AND(I19&lt;&gt;"",J19&lt;&gt;""),(J19-I19)*24,"")</f>
        <v/>
      </c>
      <c r="L19" s="15" t="n"/>
      <c r="M19" s="15" t="n"/>
      <c r="N19" s="15" t="n"/>
      <c r="O19" s="18" t="n"/>
      <c r="P19" s="15" t="n"/>
    </row>
    <row r="20">
      <c r="A20" s="15" t="n"/>
      <c r="B20" s="17">
        <f>IF(A20="","",A20&amp;" (from IMP-1)")</f>
        <v/>
      </c>
      <c r="C20" s="15" t="n"/>
      <c r="D20" s="15" t="n"/>
      <c r="E20" s="16">
        <f>IF(C20=0,0,D20/C20)</f>
        <v/>
      </c>
      <c r="F20" s="17">
        <f>IF(A20="","",IF(E20&gt;=0.95,"Compliant",IF(E20&gt;=0.8,"Partial","Non-Compliant")))</f>
        <v/>
      </c>
      <c r="G20" s="19" t="n"/>
      <c r="H20" s="15" t="n"/>
      <c r="I20" s="19" t="n"/>
      <c r="J20" s="19" t="n"/>
      <c r="K20" s="20">
        <f>IF(AND(I20&lt;&gt;"",J20&lt;&gt;""),(J20-I20)*24,"")</f>
        <v/>
      </c>
      <c r="L20" s="15" t="n"/>
      <c r="M20" s="15" t="n"/>
      <c r="N20" s="15" t="n"/>
      <c r="O20" s="18" t="n"/>
      <c r="P20" s="15" t="n"/>
    </row>
    <row r="21">
      <c r="A21" s="15" t="n"/>
      <c r="B21" s="17">
        <f>IF(A21="","",A21&amp;" (from IMP-1)")</f>
        <v/>
      </c>
      <c r="C21" s="15" t="n"/>
      <c r="D21" s="15" t="n"/>
      <c r="E21" s="16">
        <f>IF(C21=0,0,D21/C21)</f>
        <v/>
      </c>
      <c r="F21" s="17">
        <f>IF(A21="","",IF(E21&gt;=0.95,"Compliant",IF(E21&gt;=0.8,"Partial","Non-Compliant")))</f>
        <v/>
      </c>
      <c r="G21" s="19" t="n"/>
      <c r="H21" s="15" t="n"/>
      <c r="I21" s="19" t="n"/>
      <c r="J21" s="19" t="n"/>
      <c r="K21" s="20">
        <f>IF(AND(I21&lt;&gt;"",J21&lt;&gt;""),(J21-I21)*24,"")</f>
        <v/>
      </c>
      <c r="L21" s="15" t="n"/>
      <c r="M21" s="15" t="n"/>
      <c r="N21" s="15" t="n"/>
      <c r="O21" s="18" t="n"/>
      <c r="P21" s="15" t="n"/>
    </row>
    <row r="22">
      <c r="A22" s="15" t="n"/>
      <c r="B22" s="17">
        <f>IF(A22="","",A22&amp;" (from IMP-1)")</f>
        <v/>
      </c>
      <c r="C22" s="15" t="n"/>
      <c r="D22" s="15" t="n"/>
      <c r="E22" s="16">
        <f>IF(C22=0,0,D22/C22)</f>
        <v/>
      </c>
      <c r="F22" s="17">
        <f>IF(A22="","",IF(E22&gt;=0.95,"Compliant",IF(E22&gt;=0.8,"Partial","Non-Compliant")))</f>
        <v/>
      </c>
      <c r="G22" s="19" t="n"/>
      <c r="H22" s="15" t="n"/>
      <c r="I22" s="19" t="n"/>
      <c r="J22" s="19" t="n"/>
      <c r="K22" s="20">
        <f>IF(AND(I22&lt;&gt;"",J22&lt;&gt;""),(J22-I22)*24,"")</f>
        <v/>
      </c>
      <c r="L22" s="15" t="n"/>
      <c r="M22" s="15" t="n"/>
      <c r="N22" s="15" t="n"/>
      <c r="O22" s="18" t="n"/>
      <c r="P22" s="15" t="n"/>
    </row>
    <row r="23">
      <c r="A23" s="15" t="n"/>
      <c r="B23" s="17">
        <f>IF(A23="","",A23&amp;" (from IMP-1)")</f>
        <v/>
      </c>
      <c r="C23" s="15" t="n"/>
      <c r="D23" s="15" t="n"/>
      <c r="E23" s="16">
        <f>IF(C23=0,0,D23/C23)</f>
        <v/>
      </c>
      <c r="F23" s="17">
        <f>IF(A23="","",IF(E23&gt;=0.95,"Compliant",IF(E23&gt;=0.8,"Partial","Non-Compliant")))</f>
        <v/>
      </c>
      <c r="G23" s="19" t="n"/>
      <c r="H23" s="15" t="n"/>
      <c r="I23" s="19" t="n"/>
      <c r="J23" s="19" t="n"/>
      <c r="K23" s="20">
        <f>IF(AND(I23&lt;&gt;"",J23&lt;&gt;""),(J23-I23)*24,"")</f>
        <v/>
      </c>
      <c r="L23" s="15" t="n"/>
      <c r="M23" s="15" t="n"/>
      <c r="N23" s="15" t="n"/>
      <c r="O23" s="18" t="n"/>
      <c r="P23" s="15" t="n"/>
    </row>
    <row r="24">
      <c r="A24" s="15" t="n"/>
      <c r="B24" s="17">
        <f>IF(A24="","",A24&amp;" (from IMP-1)")</f>
        <v/>
      </c>
      <c r="C24" s="15" t="n"/>
      <c r="D24" s="15" t="n"/>
      <c r="E24" s="16">
        <f>IF(C24=0,0,D24/C24)</f>
        <v/>
      </c>
      <c r="F24" s="17">
        <f>IF(A24="","",IF(E24&gt;=0.95,"Compliant",IF(E24&gt;=0.8,"Partial","Non-Compliant")))</f>
        <v/>
      </c>
      <c r="G24" s="19" t="n"/>
      <c r="H24" s="15" t="n"/>
      <c r="I24" s="19" t="n"/>
      <c r="J24" s="19" t="n"/>
      <c r="K24" s="20">
        <f>IF(AND(I24&lt;&gt;"",J24&lt;&gt;""),(J24-I24)*24,"")</f>
        <v/>
      </c>
      <c r="L24" s="15" t="n"/>
      <c r="M24" s="15" t="n"/>
      <c r="N24" s="15" t="n"/>
      <c r="O24" s="18" t="n"/>
      <c r="P24" s="15" t="n"/>
    </row>
    <row r="25">
      <c r="A25" s="15" t="n"/>
      <c r="B25" s="17">
        <f>IF(A25="","",A25&amp;" (from IMP-1)")</f>
        <v/>
      </c>
      <c r="C25" s="15" t="n"/>
      <c r="D25" s="15" t="n"/>
      <c r="E25" s="16">
        <f>IF(C25=0,0,D25/C25)</f>
        <v/>
      </c>
      <c r="F25" s="17">
        <f>IF(A25="","",IF(E25&gt;=0.95,"Compliant",IF(E25&gt;=0.8,"Partial","Non-Compliant")))</f>
        <v/>
      </c>
      <c r="G25" s="19" t="n"/>
      <c r="H25" s="15" t="n"/>
      <c r="I25" s="19" t="n"/>
      <c r="J25" s="19" t="n"/>
      <c r="K25" s="20">
        <f>IF(AND(I25&lt;&gt;"",J25&lt;&gt;""),(J25-I25)*24,"")</f>
        <v/>
      </c>
      <c r="L25" s="15" t="n"/>
      <c r="M25" s="15" t="n"/>
      <c r="N25" s="15" t="n"/>
      <c r="O25" s="18" t="n"/>
      <c r="P25" s="15" t="n"/>
    </row>
    <row r="26">
      <c r="A26" s="15" t="n"/>
      <c r="B26" s="17">
        <f>IF(A26="","",A26&amp;" (from IMP-1)")</f>
        <v/>
      </c>
      <c r="C26" s="15" t="n"/>
      <c r="D26" s="15" t="n"/>
      <c r="E26" s="16">
        <f>IF(C26=0,0,D26/C26)</f>
        <v/>
      </c>
      <c r="F26" s="17">
        <f>IF(A26="","",IF(E26&gt;=0.95,"Compliant",IF(E26&gt;=0.8,"Partial","Non-Compliant")))</f>
        <v/>
      </c>
      <c r="G26" s="19" t="n"/>
      <c r="H26" s="15" t="n"/>
      <c r="I26" s="19" t="n"/>
      <c r="J26" s="19" t="n"/>
      <c r="K26" s="20">
        <f>IF(AND(I26&lt;&gt;"",J26&lt;&gt;""),(J26-I26)*24,"")</f>
        <v/>
      </c>
      <c r="L26" s="15" t="n"/>
      <c r="M26" s="15" t="n"/>
      <c r="N26" s="15" t="n"/>
      <c r="O26" s="18" t="n"/>
      <c r="P26" s="15" t="n"/>
    </row>
    <row r="27">
      <c r="A27" s="15" t="n"/>
      <c r="B27" s="17">
        <f>IF(A27="","",A27&amp;" (from IMP-1)")</f>
        <v/>
      </c>
      <c r="C27" s="15" t="n"/>
      <c r="D27" s="15" t="n"/>
      <c r="E27" s="16">
        <f>IF(C27=0,0,D27/C27)</f>
        <v/>
      </c>
      <c r="F27" s="17">
        <f>IF(A27="","",IF(E27&gt;=0.95,"Compliant",IF(E27&gt;=0.8,"Partial","Non-Compliant")))</f>
        <v/>
      </c>
      <c r="G27" s="19" t="n"/>
      <c r="H27" s="15" t="n"/>
      <c r="I27" s="19" t="n"/>
      <c r="J27" s="19" t="n"/>
      <c r="K27" s="20">
        <f>IF(AND(I27&lt;&gt;"",J27&lt;&gt;""),(J27-I27)*24,"")</f>
        <v/>
      </c>
      <c r="L27" s="15" t="n"/>
      <c r="M27" s="15" t="n"/>
      <c r="N27" s="15" t="n"/>
      <c r="O27" s="18" t="n"/>
      <c r="P27" s="15" t="n"/>
    </row>
    <row r="28">
      <c r="A28" s="15" t="n"/>
      <c r="B28" s="17">
        <f>IF(A28="","",A28&amp;" (from IMP-1)")</f>
        <v/>
      </c>
      <c r="C28" s="15" t="n"/>
      <c r="D28" s="15" t="n"/>
      <c r="E28" s="16">
        <f>IF(C28=0,0,D28/C28)</f>
        <v/>
      </c>
      <c r="F28" s="17">
        <f>IF(A28="","",IF(E28&gt;=0.95,"Compliant",IF(E28&gt;=0.8,"Partial","Non-Compliant")))</f>
        <v/>
      </c>
      <c r="G28" s="19" t="n"/>
      <c r="H28" s="15" t="n"/>
      <c r="I28" s="19" t="n"/>
      <c r="J28" s="19" t="n"/>
      <c r="K28" s="20">
        <f>IF(AND(I28&lt;&gt;"",J28&lt;&gt;""),(J28-I28)*24,"")</f>
        <v/>
      </c>
      <c r="L28" s="15" t="n"/>
      <c r="M28" s="15" t="n"/>
      <c r="N28" s="15" t="n"/>
      <c r="O28" s="18" t="n"/>
      <c r="P28" s="15" t="n"/>
    </row>
    <row r="29">
      <c r="A29" s="15" t="n"/>
      <c r="B29" s="17">
        <f>IF(A29="","",A29&amp;" (from IMP-1)")</f>
        <v/>
      </c>
      <c r="C29" s="15" t="n"/>
      <c r="D29" s="15" t="n"/>
      <c r="E29" s="16">
        <f>IF(C29=0,0,D29/C29)</f>
        <v/>
      </c>
      <c r="F29" s="17">
        <f>IF(A29="","",IF(E29&gt;=0.95,"Compliant",IF(E29&gt;=0.8,"Partial","Non-Compliant")))</f>
        <v/>
      </c>
      <c r="G29" s="19" t="n"/>
      <c r="H29" s="15" t="n"/>
      <c r="I29" s="19" t="n"/>
      <c r="J29" s="19" t="n"/>
      <c r="K29" s="20">
        <f>IF(AND(I29&lt;&gt;"",J29&lt;&gt;""),(J29-I29)*24,"")</f>
        <v/>
      </c>
      <c r="L29" s="15" t="n"/>
      <c r="M29" s="15" t="n"/>
      <c r="N29" s="15" t="n"/>
      <c r="O29" s="18" t="n"/>
      <c r="P29" s="15" t="n"/>
    </row>
    <row r="30">
      <c r="A30" s="15" t="n"/>
      <c r="B30" s="17">
        <f>IF(A30="","",A30&amp;" (from IMP-1)")</f>
        <v/>
      </c>
      <c r="C30" s="15" t="n"/>
      <c r="D30" s="15" t="n"/>
      <c r="E30" s="16">
        <f>IF(C30=0,0,D30/C30)</f>
        <v/>
      </c>
      <c r="F30" s="17">
        <f>IF(A30="","",IF(E30&gt;=0.95,"Compliant",IF(E30&gt;=0.8,"Partial","Non-Compliant")))</f>
        <v/>
      </c>
      <c r="G30" s="19" t="n"/>
      <c r="H30" s="15" t="n"/>
      <c r="I30" s="19" t="n"/>
      <c r="J30" s="19" t="n"/>
      <c r="K30" s="20">
        <f>IF(AND(I30&lt;&gt;"",J30&lt;&gt;""),(J30-I30)*24,"")</f>
        <v/>
      </c>
      <c r="L30" s="15" t="n"/>
      <c r="M30" s="15" t="n"/>
      <c r="N30" s="15" t="n"/>
      <c r="O30" s="18" t="n"/>
      <c r="P30" s="15" t="n"/>
    </row>
    <row r="31">
      <c r="A31" s="15" t="n"/>
      <c r="B31" s="17">
        <f>IF(A31="","",A31&amp;" (from IMP-1)")</f>
        <v/>
      </c>
      <c r="C31" s="15" t="n"/>
      <c r="D31" s="15" t="n"/>
      <c r="E31" s="16">
        <f>IF(C31=0,0,D31/C31)</f>
        <v/>
      </c>
      <c r="F31" s="17">
        <f>IF(A31="","",IF(E31&gt;=0.95,"Compliant",IF(E31&gt;=0.8,"Partial","Non-Compliant")))</f>
        <v/>
      </c>
      <c r="G31" s="19" t="n"/>
      <c r="H31" s="15" t="n"/>
      <c r="I31" s="19" t="n"/>
      <c r="J31" s="19" t="n"/>
      <c r="K31" s="20">
        <f>IF(AND(I31&lt;&gt;"",J31&lt;&gt;""),(J31-I31)*24,"")</f>
        <v/>
      </c>
      <c r="L31" s="15" t="n"/>
      <c r="M31" s="15" t="n"/>
      <c r="N31" s="15" t="n"/>
      <c r="O31" s="18" t="n"/>
      <c r="P31" s="15" t="n"/>
    </row>
    <row r="32">
      <c r="A32" s="15" t="n"/>
      <c r="B32" s="17">
        <f>IF(A32="","",A32&amp;" (from IMP-1)")</f>
        <v/>
      </c>
      <c r="C32" s="15" t="n"/>
      <c r="D32" s="15" t="n"/>
      <c r="E32" s="16">
        <f>IF(C32=0,0,D32/C32)</f>
        <v/>
      </c>
      <c r="F32" s="17">
        <f>IF(A32="","",IF(E32&gt;=0.95,"Compliant",IF(E32&gt;=0.8,"Partial","Non-Compliant")))</f>
        <v/>
      </c>
      <c r="G32" s="19" t="n"/>
      <c r="H32" s="15" t="n"/>
      <c r="I32" s="19" t="n"/>
      <c r="J32" s="19" t="n"/>
      <c r="K32" s="20">
        <f>IF(AND(I32&lt;&gt;"",J32&lt;&gt;""),(J32-I32)*24,"")</f>
        <v/>
      </c>
      <c r="L32" s="15" t="n"/>
      <c r="M32" s="15" t="n"/>
      <c r="N32" s="15" t="n"/>
      <c r="O32" s="18" t="n"/>
      <c r="P32" s="15" t="n"/>
    </row>
    <row r="33">
      <c r="A33" s="15" t="n"/>
      <c r="B33" s="17">
        <f>IF(A33="","",A33&amp;" (from IMP-1)")</f>
        <v/>
      </c>
      <c r="C33" s="15" t="n"/>
      <c r="D33" s="15" t="n"/>
      <c r="E33" s="16">
        <f>IF(C33=0,0,D33/C33)</f>
        <v/>
      </c>
      <c r="F33" s="17">
        <f>IF(A33="","",IF(E33&gt;=0.95,"Compliant",IF(E33&gt;=0.8,"Partial","Non-Compliant")))</f>
        <v/>
      </c>
      <c r="G33" s="19" t="n"/>
      <c r="H33" s="15" t="n"/>
      <c r="I33" s="19" t="n"/>
      <c r="J33" s="19" t="n"/>
      <c r="K33" s="20">
        <f>IF(AND(I33&lt;&gt;"",J33&lt;&gt;""),(J33-I33)*24,"")</f>
        <v/>
      </c>
      <c r="L33" s="15" t="n"/>
      <c r="M33" s="15" t="n"/>
      <c r="N33" s="15" t="n"/>
      <c r="O33" s="18" t="n"/>
      <c r="P33" s="15" t="n"/>
    </row>
    <row r="34">
      <c r="A34" s="15" t="n"/>
      <c r="B34" s="17">
        <f>IF(A34="","",A34&amp;" (from IMP-1)")</f>
        <v/>
      </c>
      <c r="C34" s="15" t="n"/>
      <c r="D34" s="15" t="n"/>
      <c r="E34" s="16">
        <f>IF(C34=0,0,D34/C34)</f>
        <v/>
      </c>
      <c r="F34" s="17">
        <f>IF(A34="","",IF(E34&gt;=0.95,"Compliant",IF(E34&gt;=0.8,"Partial","Non-Compliant")))</f>
        <v/>
      </c>
      <c r="G34" s="19" t="n"/>
      <c r="H34" s="15" t="n"/>
      <c r="I34" s="19" t="n"/>
      <c r="J34" s="19" t="n"/>
      <c r="K34" s="20">
        <f>IF(AND(I34&lt;&gt;"",J34&lt;&gt;""),(J34-I34)*24,"")</f>
        <v/>
      </c>
      <c r="L34" s="15" t="n"/>
      <c r="M34" s="15" t="n"/>
      <c r="N34" s="15" t="n"/>
      <c r="O34" s="18" t="n"/>
      <c r="P34" s="15" t="n"/>
    </row>
    <row r="35">
      <c r="A35" s="15" t="n"/>
      <c r="B35" s="17">
        <f>IF(A35="","",A35&amp;" (from IMP-1)")</f>
        <v/>
      </c>
      <c r="C35" s="15" t="n"/>
      <c r="D35" s="15" t="n"/>
      <c r="E35" s="16">
        <f>IF(C35=0,0,D35/C35)</f>
        <v/>
      </c>
      <c r="F35" s="17">
        <f>IF(A35="","",IF(E35&gt;=0.95,"Compliant",IF(E35&gt;=0.8,"Partial","Non-Compliant")))</f>
        <v/>
      </c>
      <c r="G35" s="19" t="n"/>
      <c r="H35" s="15" t="n"/>
      <c r="I35" s="19" t="n"/>
      <c r="J35" s="19" t="n"/>
      <c r="K35" s="20">
        <f>IF(AND(I35&lt;&gt;"",J35&lt;&gt;""),(J35-I35)*24,"")</f>
        <v/>
      </c>
      <c r="L35" s="15" t="n"/>
      <c r="M35" s="15" t="n"/>
      <c r="N35" s="15" t="n"/>
      <c r="O35" s="18" t="n"/>
      <c r="P35" s="15" t="n"/>
    </row>
    <row r="36">
      <c r="A36" s="15" t="n"/>
      <c r="B36" s="17">
        <f>IF(A36="","",A36&amp;" (from IMP-1)")</f>
        <v/>
      </c>
      <c r="C36" s="15" t="n"/>
      <c r="D36" s="15" t="n"/>
      <c r="E36" s="16">
        <f>IF(C36=0,0,D36/C36)</f>
        <v/>
      </c>
      <c r="F36" s="17">
        <f>IF(A36="","",IF(E36&gt;=0.95,"Compliant",IF(E36&gt;=0.8,"Partial","Non-Compliant")))</f>
        <v/>
      </c>
      <c r="G36" s="19" t="n"/>
      <c r="H36" s="15" t="n"/>
      <c r="I36" s="19" t="n"/>
      <c r="J36" s="19" t="n"/>
      <c r="K36" s="20">
        <f>IF(AND(I36&lt;&gt;"",J36&lt;&gt;""),(J36-I36)*24,"")</f>
        <v/>
      </c>
      <c r="L36" s="15" t="n"/>
      <c r="M36" s="15" t="n"/>
      <c r="N36" s="15" t="n"/>
      <c r="O36" s="18" t="n"/>
      <c r="P36" s="15" t="n"/>
    </row>
    <row r="37">
      <c r="A37" s="15" t="n"/>
      <c r="B37" s="17">
        <f>IF(A37="","",A37&amp;" (from IMP-1)")</f>
        <v/>
      </c>
      <c r="C37" s="15" t="n"/>
      <c r="D37" s="15" t="n"/>
      <c r="E37" s="16">
        <f>IF(C37=0,0,D37/C37)</f>
        <v/>
      </c>
      <c r="F37" s="17">
        <f>IF(A37="","",IF(E37&gt;=0.95,"Compliant",IF(E37&gt;=0.8,"Partial","Non-Compliant")))</f>
        <v/>
      </c>
      <c r="G37" s="19" t="n"/>
      <c r="H37" s="15" t="n"/>
      <c r="I37" s="19" t="n"/>
      <c r="J37" s="19" t="n"/>
      <c r="K37" s="20">
        <f>IF(AND(I37&lt;&gt;"",J37&lt;&gt;""),(J37-I37)*24,"")</f>
        <v/>
      </c>
      <c r="L37" s="15" t="n"/>
      <c r="M37" s="15" t="n"/>
      <c r="N37" s="15" t="n"/>
      <c r="O37" s="18" t="n"/>
      <c r="P37" s="15" t="n"/>
    </row>
    <row r="38">
      <c r="A38" s="15" t="n"/>
      <c r="B38" s="17">
        <f>IF(A38="","",A38&amp;" (from IMP-1)")</f>
        <v/>
      </c>
      <c r="C38" s="15" t="n"/>
      <c r="D38" s="15" t="n"/>
      <c r="E38" s="16">
        <f>IF(C38=0,0,D38/C38)</f>
        <v/>
      </c>
      <c r="F38" s="17">
        <f>IF(A38="","",IF(E38&gt;=0.95,"Compliant",IF(E38&gt;=0.8,"Partial","Non-Compliant")))</f>
        <v/>
      </c>
      <c r="G38" s="19" t="n"/>
      <c r="H38" s="15" t="n"/>
      <c r="I38" s="19" t="n"/>
      <c r="J38" s="19" t="n"/>
      <c r="K38" s="20">
        <f>IF(AND(I38&lt;&gt;"",J38&lt;&gt;""),(J38-I38)*24,"")</f>
        <v/>
      </c>
      <c r="L38" s="15" t="n"/>
      <c r="M38" s="15" t="n"/>
      <c r="N38" s="15" t="n"/>
      <c r="O38" s="18" t="n"/>
      <c r="P38" s="15" t="n"/>
    </row>
    <row r="39">
      <c r="A39" s="15" t="n"/>
      <c r="B39" s="17">
        <f>IF(A39="","",A39&amp;" (from IMP-1)")</f>
        <v/>
      </c>
      <c r="C39" s="15" t="n"/>
      <c r="D39" s="15" t="n"/>
      <c r="E39" s="16">
        <f>IF(C39=0,0,D39/C39)</f>
        <v/>
      </c>
      <c r="F39" s="17">
        <f>IF(A39="","",IF(E39&gt;=0.95,"Compliant",IF(E39&gt;=0.8,"Partial","Non-Compliant")))</f>
        <v/>
      </c>
      <c r="G39" s="19" t="n"/>
      <c r="H39" s="15" t="n"/>
      <c r="I39" s="19" t="n"/>
      <c r="J39" s="19" t="n"/>
      <c r="K39" s="20">
        <f>IF(AND(I39&lt;&gt;"",J39&lt;&gt;""),(J39-I39)*24,"")</f>
        <v/>
      </c>
      <c r="L39" s="15" t="n"/>
      <c r="M39" s="15" t="n"/>
      <c r="N39" s="15" t="n"/>
      <c r="O39" s="18" t="n"/>
      <c r="P39" s="15" t="n"/>
    </row>
    <row r="40">
      <c r="A40" s="15" t="n"/>
      <c r="B40" s="17">
        <f>IF(A40="","",A40&amp;" (from IMP-1)")</f>
        <v/>
      </c>
      <c r="C40" s="15" t="n"/>
      <c r="D40" s="15" t="n"/>
      <c r="E40" s="16">
        <f>IF(C40=0,0,D40/C40)</f>
        <v/>
      </c>
      <c r="F40" s="17">
        <f>IF(A40="","",IF(E40&gt;=0.95,"Compliant",IF(E40&gt;=0.8,"Partial","Non-Compliant")))</f>
        <v/>
      </c>
      <c r="G40" s="19" t="n"/>
      <c r="H40" s="15" t="n"/>
      <c r="I40" s="19" t="n"/>
      <c r="J40" s="19" t="n"/>
      <c r="K40" s="20">
        <f>IF(AND(I40&lt;&gt;"",J40&lt;&gt;""),(J40-I40)*24,"")</f>
        <v/>
      </c>
      <c r="L40" s="15" t="n"/>
      <c r="M40" s="15" t="n"/>
      <c r="N40" s="15" t="n"/>
      <c r="O40" s="18" t="n"/>
      <c r="P40" s="15" t="n"/>
    </row>
    <row r="41">
      <c r="A41" s="15" t="n"/>
      <c r="B41" s="17">
        <f>IF(A41="","",A41&amp;" (from IMP-1)")</f>
        <v/>
      </c>
      <c r="C41" s="15" t="n"/>
      <c r="D41" s="15" t="n"/>
      <c r="E41" s="16">
        <f>IF(C41=0,0,D41/C41)</f>
        <v/>
      </c>
      <c r="F41" s="17">
        <f>IF(A41="","",IF(E41&gt;=0.95,"Compliant",IF(E41&gt;=0.8,"Partial","Non-Compliant")))</f>
        <v/>
      </c>
      <c r="G41" s="19" t="n"/>
      <c r="H41" s="15" t="n"/>
      <c r="I41" s="19" t="n"/>
      <c r="J41" s="19" t="n"/>
      <c r="K41" s="20">
        <f>IF(AND(I41&lt;&gt;"",J41&lt;&gt;""),(J41-I41)*24,"")</f>
        <v/>
      </c>
      <c r="L41" s="15" t="n"/>
      <c r="M41" s="15" t="n"/>
      <c r="N41" s="15" t="n"/>
      <c r="O41" s="18" t="n"/>
      <c r="P41" s="15" t="n"/>
    </row>
    <row r="42">
      <c r="A42" s="15" t="n"/>
      <c r="B42" s="17">
        <f>IF(A42="","",A42&amp;" (from IMP-1)")</f>
        <v/>
      </c>
      <c r="C42" s="15" t="n"/>
      <c r="D42" s="15" t="n"/>
      <c r="E42" s="16">
        <f>IF(C42=0,0,D42/C42)</f>
        <v/>
      </c>
      <c r="F42" s="17">
        <f>IF(A42="","",IF(E42&gt;=0.95,"Compliant",IF(E42&gt;=0.8,"Partial","Non-Compliant")))</f>
        <v/>
      </c>
      <c r="G42" s="19" t="n"/>
      <c r="H42" s="15" t="n"/>
      <c r="I42" s="19" t="n"/>
      <c r="J42" s="19" t="n"/>
      <c r="K42" s="20">
        <f>IF(AND(I42&lt;&gt;"",J42&lt;&gt;""),(J42-I42)*24,"")</f>
        <v/>
      </c>
      <c r="L42" s="15" t="n"/>
      <c r="M42" s="15" t="n"/>
      <c r="N42" s="15" t="n"/>
      <c r="O42" s="18" t="n"/>
      <c r="P42" s="15" t="n"/>
    </row>
    <row r="43">
      <c r="A43" s="15" t="n"/>
      <c r="B43" s="17">
        <f>IF(A43="","",A43&amp;" (from IMP-1)")</f>
        <v/>
      </c>
      <c r="C43" s="15" t="n"/>
      <c r="D43" s="15" t="n"/>
      <c r="E43" s="16">
        <f>IF(C43=0,0,D43/C43)</f>
        <v/>
      </c>
      <c r="F43" s="17">
        <f>IF(A43="","",IF(E43&gt;=0.95,"Compliant",IF(E43&gt;=0.8,"Partial","Non-Compliant")))</f>
        <v/>
      </c>
      <c r="G43" s="19" t="n"/>
      <c r="H43" s="15" t="n"/>
      <c r="I43" s="19" t="n"/>
      <c r="J43" s="19" t="n"/>
      <c r="K43" s="20">
        <f>IF(AND(I43&lt;&gt;"",J43&lt;&gt;""),(J43-I43)*24,"")</f>
        <v/>
      </c>
      <c r="L43" s="15" t="n"/>
      <c r="M43" s="15" t="n"/>
      <c r="N43" s="15" t="n"/>
      <c r="O43" s="18" t="n"/>
      <c r="P43" s="15" t="n"/>
    </row>
    <row r="44">
      <c r="A44" s="15" t="n"/>
      <c r="B44" s="17">
        <f>IF(A44="","",A44&amp;" (from IMP-1)")</f>
        <v/>
      </c>
      <c r="C44" s="15" t="n"/>
      <c r="D44" s="15" t="n"/>
      <c r="E44" s="16">
        <f>IF(C44=0,0,D44/C44)</f>
        <v/>
      </c>
      <c r="F44" s="17">
        <f>IF(A44="","",IF(E44&gt;=0.95,"Compliant",IF(E44&gt;=0.8,"Partial","Non-Compliant")))</f>
        <v/>
      </c>
      <c r="G44" s="19" t="n"/>
      <c r="H44" s="15" t="n"/>
      <c r="I44" s="19" t="n"/>
      <c r="J44" s="19" t="n"/>
      <c r="K44" s="20">
        <f>IF(AND(I44&lt;&gt;"",J44&lt;&gt;""),(J44-I44)*24,"")</f>
        <v/>
      </c>
      <c r="L44" s="15" t="n"/>
      <c r="M44" s="15" t="n"/>
      <c r="N44" s="15" t="n"/>
      <c r="O44" s="18" t="n"/>
      <c r="P44" s="15" t="n"/>
    </row>
    <row r="45">
      <c r="A45" s="15" t="n"/>
      <c r="B45" s="17">
        <f>IF(A45="","",A45&amp;" (from IMP-1)")</f>
        <v/>
      </c>
      <c r="C45" s="15" t="n"/>
      <c r="D45" s="15" t="n"/>
      <c r="E45" s="16">
        <f>IF(C45=0,0,D45/C45)</f>
        <v/>
      </c>
      <c r="F45" s="17">
        <f>IF(A45="","",IF(E45&gt;=0.95,"Compliant",IF(E45&gt;=0.8,"Partial","Non-Compliant")))</f>
        <v/>
      </c>
      <c r="G45" s="19" t="n"/>
      <c r="H45" s="15" t="n"/>
      <c r="I45" s="19" t="n"/>
      <c r="J45" s="19" t="n"/>
      <c r="K45" s="20">
        <f>IF(AND(I45&lt;&gt;"",J45&lt;&gt;""),(J45-I45)*24,"")</f>
        <v/>
      </c>
      <c r="L45" s="15" t="n"/>
      <c r="M45" s="15" t="n"/>
      <c r="N45" s="15" t="n"/>
      <c r="O45" s="18" t="n"/>
      <c r="P45" s="15" t="n"/>
    </row>
    <row r="46">
      <c r="A46" s="15" t="n"/>
      <c r="B46" s="17">
        <f>IF(A46="","",A46&amp;" (from IMP-1)")</f>
        <v/>
      </c>
      <c r="C46" s="15" t="n"/>
      <c r="D46" s="15" t="n"/>
      <c r="E46" s="16">
        <f>IF(C46=0,0,D46/C46)</f>
        <v/>
      </c>
      <c r="F46" s="17">
        <f>IF(A46="","",IF(E46&gt;=0.95,"Compliant",IF(E46&gt;=0.8,"Partial","Non-Compliant")))</f>
        <v/>
      </c>
      <c r="G46" s="19" t="n"/>
      <c r="H46" s="15" t="n"/>
      <c r="I46" s="19" t="n"/>
      <c r="J46" s="19" t="n"/>
      <c r="K46" s="20">
        <f>IF(AND(I46&lt;&gt;"",J46&lt;&gt;""),(J46-I46)*24,"")</f>
        <v/>
      </c>
      <c r="L46" s="15" t="n"/>
      <c r="M46" s="15" t="n"/>
      <c r="N46" s="15" t="n"/>
      <c r="O46" s="18" t="n"/>
      <c r="P46" s="15" t="n"/>
    </row>
    <row r="47">
      <c r="A47" s="15" t="n"/>
      <c r="B47" s="17">
        <f>IF(A47="","",A47&amp;" (from IMP-1)")</f>
        <v/>
      </c>
      <c r="C47" s="15" t="n"/>
      <c r="D47" s="15" t="n"/>
      <c r="E47" s="16">
        <f>IF(C47=0,0,D47/C47)</f>
        <v/>
      </c>
      <c r="F47" s="17">
        <f>IF(A47="","",IF(E47&gt;=0.95,"Compliant",IF(E47&gt;=0.8,"Partial","Non-Compliant")))</f>
        <v/>
      </c>
      <c r="G47" s="19" t="n"/>
      <c r="H47" s="15" t="n"/>
      <c r="I47" s="19" t="n"/>
      <c r="J47" s="19" t="n"/>
      <c r="K47" s="20">
        <f>IF(AND(I47&lt;&gt;"",J47&lt;&gt;""),(J47-I47)*24,"")</f>
        <v/>
      </c>
      <c r="L47" s="15" t="n"/>
      <c r="M47" s="15" t="n"/>
      <c r="N47" s="15" t="n"/>
      <c r="O47" s="18" t="n"/>
      <c r="P47" s="15" t="n"/>
    </row>
    <row r="48">
      <c r="A48" s="15" t="n"/>
      <c r="B48" s="17">
        <f>IF(A48="","",A48&amp;" (from IMP-1)")</f>
        <v/>
      </c>
      <c r="C48" s="15" t="n"/>
      <c r="D48" s="15" t="n"/>
      <c r="E48" s="16">
        <f>IF(C48=0,0,D48/C48)</f>
        <v/>
      </c>
      <c r="F48" s="17">
        <f>IF(A48="","",IF(E48&gt;=0.95,"Compliant",IF(E48&gt;=0.8,"Partial","Non-Compliant")))</f>
        <v/>
      </c>
      <c r="G48" s="19" t="n"/>
      <c r="H48" s="15" t="n"/>
      <c r="I48" s="19" t="n"/>
      <c r="J48" s="19" t="n"/>
      <c r="K48" s="20">
        <f>IF(AND(I48&lt;&gt;"",J48&lt;&gt;""),(J48-I48)*24,"")</f>
        <v/>
      </c>
      <c r="L48" s="15" t="n"/>
      <c r="M48" s="15" t="n"/>
      <c r="N48" s="15" t="n"/>
      <c r="O48" s="18" t="n"/>
      <c r="P48" s="15" t="n"/>
    </row>
    <row r="49">
      <c r="A49" s="15" t="n"/>
      <c r="B49" s="17">
        <f>IF(A49="","",A49&amp;" (from IMP-1)")</f>
        <v/>
      </c>
      <c r="C49" s="15" t="n"/>
      <c r="D49" s="15" t="n"/>
      <c r="E49" s="16">
        <f>IF(C49=0,0,D49/C49)</f>
        <v/>
      </c>
      <c r="F49" s="17">
        <f>IF(A49="","",IF(E49&gt;=0.95,"Compliant",IF(E49&gt;=0.8,"Partial","Non-Compliant")))</f>
        <v/>
      </c>
      <c r="G49" s="19" t="n"/>
      <c r="H49" s="15" t="n"/>
      <c r="I49" s="19" t="n"/>
      <c r="J49" s="19" t="n"/>
      <c r="K49" s="20">
        <f>IF(AND(I49&lt;&gt;"",J49&lt;&gt;""),(J49-I49)*24,"")</f>
        <v/>
      </c>
      <c r="L49" s="15" t="n"/>
      <c r="M49" s="15" t="n"/>
      <c r="N49" s="15" t="n"/>
      <c r="O49" s="18" t="n"/>
      <c r="P49" s="15" t="n"/>
    </row>
    <row r="50">
      <c r="A50" s="15" t="n"/>
      <c r="B50" s="17">
        <f>IF(A50="","",A50&amp;" (from IMP-1)")</f>
        <v/>
      </c>
      <c r="C50" s="15" t="n"/>
      <c r="D50" s="15" t="n"/>
      <c r="E50" s="16">
        <f>IF(C50=0,0,D50/C50)</f>
        <v/>
      </c>
      <c r="F50" s="17">
        <f>IF(A50="","",IF(E50&gt;=0.95,"Compliant",IF(E50&gt;=0.8,"Partial","Non-Compliant")))</f>
        <v/>
      </c>
      <c r="G50" s="19" t="n"/>
      <c r="H50" s="15" t="n"/>
      <c r="I50" s="19" t="n"/>
      <c r="J50" s="19" t="n"/>
      <c r="K50" s="20">
        <f>IF(AND(I50&lt;&gt;"",J50&lt;&gt;""),(J50-I50)*24,"")</f>
        <v/>
      </c>
      <c r="L50" s="15" t="n"/>
      <c r="M50" s="15" t="n"/>
      <c r="N50" s="15" t="n"/>
      <c r="O50" s="18" t="n"/>
      <c r="P50" s="15" t="n"/>
    </row>
    <row r="51">
      <c r="A51" s="15" t="n"/>
      <c r="B51" s="17">
        <f>IF(A51="","",A51&amp;" (from IMP-1)")</f>
        <v/>
      </c>
      <c r="C51" s="15" t="n"/>
      <c r="D51" s="15" t="n"/>
      <c r="E51" s="16">
        <f>IF(C51=0,0,D51/C51)</f>
        <v/>
      </c>
      <c r="F51" s="17">
        <f>IF(A51="","",IF(E51&gt;=0.95,"Compliant",IF(E51&gt;=0.8,"Partial","Non-Compliant")))</f>
        <v/>
      </c>
      <c r="G51" s="19" t="n"/>
      <c r="H51" s="15" t="n"/>
      <c r="I51" s="19" t="n"/>
      <c r="J51" s="19" t="n"/>
      <c r="K51" s="20">
        <f>IF(AND(I51&lt;&gt;"",J51&lt;&gt;""),(J51-I51)*24,"")</f>
        <v/>
      </c>
      <c r="L51" s="15" t="n"/>
      <c r="M51" s="15" t="n"/>
      <c r="N51" s="15" t="n"/>
      <c r="O51" s="18" t="n"/>
      <c r="P51" s="15" t="n"/>
    </row>
    <row r="52">
      <c r="A52" s="15" t="n"/>
      <c r="B52" s="17">
        <f>IF(A52="","",A52&amp;" (from IMP-1)")</f>
        <v/>
      </c>
      <c r="C52" s="15" t="n"/>
      <c r="D52" s="15" t="n"/>
      <c r="E52" s="16">
        <f>IF(C52=0,0,D52/C52)</f>
        <v/>
      </c>
      <c r="F52" s="17">
        <f>IF(A52="","",IF(E52&gt;=0.95,"Compliant",IF(E52&gt;=0.8,"Partial","Non-Compliant")))</f>
        <v/>
      </c>
      <c r="G52" s="19" t="n"/>
      <c r="H52" s="15" t="n"/>
      <c r="I52" s="19" t="n"/>
      <c r="J52" s="19" t="n"/>
      <c r="K52" s="20">
        <f>IF(AND(I52&lt;&gt;"",J52&lt;&gt;""),(J52-I52)*24,"")</f>
        <v/>
      </c>
      <c r="L52" s="15" t="n"/>
      <c r="M52" s="15" t="n"/>
      <c r="N52" s="15" t="n"/>
      <c r="O52" s="18" t="n"/>
      <c r="P52" s="15" t="n"/>
    </row>
    <row r="53">
      <c r="A53" s="15" t="n"/>
      <c r="B53" s="17">
        <f>IF(A53="","",A53&amp;" (from IMP-1)")</f>
        <v/>
      </c>
      <c r="C53" s="15" t="n"/>
      <c r="D53" s="15" t="n"/>
      <c r="E53" s="16">
        <f>IF(C53=0,0,D53/C53)</f>
        <v/>
      </c>
      <c r="F53" s="17">
        <f>IF(A53="","",IF(E53&gt;=0.95,"Compliant",IF(E53&gt;=0.8,"Partial","Non-Compliant")))</f>
        <v/>
      </c>
      <c r="G53" s="19" t="n"/>
      <c r="H53" s="15" t="n"/>
      <c r="I53" s="19" t="n"/>
      <c r="J53" s="19" t="n"/>
      <c r="K53" s="20">
        <f>IF(AND(I53&lt;&gt;"",J53&lt;&gt;""),(J53-I53)*24,"")</f>
        <v/>
      </c>
      <c r="L53" s="15" t="n"/>
      <c r="M53" s="15" t="n"/>
      <c r="N53" s="15" t="n"/>
      <c r="O53" s="18" t="n"/>
      <c r="P53" s="15" t="n"/>
    </row>
    <row r="54">
      <c r="A54" s="15" t="n"/>
      <c r="B54" s="17">
        <f>IF(A54="","",A54&amp;" (from IMP-1)")</f>
        <v/>
      </c>
      <c r="C54" s="15" t="n"/>
      <c r="D54" s="15" t="n"/>
      <c r="E54" s="16">
        <f>IF(C54=0,0,D54/C54)</f>
        <v/>
      </c>
      <c r="F54" s="17">
        <f>IF(A54="","",IF(E54&gt;=0.95,"Compliant",IF(E54&gt;=0.8,"Partial","Non-Compliant")))</f>
        <v/>
      </c>
      <c r="G54" s="19" t="n"/>
      <c r="H54" s="15" t="n"/>
      <c r="I54" s="19" t="n"/>
      <c r="J54" s="19" t="n"/>
      <c r="K54" s="20">
        <f>IF(AND(I54&lt;&gt;"",J54&lt;&gt;""),(J54-I54)*24,"")</f>
        <v/>
      </c>
      <c r="L54" s="15" t="n"/>
      <c r="M54" s="15" t="n"/>
      <c r="N54" s="15" t="n"/>
      <c r="O54" s="18" t="n"/>
      <c r="P54" s="15" t="n"/>
    </row>
    <row r="55">
      <c r="A55" s="15" t="n"/>
      <c r="B55" s="17">
        <f>IF(A55="","",A55&amp;" (from IMP-1)")</f>
        <v/>
      </c>
      <c r="C55" s="15" t="n"/>
      <c r="D55" s="15" t="n"/>
      <c r="E55" s="16">
        <f>IF(C55=0,0,D55/C55)</f>
        <v/>
      </c>
      <c r="F55" s="17">
        <f>IF(A55="","",IF(E55&gt;=0.95,"Compliant",IF(E55&gt;=0.8,"Partial","Non-Compliant")))</f>
        <v/>
      </c>
      <c r="G55" s="19" t="n"/>
      <c r="H55" s="15" t="n"/>
      <c r="I55" s="19" t="n"/>
      <c r="J55" s="19" t="n"/>
      <c r="K55" s="20">
        <f>IF(AND(I55&lt;&gt;"",J55&lt;&gt;""),(J55-I55)*24,"")</f>
        <v/>
      </c>
      <c r="L55" s="15" t="n"/>
      <c r="M55" s="15" t="n"/>
      <c r="N55" s="15" t="n"/>
      <c r="O55" s="18" t="n"/>
      <c r="P55" s="15" t="n"/>
    </row>
  </sheetData>
  <mergeCells count="2">
    <mergeCell ref="A1:P1"/>
    <mergeCell ref="A2:P2"/>
  </mergeCells>
  <conditionalFormatting sqref="E9:E200">
    <cfRule type="cellIs" priority="1" operator="greaterThanOrEqual" dxfId="0">
      <formula>0.95</formula>
    </cfRule>
    <cfRule type="cellIs" priority="2" operator="between" dxfId="1">
      <formula>0.8</formula>
      <formula>0.94</formula>
    </cfRule>
    <cfRule type="cellIs" priority="3" operator="lessThan" dxfId="2">
      <formula>0.8</formula>
    </cfRule>
  </conditionalFormatting>
  <dataValidations count="2">
    <dataValidation sqref="H6:H55" showDropDown="0" showInputMessage="0" showErrorMessage="0" allowBlank="1" type="list">
      <formula1>"Yes,No"</formula1>
    </dataValidation>
    <dataValidation sqref="L6:L55" showDropDown="0" showInputMessage="0" showErrorMessage="0" allowBlank="1" type="list">
      <formula1>"Network Issue,Forwarder Down,Source Down,SIEM Issue,Configuration Error,Unknown"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25" customWidth="1" min="4" max="4"/>
    <col width="20" customWidth="1" min="5" max="5"/>
    <col width="30" customWidth="1" min="6" max="6"/>
    <col width="20" customWidth="1" min="7" max="7"/>
    <col width="15" customWidth="1" min="8" max="8"/>
    <col width="15" customWidth="1" min="9" max="9"/>
    <col width="15" customWidth="1" min="10" max="10"/>
    <col width="20" customWidth="1" min="11" max="11"/>
    <col width="15" customWidth="1" min="12" max="12"/>
    <col width="15" customWidth="1" min="13" max="13"/>
    <col width="40" customWidth="1" min="14" max="14"/>
  </cols>
  <sheetData>
    <row r="1" ht="35" customHeight="1">
      <c r="A1" s="11" t="inlineStr">
        <is>
          <t>INTEGRATION ARCHITECTURE</t>
        </is>
      </c>
    </row>
    <row r="2">
      <c r="A2" s="12" t="inlineStr">
        <is>
          <t>Document log flow architecture and integration points</t>
        </is>
      </c>
    </row>
    <row r="4">
      <c r="A4" s="13" t="inlineStr">
        <is>
          <t>Integration Point</t>
        </is>
      </c>
      <c r="B4" s="13" t="inlineStr">
        <is>
          <t>Source Type</t>
        </is>
      </c>
      <c r="C4" s="13" t="inlineStr">
        <is>
          <t>Source Count</t>
        </is>
      </c>
      <c r="D4" s="13" t="inlineStr">
        <is>
          <t>Collection Method</t>
        </is>
      </c>
      <c r="E4" s="13" t="inlineStr">
        <is>
          <t>Intermediate Hops</t>
        </is>
      </c>
      <c r="F4" s="13" t="inlineStr">
        <is>
          <t>Network Path</t>
        </is>
      </c>
      <c r="G4" s="13" t="inlineStr">
        <is>
          <t>Bandwidth Required</t>
        </is>
      </c>
      <c r="H4" s="13" t="inlineStr">
        <is>
          <t>Latency Target</t>
        </is>
      </c>
      <c r="I4" s="13" t="inlineStr">
        <is>
          <t>Current Latency</t>
        </is>
      </c>
      <c r="J4" s="13" t="inlineStr">
        <is>
          <t>Redundancy</t>
        </is>
      </c>
      <c r="K4" s="13" t="inlineStr">
        <is>
          <t>Single Point of Failure</t>
        </is>
      </c>
      <c r="L4" s="13" t="inlineStr">
        <is>
          <t>DR Capability</t>
        </is>
      </c>
      <c r="M4" s="13" t="inlineStr">
        <is>
          <t>Bottleneck Risk</t>
        </is>
      </c>
      <c r="N4" s="13" t="inlineStr">
        <is>
          <t>Notes</t>
        </is>
      </c>
    </row>
    <row r="5">
      <c r="A5" s="14" t="inlineStr">
        <is>
          <t>Web Servers → SIEM</t>
        </is>
      </c>
      <c r="B5" s="14" t="inlineStr">
        <is>
          <t>Server</t>
        </is>
      </c>
      <c r="C5" s="14" t="inlineStr">
        <is>
          <t>50</t>
        </is>
      </c>
      <c r="D5" s="14" t="inlineStr">
        <is>
          <t>Agent-based</t>
        </is>
      </c>
      <c r="E5" s="14" t="inlineStr">
        <is>
          <t>1</t>
        </is>
      </c>
      <c r="F5" s="14" t="inlineStr">
        <is>
          <t>Prod VLAN → Log Concentrator → SIEM VLAN</t>
        </is>
      </c>
      <c r="G5" s="14" t="inlineStr">
        <is>
          <t>100 Mbps</t>
        </is>
      </c>
      <c r="H5" s="14" t="inlineStr">
        <is>
          <t>&lt;1 min</t>
        </is>
      </c>
      <c r="I5" s="14" t="inlineStr">
        <is>
          <t>30 sec</t>
        </is>
      </c>
      <c r="J5" s="14" t="inlineStr">
        <is>
          <t>Active/Active</t>
        </is>
      </c>
      <c r="K5" s="14" t="inlineStr">
        <is>
          <t>No</t>
        </is>
      </c>
      <c r="L5" s="14" t="inlineStr">
        <is>
          <t>Yes</t>
        </is>
      </c>
      <c r="M5" s="14" t="inlineStr">
        <is>
          <t>Low</t>
        </is>
      </c>
      <c r="N5" s="14" t="inlineStr">
        <is>
          <t>Direct forwarder deployment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</row>
    <row r="60">
      <c r="A60" s="12" t="inlineStr">
        <is>
          <t>ARCHITECTURE DIAGRAM</t>
        </is>
      </c>
    </row>
    <row r="61">
      <c r="A61" s="21" t="inlineStr">
        <is>
          <t>Insert or link to architecture diagram showing complete log flow:
Sources → Forwarders → SIEM → Storage
Include network paths, ports, protocols, and redundancy.</t>
        </is>
      </c>
    </row>
    <row r="62"/>
    <row r="63"/>
    <row r="64"/>
    <row r="65"/>
    <row r="66"/>
    <row r="67"/>
    <row r="68"/>
    <row r="69"/>
    <row r="70"/>
    <row r="71"/>
  </sheetData>
  <mergeCells count="4">
    <mergeCell ref="A61:N71"/>
    <mergeCell ref="A60:N60"/>
    <mergeCell ref="A2:N2"/>
    <mergeCell ref="A1:N1"/>
  </mergeCells>
  <dataValidations count="6">
    <dataValidation sqref="B6:B55" showDropDown="0" showInputMessage="0" showErrorMessage="0" allowBlank="1" type="list">
      <formula1>"Server,Network Device,Application,Cloud Service,Security Tool,Container,Other"</formula1>
    </dataValidation>
    <dataValidation sqref="D6:D55" showDropDown="0" showInputMessage="0" showErrorMessage="0" allowBlank="1" type="list">
      <formula1>"Agent-based,Agentless/Syslog,API Pull,API Push,File Collection,Stream Processing"</formula1>
    </dataValidation>
    <dataValidation sqref="J6:J55" showDropDown="0" showInputMessage="0" showErrorMessage="0" allowBlank="1" type="list">
      <formula1>"None,Active/Passive,Active/Active"</formula1>
    </dataValidation>
    <dataValidation sqref="K6:K55" showDropDown="0" showInputMessage="0" showErrorMessage="0" allowBlank="1" type="list">
      <formula1>"Yes,No,Mitigated"</formula1>
    </dataValidation>
    <dataValidation sqref="L6:L55" showDropDown="0" showInputMessage="0" showErrorMessage="0" allowBlank="1" type="list">
      <formula1>"Yes,No,Partial"</formula1>
    </dataValidation>
    <dataValidation sqref="M6:M55" showDropDown="0" showInputMessage="0" showErrorMessage="0" allowBlank="1" type="list">
      <formula1>"High,Medium,Low,None"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5" customWidth="1" min="7" max="7"/>
    <col width="20" customWidth="1" min="8" max="8"/>
    <col width="20" customWidth="1" min="9" max="9"/>
    <col width="20" customWidth="1" min="10" max="10"/>
    <col width="15" customWidth="1" min="11" max="11"/>
    <col width="30" customWidth="1" min="12" max="12"/>
    <col width="15" customWidth="1" min="13" max="13"/>
    <col width="20" customWidth="1" min="14" max="14"/>
    <col width="40" customWidth="1" min="15" max="15"/>
  </cols>
  <sheetData>
    <row r="1" ht="35" customHeight="1">
      <c r="A1" s="11" t="inlineStr">
        <is>
          <t>SIEM STORAGE &amp; CAPACITY</t>
        </is>
      </c>
    </row>
    <row r="2">
      <c r="A2" s="12" t="inlineStr">
        <is>
          <t>Assess storage capacity, growth trends, and capacity planning</t>
        </is>
      </c>
    </row>
    <row r="4">
      <c r="A4" s="13" t="inlineStr">
        <is>
          <t>Storage Component</t>
        </is>
      </c>
      <c r="B4" s="13" t="inlineStr">
        <is>
          <t>Technology</t>
        </is>
      </c>
      <c r="C4" s="13" t="inlineStr">
        <is>
          <t>Total Capacity (TB)</t>
        </is>
      </c>
      <c r="D4" s="13" t="inlineStr">
        <is>
          <t>Used Capacity (TB)</t>
        </is>
      </c>
      <c r="E4" s="13" t="inlineStr">
        <is>
          <t>Free Capacity (TB)</t>
        </is>
      </c>
      <c r="F4" s="13" t="inlineStr">
        <is>
          <t>% Used</t>
        </is>
      </c>
      <c r="G4" s="13" t="inlineStr">
        <is>
          <t>Status</t>
        </is>
      </c>
      <c r="H4" s="13" t="inlineStr">
        <is>
          <t>Retention Period</t>
        </is>
      </c>
      <c r="I4" s="13" t="inlineStr">
        <is>
          <t>Avg Daily Ingest (GB)</t>
        </is>
      </c>
      <c r="J4" s="13" t="inlineStr">
        <is>
          <t>Growth Rate %/Month</t>
        </is>
      </c>
      <c r="K4" s="13" t="inlineStr">
        <is>
          <t>Days Until Full</t>
        </is>
      </c>
      <c r="L4" s="13" t="inlineStr">
        <is>
          <t>Expansion Plan</t>
        </is>
      </c>
      <c r="M4" s="13" t="inlineStr">
        <is>
          <t>Expansion Date</t>
        </is>
      </c>
      <c r="N4" s="13" t="inlineStr">
        <is>
          <t>Cost per TB/Month</t>
        </is>
      </c>
      <c r="O4" s="13" t="inlineStr">
        <is>
          <t>Notes</t>
        </is>
      </c>
    </row>
    <row r="5">
      <c r="A5" s="14" t="inlineStr">
        <is>
          <t>Hot Storage</t>
        </is>
      </c>
      <c r="B5" s="14" t="inlineStr">
        <is>
          <t>Local SSD</t>
        </is>
      </c>
      <c r="C5" s="14" t="inlineStr">
        <is>
          <t>50</t>
        </is>
      </c>
      <c r="D5" s="14" t="inlineStr">
        <is>
          <t>32</t>
        </is>
      </c>
      <c r="E5" s="14" t="inlineStr">
        <is>
          <t>18</t>
        </is>
      </c>
      <c r="F5" s="14" t="inlineStr">
        <is>
          <t>64%</t>
        </is>
      </c>
      <c r="G5" s="14" t="inlineStr">
        <is>
          <t>OK</t>
        </is>
      </c>
      <c r="H5" s="14" t="inlineStr">
        <is>
          <t>90 days</t>
        </is>
      </c>
      <c r="I5" s="14" t="inlineStr">
        <is>
          <t>350</t>
        </is>
      </c>
      <c r="J5" s="14" t="inlineStr">
        <is>
          <t>5</t>
        </is>
      </c>
      <c r="K5" s="14" t="inlineStr">
        <is>
          <t>51</t>
        </is>
      </c>
      <c r="L5" s="14" t="inlineStr">
        <is>
          <t>Not Needed</t>
        </is>
      </c>
      <c r="M5" s="14" t="inlineStr"/>
      <c r="N5" s="14" t="inlineStr">
        <is>
          <t>CHF 15</t>
        </is>
      </c>
      <c r="O5" s="14" t="inlineStr">
        <is>
          <t>Primary indexer storage</t>
        </is>
      </c>
    </row>
    <row r="6">
      <c r="A6" s="15" t="n"/>
      <c r="B6" s="15" t="n"/>
      <c r="C6" s="15" t="n"/>
      <c r="D6" s="15" t="n"/>
      <c r="E6" s="17">
        <f>IF(C6="","",C6-D6)</f>
        <v/>
      </c>
      <c r="F6" s="16">
        <f>IF(C6=0,0,D6/C6)</f>
        <v/>
      </c>
      <c r="G6" s="17">
        <f>IF(A6="","",IF(F6&gt;0.85,"Critical",IF(F6&gt;0.7,"Warning","OK")))</f>
        <v/>
      </c>
      <c r="H6" s="15" t="n"/>
      <c r="I6" s="15" t="n"/>
      <c r="J6" s="15" t="n"/>
      <c r="K6" s="22">
        <f>IF(OR(I6=0,E6=""),"N/A",(E6*1024)/I6)</f>
        <v/>
      </c>
      <c r="L6" s="15" t="n"/>
      <c r="M6" s="18" t="n"/>
      <c r="N6" s="15" t="n"/>
      <c r="O6" s="15" t="n"/>
    </row>
    <row r="7">
      <c r="A7" s="15" t="n"/>
      <c r="B7" s="15" t="n"/>
      <c r="C7" s="15" t="n"/>
      <c r="D7" s="15" t="n"/>
      <c r="E7" s="17">
        <f>IF(C7="","",C7-D7)</f>
        <v/>
      </c>
      <c r="F7" s="16">
        <f>IF(C7=0,0,D7/C7)</f>
        <v/>
      </c>
      <c r="G7" s="17">
        <f>IF(A7="","",IF(F7&gt;0.85,"Critical",IF(F7&gt;0.7,"Warning","OK")))</f>
        <v/>
      </c>
      <c r="H7" s="15" t="n"/>
      <c r="I7" s="15" t="n"/>
      <c r="J7" s="15" t="n"/>
      <c r="K7" s="22">
        <f>IF(OR(I7=0,E7=""),"N/A",(E7*1024)/I7)</f>
        <v/>
      </c>
      <c r="L7" s="15" t="n"/>
      <c r="M7" s="18" t="n"/>
      <c r="N7" s="15" t="n"/>
      <c r="O7" s="15" t="n"/>
    </row>
    <row r="8">
      <c r="A8" s="15" t="n"/>
      <c r="B8" s="15" t="n"/>
      <c r="C8" s="15" t="n"/>
      <c r="D8" s="15" t="n"/>
      <c r="E8" s="17">
        <f>IF(C8="","",C8-D8)</f>
        <v/>
      </c>
      <c r="F8" s="16">
        <f>IF(C8=0,0,D8/C8)</f>
        <v/>
      </c>
      <c r="G8" s="17">
        <f>IF(A8="","",IF(F8&gt;0.85,"Critical",IF(F8&gt;0.7,"Warning","OK")))</f>
        <v/>
      </c>
      <c r="H8" s="15" t="n"/>
      <c r="I8" s="15" t="n"/>
      <c r="J8" s="15" t="n"/>
      <c r="K8" s="22">
        <f>IF(OR(I8=0,E8=""),"N/A",(E8*1024)/I8)</f>
        <v/>
      </c>
      <c r="L8" s="15" t="n"/>
      <c r="M8" s="18" t="n"/>
      <c r="N8" s="15" t="n"/>
      <c r="O8" s="15" t="n"/>
    </row>
    <row r="9">
      <c r="A9" s="15" t="n"/>
      <c r="B9" s="15" t="n"/>
      <c r="C9" s="15" t="n"/>
      <c r="D9" s="15" t="n"/>
      <c r="E9" s="17">
        <f>IF(C9="","",C9-D9)</f>
        <v/>
      </c>
      <c r="F9" s="16">
        <f>IF(C9=0,0,D9/C9)</f>
        <v/>
      </c>
      <c r="G9" s="17">
        <f>IF(A9="","",IF(F9&gt;0.85,"Critical",IF(F9&gt;0.7,"Warning","OK")))</f>
        <v/>
      </c>
      <c r="H9" s="15" t="n"/>
      <c r="I9" s="15" t="n"/>
      <c r="J9" s="15" t="n"/>
      <c r="K9" s="22">
        <f>IF(OR(I9=0,E9=""),"N/A",(E9*1024)/I9)</f>
        <v/>
      </c>
      <c r="L9" s="15" t="n"/>
      <c r="M9" s="18" t="n"/>
      <c r="N9" s="15" t="n"/>
      <c r="O9" s="15" t="n"/>
    </row>
    <row r="10">
      <c r="A10" s="15" t="n"/>
      <c r="B10" s="15" t="n"/>
      <c r="C10" s="15" t="n"/>
      <c r="D10" s="15" t="n"/>
      <c r="E10" s="17">
        <f>IF(C10="","",C10-D10)</f>
        <v/>
      </c>
      <c r="F10" s="16">
        <f>IF(C10=0,0,D10/C10)</f>
        <v/>
      </c>
      <c r="G10" s="17">
        <f>IF(A10="","",IF(F10&gt;0.85,"Critical",IF(F10&gt;0.7,"Warning","OK")))</f>
        <v/>
      </c>
      <c r="H10" s="15" t="n"/>
      <c r="I10" s="15" t="n"/>
      <c r="J10" s="15" t="n"/>
      <c r="K10" s="22">
        <f>IF(OR(I10=0,E10=""),"N/A",(E10*1024)/I10)</f>
        <v/>
      </c>
      <c r="L10" s="15" t="n"/>
      <c r="M10" s="18" t="n"/>
      <c r="N10" s="15" t="n"/>
      <c r="O10" s="15" t="n"/>
    </row>
    <row r="11">
      <c r="A11" s="15" t="n"/>
      <c r="B11" s="15" t="n"/>
      <c r="C11" s="15" t="n"/>
      <c r="D11" s="15" t="n"/>
      <c r="E11" s="17">
        <f>IF(C11="","",C11-D11)</f>
        <v/>
      </c>
      <c r="F11" s="16">
        <f>IF(C11=0,0,D11/C11)</f>
        <v/>
      </c>
      <c r="G11" s="17">
        <f>IF(A11="","",IF(F11&gt;0.85,"Critical",IF(F11&gt;0.7,"Warning","OK")))</f>
        <v/>
      </c>
      <c r="H11" s="15" t="n"/>
      <c r="I11" s="15" t="n"/>
      <c r="J11" s="15" t="n"/>
      <c r="K11" s="22">
        <f>IF(OR(I11=0,E11=""),"N/A",(E11*1024)/I11)</f>
        <v/>
      </c>
      <c r="L11" s="15" t="n"/>
      <c r="M11" s="18" t="n"/>
      <c r="N11" s="15" t="n"/>
      <c r="O11" s="15" t="n"/>
    </row>
    <row r="12">
      <c r="A12" s="15" t="n"/>
      <c r="B12" s="15" t="n"/>
      <c r="C12" s="15" t="n"/>
      <c r="D12" s="15" t="n"/>
      <c r="E12" s="17">
        <f>IF(C12="","",C12-D12)</f>
        <v/>
      </c>
      <c r="F12" s="16">
        <f>IF(C12=0,0,D12/C12)</f>
        <v/>
      </c>
      <c r="G12" s="17">
        <f>IF(A12="","",IF(F12&gt;0.85,"Critical",IF(F12&gt;0.7,"Warning","OK")))</f>
        <v/>
      </c>
      <c r="H12" s="15" t="n"/>
      <c r="I12" s="15" t="n"/>
      <c r="J12" s="15" t="n"/>
      <c r="K12" s="22">
        <f>IF(OR(I12=0,E12=""),"N/A",(E12*1024)/I12)</f>
        <v/>
      </c>
      <c r="L12" s="15" t="n"/>
      <c r="M12" s="18" t="n"/>
      <c r="N12" s="15" t="n"/>
      <c r="O12" s="15" t="n"/>
    </row>
    <row r="13">
      <c r="A13" s="15" t="n"/>
      <c r="B13" s="15" t="n"/>
      <c r="C13" s="15" t="n"/>
      <c r="D13" s="15" t="n"/>
      <c r="E13" s="17">
        <f>IF(C13="","",C13-D13)</f>
        <v/>
      </c>
      <c r="F13" s="16">
        <f>IF(C13=0,0,D13/C13)</f>
        <v/>
      </c>
      <c r="G13" s="17">
        <f>IF(A13="","",IF(F13&gt;0.85,"Critical",IF(F13&gt;0.7,"Warning","OK")))</f>
        <v/>
      </c>
      <c r="H13" s="15" t="n"/>
      <c r="I13" s="15" t="n"/>
      <c r="J13" s="15" t="n"/>
      <c r="K13" s="22">
        <f>IF(OR(I13=0,E13=""),"N/A",(E13*1024)/I13)</f>
        <v/>
      </c>
      <c r="L13" s="15" t="n"/>
      <c r="M13" s="18" t="n"/>
      <c r="N13" s="15" t="n"/>
      <c r="O13" s="15" t="n"/>
    </row>
    <row r="14">
      <c r="A14" s="15" t="n"/>
      <c r="B14" s="15" t="n"/>
      <c r="C14" s="15" t="n"/>
      <c r="D14" s="15" t="n"/>
      <c r="E14" s="17">
        <f>IF(C14="","",C14-D14)</f>
        <v/>
      </c>
      <c r="F14" s="16">
        <f>IF(C14=0,0,D14/C14)</f>
        <v/>
      </c>
      <c r="G14" s="17">
        <f>IF(A14="","",IF(F14&gt;0.85,"Critical",IF(F14&gt;0.7,"Warning","OK")))</f>
        <v/>
      </c>
      <c r="H14" s="15" t="n"/>
      <c r="I14" s="15" t="n"/>
      <c r="J14" s="15" t="n"/>
      <c r="K14" s="22">
        <f>IF(OR(I14=0,E14=""),"N/A",(E14*1024)/I14)</f>
        <v/>
      </c>
      <c r="L14" s="15" t="n"/>
      <c r="M14" s="18" t="n"/>
      <c r="N14" s="15" t="n"/>
      <c r="O14" s="15" t="n"/>
    </row>
    <row r="15">
      <c r="A15" s="15" t="n"/>
      <c r="B15" s="15" t="n"/>
      <c r="C15" s="15" t="n"/>
      <c r="D15" s="15" t="n"/>
      <c r="E15" s="17">
        <f>IF(C15="","",C15-D15)</f>
        <v/>
      </c>
      <c r="F15" s="16">
        <f>IF(C15=0,0,D15/C15)</f>
        <v/>
      </c>
      <c r="G15" s="17">
        <f>IF(A15="","",IF(F15&gt;0.85,"Critical",IF(F15&gt;0.7,"Warning","OK")))</f>
        <v/>
      </c>
      <c r="H15" s="15" t="n"/>
      <c r="I15" s="15" t="n"/>
      <c r="J15" s="15" t="n"/>
      <c r="K15" s="22">
        <f>IF(OR(I15=0,E15=""),"N/A",(E15*1024)/I15)</f>
        <v/>
      </c>
      <c r="L15" s="15" t="n"/>
      <c r="M15" s="18" t="n"/>
      <c r="N15" s="15" t="n"/>
      <c r="O15" s="15" t="n"/>
    </row>
    <row r="16">
      <c r="A16" s="15" t="n"/>
      <c r="B16" s="15" t="n"/>
      <c r="C16" s="15" t="n"/>
      <c r="D16" s="15" t="n"/>
      <c r="E16" s="17">
        <f>IF(C16="","",C16-D16)</f>
        <v/>
      </c>
      <c r="F16" s="16">
        <f>IF(C16=0,0,D16/C16)</f>
        <v/>
      </c>
      <c r="G16" s="17">
        <f>IF(A16="","",IF(F16&gt;0.85,"Critical",IF(F16&gt;0.7,"Warning","OK")))</f>
        <v/>
      </c>
      <c r="H16" s="15" t="n"/>
      <c r="I16" s="15" t="n"/>
      <c r="J16" s="15" t="n"/>
      <c r="K16" s="22">
        <f>IF(OR(I16=0,E16=""),"N/A",(E16*1024)/I16)</f>
        <v/>
      </c>
      <c r="L16" s="15" t="n"/>
      <c r="M16" s="18" t="n"/>
      <c r="N16" s="15" t="n"/>
      <c r="O16" s="15" t="n"/>
    </row>
    <row r="17">
      <c r="A17" s="15" t="n"/>
      <c r="B17" s="15" t="n"/>
      <c r="C17" s="15" t="n"/>
      <c r="D17" s="15" t="n"/>
      <c r="E17" s="17">
        <f>IF(C17="","",C17-D17)</f>
        <v/>
      </c>
      <c r="F17" s="16">
        <f>IF(C17=0,0,D17/C17)</f>
        <v/>
      </c>
      <c r="G17" s="17">
        <f>IF(A17="","",IF(F17&gt;0.85,"Critical",IF(F17&gt;0.7,"Warning","OK")))</f>
        <v/>
      </c>
      <c r="H17" s="15" t="n"/>
      <c r="I17" s="15" t="n"/>
      <c r="J17" s="15" t="n"/>
      <c r="K17" s="22">
        <f>IF(OR(I17=0,E17=""),"N/A",(E17*1024)/I17)</f>
        <v/>
      </c>
      <c r="L17" s="15" t="n"/>
      <c r="M17" s="18" t="n"/>
      <c r="N17" s="15" t="n"/>
      <c r="O17" s="15" t="n"/>
    </row>
    <row r="18">
      <c r="A18" s="15" t="n"/>
      <c r="B18" s="15" t="n"/>
      <c r="C18" s="15" t="n"/>
      <c r="D18" s="15" t="n"/>
      <c r="E18" s="17">
        <f>IF(C18="","",C18-D18)</f>
        <v/>
      </c>
      <c r="F18" s="16">
        <f>IF(C18=0,0,D18/C18)</f>
        <v/>
      </c>
      <c r="G18" s="17">
        <f>IF(A18="","",IF(F18&gt;0.85,"Critical",IF(F18&gt;0.7,"Warning","OK")))</f>
        <v/>
      </c>
      <c r="H18" s="15" t="n"/>
      <c r="I18" s="15" t="n"/>
      <c r="J18" s="15" t="n"/>
      <c r="K18" s="22">
        <f>IF(OR(I18=0,E18=""),"N/A",(E18*1024)/I18)</f>
        <v/>
      </c>
      <c r="L18" s="15" t="n"/>
      <c r="M18" s="18" t="n"/>
      <c r="N18" s="15" t="n"/>
      <c r="O18" s="15" t="n"/>
    </row>
    <row r="19">
      <c r="A19" s="15" t="n"/>
      <c r="B19" s="15" t="n"/>
      <c r="C19" s="15" t="n"/>
      <c r="D19" s="15" t="n"/>
      <c r="E19" s="17">
        <f>IF(C19="","",C19-D19)</f>
        <v/>
      </c>
      <c r="F19" s="16">
        <f>IF(C19=0,0,D19/C19)</f>
        <v/>
      </c>
      <c r="G19" s="17">
        <f>IF(A19="","",IF(F19&gt;0.85,"Critical",IF(F19&gt;0.7,"Warning","OK")))</f>
        <v/>
      </c>
      <c r="H19" s="15" t="n"/>
      <c r="I19" s="15" t="n"/>
      <c r="J19" s="15" t="n"/>
      <c r="K19" s="22">
        <f>IF(OR(I19=0,E19=""),"N/A",(E19*1024)/I19)</f>
        <v/>
      </c>
      <c r="L19" s="15" t="n"/>
      <c r="M19" s="18" t="n"/>
      <c r="N19" s="15" t="n"/>
      <c r="O19" s="15" t="n"/>
    </row>
    <row r="20">
      <c r="A20" s="15" t="n"/>
      <c r="B20" s="15" t="n"/>
      <c r="C20" s="15" t="n"/>
      <c r="D20" s="15" t="n"/>
      <c r="E20" s="17">
        <f>IF(C20="","",C20-D20)</f>
        <v/>
      </c>
      <c r="F20" s="16">
        <f>IF(C20=0,0,D20/C20)</f>
        <v/>
      </c>
      <c r="G20" s="17">
        <f>IF(A20="","",IF(F20&gt;0.85,"Critical",IF(F20&gt;0.7,"Warning","OK")))</f>
        <v/>
      </c>
      <c r="H20" s="15" t="n"/>
      <c r="I20" s="15" t="n"/>
      <c r="J20" s="15" t="n"/>
      <c r="K20" s="22">
        <f>IF(OR(I20=0,E20=""),"N/A",(E20*1024)/I20)</f>
        <v/>
      </c>
      <c r="L20" s="15" t="n"/>
      <c r="M20" s="18" t="n"/>
      <c r="N20" s="15" t="n"/>
      <c r="O20" s="15" t="n"/>
    </row>
    <row r="21">
      <c r="A21" s="15" t="n"/>
      <c r="B21" s="15" t="n"/>
      <c r="C21" s="15" t="n"/>
      <c r="D21" s="15" t="n"/>
      <c r="E21" s="17">
        <f>IF(C21="","",C21-D21)</f>
        <v/>
      </c>
      <c r="F21" s="16">
        <f>IF(C21=0,0,D21/C21)</f>
        <v/>
      </c>
      <c r="G21" s="17">
        <f>IF(A21="","",IF(F21&gt;0.85,"Critical",IF(F21&gt;0.7,"Warning","OK")))</f>
        <v/>
      </c>
      <c r="H21" s="15" t="n"/>
      <c r="I21" s="15" t="n"/>
      <c r="J21" s="15" t="n"/>
      <c r="K21" s="22">
        <f>IF(OR(I21=0,E21=""),"N/A",(E21*1024)/I21)</f>
        <v/>
      </c>
      <c r="L21" s="15" t="n"/>
      <c r="M21" s="18" t="n"/>
      <c r="N21" s="15" t="n"/>
      <c r="O21" s="15" t="n"/>
    </row>
    <row r="22">
      <c r="A22" s="15" t="n"/>
      <c r="B22" s="15" t="n"/>
      <c r="C22" s="15" t="n"/>
      <c r="D22" s="15" t="n"/>
      <c r="E22" s="17">
        <f>IF(C22="","",C22-D22)</f>
        <v/>
      </c>
      <c r="F22" s="16">
        <f>IF(C22=0,0,D22/C22)</f>
        <v/>
      </c>
      <c r="G22" s="17">
        <f>IF(A22="","",IF(F22&gt;0.85,"Critical",IF(F22&gt;0.7,"Warning","OK")))</f>
        <v/>
      </c>
      <c r="H22" s="15" t="n"/>
      <c r="I22" s="15" t="n"/>
      <c r="J22" s="15" t="n"/>
      <c r="K22" s="22">
        <f>IF(OR(I22=0,E22=""),"N/A",(E22*1024)/I22)</f>
        <v/>
      </c>
      <c r="L22" s="15" t="n"/>
      <c r="M22" s="18" t="n"/>
      <c r="N22" s="15" t="n"/>
      <c r="O22" s="15" t="n"/>
    </row>
    <row r="23">
      <c r="A23" s="15" t="n"/>
      <c r="B23" s="15" t="n"/>
      <c r="C23" s="15" t="n"/>
      <c r="D23" s="15" t="n"/>
      <c r="E23" s="17">
        <f>IF(C23="","",C23-D23)</f>
        <v/>
      </c>
      <c r="F23" s="16">
        <f>IF(C23=0,0,D23/C23)</f>
        <v/>
      </c>
      <c r="G23" s="17">
        <f>IF(A23="","",IF(F23&gt;0.85,"Critical",IF(F23&gt;0.7,"Warning","OK")))</f>
        <v/>
      </c>
      <c r="H23" s="15" t="n"/>
      <c r="I23" s="15" t="n"/>
      <c r="J23" s="15" t="n"/>
      <c r="K23" s="22">
        <f>IF(OR(I23=0,E23=""),"N/A",(E23*1024)/I23)</f>
        <v/>
      </c>
      <c r="L23" s="15" t="n"/>
      <c r="M23" s="18" t="n"/>
      <c r="N23" s="15" t="n"/>
      <c r="O23" s="15" t="n"/>
    </row>
    <row r="24">
      <c r="A24" s="15" t="n"/>
      <c r="B24" s="15" t="n"/>
      <c r="C24" s="15" t="n"/>
      <c r="D24" s="15" t="n"/>
      <c r="E24" s="17">
        <f>IF(C24="","",C24-D24)</f>
        <v/>
      </c>
      <c r="F24" s="16">
        <f>IF(C24=0,0,D24/C24)</f>
        <v/>
      </c>
      <c r="G24" s="17">
        <f>IF(A24="","",IF(F24&gt;0.85,"Critical",IF(F24&gt;0.7,"Warning","OK")))</f>
        <v/>
      </c>
      <c r="H24" s="15" t="n"/>
      <c r="I24" s="15" t="n"/>
      <c r="J24" s="15" t="n"/>
      <c r="K24" s="22">
        <f>IF(OR(I24=0,E24=""),"N/A",(E24*1024)/I24)</f>
        <v/>
      </c>
      <c r="L24" s="15" t="n"/>
      <c r="M24" s="18" t="n"/>
      <c r="N24" s="15" t="n"/>
      <c r="O24" s="15" t="n"/>
    </row>
    <row r="25">
      <c r="A25" s="15" t="n"/>
      <c r="B25" s="15" t="n"/>
      <c r="C25" s="15" t="n"/>
      <c r="D25" s="15" t="n"/>
      <c r="E25" s="17">
        <f>IF(C25="","",C25-D25)</f>
        <v/>
      </c>
      <c r="F25" s="16">
        <f>IF(C25=0,0,D25/C25)</f>
        <v/>
      </c>
      <c r="G25" s="17">
        <f>IF(A25="","",IF(F25&gt;0.85,"Critical",IF(F25&gt;0.7,"Warning","OK")))</f>
        <v/>
      </c>
      <c r="H25" s="15" t="n"/>
      <c r="I25" s="15" t="n"/>
      <c r="J25" s="15" t="n"/>
      <c r="K25" s="22">
        <f>IF(OR(I25=0,E25=""),"N/A",(E25*1024)/I25)</f>
        <v/>
      </c>
      <c r="L25" s="15" t="n"/>
      <c r="M25" s="18" t="n"/>
      <c r="N25" s="15" t="n"/>
      <c r="O25" s="15" t="n"/>
    </row>
    <row r="26">
      <c r="A26" s="15" t="n"/>
      <c r="B26" s="15" t="n"/>
      <c r="C26" s="15" t="n"/>
      <c r="D26" s="15" t="n"/>
      <c r="E26" s="17">
        <f>IF(C26="","",C26-D26)</f>
        <v/>
      </c>
      <c r="F26" s="16">
        <f>IF(C26=0,0,D26/C26)</f>
        <v/>
      </c>
      <c r="G26" s="17">
        <f>IF(A26="","",IF(F26&gt;0.85,"Critical",IF(F26&gt;0.7,"Warning","OK")))</f>
        <v/>
      </c>
      <c r="H26" s="15" t="n"/>
      <c r="I26" s="15" t="n"/>
      <c r="J26" s="15" t="n"/>
      <c r="K26" s="22">
        <f>IF(OR(I26=0,E26=""),"N/A",(E26*1024)/I26)</f>
        <v/>
      </c>
      <c r="L26" s="15" t="n"/>
      <c r="M26" s="18" t="n"/>
      <c r="N26" s="15" t="n"/>
      <c r="O26" s="15" t="n"/>
    </row>
    <row r="27">
      <c r="A27" s="15" t="n"/>
      <c r="B27" s="15" t="n"/>
      <c r="C27" s="15" t="n"/>
      <c r="D27" s="15" t="n"/>
      <c r="E27" s="17">
        <f>IF(C27="","",C27-D27)</f>
        <v/>
      </c>
      <c r="F27" s="16">
        <f>IF(C27=0,0,D27/C27)</f>
        <v/>
      </c>
      <c r="G27" s="17">
        <f>IF(A27="","",IF(F27&gt;0.85,"Critical",IF(F27&gt;0.7,"Warning","OK")))</f>
        <v/>
      </c>
      <c r="H27" s="15" t="n"/>
      <c r="I27" s="15" t="n"/>
      <c r="J27" s="15" t="n"/>
      <c r="K27" s="22">
        <f>IF(OR(I27=0,E27=""),"N/A",(E27*1024)/I27)</f>
        <v/>
      </c>
      <c r="L27" s="15" t="n"/>
      <c r="M27" s="18" t="n"/>
      <c r="N27" s="15" t="n"/>
      <c r="O27" s="15" t="n"/>
    </row>
    <row r="28">
      <c r="A28" s="15" t="n"/>
      <c r="B28" s="15" t="n"/>
      <c r="C28" s="15" t="n"/>
      <c r="D28" s="15" t="n"/>
      <c r="E28" s="17">
        <f>IF(C28="","",C28-D28)</f>
        <v/>
      </c>
      <c r="F28" s="16">
        <f>IF(C28=0,0,D28/C28)</f>
        <v/>
      </c>
      <c r="G28" s="17">
        <f>IF(A28="","",IF(F28&gt;0.85,"Critical",IF(F28&gt;0.7,"Warning","OK")))</f>
        <v/>
      </c>
      <c r="H28" s="15" t="n"/>
      <c r="I28" s="15" t="n"/>
      <c r="J28" s="15" t="n"/>
      <c r="K28" s="22">
        <f>IF(OR(I28=0,E28=""),"N/A",(E28*1024)/I28)</f>
        <v/>
      </c>
      <c r="L28" s="15" t="n"/>
      <c r="M28" s="18" t="n"/>
      <c r="N28" s="15" t="n"/>
      <c r="O28" s="15" t="n"/>
    </row>
    <row r="29">
      <c r="A29" s="15" t="n"/>
      <c r="B29" s="15" t="n"/>
      <c r="C29" s="15" t="n"/>
      <c r="D29" s="15" t="n"/>
      <c r="E29" s="17">
        <f>IF(C29="","",C29-D29)</f>
        <v/>
      </c>
      <c r="F29" s="16">
        <f>IF(C29=0,0,D29/C29)</f>
        <v/>
      </c>
      <c r="G29" s="17">
        <f>IF(A29="","",IF(F29&gt;0.85,"Critical",IF(F29&gt;0.7,"Warning","OK")))</f>
        <v/>
      </c>
      <c r="H29" s="15" t="n"/>
      <c r="I29" s="15" t="n"/>
      <c r="J29" s="15" t="n"/>
      <c r="K29" s="22">
        <f>IF(OR(I29=0,E29=""),"N/A",(E29*1024)/I29)</f>
        <v/>
      </c>
      <c r="L29" s="15" t="n"/>
      <c r="M29" s="18" t="n"/>
      <c r="N29" s="15" t="n"/>
      <c r="O29" s="15" t="n"/>
    </row>
    <row r="30">
      <c r="A30" s="15" t="n"/>
      <c r="B30" s="15" t="n"/>
      <c r="C30" s="15" t="n"/>
      <c r="D30" s="15" t="n"/>
      <c r="E30" s="17">
        <f>IF(C30="","",C30-D30)</f>
        <v/>
      </c>
      <c r="F30" s="16">
        <f>IF(C30=0,0,D30/C30)</f>
        <v/>
      </c>
      <c r="G30" s="17">
        <f>IF(A30="","",IF(F30&gt;0.85,"Critical",IF(F30&gt;0.7,"Warning","OK")))</f>
        <v/>
      </c>
      <c r="H30" s="15" t="n"/>
      <c r="I30" s="15" t="n"/>
      <c r="J30" s="15" t="n"/>
      <c r="K30" s="22">
        <f>IF(OR(I30=0,E30=""),"N/A",(E30*1024)/I30)</f>
        <v/>
      </c>
      <c r="L30" s="15" t="n"/>
      <c r="M30" s="18" t="n"/>
      <c r="N30" s="15" t="n"/>
      <c r="O30" s="15" t="n"/>
    </row>
    <row r="31">
      <c r="A31" s="15" t="n"/>
      <c r="B31" s="15" t="n"/>
      <c r="C31" s="15" t="n"/>
      <c r="D31" s="15" t="n"/>
      <c r="E31" s="17">
        <f>IF(C31="","",C31-D31)</f>
        <v/>
      </c>
      <c r="F31" s="16">
        <f>IF(C31=0,0,D31/C31)</f>
        <v/>
      </c>
      <c r="G31" s="17">
        <f>IF(A31="","",IF(F31&gt;0.85,"Critical",IF(F31&gt;0.7,"Warning","OK")))</f>
        <v/>
      </c>
      <c r="H31" s="15" t="n"/>
      <c r="I31" s="15" t="n"/>
      <c r="J31" s="15" t="n"/>
      <c r="K31" s="22">
        <f>IF(OR(I31=0,E31=""),"N/A",(E31*1024)/I31)</f>
        <v/>
      </c>
      <c r="L31" s="15" t="n"/>
      <c r="M31" s="18" t="n"/>
      <c r="N31" s="15" t="n"/>
      <c r="O31" s="15" t="n"/>
    </row>
    <row r="32">
      <c r="A32" s="15" t="n"/>
      <c r="B32" s="15" t="n"/>
      <c r="C32" s="15" t="n"/>
      <c r="D32" s="15" t="n"/>
      <c r="E32" s="17">
        <f>IF(C32="","",C32-D32)</f>
        <v/>
      </c>
      <c r="F32" s="16">
        <f>IF(C32=0,0,D32/C32)</f>
        <v/>
      </c>
      <c r="G32" s="17">
        <f>IF(A32="","",IF(F32&gt;0.85,"Critical",IF(F32&gt;0.7,"Warning","OK")))</f>
        <v/>
      </c>
      <c r="H32" s="15" t="n"/>
      <c r="I32" s="15" t="n"/>
      <c r="J32" s="15" t="n"/>
      <c r="K32" s="22">
        <f>IF(OR(I32=0,E32=""),"N/A",(E32*1024)/I32)</f>
        <v/>
      </c>
      <c r="L32" s="15" t="n"/>
      <c r="M32" s="18" t="n"/>
      <c r="N32" s="15" t="n"/>
      <c r="O32" s="15" t="n"/>
    </row>
    <row r="33">
      <c r="A33" s="15" t="n"/>
      <c r="B33" s="15" t="n"/>
      <c r="C33" s="15" t="n"/>
      <c r="D33" s="15" t="n"/>
      <c r="E33" s="17">
        <f>IF(C33="","",C33-D33)</f>
        <v/>
      </c>
      <c r="F33" s="16">
        <f>IF(C33=0,0,D33/C33)</f>
        <v/>
      </c>
      <c r="G33" s="17">
        <f>IF(A33="","",IF(F33&gt;0.85,"Critical",IF(F33&gt;0.7,"Warning","OK")))</f>
        <v/>
      </c>
      <c r="H33" s="15" t="n"/>
      <c r="I33" s="15" t="n"/>
      <c r="J33" s="15" t="n"/>
      <c r="K33" s="22">
        <f>IF(OR(I33=0,E33=""),"N/A",(E33*1024)/I33)</f>
        <v/>
      </c>
      <c r="L33" s="15" t="n"/>
      <c r="M33" s="18" t="n"/>
      <c r="N33" s="15" t="n"/>
      <c r="O33" s="15" t="n"/>
    </row>
    <row r="34">
      <c r="A34" s="15" t="n"/>
      <c r="B34" s="15" t="n"/>
      <c r="C34" s="15" t="n"/>
      <c r="D34" s="15" t="n"/>
      <c r="E34" s="17">
        <f>IF(C34="","",C34-D34)</f>
        <v/>
      </c>
      <c r="F34" s="16">
        <f>IF(C34=0,0,D34/C34)</f>
        <v/>
      </c>
      <c r="G34" s="17">
        <f>IF(A34="","",IF(F34&gt;0.85,"Critical",IF(F34&gt;0.7,"Warning","OK")))</f>
        <v/>
      </c>
      <c r="H34" s="15" t="n"/>
      <c r="I34" s="15" t="n"/>
      <c r="J34" s="15" t="n"/>
      <c r="K34" s="22">
        <f>IF(OR(I34=0,E34=""),"N/A",(E34*1024)/I34)</f>
        <v/>
      </c>
      <c r="L34" s="15" t="n"/>
      <c r="M34" s="18" t="n"/>
      <c r="N34" s="15" t="n"/>
      <c r="O34" s="15" t="n"/>
    </row>
    <row r="35">
      <c r="A35" s="15" t="n"/>
      <c r="B35" s="15" t="n"/>
      <c r="C35" s="15" t="n"/>
      <c r="D35" s="15" t="n"/>
      <c r="E35" s="17">
        <f>IF(C35="","",C35-D35)</f>
        <v/>
      </c>
      <c r="F35" s="16">
        <f>IF(C35=0,0,D35/C35)</f>
        <v/>
      </c>
      <c r="G35" s="17">
        <f>IF(A35="","",IF(F35&gt;0.85,"Critical",IF(F35&gt;0.7,"Warning","OK")))</f>
        <v/>
      </c>
      <c r="H35" s="15" t="n"/>
      <c r="I35" s="15" t="n"/>
      <c r="J35" s="15" t="n"/>
      <c r="K35" s="22">
        <f>IF(OR(I35=0,E35=""),"N/A",(E35*1024)/I35)</f>
        <v/>
      </c>
      <c r="L35" s="15" t="n"/>
      <c r="M35" s="18" t="n"/>
      <c r="N35" s="15" t="n"/>
      <c r="O35" s="15" t="n"/>
    </row>
    <row r="36">
      <c r="A36" s="15" t="n"/>
      <c r="B36" s="15" t="n"/>
      <c r="C36" s="15" t="n"/>
      <c r="D36" s="15" t="n"/>
      <c r="E36" s="17">
        <f>IF(C36="","",C36-D36)</f>
        <v/>
      </c>
      <c r="F36" s="16">
        <f>IF(C36=0,0,D36/C36)</f>
        <v/>
      </c>
      <c r="G36" s="17">
        <f>IF(A36="","",IF(F36&gt;0.85,"Critical",IF(F36&gt;0.7,"Warning","OK")))</f>
        <v/>
      </c>
      <c r="H36" s="15" t="n"/>
      <c r="I36" s="15" t="n"/>
      <c r="J36" s="15" t="n"/>
      <c r="K36" s="22">
        <f>IF(OR(I36=0,E36=""),"N/A",(E36*1024)/I36)</f>
        <v/>
      </c>
      <c r="L36" s="15" t="n"/>
      <c r="M36" s="18" t="n"/>
      <c r="N36" s="15" t="n"/>
      <c r="O36" s="15" t="n"/>
    </row>
    <row r="37">
      <c r="A37" s="15" t="n"/>
      <c r="B37" s="15" t="n"/>
      <c r="C37" s="15" t="n"/>
      <c r="D37" s="15" t="n"/>
      <c r="E37" s="17">
        <f>IF(C37="","",C37-D37)</f>
        <v/>
      </c>
      <c r="F37" s="16">
        <f>IF(C37=0,0,D37/C37)</f>
        <v/>
      </c>
      <c r="G37" s="17">
        <f>IF(A37="","",IF(F37&gt;0.85,"Critical",IF(F37&gt;0.7,"Warning","OK")))</f>
        <v/>
      </c>
      <c r="H37" s="15" t="n"/>
      <c r="I37" s="15" t="n"/>
      <c r="J37" s="15" t="n"/>
      <c r="K37" s="22">
        <f>IF(OR(I37=0,E37=""),"N/A",(E37*1024)/I37)</f>
        <v/>
      </c>
      <c r="L37" s="15" t="n"/>
      <c r="M37" s="18" t="n"/>
      <c r="N37" s="15" t="n"/>
      <c r="O37" s="15" t="n"/>
    </row>
    <row r="38">
      <c r="A38" s="15" t="n"/>
      <c r="B38" s="15" t="n"/>
      <c r="C38" s="15" t="n"/>
      <c r="D38" s="15" t="n"/>
      <c r="E38" s="17">
        <f>IF(C38="","",C38-D38)</f>
        <v/>
      </c>
      <c r="F38" s="16">
        <f>IF(C38=0,0,D38/C38)</f>
        <v/>
      </c>
      <c r="G38" s="17">
        <f>IF(A38="","",IF(F38&gt;0.85,"Critical",IF(F38&gt;0.7,"Warning","OK")))</f>
        <v/>
      </c>
      <c r="H38" s="15" t="n"/>
      <c r="I38" s="15" t="n"/>
      <c r="J38" s="15" t="n"/>
      <c r="K38" s="22">
        <f>IF(OR(I38=0,E38=""),"N/A",(E38*1024)/I38)</f>
        <v/>
      </c>
      <c r="L38" s="15" t="n"/>
      <c r="M38" s="18" t="n"/>
      <c r="N38" s="15" t="n"/>
      <c r="O38" s="15" t="n"/>
    </row>
    <row r="39">
      <c r="A39" s="15" t="n"/>
      <c r="B39" s="15" t="n"/>
      <c r="C39" s="15" t="n"/>
      <c r="D39" s="15" t="n"/>
      <c r="E39" s="17">
        <f>IF(C39="","",C39-D39)</f>
        <v/>
      </c>
      <c r="F39" s="16">
        <f>IF(C39=0,0,D39/C39)</f>
        <v/>
      </c>
      <c r="G39" s="17">
        <f>IF(A39="","",IF(F39&gt;0.85,"Critical",IF(F39&gt;0.7,"Warning","OK")))</f>
        <v/>
      </c>
      <c r="H39" s="15" t="n"/>
      <c r="I39" s="15" t="n"/>
      <c r="J39" s="15" t="n"/>
      <c r="K39" s="22">
        <f>IF(OR(I39=0,E39=""),"N/A",(E39*1024)/I39)</f>
        <v/>
      </c>
      <c r="L39" s="15" t="n"/>
      <c r="M39" s="18" t="n"/>
      <c r="N39" s="15" t="n"/>
      <c r="O39" s="15" t="n"/>
    </row>
    <row r="40">
      <c r="A40" s="15" t="n"/>
      <c r="B40" s="15" t="n"/>
      <c r="C40" s="15" t="n"/>
      <c r="D40" s="15" t="n"/>
      <c r="E40" s="17">
        <f>IF(C40="","",C40-D40)</f>
        <v/>
      </c>
      <c r="F40" s="16">
        <f>IF(C40=0,0,D40/C40)</f>
        <v/>
      </c>
      <c r="G40" s="17">
        <f>IF(A40="","",IF(F40&gt;0.85,"Critical",IF(F40&gt;0.7,"Warning","OK")))</f>
        <v/>
      </c>
      <c r="H40" s="15" t="n"/>
      <c r="I40" s="15" t="n"/>
      <c r="J40" s="15" t="n"/>
      <c r="K40" s="22">
        <f>IF(OR(I40=0,E40=""),"N/A",(E40*1024)/I40)</f>
        <v/>
      </c>
      <c r="L40" s="15" t="n"/>
      <c r="M40" s="18" t="n"/>
      <c r="N40" s="15" t="n"/>
      <c r="O40" s="15" t="n"/>
    </row>
    <row r="41">
      <c r="A41" s="15" t="n"/>
      <c r="B41" s="15" t="n"/>
      <c r="C41" s="15" t="n"/>
      <c r="D41" s="15" t="n"/>
      <c r="E41" s="17">
        <f>IF(C41="","",C41-D41)</f>
        <v/>
      </c>
      <c r="F41" s="16">
        <f>IF(C41=0,0,D41/C41)</f>
        <v/>
      </c>
      <c r="G41" s="17">
        <f>IF(A41="","",IF(F41&gt;0.85,"Critical",IF(F41&gt;0.7,"Warning","OK")))</f>
        <v/>
      </c>
      <c r="H41" s="15" t="n"/>
      <c r="I41" s="15" t="n"/>
      <c r="J41" s="15" t="n"/>
      <c r="K41" s="22">
        <f>IF(OR(I41=0,E41=""),"N/A",(E41*1024)/I41)</f>
        <v/>
      </c>
      <c r="L41" s="15" t="n"/>
      <c r="M41" s="18" t="n"/>
      <c r="N41" s="15" t="n"/>
      <c r="O41" s="15" t="n"/>
    </row>
    <row r="42">
      <c r="A42" s="15" t="n"/>
      <c r="B42" s="15" t="n"/>
      <c r="C42" s="15" t="n"/>
      <c r="D42" s="15" t="n"/>
      <c r="E42" s="17">
        <f>IF(C42="","",C42-D42)</f>
        <v/>
      </c>
      <c r="F42" s="16">
        <f>IF(C42=0,0,D42/C42)</f>
        <v/>
      </c>
      <c r="G42" s="17">
        <f>IF(A42="","",IF(F42&gt;0.85,"Critical",IF(F42&gt;0.7,"Warning","OK")))</f>
        <v/>
      </c>
      <c r="H42" s="15" t="n"/>
      <c r="I42" s="15" t="n"/>
      <c r="J42" s="15" t="n"/>
      <c r="K42" s="22">
        <f>IF(OR(I42=0,E42=""),"N/A",(E42*1024)/I42)</f>
        <v/>
      </c>
      <c r="L42" s="15" t="n"/>
      <c r="M42" s="18" t="n"/>
      <c r="N42" s="15" t="n"/>
      <c r="O42" s="15" t="n"/>
    </row>
    <row r="43">
      <c r="A43" s="15" t="n"/>
      <c r="B43" s="15" t="n"/>
      <c r="C43" s="15" t="n"/>
      <c r="D43" s="15" t="n"/>
      <c r="E43" s="17">
        <f>IF(C43="","",C43-D43)</f>
        <v/>
      </c>
      <c r="F43" s="16">
        <f>IF(C43=0,0,D43/C43)</f>
        <v/>
      </c>
      <c r="G43" s="17">
        <f>IF(A43="","",IF(F43&gt;0.85,"Critical",IF(F43&gt;0.7,"Warning","OK")))</f>
        <v/>
      </c>
      <c r="H43" s="15" t="n"/>
      <c r="I43" s="15" t="n"/>
      <c r="J43" s="15" t="n"/>
      <c r="K43" s="22">
        <f>IF(OR(I43=0,E43=""),"N/A",(E43*1024)/I43)</f>
        <v/>
      </c>
      <c r="L43" s="15" t="n"/>
      <c r="M43" s="18" t="n"/>
      <c r="N43" s="15" t="n"/>
      <c r="O43" s="15" t="n"/>
    </row>
    <row r="44">
      <c r="A44" s="15" t="n"/>
      <c r="B44" s="15" t="n"/>
      <c r="C44" s="15" t="n"/>
      <c r="D44" s="15" t="n"/>
      <c r="E44" s="17">
        <f>IF(C44="","",C44-D44)</f>
        <v/>
      </c>
      <c r="F44" s="16">
        <f>IF(C44=0,0,D44/C44)</f>
        <v/>
      </c>
      <c r="G44" s="17">
        <f>IF(A44="","",IF(F44&gt;0.85,"Critical",IF(F44&gt;0.7,"Warning","OK")))</f>
        <v/>
      </c>
      <c r="H44" s="15" t="n"/>
      <c r="I44" s="15" t="n"/>
      <c r="J44" s="15" t="n"/>
      <c r="K44" s="22">
        <f>IF(OR(I44=0,E44=""),"N/A",(E44*1024)/I44)</f>
        <v/>
      </c>
      <c r="L44" s="15" t="n"/>
      <c r="M44" s="18" t="n"/>
      <c r="N44" s="15" t="n"/>
      <c r="O44" s="15" t="n"/>
    </row>
    <row r="45">
      <c r="A45" s="15" t="n"/>
      <c r="B45" s="15" t="n"/>
      <c r="C45" s="15" t="n"/>
      <c r="D45" s="15" t="n"/>
      <c r="E45" s="17">
        <f>IF(C45="","",C45-D45)</f>
        <v/>
      </c>
      <c r="F45" s="16">
        <f>IF(C45=0,0,D45/C45)</f>
        <v/>
      </c>
      <c r="G45" s="17">
        <f>IF(A45="","",IF(F45&gt;0.85,"Critical",IF(F45&gt;0.7,"Warning","OK")))</f>
        <v/>
      </c>
      <c r="H45" s="15" t="n"/>
      <c r="I45" s="15" t="n"/>
      <c r="J45" s="15" t="n"/>
      <c r="K45" s="22">
        <f>IF(OR(I45=0,E45=""),"N/A",(E45*1024)/I45)</f>
        <v/>
      </c>
      <c r="L45" s="15" t="n"/>
      <c r="M45" s="18" t="n"/>
      <c r="N45" s="15" t="n"/>
      <c r="O45" s="15" t="n"/>
    </row>
    <row r="46">
      <c r="A46" s="15" t="n"/>
      <c r="B46" s="15" t="n"/>
      <c r="C46" s="15" t="n"/>
      <c r="D46" s="15" t="n"/>
      <c r="E46" s="17">
        <f>IF(C46="","",C46-D46)</f>
        <v/>
      </c>
      <c r="F46" s="16">
        <f>IF(C46=0,0,D46/C46)</f>
        <v/>
      </c>
      <c r="G46" s="17">
        <f>IF(A46="","",IF(F46&gt;0.85,"Critical",IF(F46&gt;0.7,"Warning","OK")))</f>
        <v/>
      </c>
      <c r="H46" s="15" t="n"/>
      <c r="I46" s="15" t="n"/>
      <c r="J46" s="15" t="n"/>
      <c r="K46" s="22">
        <f>IF(OR(I46=0,E46=""),"N/A",(E46*1024)/I46)</f>
        <v/>
      </c>
      <c r="L46" s="15" t="n"/>
      <c r="M46" s="18" t="n"/>
      <c r="N46" s="15" t="n"/>
      <c r="O46" s="15" t="n"/>
    </row>
    <row r="47">
      <c r="A47" s="15" t="n"/>
      <c r="B47" s="15" t="n"/>
      <c r="C47" s="15" t="n"/>
      <c r="D47" s="15" t="n"/>
      <c r="E47" s="17">
        <f>IF(C47="","",C47-D47)</f>
        <v/>
      </c>
      <c r="F47" s="16">
        <f>IF(C47=0,0,D47/C47)</f>
        <v/>
      </c>
      <c r="G47" s="17">
        <f>IF(A47="","",IF(F47&gt;0.85,"Critical",IF(F47&gt;0.7,"Warning","OK")))</f>
        <v/>
      </c>
      <c r="H47" s="15" t="n"/>
      <c r="I47" s="15" t="n"/>
      <c r="J47" s="15" t="n"/>
      <c r="K47" s="22">
        <f>IF(OR(I47=0,E47=""),"N/A",(E47*1024)/I47)</f>
        <v/>
      </c>
      <c r="L47" s="15" t="n"/>
      <c r="M47" s="18" t="n"/>
      <c r="N47" s="15" t="n"/>
      <c r="O47" s="15" t="n"/>
    </row>
    <row r="48">
      <c r="A48" s="15" t="n"/>
      <c r="B48" s="15" t="n"/>
      <c r="C48" s="15" t="n"/>
      <c r="D48" s="15" t="n"/>
      <c r="E48" s="17">
        <f>IF(C48="","",C48-D48)</f>
        <v/>
      </c>
      <c r="F48" s="16">
        <f>IF(C48=0,0,D48/C48)</f>
        <v/>
      </c>
      <c r="G48" s="17">
        <f>IF(A48="","",IF(F48&gt;0.85,"Critical",IF(F48&gt;0.7,"Warning","OK")))</f>
        <v/>
      </c>
      <c r="H48" s="15" t="n"/>
      <c r="I48" s="15" t="n"/>
      <c r="J48" s="15" t="n"/>
      <c r="K48" s="22">
        <f>IF(OR(I48=0,E48=""),"N/A",(E48*1024)/I48)</f>
        <v/>
      </c>
      <c r="L48" s="15" t="n"/>
      <c r="M48" s="18" t="n"/>
      <c r="N48" s="15" t="n"/>
      <c r="O48" s="15" t="n"/>
    </row>
    <row r="49">
      <c r="A49" s="15" t="n"/>
      <c r="B49" s="15" t="n"/>
      <c r="C49" s="15" t="n"/>
      <c r="D49" s="15" t="n"/>
      <c r="E49" s="17">
        <f>IF(C49="","",C49-D49)</f>
        <v/>
      </c>
      <c r="F49" s="16">
        <f>IF(C49=0,0,D49/C49)</f>
        <v/>
      </c>
      <c r="G49" s="17">
        <f>IF(A49="","",IF(F49&gt;0.85,"Critical",IF(F49&gt;0.7,"Warning","OK")))</f>
        <v/>
      </c>
      <c r="H49" s="15" t="n"/>
      <c r="I49" s="15" t="n"/>
      <c r="J49" s="15" t="n"/>
      <c r="K49" s="22">
        <f>IF(OR(I49=0,E49=""),"N/A",(E49*1024)/I49)</f>
        <v/>
      </c>
      <c r="L49" s="15" t="n"/>
      <c r="M49" s="18" t="n"/>
      <c r="N49" s="15" t="n"/>
      <c r="O49" s="15" t="n"/>
    </row>
    <row r="50">
      <c r="A50" s="15" t="n"/>
      <c r="B50" s="15" t="n"/>
      <c r="C50" s="15" t="n"/>
      <c r="D50" s="15" t="n"/>
      <c r="E50" s="17">
        <f>IF(C50="","",C50-D50)</f>
        <v/>
      </c>
      <c r="F50" s="16">
        <f>IF(C50=0,0,D50/C50)</f>
        <v/>
      </c>
      <c r="G50" s="17">
        <f>IF(A50="","",IF(F50&gt;0.85,"Critical",IF(F50&gt;0.7,"Warning","OK")))</f>
        <v/>
      </c>
      <c r="H50" s="15" t="n"/>
      <c r="I50" s="15" t="n"/>
      <c r="J50" s="15" t="n"/>
      <c r="K50" s="22">
        <f>IF(OR(I50=0,E50=""),"N/A",(E50*1024)/I50)</f>
        <v/>
      </c>
      <c r="L50" s="15" t="n"/>
      <c r="M50" s="18" t="n"/>
      <c r="N50" s="15" t="n"/>
      <c r="O50" s="15" t="n"/>
    </row>
    <row r="51">
      <c r="A51" s="15" t="n"/>
      <c r="B51" s="15" t="n"/>
      <c r="C51" s="15" t="n"/>
      <c r="D51" s="15" t="n"/>
      <c r="E51" s="17">
        <f>IF(C51="","",C51-D51)</f>
        <v/>
      </c>
      <c r="F51" s="16">
        <f>IF(C51=0,0,D51/C51)</f>
        <v/>
      </c>
      <c r="G51" s="17">
        <f>IF(A51="","",IF(F51&gt;0.85,"Critical",IF(F51&gt;0.7,"Warning","OK")))</f>
        <v/>
      </c>
      <c r="H51" s="15" t="n"/>
      <c r="I51" s="15" t="n"/>
      <c r="J51" s="15" t="n"/>
      <c r="K51" s="22">
        <f>IF(OR(I51=0,E51=""),"N/A",(E51*1024)/I51)</f>
        <v/>
      </c>
      <c r="L51" s="15" t="n"/>
      <c r="M51" s="18" t="n"/>
      <c r="N51" s="15" t="n"/>
      <c r="O51" s="15" t="n"/>
    </row>
    <row r="52">
      <c r="A52" s="15" t="n"/>
      <c r="B52" s="15" t="n"/>
      <c r="C52" s="15" t="n"/>
      <c r="D52" s="15" t="n"/>
      <c r="E52" s="17">
        <f>IF(C52="","",C52-D52)</f>
        <v/>
      </c>
      <c r="F52" s="16">
        <f>IF(C52=0,0,D52/C52)</f>
        <v/>
      </c>
      <c r="G52" s="17">
        <f>IF(A52="","",IF(F52&gt;0.85,"Critical",IF(F52&gt;0.7,"Warning","OK")))</f>
        <v/>
      </c>
      <c r="H52" s="15" t="n"/>
      <c r="I52" s="15" t="n"/>
      <c r="J52" s="15" t="n"/>
      <c r="K52" s="22">
        <f>IF(OR(I52=0,E52=""),"N/A",(E52*1024)/I52)</f>
        <v/>
      </c>
      <c r="L52" s="15" t="n"/>
      <c r="M52" s="18" t="n"/>
      <c r="N52" s="15" t="n"/>
      <c r="O52" s="15" t="n"/>
    </row>
    <row r="53">
      <c r="A53" s="15" t="n"/>
      <c r="B53" s="15" t="n"/>
      <c r="C53" s="15" t="n"/>
      <c r="D53" s="15" t="n"/>
      <c r="E53" s="17">
        <f>IF(C53="","",C53-D53)</f>
        <v/>
      </c>
      <c r="F53" s="16">
        <f>IF(C53=0,0,D53/C53)</f>
        <v/>
      </c>
      <c r="G53" s="17">
        <f>IF(A53="","",IF(F53&gt;0.85,"Critical",IF(F53&gt;0.7,"Warning","OK")))</f>
        <v/>
      </c>
      <c r="H53" s="15" t="n"/>
      <c r="I53" s="15" t="n"/>
      <c r="J53" s="15" t="n"/>
      <c r="K53" s="22">
        <f>IF(OR(I53=0,E53=""),"N/A",(E53*1024)/I53)</f>
        <v/>
      </c>
      <c r="L53" s="15" t="n"/>
      <c r="M53" s="18" t="n"/>
      <c r="N53" s="15" t="n"/>
      <c r="O53" s="15" t="n"/>
    </row>
    <row r="54">
      <c r="A54" s="15" t="n"/>
      <c r="B54" s="15" t="n"/>
      <c r="C54" s="15" t="n"/>
      <c r="D54" s="15" t="n"/>
      <c r="E54" s="17">
        <f>IF(C54="","",C54-D54)</f>
        <v/>
      </c>
      <c r="F54" s="16">
        <f>IF(C54=0,0,D54/C54)</f>
        <v/>
      </c>
      <c r="G54" s="17">
        <f>IF(A54="","",IF(F54&gt;0.85,"Critical",IF(F54&gt;0.7,"Warning","OK")))</f>
        <v/>
      </c>
      <c r="H54" s="15" t="n"/>
      <c r="I54" s="15" t="n"/>
      <c r="J54" s="15" t="n"/>
      <c r="K54" s="22">
        <f>IF(OR(I54=0,E54=""),"N/A",(E54*1024)/I54)</f>
        <v/>
      </c>
      <c r="L54" s="15" t="n"/>
      <c r="M54" s="18" t="n"/>
      <c r="N54" s="15" t="n"/>
      <c r="O54" s="15" t="n"/>
    </row>
    <row r="55">
      <c r="A55" s="15" t="n"/>
      <c r="B55" s="15" t="n"/>
      <c r="C55" s="15" t="n"/>
      <c r="D55" s="15" t="n"/>
      <c r="E55" s="17">
        <f>IF(C55="","",C55-D55)</f>
        <v/>
      </c>
      <c r="F55" s="16">
        <f>IF(C55=0,0,D55/C55)</f>
        <v/>
      </c>
      <c r="G55" s="17">
        <f>IF(A55="","",IF(F55&gt;0.85,"Critical",IF(F55&gt;0.7,"Warning","OK")))</f>
        <v/>
      </c>
      <c r="H55" s="15" t="n"/>
      <c r="I55" s="15" t="n"/>
      <c r="J55" s="15" t="n"/>
      <c r="K55" s="22">
        <f>IF(OR(I55=0,E55=""),"N/A",(E55*1024)/I55)</f>
        <v/>
      </c>
      <c r="L55" s="15" t="n"/>
      <c r="M55" s="18" t="n"/>
      <c r="N55" s="15" t="n"/>
      <c r="O55" s="15" t="n"/>
    </row>
    <row r="57">
      <c r="A57" s="12" t="inlineStr">
        <is>
          <t>CAPACITY PLANNING</t>
        </is>
      </c>
    </row>
    <row r="59">
      <c r="A59" s="13" t="inlineStr">
        <is>
          <t>Timeframe</t>
        </is>
      </c>
      <c r="B59" s="13" t="inlineStr">
        <is>
          <t>Projected Ingest (TB)</t>
        </is>
      </c>
      <c r="C59" s="13" t="inlineStr">
        <is>
          <t>Capacity Needed (TB)</t>
        </is>
      </c>
      <c r="D59" s="13" t="inlineStr">
        <is>
          <t>Gap (TB)</t>
        </is>
      </c>
      <c r="E59" s="13" t="inlineStr">
        <is>
          <t>Estimated Cost</t>
        </is>
      </c>
    </row>
    <row r="60">
      <c r="A60" s="23" t="inlineStr">
        <is>
          <t>Current</t>
        </is>
      </c>
      <c r="B60" s="24">
        <f>SUM(D6:D55)</f>
        <v/>
      </c>
      <c r="C60" s="24">
        <f>SUM(C6:C55)</f>
        <v/>
      </c>
      <c r="D60" s="24" t="inlineStr">
        <is>
          <t>N/A</t>
        </is>
      </c>
      <c r="E60" s="24" t="inlineStr">
        <is>
          <t>N/A</t>
        </is>
      </c>
    </row>
    <row r="61">
      <c r="A61" s="23" t="inlineStr">
        <is>
          <t>6 months</t>
        </is>
      </c>
      <c r="B61" s="24">
        <f>SUM(I6:I55)*180/1024</f>
        <v/>
      </c>
      <c r="C61" s="24" t="inlineStr">
        <is>
          <t>[Formula]</t>
        </is>
      </c>
      <c r="D61" s="24" t="inlineStr">
        <is>
          <t>[Formula]</t>
        </is>
      </c>
      <c r="E61" s="24" t="inlineStr">
        <is>
          <t>[Input]</t>
        </is>
      </c>
    </row>
    <row r="62">
      <c r="A62" s="23" t="inlineStr">
        <is>
          <t>12 months</t>
        </is>
      </c>
      <c r="B62" s="24">
        <f>SUM(I6:I55)*365/1024</f>
        <v/>
      </c>
      <c r="C62" s="24" t="inlineStr">
        <is>
          <t>[Formula]</t>
        </is>
      </c>
      <c r="D62" s="24" t="inlineStr">
        <is>
          <t>[Formula]</t>
        </is>
      </c>
      <c r="E62" s="24" t="inlineStr">
        <is>
          <t>[Input]</t>
        </is>
      </c>
    </row>
    <row r="63">
      <c r="A63" s="23" t="inlineStr">
        <is>
          <t>24 months</t>
        </is>
      </c>
      <c r="B63" s="24">
        <f>SUM(I6:I55)*730/1024</f>
        <v/>
      </c>
      <c r="C63" s="24" t="inlineStr">
        <is>
          <t>[Formula]</t>
        </is>
      </c>
      <c r="D63" s="24" t="inlineStr">
        <is>
          <t>[Formula]</t>
        </is>
      </c>
      <c r="E63" s="24" t="inlineStr">
        <is>
          <t>[Input]</t>
        </is>
      </c>
    </row>
    <row r="66">
      <c r="A66" s="12" t="inlineStr">
        <is>
          <t>OPTIMIZATION OPPORTUNITIES</t>
        </is>
      </c>
    </row>
    <row r="67">
      <c r="A67" s="25" t="inlineStr">
        <is>
          <t>• Enable compression to reduce storage usage by 50-70%</t>
        </is>
      </c>
    </row>
    <row r="68">
      <c r="A68" s="25" t="inlineStr">
        <is>
          <t>• Implement tiered storage (hot/warm/cold) for cost optimization</t>
        </is>
      </c>
    </row>
    <row r="69">
      <c r="A69" s="25" t="inlineStr">
        <is>
          <t>• Review retention periods - are all logs kept longer than necessary?</t>
        </is>
      </c>
    </row>
    <row r="70">
      <c r="A70" s="25" t="inlineStr">
        <is>
          <t>• Archive old data to low-cost object storage (S3 Glacier, Azure Archive)</t>
        </is>
      </c>
    </row>
    <row r="71">
      <c r="A71" s="25" t="inlineStr">
        <is>
          <t>• Implement data summarisation for aged logs</t>
        </is>
      </c>
    </row>
  </sheetData>
  <mergeCells count="9">
    <mergeCell ref="A69:O69"/>
    <mergeCell ref="A57:O57"/>
    <mergeCell ref="A2:O2"/>
    <mergeCell ref="A68:O68"/>
    <mergeCell ref="A66:O66"/>
    <mergeCell ref="A71:O71"/>
    <mergeCell ref="A1:O1"/>
    <mergeCell ref="A70:O70"/>
    <mergeCell ref="A67:O67"/>
  </mergeCells>
  <conditionalFormatting sqref="F6:F55">
    <cfRule type="cellIs" priority="1" operator="lessThan" dxfId="0">
      <formula>0.7</formula>
    </cfRule>
    <cfRule type="cellIs" priority="2" operator="between" dxfId="1">
      <formula>0.7</formula>
      <formula>0.85</formula>
    </cfRule>
    <cfRule type="cellIs" priority="3" operator="greaterThan" dxfId="2">
      <formula>0.85</formula>
    </cfRule>
  </conditionalFormatting>
  <dataValidations count="3">
    <dataValidation sqref="A6:A55" showDropDown="0" showInputMessage="0" showErrorMessage="0" allowBlank="1" type="list">
      <formula1>"Hot Storage,Warm Storage,Cold Storage,Archive,Backup"</formula1>
    </dataValidation>
    <dataValidation sqref="B6:B55" showDropDown="0" showInputMessage="0" showErrorMessage="0" allowBlank="1" type="list">
      <formula1>"Local Disk/SSD,SAN,NAS,Object Storage (S3/Azure),Tape,Cloud,Other"</formula1>
    </dataValidation>
    <dataValidation sqref="L6:L55" showDropDown="0" showInputMessage="0" showErrorMessage="0" allowBlank="1" type="list">
      <formula1>"Not Needed,Planned,In Progress,Urgent"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15" customWidth="1" min="4" max="4"/>
    <col width="20" customWidth="1" min="5" max="5"/>
    <col width="20" customWidth="1" min="6" max="6"/>
    <col width="20" customWidth="1" min="7" max="7"/>
    <col width="20" customWidth="1" min="8" max="8"/>
    <col width="18" customWidth="1" min="9" max="9"/>
    <col width="18" customWidth="1" min="10" max="10"/>
    <col width="15" customWidth="1" min="11" max="11"/>
    <col width="40" customWidth="1" min="12" max="12"/>
    <col width="15" customWidth="1" min="13" max="13"/>
    <col width="20" customWidth="1" min="14" max="14"/>
    <col width="40" customWidth="1" min="15" max="15"/>
  </cols>
  <sheetData>
    <row r="1" ht="35" customHeight="1">
      <c r="A1" s="11" t="inlineStr">
        <is>
          <t>LOG PARSING &amp; NORMALISATION</t>
        </is>
      </c>
    </row>
    <row r="2">
      <c r="A2" s="12" t="inlineStr">
        <is>
          <t>Assess parsing accuracy, field extraction, and data normalisation</t>
        </is>
      </c>
    </row>
    <row r="4">
      <c r="A4" s="13" t="inlineStr">
        <is>
          <t>Log Source Type</t>
        </is>
      </c>
      <c r="B4" s="13" t="inlineStr">
        <is>
          <t>Log Format</t>
        </is>
      </c>
      <c r="C4" s="13" t="inlineStr">
        <is>
          <t>Parsing Method</t>
        </is>
      </c>
      <c r="D4" s="13" t="inlineStr">
        <is>
          <t>Parser Status</t>
        </is>
      </c>
      <c r="E4" s="13" t="inlineStr">
        <is>
          <t>Parse Success Rate %</t>
        </is>
      </c>
      <c r="F4" s="13" t="inlineStr">
        <is>
          <t>Unparsed Events/Day</t>
        </is>
      </c>
      <c r="G4" s="13" t="inlineStr">
        <is>
          <t>Fields Extracted</t>
        </is>
      </c>
      <c r="H4" s="13" t="inlineStr">
        <is>
          <t>Required Fields Present</t>
        </is>
      </c>
      <c r="I4" s="13" t="inlineStr">
        <is>
          <t>Timestamp Parsing</t>
        </is>
      </c>
      <c r="J4" s="13" t="inlineStr">
        <is>
          <t>Timezone Handling</t>
        </is>
      </c>
      <c r="K4" s="13" t="inlineStr">
        <is>
          <t>Last Parser Update</t>
        </is>
      </c>
      <c r="L4" s="13" t="inlineStr">
        <is>
          <t>Issues Identified</t>
        </is>
      </c>
      <c r="M4" s="13" t="inlineStr">
        <is>
          <t>Tuning Required</t>
        </is>
      </c>
      <c r="N4" s="13" t="inlineStr">
        <is>
          <t>Owner</t>
        </is>
      </c>
      <c r="O4" s="13" t="inlineStr">
        <is>
          <t>Notes</t>
        </is>
      </c>
    </row>
    <row r="5">
      <c r="A5" s="14" t="inlineStr">
        <is>
          <t>Windows Events</t>
        </is>
      </c>
      <c r="B5" s="14" t="inlineStr">
        <is>
          <t>EVTX</t>
        </is>
      </c>
      <c r="C5" s="14" t="inlineStr">
        <is>
          <t>Built-in</t>
        </is>
      </c>
      <c r="D5" s="14" t="inlineStr">
        <is>
          <t>Working</t>
        </is>
      </c>
      <c r="E5" s="14" t="inlineStr">
        <is>
          <t>98.5</t>
        </is>
      </c>
      <c r="F5" s="14" t="inlineStr">
        <is>
          <t>3750</t>
        </is>
      </c>
      <c r="G5" s="14" t="inlineStr">
        <is>
          <t>25</t>
        </is>
      </c>
      <c r="H5" s="14" t="inlineStr">
        <is>
          <t>All</t>
        </is>
      </c>
      <c r="I5" s="14" t="inlineStr">
        <is>
          <t>Correct</t>
        </is>
      </c>
      <c r="J5" s="14" t="inlineStr">
        <is>
          <t>Correct</t>
        </is>
      </c>
      <c r="K5" s="14" t="inlineStr">
        <is>
          <t>15.11.2025</t>
        </is>
      </c>
      <c r="L5" s="14" t="inlineStr">
        <is>
          <t>None</t>
        </is>
      </c>
      <c r="M5" s="14" t="inlineStr">
        <is>
          <t>No</t>
        </is>
      </c>
      <c r="N5" s="14" t="inlineStr">
        <is>
          <t>SIEM Team</t>
        </is>
      </c>
      <c r="O5" s="14" t="inlineStr">
        <is>
          <t>Standard Windows parser</t>
        </is>
      </c>
    </row>
    <row r="6">
      <c r="A6" s="15" t="n"/>
      <c r="B6" s="15" t="n"/>
      <c r="C6" s="15" t="n"/>
      <c r="D6" s="15" t="n"/>
      <c r="E6" s="26" t="n"/>
      <c r="F6" s="15" t="n"/>
      <c r="G6" s="15" t="n"/>
      <c r="H6" s="15" t="n"/>
      <c r="I6" s="15" t="n"/>
      <c r="J6" s="15" t="n"/>
      <c r="K6" s="27" t="n"/>
      <c r="L6" s="15" t="n"/>
      <c r="M6" s="15" t="n"/>
      <c r="N6" s="15" t="n"/>
      <c r="O6" s="15" t="n"/>
    </row>
    <row r="7">
      <c r="A7" s="15" t="n"/>
      <c r="B7" s="15" t="n"/>
      <c r="C7" s="15" t="n"/>
      <c r="D7" s="15" t="n"/>
      <c r="E7" s="26" t="n"/>
      <c r="F7" s="15" t="n"/>
      <c r="G7" s="15" t="n"/>
      <c r="H7" s="15" t="n"/>
      <c r="I7" s="15" t="n"/>
      <c r="J7" s="15" t="n"/>
      <c r="K7" s="27" t="n"/>
      <c r="L7" s="15" t="n"/>
      <c r="M7" s="15" t="n"/>
      <c r="N7" s="15" t="n"/>
      <c r="O7" s="15" t="n"/>
    </row>
    <row r="8">
      <c r="A8" s="15" t="n"/>
      <c r="B8" s="15" t="n"/>
      <c r="C8" s="15" t="n"/>
      <c r="D8" s="15" t="n"/>
      <c r="E8" s="26" t="n"/>
      <c r="F8" s="15" t="n"/>
      <c r="G8" s="15" t="n"/>
      <c r="H8" s="15" t="n"/>
      <c r="I8" s="15" t="n"/>
      <c r="J8" s="15" t="n"/>
      <c r="K8" s="27" t="n"/>
      <c r="L8" s="15" t="n"/>
      <c r="M8" s="15" t="n"/>
      <c r="N8" s="15" t="n"/>
      <c r="O8" s="15" t="n"/>
    </row>
    <row r="9">
      <c r="A9" s="15" t="n"/>
      <c r="B9" s="15" t="n"/>
      <c r="C9" s="15" t="n"/>
      <c r="D9" s="15" t="n"/>
      <c r="E9" s="26" t="n"/>
      <c r="F9" s="15" t="n"/>
      <c r="G9" s="15" t="n"/>
      <c r="H9" s="15" t="n"/>
      <c r="I9" s="15" t="n"/>
      <c r="J9" s="15" t="n"/>
      <c r="K9" s="27" t="n"/>
      <c r="L9" s="15" t="n"/>
      <c r="M9" s="15" t="n"/>
      <c r="N9" s="15" t="n"/>
      <c r="O9" s="15" t="n"/>
    </row>
    <row r="10">
      <c r="A10" s="15" t="n"/>
      <c r="B10" s="15" t="n"/>
      <c r="C10" s="15" t="n"/>
      <c r="D10" s="15" t="n"/>
      <c r="E10" s="26" t="n"/>
      <c r="F10" s="15" t="n"/>
      <c r="G10" s="15" t="n"/>
      <c r="H10" s="15" t="n"/>
      <c r="I10" s="15" t="n"/>
      <c r="J10" s="15" t="n"/>
      <c r="K10" s="27" t="n"/>
      <c r="L10" s="15" t="n"/>
      <c r="M10" s="15" t="n"/>
      <c r="N10" s="15" t="n"/>
      <c r="O10" s="15" t="n"/>
    </row>
    <row r="11">
      <c r="A11" s="15" t="n"/>
      <c r="B11" s="15" t="n"/>
      <c r="C11" s="15" t="n"/>
      <c r="D11" s="15" t="n"/>
      <c r="E11" s="26" t="n"/>
      <c r="F11" s="15" t="n"/>
      <c r="G11" s="15" t="n"/>
      <c r="H11" s="15" t="n"/>
      <c r="I11" s="15" t="n"/>
      <c r="J11" s="15" t="n"/>
      <c r="K11" s="27" t="n"/>
      <c r="L11" s="15" t="n"/>
      <c r="M11" s="15" t="n"/>
      <c r="N11" s="15" t="n"/>
      <c r="O11" s="15" t="n"/>
    </row>
    <row r="12">
      <c r="A12" s="15" t="n"/>
      <c r="B12" s="15" t="n"/>
      <c r="C12" s="15" t="n"/>
      <c r="D12" s="15" t="n"/>
      <c r="E12" s="26" t="n"/>
      <c r="F12" s="15" t="n"/>
      <c r="G12" s="15" t="n"/>
      <c r="H12" s="15" t="n"/>
      <c r="I12" s="15" t="n"/>
      <c r="J12" s="15" t="n"/>
      <c r="K12" s="27" t="n"/>
      <c r="L12" s="15" t="n"/>
      <c r="M12" s="15" t="n"/>
      <c r="N12" s="15" t="n"/>
      <c r="O12" s="15" t="n"/>
    </row>
    <row r="13">
      <c r="A13" s="15" t="n"/>
      <c r="B13" s="15" t="n"/>
      <c r="C13" s="15" t="n"/>
      <c r="D13" s="15" t="n"/>
      <c r="E13" s="26" t="n"/>
      <c r="F13" s="15" t="n"/>
      <c r="G13" s="15" t="n"/>
      <c r="H13" s="15" t="n"/>
      <c r="I13" s="15" t="n"/>
      <c r="J13" s="15" t="n"/>
      <c r="K13" s="27" t="n"/>
      <c r="L13" s="15" t="n"/>
      <c r="M13" s="15" t="n"/>
      <c r="N13" s="15" t="n"/>
      <c r="O13" s="15" t="n"/>
    </row>
    <row r="14">
      <c r="A14" s="15" t="n"/>
      <c r="B14" s="15" t="n"/>
      <c r="C14" s="15" t="n"/>
      <c r="D14" s="15" t="n"/>
      <c r="E14" s="26" t="n"/>
      <c r="F14" s="15" t="n"/>
      <c r="G14" s="15" t="n"/>
      <c r="H14" s="15" t="n"/>
      <c r="I14" s="15" t="n"/>
      <c r="J14" s="15" t="n"/>
      <c r="K14" s="27" t="n"/>
      <c r="L14" s="15" t="n"/>
      <c r="M14" s="15" t="n"/>
      <c r="N14" s="15" t="n"/>
      <c r="O14" s="15" t="n"/>
    </row>
    <row r="15">
      <c r="A15" s="15" t="n"/>
      <c r="B15" s="15" t="n"/>
      <c r="C15" s="15" t="n"/>
      <c r="D15" s="15" t="n"/>
      <c r="E15" s="26" t="n"/>
      <c r="F15" s="15" t="n"/>
      <c r="G15" s="15" t="n"/>
      <c r="H15" s="15" t="n"/>
      <c r="I15" s="15" t="n"/>
      <c r="J15" s="15" t="n"/>
      <c r="K15" s="27" t="n"/>
      <c r="L15" s="15" t="n"/>
      <c r="M15" s="15" t="n"/>
      <c r="N15" s="15" t="n"/>
      <c r="O15" s="15" t="n"/>
    </row>
    <row r="16">
      <c r="A16" s="15" t="n"/>
      <c r="B16" s="15" t="n"/>
      <c r="C16" s="15" t="n"/>
      <c r="D16" s="15" t="n"/>
      <c r="E16" s="26" t="n"/>
      <c r="F16" s="15" t="n"/>
      <c r="G16" s="15" t="n"/>
      <c r="H16" s="15" t="n"/>
      <c r="I16" s="15" t="n"/>
      <c r="J16" s="15" t="n"/>
      <c r="K16" s="27" t="n"/>
      <c r="L16" s="15" t="n"/>
      <c r="M16" s="15" t="n"/>
      <c r="N16" s="15" t="n"/>
      <c r="O16" s="15" t="n"/>
    </row>
    <row r="17">
      <c r="A17" s="15" t="n"/>
      <c r="B17" s="15" t="n"/>
      <c r="C17" s="15" t="n"/>
      <c r="D17" s="15" t="n"/>
      <c r="E17" s="26" t="n"/>
      <c r="F17" s="15" t="n"/>
      <c r="G17" s="15" t="n"/>
      <c r="H17" s="15" t="n"/>
      <c r="I17" s="15" t="n"/>
      <c r="J17" s="15" t="n"/>
      <c r="K17" s="27" t="n"/>
      <c r="L17" s="15" t="n"/>
      <c r="M17" s="15" t="n"/>
      <c r="N17" s="15" t="n"/>
      <c r="O17" s="15" t="n"/>
    </row>
    <row r="18">
      <c r="A18" s="15" t="n"/>
      <c r="B18" s="15" t="n"/>
      <c r="C18" s="15" t="n"/>
      <c r="D18" s="15" t="n"/>
      <c r="E18" s="26" t="n"/>
      <c r="F18" s="15" t="n"/>
      <c r="G18" s="15" t="n"/>
      <c r="H18" s="15" t="n"/>
      <c r="I18" s="15" t="n"/>
      <c r="J18" s="15" t="n"/>
      <c r="K18" s="27" t="n"/>
      <c r="L18" s="15" t="n"/>
      <c r="M18" s="15" t="n"/>
      <c r="N18" s="15" t="n"/>
      <c r="O18" s="15" t="n"/>
    </row>
    <row r="19">
      <c r="A19" s="15" t="n"/>
      <c r="B19" s="15" t="n"/>
      <c r="C19" s="15" t="n"/>
      <c r="D19" s="15" t="n"/>
      <c r="E19" s="26" t="n"/>
      <c r="F19" s="15" t="n"/>
      <c r="G19" s="15" t="n"/>
      <c r="H19" s="15" t="n"/>
      <c r="I19" s="15" t="n"/>
      <c r="J19" s="15" t="n"/>
      <c r="K19" s="27" t="n"/>
      <c r="L19" s="15" t="n"/>
      <c r="M19" s="15" t="n"/>
      <c r="N19" s="15" t="n"/>
      <c r="O19" s="15" t="n"/>
    </row>
    <row r="20">
      <c r="A20" s="15" t="n"/>
      <c r="B20" s="15" t="n"/>
      <c r="C20" s="15" t="n"/>
      <c r="D20" s="15" t="n"/>
      <c r="E20" s="26" t="n"/>
      <c r="F20" s="15" t="n"/>
      <c r="G20" s="15" t="n"/>
      <c r="H20" s="15" t="n"/>
      <c r="I20" s="15" t="n"/>
      <c r="J20" s="15" t="n"/>
      <c r="K20" s="27" t="n"/>
      <c r="L20" s="15" t="n"/>
      <c r="M20" s="15" t="n"/>
      <c r="N20" s="15" t="n"/>
      <c r="O20" s="15" t="n"/>
    </row>
    <row r="21">
      <c r="A21" s="15" t="n"/>
      <c r="B21" s="15" t="n"/>
      <c r="C21" s="15" t="n"/>
      <c r="D21" s="15" t="n"/>
      <c r="E21" s="26" t="n"/>
      <c r="F21" s="15" t="n"/>
      <c r="G21" s="15" t="n"/>
      <c r="H21" s="15" t="n"/>
      <c r="I21" s="15" t="n"/>
      <c r="J21" s="15" t="n"/>
      <c r="K21" s="27" t="n"/>
      <c r="L21" s="15" t="n"/>
      <c r="M21" s="15" t="n"/>
      <c r="N21" s="15" t="n"/>
      <c r="O21" s="15" t="n"/>
    </row>
    <row r="22">
      <c r="A22" s="15" t="n"/>
      <c r="B22" s="15" t="n"/>
      <c r="C22" s="15" t="n"/>
      <c r="D22" s="15" t="n"/>
      <c r="E22" s="26" t="n"/>
      <c r="F22" s="15" t="n"/>
      <c r="G22" s="15" t="n"/>
      <c r="H22" s="15" t="n"/>
      <c r="I22" s="15" t="n"/>
      <c r="J22" s="15" t="n"/>
      <c r="K22" s="27" t="n"/>
      <c r="L22" s="15" t="n"/>
      <c r="M22" s="15" t="n"/>
      <c r="N22" s="15" t="n"/>
      <c r="O22" s="15" t="n"/>
    </row>
    <row r="23">
      <c r="A23" s="15" t="n"/>
      <c r="B23" s="15" t="n"/>
      <c r="C23" s="15" t="n"/>
      <c r="D23" s="15" t="n"/>
      <c r="E23" s="26" t="n"/>
      <c r="F23" s="15" t="n"/>
      <c r="G23" s="15" t="n"/>
      <c r="H23" s="15" t="n"/>
      <c r="I23" s="15" t="n"/>
      <c r="J23" s="15" t="n"/>
      <c r="K23" s="27" t="n"/>
      <c r="L23" s="15" t="n"/>
      <c r="M23" s="15" t="n"/>
      <c r="N23" s="15" t="n"/>
      <c r="O23" s="15" t="n"/>
    </row>
    <row r="24">
      <c r="A24" s="15" t="n"/>
      <c r="B24" s="15" t="n"/>
      <c r="C24" s="15" t="n"/>
      <c r="D24" s="15" t="n"/>
      <c r="E24" s="26" t="n"/>
      <c r="F24" s="15" t="n"/>
      <c r="G24" s="15" t="n"/>
      <c r="H24" s="15" t="n"/>
      <c r="I24" s="15" t="n"/>
      <c r="J24" s="15" t="n"/>
      <c r="K24" s="27" t="n"/>
      <c r="L24" s="15" t="n"/>
      <c r="M24" s="15" t="n"/>
      <c r="N24" s="15" t="n"/>
      <c r="O24" s="15" t="n"/>
    </row>
    <row r="25">
      <c r="A25" s="15" t="n"/>
      <c r="B25" s="15" t="n"/>
      <c r="C25" s="15" t="n"/>
      <c r="D25" s="15" t="n"/>
      <c r="E25" s="26" t="n"/>
      <c r="F25" s="15" t="n"/>
      <c r="G25" s="15" t="n"/>
      <c r="H25" s="15" t="n"/>
      <c r="I25" s="15" t="n"/>
      <c r="J25" s="15" t="n"/>
      <c r="K25" s="27" t="n"/>
      <c r="L25" s="15" t="n"/>
      <c r="M25" s="15" t="n"/>
      <c r="N25" s="15" t="n"/>
      <c r="O25" s="15" t="n"/>
    </row>
    <row r="26">
      <c r="A26" s="15" t="n"/>
      <c r="B26" s="15" t="n"/>
      <c r="C26" s="15" t="n"/>
      <c r="D26" s="15" t="n"/>
      <c r="E26" s="26" t="n"/>
      <c r="F26" s="15" t="n"/>
      <c r="G26" s="15" t="n"/>
      <c r="H26" s="15" t="n"/>
      <c r="I26" s="15" t="n"/>
      <c r="J26" s="15" t="n"/>
      <c r="K26" s="27" t="n"/>
      <c r="L26" s="15" t="n"/>
      <c r="M26" s="15" t="n"/>
      <c r="N26" s="15" t="n"/>
      <c r="O26" s="15" t="n"/>
    </row>
    <row r="27">
      <c r="A27" s="15" t="n"/>
      <c r="B27" s="15" t="n"/>
      <c r="C27" s="15" t="n"/>
      <c r="D27" s="15" t="n"/>
      <c r="E27" s="26" t="n"/>
      <c r="F27" s="15" t="n"/>
      <c r="G27" s="15" t="n"/>
      <c r="H27" s="15" t="n"/>
      <c r="I27" s="15" t="n"/>
      <c r="J27" s="15" t="n"/>
      <c r="K27" s="27" t="n"/>
      <c r="L27" s="15" t="n"/>
      <c r="M27" s="15" t="n"/>
      <c r="N27" s="15" t="n"/>
      <c r="O27" s="15" t="n"/>
    </row>
    <row r="28">
      <c r="A28" s="15" t="n"/>
      <c r="B28" s="15" t="n"/>
      <c r="C28" s="15" t="n"/>
      <c r="D28" s="15" t="n"/>
      <c r="E28" s="26" t="n"/>
      <c r="F28" s="15" t="n"/>
      <c r="G28" s="15" t="n"/>
      <c r="H28" s="15" t="n"/>
      <c r="I28" s="15" t="n"/>
      <c r="J28" s="15" t="n"/>
      <c r="K28" s="27" t="n"/>
      <c r="L28" s="15" t="n"/>
      <c r="M28" s="15" t="n"/>
      <c r="N28" s="15" t="n"/>
      <c r="O28" s="15" t="n"/>
    </row>
    <row r="29">
      <c r="A29" s="15" t="n"/>
      <c r="B29" s="15" t="n"/>
      <c r="C29" s="15" t="n"/>
      <c r="D29" s="15" t="n"/>
      <c r="E29" s="26" t="n"/>
      <c r="F29" s="15" t="n"/>
      <c r="G29" s="15" t="n"/>
      <c r="H29" s="15" t="n"/>
      <c r="I29" s="15" t="n"/>
      <c r="J29" s="15" t="n"/>
      <c r="K29" s="27" t="n"/>
      <c r="L29" s="15" t="n"/>
      <c r="M29" s="15" t="n"/>
      <c r="N29" s="15" t="n"/>
      <c r="O29" s="15" t="n"/>
    </row>
    <row r="30">
      <c r="A30" s="15" t="n"/>
      <c r="B30" s="15" t="n"/>
      <c r="C30" s="15" t="n"/>
      <c r="D30" s="15" t="n"/>
      <c r="E30" s="26" t="n"/>
      <c r="F30" s="15" t="n"/>
      <c r="G30" s="15" t="n"/>
      <c r="H30" s="15" t="n"/>
      <c r="I30" s="15" t="n"/>
      <c r="J30" s="15" t="n"/>
      <c r="K30" s="27" t="n"/>
      <c r="L30" s="15" t="n"/>
      <c r="M30" s="15" t="n"/>
      <c r="N30" s="15" t="n"/>
      <c r="O30" s="15" t="n"/>
    </row>
    <row r="31">
      <c r="A31" s="15" t="n"/>
      <c r="B31" s="15" t="n"/>
      <c r="C31" s="15" t="n"/>
      <c r="D31" s="15" t="n"/>
      <c r="E31" s="26" t="n"/>
      <c r="F31" s="15" t="n"/>
      <c r="G31" s="15" t="n"/>
      <c r="H31" s="15" t="n"/>
      <c r="I31" s="15" t="n"/>
      <c r="J31" s="15" t="n"/>
      <c r="K31" s="27" t="n"/>
      <c r="L31" s="15" t="n"/>
      <c r="M31" s="15" t="n"/>
      <c r="N31" s="15" t="n"/>
      <c r="O31" s="15" t="n"/>
    </row>
    <row r="32">
      <c r="A32" s="15" t="n"/>
      <c r="B32" s="15" t="n"/>
      <c r="C32" s="15" t="n"/>
      <c r="D32" s="15" t="n"/>
      <c r="E32" s="26" t="n"/>
      <c r="F32" s="15" t="n"/>
      <c r="G32" s="15" t="n"/>
      <c r="H32" s="15" t="n"/>
      <c r="I32" s="15" t="n"/>
      <c r="J32" s="15" t="n"/>
      <c r="K32" s="27" t="n"/>
      <c r="L32" s="15" t="n"/>
      <c r="M32" s="15" t="n"/>
      <c r="N32" s="15" t="n"/>
      <c r="O32" s="15" t="n"/>
    </row>
    <row r="33">
      <c r="A33" s="15" t="n"/>
      <c r="B33" s="15" t="n"/>
      <c r="C33" s="15" t="n"/>
      <c r="D33" s="15" t="n"/>
      <c r="E33" s="26" t="n"/>
      <c r="F33" s="15" t="n"/>
      <c r="G33" s="15" t="n"/>
      <c r="H33" s="15" t="n"/>
      <c r="I33" s="15" t="n"/>
      <c r="J33" s="15" t="n"/>
      <c r="K33" s="27" t="n"/>
      <c r="L33" s="15" t="n"/>
      <c r="M33" s="15" t="n"/>
      <c r="N33" s="15" t="n"/>
      <c r="O33" s="15" t="n"/>
    </row>
    <row r="34">
      <c r="A34" s="15" t="n"/>
      <c r="B34" s="15" t="n"/>
      <c r="C34" s="15" t="n"/>
      <c r="D34" s="15" t="n"/>
      <c r="E34" s="26" t="n"/>
      <c r="F34" s="15" t="n"/>
      <c r="G34" s="15" t="n"/>
      <c r="H34" s="15" t="n"/>
      <c r="I34" s="15" t="n"/>
      <c r="J34" s="15" t="n"/>
      <c r="K34" s="27" t="n"/>
      <c r="L34" s="15" t="n"/>
      <c r="M34" s="15" t="n"/>
      <c r="N34" s="15" t="n"/>
      <c r="O34" s="15" t="n"/>
    </row>
    <row r="35">
      <c r="A35" s="15" t="n"/>
      <c r="B35" s="15" t="n"/>
      <c r="C35" s="15" t="n"/>
      <c r="D35" s="15" t="n"/>
      <c r="E35" s="26" t="n"/>
      <c r="F35" s="15" t="n"/>
      <c r="G35" s="15" t="n"/>
      <c r="H35" s="15" t="n"/>
      <c r="I35" s="15" t="n"/>
      <c r="J35" s="15" t="n"/>
      <c r="K35" s="27" t="n"/>
      <c r="L35" s="15" t="n"/>
      <c r="M35" s="15" t="n"/>
      <c r="N35" s="15" t="n"/>
      <c r="O35" s="15" t="n"/>
    </row>
    <row r="36">
      <c r="A36" s="15" t="n"/>
      <c r="B36" s="15" t="n"/>
      <c r="C36" s="15" t="n"/>
      <c r="D36" s="15" t="n"/>
      <c r="E36" s="26" t="n"/>
      <c r="F36" s="15" t="n"/>
      <c r="G36" s="15" t="n"/>
      <c r="H36" s="15" t="n"/>
      <c r="I36" s="15" t="n"/>
      <c r="J36" s="15" t="n"/>
      <c r="K36" s="27" t="n"/>
      <c r="L36" s="15" t="n"/>
      <c r="M36" s="15" t="n"/>
      <c r="N36" s="15" t="n"/>
      <c r="O36" s="15" t="n"/>
    </row>
    <row r="37">
      <c r="A37" s="15" t="n"/>
      <c r="B37" s="15" t="n"/>
      <c r="C37" s="15" t="n"/>
      <c r="D37" s="15" t="n"/>
      <c r="E37" s="26" t="n"/>
      <c r="F37" s="15" t="n"/>
      <c r="G37" s="15" t="n"/>
      <c r="H37" s="15" t="n"/>
      <c r="I37" s="15" t="n"/>
      <c r="J37" s="15" t="n"/>
      <c r="K37" s="27" t="n"/>
      <c r="L37" s="15" t="n"/>
      <c r="M37" s="15" t="n"/>
      <c r="N37" s="15" t="n"/>
      <c r="O37" s="15" t="n"/>
    </row>
    <row r="38">
      <c r="A38" s="15" t="n"/>
      <c r="B38" s="15" t="n"/>
      <c r="C38" s="15" t="n"/>
      <c r="D38" s="15" t="n"/>
      <c r="E38" s="26" t="n"/>
      <c r="F38" s="15" t="n"/>
      <c r="G38" s="15" t="n"/>
      <c r="H38" s="15" t="n"/>
      <c r="I38" s="15" t="n"/>
      <c r="J38" s="15" t="n"/>
      <c r="K38" s="27" t="n"/>
      <c r="L38" s="15" t="n"/>
      <c r="M38" s="15" t="n"/>
      <c r="N38" s="15" t="n"/>
      <c r="O38" s="15" t="n"/>
    </row>
    <row r="39">
      <c r="A39" s="15" t="n"/>
      <c r="B39" s="15" t="n"/>
      <c r="C39" s="15" t="n"/>
      <c r="D39" s="15" t="n"/>
      <c r="E39" s="26" t="n"/>
      <c r="F39" s="15" t="n"/>
      <c r="G39" s="15" t="n"/>
      <c r="H39" s="15" t="n"/>
      <c r="I39" s="15" t="n"/>
      <c r="J39" s="15" t="n"/>
      <c r="K39" s="27" t="n"/>
      <c r="L39" s="15" t="n"/>
      <c r="M39" s="15" t="n"/>
      <c r="N39" s="15" t="n"/>
      <c r="O39" s="15" t="n"/>
    </row>
    <row r="40">
      <c r="A40" s="15" t="n"/>
      <c r="B40" s="15" t="n"/>
      <c r="C40" s="15" t="n"/>
      <c r="D40" s="15" t="n"/>
      <c r="E40" s="26" t="n"/>
      <c r="F40" s="15" t="n"/>
      <c r="G40" s="15" t="n"/>
      <c r="H40" s="15" t="n"/>
      <c r="I40" s="15" t="n"/>
      <c r="J40" s="15" t="n"/>
      <c r="K40" s="27" t="n"/>
      <c r="L40" s="15" t="n"/>
      <c r="M40" s="15" t="n"/>
      <c r="N40" s="15" t="n"/>
      <c r="O40" s="15" t="n"/>
    </row>
    <row r="41">
      <c r="A41" s="15" t="n"/>
      <c r="B41" s="15" t="n"/>
      <c r="C41" s="15" t="n"/>
      <c r="D41" s="15" t="n"/>
      <c r="E41" s="26" t="n"/>
      <c r="F41" s="15" t="n"/>
      <c r="G41" s="15" t="n"/>
      <c r="H41" s="15" t="n"/>
      <c r="I41" s="15" t="n"/>
      <c r="J41" s="15" t="n"/>
      <c r="K41" s="27" t="n"/>
      <c r="L41" s="15" t="n"/>
      <c r="M41" s="15" t="n"/>
      <c r="N41" s="15" t="n"/>
      <c r="O41" s="15" t="n"/>
    </row>
    <row r="42">
      <c r="A42" s="15" t="n"/>
      <c r="B42" s="15" t="n"/>
      <c r="C42" s="15" t="n"/>
      <c r="D42" s="15" t="n"/>
      <c r="E42" s="26" t="n"/>
      <c r="F42" s="15" t="n"/>
      <c r="G42" s="15" t="n"/>
      <c r="H42" s="15" t="n"/>
      <c r="I42" s="15" t="n"/>
      <c r="J42" s="15" t="n"/>
      <c r="K42" s="27" t="n"/>
      <c r="L42" s="15" t="n"/>
      <c r="M42" s="15" t="n"/>
      <c r="N42" s="15" t="n"/>
      <c r="O42" s="15" t="n"/>
    </row>
    <row r="43">
      <c r="A43" s="15" t="n"/>
      <c r="B43" s="15" t="n"/>
      <c r="C43" s="15" t="n"/>
      <c r="D43" s="15" t="n"/>
      <c r="E43" s="26" t="n"/>
      <c r="F43" s="15" t="n"/>
      <c r="G43" s="15" t="n"/>
      <c r="H43" s="15" t="n"/>
      <c r="I43" s="15" t="n"/>
      <c r="J43" s="15" t="n"/>
      <c r="K43" s="27" t="n"/>
      <c r="L43" s="15" t="n"/>
      <c r="M43" s="15" t="n"/>
      <c r="N43" s="15" t="n"/>
      <c r="O43" s="15" t="n"/>
    </row>
    <row r="44">
      <c r="A44" s="15" t="n"/>
      <c r="B44" s="15" t="n"/>
      <c r="C44" s="15" t="n"/>
      <c r="D44" s="15" t="n"/>
      <c r="E44" s="26" t="n"/>
      <c r="F44" s="15" t="n"/>
      <c r="G44" s="15" t="n"/>
      <c r="H44" s="15" t="n"/>
      <c r="I44" s="15" t="n"/>
      <c r="J44" s="15" t="n"/>
      <c r="K44" s="27" t="n"/>
      <c r="L44" s="15" t="n"/>
      <c r="M44" s="15" t="n"/>
      <c r="N44" s="15" t="n"/>
      <c r="O44" s="15" t="n"/>
    </row>
    <row r="45">
      <c r="A45" s="15" t="n"/>
      <c r="B45" s="15" t="n"/>
      <c r="C45" s="15" t="n"/>
      <c r="D45" s="15" t="n"/>
      <c r="E45" s="26" t="n"/>
      <c r="F45" s="15" t="n"/>
      <c r="G45" s="15" t="n"/>
      <c r="H45" s="15" t="n"/>
      <c r="I45" s="15" t="n"/>
      <c r="J45" s="15" t="n"/>
      <c r="K45" s="27" t="n"/>
      <c r="L45" s="15" t="n"/>
      <c r="M45" s="15" t="n"/>
      <c r="N45" s="15" t="n"/>
      <c r="O45" s="15" t="n"/>
    </row>
    <row r="46">
      <c r="A46" s="15" t="n"/>
      <c r="B46" s="15" t="n"/>
      <c r="C46" s="15" t="n"/>
      <c r="D46" s="15" t="n"/>
      <c r="E46" s="26" t="n"/>
      <c r="F46" s="15" t="n"/>
      <c r="G46" s="15" t="n"/>
      <c r="H46" s="15" t="n"/>
      <c r="I46" s="15" t="n"/>
      <c r="J46" s="15" t="n"/>
      <c r="K46" s="27" t="n"/>
      <c r="L46" s="15" t="n"/>
      <c r="M46" s="15" t="n"/>
      <c r="N46" s="15" t="n"/>
      <c r="O46" s="15" t="n"/>
    </row>
    <row r="47">
      <c r="A47" s="15" t="n"/>
      <c r="B47" s="15" t="n"/>
      <c r="C47" s="15" t="n"/>
      <c r="D47" s="15" t="n"/>
      <c r="E47" s="26" t="n"/>
      <c r="F47" s="15" t="n"/>
      <c r="G47" s="15" t="n"/>
      <c r="H47" s="15" t="n"/>
      <c r="I47" s="15" t="n"/>
      <c r="J47" s="15" t="n"/>
      <c r="K47" s="27" t="n"/>
      <c r="L47" s="15" t="n"/>
      <c r="M47" s="15" t="n"/>
      <c r="N47" s="15" t="n"/>
      <c r="O47" s="15" t="n"/>
    </row>
    <row r="48">
      <c r="A48" s="15" t="n"/>
      <c r="B48" s="15" t="n"/>
      <c r="C48" s="15" t="n"/>
      <c r="D48" s="15" t="n"/>
      <c r="E48" s="26" t="n"/>
      <c r="F48" s="15" t="n"/>
      <c r="G48" s="15" t="n"/>
      <c r="H48" s="15" t="n"/>
      <c r="I48" s="15" t="n"/>
      <c r="J48" s="15" t="n"/>
      <c r="K48" s="27" t="n"/>
      <c r="L48" s="15" t="n"/>
      <c r="M48" s="15" t="n"/>
      <c r="N48" s="15" t="n"/>
      <c r="O48" s="15" t="n"/>
    </row>
    <row r="49">
      <c r="A49" s="15" t="n"/>
      <c r="B49" s="15" t="n"/>
      <c r="C49" s="15" t="n"/>
      <c r="D49" s="15" t="n"/>
      <c r="E49" s="26" t="n"/>
      <c r="F49" s="15" t="n"/>
      <c r="G49" s="15" t="n"/>
      <c r="H49" s="15" t="n"/>
      <c r="I49" s="15" t="n"/>
      <c r="J49" s="15" t="n"/>
      <c r="K49" s="27" t="n"/>
      <c r="L49" s="15" t="n"/>
      <c r="M49" s="15" t="n"/>
      <c r="N49" s="15" t="n"/>
      <c r="O49" s="15" t="n"/>
    </row>
    <row r="50">
      <c r="A50" s="15" t="n"/>
      <c r="B50" s="15" t="n"/>
      <c r="C50" s="15" t="n"/>
      <c r="D50" s="15" t="n"/>
      <c r="E50" s="26" t="n"/>
      <c r="F50" s="15" t="n"/>
      <c r="G50" s="15" t="n"/>
      <c r="H50" s="15" t="n"/>
      <c r="I50" s="15" t="n"/>
      <c r="J50" s="15" t="n"/>
      <c r="K50" s="27" t="n"/>
      <c r="L50" s="15" t="n"/>
      <c r="M50" s="15" t="n"/>
      <c r="N50" s="15" t="n"/>
      <c r="O50" s="15" t="n"/>
    </row>
    <row r="51">
      <c r="A51" s="15" t="n"/>
      <c r="B51" s="15" t="n"/>
      <c r="C51" s="15" t="n"/>
      <c r="D51" s="15" t="n"/>
      <c r="E51" s="26" t="n"/>
      <c r="F51" s="15" t="n"/>
      <c r="G51" s="15" t="n"/>
      <c r="H51" s="15" t="n"/>
      <c r="I51" s="15" t="n"/>
      <c r="J51" s="15" t="n"/>
      <c r="K51" s="27" t="n"/>
      <c r="L51" s="15" t="n"/>
      <c r="M51" s="15" t="n"/>
      <c r="N51" s="15" t="n"/>
      <c r="O51" s="15" t="n"/>
    </row>
    <row r="52">
      <c r="A52" s="15" t="n"/>
      <c r="B52" s="15" t="n"/>
      <c r="C52" s="15" t="n"/>
      <c r="D52" s="15" t="n"/>
      <c r="E52" s="26" t="n"/>
      <c r="F52" s="15" t="n"/>
      <c r="G52" s="15" t="n"/>
      <c r="H52" s="15" t="n"/>
      <c r="I52" s="15" t="n"/>
      <c r="J52" s="15" t="n"/>
      <c r="K52" s="27" t="n"/>
      <c r="L52" s="15" t="n"/>
      <c r="M52" s="15" t="n"/>
      <c r="N52" s="15" t="n"/>
      <c r="O52" s="15" t="n"/>
    </row>
    <row r="53">
      <c r="A53" s="15" t="n"/>
      <c r="B53" s="15" t="n"/>
      <c r="C53" s="15" t="n"/>
      <c r="D53" s="15" t="n"/>
      <c r="E53" s="26" t="n"/>
      <c r="F53" s="15" t="n"/>
      <c r="G53" s="15" t="n"/>
      <c r="H53" s="15" t="n"/>
      <c r="I53" s="15" t="n"/>
      <c r="J53" s="15" t="n"/>
      <c r="K53" s="27" t="n"/>
      <c r="L53" s="15" t="n"/>
      <c r="M53" s="15" t="n"/>
      <c r="N53" s="15" t="n"/>
      <c r="O53" s="15" t="n"/>
    </row>
    <row r="54">
      <c r="A54" s="15" t="n"/>
      <c r="B54" s="15" t="n"/>
      <c r="C54" s="15" t="n"/>
      <c r="D54" s="15" t="n"/>
      <c r="E54" s="26" t="n"/>
      <c r="F54" s="15" t="n"/>
      <c r="G54" s="15" t="n"/>
      <c r="H54" s="15" t="n"/>
      <c r="I54" s="15" t="n"/>
      <c r="J54" s="15" t="n"/>
      <c r="K54" s="27" t="n"/>
      <c r="L54" s="15" t="n"/>
      <c r="M54" s="15" t="n"/>
      <c r="N54" s="15" t="n"/>
      <c r="O54" s="15" t="n"/>
    </row>
    <row r="55">
      <c r="A55" s="15" t="n"/>
      <c r="B55" s="15" t="n"/>
      <c r="C55" s="15" t="n"/>
      <c r="D55" s="15" t="n"/>
      <c r="E55" s="26" t="n"/>
      <c r="F55" s="15" t="n"/>
      <c r="G55" s="15" t="n"/>
      <c r="H55" s="15" t="n"/>
      <c r="I55" s="15" t="n"/>
      <c r="J55" s="15" t="n"/>
      <c r="K55" s="27" t="n"/>
      <c r="L55" s="15" t="n"/>
      <c r="M55" s="15" t="n"/>
      <c r="N55" s="15" t="n"/>
      <c r="O55" s="15" t="n"/>
    </row>
  </sheetData>
  <mergeCells count="2">
    <mergeCell ref="A1:O1"/>
    <mergeCell ref="A2:O2"/>
  </mergeCells>
  <dataValidations count="7">
    <dataValidation sqref="B6:B55" showDropDown="0" showInputMessage="0" showErrorMessage="0" allowBlank="1" type="list">
      <formula1>"Syslog,CEF,JSON,EVTX,LEEF,Custom"</formula1>
    </dataValidation>
    <dataValidation sqref="C6:C55" showDropDown="0" showInputMessage="0" showErrorMessage="0" allowBlank="1" type="list">
      <formula1>"Built-in,Custom Regex,Grok,Logstash Filter,Custom Script,ML-based"</formula1>
    </dataValidation>
    <dataValidation sqref="D6:D55" showDropDown="0" showInputMessage="0" showErrorMessage="0" allowBlank="1" type="list">
      <formula1>"Working,Needs Tuning,Broken,Not Configured"</formula1>
    </dataValidation>
    <dataValidation sqref="H6:H55" showDropDown="0" showInputMessage="0" showErrorMessage="0" allowBlank="1" type="list">
      <formula1>"All,Most,Some,Few,None"</formula1>
    </dataValidation>
    <dataValidation sqref="I6:I55" showDropDown="0" showInputMessage="0" showErrorMessage="0" allowBlank="1" type="list">
      <formula1>"Correct,Incorrect,Missing"</formula1>
    </dataValidation>
    <dataValidation sqref="J6:J55" showDropDown="0" showInputMessage="0" showErrorMessage="0" allowBlank="1" type="list">
      <formula1>"Correct,Incorrect,Unknown"</formula1>
    </dataValidation>
    <dataValidation sqref="M6:M5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8" customWidth="1" min="7" max="7"/>
    <col width="18" customWidth="1" min="8" max="8"/>
    <col width="15" customWidth="1" min="9" max="9"/>
    <col width="20" customWidth="1" min="10" max="10"/>
    <col width="12" customWidth="1" min="11" max="11"/>
    <col width="15" customWidth="1" min="12" max="12"/>
    <col width="18" customWidth="1" min="13" max="13"/>
    <col width="40" customWidth="1" min="14" max="14"/>
  </cols>
  <sheetData>
    <row r="1" ht="35" customHeight="1">
      <c r="A1" s="11" t="inlineStr">
        <is>
          <t>SIEM PERFORMANCE METRICS</t>
        </is>
      </c>
    </row>
    <row r="2">
      <c r="A2" s="12" t="inlineStr">
        <is>
          <t>Track SIEM platform performance over assessment period (daily metrics)</t>
        </is>
      </c>
    </row>
    <row r="4">
      <c r="A4" s="13" t="inlineStr">
        <is>
          <t>Metric Date</t>
        </is>
      </c>
      <c r="B4" s="13" t="inlineStr">
        <is>
          <t>Daily Events Indexed</t>
        </is>
      </c>
      <c r="C4" s="13" t="inlineStr">
        <is>
          <t>Peak Events/Second</t>
        </is>
      </c>
      <c r="D4" s="13" t="inlineStr">
        <is>
          <t>Indexing Lag (minutes)</t>
        </is>
      </c>
      <c r="E4" s="13" t="inlineStr">
        <is>
          <t>Search Performance (sec)</t>
        </is>
      </c>
      <c r="F4" s="13" t="inlineStr">
        <is>
          <t>Dashboard Load Time (sec)</t>
        </is>
      </c>
      <c r="G4" s="13" t="inlineStr">
        <is>
          <t>CPU Utilization %</t>
        </is>
      </c>
      <c r="H4" s="13" t="inlineStr">
        <is>
          <t>Memory Utilization %</t>
        </is>
      </c>
      <c r="I4" s="13" t="inlineStr">
        <is>
          <t>Disk I/O %</t>
        </is>
      </c>
      <c r="J4" s="13" t="inlineStr">
        <is>
          <t>Network Throughput (Gbps)</t>
        </is>
      </c>
      <c r="K4" s="13" t="inlineStr">
        <is>
          <t>Uptime %</t>
        </is>
      </c>
      <c r="L4" s="13" t="inlineStr">
        <is>
          <t>Incidents</t>
        </is>
      </c>
      <c r="M4" s="13" t="inlineStr">
        <is>
          <t>Performance Status</t>
        </is>
      </c>
      <c r="N4" s="13" t="inlineStr">
        <is>
          <t>Notes</t>
        </is>
      </c>
    </row>
    <row r="5">
      <c r="A5" s="14" t="inlineStr">
        <is>
          <t>06.01.2026</t>
        </is>
      </c>
      <c r="B5" s="14" t="inlineStr">
        <is>
          <t>25000000</t>
        </is>
      </c>
      <c r="C5" s="14" t="inlineStr">
        <is>
          <t>8500</t>
        </is>
      </c>
      <c r="D5" s="14" t="inlineStr">
        <is>
          <t>3</t>
        </is>
      </c>
      <c r="E5" s="14" t="inlineStr">
        <is>
          <t>8</t>
        </is>
      </c>
      <c r="F5" s="14" t="inlineStr">
        <is>
          <t>5</t>
        </is>
      </c>
      <c r="G5" s="14" t="inlineStr">
        <is>
          <t>65</t>
        </is>
      </c>
      <c r="H5" s="14" t="inlineStr">
        <is>
          <t>72</t>
        </is>
      </c>
      <c r="I5" s="14" t="inlineStr">
        <is>
          <t>45</t>
        </is>
      </c>
      <c r="J5" s="14" t="inlineStr">
        <is>
          <t>2.5</t>
        </is>
      </c>
      <c r="K5" s="14" t="inlineStr">
        <is>
          <t>100</t>
        </is>
      </c>
      <c r="L5" s="14" t="inlineStr">
        <is>
          <t>0</t>
        </is>
      </c>
      <c r="M5" s="14" t="inlineStr">
        <is>
          <t>Healthy</t>
        </is>
      </c>
      <c r="N5" s="14" t="inlineStr">
        <is>
          <t>Normal operations</t>
        </is>
      </c>
    </row>
    <row r="6">
      <c r="A6" s="18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7">
        <f>IF(A6="","",IF(AND(D6&lt;=5,E6&lt;=10,G6&lt;80,H6&lt;80,K6&gt;=99.9),"Healthy",IF(OR(D6&gt;15,E6&gt;30,G6&gt;90,H6&gt;90,K6&lt;99),"Critical","Warning")))</f>
        <v/>
      </c>
      <c r="N6" s="15" t="n"/>
    </row>
    <row r="7">
      <c r="A7" s="18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7">
        <f>IF(A7="","",IF(AND(D7&lt;=5,E7&lt;=10,G7&lt;80,H7&lt;80,K7&gt;=99.9),"Healthy",IF(OR(D7&gt;15,E7&gt;30,G7&gt;90,H7&gt;90,K7&lt;99),"Critical","Warning")))</f>
        <v/>
      </c>
      <c r="N7" s="15" t="n"/>
    </row>
    <row r="8">
      <c r="A8" s="18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7">
        <f>IF(A8="","",IF(AND(D8&lt;=5,E8&lt;=10,G8&lt;80,H8&lt;80,K8&gt;=99.9),"Healthy",IF(OR(D8&gt;15,E8&gt;30,G8&gt;90,H8&gt;90,K8&lt;99),"Critical","Warning")))</f>
        <v/>
      </c>
      <c r="N8" s="15" t="n"/>
    </row>
    <row r="9">
      <c r="A9" s="18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7">
        <f>IF(A9="","",IF(AND(D9&lt;=5,E9&lt;=10,G9&lt;80,H9&lt;80,K9&gt;=99.9),"Healthy",IF(OR(D9&gt;15,E9&gt;30,G9&gt;90,H9&gt;90,K9&lt;99),"Critical","Warning")))</f>
        <v/>
      </c>
      <c r="N9" s="15" t="n"/>
    </row>
    <row r="10">
      <c r="A10" s="18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7">
        <f>IF(A10="","",IF(AND(D10&lt;=5,E10&lt;=10,G10&lt;80,H10&lt;80,K10&gt;=99.9),"Healthy",IF(OR(D10&gt;15,E10&gt;30,G10&gt;90,H10&gt;90,K10&lt;99),"Critical","Warning")))</f>
        <v/>
      </c>
      <c r="N10" s="15" t="n"/>
    </row>
    <row r="11">
      <c r="A11" s="18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7">
        <f>IF(A11="","",IF(AND(D11&lt;=5,E11&lt;=10,G11&lt;80,H11&lt;80,K11&gt;=99.9),"Healthy",IF(OR(D11&gt;15,E11&gt;30,G11&gt;90,H11&gt;90,K11&lt;99),"Critical","Warning")))</f>
        <v/>
      </c>
      <c r="N11" s="15" t="n"/>
    </row>
    <row r="12">
      <c r="A12" s="18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7">
        <f>IF(A12="","",IF(AND(D12&lt;=5,E12&lt;=10,G12&lt;80,H12&lt;80,K12&gt;=99.9),"Healthy",IF(OR(D12&gt;15,E12&gt;30,G12&gt;90,H12&gt;90,K12&lt;99),"Critical","Warning")))</f>
        <v/>
      </c>
      <c r="N12" s="15" t="n"/>
    </row>
    <row r="13">
      <c r="A13" s="18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7">
        <f>IF(A13="","",IF(AND(D13&lt;=5,E13&lt;=10,G13&lt;80,H13&lt;80,K13&gt;=99.9),"Healthy",IF(OR(D13&gt;15,E13&gt;30,G13&gt;90,H13&gt;90,K13&lt;99),"Critical","Warning")))</f>
        <v/>
      </c>
      <c r="N13" s="15" t="n"/>
    </row>
    <row r="14">
      <c r="A14" s="18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7">
        <f>IF(A14="","",IF(AND(D14&lt;=5,E14&lt;=10,G14&lt;80,H14&lt;80,K14&gt;=99.9),"Healthy",IF(OR(D14&gt;15,E14&gt;30,G14&gt;90,H14&gt;90,K14&lt;99),"Critical","Warning")))</f>
        <v/>
      </c>
      <c r="N14" s="15" t="n"/>
    </row>
    <row r="15">
      <c r="A15" s="18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7">
        <f>IF(A15="","",IF(AND(D15&lt;=5,E15&lt;=10,G15&lt;80,H15&lt;80,K15&gt;=99.9),"Healthy",IF(OR(D15&gt;15,E15&gt;30,G15&gt;90,H15&gt;90,K15&lt;99),"Critical","Warning")))</f>
        <v/>
      </c>
      <c r="N15" s="15" t="n"/>
    </row>
    <row r="16">
      <c r="A16" s="18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7">
        <f>IF(A16="","",IF(AND(D16&lt;=5,E16&lt;=10,G16&lt;80,H16&lt;80,K16&gt;=99.9),"Healthy",IF(OR(D16&gt;15,E16&gt;30,G16&gt;90,H16&gt;90,K16&lt;99),"Critical","Warning")))</f>
        <v/>
      </c>
      <c r="N16" s="15" t="n"/>
    </row>
    <row r="17">
      <c r="A17" s="18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7">
        <f>IF(A17="","",IF(AND(D17&lt;=5,E17&lt;=10,G17&lt;80,H17&lt;80,K17&gt;=99.9),"Healthy",IF(OR(D17&gt;15,E17&gt;30,G17&gt;90,H17&gt;90,K17&lt;99),"Critical","Warning")))</f>
        <v/>
      </c>
      <c r="N17" s="15" t="n"/>
    </row>
    <row r="18">
      <c r="A18" s="18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7">
        <f>IF(A18="","",IF(AND(D18&lt;=5,E18&lt;=10,G18&lt;80,H18&lt;80,K18&gt;=99.9),"Healthy",IF(OR(D18&gt;15,E18&gt;30,G18&gt;90,H18&gt;90,K18&lt;99),"Critical","Warning")))</f>
        <v/>
      </c>
      <c r="N18" s="15" t="n"/>
    </row>
    <row r="19">
      <c r="A19" s="18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7">
        <f>IF(A19="","",IF(AND(D19&lt;=5,E19&lt;=10,G19&lt;80,H19&lt;80,K19&gt;=99.9),"Healthy",IF(OR(D19&gt;15,E19&gt;30,G19&gt;90,H19&gt;90,K19&lt;99),"Critical","Warning")))</f>
        <v/>
      </c>
      <c r="N19" s="15" t="n"/>
    </row>
    <row r="20">
      <c r="A20" s="18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7">
        <f>IF(A20="","",IF(AND(D20&lt;=5,E20&lt;=10,G20&lt;80,H20&lt;80,K20&gt;=99.9),"Healthy",IF(OR(D20&gt;15,E20&gt;30,G20&gt;90,H20&gt;90,K20&lt;99),"Critical","Warning")))</f>
        <v/>
      </c>
      <c r="N20" s="15" t="n"/>
    </row>
    <row r="21">
      <c r="A21" s="18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7">
        <f>IF(A21="","",IF(AND(D21&lt;=5,E21&lt;=10,G21&lt;80,H21&lt;80,K21&gt;=99.9),"Healthy",IF(OR(D21&gt;15,E21&gt;30,G21&gt;90,H21&gt;90,K21&lt;99),"Critical","Warning")))</f>
        <v/>
      </c>
      <c r="N21" s="15" t="n"/>
    </row>
    <row r="22">
      <c r="A22" s="18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7">
        <f>IF(A22="","",IF(AND(D22&lt;=5,E22&lt;=10,G22&lt;80,H22&lt;80,K22&gt;=99.9),"Healthy",IF(OR(D22&gt;15,E22&gt;30,G22&gt;90,H22&gt;90,K22&lt;99),"Critical","Warning")))</f>
        <v/>
      </c>
      <c r="N22" s="15" t="n"/>
    </row>
    <row r="23">
      <c r="A23" s="18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7">
        <f>IF(A23="","",IF(AND(D23&lt;=5,E23&lt;=10,G23&lt;80,H23&lt;80,K23&gt;=99.9),"Healthy",IF(OR(D23&gt;15,E23&gt;30,G23&gt;90,H23&gt;90,K23&lt;99),"Critical","Warning")))</f>
        <v/>
      </c>
      <c r="N23" s="15" t="n"/>
    </row>
    <row r="24">
      <c r="A24" s="18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7">
        <f>IF(A24="","",IF(AND(D24&lt;=5,E24&lt;=10,G24&lt;80,H24&lt;80,K24&gt;=99.9),"Healthy",IF(OR(D24&gt;15,E24&gt;30,G24&gt;90,H24&gt;90,K24&lt;99),"Critical","Warning")))</f>
        <v/>
      </c>
      <c r="N24" s="15" t="n"/>
    </row>
    <row r="25">
      <c r="A25" s="18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7">
        <f>IF(A25="","",IF(AND(D25&lt;=5,E25&lt;=10,G25&lt;80,H25&lt;80,K25&gt;=99.9),"Healthy",IF(OR(D25&gt;15,E25&gt;30,G25&gt;90,H25&gt;90,K25&lt;99),"Critical","Warning")))</f>
        <v/>
      </c>
      <c r="N25" s="15" t="n"/>
    </row>
    <row r="26">
      <c r="A26" s="18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7">
        <f>IF(A26="","",IF(AND(D26&lt;=5,E26&lt;=10,G26&lt;80,H26&lt;80,K26&gt;=99.9),"Healthy",IF(OR(D26&gt;15,E26&gt;30,G26&gt;90,H26&gt;90,K26&lt;99),"Critical","Warning")))</f>
        <v/>
      </c>
      <c r="N26" s="15" t="n"/>
    </row>
    <row r="27">
      <c r="A27" s="18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7">
        <f>IF(A27="","",IF(AND(D27&lt;=5,E27&lt;=10,G27&lt;80,H27&lt;80,K27&gt;=99.9),"Healthy",IF(OR(D27&gt;15,E27&gt;30,G27&gt;90,H27&gt;90,K27&lt;99),"Critical","Warning")))</f>
        <v/>
      </c>
      <c r="N27" s="15" t="n"/>
    </row>
    <row r="28">
      <c r="A28" s="18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7">
        <f>IF(A28="","",IF(AND(D28&lt;=5,E28&lt;=10,G28&lt;80,H28&lt;80,K28&gt;=99.9),"Healthy",IF(OR(D28&gt;15,E28&gt;30,G28&gt;90,H28&gt;90,K28&lt;99),"Critical","Warning")))</f>
        <v/>
      </c>
      <c r="N28" s="15" t="n"/>
    </row>
    <row r="29">
      <c r="A29" s="18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7">
        <f>IF(A29="","",IF(AND(D29&lt;=5,E29&lt;=10,G29&lt;80,H29&lt;80,K29&gt;=99.9),"Healthy",IF(OR(D29&gt;15,E29&gt;30,G29&gt;90,H29&gt;90,K29&lt;99),"Critical","Warning")))</f>
        <v/>
      </c>
      <c r="N29" s="15" t="n"/>
    </row>
    <row r="30">
      <c r="A30" s="18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7">
        <f>IF(A30="","",IF(AND(D30&lt;=5,E30&lt;=10,G30&lt;80,H30&lt;80,K30&gt;=99.9),"Healthy",IF(OR(D30&gt;15,E30&gt;30,G30&gt;90,H30&gt;90,K30&lt;99),"Critical","Warning")))</f>
        <v/>
      </c>
      <c r="N30" s="15" t="n"/>
    </row>
    <row r="31">
      <c r="A31" s="18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7">
        <f>IF(A31="","",IF(AND(D31&lt;=5,E31&lt;=10,G31&lt;80,H31&lt;80,K31&gt;=99.9),"Healthy",IF(OR(D31&gt;15,E31&gt;30,G31&gt;90,H31&gt;90,K31&lt;99),"Critical","Warning")))</f>
        <v/>
      </c>
      <c r="N31" s="15" t="n"/>
    </row>
    <row r="32">
      <c r="A32" s="18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7">
        <f>IF(A32="","",IF(AND(D32&lt;=5,E32&lt;=10,G32&lt;80,H32&lt;80,K32&gt;=99.9),"Healthy",IF(OR(D32&gt;15,E32&gt;30,G32&gt;90,H32&gt;90,K32&lt;99),"Critical","Warning")))</f>
        <v/>
      </c>
      <c r="N32" s="15" t="n"/>
    </row>
    <row r="33">
      <c r="A33" s="18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7">
        <f>IF(A33="","",IF(AND(D33&lt;=5,E33&lt;=10,G33&lt;80,H33&lt;80,K33&gt;=99.9),"Healthy",IF(OR(D33&gt;15,E33&gt;30,G33&gt;90,H33&gt;90,K33&lt;99),"Critical","Warning")))</f>
        <v/>
      </c>
      <c r="N33" s="15" t="n"/>
    </row>
    <row r="34">
      <c r="A34" s="18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7">
        <f>IF(A34="","",IF(AND(D34&lt;=5,E34&lt;=10,G34&lt;80,H34&lt;80,K34&gt;=99.9),"Healthy",IF(OR(D34&gt;15,E34&gt;30,G34&gt;90,H34&gt;90,K34&lt;99),"Critical","Warning")))</f>
        <v/>
      </c>
      <c r="N34" s="15" t="n"/>
    </row>
    <row r="35">
      <c r="A35" s="18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7">
        <f>IF(A35="","",IF(AND(D35&lt;=5,E35&lt;=10,G35&lt;80,H35&lt;80,K35&gt;=99.9),"Healthy",IF(OR(D35&gt;15,E35&gt;30,G35&gt;90,H35&gt;90,K35&lt;99),"Critical","Warning")))</f>
        <v/>
      </c>
      <c r="N35" s="15" t="n"/>
    </row>
    <row r="36">
      <c r="A36" s="18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7">
        <f>IF(A36="","",IF(AND(D36&lt;=5,E36&lt;=10,G36&lt;80,H36&lt;80,K36&gt;=99.9),"Healthy",IF(OR(D36&gt;15,E36&gt;30,G36&gt;90,H36&gt;90,K36&lt;99),"Critical","Warning")))</f>
        <v/>
      </c>
      <c r="N36" s="15" t="n"/>
    </row>
    <row r="37">
      <c r="A37" s="18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7">
        <f>IF(A37="","",IF(AND(D37&lt;=5,E37&lt;=10,G37&lt;80,H37&lt;80,K37&gt;=99.9),"Healthy",IF(OR(D37&gt;15,E37&gt;30,G37&gt;90,H37&gt;90,K37&lt;99),"Critical","Warning")))</f>
        <v/>
      </c>
      <c r="N37" s="15" t="n"/>
    </row>
    <row r="38">
      <c r="A38" s="18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7">
        <f>IF(A38="","",IF(AND(D38&lt;=5,E38&lt;=10,G38&lt;80,H38&lt;80,K38&gt;=99.9),"Healthy",IF(OR(D38&gt;15,E38&gt;30,G38&gt;90,H38&gt;90,K38&lt;99),"Critical","Warning")))</f>
        <v/>
      </c>
      <c r="N38" s="15" t="n"/>
    </row>
    <row r="39">
      <c r="A39" s="18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7">
        <f>IF(A39="","",IF(AND(D39&lt;=5,E39&lt;=10,G39&lt;80,H39&lt;80,K39&gt;=99.9),"Healthy",IF(OR(D39&gt;15,E39&gt;30,G39&gt;90,H39&gt;90,K39&lt;99),"Critical","Warning")))</f>
        <v/>
      </c>
      <c r="N39" s="15" t="n"/>
    </row>
    <row r="40">
      <c r="A40" s="18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7">
        <f>IF(A40="","",IF(AND(D40&lt;=5,E40&lt;=10,G40&lt;80,H40&lt;80,K40&gt;=99.9),"Healthy",IF(OR(D40&gt;15,E40&gt;30,G40&gt;90,H40&gt;90,K40&lt;99),"Critical","Warning")))</f>
        <v/>
      </c>
      <c r="N40" s="15" t="n"/>
    </row>
    <row r="41">
      <c r="A41" s="18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7">
        <f>IF(A41="","",IF(AND(D41&lt;=5,E41&lt;=10,G41&lt;80,H41&lt;80,K41&gt;=99.9),"Healthy",IF(OR(D41&gt;15,E41&gt;30,G41&gt;90,H41&gt;90,K41&lt;99),"Critical","Warning")))</f>
        <v/>
      </c>
      <c r="N41" s="15" t="n"/>
    </row>
    <row r="42">
      <c r="A42" s="18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7">
        <f>IF(A42="","",IF(AND(D42&lt;=5,E42&lt;=10,G42&lt;80,H42&lt;80,K42&gt;=99.9),"Healthy",IF(OR(D42&gt;15,E42&gt;30,G42&gt;90,H42&gt;90,K42&lt;99),"Critical","Warning")))</f>
        <v/>
      </c>
      <c r="N42" s="15" t="n"/>
    </row>
    <row r="43">
      <c r="A43" s="18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7">
        <f>IF(A43="","",IF(AND(D43&lt;=5,E43&lt;=10,G43&lt;80,H43&lt;80,K43&gt;=99.9),"Healthy",IF(OR(D43&gt;15,E43&gt;30,G43&gt;90,H43&gt;90,K43&lt;99),"Critical","Warning")))</f>
        <v/>
      </c>
      <c r="N43" s="15" t="n"/>
    </row>
    <row r="44">
      <c r="A44" s="18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7">
        <f>IF(A44="","",IF(AND(D44&lt;=5,E44&lt;=10,G44&lt;80,H44&lt;80,K44&gt;=99.9),"Healthy",IF(OR(D44&gt;15,E44&gt;30,G44&gt;90,H44&gt;90,K44&lt;99),"Critical","Warning")))</f>
        <v/>
      </c>
      <c r="N44" s="15" t="n"/>
    </row>
    <row r="45">
      <c r="A45" s="18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7">
        <f>IF(A45="","",IF(AND(D45&lt;=5,E45&lt;=10,G45&lt;80,H45&lt;80,K45&gt;=99.9),"Healthy",IF(OR(D45&gt;15,E45&gt;30,G45&gt;90,H45&gt;90,K45&lt;99),"Critical","Warning")))</f>
        <v/>
      </c>
      <c r="N45" s="15" t="n"/>
    </row>
    <row r="46">
      <c r="A46" s="18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7">
        <f>IF(A46="","",IF(AND(D46&lt;=5,E46&lt;=10,G46&lt;80,H46&lt;80,K46&gt;=99.9),"Healthy",IF(OR(D46&gt;15,E46&gt;30,G46&gt;90,H46&gt;90,K46&lt;99),"Critical","Warning")))</f>
        <v/>
      </c>
      <c r="N46" s="15" t="n"/>
    </row>
    <row r="47">
      <c r="A47" s="18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7">
        <f>IF(A47="","",IF(AND(D47&lt;=5,E47&lt;=10,G47&lt;80,H47&lt;80,K47&gt;=99.9),"Healthy",IF(OR(D47&gt;15,E47&gt;30,G47&gt;90,H47&gt;90,K47&lt;99),"Critical","Warning")))</f>
        <v/>
      </c>
      <c r="N47" s="15" t="n"/>
    </row>
    <row r="48">
      <c r="A48" s="18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7">
        <f>IF(A48="","",IF(AND(D48&lt;=5,E48&lt;=10,G48&lt;80,H48&lt;80,K48&gt;=99.9),"Healthy",IF(OR(D48&gt;15,E48&gt;30,G48&gt;90,H48&gt;90,K48&lt;99),"Critical","Warning")))</f>
        <v/>
      </c>
      <c r="N48" s="15" t="n"/>
    </row>
    <row r="49">
      <c r="A49" s="18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7">
        <f>IF(A49="","",IF(AND(D49&lt;=5,E49&lt;=10,G49&lt;80,H49&lt;80,K49&gt;=99.9),"Healthy",IF(OR(D49&gt;15,E49&gt;30,G49&gt;90,H49&gt;90,K49&lt;99),"Critical","Warning")))</f>
        <v/>
      </c>
      <c r="N49" s="15" t="n"/>
    </row>
    <row r="50">
      <c r="A50" s="18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7">
        <f>IF(A50="","",IF(AND(D50&lt;=5,E50&lt;=10,G50&lt;80,H50&lt;80,K50&gt;=99.9),"Healthy",IF(OR(D50&gt;15,E50&gt;30,G50&gt;90,H50&gt;90,K50&lt;99),"Critical","Warning")))</f>
        <v/>
      </c>
      <c r="N50" s="15" t="n"/>
    </row>
    <row r="51">
      <c r="A51" s="18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7">
        <f>IF(A51="","",IF(AND(D51&lt;=5,E51&lt;=10,G51&lt;80,H51&lt;80,K51&gt;=99.9),"Healthy",IF(OR(D51&gt;15,E51&gt;30,G51&gt;90,H51&gt;90,K51&lt;99),"Critical","Warning")))</f>
        <v/>
      </c>
      <c r="N51" s="15" t="n"/>
    </row>
    <row r="52">
      <c r="A52" s="18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7">
        <f>IF(A52="","",IF(AND(D52&lt;=5,E52&lt;=10,G52&lt;80,H52&lt;80,K52&gt;=99.9),"Healthy",IF(OR(D52&gt;15,E52&gt;30,G52&gt;90,H52&gt;90,K52&lt;99),"Critical","Warning")))</f>
        <v/>
      </c>
      <c r="N52" s="15" t="n"/>
    </row>
    <row r="53">
      <c r="A53" s="18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7">
        <f>IF(A53="","",IF(AND(D53&lt;=5,E53&lt;=10,G53&lt;80,H53&lt;80,K53&gt;=99.9),"Healthy",IF(OR(D53&gt;15,E53&gt;30,G53&gt;90,H53&gt;90,K53&lt;99),"Critical","Warning")))</f>
        <v/>
      </c>
      <c r="N53" s="15" t="n"/>
    </row>
    <row r="54">
      <c r="A54" s="18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7">
        <f>IF(A54="","",IF(AND(D54&lt;=5,E54&lt;=10,G54&lt;80,H54&lt;80,K54&gt;=99.9),"Healthy",IF(OR(D54&gt;15,E54&gt;30,G54&gt;90,H54&gt;90,K54&lt;99),"Critical","Warning")))</f>
        <v/>
      </c>
      <c r="N54" s="15" t="n"/>
    </row>
    <row r="55">
      <c r="A55" s="18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7">
        <f>IF(A55="","",IF(AND(D55&lt;=5,E55&lt;=10,G55&lt;80,H55&lt;80,K55&gt;=99.9),"Healthy",IF(OR(D55&gt;15,E55&gt;30,G55&gt;90,H55&gt;90,K55&lt;99),"Critical","Warning")))</f>
        <v/>
      </c>
      <c r="N55" s="15" t="n"/>
    </row>
    <row r="60">
      <c r="A60" s="12" t="inlineStr">
        <is>
          <t>PERFORMANCE SUMMARY (Last 30 Days)</t>
        </is>
      </c>
    </row>
    <row r="62">
      <c r="A62" s="23" t="inlineStr">
        <is>
          <t>Avg Daily Events Indexed:</t>
        </is>
      </c>
      <c r="B62" s="17">
        <f>AVERAGE(B6:B35)</f>
        <v/>
      </c>
    </row>
    <row r="63">
      <c r="A63" s="23" t="inlineStr">
        <is>
          <t>Avg Peak EPS:</t>
        </is>
      </c>
      <c r="B63" s="17">
        <f>AVERAGE(C6:C35)</f>
        <v/>
      </c>
    </row>
    <row r="64">
      <c r="A64" s="23" t="inlineStr">
        <is>
          <t>Avg Indexing Lag (min):</t>
        </is>
      </c>
      <c r="B64" s="17">
        <f>AVERAGE(D6:D35)</f>
        <v/>
      </c>
    </row>
    <row r="65">
      <c r="A65" s="23" t="inlineStr">
        <is>
          <t>Avg Search Performance (sec):</t>
        </is>
      </c>
      <c r="B65" s="17">
        <f>AVERAGE(E6:E35)</f>
        <v/>
      </c>
    </row>
    <row r="66">
      <c r="A66" s="23" t="inlineStr">
        <is>
          <t>Avg CPU Utilization %:</t>
        </is>
      </c>
      <c r="B66" s="17">
        <f>AVERAGE(G6:G35)</f>
        <v/>
      </c>
    </row>
    <row r="67">
      <c r="A67" s="23" t="inlineStr">
        <is>
          <t>Avg Memory Utilization %:</t>
        </is>
      </c>
      <c r="B67" s="17">
        <f>AVERAGE(H6:H35)</f>
        <v/>
      </c>
    </row>
    <row r="68">
      <c r="A68" s="23" t="inlineStr">
        <is>
          <t>Avg Uptime %:</t>
        </is>
      </c>
      <c r="B68" s="17">
        <f>AVERAGE(K6:K35)</f>
        <v/>
      </c>
    </row>
    <row r="69">
      <c r="A69" s="23" t="inlineStr">
        <is>
          <t>Total Incidents:</t>
        </is>
      </c>
      <c r="B69" s="17">
        <f>SUM(L6:L35)</f>
        <v/>
      </c>
    </row>
    <row r="70">
      <c r="A70" s="23" t="inlineStr">
        <is>
          <t>Days with Healthy Status:</t>
        </is>
      </c>
      <c r="B70" s="17">
        <f>COUNTIF(M6:M35,"Healthy")</f>
        <v/>
      </c>
    </row>
  </sheetData>
  <mergeCells count="3">
    <mergeCell ref="A60:N60"/>
    <mergeCell ref="A2:N2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15" customWidth="1" min="4" max="4"/>
    <col width="15" customWidth="1" min="5" max="5"/>
    <col width="15" customWidth="1" min="6" max="6"/>
    <col width="18" customWidth="1" min="7" max="7"/>
    <col width="15" customWidth="1" min="8" max="8"/>
    <col width="40" customWidth="1" min="9" max="9"/>
    <col width="20" customWidth="1" min="10" max="10"/>
    <col width="40" customWidth="1" min="11" max="11"/>
    <col width="25" customWidth="1" min="12" max="12"/>
    <col width="15" customWidth="1" min="13" max="13"/>
    <col width="40" customWidth="1" min="14" max="14"/>
  </cols>
  <sheetData>
    <row r="1" ht="35" customHeight="1">
      <c r="A1" s="11" t="inlineStr">
        <is>
          <t>DATA QUALITY ASSESSMENT</t>
        </is>
      </c>
    </row>
    <row r="2">
      <c r="A2" s="12" t="inlineStr">
        <is>
          <t>Assess quality of log data in SIEM (completeness, accuracy, consistency, timeliness, validity)</t>
        </is>
      </c>
    </row>
    <row r="4">
      <c r="A4" s="13" t="inlineStr">
        <is>
          <t>Quality Dimension</t>
        </is>
      </c>
      <c r="B4" s="13" t="inlineStr">
        <is>
          <t>Log Source Type</t>
        </is>
      </c>
      <c r="C4" s="13" t="inlineStr">
        <is>
          <t>Assessment Method</t>
        </is>
      </c>
      <c r="D4" s="13" t="inlineStr">
        <is>
          <t>Sample Size</t>
        </is>
      </c>
      <c r="E4" s="13" t="inlineStr">
        <is>
          <t>Pass Count</t>
        </is>
      </c>
      <c r="F4" s="13" t="inlineStr">
        <is>
          <t>Fail Count</t>
        </is>
      </c>
      <c r="G4" s="13" t="inlineStr">
        <is>
          <t>Quality Score %</t>
        </is>
      </c>
      <c r="H4" s="13" t="inlineStr">
        <is>
          <t>Status</t>
        </is>
      </c>
      <c r="I4" s="13" t="inlineStr">
        <is>
          <t>Common Issues</t>
        </is>
      </c>
      <c r="J4" s="13" t="inlineStr">
        <is>
          <t>Impact</t>
        </is>
      </c>
      <c r="K4" s="13" t="inlineStr">
        <is>
          <t>Remediation Action</t>
        </is>
      </c>
      <c r="L4" s="13" t="inlineStr">
        <is>
          <t>Responsible Party</t>
        </is>
      </c>
      <c r="M4" s="13" t="inlineStr">
        <is>
          <t>Target Date</t>
        </is>
      </c>
      <c r="N4" s="13" t="inlineStr">
        <is>
          <t>Notes</t>
        </is>
      </c>
    </row>
    <row r="5">
      <c r="A5" s="14" t="inlineStr">
        <is>
          <t>Completeness</t>
        </is>
      </c>
      <c r="B5" s="14" t="inlineStr">
        <is>
          <t>Web Server Logs</t>
        </is>
      </c>
      <c r="C5" s="14" t="inlineStr">
        <is>
          <t>Field presence check on 1000 events</t>
        </is>
      </c>
      <c r="D5" s="14" t="inlineStr">
        <is>
          <t>1000</t>
        </is>
      </c>
      <c r="E5" s="14" t="inlineStr">
        <is>
          <t>985</t>
        </is>
      </c>
      <c r="F5" s="14" t="inlineStr">
        <is>
          <t>15</t>
        </is>
      </c>
      <c r="G5" s="14" t="inlineStr">
        <is>
          <t>98.5%</t>
        </is>
      </c>
      <c r="H5" s="14" t="inlineStr">
        <is>
          <t>Good</t>
        </is>
      </c>
      <c r="I5" s="14" t="inlineStr">
        <is>
          <t>Missing source_ip in 15 events</t>
        </is>
      </c>
      <c r="J5" s="14" t="inlineStr">
        <is>
          <t>Low</t>
        </is>
      </c>
      <c r="K5" s="14" t="inlineStr">
        <is>
          <t>Update parser to extract source_ip</t>
        </is>
      </c>
      <c r="L5" s="14" t="inlineStr">
        <is>
          <t>SIEM Team</t>
        </is>
      </c>
      <c r="M5" s="14" t="inlineStr">
        <is>
          <t>31.01.2026</t>
        </is>
      </c>
      <c r="N5" s="14" t="inlineStr">
        <is>
          <t>Minor issue, easily fixable</t>
        </is>
      </c>
    </row>
    <row r="6">
      <c r="A6" s="15" t="n"/>
      <c r="B6" s="15" t="n"/>
      <c r="C6" s="15" t="n"/>
      <c r="D6" s="15" t="n"/>
      <c r="E6" s="15" t="n"/>
      <c r="F6" s="15" t="n"/>
      <c r="G6" s="16">
        <f>IF(AND(D6&lt;&gt;"",E6&lt;&gt;""),E6/(E6+F6),"")</f>
        <v/>
      </c>
      <c r="H6" s="17">
        <f>IF(G6="","",IF(G6&gt;=0.95,"Good",IF(G6&gt;=0.8,"Fair","Poor")))</f>
        <v/>
      </c>
      <c r="I6" s="15" t="n"/>
      <c r="J6" s="15" t="n"/>
      <c r="K6" s="15" t="n"/>
      <c r="L6" s="15" t="n"/>
      <c r="M6" s="18" t="n"/>
      <c r="N6" s="15" t="n"/>
    </row>
    <row r="7">
      <c r="A7" s="15" t="n"/>
      <c r="B7" s="15" t="n"/>
      <c r="C7" s="15" t="n"/>
      <c r="D7" s="15" t="n"/>
      <c r="E7" s="15" t="n"/>
      <c r="F7" s="15" t="n"/>
      <c r="G7" s="16">
        <f>IF(AND(D7&lt;&gt;"",E7&lt;&gt;""),E7/(E7+F7),"")</f>
        <v/>
      </c>
      <c r="H7" s="17">
        <f>IF(G7="","",IF(G7&gt;=0.95,"Good",IF(G7&gt;=0.8,"Fair","Poor")))</f>
        <v/>
      </c>
      <c r="I7" s="15" t="n"/>
      <c r="J7" s="15" t="n"/>
      <c r="K7" s="15" t="n"/>
      <c r="L7" s="15" t="n"/>
      <c r="M7" s="18" t="n"/>
      <c r="N7" s="15" t="n"/>
    </row>
    <row r="8">
      <c r="A8" s="15" t="n"/>
      <c r="B8" s="15" t="n"/>
      <c r="C8" s="15" t="n"/>
      <c r="D8" s="15" t="n"/>
      <c r="E8" s="15" t="n"/>
      <c r="F8" s="15" t="n"/>
      <c r="G8" s="16">
        <f>IF(AND(D8&lt;&gt;"",E8&lt;&gt;""),E8/(E8+F8),"")</f>
        <v/>
      </c>
      <c r="H8" s="17">
        <f>IF(G8="","",IF(G8&gt;=0.95,"Good",IF(G8&gt;=0.8,"Fair","Poor")))</f>
        <v/>
      </c>
      <c r="I8" s="15" t="n"/>
      <c r="J8" s="15" t="n"/>
      <c r="K8" s="15" t="n"/>
      <c r="L8" s="15" t="n"/>
      <c r="M8" s="18" t="n"/>
      <c r="N8" s="15" t="n"/>
    </row>
    <row r="9">
      <c r="A9" s="15" t="n"/>
      <c r="B9" s="15" t="n"/>
      <c r="C9" s="15" t="n"/>
      <c r="D9" s="15" t="n"/>
      <c r="E9" s="15" t="n"/>
      <c r="F9" s="15" t="n"/>
      <c r="G9" s="16">
        <f>IF(AND(D9&lt;&gt;"",E9&lt;&gt;""),E9/(E9+F9),"")</f>
        <v/>
      </c>
      <c r="H9" s="17">
        <f>IF(G9="","",IF(G9&gt;=0.95,"Good",IF(G9&gt;=0.8,"Fair","Poor")))</f>
        <v/>
      </c>
      <c r="I9" s="15" t="n"/>
      <c r="J9" s="15" t="n"/>
      <c r="K9" s="15" t="n"/>
      <c r="L9" s="15" t="n"/>
      <c r="M9" s="18" t="n"/>
      <c r="N9" s="15" t="n"/>
    </row>
    <row r="10">
      <c r="A10" s="15" t="n"/>
      <c r="B10" s="15" t="n"/>
      <c r="C10" s="15" t="n"/>
      <c r="D10" s="15" t="n"/>
      <c r="E10" s="15" t="n"/>
      <c r="F10" s="15" t="n"/>
      <c r="G10" s="16">
        <f>IF(AND(D10&lt;&gt;"",E10&lt;&gt;""),E10/(E10+F10),"")</f>
        <v/>
      </c>
      <c r="H10" s="17">
        <f>IF(G10="","",IF(G10&gt;=0.95,"Good",IF(G10&gt;=0.8,"Fair","Poor")))</f>
        <v/>
      </c>
      <c r="I10" s="15" t="n"/>
      <c r="J10" s="15" t="n"/>
      <c r="K10" s="15" t="n"/>
      <c r="L10" s="15" t="n"/>
      <c r="M10" s="18" t="n"/>
      <c r="N10" s="15" t="n"/>
    </row>
    <row r="11">
      <c r="A11" s="15" t="n"/>
      <c r="B11" s="15" t="n"/>
      <c r="C11" s="15" t="n"/>
      <c r="D11" s="15" t="n"/>
      <c r="E11" s="15" t="n"/>
      <c r="F11" s="15" t="n"/>
      <c r="G11" s="16">
        <f>IF(AND(D11&lt;&gt;"",E11&lt;&gt;""),E11/(E11+F11),"")</f>
        <v/>
      </c>
      <c r="H11" s="17">
        <f>IF(G11="","",IF(G11&gt;=0.95,"Good",IF(G11&gt;=0.8,"Fair","Poor")))</f>
        <v/>
      </c>
      <c r="I11" s="15" t="n"/>
      <c r="J11" s="15" t="n"/>
      <c r="K11" s="15" t="n"/>
      <c r="L11" s="15" t="n"/>
      <c r="M11" s="18" t="n"/>
      <c r="N11" s="15" t="n"/>
    </row>
    <row r="12">
      <c r="A12" s="15" t="n"/>
      <c r="B12" s="15" t="n"/>
      <c r="C12" s="15" t="n"/>
      <c r="D12" s="15" t="n"/>
      <c r="E12" s="15" t="n"/>
      <c r="F12" s="15" t="n"/>
      <c r="G12" s="16">
        <f>IF(AND(D12&lt;&gt;"",E12&lt;&gt;""),E12/(E12+F12),"")</f>
        <v/>
      </c>
      <c r="H12" s="17">
        <f>IF(G12="","",IF(G12&gt;=0.95,"Good",IF(G12&gt;=0.8,"Fair","Poor")))</f>
        <v/>
      </c>
      <c r="I12" s="15" t="n"/>
      <c r="J12" s="15" t="n"/>
      <c r="K12" s="15" t="n"/>
      <c r="L12" s="15" t="n"/>
      <c r="M12" s="18" t="n"/>
      <c r="N12" s="15" t="n"/>
    </row>
    <row r="13">
      <c r="A13" s="15" t="n"/>
      <c r="B13" s="15" t="n"/>
      <c r="C13" s="15" t="n"/>
      <c r="D13" s="15" t="n"/>
      <c r="E13" s="15" t="n"/>
      <c r="F13" s="15" t="n"/>
      <c r="G13" s="16">
        <f>IF(AND(D13&lt;&gt;"",E13&lt;&gt;""),E13/(E13+F13),"")</f>
        <v/>
      </c>
      <c r="H13" s="17">
        <f>IF(G13="","",IF(G13&gt;=0.95,"Good",IF(G13&gt;=0.8,"Fair","Poor")))</f>
        <v/>
      </c>
      <c r="I13" s="15" t="n"/>
      <c r="J13" s="15" t="n"/>
      <c r="K13" s="15" t="n"/>
      <c r="L13" s="15" t="n"/>
      <c r="M13" s="18" t="n"/>
      <c r="N13" s="15" t="n"/>
    </row>
    <row r="14">
      <c r="A14" s="15" t="n"/>
      <c r="B14" s="15" t="n"/>
      <c r="C14" s="15" t="n"/>
      <c r="D14" s="15" t="n"/>
      <c r="E14" s="15" t="n"/>
      <c r="F14" s="15" t="n"/>
      <c r="G14" s="16">
        <f>IF(AND(D14&lt;&gt;"",E14&lt;&gt;""),E14/(E14+F14),"")</f>
        <v/>
      </c>
      <c r="H14" s="17">
        <f>IF(G14="","",IF(G14&gt;=0.95,"Good",IF(G14&gt;=0.8,"Fair","Poor")))</f>
        <v/>
      </c>
      <c r="I14" s="15" t="n"/>
      <c r="J14" s="15" t="n"/>
      <c r="K14" s="15" t="n"/>
      <c r="L14" s="15" t="n"/>
      <c r="M14" s="18" t="n"/>
      <c r="N14" s="15" t="n"/>
    </row>
    <row r="15">
      <c r="A15" s="15" t="n"/>
      <c r="B15" s="15" t="n"/>
      <c r="C15" s="15" t="n"/>
      <c r="D15" s="15" t="n"/>
      <c r="E15" s="15" t="n"/>
      <c r="F15" s="15" t="n"/>
      <c r="G15" s="16">
        <f>IF(AND(D15&lt;&gt;"",E15&lt;&gt;""),E15/(E15+F15),"")</f>
        <v/>
      </c>
      <c r="H15" s="17">
        <f>IF(G15="","",IF(G15&gt;=0.95,"Good",IF(G15&gt;=0.8,"Fair","Poor")))</f>
        <v/>
      </c>
      <c r="I15" s="15" t="n"/>
      <c r="J15" s="15" t="n"/>
      <c r="K15" s="15" t="n"/>
      <c r="L15" s="15" t="n"/>
      <c r="M15" s="18" t="n"/>
      <c r="N15" s="15" t="n"/>
    </row>
    <row r="16">
      <c r="A16" s="15" t="n"/>
      <c r="B16" s="15" t="n"/>
      <c r="C16" s="15" t="n"/>
      <c r="D16" s="15" t="n"/>
      <c r="E16" s="15" t="n"/>
      <c r="F16" s="15" t="n"/>
      <c r="G16" s="16">
        <f>IF(AND(D16&lt;&gt;"",E16&lt;&gt;""),E16/(E16+F16),"")</f>
        <v/>
      </c>
      <c r="H16" s="17">
        <f>IF(G16="","",IF(G16&gt;=0.95,"Good",IF(G16&gt;=0.8,"Fair","Poor")))</f>
        <v/>
      </c>
      <c r="I16" s="15" t="n"/>
      <c r="J16" s="15" t="n"/>
      <c r="K16" s="15" t="n"/>
      <c r="L16" s="15" t="n"/>
      <c r="M16" s="18" t="n"/>
      <c r="N16" s="15" t="n"/>
    </row>
    <row r="17">
      <c r="A17" s="15" t="n"/>
      <c r="B17" s="15" t="n"/>
      <c r="C17" s="15" t="n"/>
      <c r="D17" s="15" t="n"/>
      <c r="E17" s="15" t="n"/>
      <c r="F17" s="15" t="n"/>
      <c r="G17" s="16">
        <f>IF(AND(D17&lt;&gt;"",E17&lt;&gt;""),E17/(E17+F17),"")</f>
        <v/>
      </c>
      <c r="H17" s="17">
        <f>IF(G17="","",IF(G17&gt;=0.95,"Good",IF(G17&gt;=0.8,"Fair","Poor")))</f>
        <v/>
      </c>
      <c r="I17" s="15" t="n"/>
      <c r="J17" s="15" t="n"/>
      <c r="K17" s="15" t="n"/>
      <c r="L17" s="15" t="n"/>
      <c r="M17" s="18" t="n"/>
      <c r="N17" s="15" t="n"/>
    </row>
    <row r="18">
      <c r="A18" s="15" t="n"/>
      <c r="B18" s="15" t="n"/>
      <c r="C18" s="15" t="n"/>
      <c r="D18" s="15" t="n"/>
      <c r="E18" s="15" t="n"/>
      <c r="F18" s="15" t="n"/>
      <c r="G18" s="16">
        <f>IF(AND(D18&lt;&gt;"",E18&lt;&gt;""),E18/(E18+F18),"")</f>
        <v/>
      </c>
      <c r="H18" s="17">
        <f>IF(G18="","",IF(G18&gt;=0.95,"Good",IF(G18&gt;=0.8,"Fair","Poor")))</f>
        <v/>
      </c>
      <c r="I18" s="15" t="n"/>
      <c r="J18" s="15" t="n"/>
      <c r="K18" s="15" t="n"/>
      <c r="L18" s="15" t="n"/>
      <c r="M18" s="18" t="n"/>
      <c r="N18" s="15" t="n"/>
    </row>
    <row r="19">
      <c r="A19" s="15" t="n"/>
      <c r="B19" s="15" t="n"/>
      <c r="C19" s="15" t="n"/>
      <c r="D19" s="15" t="n"/>
      <c r="E19" s="15" t="n"/>
      <c r="F19" s="15" t="n"/>
      <c r="G19" s="16">
        <f>IF(AND(D19&lt;&gt;"",E19&lt;&gt;""),E19/(E19+F19),"")</f>
        <v/>
      </c>
      <c r="H19" s="17">
        <f>IF(G19="","",IF(G19&gt;=0.95,"Good",IF(G19&gt;=0.8,"Fair","Poor")))</f>
        <v/>
      </c>
      <c r="I19" s="15" t="n"/>
      <c r="J19" s="15" t="n"/>
      <c r="K19" s="15" t="n"/>
      <c r="L19" s="15" t="n"/>
      <c r="M19" s="18" t="n"/>
      <c r="N19" s="15" t="n"/>
    </row>
    <row r="20">
      <c r="A20" s="15" t="n"/>
      <c r="B20" s="15" t="n"/>
      <c r="C20" s="15" t="n"/>
      <c r="D20" s="15" t="n"/>
      <c r="E20" s="15" t="n"/>
      <c r="F20" s="15" t="n"/>
      <c r="G20" s="16">
        <f>IF(AND(D20&lt;&gt;"",E20&lt;&gt;""),E20/(E20+F20),"")</f>
        <v/>
      </c>
      <c r="H20" s="17">
        <f>IF(G20="","",IF(G20&gt;=0.95,"Good",IF(G20&gt;=0.8,"Fair","Poor")))</f>
        <v/>
      </c>
      <c r="I20" s="15" t="n"/>
      <c r="J20" s="15" t="n"/>
      <c r="K20" s="15" t="n"/>
      <c r="L20" s="15" t="n"/>
      <c r="M20" s="18" t="n"/>
      <c r="N20" s="15" t="n"/>
    </row>
    <row r="21">
      <c r="A21" s="15" t="n"/>
      <c r="B21" s="15" t="n"/>
      <c r="C21" s="15" t="n"/>
      <c r="D21" s="15" t="n"/>
      <c r="E21" s="15" t="n"/>
      <c r="F21" s="15" t="n"/>
      <c r="G21" s="16">
        <f>IF(AND(D21&lt;&gt;"",E21&lt;&gt;""),E21/(E21+F21),"")</f>
        <v/>
      </c>
      <c r="H21" s="17">
        <f>IF(G21="","",IF(G21&gt;=0.95,"Good",IF(G21&gt;=0.8,"Fair","Poor")))</f>
        <v/>
      </c>
      <c r="I21" s="15" t="n"/>
      <c r="J21" s="15" t="n"/>
      <c r="K21" s="15" t="n"/>
      <c r="L21" s="15" t="n"/>
      <c r="M21" s="18" t="n"/>
      <c r="N21" s="15" t="n"/>
    </row>
    <row r="22">
      <c r="A22" s="15" t="n"/>
      <c r="B22" s="15" t="n"/>
      <c r="C22" s="15" t="n"/>
      <c r="D22" s="15" t="n"/>
      <c r="E22" s="15" t="n"/>
      <c r="F22" s="15" t="n"/>
      <c r="G22" s="16">
        <f>IF(AND(D22&lt;&gt;"",E22&lt;&gt;""),E22/(E22+F22),"")</f>
        <v/>
      </c>
      <c r="H22" s="17">
        <f>IF(G22="","",IF(G22&gt;=0.95,"Good",IF(G22&gt;=0.8,"Fair","Poor")))</f>
        <v/>
      </c>
      <c r="I22" s="15" t="n"/>
      <c r="J22" s="15" t="n"/>
      <c r="K22" s="15" t="n"/>
      <c r="L22" s="15" t="n"/>
      <c r="M22" s="18" t="n"/>
      <c r="N22" s="15" t="n"/>
    </row>
    <row r="23">
      <c r="A23" s="15" t="n"/>
      <c r="B23" s="15" t="n"/>
      <c r="C23" s="15" t="n"/>
      <c r="D23" s="15" t="n"/>
      <c r="E23" s="15" t="n"/>
      <c r="F23" s="15" t="n"/>
      <c r="G23" s="16">
        <f>IF(AND(D23&lt;&gt;"",E23&lt;&gt;""),E23/(E23+F23),"")</f>
        <v/>
      </c>
      <c r="H23" s="17">
        <f>IF(G23="","",IF(G23&gt;=0.95,"Good",IF(G23&gt;=0.8,"Fair","Poor")))</f>
        <v/>
      </c>
      <c r="I23" s="15" t="n"/>
      <c r="J23" s="15" t="n"/>
      <c r="K23" s="15" t="n"/>
      <c r="L23" s="15" t="n"/>
      <c r="M23" s="18" t="n"/>
      <c r="N23" s="15" t="n"/>
    </row>
    <row r="24">
      <c r="A24" s="15" t="n"/>
      <c r="B24" s="15" t="n"/>
      <c r="C24" s="15" t="n"/>
      <c r="D24" s="15" t="n"/>
      <c r="E24" s="15" t="n"/>
      <c r="F24" s="15" t="n"/>
      <c r="G24" s="16">
        <f>IF(AND(D24&lt;&gt;"",E24&lt;&gt;""),E24/(E24+F24),"")</f>
        <v/>
      </c>
      <c r="H24" s="17">
        <f>IF(G24="","",IF(G24&gt;=0.95,"Good",IF(G24&gt;=0.8,"Fair","Poor")))</f>
        <v/>
      </c>
      <c r="I24" s="15" t="n"/>
      <c r="J24" s="15" t="n"/>
      <c r="K24" s="15" t="n"/>
      <c r="L24" s="15" t="n"/>
      <c r="M24" s="18" t="n"/>
      <c r="N24" s="15" t="n"/>
    </row>
    <row r="25">
      <c r="A25" s="15" t="n"/>
      <c r="B25" s="15" t="n"/>
      <c r="C25" s="15" t="n"/>
      <c r="D25" s="15" t="n"/>
      <c r="E25" s="15" t="n"/>
      <c r="F25" s="15" t="n"/>
      <c r="G25" s="16">
        <f>IF(AND(D25&lt;&gt;"",E25&lt;&gt;""),E25/(E25+F25),"")</f>
        <v/>
      </c>
      <c r="H25" s="17">
        <f>IF(G25="","",IF(G25&gt;=0.95,"Good",IF(G25&gt;=0.8,"Fair","Poor")))</f>
        <v/>
      </c>
      <c r="I25" s="15" t="n"/>
      <c r="J25" s="15" t="n"/>
      <c r="K25" s="15" t="n"/>
      <c r="L25" s="15" t="n"/>
      <c r="M25" s="18" t="n"/>
      <c r="N25" s="15" t="n"/>
    </row>
    <row r="26">
      <c r="A26" s="15" t="n"/>
      <c r="B26" s="15" t="n"/>
      <c r="C26" s="15" t="n"/>
      <c r="D26" s="15" t="n"/>
      <c r="E26" s="15" t="n"/>
      <c r="F26" s="15" t="n"/>
      <c r="G26" s="16">
        <f>IF(AND(D26&lt;&gt;"",E26&lt;&gt;""),E26/(E26+F26),"")</f>
        <v/>
      </c>
      <c r="H26" s="17">
        <f>IF(G26="","",IF(G26&gt;=0.95,"Good",IF(G26&gt;=0.8,"Fair","Poor")))</f>
        <v/>
      </c>
      <c r="I26" s="15" t="n"/>
      <c r="J26" s="15" t="n"/>
      <c r="K26" s="15" t="n"/>
      <c r="L26" s="15" t="n"/>
      <c r="M26" s="18" t="n"/>
      <c r="N26" s="15" t="n"/>
    </row>
    <row r="27">
      <c r="A27" s="15" t="n"/>
      <c r="B27" s="15" t="n"/>
      <c r="C27" s="15" t="n"/>
      <c r="D27" s="15" t="n"/>
      <c r="E27" s="15" t="n"/>
      <c r="F27" s="15" t="n"/>
      <c r="G27" s="16">
        <f>IF(AND(D27&lt;&gt;"",E27&lt;&gt;""),E27/(E27+F27),"")</f>
        <v/>
      </c>
      <c r="H27" s="17">
        <f>IF(G27="","",IF(G27&gt;=0.95,"Good",IF(G27&gt;=0.8,"Fair","Poor")))</f>
        <v/>
      </c>
      <c r="I27" s="15" t="n"/>
      <c r="J27" s="15" t="n"/>
      <c r="K27" s="15" t="n"/>
      <c r="L27" s="15" t="n"/>
      <c r="M27" s="18" t="n"/>
      <c r="N27" s="15" t="n"/>
    </row>
    <row r="28">
      <c r="A28" s="15" t="n"/>
      <c r="B28" s="15" t="n"/>
      <c r="C28" s="15" t="n"/>
      <c r="D28" s="15" t="n"/>
      <c r="E28" s="15" t="n"/>
      <c r="F28" s="15" t="n"/>
      <c r="G28" s="16">
        <f>IF(AND(D28&lt;&gt;"",E28&lt;&gt;""),E28/(E28+F28),"")</f>
        <v/>
      </c>
      <c r="H28" s="17">
        <f>IF(G28="","",IF(G28&gt;=0.95,"Good",IF(G28&gt;=0.8,"Fair","Poor")))</f>
        <v/>
      </c>
      <c r="I28" s="15" t="n"/>
      <c r="J28" s="15" t="n"/>
      <c r="K28" s="15" t="n"/>
      <c r="L28" s="15" t="n"/>
      <c r="M28" s="18" t="n"/>
      <c r="N28" s="15" t="n"/>
    </row>
    <row r="29">
      <c r="A29" s="15" t="n"/>
      <c r="B29" s="15" t="n"/>
      <c r="C29" s="15" t="n"/>
      <c r="D29" s="15" t="n"/>
      <c r="E29" s="15" t="n"/>
      <c r="F29" s="15" t="n"/>
      <c r="G29" s="16">
        <f>IF(AND(D29&lt;&gt;"",E29&lt;&gt;""),E29/(E29+F29),"")</f>
        <v/>
      </c>
      <c r="H29" s="17">
        <f>IF(G29="","",IF(G29&gt;=0.95,"Good",IF(G29&gt;=0.8,"Fair","Poor")))</f>
        <v/>
      </c>
      <c r="I29" s="15" t="n"/>
      <c r="J29" s="15" t="n"/>
      <c r="K29" s="15" t="n"/>
      <c r="L29" s="15" t="n"/>
      <c r="M29" s="18" t="n"/>
      <c r="N29" s="15" t="n"/>
    </row>
    <row r="30">
      <c r="A30" s="15" t="n"/>
      <c r="B30" s="15" t="n"/>
      <c r="C30" s="15" t="n"/>
      <c r="D30" s="15" t="n"/>
      <c r="E30" s="15" t="n"/>
      <c r="F30" s="15" t="n"/>
      <c r="G30" s="16">
        <f>IF(AND(D30&lt;&gt;"",E30&lt;&gt;""),E30/(E30+F30),"")</f>
        <v/>
      </c>
      <c r="H30" s="17">
        <f>IF(G30="","",IF(G30&gt;=0.95,"Good",IF(G30&gt;=0.8,"Fair","Poor")))</f>
        <v/>
      </c>
      <c r="I30" s="15" t="n"/>
      <c r="J30" s="15" t="n"/>
      <c r="K30" s="15" t="n"/>
      <c r="L30" s="15" t="n"/>
      <c r="M30" s="18" t="n"/>
      <c r="N30" s="15" t="n"/>
    </row>
    <row r="31">
      <c r="A31" s="15" t="n"/>
      <c r="B31" s="15" t="n"/>
      <c r="C31" s="15" t="n"/>
      <c r="D31" s="15" t="n"/>
      <c r="E31" s="15" t="n"/>
      <c r="F31" s="15" t="n"/>
      <c r="G31" s="16">
        <f>IF(AND(D31&lt;&gt;"",E31&lt;&gt;""),E31/(E31+F31),"")</f>
        <v/>
      </c>
      <c r="H31" s="17">
        <f>IF(G31="","",IF(G31&gt;=0.95,"Good",IF(G31&gt;=0.8,"Fair","Poor")))</f>
        <v/>
      </c>
      <c r="I31" s="15" t="n"/>
      <c r="J31" s="15" t="n"/>
      <c r="K31" s="15" t="n"/>
      <c r="L31" s="15" t="n"/>
      <c r="M31" s="18" t="n"/>
      <c r="N31" s="15" t="n"/>
    </row>
    <row r="32">
      <c r="A32" s="15" t="n"/>
      <c r="B32" s="15" t="n"/>
      <c r="C32" s="15" t="n"/>
      <c r="D32" s="15" t="n"/>
      <c r="E32" s="15" t="n"/>
      <c r="F32" s="15" t="n"/>
      <c r="G32" s="16">
        <f>IF(AND(D32&lt;&gt;"",E32&lt;&gt;""),E32/(E32+F32),"")</f>
        <v/>
      </c>
      <c r="H32" s="17">
        <f>IF(G32="","",IF(G32&gt;=0.95,"Good",IF(G32&gt;=0.8,"Fair","Poor")))</f>
        <v/>
      </c>
      <c r="I32" s="15" t="n"/>
      <c r="J32" s="15" t="n"/>
      <c r="K32" s="15" t="n"/>
      <c r="L32" s="15" t="n"/>
      <c r="M32" s="18" t="n"/>
      <c r="N32" s="15" t="n"/>
    </row>
    <row r="33">
      <c r="A33" s="15" t="n"/>
      <c r="B33" s="15" t="n"/>
      <c r="C33" s="15" t="n"/>
      <c r="D33" s="15" t="n"/>
      <c r="E33" s="15" t="n"/>
      <c r="F33" s="15" t="n"/>
      <c r="G33" s="16">
        <f>IF(AND(D33&lt;&gt;"",E33&lt;&gt;""),E33/(E33+F33),"")</f>
        <v/>
      </c>
      <c r="H33" s="17">
        <f>IF(G33="","",IF(G33&gt;=0.95,"Good",IF(G33&gt;=0.8,"Fair","Poor")))</f>
        <v/>
      </c>
      <c r="I33" s="15" t="n"/>
      <c r="J33" s="15" t="n"/>
      <c r="K33" s="15" t="n"/>
      <c r="L33" s="15" t="n"/>
      <c r="M33" s="18" t="n"/>
      <c r="N33" s="15" t="n"/>
    </row>
    <row r="34">
      <c r="A34" s="15" t="n"/>
      <c r="B34" s="15" t="n"/>
      <c r="C34" s="15" t="n"/>
      <c r="D34" s="15" t="n"/>
      <c r="E34" s="15" t="n"/>
      <c r="F34" s="15" t="n"/>
      <c r="G34" s="16">
        <f>IF(AND(D34&lt;&gt;"",E34&lt;&gt;""),E34/(E34+F34),"")</f>
        <v/>
      </c>
      <c r="H34" s="17">
        <f>IF(G34="","",IF(G34&gt;=0.95,"Good",IF(G34&gt;=0.8,"Fair","Poor")))</f>
        <v/>
      </c>
      <c r="I34" s="15" t="n"/>
      <c r="J34" s="15" t="n"/>
      <c r="K34" s="15" t="n"/>
      <c r="L34" s="15" t="n"/>
      <c r="M34" s="18" t="n"/>
      <c r="N34" s="15" t="n"/>
    </row>
    <row r="35">
      <c r="A35" s="15" t="n"/>
      <c r="B35" s="15" t="n"/>
      <c r="C35" s="15" t="n"/>
      <c r="D35" s="15" t="n"/>
      <c r="E35" s="15" t="n"/>
      <c r="F35" s="15" t="n"/>
      <c r="G35" s="16">
        <f>IF(AND(D35&lt;&gt;"",E35&lt;&gt;""),E35/(E35+F35),"")</f>
        <v/>
      </c>
      <c r="H35" s="17">
        <f>IF(G35="","",IF(G35&gt;=0.95,"Good",IF(G35&gt;=0.8,"Fair","Poor")))</f>
        <v/>
      </c>
      <c r="I35" s="15" t="n"/>
      <c r="J35" s="15" t="n"/>
      <c r="K35" s="15" t="n"/>
      <c r="L35" s="15" t="n"/>
      <c r="M35" s="18" t="n"/>
      <c r="N35" s="15" t="n"/>
    </row>
    <row r="36">
      <c r="A36" s="15" t="n"/>
      <c r="B36" s="15" t="n"/>
      <c r="C36" s="15" t="n"/>
      <c r="D36" s="15" t="n"/>
      <c r="E36" s="15" t="n"/>
      <c r="F36" s="15" t="n"/>
      <c r="G36" s="16">
        <f>IF(AND(D36&lt;&gt;"",E36&lt;&gt;""),E36/(E36+F36),"")</f>
        <v/>
      </c>
      <c r="H36" s="17">
        <f>IF(G36="","",IF(G36&gt;=0.95,"Good",IF(G36&gt;=0.8,"Fair","Poor")))</f>
        <v/>
      </c>
      <c r="I36" s="15" t="n"/>
      <c r="J36" s="15" t="n"/>
      <c r="K36" s="15" t="n"/>
      <c r="L36" s="15" t="n"/>
      <c r="M36" s="18" t="n"/>
      <c r="N36" s="15" t="n"/>
    </row>
    <row r="37">
      <c r="A37" s="15" t="n"/>
      <c r="B37" s="15" t="n"/>
      <c r="C37" s="15" t="n"/>
      <c r="D37" s="15" t="n"/>
      <c r="E37" s="15" t="n"/>
      <c r="F37" s="15" t="n"/>
      <c r="G37" s="16">
        <f>IF(AND(D37&lt;&gt;"",E37&lt;&gt;""),E37/(E37+F37),"")</f>
        <v/>
      </c>
      <c r="H37" s="17">
        <f>IF(G37="","",IF(G37&gt;=0.95,"Good",IF(G37&gt;=0.8,"Fair","Poor")))</f>
        <v/>
      </c>
      <c r="I37" s="15" t="n"/>
      <c r="J37" s="15" t="n"/>
      <c r="K37" s="15" t="n"/>
      <c r="L37" s="15" t="n"/>
      <c r="M37" s="18" t="n"/>
      <c r="N37" s="15" t="n"/>
    </row>
    <row r="38">
      <c r="A38" s="15" t="n"/>
      <c r="B38" s="15" t="n"/>
      <c r="C38" s="15" t="n"/>
      <c r="D38" s="15" t="n"/>
      <c r="E38" s="15" t="n"/>
      <c r="F38" s="15" t="n"/>
      <c r="G38" s="16">
        <f>IF(AND(D38&lt;&gt;"",E38&lt;&gt;""),E38/(E38+F38),"")</f>
        <v/>
      </c>
      <c r="H38" s="17">
        <f>IF(G38="","",IF(G38&gt;=0.95,"Good",IF(G38&gt;=0.8,"Fair","Poor")))</f>
        <v/>
      </c>
      <c r="I38" s="15" t="n"/>
      <c r="J38" s="15" t="n"/>
      <c r="K38" s="15" t="n"/>
      <c r="L38" s="15" t="n"/>
      <c r="M38" s="18" t="n"/>
      <c r="N38" s="15" t="n"/>
    </row>
    <row r="39">
      <c r="A39" s="15" t="n"/>
      <c r="B39" s="15" t="n"/>
      <c r="C39" s="15" t="n"/>
      <c r="D39" s="15" t="n"/>
      <c r="E39" s="15" t="n"/>
      <c r="F39" s="15" t="n"/>
      <c r="G39" s="16">
        <f>IF(AND(D39&lt;&gt;"",E39&lt;&gt;""),E39/(E39+F39),"")</f>
        <v/>
      </c>
      <c r="H39" s="17">
        <f>IF(G39="","",IF(G39&gt;=0.95,"Good",IF(G39&gt;=0.8,"Fair","Poor")))</f>
        <v/>
      </c>
      <c r="I39" s="15" t="n"/>
      <c r="J39" s="15" t="n"/>
      <c r="K39" s="15" t="n"/>
      <c r="L39" s="15" t="n"/>
      <c r="M39" s="18" t="n"/>
      <c r="N39" s="15" t="n"/>
    </row>
    <row r="40">
      <c r="A40" s="15" t="n"/>
      <c r="B40" s="15" t="n"/>
      <c r="C40" s="15" t="n"/>
      <c r="D40" s="15" t="n"/>
      <c r="E40" s="15" t="n"/>
      <c r="F40" s="15" t="n"/>
      <c r="G40" s="16">
        <f>IF(AND(D40&lt;&gt;"",E40&lt;&gt;""),E40/(E40+F40),"")</f>
        <v/>
      </c>
      <c r="H40" s="17">
        <f>IF(G40="","",IF(G40&gt;=0.95,"Good",IF(G40&gt;=0.8,"Fair","Poor")))</f>
        <v/>
      </c>
      <c r="I40" s="15" t="n"/>
      <c r="J40" s="15" t="n"/>
      <c r="K40" s="15" t="n"/>
      <c r="L40" s="15" t="n"/>
      <c r="M40" s="18" t="n"/>
      <c r="N40" s="15" t="n"/>
    </row>
    <row r="41">
      <c r="A41" s="15" t="n"/>
      <c r="B41" s="15" t="n"/>
      <c r="C41" s="15" t="n"/>
      <c r="D41" s="15" t="n"/>
      <c r="E41" s="15" t="n"/>
      <c r="F41" s="15" t="n"/>
      <c r="G41" s="16">
        <f>IF(AND(D41&lt;&gt;"",E41&lt;&gt;""),E41/(E41+F41),"")</f>
        <v/>
      </c>
      <c r="H41" s="17">
        <f>IF(G41="","",IF(G41&gt;=0.95,"Good",IF(G41&gt;=0.8,"Fair","Poor")))</f>
        <v/>
      </c>
      <c r="I41" s="15" t="n"/>
      <c r="J41" s="15" t="n"/>
      <c r="K41" s="15" t="n"/>
      <c r="L41" s="15" t="n"/>
      <c r="M41" s="18" t="n"/>
      <c r="N41" s="15" t="n"/>
    </row>
    <row r="42">
      <c r="A42" s="15" t="n"/>
      <c r="B42" s="15" t="n"/>
      <c r="C42" s="15" t="n"/>
      <c r="D42" s="15" t="n"/>
      <c r="E42" s="15" t="n"/>
      <c r="F42" s="15" t="n"/>
      <c r="G42" s="16">
        <f>IF(AND(D42&lt;&gt;"",E42&lt;&gt;""),E42/(E42+F42),"")</f>
        <v/>
      </c>
      <c r="H42" s="17">
        <f>IF(G42="","",IF(G42&gt;=0.95,"Good",IF(G42&gt;=0.8,"Fair","Poor")))</f>
        <v/>
      </c>
      <c r="I42" s="15" t="n"/>
      <c r="J42" s="15" t="n"/>
      <c r="K42" s="15" t="n"/>
      <c r="L42" s="15" t="n"/>
      <c r="M42" s="18" t="n"/>
      <c r="N42" s="15" t="n"/>
    </row>
    <row r="43">
      <c r="A43" s="15" t="n"/>
      <c r="B43" s="15" t="n"/>
      <c r="C43" s="15" t="n"/>
      <c r="D43" s="15" t="n"/>
      <c r="E43" s="15" t="n"/>
      <c r="F43" s="15" t="n"/>
      <c r="G43" s="16">
        <f>IF(AND(D43&lt;&gt;"",E43&lt;&gt;""),E43/(E43+F43),"")</f>
        <v/>
      </c>
      <c r="H43" s="17">
        <f>IF(G43="","",IF(G43&gt;=0.95,"Good",IF(G43&gt;=0.8,"Fair","Poor")))</f>
        <v/>
      </c>
      <c r="I43" s="15" t="n"/>
      <c r="J43" s="15" t="n"/>
      <c r="K43" s="15" t="n"/>
      <c r="L43" s="15" t="n"/>
      <c r="M43" s="18" t="n"/>
      <c r="N43" s="15" t="n"/>
    </row>
    <row r="44">
      <c r="A44" s="15" t="n"/>
      <c r="B44" s="15" t="n"/>
      <c r="C44" s="15" t="n"/>
      <c r="D44" s="15" t="n"/>
      <c r="E44" s="15" t="n"/>
      <c r="F44" s="15" t="n"/>
      <c r="G44" s="16">
        <f>IF(AND(D44&lt;&gt;"",E44&lt;&gt;""),E44/(E44+F44),"")</f>
        <v/>
      </c>
      <c r="H44" s="17">
        <f>IF(G44="","",IF(G44&gt;=0.95,"Good",IF(G44&gt;=0.8,"Fair","Poor")))</f>
        <v/>
      </c>
      <c r="I44" s="15" t="n"/>
      <c r="J44" s="15" t="n"/>
      <c r="K44" s="15" t="n"/>
      <c r="L44" s="15" t="n"/>
      <c r="M44" s="18" t="n"/>
      <c r="N44" s="15" t="n"/>
    </row>
    <row r="45">
      <c r="A45" s="15" t="n"/>
      <c r="B45" s="15" t="n"/>
      <c r="C45" s="15" t="n"/>
      <c r="D45" s="15" t="n"/>
      <c r="E45" s="15" t="n"/>
      <c r="F45" s="15" t="n"/>
      <c r="G45" s="16">
        <f>IF(AND(D45&lt;&gt;"",E45&lt;&gt;""),E45/(E45+F45),"")</f>
        <v/>
      </c>
      <c r="H45" s="17">
        <f>IF(G45="","",IF(G45&gt;=0.95,"Good",IF(G45&gt;=0.8,"Fair","Poor")))</f>
        <v/>
      </c>
      <c r="I45" s="15" t="n"/>
      <c r="J45" s="15" t="n"/>
      <c r="K45" s="15" t="n"/>
      <c r="L45" s="15" t="n"/>
      <c r="M45" s="18" t="n"/>
      <c r="N45" s="15" t="n"/>
    </row>
    <row r="46">
      <c r="A46" s="15" t="n"/>
      <c r="B46" s="15" t="n"/>
      <c r="C46" s="15" t="n"/>
      <c r="D46" s="15" t="n"/>
      <c r="E46" s="15" t="n"/>
      <c r="F46" s="15" t="n"/>
      <c r="G46" s="16">
        <f>IF(AND(D46&lt;&gt;"",E46&lt;&gt;""),E46/(E46+F46),"")</f>
        <v/>
      </c>
      <c r="H46" s="17">
        <f>IF(G46="","",IF(G46&gt;=0.95,"Good",IF(G46&gt;=0.8,"Fair","Poor")))</f>
        <v/>
      </c>
      <c r="I46" s="15" t="n"/>
      <c r="J46" s="15" t="n"/>
      <c r="K46" s="15" t="n"/>
      <c r="L46" s="15" t="n"/>
      <c r="M46" s="18" t="n"/>
      <c r="N46" s="15" t="n"/>
    </row>
    <row r="47">
      <c r="A47" s="15" t="n"/>
      <c r="B47" s="15" t="n"/>
      <c r="C47" s="15" t="n"/>
      <c r="D47" s="15" t="n"/>
      <c r="E47" s="15" t="n"/>
      <c r="F47" s="15" t="n"/>
      <c r="G47" s="16">
        <f>IF(AND(D47&lt;&gt;"",E47&lt;&gt;""),E47/(E47+F47),"")</f>
        <v/>
      </c>
      <c r="H47" s="17">
        <f>IF(G47="","",IF(G47&gt;=0.95,"Good",IF(G47&gt;=0.8,"Fair","Poor")))</f>
        <v/>
      </c>
      <c r="I47" s="15" t="n"/>
      <c r="J47" s="15" t="n"/>
      <c r="K47" s="15" t="n"/>
      <c r="L47" s="15" t="n"/>
      <c r="M47" s="18" t="n"/>
      <c r="N47" s="15" t="n"/>
    </row>
    <row r="48">
      <c r="A48" s="15" t="n"/>
      <c r="B48" s="15" t="n"/>
      <c r="C48" s="15" t="n"/>
      <c r="D48" s="15" t="n"/>
      <c r="E48" s="15" t="n"/>
      <c r="F48" s="15" t="n"/>
      <c r="G48" s="16">
        <f>IF(AND(D48&lt;&gt;"",E48&lt;&gt;""),E48/(E48+F48),"")</f>
        <v/>
      </c>
      <c r="H48" s="17">
        <f>IF(G48="","",IF(G48&gt;=0.95,"Good",IF(G48&gt;=0.8,"Fair","Poor")))</f>
        <v/>
      </c>
      <c r="I48" s="15" t="n"/>
      <c r="J48" s="15" t="n"/>
      <c r="K48" s="15" t="n"/>
      <c r="L48" s="15" t="n"/>
      <c r="M48" s="18" t="n"/>
      <c r="N48" s="15" t="n"/>
    </row>
    <row r="49">
      <c r="A49" s="15" t="n"/>
      <c r="B49" s="15" t="n"/>
      <c r="C49" s="15" t="n"/>
      <c r="D49" s="15" t="n"/>
      <c r="E49" s="15" t="n"/>
      <c r="F49" s="15" t="n"/>
      <c r="G49" s="16">
        <f>IF(AND(D49&lt;&gt;"",E49&lt;&gt;""),E49/(E49+F49),"")</f>
        <v/>
      </c>
      <c r="H49" s="17">
        <f>IF(G49="","",IF(G49&gt;=0.95,"Good",IF(G49&gt;=0.8,"Fair","Poor")))</f>
        <v/>
      </c>
      <c r="I49" s="15" t="n"/>
      <c r="J49" s="15" t="n"/>
      <c r="K49" s="15" t="n"/>
      <c r="L49" s="15" t="n"/>
      <c r="M49" s="18" t="n"/>
      <c r="N49" s="15" t="n"/>
    </row>
    <row r="50">
      <c r="A50" s="15" t="n"/>
      <c r="B50" s="15" t="n"/>
      <c r="C50" s="15" t="n"/>
      <c r="D50" s="15" t="n"/>
      <c r="E50" s="15" t="n"/>
      <c r="F50" s="15" t="n"/>
      <c r="G50" s="16">
        <f>IF(AND(D50&lt;&gt;"",E50&lt;&gt;""),E50/(E50+F50),"")</f>
        <v/>
      </c>
      <c r="H50" s="17">
        <f>IF(G50="","",IF(G50&gt;=0.95,"Good",IF(G50&gt;=0.8,"Fair","Poor")))</f>
        <v/>
      </c>
      <c r="I50" s="15" t="n"/>
      <c r="J50" s="15" t="n"/>
      <c r="K50" s="15" t="n"/>
      <c r="L50" s="15" t="n"/>
      <c r="M50" s="18" t="n"/>
      <c r="N50" s="15" t="n"/>
    </row>
    <row r="51">
      <c r="A51" s="15" t="n"/>
      <c r="B51" s="15" t="n"/>
      <c r="C51" s="15" t="n"/>
      <c r="D51" s="15" t="n"/>
      <c r="E51" s="15" t="n"/>
      <c r="F51" s="15" t="n"/>
      <c r="G51" s="16">
        <f>IF(AND(D51&lt;&gt;"",E51&lt;&gt;""),E51/(E51+F51),"")</f>
        <v/>
      </c>
      <c r="H51" s="17">
        <f>IF(G51="","",IF(G51&gt;=0.95,"Good",IF(G51&gt;=0.8,"Fair","Poor")))</f>
        <v/>
      </c>
      <c r="I51" s="15" t="n"/>
      <c r="J51" s="15" t="n"/>
      <c r="K51" s="15" t="n"/>
      <c r="L51" s="15" t="n"/>
      <c r="M51" s="18" t="n"/>
      <c r="N51" s="15" t="n"/>
    </row>
    <row r="52">
      <c r="A52" s="15" t="n"/>
      <c r="B52" s="15" t="n"/>
      <c r="C52" s="15" t="n"/>
      <c r="D52" s="15" t="n"/>
      <c r="E52" s="15" t="n"/>
      <c r="F52" s="15" t="n"/>
      <c r="G52" s="16">
        <f>IF(AND(D52&lt;&gt;"",E52&lt;&gt;""),E52/(E52+F52),"")</f>
        <v/>
      </c>
      <c r="H52" s="17">
        <f>IF(G52="","",IF(G52&gt;=0.95,"Good",IF(G52&gt;=0.8,"Fair","Poor")))</f>
        <v/>
      </c>
      <c r="I52" s="15" t="n"/>
      <c r="J52" s="15" t="n"/>
      <c r="K52" s="15" t="n"/>
      <c r="L52" s="15" t="n"/>
      <c r="M52" s="18" t="n"/>
      <c r="N52" s="15" t="n"/>
    </row>
    <row r="53">
      <c r="A53" s="15" t="n"/>
      <c r="B53" s="15" t="n"/>
      <c r="C53" s="15" t="n"/>
      <c r="D53" s="15" t="n"/>
      <c r="E53" s="15" t="n"/>
      <c r="F53" s="15" t="n"/>
      <c r="G53" s="16">
        <f>IF(AND(D53&lt;&gt;"",E53&lt;&gt;""),E53/(E53+F53),"")</f>
        <v/>
      </c>
      <c r="H53" s="17">
        <f>IF(G53="","",IF(G53&gt;=0.95,"Good",IF(G53&gt;=0.8,"Fair","Poor")))</f>
        <v/>
      </c>
      <c r="I53" s="15" t="n"/>
      <c r="J53" s="15" t="n"/>
      <c r="K53" s="15" t="n"/>
      <c r="L53" s="15" t="n"/>
      <c r="M53" s="18" t="n"/>
      <c r="N53" s="15" t="n"/>
    </row>
    <row r="54">
      <c r="A54" s="15" t="n"/>
      <c r="B54" s="15" t="n"/>
      <c r="C54" s="15" t="n"/>
      <c r="D54" s="15" t="n"/>
      <c r="E54" s="15" t="n"/>
      <c r="F54" s="15" t="n"/>
      <c r="G54" s="16">
        <f>IF(AND(D54&lt;&gt;"",E54&lt;&gt;""),E54/(E54+F54),"")</f>
        <v/>
      </c>
      <c r="H54" s="17">
        <f>IF(G54="","",IF(G54&gt;=0.95,"Good",IF(G54&gt;=0.8,"Fair","Poor")))</f>
        <v/>
      </c>
      <c r="I54" s="15" t="n"/>
      <c r="J54" s="15" t="n"/>
      <c r="K54" s="15" t="n"/>
      <c r="L54" s="15" t="n"/>
      <c r="M54" s="18" t="n"/>
      <c r="N54" s="15" t="n"/>
    </row>
    <row r="55">
      <c r="A55" s="15" t="n"/>
      <c r="B55" s="15" t="n"/>
      <c r="C55" s="15" t="n"/>
      <c r="D55" s="15" t="n"/>
      <c r="E55" s="15" t="n"/>
      <c r="F55" s="15" t="n"/>
      <c r="G55" s="16">
        <f>IF(AND(D55&lt;&gt;"",E55&lt;&gt;""),E55/(E55+F55),"")</f>
        <v/>
      </c>
      <c r="H55" s="17">
        <f>IF(G55="","",IF(G55&gt;=0.95,"Good",IF(G55&gt;=0.8,"Fair","Poor")))</f>
        <v/>
      </c>
      <c r="I55" s="15" t="n"/>
      <c r="J55" s="15" t="n"/>
      <c r="K55" s="15" t="n"/>
      <c r="L55" s="15" t="n"/>
      <c r="M55" s="18" t="n"/>
      <c r="N55" s="15" t="n"/>
    </row>
    <row r="60">
      <c r="A60" s="12" t="inlineStr">
        <is>
          <t>QUALITY DIMENSIONS EXPLAINED</t>
        </is>
      </c>
    </row>
    <row r="62">
      <c r="A62" s="23" t="inlineStr">
        <is>
          <t>Completeness:</t>
        </is>
      </c>
      <c r="B62" s="28" t="inlineStr">
        <is>
          <t>All required fields present in logs</t>
        </is>
      </c>
    </row>
    <row r="63">
      <c r="A63" s="23" t="inlineStr">
        <is>
          <t>Accuracy:</t>
        </is>
      </c>
      <c r="B63" s="28" t="inlineStr">
        <is>
          <t>Data values correct and meaningful</t>
        </is>
      </c>
    </row>
    <row r="64">
      <c r="A64" s="23" t="inlineStr">
        <is>
          <t>Consistency:</t>
        </is>
      </c>
      <c r="B64" s="28" t="inlineStr">
        <is>
          <t>Same events logged same way across sources</t>
        </is>
      </c>
    </row>
    <row r="65">
      <c r="A65" s="23" t="inlineStr">
        <is>
          <t>Timeliness:</t>
        </is>
      </c>
      <c r="B65" s="28" t="inlineStr">
        <is>
          <t>Logs indexed within target timeframe</t>
        </is>
      </c>
    </row>
    <row r="66">
      <c r="A66" s="23" t="inlineStr">
        <is>
          <t>Validity:</t>
        </is>
      </c>
      <c r="B66" s="28" t="inlineStr">
        <is>
          <t>Data conforms to expected formats</t>
        </is>
      </c>
    </row>
  </sheetData>
  <mergeCells count="8">
    <mergeCell ref="B66:N66"/>
    <mergeCell ref="B63:N63"/>
    <mergeCell ref="B65:N65"/>
    <mergeCell ref="A2:N2"/>
    <mergeCell ref="A60:N60"/>
    <mergeCell ref="B62:N62"/>
    <mergeCell ref="B64:N64"/>
    <mergeCell ref="A1:N1"/>
  </mergeCells>
  <dataValidations count="2">
    <dataValidation sqref="A6:A55" showDropDown="0" showInputMessage="0" showErrorMessage="0" allowBlank="1" type="list">
      <formula1>"Completeness,Accuracy,Consistency,Timeliness,Validity"</formula1>
    </dataValidation>
    <dataValidation sqref="J6:J55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30" customWidth="1" min="11" max="11"/>
  </cols>
  <sheetData>
    <row r="1">
      <c r="A1" s="11" t="inlineStr">
        <is>
          <t>ENCRYPTION &amp; AUTHENTICATION</t>
        </is>
      </c>
    </row>
    <row r="2">
      <c r="A2" s="12" t="inlineStr">
        <is>
          <t>Assess security controls for log transport and collection authentication</t>
        </is>
      </c>
    </row>
    <row r="4">
      <c r="A4" s="29" t="inlineStr">
        <is>
          <t>LOG TRANSPORT ENCRYPTION</t>
        </is>
      </c>
    </row>
    <row r="5">
      <c r="A5" s="13" t="inlineStr">
        <is>
          <t>Log Source/Path</t>
        </is>
      </c>
      <c r="B5" s="13" t="inlineStr">
        <is>
          <t>Protocol</t>
        </is>
      </c>
      <c r="C5" s="13" t="inlineStr">
        <is>
          <t>TLS Version</t>
        </is>
      </c>
      <c r="D5" s="13" t="inlineStr">
        <is>
          <t>Cipher Suite</t>
        </is>
      </c>
      <c r="E5" s="13" t="inlineStr">
        <is>
          <t>Certificate Valid</t>
        </is>
      </c>
      <c r="F5" s="13" t="inlineStr">
        <is>
          <t>Certificate Expiry</t>
        </is>
      </c>
      <c r="G5" s="13" t="inlineStr">
        <is>
          <t>Mutual TLS</t>
        </is>
      </c>
      <c r="H5" s="13" t="inlineStr">
        <is>
          <t>Compliance Status</t>
        </is>
      </c>
      <c r="I5" s="13" t="inlineStr">
        <is>
          <t>Last Verified</t>
        </is>
      </c>
      <c r="J5" s="13" t="inlineStr">
        <is>
          <t>Evidence Ref</t>
        </is>
      </c>
      <c r="K5" s="13" t="inlineStr">
        <is>
          <t>Notes</t>
        </is>
      </c>
    </row>
    <row r="6">
      <c r="A6" t="inlineStr">
        <is>
          <t>Syslog -&gt; SIEM</t>
        </is>
      </c>
      <c r="B6" t="inlineStr">
        <is>
          <t>Syslog/TLS</t>
        </is>
      </c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</row>
    <row r="7">
      <c r="A7" t="inlineStr">
        <is>
          <t>Windows Event -&gt; SIEM</t>
        </is>
      </c>
      <c r="B7" t="inlineStr">
        <is>
          <t>WEF/HTTPS</t>
        </is>
      </c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</row>
    <row r="8">
      <c r="A8" t="inlineStr">
        <is>
          <t>Linux Agents -&gt; SIEM</t>
        </is>
      </c>
      <c r="B8" t="inlineStr">
        <is>
          <t>Agent/TLS</t>
        </is>
      </c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</row>
    <row r="9">
      <c r="A9" t="inlineStr">
        <is>
          <t>Cloud Logs -&gt; SIEM</t>
        </is>
      </c>
      <c r="B9" t="inlineStr">
        <is>
          <t>HTTPS API</t>
        </is>
      </c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</row>
    <row r="10">
      <c r="A10" t="inlineStr">
        <is>
          <t>Network Devices -&gt; SIEM</t>
        </is>
      </c>
      <c r="B10" t="inlineStr">
        <is>
          <t>Syslog/TLS</t>
        </is>
      </c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</row>
    <row r="11">
      <c r="A11" t="inlineStr">
        <is>
          <t>Database Audit -&gt; SIEM</t>
        </is>
      </c>
      <c r="B11" t="inlineStr">
        <is>
          <t>JDBC/TLS</t>
        </is>
      </c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</row>
    <row r="12">
      <c r="A12" t="inlineStr">
        <is>
          <t>Container Logs -&gt; SIEM</t>
        </is>
      </c>
      <c r="B12" t="inlineStr">
        <is>
          <t>Fluentd/TLS</t>
        </is>
      </c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</row>
    <row r="13">
      <c r="A13" t="inlineStr">
        <is>
          <t>Application Logs -&gt; SIEM</t>
        </is>
      </c>
      <c r="B13" t="inlineStr">
        <is>
          <t>Filebeat/TLS</t>
        </is>
      </c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</row>
    <row r="16">
      <c r="A16" s="29" t="inlineStr">
        <is>
          <t>AUTHENTICATION METHODS</t>
        </is>
      </c>
    </row>
    <row r="17">
      <c r="A17" s="13" t="inlineStr">
        <is>
          <t>Collection Method</t>
        </is>
      </c>
      <c r="B17" s="13" t="inlineStr">
        <is>
          <t>Auth Type</t>
        </is>
      </c>
      <c r="C17" s="13" t="inlineStr">
        <is>
          <t>Credential Storage</t>
        </is>
      </c>
      <c r="D17" s="13" t="inlineStr">
        <is>
          <t>Rotation Frequency</t>
        </is>
      </c>
      <c r="E17" s="13" t="inlineStr">
        <is>
          <t>Last Rotated</t>
        </is>
      </c>
      <c r="F17" s="13" t="inlineStr">
        <is>
          <t>Service Account</t>
        </is>
      </c>
      <c r="G17" s="13" t="inlineStr">
        <is>
          <t>MFA Enabled</t>
        </is>
      </c>
      <c r="H17" s="13" t="inlineStr">
        <is>
          <t>Compliance</t>
        </is>
      </c>
      <c r="I17" s="13" t="inlineStr">
        <is>
          <t>Owner</t>
        </is>
      </c>
      <c r="J17" s="13" t="inlineStr">
        <is>
          <t>Evidence Ref</t>
        </is>
      </c>
    </row>
    <row r="18">
      <c r="A18" t="inlineStr">
        <is>
          <t>SIEM API Access</t>
        </is>
      </c>
      <c r="B18" t="inlineStr">
        <is>
          <t>API Key</t>
        </is>
      </c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</row>
    <row r="19">
      <c r="A19" t="inlineStr">
        <is>
          <t>Log Forwarder Auth</t>
        </is>
      </c>
      <c r="B19" t="inlineStr">
        <is>
          <t>Certificate</t>
        </is>
      </c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</row>
    <row r="20">
      <c r="A20" t="inlineStr">
        <is>
          <t>Cloud Platform Auth</t>
        </is>
      </c>
      <c r="B20" t="inlineStr">
        <is>
          <t>OAuth/OIDC</t>
        </is>
      </c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</row>
    <row r="21">
      <c r="A21" t="inlineStr">
        <is>
          <t>Database Audit Auth</t>
        </is>
      </c>
      <c r="B21" t="inlineStr">
        <is>
          <t>Service Account</t>
        </is>
      </c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</row>
    <row r="22">
      <c r="A22" t="inlineStr">
        <is>
          <t>Agent Authentication</t>
        </is>
      </c>
      <c r="B22" t="inlineStr">
        <is>
          <t>Certificate</t>
        </is>
      </c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</row>
    <row r="25">
      <c r="A25" s="29" t="inlineStr">
        <is>
          <t>ENCRYPTION &amp; AUTHENTICATION COMPLIANCE CHECKLIST</t>
        </is>
      </c>
    </row>
    <row r="26">
      <c r="A26" s="30" t="inlineStr">
        <is>
          <t>All log transport uses TLS 1.2 or higher</t>
        </is>
      </c>
      <c r="J26" s="15" t="inlineStr"/>
    </row>
    <row r="27">
      <c r="A27" s="30" t="inlineStr">
        <is>
          <t>No plaintext log transmission over network</t>
        </is>
      </c>
      <c r="J27" s="15" t="inlineStr"/>
    </row>
    <row r="28">
      <c r="A28" s="30" t="inlineStr">
        <is>
          <t>Certificates are valid and not expired</t>
        </is>
      </c>
      <c r="J28" s="15" t="inlineStr"/>
    </row>
    <row r="29">
      <c r="A29" s="30" t="inlineStr">
        <is>
          <t>Certificate expiry monitoring in place</t>
        </is>
      </c>
      <c r="J29" s="15" t="inlineStr"/>
    </row>
    <row r="30">
      <c r="A30" s="30" t="inlineStr">
        <is>
          <t>Mutual TLS (mTLS) used where supported</t>
        </is>
      </c>
      <c r="J30" s="15" t="inlineStr"/>
    </row>
    <row r="31">
      <c r="A31" s="30" t="inlineStr">
        <is>
          <t>API keys/tokens stored securely (vault/KMS)</t>
        </is>
      </c>
      <c r="J31" s="15" t="inlineStr"/>
    </row>
    <row r="32">
      <c r="A32" s="30" t="inlineStr">
        <is>
          <t>Credentials rotated per policy (90 days max)</t>
        </is>
      </c>
      <c r="J32" s="15" t="inlineStr"/>
    </row>
    <row r="33">
      <c r="A33" s="30" t="inlineStr">
        <is>
          <t>Service accounts have minimum required permissions</t>
        </is>
      </c>
      <c r="J33" s="15" t="inlineStr"/>
    </row>
    <row r="34">
      <c r="A34" s="30" t="inlineStr">
        <is>
          <t>Authentication failures are logged and alerted</t>
        </is>
      </c>
      <c r="J34" s="15" t="inlineStr"/>
    </row>
    <row r="35">
      <c r="A35" s="30" t="inlineStr">
        <is>
          <t>Encryption at rest enabled for log storage</t>
        </is>
      </c>
      <c r="J35" s="15" t="inlineStr"/>
    </row>
  </sheetData>
  <mergeCells count="15">
    <mergeCell ref="A29:I29"/>
    <mergeCell ref="A4:K4"/>
    <mergeCell ref="A33:I33"/>
    <mergeCell ref="A28:I28"/>
    <mergeCell ref="A32:I32"/>
    <mergeCell ref="A25:K25"/>
    <mergeCell ref="A2:K2"/>
    <mergeCell ref="A16:K16"/>
    <mergeCell ref="A27:I27"/>
    <mergeCell ref="A31:I31"/>
    <mergeCell ref="A34:I34"/>
    <mergeCell ref="A35:I35"/>
    <mergeCell ref="A1:K1"/>
    <mergeCell ref="A26:I26"/>
    <mergeCell ref="A30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30" customWidth="1" min="4" max="4"/>
    <col width="20" customWidth="1" min="5" max="5"/>
    <col width="40" customWidth="1" min="6" max="6"/>
    <col width="40" customWidth="1" min="7" max="7"/>
    <col width="50" customWidth="1" min="8" max="8"/>
    <col width="25" customWidth="1" min="9" max="9"/>
    <col width="15" customWidth="1" min="10" max="10"/>
    <col width="15" customWidth="1" min="11" max="11"/>
    <col width="40" customWidth="1" min="12" max="12"/>
  </cols>
  <sheetData>
    <row r="1" ht="35" customHeight="1">
      <c r="A1" s="11" t="inlineStr">
        <is>
          <t>GAP ANALYSIS</t>
        </is>
      </c>
    </row>
    <row r="2">
      <c r="A2" s="12" t="inlineStr">
        <is>
          <t>Track collection infrastructure gaps and remediation plans</t>
        </is>
      </c>
    </row>
    <row r="4">
      <c r="A4" s="13" t="inlineStr">
        <is>
          <t>Gap ID</t>
        </is>
      </c>
      <c r="B4" s="13" t="inlineStr">
        <is>
          <t>Gap Category</t>
        </is>
      </c>
      <c r="C4" s="13" t="inlineStr">
        <is>
          <t>Description</t>
        </is>
      </c>
      <c r="D4" s="13" t="inlineStr">
        <is>
          <t>Affected Systems</t>
        </is>
      </c>
      <c r="E4" s="13" t="inlineStr">
        <is>
          <t>Impact</t>
        </is>
      </c>
      <c r="F4" s="13" t="inlineStr">
        <is>
          <t>Current State</t>
        </is>
      </c>
      <c r="G4" s="13" t="inlineStr">
        <is>
          <t>Target State</t>
        </is>
      </c>
      <c r="H4" s="13" t="inlineStr">
        <is>
          <t>Remediation Action</t>
        </is>
      </c>
      <c r="I4" s="13" t="inlineStr">
        <is>
          <t>Owner</t>
        </is>
      </c>
      <c r="J4" s="13" t="inlineStr">
        <is>
          <t>Target Date</t>
        </is>
      </c>
      <c r="K4" s="13" t="inlineStr">
        <is>
          <t>Status</t>
        </is>
      </c>
      <c r="L4" s="13" t="inlineStr">
        <is>
          <t>Notes</t>
        </is>
      </c>
    </row>
    <row r="5">
      <c r="A5" s="14" t="inlineStr">
        <is>
          <t>GAP-001</t>
        </is>
      </c>
      <c r="B5" s="14" t="inlineStr">
        <is>
          <t>Reliability Issue</t>
        </is>
      </c>
      <c r="C5" s="14" t="inlineStr">
        <is>
          <t>Collection rate below 95% for 15 systems</t>
        </is>
      </c>
      <c r="D5" s="14" t="inlineStr">
        <is>
          <t>15 database servers</t>
        </is>
      </c>
      <c r="E5" s="14" t="inlineStr">
        <is>
          <t>High</t>
        </is>
      </c>
      <c r="F5" s="14" t="inlineStr">
        <is>
          <t>Avg collection rate: 87%</t>
        </is>
      </c>
      <c r="G5" s="14" t="inlineStr">
        <is>
          <t>Collection rate: &gt;95%</t>
        </is>
      </c>
      <c r="H5" s="14" t="inlineStr">
        <is>
          <t>Investigate forwarder configuration and network path</t>
        </is>
      </c>
      <c r="I5" s="14" t="inlineStr">
        <is>
          <t>DB Admin Team</t>
        </is>
      </c>
      <c r="J5" s="14" t="inlineStr">
        <is>
          <t>31.01.2026</t>
        </is>
      </c>
      <c r="K5" s="14" t="inlineStr">
        <is>
          <t>Open</t>
        </is>
      </c>
      <c r="L5" s="14" t="inlineStr">
        <is>
          <t>May require forwarder upgrade</t>
        </is>
      </c>
    </row>
    <row r="6">
      <c r="A6" s="31">
        <f>IF(B6&lt;&gt;"","GAP-"&amp;TEXT(ROW()-5,"000"),"")</f>
        <v/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8" t="n"/>
      <c r="K6" s="15" t="n"/>
      <c r="L6" s="15" t="n"/>
    </row>
    <row r="7">
      <c r="A7" s="31">
        <f>IF(B7&lt;&gt;"","GAP-"&amp;TEXT(ROW()-5,"000"),"")</f>
        <v/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8" t="n"/>
      <c r="K7" s="15" t="n"/>
      <c r="L7" s="15" t="n"/>
    </row>
    <row r="8">
      <c r="A8" s="31">
        <f>IF(B8&lt;&gt;"","GAP-"&amp;TEXT(ROW()-5,"000"),"")</f>
        <v/>
      </c>
      <c r="B8" s="15" t="n"/>
      <c r="C8" s="15" t="n"/>
      <c r="D8" s="15" t="n"/>
      <c r="E8" s="15" t="n"/>
      <c r="F8" s="15" t="n"/>
      <c r="G8" s="15" t="n"/>
      <c r="H8" s="15" t="n"/>
      <c r="I8" s="15" t="n"/>
      <c r="J8" s="18" t="n"/>
      <c r="K8" s="15" t="n"/>
      <c r="L8" s="15" t="n"/>
    </row>
    <row r="9">
      <c r="A9" s="31">
        <f>IF(B9&lt;&gt;"","GAP-"&amp;TEXT(ROW()-5,"000"),"")</f>
        <v/>
      </c>
      <c r="B9" s="15" t="n"/>
      <c r="C9" s="15" t="n"/>
      <c r="D9" s="15" t="n"/>
      <c r="E9" s="15" t="n"/>
      <c r="F9" s="15" t="n"/>
      <c r="G9" s="15" t="n"/>
      <c r="H9" s="15" t="n"/>
      <c r="I9" s="15" t="n"/>
      <c r="J9" s="18" t="n"/>
      <c r="K9" s="15" t="n"/>
      <c r="L9" s="15" t="n"/>
    </row>
    <row r="10">
      <c r="A10" s="31">
        <f>IF(B10&lt;&gt;"","GAP-"&amp;TEXT(ROW()-5,"000"),"")</f>
        <v/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8" t="n"/>
      <c r="K10" s="15" t="n"/>
      <c r="L10" s="15" t="n"/>
    </row>
    <row r="11">
      <c r="A11" s="31">
        <f>IF(B11&lt;&gt;"","GAP-"&amp;TEXT(ROW()-5,"000"),"")</f>
        <v/>
      </c>
      <c r="B11" s="15" t="n"/>
      <c r="C11" s="15" t="n"/>
      <c r="D11" s="15" t="n"/>
      <c r="E11" s="15" t="n"/>
      <c r="F11" s="15" t="n"/>
      <c r="G11" s="15" t="n"/>
      <c r="H11" s="15" t="n"/>
      <c r="I11" s="15" t="n"/>
      <c r="J11" s="18" t="n"/>
      <c r="K11" s="15" t="n"/>
      <c r="L11" s="15" t="n"/>
    </row>
    <row r="12">
      <c r="A12" s="31">
        <f>IF(B12&lt;&gt;"","GAP-"&amp;TEXT(ROW()-5,"000"),"")</f>
        <v/>
      </c>
      <c r="B12" s="15" t="n"/>
      <c r="C12" s="15" t="n"/>
      <c r="D12" s="15" t="n"/>
      <c r="E12" s="15" t="n"/>
      <c r="F12" s="15" t="n"/>
      <c r="G12" s="15" t="n"/>
      <c r="H12" s="15" t="n"/>
      <c r="I12" s="15" t="n"/>
      <c r="J12" s="18" t="n"/>
      <c r="K12" s="15" t="n"/>
      <c r="L12" s="15" t="n"/>
    </row>
    <row r="13">
      <c r="A13" s="31">
        <f>IF(B13&lt;&gt;"","GAP-"&amp;TEXT(ROW()-5,"000"),"")</f>
        <v/>
      </c>
      <c r="B13" s="15" t="n"/>
      <c r="C13" s="15" t="n"/>
      <c r="D13" s="15" t="n"/>
      <c r="E13" s="15" t="n"/>
      <c r="F13" s="15" t="n"/>
      <c r="G13" s="15" t="n"/>
      <c r="H13" s="15" t="n"/>
      <c r="I13" s="15" t="n"/>
      <c r="J13" s="18" t="n"/>
      <c r="K13" s="15" t="n"/>
      <c r="L13" s="15" t="n"/>
    </row>
    <row r="14">
      <c r="A14" s="31">
        <f>IF(B14&lt;&gt;"","GAP-"&amp;TEXT(ROW()-5,"000"),"")</f>
        <v/>
      </c>
      <c r="B14" s="15" t="n"/>
      <c r="C14" s="15" t="n"/>
      <c r="D14" s="15" t="n"/>
      <c r="E14" s="15" t="n"/>
      <c r="F14" s="15" t="n"/>
      <c r="G14" s="15" t="n"/>
      <c r="H14" s="15" t="n"/>
      <c r="I14" s="15" t="n"/>
      <c r="J14" s="18" t="n"/>
      <c r="K14" s="15" t="n"/>
      <c r="L14" s="15" t="n"/>
    </row>
    <row r="15">
      <c r="A15" s="31">
        <f>IF(B15&lt;&gt;"","GAP-"&amp;TEXT(ROW()-5,"000"),"")</f>
        <v/>
      </c>
      <c r="B15" s="15" t="n"/>
      <c r="C15" s="15" t="n"/>
      <c r="D15" s="15" t="n"/>
      <c r="E15" s="15" t="n"/>
      <c r="F15" s="15" t="n"/>
      <c r="G15" s="15" t="n"/>
      <c r="H15" s="15" t="n"/>
      <c r="I15" s="15" t="n"/>
      <c r="J15" s="18" t="n"/>
      <c r="K15" s="15" t="n"/>
      <c r="L15" s="15" t="n"/>
    </row>
    <row r="16">
      <c r="A16" s="31">
        <f>IF(B16&lt;&gt;"","GAP-"&amp;TEXT(ROW()-5,"000"),"")</f>
        <v/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8" t="n"/>
      <c r="K16" s="15" t="n"/>
      <c r="L16" s="15" t="n"/>
    </row>
    <row r="17">
      <c r="A17" s="31">
        <f>IF(B17&lt;&gt;"","GAP-"&amp;TEXT(ROW()-5,"000"),"")</f>
        <v/>
      </c>
      <c r="B17" s="15" t="n"/>
      <c r="C17" s="15" t="n"/>
      <c r="D17" s="15" t="n"/>
      <c r="E17" s="15" t="n"/>
      <c r="F17" s="15" t="n"/>
      <c r="G17" s="15" t="n"/>
      <c r="H17" s="15" t="n"/>
      <c r="I17" s="15" t="n"/>
      <c r="J17" s="18" t="n"/>
      <c r="K17" s="15" t="n"/>
      <c r="L17" s="15" t="n"/>
    </row>
    <row r="18">
      <c r="A18" s="31">
        <f>IF(B18&lt;&gt;"","GAP-"&amp;TEXT(ROW()-5,"000"),"")</f>
        <v/>
      </c>
      <c r="B18" s="15" t="n"/>
      <c r="C18" s="15" t="n"/>
      <c r="D18" s="15" t="n"/>
      <c r="E18" s="15" t="n"/>
      <c r="F18" s="15" t="n"/>
      <c r="G18" s="15" t="n"/>
      <c r="H18" s="15" t="n"/>
      <c r="I18" s="15" t="n"/>
      <c r="J18" s="18" t="n"/>
      <c r="K18" s="15" t="n"/>
      <c r="L18" s="15" t="n"/>
    </row>
    <row r="19">
      <c r="A19" s="31">
        <f>IF(B19&lt;&gt;"","GAP-"&amp;TEXT(ROW()-5,"000"),"")</f>
        <v/>
      </c>
      <c r="B19" s="15" t="n"/>
      <c r="C19" s="15" t="n"/>
      <c r="D19" s="15" t="n"/>
      <c r="E19" s="15" t="n"/>
      <c r="F19" s="15" t="n"/>
      <c r="G19" s="15" t="n"/>
      <c r="H19" s="15" t="n"/>
      <c r="I19" s="15" t="n"/>
      <c r="J19" s="18" t="n"/>
      <c r="K19" s="15" t="n"/>
      <c r="L19" s="15" t="n"/>
    </row>
    <row r="20">
      <c r="A20" s="31">
        <f>IF(B20&lt;&gt;"","GAP-"&amp;TEXT(ROW()-5,"000"),"")</f>
        <v/>
      </c>
      <c r="B20" s="15" t="n"/>
      <c r="C20" s="15" t="n"/>
      <c r="D20" s="15" t="n"/>
      <c r="E20" s="15" t="n"/>
      <c r="F20" s="15" t="n"/>
      <c r="G20" s="15" t="n"/>
      <c r="H20" s="15" t="n"/>
      <c r="I20" s="15" t="n"/>
      <c r="J20" s="18" t="n"/>
      <c r="K20" s="15" t="n"/>
      <c r="L20" s="15" t="n"/>
    </row>
    <row r="21">
      <c r="A21" s="31">
        <f>IF(B21&lt;&gt;"","GAP-"&amp;TEXT(ROW()-5,"000"),"")</f>
        <v/>
      </c>
      <c r="B21" s="15" t="n"/>
      <c r="C21" s="15" t="n"/>
      <c r="D21" s="15" t="n"/>
      <c r="E21" s="15" t="n"/>
      <c r="F21" s="15" t="n"/>
      <c r="G21" s="15" t="n"/>
      <c r="H21" s="15" t="n"/>
      <c r="I21" s="15" t="n"/>
      <c r="J21" s="18" t="n"/>
      <c r="K21" s="15" t="n"/>
      <c r="L21" s="15" t="n"/>
    </row>
    <row r="22">
      <c r="A22" s="31">
        <f>IF(B22&lt;&gt;"","GAP-"&amp;TEXT(ROW()-5,"000"),"")</f>
        <v/>
      </c>
      <c r="B22" s="15" t="n"/>
      <c r="C22" s="15" t="n"/>
      <c r="D22" s="15" t="n"/>
      <c r="E22" s="15" t="n"/>
      <c r="F22" s="15" t="n"/>
      <c r="G22" s="15" t="n"/>
      <c r="H22" s="15" t="n"/>
      <c r="I22" s="15" t="n"/>
      <c r="J22" s="18" t="n"/>
      <c r="K22" s="15" t="n"/>
      <c r="L22" s="15" t="n"/>
    </row>
    <row r="23">
      <c r="A23" s="31">
        <f>IF(B23&lt;&gt;"","GAP-"&amp;TEXT(ROW()-5,"000"),"")</f>
        <v/>
      </c>
      <c r="B23" s="15" t="n"/>
      <c r="C23" s="15" t="n"/>
      <c r="D23" s="15" t="n"/>
      <c r="E23" s="15" t="n"/>
      <c r="F23" s="15" t="n"/>
      <c r="G23" s="15" t="n"/>
      <c r="H23" s="15" t="n"/>
      <c r="I23" s="15" t="n"/>
      <c r="J23" s="18" t="n"/>
      <c r="K23" s="15" t="n"/>
      <c r="L23" s="15" t="n"/>
    </row>
    <row r="24">
      <c r="A24" s="31">
        <f>IF(B24&lt;&gt;"","GAP-"&amp;TEXT(ROW()-5,"000"),"")</f>
        <v/>
      </c>
      <c r="B24" s="15" t="n"/>
      <c r="C24" s="15" t="n"/>
      <c r="D24" s="15" t="n"/>
      <c r="E24" s="15" t="n"/>
      <c r="F24" s="15" t="n"/>
      <c r="G24" s="15" t="n"/>
      <c r="H24" s="15" t="n"/>
      <c r="I24" s="15" t="n"/>
      <c r="J24" s="18" t="n"/>
      <c r="K24" s="15" t="n"/>
      <c r="L24" s="15" t="n"/>
    </row>
    <row r="25">
      <c r="A25" s="31">
        <f>IF(B25&lt;&gt;"","GAP-"&amp;TEXT(ROW()-5,"000"),"")</f>
        <v/>
      </c>
      <c r="B25" s="15" t="n"/>
      <c r="C25" s="15" t="n"/>
      <c r="D25" s="15" t="n"/>
      <c r="E25" s="15" t="n"/>
      <c r="F25" s="15" t="n"/>
      <c r="G25" s="15" t="n"/>
      <c r="H25" s="15" t="n"/>
      <c r="I25" s="15" t="n"/>
      <c r="J25" s="18" t="n"/>
      <c r="K25" s="15" t="n"/>
      <c r="L25" s="15" t="n"/>
    </row>
    <row r="26">
      <c r="A26" s="31">
        <f>IF(B26&lt;&gt;"","GAP-"&amp;TEXT(ROW()-5,"000"),"")</f>
        <v/>
      </c>
      <c r="B26" s="15" t="n"/>
      <c r="C26" s="15" t="n"/>
      <c r="D26" s="15" t="n"/>
      <c r="E26" s="15" t="n"/>
      <c r="F26" s="15" t="n"/>
      <c r="G26" s="15" t="n"/>
      <c r="H26" s="15" t="n"/>
      <c r="I26" s="15" t="n"/>
      <c r="J26" s="18" t="n"/>
      <c r="K26" s="15" t="n"/>
      <c r="L26" s="15" t="n"/>
    </row>
    <row r="27">
      <c r="A27" s="31">
        <f>IF(B27&lt;&gt;"","GAP-"&amp;TEXT(ROW()-5,"000"),"")</f>
        <v/>
      </c>
      <c r="B27" s="15" t="n"/>
      <c r="C27" s="15" t="n"/>
      <c r="D27" s="15" t="n"/>
      <c r="E27" s="15" t="n"/>
      <c r="F27" s="15" t="n"/>
      <c r="G27" s="15" t="n"/>
      <c r="H27" s="15" t="n"/>
      <c r="I27" s="15" t="n"/>
      <c r="J27" s="18" t="n"/>
      <c r="K27" s="15" t="n"/>
      <c r="L27" s="15" t="n"/>
    </row>
    <row r="28">
      <c r="A28" s="31">
        <f>IF(B28&lt;&gt;"","GAP-"&amp;TEXT(ROW()-5,"000"),"")</f>
        <v/>
      </c>
      <c r="B28" s="15" t="n"/>
      <c r="C28" s="15" t="n"/>
      <c r="D28" s="15" t="n"/>
      <c r="E28" s="15" t="n"/>
      <c r="F28" s="15" t="n"/>
      <c r="G28" s="15" t="n"/>
      <c r="H28" s="15" t="n"/>
      <c r="I28" s="15" t="n"/>
      <c r="J28" s="18" t="n"/>
      <c r="K28" s="15" t="n"/>
      <c r="L28" s="15" t="n"/>
    </row>
    <row r="29">
      <c r="A29" s="31">
        <f>IF(B29&lt;&gt;"","GAP-"&amp;TEXT(ROW()-5,"000"),"")</f>
        <v/>
      </c>
      <c r="B29" s="15" t="n"/>
      <c r="C29" s="15" t="n"/>
      <c r="D29" s="15" t="n"/>
      <c r="E29" s="15" t="n"/>
      <c r="F29" s="15" t="n"/>
      <c r="G29" s="15" t="n"/>
      <c r="H29" s="15" t="n"/>
      <c r="I29" s="15" t="n"/>
      <c r="J29" s="18" t="n"/>
      <c r="K29" s="15" t="n"/>
      <c r="L29" s="15" t="n"/>
    </row>
    <row r="30">
      <c r="A30" s="31">
        <f>IF(B30&lt;&gt;"","GAP-"&amp;TEXT(ROW()-5,"000"),"")</f>
        <v/>
      </c>
      <c r="B30" s="15" t="n"/>
      <c r="C30" s="15" t="n"/>
      <c r="D30" s="15" t="n"/>
      <c r="E30" s="15" t="n"/>
      <c r="F30" s="15" t="n"/>
      <c r="G30" s="15" t="n"/>
      <c r="H30" s="15" t="n"/>
      <c r="I30" s="15" t="n"/>
      <c r="J30" s="18" t="n"/>
      <c r="K30" s="15" t="n"/>
      <c r="L30" s="15" t="n"/>
    </row>
    <row r="31">
      <c r="A31" s="31">
        <f>IF(B31&lt;&gt;"","GAP-"&amp;TEXT(ROW()-5,"000"),"")</f>
        <v/>
      </c>
      <c r="B31" s="15" t="n"/>
      <c r="C31" s="15" t="n"/>
      <c r="D31" s="15" t="n"/>
      <c r="E31" s="15" t="n"/>
      <c r="F31" s="15" t="n"/>
      <c r="G31" s="15" t="n"/>
      <c r="H31" s="15" t="n"/>
      <c r="I31" s="15" t="n"/>
      <c r="J31" s="18" t="n"/>
      <c r="K31" s="15" t="n"/>
      <c r="L31" s="15" t="n"/>
    </row>
    <row r="32">
      <c r="A32" s="31">
        <f>IF(B32&lt;&gt;"","GAP-"&amp;TEXT(ROW()-5,"000"),"")</f>
        <v/>
      </c>
      <c r="B32" s="15" t="n"/>
      <c r="C32" s="15" t="n"/>
      <c r="D32" s="15" t="n"/>
      <c r="E32" s="15" t="n"/>
      <c r="F32" s="15" t="n"/>
      <c r="G32" s="15" t="n"/>
      <c r="H32" s="15" t="n"/>
      <c r="I32" s="15" t="n"/>
      <c r="J32" s="18" t="n"/>
      <c r="K32" s="15" t="n"/>
      <c r="L32" s="15" t="n"/>
    </row>
    <row r="33">
      <c r="A33" s="31">
        <f>IF(B33&lt;&gt;"","GAP-"&amp;TEXT(ROW()-5,"000"),"")</f>
        <v/>
      </c>
      <c r="B33" s="15" t="n"/>
      <c r="C33" s="15" t="n"/>
      <c r="D33" s="15" t="n"/>
      <c r="E33" s="15" t="n"/>
      <c r="F33" s="15" t="n"/>
      <c r="G33" s="15" t="n"/>
      <c r="H33" s="15" t="n"/>
      <c r="I33" s="15" t="n"/>
      <c r="J33" s="18" t="n"/>
      <c r="K33" s="15" t="n"/>
      <c r="L33" s="15" t="n"/>
    </row>
    <row r="34">
      <c r="A34" s="31">
        <f>IF(B34&lt;&gt;"","GAP-"&amp;TEXT(ROW()-5,"000"),"")</f>
        <v/>
      </c>
      <c r="B34" s="15" t="n"/>
      <c r="C34" s="15" t="n"/>
      <c r="D34" s="15" t="n"/>
      <c r="E34" s="15" t="n"/>
      <c r="F34" s="15" t="n"/>
      <c r="G34" s="15" t="n"/>
      <c r="H34" s="15" t="n"/>
      <c r="I34" s="15" t="n"/>
      <c r="J34" s="18" t="n"/>
      <c r="K34" s="15" t="n"/>
      <c r="L34" s="15" t="n"/>
    </row>
    <row r="35">
      <c r="A35" s="31">
        <f>IF(B35&lt;&gt;"","GAP-"&amp;TEXT(ROW()-5,"000"),"")</f>
        <v/>
      </c>
      <c r="B35" s="15" t="n"/>
      <c r="C35" s="15" t="n"/>
      <c r="D35" s="15" t="n"/>
      <c r="E35" s="15" t="n"/>
      <c r="F35" s="15" t="n"/>
      <c r="G35" s="15" t="n"/>
      <c r="H35" s="15" t="n"/>
      <c r="I35" s="15" t="n"/>
      <c r="J35" s="18" t="n"/>
      <c r="K35" s="15" t="n"/>
      <c r="L35" s="15" t="n"/>
    </row>
    <row r="36">
      <c r="A36" s="31">
        <f>IF(B36&lt;&gt;"","GAP-"&amp;TEXT(ROW()-5,"000"),"")</f>
        <v/>
      </c>
      <c r="B36" s="15" t="n"/>
      <c r="C36" s="15" t="n"/>
      <c r="D36" s="15" t="n"/>
      <c r="E36" s="15" t="n"/>
      <c r="F36" s="15" t="n"/>
      <c r="G36" s="15" t="n"/>
      <c r="H36" s="15" t="n"/>
      <c r="I36" s="15" t="n"/>
      <c r="J36" s="18" t="n"/>
      <c r="K36" s="15" t="n"/>
      <c r="L36" s="15" t="n"/>
    </row>
    <row r="37">
      <c r="A37" s="31">
        <f>IF(B37&lt;&gt;"","GAP-"&amp;TEXT(ROW()-5,"000"),"")</f>
        <v/>
      </c>
      <c r="B37" s="15" t="n"/>
      <c r="C37" s="15" t="n"/>
      <c r="D37" s="15" t="n"/>
      <c r="E37" s="15" t="n"/>
      <c r="F37" s="15" t="n"/>
      <c r="G37" s="15" t="n"/>
      <c r="H37" s="15" t="n"/>
      <c r="I37" s="15" t="n"/>
      <c r="J37" s="18" t="n"/>
      <c r="K37" s="15" t="n"/>
      <c r="L37" s="15" t="n"/>
    </row>
    <row r="38">
      <c r="A38" s="31">
        <f>IF(B38&lt;&gt;"","GAP-"&amp;TEXT(ROW()-5,"000"),"")</f>
        <v/>
      </c>
      <c r="B38" s="15" t="n"/>
      <c r="C38" s="15" t="n"/>
      <c r="D38" s="15" t="n"/>
      <c r="E38" s="15" t="n"/>
      <c r="F38" s="15" t="n"/>
      <c r="G38" s="15" t="n"/>
      <c r="H38" s="15" t="n"/>
      <c r="I38" s="15" t="n"/>
      <c r="J38" s="18" t="n"/>
      <c r="K38" s="15" t="n"/>
      <c r="L38" s="15" t="n"/>
    </row>
    <row r="39">
      <c r="A39" s="31">
        <f>IF(B39&lt;&gt;"","GAP-"&amp;TEXT(ROW()-5,"000"),"")</f>
        <v/>
      </c>
      <c r="B39" s="15" t="n"/>
      <c r="C39" s="15" t="n"/>
      <c r="D39" s="15" t="n"/>
      <c r="E39" s="15" t="n"/>
      <c r="F39" s="15" t="n"/>
      <c r="G39" s="15" t="n"/>
      <c r="H39" s="15" t="n"/>
      <c r="I39" s="15" t="n"/>
      <c r="J39" s="18" t="n"/>
      <c r="K39" s="15" t="n"/>
      <c r="L39" s="15" t="n"/>
    </row>
    <row r="40">
      <c r="A40" s="31">
        <f>IF(B40&lt;&gt;"","GAP-"&amp;TEXT(ROW()-5,"000"),"")</f>
        <v/>
      </c>
      <c r="B40" s="15" t="n"/>
      <c r="C40" s="15" t="n"/>
      <c r="D40" s="15" t="n"/>
      <c r="E40" s="15" t="n"/>
      <c r="F40" s="15" t="n"/>
      <c r="G40" s="15" t="n"/>
      <c r="H40" s="15" t="n"/>
      <c r="I40" s="15" t="n"/>
      <c r="J40" s="18" t="n"/>
      <c r="K40" s="15" t="n"/>
      <c r="L40" s="15" t="n"/>
    </row>
    <row r="41">
      <c r="A41" s="31">
        <f>IF(B41&lt;&gt;"","GAP-"&amp;TEXT(ROW()-5,"000"),"")</f>
        <v/>
      </c>
      <c r="B41" s="15" t="n"/>
      <c r="C41" s="15" t="n"/>
      <c r="D41" s="15" t="n"/>
      <c r="E41" s="15" t="n"/>
      <c r="F41" s="15" t="n"/>
      <c r="G41" s="15" t="n"/>
      <c r="H41" s="15" t="n"/>
      <c r="I41" s="15" t="n"/>
      <c r="J41" s="18" t="n"/>
      <c r="K41" s="15" t="n"/>
      <c r="L41" s="15" t="n"/>
    </row>
    <row r="42">
      <c r="A42" s="31">
        <f>IF(B42&lt;&gt;"","GAP-"&amp;TEXT(ROW()-5,"000"),"")</f>
        <v/>
      </c>
      <c r="B42" s="15" t="n"/>
      <c r="C42" s="15" t="n"/>
      <c r="D42" s="15" t="n"/>
      <c r="E42" s="15" t="n"/>
      <c r="F42" s="15" t="n"/>
      <c r="G42" s="15" t="n"/>
      <c r="H42" s="15" t="n"/>
      <c r="I42" s="15" t="n"/>
      <c r="J42" s="18" t="n"/>
      <c r="K42" s="15" t="n"/>
      <c r="L42" s="15" t="n"/>
    </row>
    <row r="43">
      <c r="A43" s="31">
        <f>IF(B43&lt;&gt;"","GAP-"&amp;TEXT(ROW()-5,"000"),"")</f>
        <v/>
      </c>
      <c r="B43" s="15" t="n"/>
      <c r="C43" s="15" t="n"/>
      <c r="D43" s="15" t="n"/>
      <c r="E43" s="15" t="n"/>
      <c r="F43" s="15" t="n"/>
      <c r="G43" s="15" t="n"/>
      <c r="H43" s="15" t="n"/>
      <c r="I43" s="15" t="n"/>
      <c r="J43" s="18" t="n"/>
      <c r="K43" s="15" t="n"/>
      <c r="L43" s="15" t="n"/>
    </row>
    <row r="44">
      <c r="A44" s="31">
        <f>IF(B44&lt;&gt;"","GAP-"&amp;TEXT(ROW()-5,"000"),"")</f>
        <v/>
      </c>
      <c r="B44" s="15" t="n"/>
      <c r="C44" s="15" t="n"/>
      <c r="D44" s="15" t="n"/>
      <c r="E44" s="15" t="n"/>
      <c r="F44" s="15" t="n"/>
      <c r="G44" s="15" t="n"/>
      <c r="H44" s="15" t="n"/>
      <c r="I44" s="15" t="n"/>
      <c r="J44" s="18" t="n"/>
      <c r="K44" s="15" t="n"/>
      <c r="L44" s="15" t="n"/>
    </row>
    <row r="45">
      <c r="A45" s="31">
        <f>IF(B45&lt;&gt;"","GAP-"&amp;TEXT(ROW()-5,"000"),"")</f>
        <v/>
      </c>
      <c r="B45" s="15" t="n"/>
      <c r="C45" s="15" t="n"/>
      <c r="D45" s="15" t="n"/>
      <c r="E45" s="15" t="n"/>
      <c r="F45" s="15" t="n"/>
      <c r="G45" s="15" t="n"/>
      <c r="H45" s="15" t="n"/>
      <c r="I45" s="15" t="n"/>
      <c r="J45" s="18" t="n"/>
      <c r="K45" s="15" t="n"/>
      <c r="L45" s="15" t="n"/>
    </row>
    <row r="46">
      <c r="A46" s="31">
        <f>IF(B46&lt;&gt;"","GAP-"&amp;TEXT(ROW()-5,"000"),"")</f>
        <v/>
      </c>
      <c r="B46" s="15" t="n"/>
      <c r="C46" s="15" t="n"/>
      <c r="D46" s="15" t="n"/>
      <c r="E46" s="15" t="n"/>
      <c r="F46" s="15" t="n"/>
      <c r="G46" s="15" t="n"/>
      <c r="H46" s="15" t="n"/>
      <c r="I46" s="15" t="n"/>
      <c r="J46" s="18" t="n"/>
      <c r="K46" s="15" t="n"/>
      <c r="L46" s="15" t="n"/>
    </row>
    <row r="47">
      <c r="A47" s="31">
        <f>IF(B47&lt;&gt;"","GAP-"&amp;TEXT(ROW()-5,"000"),"")</f>
        <v/>
      </c>
      <c r="B47" s="15" t="n"/>
      <c r="C47" s="15" t="n"/>
      <c r="D47" s="15" t="n"/>
      <c r="E47" s="15" t="n"/>
      <c r="F47" s="15" t="n"/>
      <c r="G47" s="15" t="n"/>
      <c r="H47" s="15" t="n"/>
      <c r="I47" s="15" t="n"/>
      <c r="J47" s="18" t="n"/>
      <c r="K47" s="15" t="n"/>
      <c r="L47" s="15" t="n"/>
    </row>
    <row r="48">
      <c r="A48" s="31">
        <f>IF(B48&lt;&gt;"","GAP-"&amp;TEXT(ROW()-5,"000"),"")</f>
        <v/>
      </c>
      <c r="B48" s="15" t="n"/>
      <c r="C48" s="15" t="n"/>
      <c r="D48" s="15" t="n"/>
      <c r="E48" s="15" t="n"/>
      <c r="F48" s="15" t="n"/>
      <c r="G48" s="15" t="n"/>
      <c r="H48" s="15" t="n"/>
      <c r="I48" s="15" t="n"/>
      <c r="J48" s="18" t="n"/>
      <c r="K48" s="15" t="n"/>
      <c r="L48" s="15" t="n"/>
    </row>
    <row r="49">
      <c r="A49" s="31">
        <f>IF(B49&lt;&gt;"","GAP-"&amp;TEXT(ROW()-5,"000"),"")</f>
        <v/>
      </c>
      <c r="B49" s="15" t="n"/>
      <c r="C49" s="15" t="n"/>
      <c r="D49" s="15" t="n"/>
      <c r="E49" s="15" t="n"/>
      <c r="F49" s="15" t="n"/>
      <c r="G49" s="15" t="n"/>
      <c r="H49" s="15" t="n"/>
      <c r="I49" s="15" t="n"/>
      <c r="J49" s="18" t="n"/>
      <c r="K49" s="15" t="n"/>
      <c r="L49" s="15" t="n"/>
    </row>
    <row r="50">
      <c r="A50" s="31">
        <f>IF(B50&lt;&gt;"","GAP-"&amp;TEXT(ROW()-5,"000"),"")</f>
        <v/>
      </c>
      <c r="B50" s="15" t="n"/>
      <c r="C50" s="15" t="n"/>
      <c r="D50" s="15" t="n"/>
      <c r="E50" s="15" t="n"/>
      <c r="F50" s="15" t="n"/>
      <c r="G50" s="15" t="n"/>
      <c r="H50" s="15" t="n"/>
      <c r="I50" s="15" t="n"/>
      <c r="J50" s="18" t="n"/>
      <c r="K50" s="15" t="n"/>
      <c r="L50" s="15" t="n"/>
    </row>
    <row r="51">
      <c r="A51" s="31">
        <f>IF(B51&lt;&gt;"","GAP-"&amp;TEXT(ROW()-5,"000"),"")</f>
        <v/>
      </c>
      <c r="B51" s="15" t="n"/>
      <c r="C51" s="15" t="n"/>
      <c r="D51" s="15" t="n"/>
      <c r="E51" s="15" t="n"/>
      <c r="F51" s="15" t="n"/>
      <c r="G51" s="15" t="n"/>
      <c r="H51" s="15" t="n"/>
      <c r="I51" s="15" t="n"/>
      <c r="J51" s="18" t="n"/>
      <c r="K51" s="15" t="n"/>
      <c r="L51" s="15" t="n"/>
    </row>
    <row r="52">
      <c r="A52" s="31">
        <f>IF(B52&lt;&gt;"","GAP-"&amp;TEXT(ROW()-5,"000"),"")</f>
        <v/>
      </c>
      <c r="B52" s="15" t="n"/>
      <c r="C52" s="15" t="n"/>
      <c r="D52" s="15" t="n"/>
      <c r="E52" s="15" t="n"/>
      <c r="F52" s="15" t="n"/>
      <c r="G52" s="15" t="n"/>
      <c r="H52" s="15" t="n"/>
      <c r="I52" s="15" t="n"/>
      <c r="J52" s="18" t="n"/>
      <c r="K52" s="15" t="n"/>
      <c r="L52" s="15" t="n"/>
    </row>
    <row r="53">
      <c r="A53" s="31">
        <f>IF(B53&lt;&gt;"","GAP-"&amp;TEXT(ROW()-5,"000"),"")</f>
        <v/>
      </c>
      <c r="B53" s="15" t="n"/>
      <c r="C53" s="15" t="n"/>
      <c r="D53" s="15" t="n"/>
      <c r="E53" s="15" t="n"/>
      <c r="F53" s="15" t="n"/>
      <c r="G53" s="15" t="n"/>
      <c r="H53" s="15" t="n"/>
      <c r="I53" s="15" t="n"/>
      <c r="J53" s="18" t="n"/>
      <c r="K53" s="15" t="n"/>
      <c r="L53" s="15" t="n"/>
    </row>
    <row r="54">
      <c r="A54" s="31">
        <f>IF(B54&lt;&gt;"","GAP-"&amp;TEXT(ROW()-5,"000"),"")</f>
        <v/>
      </c>
      <c r="B54" s="15" t="n"/>
      <c r="C54" s="15" t="n"/>
      <c r="D54" s="15" t="n"/>
      <c r="E54" s="15" t="n"/>
      <c r="F54" s="15" t="n"/>
      <c r="G54" s="15" t="n"/>
      <c r="H54" s="15" t="n"/>
      <c r="I54" s="15" t="n"/>
      <c r="J54" s="18" t="n"/>
      <c r="K54" s="15" t="n"/>
      <c r="L54" s="15" t="n"/>
    </row>
    <row r="55">
      <c r="A55" s="31">
        <f>IF(B55&lt;&gt;"","GAP-"&amp;TEXT(ROW()-5,"000"),"")</f>
        <v/>
      </c>
      <c r="B55" s="15" t="n"/>
      <c r="C55" s="15" t="n"/>
      <c r="D55" s="15" t="n"/>
      <c r="E55" s="15" t="n"/>
      <c r="F55" s="15" t="n"/>
      <c r="G55" s="15" t="n"/>
      <c r="H55" s="15" t="n"/>
      <c r="I55" s="15" t="n"/>
      <c r="J55" s="18" t="n"/>
      <c r="K55" s="15" t="n"/>
      <c r="L55" s="15" t="n"/>
    </row>
  </sheetData>
  <mergeCells count="2">
    <mergeCell ref="A2:L2"/>
    <mergeCell ref="A1:L1"/>
  </mergeCells>
  <conditionalFormatting sqref="E6:E55">
    <cfRule type="cellIs" priority="1" operator="equal" dxfId="2">
      <formula>"Critical"</formula>
    </cfRule>
    <cfRule type="cellIs" priority="2" operator="equal" dxfId="1">
      <formula>"High"</formula>
    </cfRule>
    <cfRule type="cellIs" priority="3" operator="equal" dxfId="1">
      <formula>"Medium"</formula>
    </cfRule>
    <cfRule type="cellIs" priority="4" operator="equal" dxfId="0">
      <formula>"Low"</formula>
    </cfRule>
  </conditionalFormatting>
  <conditionalFormatting sqref="K6:K55">
    <cfRule type="cellIs" priority="5" operator="equal" dxfId="2">
      <formula>"Open"</formula>
    </cfRule>
    <cfRule type="cellIs" priority="6" operator="equal" dxfId="1">
      <formula>"In Progress"</formula>
    </cfRule>
    <cfRule type="cellIs" priority="7" operator="equal" dxfId="0">
      <formula>"Resolved"</formula>
    </cfRule>
  </conditionalFormatting>
  <dataValidations count="3">
    <dataValidation sqref="B6:B55" showDropDown="0" showInputMessage="0" showErrorMessage="0" allowBlank="1" type="list">
      <formula1>"Coverage Gap,Reliability Issue,Performance Issue,Parsing Error,Capacity Constraint,Redundancy Gap,DR Gap,Data Quality Issue"</formula1>
    </dataValidation>
    <dataValidation sqref="E6:E55" showDropDown="0" showInputMessage="0" showErrorMessage="0" allowBlank="1" type="list">
      <formula1>"Critical,High,Medium,Low"</formula1>
    </dataValidation>
    <dataValidation sqref="K6:K55" showDropDown="0" showInputMessage="0" showErrorMessage="0" allowBlank="1" type="list">
      <formula1>"Open,In Progress,Resolved,Deferred"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2" customWidth="1" min="3" max="3"/>
    <col width="40" customWidth="1" min="4" max="4"/>
    <col width="45" customWidth="1" min="5" max="5"/>
    <col width="16" customWidth="1" min="6" max="6"/>
    <col width="20" customWidth="1" min="7" max="7"/>
    <col width="22" customWidth="1" min="8" max="8"/>
  </cols>
  <sheetData>
    <row r="1" ht="35" customHeight="1">
      <c r="A1" s="32" t="inlineStr">
        <is>
          <t>EVIDENCE REGISTER</t>
        </is>
      </c>
    </row>
    <row r="2">
      <c r="A2" s="33" t="inlineStr">
        <is>
          <t>List all evidence files/documents referenced in this assessment (audit traceability).</t>
        </is>
      </c>
    </row>
    <row r="4">
      <c r="A4" s="34" t="inlineStr">
        <is>
          <t>Evidence ID</t>
        </is>
      </c>
      <c r="B4" s="34" t="inlineStr">
        <is>
          <t>Assessment Area</t>
        </is>
      </c>
      <c r="C4" s="34" t="inlineStr">
        <is>
          <t>Evidence Type</t>
        </is>
      </c>
      <c r="D4" s="34" t="inlineStr">
        <is>
          <t>Description</t>
        </is>
      </c>
      <c r="E4" s="34" t="inlineStr">
        <is>
          <t>Location/Path</t>
        </is>
      </c>
      <c r="F4" s="34" t="inlineStr">
        <is>
          <t>Date Collected</t>
        </is>
      </c>
      <c r="G4" s="34" t="inlineStr">
        <is>
          <t>Collected By</t>
        </is>
      </c>
      <c r="H4" s="34" t="inlineStr">
        <is>
          <t>Verification Status</t>
        </is>
      </c>
    </row>
    <row r="5">
      <c r="A5" s="35" t="inlineStr">
        <is>
          <t>EV-001</t>
        </is>
      </c>
      <c r="B5" s="35" t="inlineStr">
        <is>
          <t>Log Collection &amp; Centralization</t>
        </is>
      </c>
      <c r="C5" s="35" t="inlineStr">
        <is>
          <t>Configuration file</t>
        </is>
      </c>
      <c r="D5" s="35" t="inlineStr">
        <is>
          <t>SIEM forwarder configuration showing all log sources connected</t>
        </is>
      </c>
      <c r="E5" s="35" t="inlineStr">
        <is>
          <t>/evidence/a815.2/forwarder-config.pdf</t>
        </is>
      </c>
      <c r="F5" s="36" t="inlineStr">
        <is>
          <t>01.01.2026</t>
        </is>
      </c>
      <c r="G5" s="35" t="inlineStr">
        <is>
          <t>Security Analyst</t>
        </is>
      </c>
      <c r="H5" s="35" t="inlineStr">
        <is>
          <t>Verified</t>
        </is>
      </c>
    </row>
    <row r="6">
      <c r="A6" s="37" t="n"/>
      <c r="B6" s="37" t="n"/>
      <c r="C6" s="37" t="n"/>
      <c r="D6" s="37" t="n"/>
      <c r="E6" s="37" t="n"/>
      <c r="F6" s="38" t="n"/>
      <c r="G6" s="37" t="n"/>
      <c r="H6" s="37" t="n"/>
    </row>
    <row r="7">
      <c r="A7" s="37" t="n"/>
      <c r="B7" s="37" t="n"/>
      <c r="C7" s="37" t="n"/>
      <c r="D7" s="37" t="n"/>
      <c r="E7" s="37" t="n"/>
      <c r="F7" s="38" t="n"/>
      <c r="G7" s="37" t="n"/>
      <c r="H7" s="37" t="n"/>
    </row>
    <row r="8">
      <c r="A8" s="37" t="n"/>
      <c r="B8" s="37" t="n"/>
      <c r="C8" s="37" t="n"/>
      <c r="D8" s="37" t="n"/>
      <c r="E8" s="37" t="n"/>
      <c r="F8" s="38" t="n"/>
      <c r="G8" s="37" t="n"/>
      <c r="H8" s="37" t="n"/>
    </row>
    <row r="9">
      <c r="A9" s="37" t="n"/>
      <c r="B9" s="37" t="n"/>
      <c r="C9" s="37" t="n"/>
      <c r="D9" s="37" t="n"/>
      <c r="E9" s="37" t="n"/>
      <c r="F9" s="38" t="n"/>
      <c r="G9" s="37" t="n"/>
      <c r="H9" s="37" t="n"/>
    </row>
    <row r="10">
      <c r="A10" s="37" t="n"/>
      <c r="B10" s="37" t="n"/>
      <c r="C10" s="37" t="n"/>
      <c r="D10" s="37" t="n"/>
      <c r="E10" s="37" t="n"/>
      <c r="F10" s="38" t="n"/>
      <c r="G10" s="37" t="n"/>
      <c r="H10" s="37" t="n"/>
    </row>
    <row r="11">
      <c r="A11" s="37" t="n"/>
      <c r="B11" s="37" t="n"/>
      <c r="C11" s="37" t="n"/>
      <c r="D11" s="37" t="n"/>
      <c r="E11" s="37" t="n"/>
      <c r="F11" s="38" t="n"/>
      <c r="G11" s="37" t="n"/>
      <c r="H11" s="37" t="n"/>
    </row>
    <row r="12">
      <c r="A12" s="37" t="n"/>
      <c r="B12" s="37" t="n"/>
      <c r="C12" s="37" t="n"/>
      <c r="D12" s="37" t="n"/>
      <c r="E12" s="37" t="n"/>
      <c r="F12" s="38" t="n"/>
      <c r="G12" s="37" t="n"/>
      <c r="H12" s="37" t="n"/>
    </row>
    <row r="13">
      <c r="A13" s="37" t="n"/>
      <c r="B13" s="37" t="n"/>
      <c r="C13" s="37" t="n"/>
      <c r="D13" s="37" t="n"/>
      <c r="E13" s="37" t="n"/>
      <c r="F13" s="38" t="n"/>
      <c r="G13" s="37" t="n"/>
      <c r="H13" s="37" t="n"/>
    </row>
    <row r="14">
      <c r="A14" s="37" t="n"/>
      <c r="B14" s="37" t="n"/>
      <c r="C14" s="37" t="n"/>
      <c r="D14" s="37" t="n"/>
      <c r="E14" s="37" t="n"/>
      <c r="F14" s="38" t="n"/>
      <c r="G14" s="37" t="n"/>
      <c r="H14" s="37" t="n"/>
    </row>
    <row r="15">
      <c r="A15" s="37" t="n"/>
      <c r="B15" s="37" t="n"/>
      <c r="C15" s="37" t="n"/>
      <c r="D15" s="37" t="n"/>
      <c r="E15" s="37" t="n"/>
      <c r="F15" s="38" t="n"/>
      <c r="G15" s="37" t="n"/>
      <c r="H15" s="37" t="n"/>
    </row>
    <row r="16">
      <c r="A16" s="37" t="n"/>
      <c r="B16" s="37" t="n"/>
      <c r="C16" s="37" t="n"/>
      <c r="D16" s="37" t="n"/>
      <c r="E16" s="37" t="n"/>
      <c r="F16" s="38" t="n"/>
      <c r="G16" s="37" t="n"/>
      <c r="H16" s="37" t="n"/>
    </row>
    <row r="17">
      <c r="A17" s="37" t="n"/>
      <c r="B17" s="37" t="n"/>
      <c r="C17" s="37" t="n"/>
      <c r="D17" s="37" t="n"/>
      <c r="E17" s="37" t="n"/>
      <c r="F17" s="38" t="n"/>
      <c r="G17" s="37" t="n"/>
      <c r="H17" s="37" t="n"/>
    </row>
    <row r="18">
      <c r="A18" s="37" t="n"/>
      <c r="B18" s="37" t="n"/>
      <c r="C18" s="37" t="n"/>
      <c r="D18" s="37" t="n"/>
      <c r="E18" s="37" t="n"/>
      <c r="F18" s="38" t="n"/>
      <c r="G18" s="37" t="n"/>
      <c r="H18" s="37" t="n"/>
    </row>
    <row r="19">
      <c r="A19" s="37" t="n"/>
      <c r="B19" s="37" t="n"/>
      <c r="C19" s="37" t="n"/>
      <c r="D19" s="37" t="n"/>
      <c r="E19" s="37" t="n"/>
      <c r="F19" s="38" t="n"/>
      <c r="G19" s="37" t="n"/>
      <c r="H19" s="37" t="n"/>
    </row>
    <row r="20">
      <c r="A20" s="37" t="n"/>
      <c r="B20" s="37" t="n"/>
      <c r="C20" s="37" t="n"/>
      <c r="D20" s="37" t="n"/>
      <c r="E20" s="37" t="n"/>
      <c r="F20" s="38" t="n"/>
      <c r="G20" s="37" t="n"/>
      <c r="H20" s="37" t="n"/>
    </row>
    <row r="21">
      <c r="A21" s="37" t="n"/>
      <c r="B21" s="37" t="n"/>
      <c r="C21" s="37" t="n"/>
      <c r="D21" s="37" t="n"/>
      <c r="E21" s="37" t="n"/>
      <c r="F21" s="38" t="n"/>
      <c r="G21" s="37" t="n"/>
      <c r="H21" s="37" t="n"/>
    </row>
    <row r="22">
      <c r="A22" s="37" t="n"/>
      <c r="B22" s="37" t="n"/>
      <c r="C22" s="37" t="n"/>
      <c r="D22" s="37" t="n"/>
      <c r="E22" s="37" t="n"/>
      <c r="F22" s="38" t="n"/>
      <c r="G22" s="37" t="n"/>
      <c r="H22" s="37" t="n"/>
    </row>
    <row r="23">
      <c r="A23" s="37" t="n"/>
      <c r="B23" s="37" t="n"/>
      <c r="C23" s="37" t="n"/>
      <c r="D23" s="37" t="n"/>
      <c r="E23" s="37" t="n"/>
      <c r="F23" s="38" t="n"/>
      <c r="G23" s="37" t="n"/>
      <c r="H23" s="37" t="n"/>
    </row>
    <row r="24">
      <c r="A24" s="37" t="n"/>
      <c r="B24" s="37" t="n"/>
      <c r="C24" s="37" t="n"/>
      <c r="D24" s="37" t="n"/>
      <c r="E24" s="37" t="n"/>
      <c r="F24" s="38" t="n"/>
      <c r="G24" s="37" t="n"/>
      <c r="H24" s="37" t="n"/>
    </row>
    <row r="25">
      <c r="A25" s="37" t="n"/>
      <c r="B25" s="37" t="n"/>
      <c r="C25" s="37" t="n"/>
      <c r="D25" s="37" t="n"/>
      <c r="E25" s="37" t="n"/>
      <c r="F25" s="38" t="n"/>
      <c r="G25" s="37" t="n"/>
      <c r="H25" s="37" t="n"/>
    </row>
    <row r="26">
      <c r="A26" s="37" t="n"/>
      <c r="B26" s="37" t="n"/>
      <c r="C26" s="37" t="n"/>
      <c r="D26" s="37" t="n"/>
      <c r="E26" s="37" t="n"/>
      <c r="F26" s="38" t="n"/>
      <c r="G26" s="37" t="n"/>
      <c r="H26" s="37" t="n"/>
    </row>
    <row r="27">
      <c r="A27" s="37" t="n"/>
      <c r="B27" s="37" t="n"/>
      <c r="C27" s="37" t="n"/>
      <c r="D27" s="37" t="n"/>
      <c r="E27" s="37" t="n"/>
      <c r="F27" s="38" t="n"/>
      <c r="G27" s="37" t="n"/>
      <c r="H27" s="37" t="n"/>
    </row>
    <row r="28">
      <c r="A28" s="37" t="n"/>
      <c r="B28" s="37" t="n"/>
      <c r="C28" s="37" t="n"/>
      <c r="D28" s="37" t="n"/>
      <c r="E28" s="37" t="n"/>
      <c r="F28" s="38" t="n"/>
      <c r="G28" s="37" t="n"/>
      <c r="H28" s="37" t="n"/>
    </row>
    <row r="29">
      <c r="A29" s="37" t="n"/>
      <c r="B29" s="37" t="n"/>
      <c r="C29" s="37" t="n"/>
      <c r="D29" s="37" t="n"/>
      <c r="E29" s="37" t="n"/>
      <c r="F29" s="38" t="n"/>
      <c r="G29" s="37" t="n"/>
      <c r="H29" s="37" t="n"/>
    </row>
    <row r="30">
      <c r="A30" s="37" t="n"/>
      <c r="B30" s="37" t="n"/>
      <c r="C30" s="37" t="n"/>
      <c r="D30" s="37" t="n"/>
      <c r="E30" s="37" t="n"/>
      <c r="F30" s="38" t="n"/>
      <c r="G30" s="37" t="n"/>
      <c r="H30" s="37" t="n"/>
    </row>
    <row r="31">
      <c r="A31" s="37" t="n"/>
      <c r="B31" s="37" t="n"/>
      <c r="C31" s="37" t="n"/>
      <c r="D31" s="37" t="n"/>
      <c r="E31" s="37" t="n"/>
      <c r="F31" s="38" t="n"/>
      <c r="G31" s="37" t="n"/>
      <c r="H31" s="37" t="n"/>
    </row>
    <row r="32">
      <c r="A32" s="37" t="n"/>
      <c r="B32" s="37" t="n"/>
      <c r="C32" s="37" t="n"/>
      <c r="D32" s="37" t="n"/>
      <c r="E32" s="37" t="n"/>
      <c r="F32" s="38" t="n"/>
      <c r="G32" s="37" t="n"/>
      <c r="H32" s="37" t="n"/>
    </row>
    <row r="33">
      <c r="A33" s="37" t="n"/>
      <c r="B33" s="37" t="n"/>
      <c r="C33" s="37" t="n"/>
      <c r="D33" s="37" t="n"/>
      <c r="E33" s="37" t="n"/>
      <c r="F33" s="38" t="n"/>
      <c r="G33" s="37" t="n"/>
      <c r="H33" s="37" t="n"/>
    </row>
    <row r="34">
      <c r="A34" s="37" t="n"/>
      <c r="B34" s="37" t="n"/>
      <c r="C34" s="37" t="n"/>
      <c r="D34" s="37" t="n"/>
      <c r="E34" s="37" t="n"/>
      <c r="F34" s="38" t="n"/>
      <c r="G34" s="37" t="n"/>
      <c r="H34" s="37" t="n"/>
    </row>
    <row r="35">
      <c r="A35" s="37" t="n"/>
      <c r="B35" s="37" t="n"/>
      <c r="C35" s="37" t="n"/>
      <c r="D35" s="37" t="n"/>
      <c r="E35" s="37" t="n"/>
      <c r="F35" s="38" t="n"/>
      <c r="G35" s="37" t="n"/>
      <c r="H35" s="37" t="n"/>
    </row>
    <row r="36">
      <c r="A36" s="37" t="n"/>
      <c r="B36" s="37" t="n"/>
      <c r="C36" s="37" t="n"/>
      <c r="D36" s="37" t="n"/>
      <c r="E36" s="37" t="n"/>
      <c r="F36" s="38" t="n"/>
      <c r="G36" s="37" t="n"/>
      <c r="H36" s="37" t="n"/>
    </row>
    <row r="37">
      <c r="A37" s="37" t="n"/>
      <c r="B37" s="37" t="n"/>
      <c r="C37" s="37" t="n"/>
      <c r="D37" s="37" t="n"/>
      <c r="E37" s="37" t="n"/>
      <c r="F37" s="38" t="n"/>
      <c r="G37" s="37" t="n"/>
      <c r="H37" s="37" t="n"/>
    </row>
    <row r="38">
      <c r="A38" s="37" t="n"/>
      <c r="B38" s="37" t="n"/>
      <c r="C38" s="37" t="n"/>
      <c r="D38" s="37" t="n"/>
      <c r="E38" s="37" t="n"/>
      <c r="F38" s="38" t="n"/>
      <c r="G38" s="37" t="n"/>
      <c r="H38" s="37" t="n"/>
    </row>
    <row r="39">
      <c r="A39" s="37" t="n"/>
      <c r="B39" s="37" t="n"/>
      <c r="C39" s="37" t="n"/>
      <c r="D39" s="37" t="n"/>
      <c r="E39" s="37" t="n"/>
      <c r="F39" s="38" t="n"/>
      <c r="G39" s="37" t="n"/>
      <c r="H39" s="37" t="n"/>
    </row>
    <row r="40">
      <c r="A40" s="37" t="n"/>
      <c r="B40" s="37" t="n"/>
      <c r="C40" s="37" t="n"/>
      <c r="D40" s="37" t="n"/>
      <c r="E40" s="37" t="n"/>
      <c r="F40" s="38" t="n"/>
      <c r="G40" s="37" t="n"/>
      <c r="H40" s="37" t="n"/>
    </row>
    <row r="41">
      <c r="A41" s="37" t="n"/>
      <c r="B41" s="37" t="n"/>
      <c r="C41" s="37" t="n"/>
      <c r="D41" s="37" t="n"/>
      <c r="E41" s="37" t="n"/>
      <c r="F41" s="38" t="n"/>
      <c r="G41" s="37" t="n"/>
      <c r="H41" s="37" t="n"/>
    </row>
    <row r="42">
      <c r="A42" s="37" t="n"/>
      <c r="B42" s="37" t="n"/>
      <c r="C42" s="37" t="n"/>
      <c r="D42" s="37" t="n"/>
      <c r="E42" s="37" t="n"/>
      <c r="F42" s="38" t="n"/>
      <c r="G42" s="37" t="n"/>
      <c r="H42" s="37" t="n"/>
    </row>
    <row r="43">
      <c r="A43" s="37" t="n"/>
      <c r="B43" s="37" t="n"/>
      <c r="C43" s="37" t="n"/>
      <c r="D43" s="37" t="n"/>
      <c r="E43" s="37" t="n"/>
      <c r="F43" s="38" t="n"/>
      <c r="G43" s="37" t="n"/>
      <c r="H43" s="37" t="n"/>
    </row>
    <row r="44">
      <c r="A44" s="37" t="n"/>
      <c r="B44" s="37" t="n"/>
      <c r="C44" s="37" t="n"/>
      <c r="D44" s="37" t="n"/>
      <c r="E44" s="37" t="n"/>
      <c r="F44" s="38" t="n"/>
      <c r="G44" s="37" t="n"/>
      <c r="H44" s="37" t="n"/>
    </row>
    <row r="45">
      <c r="A45" s="37" t="n"/>
      <c r="B45" s="37" t="n"/>
      <c r="C45" s="37" t="n"/>
      <c r="D45" s="37" t="n"/>
      <c r="E45" s="37" t="n"/>
      <c r="F45" s="38" t="n"/>
      <c r="G45" s="37" t="n"/>
      <c r="H45" s="37" t="n"/>
    </row>
    <row r="46">
      <c r="A46" s="37" t="n"/>
      <c r="B46" s="37" t="n"/>
      <c r="C46" s="37" t="n"/>
      <c r="D46" s="37" t="n"/>
      <c r="E46" s="37" t="n"/>
      <c r="F46" s="38" t="n"/>
      <c r="G46" s="37" t="n"/>
      <c r="H46" s="37" t="n"/>
    </row>
    <row r="47">
      <c r="A47" s="37" t="n"/>
      <c r="B47" s="37" t="n"/>
      <c r="C47" s="37" t="n"/>
      <c r="D47" s="37" t="n"/>
      <c r="E47" s="37" t="n"/>
      <c r="F47" s="38" t="n"/>
      <c r="G47" s="37" t="n"/>
      <c r="H47" s="37" t="n"/>
    </row>
    <row r="48">
      <c r="A48" s="37" t="n"/>
      <c r="B48" s="37" t="n"/>
      <c r="C48" s="37" t="n"/>
      <c r="D48" s="37" t="n"/>
      <c r="E48" s="37" t="n"/>
      <c r="F48" s="38" t="n"/>
      <c r="G48" s="37" t="n"/>
      <c r="H48" s="37" t="n"/>
    </row>
    <row r="49">
      <c r="A49" s="37" t="n"/>
      <c r="B49" s="37" t="n"/>
      <c r="C49" s="37" t="n"/>
      <c r="D49" s="37" t="n"/>
      <c r="E49" s="37" t="n"/>
      <c r="F49" s="38" t="n"/>
      <c r="G49" s="37" t="n"/>
      <c r="H49" s="37" t="n"/>
    </row>
    <row r="50">
      <c r="A50" s="37" t="n"/>
      <c r="B50" s="37" t="n"/>
      <c r="C50" s="37" t="n"/>
      <c r="D50" s="37" t="n"/>
      <c r="E50" s="37" t="n"/>
      <c r="F50" s="38" t="n"/>
      <c r="G50" s="37" t="n"/>
      <c r="H50" s="37" t="n"/>
    </row>
    <row r="51">
      <c r="A51" s="37" t="n"/>
      <c r="B51" s="37" t="n"/>
      <c r="C51" s="37" t="n"/>
      <c r="D51" s="37" t="n"/>
      <c r="E51" s="37" t="n"/>
      <c r="F51" s="38" t="n"/>
      <c r="G51" s="37" t="n"/>
      <c r="H51" s="37" t="n"/>
    </row>
    <row r="52">
      <c r="A52" s="37" t="n"/>
      <c r="B52" s="37" t="n"/>
      <c r="C52" s="37" t="n"/>
      <c r="D52" s="37" t="n"/>
      <c r="E52" s="37" t="n"/>
      <c r="F52" s="38" t="n"/>
      <c r="G52" s="37" t="n"/>
      <c r="H52" s="37" t="n"/>
    </row>
    <row r="53">
      <c r="A53" s="37" t="n"/>
      <c r="B53" s="37" t="n"/>
      <c r="C53" s="37" t="n"/>
      <c r="D53" s="37" t="n"/>
      <c r="E53" s="37" t="n"/>
      <c r="F53" s="38" t="n"/>
      <c r="G53" s="37" t="n"/>
      <c r="H53" s="37" t="n"/>
    </row>
    <row r="54">
      <c r="A54" s="37" t="n"/>
      <c r="B54" s="37" t="n"/>
      <c r="C54" s="37" t="n"/>
      <c r="D54" s="37" t="n"/>
      <c r="E54" s="37" t="n"/>
      <c r="F54" s="38" t="n"/>
      <c r="G54" s="37" t="n"/>
      <c r="H54" s="37" t="n"/>
    </row>
    <row r="55">
      <c r="A55" s="37" t="n"/>
      <c r="B55" s="37" t="n"/>
      <c r="C55" s="37" t="n"/>
      <c r="D55" s="37" t="n"/>
      <c r="E55" s="37" t="n"/>
      <c r="F55" s="38" t="n"/>
      <c r="G55" s="37" t="n"/>
      <c r="H55" s="37" t="n"/>
    </row>
    <row r="56">
      <c r="A56" s="37" t="n"/>
      <c r="B56" s="37" t="n"/>
      <c r="C56" s="37" t="n"/>
      <c r="D56" s="37" t="n"/>
      <c r="E56" s="37" t="n"/>
      <c r="F56" s="38" t="n"/>
      <c r="G56" s="37" t="n"/>
      <c r="H56" s="37" t="n"/>
    </row>
    <row r="57">
      <c r="A57" s="37" t="n"/>
      <c r="B57" s="37" t="n"/>
      <c r="C57" s="37" t="n"/>
      <c r="D57" s="37" t="n"/>
      <c r="E57" s="37" t="n"/>
      <c r="F57" s="38" t="n"/>
      <c r="G57" s="37" t="n"/>
      <c r="H57" s="37" t="n"/>
    </row>
    <row r="58">
      <c r="A58" s="37" t="n"/>
      <c r="B58" s="37" t="n"/>
      <c r="C58" s="37" t="n"/>
      <c r="D58" s="37" t="n"/>
      <c r="E58" s="37" t="n"/>
      <c r="F58" s="38" t="n"/>
      <c r="G58" s="37" t="n"/>
      <c r="H58" s="37" t="n"/>
    </row>
    <row r="59">
      <c r="A59" s="37" t="n"/>
      <c r="B59" s="37" t="n"/>
      <c r="C59" s="37" t="n"/>
      <c r="D59" s="37" t="n"/>
      <c r="E59" s="37" t="n"/>
      <c r="F59" s="38" t="n"/>
      <c r="G59" s="37" t="n"/>
      <c r="H59" s="37" t="n"/>
    </row>
    <row r="60">
      <c r="A60" s="37" t="n"/>
      <c r="B60" s="37" t="n"/>
      <c r="C60" s="37" t="n"/>
      <c r="D60" s="37" t="n"/>
      <c r="E60" s="37" t="n"/>
      <c r="F60" s="38" t="n"/>
      <c r="G60" s="37" t="n"/>
      <c r="H60" s="37" t="n"/>
    </row>
    <row r="61">
      <c r="A61" s="37" t="n"/>
      <c r="B61" s="37" t="n"/>
      <c r="C61" s="37" t="n"/>
      <c r="D61" s="37" t="n"/>
      <c r="E61" s="37" t="n"/>
      <c r="F61" s="38" t="n"/>
      <c r="G61" s="37" t="n"/>
      <c r="H61" s="37" t="n"/>
    </row>
    <row r="62">
      <c r="A62" s="37" t="n"/>
      <c r="B62" s="37" t="n"/>
      <c r="C62" s="37" t="n"/>
      <c r="D62" s="37" t="n"/>
      <c r="E62" s="37" t="n"/>
      <c r="F62" s="38" t="n"/>
      <c r="G62" s="37" t="n"/>
      <c r="H62" s="37" t="n"/>
    </row>
    <row r="63">
      <c r="A63" s="37" t="n"/>
      <c r="B63" s="37" t="n"/>
      <c r="C63" s="37" t="n"/>
      <c r="D63" s="37" t="n"/>
      <c r="E63" s="37" t="n"/>
      <c r="F63" s="38" t="n"/>
      <c r="G63" s="37" t="n"/>
      <c r="H63" s="37" t="n"/>
    </row>
    <row r="64">
      <c r="A64" s="37" t="n"/>
      <c r="B64" s="37" t="n"/>
      <c r="C64" s="37" t="n"/>
      <c r="D64" s="37" t="n"/>
      <c r="E64" s="37" t="n"/>
      <c r="F64" s="38" t="n"/>
      <c r="G64" s="37" t="n"/>
      <c r="H64" s="37" t="n"/>
    </row>
    <row r="65">
      <c r="A65" s="37" t="n"/>
      <c r="B65" s="37" t="n"/>
      <c r="C65" s="37" t="n"/>
      <c r="D65" s="37" t="n"/>
      <c r="E65" s="37" t="n"/>
      <c r="F65" s="38" t="n"/>
      <c r="G65" s="37" t="n"/>
      <c r="H65" s="37" t="n"/>
    </row>
    <row r="66">
      <c r="A66" s="37" t="n"/>
      <c r="B66" s="37" t="n"/>
      <c r="C66" s="37" t="n"/>
      <c r="D66" s="37" t="n"/>
      <c r="E66" s="37" t="n"/>
      <c r="F66" s="38" t="n"/>
      <c r="G66" s="37" t="n"/>
      <c r="H66" s="37" t="n"/>
    </row>
    <row r="67">
      <c r="A67" s="37" t="n"/>
      <c r="B67" s="37" t="n"/>
      <c r="C67" s="37" t="n"/>
      <c r="D67" s="37" t="n"/>
      <c r="E67" s="37" t="n"/>
      <c r="F67" s="38" t="n"/>
      <c r="G67" s="37" t="n"/>
      <c r="H67" s="37" t="n"/>
    </row>
    <row r="68">
      <c r="A68" s="37" t="n"/>
      <c r="B68" s="37" t="n"/>
      <c r="C68" s="37" t="n"/>
      <c r="D68" s="37" t="n"/>
      <c r="E68" s="37" t="n"/>
      <c r="F68" s="38" t="n"/>
      <c r="G68" s="37" t="n"/>
      <c r="H68" s="37" t="n"/>
    </row>
    <row r="69">
      <c r="A69" s="37" t="n"/>
      <c r="B69" s="37" t="n"/>
      <c r="C69" s="37" t="n"/>
      <c r="D69" s="37" t="n"/>
      <c r="E69" s="37" t="n"/>
      <c r="F69" s="38" t="n"/>
      <c r="G69" s="37" t="n"/>
      <c r="H69" s="37" t="n"/>
    </row>
    <row r="70">
      <c r="A70" s="37" t="n"/>
      <c r="B70" s="37" t="n"/>
      <c r="C70" s="37" t="n"/>
      <c r="D70" s="37" t="n"/>
      <c r="E70" s="37" t="n"/>
      <c r="F70" s="38" t="n"/>
      <c r="G70" s="37" t="n"/>
      <c r="H70" s="37" t="n"/>
    </row>
    <row r="71">
      <c r="A71" s="37" t="n"/>
      <c r="B71" s="37" t="n"/>
      <c r="C71" s="37" t="n"/>
      <c r="D71" s="37" t="n"/>
      <c r="E71" s="37" t="n"/>
      <c r="F71" s="38" t="n"/>
      <c r="G71" s="37" t="n"/>
      <c r="H71" s="37" t="n"/>
    </row>
    <row r="72">
      <c r="A72" s="37" t="n"/>
      <c r="B72" s="37" t="n"/>
      <c r="C72" s="37" t="n"/>
      <c r="D72" s="37" t="n"/>
      <c r="E72" s="37" t="n"/>
      <c r="F72" s="38" t="n"/>
      <c r="G72" s="37" t="n"/>
      <c r="H72" s="37" t="n"/>
    </row>
    <row r="73">
      <c r="A73" s="37" t="n"/>
      <c r="B73" s="37" t="n"/>
      <c r="C73" s="37" t="n"/>
      <c r="D73" s="37" t="n"/>
      <c r="E73" s="37" t="n"/>
      <c r="F73" s="38" t="n"/>
      <c r="G73" s="37" t="n"/>
      <c r="H73" s="37" t="n"/>
    </row>
    <row r="74">
      <c r="A74" s="37" t="n"/>
      <c r="B74" s="37" t="n"/>
      <c r="C74" s="37" t="n"/>
      <c r="D74" s="37" t="n"/>
      <c r="E74" s="37" t="n"/>
      <c r="F74" s="38" t="n"/>
      <c r="G74" s="37" t="n"/>
      <c r="H74" s="37" t="n"/>
    </row>
    <row r="75">
      <c r="A75" s="37" t="n"/>
      <c r="B75" s="37" t="n"/>
      <c r="C75" s="37" t="n"/>
      <c r="D75" s="37" t="n"/>
      <c r="E75" s="37" t="n"/>
      <c r="F75" s="38" t="n"/>
      <c r="G75" s="37" t="n"/>
      <c r="H75" s="37" t="n"/>
    </row>
    <row r="76">
      <c r="A76" s="37" t="n"/>
      <c r="B76" s="37" t="n"/>
      <c r="C76" s="37" t="n"/>
      <c r="D76" s="37" t="n"/>
      <c r="E76" s="37" t="n"/>
      <c r="F76" s="38" t="n"/>
      <c r="G76" s="37" t="n"/>
      <c r="H76" s="37" t="n"/>
    </row>
    <row r="77">
      <c r="A77" s="37" t="n"/>
      <c r="B77" s="37" t="n"/>
      <c r="C77" s="37" t="n"/>
      <c r="D77" s="37" t="n"/>
      <c r="E77" s="37" t="n"/>
      <c r="F77" s="38" t="n"/>
      <c r="G77" s="37" t="n"/>
      <c r="H77" s="37" t="n"/>
    </row>
    <row r="78">
      <c r="A78" s="37" t="n"/>
      <c r="B78" s="37" t="n"/>
      <c r="C78" s="37" t="n"/>
      <c r="D78" s="37" t="n"/>
      <c r="E78" s="37" t="n"/>
      <c r="F78" s="38" t="n"/>
      <c r="G78" s="37" t="n"/>
      <c r="H78" s="37" t="n"/>
    </row>
    <row r="79">
      <c r="A79" s="37" t="n"/>
      <c r="B79" s="37" t="n"/>
      <c r="C79" s="37" t="n"/>
      <c r="D79" s="37" t="n"/>
      <c r="E79" s="37" t="n"/>
      <c r="F79" s="38" t="n"/>
      <c r="G79" s="37" t="n"/>
      <c r="H79" s="37" t="n"/>
    </row>
    <row r="80">
      <c r="A80" s="37" t="n"/>
      <c r="B80" s="37" t="n"/>
      <c r="C80" s="37" t="n"/>
      <c r="D80" s="37" t="n"/>
      <c r="E80" s="37" t="n"/>
      <c r="F80" s="38" t="n"/>
      <c r="G80" s="37" t="n"/>
      <c r="H80" s="37" t="n"/>
    </row>
    <row r="81">
      <c r="A81" s="37" t="n"/>
      <c r="B81" s="37" t="n"/>
      <c r="C81" s="37" t="n"/>
      <c r="D81" s="37" t="n"/>
      <c r="E81" s="37" t="n"/>
      <c r="F81" s="38" t="n"/>
      <c r="G81" s="37" t="n"/>
      <c r="H81" s="37" t="n"/>
    </row>
    <row r="82">
      <c r="A82" s="37" t="n"/>
      <c r="B82" s="37" t="n"/>
      <c r="C82" s="37" t="n"/>
      <c r="D82" s="37" t="n"/>
      <c r="E82" s="37" t="n"/>
      <c r="F82" s="38" t="n"/>
      <c r="G82" s="37" t="n"/>
      <c r="H82" s="37" t="n"/>
    </row>
    <row r="83">
      <c r="A83" s="37" t="n"/>
      <c r="B83" s="37" t="n"/>
      <c r="C83" s="37" t="n"/>
      <c r="D83" s="37" t="n"/>
      <c r="E83" s="37" t="n"/>
      <c r="F83" s="38" t="n"/>
      <c r="G83" s="37" t="n"/>
      <c r="H83" s="37" t="n"/>
    </row>
    <row r="84">
      <c r="A84" s="37" t="n"/>
      <c r="B84" s="37" t="n"/>
      <c r="C84" s="37" t="n"/>
      <c r="D84" s="37" t="n"/>
      <c r="E84" s="37" t="n"/>
      <c r="F84" s="38" t="n"/>
      <c r="G84" s="37" t="n"/>
      <c r="H84" s="37" t="n"/>
    </row>
    <row r="85">
      <c r="A85" s="37" t="n"/>
      <c r="B85" s="37" t="n"/>
      <c r="C85" s="37" t="n"/>
      <c r="D85" s="37" t="n"/>
      <c r="E85" s="37" t="n"/>
      <c r="F85" s="38" t="n"/>
      <c r="G85" s="37" t="n"/>
      <c r="H85" s="37" t="n"/>
    </row>
    <row r="86">
      <c r="A86" s="37" t="n"/>
      <c r="B86" s="37" t="n"/>
      <c r="C86" s="37" t="n"/>
      <c r="D86" s="37" t="n"/>
      <c r="E86" s="37" t="n"/>
      <c r="F86" s="38" t="n"/>
      <c r="G86" s="37" t="n"/>
      <c r="H86" s="37" t="n"/>
    </row>
    <row r="87">
      <c r="A87" s="37" t="n"/>
      <c r="B87" s="37" t="n"/>
      <c r="C87" s="37" t="n"/>
      <c r="D87" s="37" t="n"/>
      <c r="E87" s="37" t="n"/>
      <c r="F87" s="38" t="n"/>
      <c r="G87" s="37" t="n"/>
      <c r="H87" s="37" t="n"/>
    </row>
    <row r="88">
      <c r="A88" s="37" t="n"/>
      <c r="B88" s="37" t="n"/>
      <c r="C88" s="37" t="n"/>
      <c r="D88" s="37" t="n"/>
      <c r="E88" s="37" t="n"/>
      <c r="F88" s="38" t="n"/>
      <c r="G88" s="37" t="n"/>
      <c r="H88" s="37" t="n"/>
    </row>
    <row r="89">
      <c r="A89" s="37" t="n"/>
      <c r="B89" s="37" t="n"/>
      <c r="C89" s="37" t="n"/>
      <c r="D89" s="37" t="n"/>
      <c r="E89" s="37" t="n"/>
      <c r="F89" s="38" t="n"/>
      <c r="G89" s="37" t="n"/>
      <c r="H89" s="37" t="n"/>
    </row>
    <row r="90">
      <c r="A90" s="37" t="n"/>
      <c r="B90" s="37" t="n"/>
      <c r="C90" s="37" t="n"/>
      <c r="D90" s="37" t="n"/>
      <c r="E90" s="37" t="n"/>
      <c r="F90" s="38" t="n"/>
      <c r="G90" s="37" t="n"/>
      <c r="H90" s="37" t="n"/>
    </row>
    <row r="91">
      <c r="A91" s="37" t="n"/>
      <c r="B91" s="37" t="n"/>
      <c r="C91" s="37" t="n"/>
      <c r="D91" s="37" t="n"/>
      <c r="E91" s="37" t="n"/>
      <c r="F91" s="38" t="n"/>
      <c r="G91" s="37" t="n"/>
      <c r="H91" s="37" t="n"/>
    </row>
    <row r="92">
      <c r="A92" s="37" t="n"/>
      <c r="B92" s="37" t="n"/>
      <c r="C92" s="37" t="n"/>
      <c r="D92" s="37" t="n"/>
      <c r="E92" s="37" t="n"/>
      <c r="F92" s="38" t="n"/>
      <c r="G92" s="37" t="n"/>
      <c r="H92" s="37" t="n"/>
    </row>
    <row r="93">
      <c r="A93" s="37" t="n"/>
      <c r="B93" s="37" t="n"/>
      <c r="C93" s="37" t="n"/>
      <c r="D93" s="37" t="n"/>
      <c r="E93" s="37" t="n"/>
      <c r="F93" s="38" t="n"/>
      <c r="G93" s="37" t="n"/>
      <c r="H93" s="37" t="n"/>
    </row>
    <row r="94">
      <c r="A94" s="37" t="n"/>
      <c r="B94" s="37" t="n"/>
      <c r="C94" s="37" t="n"/>
      <c r="D94" s="37" t="n"/>
      <c r="E94" s="37" t="n"/>
      <c r="F94" s="38" t="n"/>
      <c r="G94" s="37" t="n"/>
      <c r="H94" s="37" t="n"/>
    </row>
    <row r="95">
      <c r="A95" s="37" t="n"/>
      <c r="B95" s="37" t="n"/>
      <c r="C95" s="37" t="n"/>
      <c r="D95" s="37" t="n"/>
      <c r="E95" s="37" t="n"/>
      <c r="F95" s="38" t="n"/>
      <c r="G95" s="37" t="n"/>
      <c r="H95" s="37" t="n"/>
    </row>
    <row r="96">
      <c r="A96" s="37" t="n"/>
      <c r="B96" s="37" t="n"/>
      <c r="C96" s="37" t="n"/>
      <c r="D96" s="37" t="n"/>
      <c r="E96" s="37" t="n"/>
      <c r="F96" s="38" t="n"/>
      <c r="G96" s="37" t="n"/>
      <c r="H96" s="37" t="n"/>
    </row>
    <row r="97">
      <c r="A97" s="37" t="n"/>
      <c r="B97" s="37" t="n"/>
      <c r="C97" s="37" t="n"/>
      <c r="D97" s="37" t="n"/>
      <c r="E97" s="37" t="n"/>
      <c r="F97" s="38" t="n"/>
      <c r="G97" s="37" t="n"/>
      <c r="H97" s="37" t="n"/>
    </row>
    <row r="98">
      <c r="A98" s="37" t="n"/>
      <c r="B98" s="37" t="n"/>
      <c r="C98" s="37" t="n"/>
      <c r="D98" s="37" t="n"/>
      <c r="E98" s="37" t="n"/>
      <c r="F98" s="38" t="n"/>
      <c r="G98" s="37" t="n"/>
      <c r="H98" s="37" t="n"/>
    </row>
    <row r="99">
      <c r="A99" s="37" t="n"/>
      <c r="B99" s="37" t="n"/>
      <c r="C99" s="37" t="n"/>
      <c r="D99" s="37" t="n"/>
      <c r="E99" s="37" t="n"/>
      <c r="F99" s="38" t="n"/>
      <c r="G99" s="37" t="n"/>
      <c r="H99" s="37" t="n"/>
    </row>
    <row r="100">
      <c r="A100" s="37" t="n"/>
      <c r="B100" s="37" t="n"/>
      <c r="C100" s="37" t="n"/>
      <c r="D100" s="37" t="n"/>
      <c r="E100" s="37" t="n"/>
      <c r="F100" s="38" t="n"/>
      <c r="G100" s="37" t="n"/>
      <c r="H100" s="37" t="n"/>
    </row>
    <row r="101">
      <c r="A101" s="37" t="n"/>
      <c r="B101" s="37" t="n"/>
      <c r="C101" s="37" t="n"/>
      <c r="D101" s="37" t="n"/>
      <c r="E101" s="37" t="n"/>
      <c r="F101" s="38" t="n"/>
      <c r="G101" s="37" t="n"/>
      <c r="H101" s="37" t="n"/>
    </row>
    <row r="102">
      <c r="A102" s="37" t="n"/>
      <c r="B102" s="37" t="n"/>
      <c r="C102" s="37" t="n"/>
      <c r="D102" s="37" t="n"/>
      <c r="E102" s="37" t="n"/>
      <c r="F102" s="38" t="n"/>
      <c r="G102" s="37" t="n"/>
      <c r="H102" s="37" t="n"/>
    </row>
    <row r="103">
      <c r="A103" s="37" t="n"/>
      <c r="B103" s="37" t="n"/>
      <c r="C103" s="37" t="n"/>
      <c r="D103" s="37" t="n"/>
      <c r="E103" s="37" t="n"/>
      <c r="F103" s="38" t="n"/>
      <c r="G103" s="37" t="n"/>
      <c r="H103" s="37" t="n"/>
    </row>
    <row r="104">
      <c r="A104" s="37" t="n"/>
      <c r="B104" s="37" t="n"/>
      <c r="C104" s="37" t="n"/>
      <c r="D104" s="37" t="n"/>
      <c r="E104" s="37" t="n"/>
      <c r="F104" s="38" t="n"/>
      <c r="G104" s="37" t="n"/>
      <c r="H104" s="37" t="n"/>
    </row>
    <row r="105">
      <c r="A105" s="37" t="n"/>
      <c r="B105" s="37" t="n"/>
      <c r="C105" s="37" t="n"/>
      <c r="D105" s="37" t="n"/>
      <c r="E105" s="37" t="n"/>
      <c r="F105" s="38" t="n"/>
      <c r="G105" s="37" t="n"/>
      <c r="H105" s="37" t="n"/>
    </row>
  </sheetData>
  <mergeCells count="2">
    <mergeCell ref="A2:H2"/>
    <mergeCell ref="A1:H1"/>
  </mergeCells>
  <dataValidations count="2">
    <dataValidation sqref="C6:C105" showDropDown="0" showInputMessage="0" showErrorMessage="0" allowBlank="1" type="list">
      <formula1>"Configuration file,Screenshot,Network scan,Documentation,Vendor spec,Certificate inventory,Audit log,Compliance report,Other"</formula1>
    </dataValidation>
    <dataValidation sqref="H6:H105" showDropDown="0" showInputMessage="0" showErrorMessage="0" allowBlank="1" type="list">
      <formula1>"Verified,Pending verification,Not verified,Requires update"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 ht="35" customHeight="1">
      <c r="A1" s="32" t="inlineStr">
        <is>
          <t>Log Collection &amp; Centralization Assessment — SUMMARY DASHBOARD</t>
        </is>
      </c>
    </row>
    <row r="2">
      <c r="A2" s="39" t="inlineStr">
        <is>
          <t>ISO/IEC 27001:2022 A.8.15 requires logs to be collected and centralised. This assessment evaluates SIEM collection infrastructure, reliability, and completeness across all log sources.</t>
        </is>
      </c>
    </row>
    <row r="4">
      <c r="A4" s="29" t="inlineStr">
        <is>
          <t>TABLE 1 — COMPLIANCE OVERVIEW BY ASSESSMENT AREA</t>
        </is>
      </c>
    </row>
    <row r="5">
      <c r="A5" s="40" t="inlineStr">
        <is>
          <t>Assessment Area</t>
        </is>
      </c>
      <c r="B5" s="40" t="inlineStr">
        <is>
          <t>Total Items</t>
        </is>
      </c>
      <c r="C5" s="40" t="inlineStr">
        <is>
          <t>Compliant</t>
        </is>
      </c>
      <c r="D5" s="40" t="inlineStr">
        <is>
          <t>Partial</t>
        </is>
      </c>
      <c r="E5" s="40" t="inlineStr">
        <is>
          <t>Non-Compliant</t>
        </is>
      </c>
      <c r="F5" s="40" t="inlineStr">
        <is>
          <t>N/A</t>
        </is>
      </c>
      <c r="G5" s="40" t="inlineStr">
        <is>
          <t>Compliance %</t>
        </is>
      </c>
    </row>
    <row r="6">
      <c r="A6" s="41" t="inlineStr">
        <is>
          <t>Collection Reliability</t>
        </is>
      </c>
      <c r="B6" s="41">
        <f>C6+D6+E6+F6</f>
        <v/>
      </c>
      <c r="C6" s="41">
        <f>COUNTIF('Collection Reliability'!F6:F55,"Compliant")</f>
        <v/>
      </c>
      <c r="D6" s="41">
        <f>COUNTIF('Collection Reliability'!F6:F55,"Partial")</f>
        <v/>
      </c>
      <c r="E6" s="41">
        <f>COUNTIF('Collection Reliability'!F6:F55,"Non-Compliant")</f>
        <v/>
      </c>
      <c r="F6" s="41">
        <f>0</f>
        <v/>
      </c>
      <c r="G6" s="42">
        <f>IF((B6-F6)=0,0,C6/(B6-F6))</f>
        <v/>
      </c>
    </row>
    <row r="7">
      <c r="A7" s="41" t="inlineStr">
        <is>
          <t>SIEM Storage &amp; Capacity</t>
        </is>
      </c>
      <c r="B7" s="41">
        <f>C7+D7+E7+F7</f>
        <v/>
      </c>
      <c r="C7" s="41">
        <f>COUNTIF('SIEM Storage &amp; Capacity'!G6:G55,"OK")</f>
        <v/>
      </c>
      <c r="D7" s="41">
        <f>COUNTIF('SIEM Storage &amp; Capacity'!G6:G55,"Warning")</f>
        <v/>
      </c>
      <c r="E7" s="41">
        <f>COUNTIF('SIEM Storage &amp; Capacity'!G6:G55,"Critical")</f>
        <v/>
      </c>
      <c r="F7" s="41">
        <f>0</f>
        <v/>
      </c>
      <c r="G7" s="42">
        <f>IF((B7-F7)=0,0,C7/(B7-F7))</f>
        <v/>
      </c>
    </row>
    <row r="8">
      <c r="A8" s="41" t="inlineStr">
        <is>
          <t>SIEM Performance</t>
        </is>
      </c>
      <c r="B8" s="41">
        <f>C8+D8+E8+F8</f>
        <v/>
      </c>
      <c r="C8" s="41">
        <f>COUNTIF('SIEM Performance Metrics'!M6:M55,"Healthy")</f>
        <v/>
      </c>
      <c r="D8" s="41">
        <f>COUNTIF('SIEM Performance Metrics'!M6:M55,"Warning")</f>
        <v/>
      </c>
      <c r="E8" s="41">
        <f>COUNTIF('SIEM Performance Metrics'!M6:M55,"Critical")</f>
        <v/>
      </c>
      <c r="F8" s="41">
        <f>0</f>
        <v/>
      </c>
      <c r="G8" s="42">
        <f>IF((B8-F8)=0,0,C8/(B8-F8))</f>
        <v/>
      </c>
    </row>
    <row r="9">
      <c r="A9" s="41" t="inlineStr">
        <is>
          <t>Log Forwarder Coverage</t>
        </is>
      </c>
      <c r="B9" s="41">
        <f>C9+D9+E9+F9</f>
        <v/>
      </c>
      <c r="C9" s="41">
        <f>COUNTA('Log Forwarder Inventory'!B6:B55)</f>
        <v/>
      </c>
      <c r="D9" s="41">
        <f>0</f>
        <v/>
      </c>
      <c r="E9" s="41">
        <f>0</f>
        <v/>
      </c>
      <c r="F9" s="41">
        <f>0</f>
        <v/>
      </c>
      <c r="G9" s="42">
        <f>IF((B9-F9)=0,0,C9/(B9-F9))</f>
        <v/>
      </c>
    </row>
    <row r="10">
      <c r="A10" s="41" t="inlineStr">
        <is>
          <t>Integration Architecture</t>
        </is>
      </c>
      <c r="B10" s="41">
        <f>C10+D10+E10+F10</f>
        <v/>
      </c>
      <c r="C10" s="41">
        <f>COUNTA('Integration Architecture'!A6:A55)</f>
        <v/>
      </c>
      <c r="D10" s="41">
        <f>0</f>
        <v/>
      </c>
      <c r="E10" s="41">
        <f>0</f>
        <v/>
      </c>
      <c r="F10" s="41">
        <f>0</f>
        <v/>
      </c>
      <c r="G10" s="42">
        <f>IF((B10-F10)=0,0,C10/(B10-F10))</f>
        <v/>
      </c>
    </row>
    <row r="11">
      <c r="A11" s="41" t="inlineStr">
        <is>
          <t>Log Parsing &amp; Normalisation</t>
        </is>
      </c>
      <c r="B11" s="41">
        <f>C11+D11+E11+F11</f>
        <v/>
      </c>
      <c r="C11" s="41">
        <f>COUNTA('Log Parsing &amp; Normalisation'!B6:B55)</f>
        <v/>
      </c>
      <c r="D11" s="41">
        <f>0</f>
        <v/>
      </c>
      <c r="E11" s="41">
        <f>0</f>
        <v/>
      </c>
      <c r="F11" s="41">
        <f>0</f>
        <v/>
      </c>
      <c r="G11" s="42">
        <f>IF((B11-F11)=0,0,C11/(B11-F11))</f>
        <v/>
      </c>
    </row>
    <row r="12">
      <c r="A12" s="41" t="inlineStr">
        <is>
          <t>Data Quality Assessment</t>
        </is>
      </c>
      <c r="B12" s="41">
        <f>C12+D12+E12+F12</f>
        <v/>
      </c>
      <c r="C12" s="41">
        <f>COUNTA('Data Quality Assessment'!B6:B55)</f>
        <v/>
      </c>
      <c r="D12" s="41">
        <f>0</f>
        <v/>
      </c>
      <c r="E12" s="41">
        <f>0</f>
        <v/>
      </c>
      <c r="F12" s="41">
        <f>0</f>
        <v/>
      </c>
      <c r="G12" s="42">
        <f>IF((B12-F12)=0,0,C12/(B12-F12))</f>
        <v/>
      </c>
    </row>
    <row r="13">
      <c r="A13" s="41" t="inlineStr">
        <is>
          <t>Encryption &amp; Authentication</t>
        </is>
      </c>
      <c r="B13" s="41">
        <f>C13+D13+E13+F13</f>
        <v/>
      </c>
      <c r="C13" s="41">
        <f>COUNTA('Encryption &amp; Authentication'!B6:B55)</f>
        <v/>
      </c>
      <c r="D13" s="41">
        <f>0</f>
        <v/>
      </c>
      <c r="E13" s="41">
        <f>0</f>
        <v/>
      </c>
      <c r="F13" s="41">
        <f>0</f>
        <v/>
      </c>
      <c r="G13" s="42">
        <f>IF((B13-F13)=0,0,C13/(B13-F13))</f>
        <v/>
      </c>
    </row>
    <row r="14">
      <c r="A14" s="41" t="inlineStr">
        <is>
          <t>Gap Remediation</t>
        </is>
      </c>
      <c r="B14" s="41">
        <f>C14+D14+E14+F14</f>
        <v/>
      </c>
      <c r="C14" s="41">
        <f>COUNTIF('Gap Analysis'!K6:K55,"Resolved")</f>
        <v/>
      </c>
      <c r="D14" s="41">
        <f>COUNTIF('Gap Analysis'!K6:K55,"In Progress")</f>
        <v/>
      </c>
      <c r="E14" s="41">
        <f>COUNTIF('Gap Analysis'!K6:K55,"Open")</f>
        <v/>
      </c>
      <c r="F14" s="41">
        <f>COUNTIF('Gap Analysis'!K6:K55,"Deferred")</f>
        <v/>
      </c>
      <c r="G14" s="42">
        <f>IF((B14-F14)=0,0,C14/(B14-F14))</f>
        <v/>
      </c>
    </row>
    <row r="15">
      <c r="A15" s="43" t="inlineStr">
        <is>
          <t>TOTAL</t>
        </is>
      </c>
      <c r="B15" s="43">
        <f>SUM(B6:B14)</f>
        <v/>
      </c>
      <c r="C15" s="43">
        <f>SUM(C6:C14)</f>
        <v/>
      </c>
      <c r="D15" s="43">
        <f>SUM(D6:D14)</f>
        <v/>
      </c>
      <c r="E15" s="43">
        <f>SUM(E6:E14)</f>
        <v/>
      </c>
      <c r="F15" s="43">
        <f>SUM(F6:F14)</f>
        <v/>
      </c>
      <c r="G15" s="44">
        <f>IF((B15-F15)=0,0,C15/(B15-F15))</f>
        <v/>
      </c>
    </row>
    <row r="17">
      <c r="A17" s="29" t="inlineStr">
        <is>
          <t>TABLE 2 — KEY METRICS</t>
        </is>
      </c>
    </row>
    <row r="18">
      <c r="A18" s="45" t="inlineStr">
        <is>
          <t>Metric</t>
        </is>
      </c>
      <c r="B18" s="45" t="inlineStr">
        <is>
          <t>Value</t>
        </is>
      </c>
      <c r="C18" s="45" t="inlineStr">
        <is>
          <t>Target</t>
        </is>
      </c>
      <c r="D18" s="45" t="n"/>
      <c r="E18" s="45" t="n"/>
      <c r="F18" s="45" t="n"/>
      <c r="G18" s="45" t="n"/>
    </row>
    <row r="19">
      <c r="A19" s="46" t="inlineStr">
        <is>
          <t>Total log forwarders deployed</t>
        </is>
      </c>
      <c r="B19" s="41">
        <f>COUNTA('Log Forwarder Inventory'!B6:B55)</f>
        <v/>
      </c>
      <c r="C19" s="47" t="inlineStr">
        <is>
          <t>All sources</t>
        </is>
      </c>
      <c r="D19" s="6" t="n"/>
      <c r="E19" s="6" t="n"/>
      <c r="F19" s="6" t="n"/>
      <c r="G19" s="6" t="n"/>
    </row>
    <row r="20">
      <c r="A20" s="46" t="inlineStr">
        <is>
          <t>Average collection reliability</t>
        </is>
      </c>
      <c r="B20" s="42">
        <f>IFERROR(AVERAGE('Collection Reliability'!E6:E55),"N/A")</f>
        <v/>
      </c>
      <c r="C20" s="47" t="inlineStr">
        <is>
          <t>&gt;95%</t>
        </is>
      </c>
      <c r="D20" s="6" t="n"/>
      <c r="E20" s="6" t="n"/>
      <c r="F20" s="6" t="n"/>
      <c r="G20" s="6" t="n"/>
    </row>
    <row r="21">
      <c r="A21" s="46" t="inlineStr">
        <is>
          <t>Sources with reliability &lt;95%</t>
        </is>
      </c>
      <c r="B21" s="41">
        <f>COUNTIF('Collection Reliability'!E6:E55,"&lt;0.95")</f>
        <v/>
      </c>
      <c r="C21" s="47" t="inlineStr">
        <is>
          <t>0</t>
        </is>
      </c>
      <c r="D21" s="6" t="n"/>
      <c r="E21" s="6" t="n"/>
      <c r="F21" s="6" t="n"/>
      <c r="G21" s="6" t="n"/>
    </row>
    <row r="22">
      <c r="A22" s="46" t="inlineStr">
        <is>
          <t>Storage utilisation (avg)</t>
        </is>
      </c>
      <c r="B22" s="42">
        <f>IFERROR(AVERAGE('SIEM Storage &amp; Capacity'!F6:F55),"N/A")</f>
        <v/>
      </c>
      <c r="C22" s="47" t="inlineStr">
        <is>
          <t>&lt;70%</t>
        </is>
      </c>
      <c r="D22" s="6" t="n"/>
      <c r="E22" s="6" t="n"/>
      <c r="F22" s="6" t="n"/>
      <c r="G22" s="6" t="n"/>
    </row>
    <row r="23">
      <c r="A23" s="46" t="inlineStr">
        <is>
          <t>Total collection gaps (open)</t>
        </is>
      </c>
      <c r="B23" s="41">
        <f>COUNTIF('Gap Analysis'!K6:K55,"Open")</f>
        <v/>
      </c>
      <c r="C23" s="47" t="inlineStr">
        <is>
          <t>0</t>
        </is>
      </c>
      <c r="D23" s="6" t="n"/>
      <c r="E23" s="6" t="n"/>
      <c r="F23" s="6" t="n"/>
      <c r="G23" s="6" t="n"/>
    </row>
    <row r="25">
      <c r="A25" s="48" t="inlineStr">
        <is>
          <t>TABLE 3 — CRITICAL FINDINGS REQUIRING ATTENTION</t>
        </is>
      </c>
    </row>
    <row r="26">
      <c r="A26" s="40" t="inlineStr">
        <is>
          <t>Finding Type</t>
        </is>
      </c>
      <c r="B26" s="40" t="inlineStr">
        <is>
          <t>Risk Level</t>
        </is>
      </c>
      <c r="C26" s="40" t="inlineStr">
        <is>
          <t>Associated Sheet</t>
        </is>
      </c>
      <c r="D26" s="40" t="inlineStr">
        <is>
          <t>Recommended Action</t>
        </is>
      </c>
      <c r="E26" s="40" t="inlineStr">
        <is>
          <t>ISO Clause</t>
        </is>
      </c>
    </row>
    <row r="27">
      <c r="A27" s="49" t="inlineStr">
        <is>
          <t>Log collection reliability below 95%</t>
        </is>
      </c>
      <c r="B27" s="49" t="inlineStr">
        <is>
          <t>Critical</t>
        </is>
      </c>
      <c r="C27" s="49" t="inlineStr">
        <is>
          <t>Collection Reliability</t>
        </is>
      </c>
      <c r="D27" s="49" t="inlineStr">
        <is>
          <t>Investigate forwarder configuration, network path and fix collection gaps immediately</t>
        </is>
      </c>
      <c r="E27" s="49" t="inlineStr">
        <is>
          <t>A.8.15</t>
        </is>
      </c>
    </row>
    <row r="28">
      <c r="A28" s="49" t="inlineStr">
        <is>
          <t>SIEM storage above 85% capacity</t>
        </is>
      </c>
      <c r="B28" s="49" t="inlineStr">
        <is>
          <t>High</t>
        </is>
      </c>
      <c r="C28" s="49" t="inlineStr">
        <is>
          <t>SIEM Storage &amp; Capacity</t>
        </is>
      </c>
      <c r="D28" s="49" t="inlineStr">
        <is>
          <t>Expand storage or implement tiered archival to prevent log loss from overflow</t>
        </is>
      </c>
      <c r="E28" s="49" t="inlineStr">
        <is>
          <t>A.8.15</t>
        </is>
      </c>
    </row>
    <row r="29">
      <c r="A29" s="49" t="inlineStr">
        <is>
          <t>Unencrypted log transmission detected</t>
        </is>
      </c>
      <c r="B29" s="49" t="inlineStr">
        <is>
          <t>High</t>
        </is>
      </c>
      <c r="C29" s="49" t="inlineStr">
        <is>
          <t>Encryption &amp; Authentication</t>
        </is>
      </c>
      <c r="D29" s="49" t="inlineStr">
        <is>
          <t>Configure TLS 1.2+ for all log forwarding paths — integrity in transit required</t>
        </is>
      </c>
      <c r="E29" s="49" t="inlineStr">
        <is>
          <t>A.8.15</t>
        </is>
      </c>
    </row>
    <row r="30">
      <c r="A30" s="49" t="inlineStr">
        <is>
          <t>Log source not forwarded to SIEM</t>
        </is>
      </c>
      <c r="B30" s="49" t="inlineStr">
        <is>
          <t>High</t>
        </is>
      </c>
      <c r="C30" s="49" t="inlineStr">
        <is>
          <t>Log Forwarder Inventory</t>
        </is>
      </c>
      <c r="D30" s="49" t="inlineStr">
        <is>
          <t>Deploy log forwarder and configure collection for uncovered sources</t>
        </is>
      </c>
      <c r="E30" s="49" t="inlineStr">
        <is>
          <t>A.8.15</t>
        </is>
      </c>
    </row>
    <row r="31">
      <c r="A31" s="49" t="inlineStr">
        <is>
          <t>Open collection gap past remediation date</t>
        </is>
      </c>
      <c r="B31" s="49" t="inlineStr">
        <is>
          <t>High</t>
        </is>
      </c>
      <c r="C31" s="49" t="inlineStr">
        <is>
          <t>Gap Analysis</t>
        </is>
      </c>
      <c r="D31" s="49" t="inlineStr">
        <is>
          <t>Escalate overdue collection gaps to Information Security Manager</t>
        </is>
      </c>
      <c r="E31" s="49" t="inlineStr">
        <is>
          <t>A.8.15</t>
        </is>
      </c>
    </row>
  </sheetData>
  <mergeCells count="5">
    <mergeCell ref="A1:G1"/>
    <mergeCell ref="A17:G17"/>
    <mergeCell ref="A25:E25"/>
    <mergeCell ref="A4:G4"/>
    <mergeCell ref="A2:G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50" t="inlineStr">
        <is>
          <t>ASSESSMENT APPROVAL AND SIGN-OFF</t>
        </is>
      </c>
      <c r="B1" s="6" t="n"/>
      <c r="C1" s="6" t="n"/>
      <c r="D1" s="6" t="n"/>
      <c r="E1" s="6" t="n"/>
    </row>
    <row r="2">
      <c r="A2" s="51" t="inlineStr">
        <is>
          <t>ISMS-IMP-A.8.15.2 - Log Collection &amp; Centralisation Assessment</t>
        </is>
      </c>
      <c r="B2" s="6" t="n"/>
      <c r="C2" s="6" t="n"/>
      <c r="D2" s="6" t="n"/>
      <c r="E2" s="6" t="n"/>
    </row>
    <row r="3">
      <c r="A3" s="52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ISMS-IMP-A.8.15.2 - Log Collection &amp; Centralisation Assessment</t>
        </is>
      </c>
      <c r="C4" s="6" t="n"/>
      <c r="D4" s="6" t="n"/>
      <c r="E4" s="6" t="n"/>
    </row>
    <row r="5">
      <c r="A5" s="3" t="inlineStr">
        <is>
          <t>Assessment Period:</t>
        </is>
      </c>
      <c r="B5" s="37" t="inlineStr"/>
      <c r="C5" s="6" t="n"/>
      <c r="D5" s="6" t="n"/>
      <c r="E5" s="6" t="n"/>
    </row>
    <row r="6">
      <c r="A6" s="3" t="inlineStr">
        <is>
          <t>Overall Compliance Rating:</t>
        </is>
      </c>
      <c r="B6" s="6">
        <f>'Summary Dashboard'!G11</f>
        <v/>
      </c>
      <c r="C6" s="6" t="n"/>
      <c r="D6" s="6" t="n"/>
      <c r="E6" s="6" t="n"/>
    </row>
    <row r="7">
      <c r="A7" s="3" t="inlineStr">
        <is>
          <t>Assessment Status:</t>
        </is>
      </c>
      <c r="B7" s="37" t="inlineStr"/>
      <c r="C7" s="6" t="n"/>
      <c r="D7" s="6" t="n"/>
      <c r="E7" s="6" t="n"/>
    </row>
    <row r="10">
      <c r="A10" s="52" t="inlineStr">
        <is>
          <t>COMPLETED BY (ASSESSOR)</t>
        </is>
      </c>
      <c r="B10" s="6" t="n"/>
      <c r="C10" s="6" t="n"/>
      <c r="D10" s="6" t="n"/>
      <c r="E10" s="6" t="n"/>
    </row>
    <row r="11">
      <c r="A11" s="3" t="inlineStr">
        <is>
          <t>Name:</t>
        </is>
      </c>
      <c r="B11" s="37" t="n"/>
      <c r="C11" s="6" t="n"/>
      <c r="D11" s="6" t="n"/>
      <c r="E11" s="6" t="n"/>
    </row>
    <row r="12">
      <c r="A12" s="3" t="inlineStr">
        <is>
          <t>Title:</t>
        </is>
      </c>
      <c r="B12" s="37" t="n"/>
      <c r="C12" s="6" t="n"/>
      <c r="D12" s="6" t="n"/>
      <c r="E12" s="6" t="n"/>
    </row>
    <row r="13">
      <c r="A13" s="3" t="inlineStr">
        <is>
          <t>Date:</t>
        </is>
      </c>
      <c r="B13" s="37" t="n"/>
      <c r="C13" s="6" t="n"/>
      <c r="D13" s="6" t="n"/>
      <c r="E13" s="6" t="n"/>
    </row>
    <row r="14">
      <c r="A14" s="3" t="inlineStr">
        <is>
          <t>Signature:</t>
        </is>
      </c>
      <c r="B14" s="37" t="n"/>
      <c r="C14" s="6" t="n"/>
      <c r="D14" s="6" t="n"/>
      <c r="E14" s="6" t="n"/>
    </row>
    <row r="15">
      <c r="A15" s="3" t="inlineStr">
        <is>
          <t>Comments:</t>
        </is>
      </c>
      <c r="B15" s="37" t="n"/>
      <c r="C15" s="6" t="n"/>
      <c r="D15" s="6" t="n"/>
      <c r="E15" s="6" t="n"/>
    </row>
    <row r="17">
      <c r="A17" s="52" t="inlineStr">
        <is>
          <t>REVIEWED BY (INFORMATION SECURITY OFFICER)</t>
        </is>
      </c>
      <c r="B17" s="6" t="n"/>
      <c r="C17" s="6" t="n"/>
      <c r="D17" s="6" t="n"/>
      <c r="E17" s="6" t="n"/>
    </row>
    <row r="18">
      <c r="A18" s="3" t="inlineStr">
        <is>
          <t>Name:</t>
        </is>
      </c>
      <c r="B18" s="37" t="n"/>
      <c r="C18" s="6" t="n"/>
      <c r="D18" s="6" t="n"/>
      <c r="E18" s="6" t="n"/>
    </row>
    <row r="19">
      <c r="A19" s="3" t="inlineStr">
        <is>
          <t>Title:</t>
        </is>
      </c>
      <c r="B19" s="37" t="n"/>
      <c r="C19" s="6" t="n"/>
      <c r="D19" s="6" t="n"/>
      <c r="E19" s="6" t="n"/>
    </row>
    <row r="20">
      <c r="A20" s="3" t="inlineStr">
        <is>
          <t>Date:</t>
        </is>
      </c>
      <c r="B20" s="37" t="n"/>
      <c r="C20" s="6" t="n"/>
      <c r="D20" s="6" t="n"/>
      <c r="E20" s="6" t="n"/>
    </row>
    <row r="21">
      <c r="A21" s="3" t="inlineStr">
        <is>
          <t>Signature:</t>
        </is>
      </c>
      <c r="B21" s="37" t="n"/>
      <c r="C21" s="6" t="n"/>
      <c r="D21" s="6" t="n"/>
      <c r="E21" s="6" t="n"/>
    </row>
    <row r="22">
      <c r="A22" s="3" t="inlineStr">
        <is>
          <t>Comments:</t>
        </is>
      </c>
      <c r="B22" s="37" t="n"/>
      <c r="C22" s="6" t="n"/>
      <c r="D22" s="6" t="n"/>
      <c r="E22" s="6" t="n"/>
    </row>
    <row r="24">
      <c r="A24" s="53" t="inlineStr">
        <is>
          <t>APPROVED BY (CISO)</t>
        </is>
      </c>
      <c r="B24" s="6" t="n"/>
      <c r="C24" s="6" t="n"/>
      <c r="D24" s="6" t="n"/>
      <c r="E24" s="6" t="n"/>
    </row>
    <row r="25">
      <c r="A25" s="3" t="inlineStr">
        <is>
          <t>Name:</t>
        </is>
      </c>
      <c r="B25" s="37" t="n"/>
      <c r="C25" s="6" t="n"/>
      <c r="D25" s="6" t="n"/>
      <c r="E25" s="6" t="n"/>
    </row>
    <row r="26">
      <c r="A26" s="3" t="inlineStr">
        <is>
          <t>Title:</t>
        </is>
      </c>
      <c r="B26" s="37" t="n"/>
      <c r="C26" s="6" t="n"/>
      <c r="D26" s="6" t="n"/>
      <c r="E26" s="6" t="n"/>
    </row>
    <row r="27">
      <c r="A27" s="3" t="inlineStr">
        <is>
          <t>Date:</t>
        </is>
      </c>
      <c r="B27" s="37" t="n"/>
      <c r="C27" s="6" t="n"/>
      <c r="D27" s="6" t="n"/>
      <c r="E27" s="6" t="n"/>
    </row>
    <row r="28">
      <c r="A28" s="3" t="inlineStr">
        <is>
          <t>Signature:</t>
        </is>
      </c>
      <c r="B28" s="37" t="n"/>
      <c r="C28" s="6" t="n"/>
      <c r="D28" s="6" t="n"/>
      <c r="E28" s="6" t="n"/>
    </row>
    <row r="29">
      <c r="A29" s="3" t="inlineStr">
        <is>
          <t>Comments:</t>
        </is>
      </c>
      <c r="B29" s="37" t="n"/>
      <c r="C29" s="6" t="n"/>
      <c r="D29" s="6" t="n"/>
      <c r="E29" s="6" t="n"/>
    </row>
    <row r="31">
      <c r="A31" s="3" t="inlineStr">
        <is>
          <t>FINAL DECISION:</t>
        </is>
      </c>
      <c r="B31" s="37" t="n"/>
      <c r="C31" s="6" t="n"/>
      <c r="D31" s="6" t="n"/>
      <c r="E31" s="6" t="n"/>
    </row>
    <row r="34">
      <c r="A34" s="52" t="inlineStr">
        <is>
          <t>NEXT REVIEW DETAILS</t>
        </is>
      </c>
      <c r="B34" s="6" t="n"/>
      <c r="C34" s="6" t="n"/>
      <c r="D34" s="6" t="n"/>
      <c r="E34" s="6" t="n"/>
    </row>
    <row r="35">
      <c r="A35" s="3" t="inlineStr">
        <is>
          <t>Next Review Date:</t>
        </is>
      </c>
      <c r="B35" s="37" t="n"/>
      <c r="C35" s="6" t="n"/>
      <c r="D35" s="6" t="n"/>
      <c r="E35" s="6" t="n"/>
    </row>
    <row r="36">
      <c r="A36" s="3" t="inlineStr">
        <is>
          <t>Review Responsible:</t>
        </is>
      </c>
      <c r="B36" s="37" t="n"/>
      <c r="C36" s="6" t="n"/>
      <c r="D36" s="6" t="n"/>
      <c r="E36" s="6" t="n"/>
    </row>
    <row r="37">
      <c r="A37" s="3" t="inlineStr">
        <is>
          <t>Special Considerations:</t>
        </is>
      </c>
      <c r="B37" s="37" t="n"/>
      <c r="C37" s="6" t="n"/>
      <c r="D37" s="6" t="n"/>
      <c r="E37" s="6" t="n"/>
    </row>
  </sheetData>
  <mergeCells count="30">
    <mergeCell ref="A34:E34"/>
    <mergeCell ref="A24:E24"/>
    <mergeCell ref="B6:E6"/>
    <mergeCell ref="B15:E15"/>
    <mergeCell ref="A1:E1"/>
    <mergeCell ref="B5:E5"/>
    <mergeCell ref="B20:E20"/>
    <mergeCell ref="B36:E36"/>
    <mergeCell ref="B26:E26"/>
    <mergeCell ref="B35:E35"/>
    <mergeCell ref="B4:E4"/>
    <mergeCell ref="B7:E7"/>
    <mergeCell ref="B25:E25"/>
    <mergeCell ref="B22:E22"/>
    <mergeCell ref="A3:E3"/>
    <mergeCell ref="B31:E31"/>
    <mergeCell ref="B18:E18"/>
    <mergeCell ref="B27:E27"/>
    <mergeCell ref="A2:E2"/>
    <mergeCell ref="B12:E12"/>
    <mergeCell ref="B21:E21"/>
    <mergeCell ref="B11:E11"/>
    <mergeCell ref="A17:E17"/>
    <mergeCell ref="B14:E14"/>
    <mergeCell ref="A10:E10"/>
    <mergeCell ref="B13:E13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1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ISMS-IMP-A.8.15.2 — Log Collection &amp; Centralisation</dc:title>
  <dc:description xmlns:dc="http://purl.org/dc/elements/1.1/">ISMS Implementation Workbook — ISMS-IMP-A.8.15.2</dc:description>
  <dc:subject xmlns:dc="http://purl.org/dc/elements/1.1/">ISO/IEC 27001:2022 — Control A.8.15: Logging</dc:subject>
  <dcterms:created xmlns:dcterms="http://purl.org/dc/terms/" xmlns:xsi="http://www.w3.org/2001/XMLSchema-instance" xsi:type="dcterms:W3CDTF">2026-03-10T18:49:21Z</dcterms:created>
  <dcterms:modified xmlns:dcterms="http://purl.org/dc/terms/" xmlns:xsi="http://www.w3.org/2001/XMLSchema-instance" xsi:type="dcterms:W3CDTF">2026-03-10T18:49:21Z</dcterms:modified>
</cp:coreProperties>
</file>