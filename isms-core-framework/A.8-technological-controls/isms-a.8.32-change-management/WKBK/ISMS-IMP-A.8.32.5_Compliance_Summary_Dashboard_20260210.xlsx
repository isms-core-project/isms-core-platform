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Remediation Roadmap" sheetId="4" state="visible" r:id="rId4"/>
    <sheet xmlns:r="http://schemas.openxmlformats.org/officeDocument/2006/relationships" name="KPIs Metrics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Audit Readiness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color rgb="000000FF"/>
    </font>
    <font>
      <name val="Calibri"/>
      <b val="1"/>
      <color rgb="00FFFFFF"/>
      <sz val="12"/>
    </font>
    <font>
      <name val="Calibri"/>
      <b val="1"/>
      <sz val="10"/>
    </font>
    <font>
      <b val="1"/>
      <color rgb="000000FF"/>
    </font>
    <font>
      <i val="1"/>
      <color rgb="000000FF"/>
      <sz val="9"/>
    </font>
    <font>
      <i val="1"/>
      <color rgb="00666666"/>
      <sz val="9"/>
    </font>
    <font>
      <b val="1"/>
      <sz val="11"/>
    </font>
    <font>
      <i val="1"/>
      <sz val="9"/>
    </font>
    <font>
      <b val="1"/>
      <i val="1"/>
      <color rgb="00003366"/>
      <sz val="10"/>
    </font>
    <font>
      <b val="1"/>
      <i val="1"/>
      <color rgb="00666666"/>
      <sz val="10"/>
    </font>
    <font>
      <b val="1"/>
      <color rgb="00FFFFFF"/>
      <sz val="11"/>
    </font>
    <font>
      <b val="1"/>
      <sz val="9"/>
    </font>
    <font>
      <b val="1"/>
      <sz val="10"/>
    </font>
    <font>
      <name val="Calibri"/>
      <i val="1"/>
      <color rgb="00666666"/>
      <sz val="10"/>
    </font>
    <font>
      <name val="Calibri"/>
      <color rgb="00808080"/>
    </font>
    <font>
      <name val="Calibri"/>
      <b val="1"/>
      <color rgb="00FFFFFF"/>
      <sz val="11"/>
    </font>
    <font>
      <name val="Calibri"/>
      <b val="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pivotButton="0" quotePrefix="0" xfId="0"/>
    <xf numFmtId="164" fontId="8" fillId="5" borderId="1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wrapText="1"/>
    </xf>
    <xf numFmtId="0" fontId="4" fillId="0" borderId="1" pivotButton="0" quotePrefix="0" xfId="0"/>
    <xf numFmtId="0" fontId="14" fillId="6" borderId="0" applyAlignment="1" pivotButton="0" quotePrefix="0" xfId="0">
      <alignment horizontal="center"/>
    </xf>
    <xf numFmtId="0" fontId="15" fillId="4" borderId="1" pivotButton="0" quotePrefix="0" xfId="0"/>
    <xf numFmtId="0" fontId="15" fillId="0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4" fillId="3" borderId="1" pivotButton="0" quotePrefix="0" xfId="0"/>
    <xf numFmtId="0" fontId="3" fillId="0" borderId="1" pivotButton="0" quotePrefix="0" xfId="0"/>
    <xf numFmtId="164" fontId="7" fillId="0" borderId="1" pivotButton="0" quotePrefix="0" xfId="0"/>
    <xf numFmtId="0" fontId="16" fillId="0" borderId="1" pivotButton="0" quotePrefix="0" xfId="0"/>
    <xf numFmtId="0" fontId="11" fillId="0" borderId="1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6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9" fillId="6" borderId="0" applyAlignment="1" pivotButton="0" quotePrefix="0" xfId="0">
      <alignment horizontal="center" vertical="center"/>
    </xf>
    <xf numFmtId="0" fontId="20" fillId="0" borderId="0" pivotButton="0" quotePrefix="0" xfId="0"/>
    <xf numFmtId="0" fontId="1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25" customWidth="1" min="8" max="8"/>
  </cols>
  <sheetData>
    <row r="1" ht="50" customHeight="1">
      <c r="A1" s="1" t="inlineStr">
        <is>
          <t>ISMS-IMP-A.8.32.5  Change Management Compliance Summary Dashboard
ISO/IEC 27001:2022 - Control A.8.32: Change Management - Executive Overview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ISMS-IMP-A.8.32.5</t>
        </is>
      </c>
    </row>
    <row r="5">
      <c r="A5" s="3" t="inlineStr">
        <is>
          <t>Report Type</t>
        </is>
      </c>
      <c r="B5" t="inlineStr">
        <is>
          <t>Compliance Summary Dashboard</t>
        </is>
      </c>
    </row>
    <row r="6">
      <c r="A6" s="3" t="inlineStr">
        <is>
          <t>Related Policy</t>
        </is>
      </c>
      <c r="B6" t="inlineStr">
        <is>
          <t>ISMS-POL-A.8.32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Report Date</t>
        </is>
      </c>
      <c r="B8" s="4" t="inlineStr"/>
    </row>
    <row r="9">
      <c r="A9" s="3" t="inlineStr">
        <is>
          <t>Reporting Period</t>
        </is>
      </c>
      <c r="B9" s="4" t="inlineStr"/>
    </row>
    <row r="10">
      <c r="A10" s="3" t="inlineStr">
        <is>
          <t>Prepared By</t>
        </is>
      </c>
      <c r="B10" s="4" t="inlineStr"/>
    </row>
    <row r="11">
      <c r="A11" s="3" t="inlineStr">
        <is>
          <t>Organisation</t>
        </is>
      </c>
      <c r="B11" s="4" t="inlineStr"/>
    </row>
    <row r="12">
      <c r="A12" s="3" t="inlineStr">
        <is>
          <t>Review Cycle</t>
        </is>
      </c>
      <c r="B12" t="inlineStr">
        <is>
          <t>Quarterly</t>
        </is>
      </c>
    </row>
    <row r="13">
      <c r="A13" s="3" t="inlineStr">
        <is>
          <t>Last Updated</t>
        </is>
      </c>
      <c r="B13" s="5">
        <f>TODAY()</f>
        <v/>
      </c>
    </row>
    <row r="16">
      <c r="A16" s="6" t="inlineStr">
        <is>
          <t>OVERALL CHANGE MANAGEMENT COMPLIANCE STATUS</t>
        </is>
      </c>
    </row>
    <row r="17">
      <c r="A17" s="7" t="inlineStr">
        <is>
          <t>Metric</t>
        </is>
      </c>
      <c r="B17" s="7" t="inlineStr">
        <is>
          <t>Score</t>
        </is>
      </c>
      <c r="C17" s="7" t="inlineStr">
        <is>
          <t>Target</t>
        </is>
      </c>
      <c r="D17" s="7" t="inlineStr">
        <is>
          <t>Status</t>
        </is>
      </c>
    </row>
    <row r="18">
      <c r="A18" s="8" t="inlineStr">
        <is>
          <t>Overall Compliance Rate</t>
        </is>
      </c>
      <c r="B18" s="9">
        <f>AVERAGE(C25:C28)</f>
        <v/>
      </c>
      <c r="C18" s="8" t="inlineStr">
        <is>
          <t>95%</t>
        </is>
      </c>
      <c r="D18" s="4" t="n"/>
    </row>
    <row r="19">
      <c r="A19" s="8" t="inlineStr">
        <is>
          <t>Critical Gaps</t>
        </is>
      </c>
      <c r="B19" s="9">
        <f>COUNTIFS(Gap Analysis!I8:I207,"Critical",Gap Analysis!R8:R207,"&lt;&gt;Closed")</f>
        <v/>
      </c>
      <c r="C19" s="8" t="inlineStr">
        <is>
          <t>0</t>
        </is>
      </c>
      <c r="D19" s="4" t="n"/>
    </row>
    <row r="20">
      <c r="A20" s="8" t="inlineStr">
        <is>
          <t>High-Risk Items</t>
        </is>
      </c>
      <c r="B20" s="9">
        <f>COUNTIFS(Risk Register!N20:N119,"&gt;=15",Risk Register!Q20:Q119,"&lt;&gt;Closed")</f>
        <v/>
      </c>
      <c r="C20" s="8" t="inlineStr">
        <is>
          <t>5</t>
        </is>
      </c>
      <c r="D20" s="4" t="n"/>
    </row>
    <row r="21">
      <c r="A21" s="8" t="inlineStr">
        <is>
          <t>Remediation Progress</t>
        </is>
      </c>
      <c r="B21" s="9">
        <f>COUNTIF(Remediation Roadmap!H37:H236,"Completed")/COUNTA(Remediation Roadmap!H37:H236)*100&amp;"%"</f>
        <v/>
      </c>
      <c r="C21" s="8" t="inlineStr">
        <is>
          <t>80%</t>
        </is>
      </c>
      <c r="D21" s="4" t="n"/>
    </row>
    <row r="24">
      <c r="A24" s="6" t="inlineStr">
        <is>
          <t>DOMAIN COMPLIANCE SCORES (from Source Workbooks)</t>
        </is>
      </c>
    </row>
    <row r="25">
      <c r="A25" s="7" t="inlineStr">
        <is>
          <t>#</t>
        </is>
      </c>
      <c r="B25" s="7" t="inlineStr">
        <is>
          <t>Assessment Domain</t>
        </is>
      </c>
      <c r="C25" s="7" t="inlineStr">
        <is>
          <t>Compliance Score</t>
        </is>
      </c>
      <c r="D25" s="7" t="inlineStr">
        <is>
          <t>Status</t>
        </is>
      </c>
      <c r="E25" s="7" t="inlineStr">
        <is>
          <t>Critical Gaps</t>
        </is>
      </c>
      <c r="F25" s="7" t="inlineStr">
        <is>
          <t>Evidence Count</t>
        </is>
      </c>
      <c r="G25" s="7" t="inlineStr">
        <is>
          <t>Last Updated</t>
        </is>
      </c>
      <c r="H25" s="7" t="inlineStr">
        <is>
          <t>Assessor</t>
        </is>
      </c>
    </row>
    <row r="26">
      <c r="A26" s="8" t="inlineStr">
        <is>
          <t>1</t>
        </is>
      </c>
      <c r="B26" s="8" t="inlineStr">
        <is>
          <t>Change Process</t>
        </is>
      </c>
      <c r="C26" s="10">
        <f>'[ISMS-IMP-A.8.32.1.xlsx]Gap Analysis'!B5</f>
        <v/>
      </c>
      <c r="D26" s="11">
        <f>'[ISMS-IMP-A.8.32.1.xlsx]Gap Analysis'!C5</f>
        <v/>
      </c>
      <c r="E26" s="11">
        <f>COUNTIF('[ISMS-IMP-A.8.32.1.xlsx]Gap Analysis'!F10:F109,"Critical")</f>
        <v/>
      </c>
      <c r="F26" s="11">
        <f>COUNTA('[ISMS-IMP-A.8.32.1.xlsx]Evidence Register'!A10:A209)</f>
        <v/>
      </c>
      <c r="G26" s="11">
        <f>'[ISMS-IMP-A.8.32.1.xlsx]Instructions_Legend'!B5</f>
        <v/>
      </c>
      <c r="H26" s="11">
        <f>'[ISMS-IMP-A.8.32.1.xlsx]Instructions_Legend'!B6</f>
        <v/>
      </c>
    </row>
    <row r="27">
      <c r="A27" s="8" t="inlineStr">
        <is>
          <t>2</t>
        </is>
      </c>
      <c r="B27" s="8" t="inlineStr">
        <is>
          <t>Change Types &amp; Categories</t>
        </is>
      </c>
      <c r="C27" s="10">
        <f>'[ISMS-IMP-A.8.32.2.xlsx]Gap_Identification'!B5</f>
        <v/>
      </c>
      <c r="D27" s="11">
        <f>'[ISMS-IMP-A.8.32.2.xlsx]Gap_Identification'!C5</f>
        <v/>
      </c>
      <c r="E27" s="11">
        <f>COUNTIF('[ISMS-IMP-A.8.32.2.xlsx]Gap_Identification'!F10:F109,"Critical")</f>
        <v/>
      </c>
      <c r="F27" s="11">
        <f>COUNTA('[ISMS-IMP-A.8.32.2.xlsx]Evidence Register'!A10:A209)</f>
        <v/>
      </c>
      <c r="G27" s="11">
        <f>'[ISMS-IMP-A.8.32.2.xlsx]Instructions_Legend'!B5</f>
        <v/>
      </c>
      <c r="H27" s="11">
        <f>'[ISMS-IMP-A.8.32.2.xlsx]Instructions_Legend'!B6</f>
        <v/>
      </c>
    </row>
    <row r="28">
      <c r="A28" s="8" t="inlineStr">
        <is>
          <t>3</t>
        </is>
      </c>
      <c r="B28" s="8" t="inlineStr">
        <is>
          <t>Environment Separation</t>
        </is>
      </c>
      <c r="C28" s="10">
        <f>'[ISMS-IMP-A.8.32.3.xlsx]Gap Analysis'!B5</f>
        <v/>
      </c>
      <c r="D28" s="11">
        <f>'[ISMS-IMP-A.8.32.3.xlsx]Gap Analysis'!C5</f>
        <v/>
      </c>
      <c r="E28" s="11">
        <f>COUNTIF('[ISMS-IMP-A.8.32.3.xlsx]Gap Analysis'!F10:F109,"Critical")</f>
        <v/>
      </c>
      <c r="F28" s="11">
        <f>COUNTA('[ISMS-IMP-A.8.32.3.xlsx]Evidence Register'!A10:A209)</f>
        <v/>
      </c>
      <c r="G28" s="11">
        <f>'[ISMS-IMP-A.8.32.3.xlsx]Instructions_Legend'!B5</f>
        <v/>
      </c>
      <c r="H28" s="11">
        <f>'[ISMS-IMP-A.8.32.3.xlsx]Instructions_Legend'!B6</f>
        <v/>
      </c>
    </row>
    <row r="29">
      <c r="A29" s="8" t="inlineStr">
        <is>
          <t>4</t>
        </is>
      </c>
      <c r="B29" s="8" t="inlineStr">
        <is>
          <t>Testing &amp; Validation</t>
        </is>
      </c>
      <c r="C29" s="10">
        <f>'[ISMS-IMP-A.8.32.4.xlsx]Gap Analysis'!B5</f>
        <v/>
      </c>
      <c r="D29" s="11">
        <f>'[ISMS-IMP-A.8.32.4.xlsx]Gap Analysis'!C5</f>
        <v/>
      </c>
      <c r="E29" s="11">
        <f>COUNTIF('[ISMS-IMP-A.8.32.4.xlsx]Gap Analysis'!F10:F109,"Critical")</f>
        <v/>
      </c>
      <c r="F29" s="11">
        <f>COUNTA('[ISMS-IMP-A.8.32.4.xlsx]Evidence Register'!A10:A209)</f>
        <v/>
      </c>
      <c r="G29" s="11">
        <f>'[ISMS-IMP-A.8.32.4.xlsx]Instructions_Legend'!B5</f>
        <v/>
      </c>
      <c r="H29" s="11">
        <f>'[ISMS-IMP-A.8.32.4.xlsx]Instructions_Legend'!B6</f>
        <v/>
      </c>
    </row>
    <row r="32">
      <c r="A32" s="6" t="inlineStr">
        <is>
          <t>KEY PERFORMANCE INDICATORS (Consolidated)</t>
        </is>
      </c>
    </row>
    <row r="33">
      <c r="A33" s="7" t="inlineStr">
        <is>
          <t>Category</t>
        </is>
      </c>
      <c r="B33" s="7" t="inlineStr">
        <is>
          <t>Metric</t>
        </is>
      </c>
      <c r="C33" s="7" t="inlineStr">
        <is>
          <t>Current Value</t>
        </is>
      </c>
      <c r="D33" s="7" t="inlineStr">
        <is>
          <t>Target</t>
        </is>
      </c>
      <c r="E33" s="7" t="inlineStr">
        <is>
          <t>Status</t>
        </is>
      </c>
      <c r="F33" s="7" t="inlineStr">
        <is>
          <t>Trend</t>
        </is>
      </c>
      <c r="G33" s="7" t="inlineStr">
        <is>
          <t>Notes</t>
        </is>
      </c>
    </row>
    <row r="34">
      <c r="A34" s="8" t="inlineStr">
        <is>
          <t>Infrastructure</t>
        </is>
      </c>
      <c r="B34" s="8" t="inlineStr">
        <is>
          <t>Filtering Solutions Deployed</t>
        </is>
      </c>
      <c r="C34" s="11">
        <f>COUNTA('[ISMS-IMP-A.8.32.1.xlsx]Solution_Details_Template'!B8:B27)</f>
        <v/>
      </c>
      <c r="D34" s="8" t="inlineStr">
        <is>
          <t>1</t>
        </is>
      </c>
      <c r="E34" s="4" t="n"/>
      <c r="F34" s="4" t="n"/>
      <c r="G34" s="12" t="inlineStr">
        <is>
          <t>From A.8.32.1</t>
        </is>
      </c>
    </row>
    <row r="35">
      <c r="A35" s="8" t="inlineStr">
        <is>
          <t>Infrastructure</t>
        </is>
      </c>
      <c r="B35" s="8" t="inlineStr">
        <is>
          <t>Solutions Fully Implemented</t>
        </is>
      </c>
      <c r="C35" s="11">
        <f>COUNTIF('[ISMS-IMP-A.8.32.1.xlsx]Solution_Details_Template'!I8:I27,"Deployed")/COUNTA('[ISMS-IMP-A.8.32.1.xlsx]Solution_Details_Template'!B8:B27)</f>
        <v/>
      </c>
      <c r="D35" s="8" t="inlineStr">
        <is>
          <t>100%</t>
        </is>
      </c>
      <c r="E35" s="4" t="n"/>
      <c r="F35" s="4" t="n"/>
      <c r="G35" s="12" t="inlineStr"/>
    </row>
    <row r="36">
      <c r="A36" s="8" t="inlineStr">
        <is>
          <t>Coverage</t>
        </is>
      </c>
      <c r="B36" s="8" t="inlineStr">
        <is>
          <t>Network Segments Covered</t>
        </is>
      </c>
      <c r="C36" s="11">
        <f>COUNTIF('[ISMS-IMP-A.8.32.2.xlsx]Coverage_Matrix'!D10:D109," Covered")/COUNTA('[ISMS-IMP-A.8.32.2.xlsx]Network_Segment_Inventory'!A10:A59)</f>
        <v/>
      </c>
      <c r="D36" s="8" t="inlineStr">
        <is>
          <t>100%</t>
        </is>
      </c>
      <c r="E36" s="4" t="n"/>
      <c r="F36" s="4" t="n"/>
      <c r="G36" s="12" t="inlineStr">
        <is>
          <t>From A.8.32.2</t>
        </is>
      </c>
    </row>
    <row r="37">
      <c r="A37" s="8" t="inlineStr">
        <is>
          <t>Coverage</t>
        </is>
      </c>
      <c r="B37" s="8" t="inlineStr">
        <is>
          <t>Critical Bypass Risks</t>
        </is>
      </c>
      <c r="C37" s="11">
        <f>COUNTIF('[ISMS-IMP-A.8.32.2.xlsx]Gap_Identification'!F10:F109,"Critical")</f>
        <v/>
      </c>
      <c r="D37" s="8" t="inlineStr">
        <is>
          <t>0</t>
        </is>
      </c>
      <c r="E37" s="4" t="n"/>
      <c r="F37" s="4" t="n"/>
      <c r="G37" s="12" t="inlineStr"/>
    </row>
    <row r="38">
      <c r="A38" s="8" t="inlineStr">
        <is>
          <t>Policy</t>
        </is>
      </c>
      <c r="B38" s="8" t="inlineStr">
        <is>
          <t>Threat Categories Blocked</t>
        </is>
      </c>
      <c r="C38" s="11">
        <f>COUNTIF('[ISMS-IMP-A.8.32.3.xlsx]Threat_Protection'!E10:E59,"Blocked")/COUNTA('[ISMS-IMP-A.8.32.3.xlsx]Threat_Protection'!A10:A59)</f>
        <v/>
      </c>
      <c r="D38" s="8" t="inlineStr">
        <is>
          <t>95%</t>
        </is>
      </c>
      <c r="E38" s="4" t="n"/>
      <c r="F38" s="4" t="n"/>
      <c r="G38" s="12" t="inlineStr">
        <is>
          <t>From A.8.32.3</t>
        </is>
      </c>
    </row>
    <row r="39">
      <c r="A39" s="8" t="inlineStr">
        <is>
          <t>Policy</t>
        </is>
      </c>
      <c r="B39" s="8" t="inlineStr">
        <is>
          <t>Active Exceptions</t>
        </is>
      </c>
      <c r="C39" s="11">
        <f>COUNTIF('[ISMS-IMP-A.8.32.3.xlsx]Policy_Exceptions'!G10:G109,"Active")</f>
        <v/>
      </c>
      <c r="D39" s="8" t="inlineStr">
        <is>
          <t>&lt;10</t>
        </is>
      </c>
      <c r="E39" s="4" t="n"/>
      <c r="F39" s="4" t="n"/>
      <c r="G39" s="12" t="inlineStr"/>
    </row>
    <row r="40">
      <c r="A40" s="8" t="inlineStr">
        <is>
          <t>Monitoring</t>
        </is>
      </c>
      <c r="B40" s="8" t="inlineStr">
        <is>
          <t>Alert Rules Configured</t>
        </is>
      </c>
      <c r="C40" s="11">
        <f>COUNTA('[ISMS-IMP-A.8.32.4.xlsx]Alert_Configuration'!A10:A109)</f>
        <v/>
      </c>
      <c r="D40" s="8" t="inlineStr">
        <is>
          <t>20</t>
        </is>
      </c>
      <c r="E40" s="4" t="n"/>
      <c r="F40" s="4" t="n"/>
      <c r="G40" s="12" t="inlineStr">
        <is>
          <t>From A.8.32.4</t>
        </is>
      </c>
    </row>
    <row r="41">
      <c r="A41" s="8" t="inlineStr">
        <is>
          <t>Monitoring</t>
        </is>
      </c>
      <c r="B41" s="8" t="inlineStr">
        <is>
          <t>SLA Compliance Rate</t>
        </is>
      </c>
      <c r="C41" s="11">
        <f>COUNTIF('[ISMS-IMP-A.8.32.4.xlsx]Incident_Response'!K10:K109,"Met")/COUNTA('[ISMS-IMP-A.8.32.4.xlsx]Incident_Response'!K10:K109)</f>
        <v/>
      </c>
      <c r="D41" s="8" t="inlineStr">
        <is>
          <t>95%</t>
        </is>
      </c>
      <c r="E41" s="4" t="n"/>
      <c r="F41" s="4" t="n"/>
      <c r="G41" s="12" t="inlineStr"/>
    </row>
    <row r="42">
      <c r="A42" s="8" t="inlineStr">
        <is>
          <t>Response</t>
        </is>
      </c>
      <c r="B42" s="8" t="inlineStr">
        <is>
          <t>Open Critical Incidents</t>
        </is>
      </c>
      <c r="C42" s="11">
        <f>COUNTIFS('[ISMS-IMP-A.8.32.4.xlsx]Incident_Response'!D10:D109,"Critical",'[ISMS-IMP-A.8.32.4.xlsx]Incident_Response'!I10:I109,"Open")</f>
        <v/>
      </c>
      <c r="D42" s="8" t="inlineStr">
        <is>
          <t>0</t>
        </is>
      </c>
      <c r="E42" s="4" t="n"/>
      <c r="F42" s="4" t="n"/>
      <c r="G42" s="12" t="inlineStr"/>
    </row>
    <row r="43">
      <c r="A43" s="8" t="inlineStr">
        <is>
          <t>Response</t>
        </is>
      </c>
      <c r="B43" s="8" t="inlineStr">
        <is>
          <t>False Positive Rate</t>
        </is>
      </c>
      <c r="C43" s="11">
        <f>COUNTIF('[ISMS-IMP-A.8.32.4.xlsx]False_Positive_Management'!H10:H109,"Confirmed_FP")/COUNTA('[ISMS-IMP-A.8.32.4.xlsx]Blocked_Events_Analysis'!A10:A109)</f>
        <v/>
      </c>
      <c r="D43" s="8" t="inlineStr">
        <is>
          <t>&lt;1%</t>
        </is>
      </c>
      <c r="E43" s="4" t="n"/>
      <c r="F43" s="4" t="n"/>
      <c r="G43" s="12" t="inlineStr"/>
    </row>
    <row r="46">
      <c r="A46" s="13" t="inlineStr">
        <is>
          <t xml:space="preserve"> DASHBOARD NOTES</t>
        </is>
      </c>
    </row>
    <row r="47">
      <c r="A47" s="14" t="inlineStr">
        <is>
          <t xml:space="preserve"> This dashboard consolidates data from 4 assessment workbooks via external links</t>
        </is>
      </c>
    </row>
    <row r="48">
      <c r="A48" s="14" t="inlineStr">
        <is>
          <t xml:space="preserve"> Blue italic formulas pull live data from normalized source files</t>
        </is>
      </c>
    </row>
    <row r="49">
      <c r="A49" s="14" t="inlineStr">
        <is>
          <t xml:space="preserve"> Click 'Update Links' when opening to refresh all data</t>
        </is>
      </c>
    </row>
    <row r="50">
      <c r="A50" s="14" t="inlineStr">
        <is>
          <t xml:space="preserve"> Yellow cells are for manual status/trend assessment</t>
        </is>
      </c>
    </row>
    <row r="51">
      <c r="A51" s="14" t="inlineStr">
        <is>
          <t xml:space="preserve"> Place this dashboard in same folder as ISMS-IMP-A.8.32.[1-4].xlsx files</t>
        </is>
      </c>
    </row>
    <row r="52">
      <c r="A52" s="14" t="inlineStr">
        <is>
          <t xml:space="preserve"> Review quarterly or after significant changes to filtering infrastructure</t>
        </is>
      </c>
    </row>
    <row r="54">
      <c r="A54" s="15" t="inlineStr">
        <is>
          <t xml:space="preserve"> "Evidence &gt; Theater" - This is Systems Engineering, not Cargo Cult Compliance</t>
        </is>
      </c>
    </row>
  </sheetData>
  <mergeCells count="12">
    <mergeCell ref="A50:H50"/>
    <mergeCell ref="A48:H48"/>
    <mergeCell ref="A24:H24"/>
    <mergeCell ref="A16:H16"/>
    <mergeCell ref="A51:H51"/>
    <mergeCell ref="A52:H52"/>
    <mergeCell ref="A54:H54"/>
    <mergeCell ref="A49:H49"/>
    <mergeCell ref="A47:H47"/>
    <mergeCell ref="A1:H1"/>
    <mergeCell ref="A46:H46"/>
    <mergeCell ref="A32:H32"/>
  </mergeCells>
  <dataValidations count="3">
    <dataValidation sqref="D18:D21" showDropDown="0" showInputMessage="0" showErrorMessage="0" allowBlank="0" type="list">
      <formula1>"Green,Amber,Red"</formula1>
    </dataValidation>
    <dataValidation sqref="E34:E43" showDropDown="0" showInputMessage="0" showErrorMessage="0" allowBlank="0" type="list">
      <formula1>"Green,Amber,Red"</formula1>
    </dataValidation>
    <dataValidation sqref="F34:F43" showDropDown="0" showInputMessage="0" showErrorMessage="0" allowBlank="1" type="list">
      <formula1>"Improving,Stable,Degrading"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0" customWidth="1" min="4" max="4"/>
    <col width="30" customWidth="1" min="5" max="5"/>
    <col width="30" customWidth="1" min="6" max="6"/>
    <col width="10" customWidth="1" min="7" max="7"/>
    <col width="12" customWidth="1" min="8" max="8"/>
    <col width="12" customWidth="1" min="9" max="9"/>
    <col width="12" customWidth="1" min="10" max="10"/>
    <col width="35" customWidth="1" min="11" max="11"/>
    <col width="20" customWidth="1" min="12" max="12"/>
    <col width="15" customWidth="1" min="13" max="13"/>
    <col width="15" customWidth="1" min="14" max="14"/>
    <col width="12" customWidth="1" min="15" max="15"/>
    <col width="15" customWidth="1" min="16" max="16"/>
    <col width="25" customWidth="1" min="17" max="17"/>
    <col width="25" customWidth="1" min="18" max="18"/>
    <col width="30" customWidth="1" min="19" max="19"/>
  </cols>
  <sheetData>
    <row r="1" ht="30" customHeight="1">
      <c r="A1" s="1" t="inlineStr">
        <is>
          <t>CONSOLIDATED GAP ANALYSIS - A.8.32 CHANGE MANAGEMENT</t>
        </is>
      </c>
    </row>
    <row r="2">
      <c r="A2" s="16" t="inlineStr">
        <is>
          <t>Aggregated gaps from all 4 assessment workbooks</t>
        </is>
      </c>
    </row>
    <row r="4">
      <c r="A4" s="7" t="inlineStr">
        <is>
          <t>Gap ID</t>
        </is>
      </c>
      <c r="B4" s="7" t="inlineStr">
        <is>
          <t>Source Assessment</t>
        </is>
      </c>
      <c r="C4" s="7" t="inlineStr">
        <is>
          <t>Gap Category</t>
        </is>
      </c>
      <c r="D4" s="7" t="inlineStr">
        <is>
          <t>Gap Description</t>
        </is>
      </c>
      <c r="E4" s="7" t="inlineStr">
        <is>
          <t>Current State</t>
        </is>
      </c>
      <c r="F4" s="7" t="inlineStr">
        <is>
          <t>Target State</t>
        </is>
      </c>
      <c r="G4" s="7" t="inlineStr">
        <is>
          <t>Impact</t>
        </is>
      </c>
      <c r="H4" s="7" t="inlineStr">
        <is>
          <t>Likelihood</t>
        </is>
      </c>
      <c r="I4" s="7" t="inlineStr">
        <is>
          <t>Risk Score</t>
        </is>
      </c>
      <c r="J4" s="7" t="inlineStr">
        <is>
          <t>Priority</t>
        </is>
      </c>
      <c r="K4" s="7" t="inlineStr">
        <is>
          <t>Remediation Action</t>
        </is>
      </c>
      <c r="L4" s="7" t="inlineStr">
        <is>
          <t>Owner</t>
        </is>
      </c>
      <c r="M4" s="7" t="inlineStr">
        <is>
          <t>Target Date</t>
        </is>
      </c>
      <c r="N4" s="7" t="inlineStr">
        <is>
          <t>Status</t>
        </is>
      </c>
      <c r="O4" s="7" t="inlineStr">
        <is>
          <t>Progress %</t>
        </is>
      </c>
      <c r="P4" s="7" t="inlineStr">
        <is>
          <t>Cost Estimate</t>
        </is>
      </c>
      <c r="Q4" s="7" t="inlineStr">
        <is>
          <t>Dependencies</t>
        </is>
      </c>
      <c r="R4" s="7" t="inlineStr">
        <is>
          <t>Verification Method</t>
        </is>
      </c>
      <c r="S4" s="7" t="inlineStr">
        <is>
          <t>Status Notes</t>
        </is>
      </c>
    </row>
    <row r="5" ht="30" customHeight="1">
      <c r="A5" s="17" t="inlineStr">
        <is>
          <t>INSTRUCTIONS: Consolidate gaps from all 4 source workbooks. Each gap should reference its source assessment. Use this sheet for executive-level gap tracking across all change management domains.</t>
        </is>
      </c>
    </row>
    <row r="6">
      <c r="A6" s="8" t="inlineStr">
        <is>
          <t>A.8.32.1-GAP-001</t>
        </is>
      </c>
      <c r="B6" s="8" t="inlineStr">
        <is>
          <t>Change Process</t>
        </is>
      </c>
      <c r="C6" s="8" t="inlineStr">
        <is>
          <t>Technology</t>
        </is>
      </c>
      <c r="D6" s="4" t="inlineStr"/>
      <c r="E6" s="4" t="inlineStr"/>
      <c r="F6" s="4" t="inlineStr"/>
      <c r="G6" s="8" t="inlineStr">
        <is>
          <t>High</t>
        </is>
      </c>
      <c r="H6" s="8" t="inlineStr">
        <is>
          <t>Medium</t>
        </is>
      </c>
      <c r="I6" s="18">
        <f>G7*H7</f>
        <v/>
      </c>
      <c r="J6" s="8" t="inlineStr">
        <is>
          <t>High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</row>
    <row r="7">
      <c r="A7" s="8" t="inlineStr">
        <is>
          <t>A.8.32.2-GAP-001</t>
        </is>
      </c>
      <c r="B7" s="8" t="inlineStr">
        <is>
          <t>Change Types &amp; Categories</t>
        </is>
      </c>
      <c r="C7" s="8" t="inlineStr">
        <is>
          <t>Coverage</t>
        </is>
      </c>
      <c r="D7" s="4" t="inlineStr"/>
      <c r="E7" s="4" t="inlineStr"/>
      <c r="F7" s="4" t="inlineStr"/>
      <c r="G7" s="8" t="inlineStr">
        <is>
          <t>Critical</t>
        </is>
      </c>
      <c r="H7" s="8" t="inlineStr">
        <is>
          <t>High</t>
        </is>
      </c>
      <c r="I7" s="18">
        <f>G8*H8</f>
        <v/>
      </c>
      <c r="J7" s="8" t="inlineStr">
        <is>
          <t>Critical</t>
        </is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</row>
    <row r="8">
      <c r="A8" s="8" t="inlineStr">
        <is>
          <t>A.8.32.3-GAP-001</t>
        </is>
      </c>
      <c r="B8" s="8" t="inlineStr">
        <is>
          <t>Environment Separation</t>
        </is>
      </c>
      <c r="C8" s="8" t="inlineStr">
        <is>
          <t>Policy</t>
        </is>
      </c>
      <c r="D8" s="4" t="inlineStr"/>
      <c r="E8" s="4" t="inlineStr"/>
      <c r="F8" s="4" t="inlineStr"/>
      <c r="G8" s="8" t="inlineStr">
        <is>
          <t>Medium</t>
        </is>
      </c>
      <c r="H8" s="8" t="inlineStr">
        <is>
          <t>Low</t>
        </is>
      </c>
      <c r="I8" s="18">
        <f>G9*H9</f>
        <v/>
      </c>
      <c r="J8" s="8" t="inlineStr">
        <is>
          <t>Medium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</row>
    <row r="9">
      <c r="A9" s="8" t="inlineStr">
        <is>
          <t>A.8.32.4-GAP-001</t>
        </is>
      </c>
      <c r="B9" s="8" t="inlineStr">
        <is>
          <t>Testing &amp; Validation</t>
        </is>
      </c>
      <c r="C9" s="8" t="inlineStr">
        <is>
          <t>Monitoring</t>
        </is>
      </c>
      <c r="D9" s="4" t="inlineStr"/>
      <c r="E9" s="4" t="inlineStr"/>
      <c r="F9" s="4" t="inlineStr"/>
      <c r="G9" s="8" t="inlineStr">
        <is>
          <t>High</t>
        </is>
      </c>
      <c r="H9" s="8" t="inlineStr">
        <is>
          <t>Medium</t>
        </is>
      </c>
      <c r="I9" s="18">
        <f>G10*H10</f>
        <v/>
      </c>
      <c r="J9" s="8" t="inlineStr">
        <is>
          <t>High</t>
        </is>
      </c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</row>
  </sheetData>
  <mergeCells count="3">
    <mergeCell ref="A2:S2"/>
    <mergeCell ref="A1:S1"/>
    <mergeCell ref="A5:S5"/>
  </mergeCells>
  <dataValidations count="2">
    <dataValidation sqref="J7:J55" showDropDown="0" showInputMessage="0" showErrorMessage="0" allowBlank="1" type="list">
      <formula1>"Critical,High,Medium,Low"</formula1>
    </dataValidation>
    <dataValidation sqref="N7:N55" showDropDown="0" showInputMessage="0" showErrorMessage="0" allowBlank="1" type="list">
      <formula1>"Open,In_Progress,Resolved,Accepted,Deferred,Closed"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2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40" customWidth="1" min="4" max="4"/>
    <col width="25" customWidth="1" min="5" max="5"/>
    <col width="25" customWidth="1" min="6" max="6"/>
    <col width="10" customWidth="1" min="7" max="7"/>
    <col width="12" customWidth="1" min="8" max="8"/>
    <col width="12" customWidth="1" min="9" max="9"/>
    <col width="30" customWidth="1" min="10" max="10"/>
    <col width="15" customWidth="1" min="11" max="11"/>
    <col width="10" customWidth="1" min="12" max="12"/>
    <col width="12" customWidth="1" min="13" max="13"/>
    <col width="12" customWidth="1" min="14" max="14"/>
    <col width="15" customWidth="1" min="15" max="15"/>
    <col width="20" customWidth="1" min="16" max="16"/>
    <col width="15" customWidth="1" min="17" max="17"/>
  </cols>
  <sheetData>
    <row r="1" ht="30" customHeight="1">
      <c r="A1" s="1" t="inlineStr">
        <is>
          <t>RISK REGISTER - A.8.32 CHANGE MANAGEMENT</t>
        </is>
      </c>
    </row>
    <row r="3">
      <c r="A3" s="19" t="inlineStr">
        <is>
          <t>RISK SCORING MATRIX</t>
        </is>
      </c>
    </row>
    <row r="4">
      <c r="A4" s="20" t="inlineStr">
        <is>
          <t>Impact / Likelihood</t>
        </is>
      </c>
      <c r="B4" s="20" t="inlineStr">
        <is>
          <t>Low (1)</t>
        </is>
      </c>
      <c r="C4" s="20" t="inlineStr">
        <is>
          <t>Medium (2)</t>
        </is>
      </c>
      <c r="D4" s="20" t="inlineStr">
        <is>
          <t>High (3)</t>
        </is>
      </c>
      <c r="E4" s="20" t="inlineStr">
        <is>
          <t>Critical (4)</t>
        </is>
      </c>
    </row>
    <row r="5">
      <c r="A5" s="21" t="inlineStr">
        <is>
          <t>Critical (4)</t>
        </is>
      </c>
      <c r="B5" s="22" t="n">
        <v>4</v>
      </c>
      <c r="C5" s="23" t="n">
        <v>8</v>
      </c>
      <c r="D5" s="24" t="n">
        <v>12</v>
      </c>
      <c r="E5" s="24" t="n">
        <v>16</v>
      </c>
    </row>
    <row r="6">
      <c r="A6" s="21" t="inlineStr">
        <is>
          <t>High (3)</t>
        </is>
      </c>
      <c r="B6" s="22" t="n">
        <v>3</v>
      </c>
      <c r="C6" s="23" t="n">
        <v>6</v>
      </c>
      <c r="D6" s="23" t="n">
        <v>9</v>
      </c>
      <c r="E6" s="24" t="n">
        <v>12</v>
      </c>
    </row>
    <row r="7">
      <c r="A7" s="21" t="inlineStr">
        <is>
          <t>Medium (2)</t>
        </is>
      </c>
      <c r="B7" s="22" t="n">
        <v>2</v>
      </c>
      <c r="C7" s="22" t="n">
        <v>4</v>
      </c>
      <c r="D7" s="23" t="n">
        <v>6</v>
      </c>
      <c r="E7" s="23" t="n">
        <v>8</v>
      </c>
    </row>
    <row r="8">
      <c r="A8" s="21" t="inlineStr">
        <is>
          <t>Low (1)</t>
        </is>
      </c>
      <c r="B8" s="22" t="n">
        <v>1</v>
      </c>
      <c r="C8" s="22" t="n">
        <v>2</v>
      </c>
      <c r="D8" s="22" t="n">
        <v>3</v>
      </c>
      <c r="E8" s="22" t="n">
        <v>4</v>
      </c>
    </row>
    <row r="11">
      <c r="A11" s="6" t="inlineStr">
        <is>
          <t>IDENTIFIED RISKS</t>
        </is>
      </c>
    </row>
    <row r="12">
      <c r="A12" s="7" t="inlineStr">
        <is>
          <t>Risk ID</t>
        </is>
      </c>
      <c r="B12" s="7" t="inlineStr">
        <is>
          <t>Source</t>
        </is>
      </c>
      <c r="C12" s="7" t="inlineStr">
        <is>
          <t>Risk Category</t>
        </is>
      </c>
      <c r="D12" s="7" t="inlineStr">
        <is>
          <t>Risk Description</t>
        </is>
      </c>
      <c r="E12" s="7" t="inlineStr">
        <is>
          <t>Threat Source</t>
        </is>
      </c>
      <c r="F12" s="7" t="inlineStr">
        <is>
          <t>Vulnerability</t>
        </is>
      </c>
      <c r="G12" s="7" t="inlineStr">
        <is>
          <t>Impact</t>
        </is>
      </c>
      <c r="H12" s="7" t="inlineStr">
        <is>
          <t>Likelihood</t>
        </is>
      </c>
      <c r="I12" s="7" t="inlineStr">
        <is>
          <t>Inherent Risk</t>
        </is>
      </c>
      <c r="J12" s="7" t="inlineStr">
        <is>
          <t>Controls</t>
        </is>
      </c>
      <c r="K12" s="7" t="inlineStr">
        <is>
          <t>Control Effectiveness</t>
        </is>
      </c>
      <c r="L12" s="7" t="inlineStr">
        <is>
          <t>Residual Impact</t>
        </is>
      </c>
      <c r="M12" s="7" t="inlineStr">
        <is>
          <t>Residual Likelihood</t>
        </is>
      </c>
      <c r="N12" s="7" t="inlineStr">
        <is>
          <t>Residual Risk</t>
        </is>
      </c>
      <c r="O12" s="7" t="inlineStr">
        <is>
          <t>Treatment</t>
        </is>
      </c>
      <c r="P12" s="7" t="inlineStr">
        <is>
          <t>Owner</t>
        </is>
      </c>
      <c r="Q12" s="7" t="inlineStr">
        <is>
          <t>Status</t>
        </is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25">
        <f>G13*H13</f>
        <v/>
      </c>
      <c r="J13" s="4" t="n"/>
      <c r="K13" s="4" t="n"/>
      <c r="L13" s="4" t="n"/>
      <c r="M13" s="4" t="n"/>
      <c r="N13" s="25">
        <f>L13*M13</f>
        <v/>
      </c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25">
        <f>G14*H14</f>
        <v/>
      </c>
      <c r="J14" s="4" t="n"/>
      <c r="K14" s="4" t="n"/>
      <c r="L14" s="4" t="n"/>
      <c r="M14" s="4" t="n"/>
      <c r="N14" s="25">
        <f>L14*M14</f>
        <v/>
      </c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25">
        <f>G15*H15</f>
        <v/>
      </c>
      <c r="J15" s="4" t="n"/>
      <c r="K15" s="4" t="n"/>
      <c r="L15" s="4" t="n"/>
      <c r="M15" s="4" t="n"/>
      <c r="N15" s="25">
        <f>L15*M15</f>
        <v/>
      </c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25">
        <f>G16*H16</f>
        <v/>
      </c>
      <c r="J16" s="4" t="n"/>
      <c r="K16" s="4" t="n"/>
      <c r="L16" s="4" t="n"/>
      <c r="M16" s="4" t="n"/>
      <c r="N16" s="25">
        <f>L16*M16</f>
        <v/>
      </c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25">
        <f>G17*H17</f>
        <v/>
      </c>
      <c r="J17" s="4" t="n"/>
      <c r="K17" s="4" t="n"/>
      <c r="L17" s="4" t="n"/>
      <c r="M17" s="4" t="n"/>
      <c r="N17" s="25">
        <f>L17*M17</f>
        <v/>
      </c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25">
        <f>G18*H18</f>
        <v/>
      </c>
      <c r="J18" s="4" t="n"/>
      <c r="K18" s="4" t="n"/>
      <c r="L18" s="4" t="n"/>
      <c r="M18" s="4" t="n"/>
      <c r="N18" s="25">
        <f>L18*M18</f>
        <v/>
      </c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25">
        <f>G19*H19</f>
        <v/>
      </c>
      <c r="J19" s="4" t="n"/>
      <c r="K19" s="4" t="n"/>
      <c r="L19" s="4" t="n"/>
      <c r="M19" s="4" t="n"/>
      <c r="N19" s="25">
        <f>L19*M19</f>
        <v/>
      </c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25">
        <f>G20*H20</f>
        <v/>
      </c>
      <c r="J20" s="4" t="n"/>
      <c r="K20" s="4" t="n"/>
      <c r="L20" s="4" t="n"/>
      <c r="M20" s="4" t="n"/>
      <c r="N20" s="25">
        <f>L20*M20</f>
        <v/>
      </c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25">
        <f>G21*H21</f>
        <v/>
      </c>
      <c r="J21" s="4" t="n"/>
      <c r="K21" s="4" t="n"/>
      <c r="L21" s="4" t="n"/>
      <c r="M21" s="4" t="n"/>
      <c r="N21" s="25">
        <f>L21*M21</f>
        <v/>
      </c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25">
        <f>G22*H22</f>
        <v/>
      </c>
      <c r="J22" s="4" t="n"/>
      <c r="K22" s="4" t="n"/>
      <c r="L22" s="4" t="n"/>
      <c r="M22" s="4" t="n"/>
      <c r="N22" s="25">
        <f>L22*M22</f>
        <v/>
      </c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25">
        <f>G23*H23</f>
        <v/>
      </c>
      <c r="J23" s="4" t="n"/>
      <c r="K23" s="4" t="n"/>
      <c r="L23" s="4" t="n"/>
      <c r="M23" s="4" t="n"/>
      <c r="N23" s="25">
        <f>L23*M23</f>
        <v/>
      </c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25">
        <f>G24*H24</f>
        <v/>
      </c>
      <c r="J24" s="4" t="n"/>
      <c r="K24" s="4" t="n"/>
      <c r="L24" s="4" t="n"/>
      <c r="M24" s="4" t="n"/>
      <c r="N24" s="25">
        <f>L24*M24</f>
        <v/>
      </c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25">
        <f>G25*H25</f>
        <v/>
      </c>
      <c r="J25" s="4" t="n"/>
      <c r="K25" s="4" t="n"/>
      <c r="L25" s="4" t="n"/>
      <c r="M25" s="4" t="n"/>
      <c r="N25" s="25">
        <f>L25*M25</f>
        <v/>
      </c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25">
        <f>G26*H26</f>
        <v/>
      </c>
      <c r="J26" s="4" t="n"/>
      <c r="K26" s="4" t="n"/>
      <c r="L26" s="4" t="n"/>
      <c r="M26" s="4" t="n"/>
      <c r="N26" s="25">
        <f>L26*M26</f>
        <v/>
      </c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25">
        <f>G27*H27</f>
        <v/>
      </c>
      <c r="J27" s="4" t="n"/>
      <c r="K27" s="4" t="n"/>
      <c r="L27" s="4" t="n"/>
      <c r="M27" s="4" t="n"/>
      <c r="N27" s="25">
        <f>L27*M27</f>
        <v/>
      </c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25">
        <f>G28*H28</f>
        <v/>
      </c>
      <c r="J28" s="4" t="n"/>
      <c r="K28" s="4" t="n"/>
      <c r="L28" s="4" t="n"/>
      <c r="M28" s="4" t="n"/>
      <c r="N28" s="25">
        <f>L28*M28</f>
        <v/>
      </c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25">
        <f>G29*H29</f>
        <v/>
      </c>
      <c r="J29" s="4" t="n"/>
      <c r="K29" s="4" t="n"/>
      <c r="L29" s="4" t="n"/>
      <c r="M29" s="4" t="n"/>
      <c r="N29" s="25">
        <f>L29*M29</f>
        <v/>
      </c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25">
        <f>G30*H30</f>
        <v/>
      </c>
      <c r="J30" s="4" t="n"/>
      <c r="K30" s="4" t="n"/>
      <c r="L30" s="4" t="n"/>
      <c r="M30" s="4" t="n"/>
      <c r="N30" s="25">
        <f>L30*M30</f>
        <v/>
      </c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25">
        <f>G31*H31</f>
        <v/>
      </c>
      <c r="J31" s="4" t="n"/>
      <c r="K31" s="4" t="n"/>
      <c r="L31" s="4" t="n"/>
      <c r="M31" s="4" t="n"/>
      <c r="N31" s="25">
        <f>L31*M31</f>
        <v/>
      </c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25">
        <f>G32*H32</f>
        <v/>
      </c>
      <c r="J32" s="4" t="n"/>
      <c r="K32" s="4" t="n"/>
      <c r="L32" s="4" t="n"/>
      <c r="M32" s="4" t="n"/>
      <c r="N32" s="25">
        <f>L32*M32</f>
        <v/>
      </c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25">
        <f>G33*H33</f>
        <v/>
      </c>
      <c r="J33" s="4" t="n"/>
      <c r="K33" s="4" t="n"/>
      <c r="L33" s="4" t="n"/>
      <c r="M33" s="4" t="n"/>
      <c r="N33" s="25">
        <f>L33*M33</f>
        <v/>
      </c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25">
        <f>G34*H34</f>
        <v/>
      </c>
      <c r="J34" s="4" t="n"/>
      <c r="K34" s="4" t="n"/>
      <c r="L34" s="4" t="n"/>
      <c r="M34" s="4" t="n"/>
      <c r="N34" s="25">
        <f>L34*M34</f>
        <v/>
      </c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25">
        <f>G35*H35</f>
        <v/>
      </c>
      <c r="J35" s="4" t="n"/>
      <c r="K35" s="4" t="n"/>
      <c r="L35" s="4" t="n"/>
      <c r="M35" s="4" t="n"/>
      <c r="N35" s="25">
        <f>L35*M35</f>
        <v/>
      </c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25">
        <f>G36*H36</f>
        <v/>
      </c>
      <c r="J36" s="4" t="n"/>
      <c r="K36" s="4" t="n"/>
      <c r="L36" s="4" t="n"/>
      <c r="M36" s="4" t="n"/>
      <c r="N36" s="25">
        <f>L36*M36</f>
        <v/>
      </c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25">
        <f>G37*H37</f>
        <v/>
      </c>
      <c r="J37" s="4" t="n"/>
      <c r="K37" s="4" t="n"/>
      <c r="L37" s="4" t="n"/>
      <c r="M37" s="4" t="n"/>
      <c r="N37" s="25">
        <f>L37*M37</f>
        <v/>
      </c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25">
        <f>G38*H38</f>
        <v/>
      </c>
      <c r="J38" s="4" t="n"/>
      <c r="K38" s="4" t="n"/>
      <c r="L38" s="4" t="n"/>
      <c r="M38" s="4" t="n"/>
      <c r="N38" s="25">
        <f>L38*M38</f>
        <v/>
      </c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25">
        <f>G39*H39</f>
        <v/>
      </c>
      <c r="J39" s="4" t="n"/>
      <c r="K39" s="4" t="n"/>
      <c r="L39" s="4" t="n"/>
      <c r="M39" s="4" t="n"/>
      <c r="N39" s="25">
        <f>L39*M39</f>
        <v/>
      </c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25">
        <f>G40*H40</f>
        <v/>
      </c>
      <c r="J40" s="4" t="n"/>
      <c r="K40" s="4" t="n"/>
      <c r="L40" s="4" t="n"/>
      <c r="M40" s="4" t="n"/>
      <c r="N40" s="25">
        <f>L40*M40</f>
        <v/>
      </c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25">
        <f>G41*H41</f>
        <v/>
      </c>
      <c r="J41" s="4" t="n"/>
      <c r="K41" s="4" t="n"/>
      <c r="L41" s="4" t="n"/>
      <c r="M41" s="4" t="n"/>
      <c r="N41" s="25">
        <f>L41*M41</f>
        <v/>
      </c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25">
        <f>G42*H42</f>
        <v/>
      </c>
      <c r="J42" s="4" t="n"/>
      <c r="K42" s="4" t="n"/>
      <c r="L42" s="4" t="n"/>
      <c r="M42" s="4" t="n"/>
      <c r="N42" s="25">
        <f>L42*M42</f>
        <v/>
      </c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25">
        <f>G43*H43</f>
        <v/>
      </c>
      <c r="J43" s="4" t="n"/>
      <c r="K43" s="4" t="n"/>
      <c r="L43" s="4" t="n"/>
      <c r="M43" s="4" t="n"/>
      <c r="N43" s="25">
        <f>L43*M43</f>
        <v/>
      </c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25">
        <f>G44*H44</f>
        <v/>
      </c>
      <c r="J44" s="4" t="n"/>
      <c r="K44" s="4" t="n"/>
      <c r="L44" s="4" t="n"/>
      <c r="M44" s="4" t="n"/>
      <c r="N44" s="25">
        <f>L44*M44</f>
        <v/>
      </c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25">
        <f>G45*H45</f>
        <v/>
      </c>
      <c r="J45" s="4" t="n"/>
      <c r="K45" s="4" t="n"/>
      <c r="L45" s="4" t="n"/>
      <c r="M45" s="4" t="n"/>
      <c r="N45" s="25">
        <f>L45*M45</f>
        <v/>
      </c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25">
        <f>G46*H46</f>
        <v/>
      </c>
      <c r="J46" s="4" t="n"/>
      <c r="K46" s="4" t="n"/>
      <c r="L46" s="4" t="n"/>
      <c r="M46" s="4" t="n"/>
      <c r="N46" s="25">
        <f>L46*M46</f>
        <v/>
      </c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25">
        <f>G47*H47</f>
        <v/>
      </c>
      <c r="J47" s="4" t="n"/>
      <c r="K47" s="4" t="n"/>
      <c r="L47" s="4" t="n"/>
      <c r="M47" s="4" t="n"/>
      <c r="N47" s="25">
        <f>L47*M47</f>
        <v/>
      </c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25">
        <f>G48*H48</f>
        <v/>
      </c>
      <c r="J48" s="4" t="n"/>
      <c r="K48" s="4" t="n"/>
      <c r="L48" s="4" t="n"/>
      <c r="M48" s="4" t="n"/>
      <c r="N48" s="25">
        <f>L48*M48</f>
        <v/>
      </c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25">
        <f>G49*H49</f>
        <v/>
      </c>
      <c r="J49" s="4" t="n"/>
      <c r="K49" s="4" t="n"/>
      <c r="L49" s="4" t="n"/>
      <c r="M49" s="4" t="n"/>
      <c r="N49" s="25">
        <f>L49*M49</f>
        <v/>
      </c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25">
        <f>G50*H50</f>
        <v/>
      </c>
      <c r="J50" s="4" t="n"/>
      <c r="K50" s="4" t="n"/>
      <c r="L50" s="4" t="n"/>
      <c r="M50" s="4" t="n"/>
      <c r="N50" s="25">
        <f>L50*M50</f>
        <v/>
      </c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25">
        <f>G51*H51</f>
        <v/>
      </c>
      <c r="J51" s="4" t="n"/>
      <c r="K51" s="4" t="n"/>
      <c r="L51" s="4" t="n"/>
      <c r="M51" s="4" t="n"/>
      <c r="N51" s="25">
        <f>L51*M51</f>
        <v/>
      </c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25">
        <f>G52*H52</f>
        <v/>
      </c>
      <c r="J52" s="4" t="n"/>
      <c r="K52" s="4" t="n"/>
      <c r="L52" s="4" t="n"/>
      <c r="M52" s="4" t="n"/>
      <c r="N52" s="25">
        <f>L52*M52</f>
        <v/>
      </c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25">
        <f>G53*H53</f>
        <v/>
      </c>
      <c r="J53" s="4" t="n"/>
      <c r="K53" s="4" t="n"/>
      <c r="L53" s="4" t="n"/>
      <c r="M53" s="4" t="n"/>
      <c r="N53" s="25">
        <f>L53*M53</f>
        <v/>
      </c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25">
        <f>G54*H54</f>
        <v/>
      </c>
      <c r="J54" s="4" t="n"/>
      <c r="K54" s="4" t="n"/>
      <c r="L54" s="4" t="n"/>
      <c r="M54" s="4" t="n"/>
      <c r="N54" s="25">
        <f>L54*M54</f>
        <v/>
      </c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25">
        <f>G55*H55</f>
        <v/>
      </c>
      <c r="J55" s="4" t="n"/>
      <c r="K55" s="4" t="n"/>
      <c r="L55" s="4" t="n"/>
      <c r="M55" s="4" t="n"/>
      <c r="N55" s="25">
        <f>L55*M55</f>
        <v/>
      </c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25">
        <f>G56*H56</f>
        <v/>
      </c>
      <c r="J56" s="4" t="n"/>
      <c r="K56" s="4" t="n"/>
      <c r="L56" s="4" t="n"/>
      <c r="M56" s="4" t="n"/>
      <c r="N56" s="25">
        <f>L56*M56</f>
        <v/>
      </c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25">
        <f>G57*H57</f>
        <v/>
      </c>
      <c r="J57" s="4" t="n"/>
      <c r="K57" s="4" t="n"/>
      <c r="L57" s="4" t="n"/>
      <c r="M57" s="4" t="n"/>
      <c r="N57" s="25">
        <f>L57*M57</f>
        <v/>
      </c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25">
        <f>G58*H58</f>
        <v/>
      </c>
      <c r="J58" s="4" t="n"/>
      <c r="K58" s="4" t="n"/>
      <c r="L58" s="4" t="n"/>
      <c r="M58" s="4" t="n"/>
      <c r="N58" s="25">
        <f>L58*M58</f>
        <v/>
      </c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25">
        <f>G59*H59</f>
        <v/>
      </c>
      <c r="J59" s="4" t="n"/>
      <c r="K59" s="4" t="n"/>
      <c r="L59" s="4" t="n"/>
      <c r="M59" s="4" t="n"/>
      <c r="N59" s="25">
        <f>L59*M59</f>
        <v/>
      </c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25">
        <f>G60*H60</f>
        <v/>
      </c>
      <c r="J60" s="4" t="n"/>
      <c r="K60" s="4" t="n"/>
      <c r="L60" s="4" t="n"/>
      <c r="M60" s="4" t="n"/>
      <c r="N60" s="25">
        <f>L60*M60</f>
        <v/>
      </c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25">
        <f>G61*H61</f>
        <v/>
      </c>
      <c r="J61" s="4" t="n"/>
      <c r="K61" s="4" t="n"/>
      <c r="L61" s="4" t="n"/>
      <c r="M61" s="4" t="n"/>
      <c r="N61" s="25">
        <f>L61*M61</f>
        <v/>
      </c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25">
        <f>G62*H62</f>
        <v/>
      </c>
      <c r="J62" s="4" t="n"/>
      <c r="K62" s="4" t="n"/>
      <c r="L62" s="4" t="n"/>
      <c r="M62" s="4" t="n"/>
      <c r="N62" s="25">
        <f>L62*M62</f>
        <v/>
      </c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25">
        <f>G63*H63</f>
        <v/>
      </c>
      <c r="J63" s="4" t="n"/>
      <c r="K63" s="4" t="n"/>
      <c r="L63" s="4" t="n"/>
      <c r="M63" s="4" t="n"/>
      <c r="N63" s="25">
        <f>L63*M63</f>
        <v/>
      </c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25">
        <f>G64*H64</f>
        <v/>
      </c>
      <c r="J64" s="4" t="n"/>
      <c r="K64" s="4" t="n"/>
      <c r="L64" s="4" t="n"/>
      <c r="M64" s="4" t="n"/>
      <c r="N64" s="25">
        <f>L64*M64</f>
        <v/>
      </c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25">
        <f>G65*H65</f>
        <v/>
      </c>
      <c r="J65" s="4" t="n"/>
      <c r="K65" s="4" t="n"/>
      <c r="L65" s="4" t="n"/>
      <c r="M65" s="4" t="n"/>
      <c r="N65" s="25">
        <f>L65*M65</f>
        <v/>
      </c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25">
        <f>G66*H66</f>
        <v/>
      </c>
      <c r="J66" s="4" t="n"/>
      <c r="K66" s="4" t="n"/>
      <c r="L66" s="4" t="n"/>
      <c r="M66" s="4" t="n"/>
      <c r="N66" s="25">
        <f>L66*M66</f>
        <v/>
      </c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25">
        <f>G67*H67</f>
        <v/>
      </c>
      <c r="J67" s="4" t="n"/>
      <c r="K67" s="4" t="n"/>
      <c r="L67" s="4" t="n"/>
      <c r="M67" s="4" t="n"/>
      <c r="N67" s="25">
        <f>L67*M67</f>
        <v/>
      </c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25">
        <f>G68*H68</f>
        <v/>
      </c>
      <c r="J68" s="4" t="n"/>
      <c r="K68" s="4" t="n"/>
      <c r="L68" s="4" t="n"/>
      <c r="M68" s="4" t="n"/>
      <c r="N68" s="25">
        <f>L68*M68</f>
        <v/>
      </c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25">
        <f>G69*H69</f>
        <v/>
      </c>
      <c r="J69" s="4" t="n"/>
      <c r="K69" s="4" t="n"/>
      <c r="L69" s="4" t="n"/>
      <c r="M69" s="4" t="n"/>
      <c r="N69" s="25">
        <f>L69*M69</f>
        <v/>
      </c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25">
        <f>G70*H70</f>
        <v/>
      </c>
      <c r="J70" s="4" t="n"/>
      <c r="K70" s="4" t="n"/>
      <c r="L70" s="4" t="n"/>
      <c r="M70" s="4" t="n"/>
      <c r="N70" s="25">
        <f>L70*M70</f>
        <v/>
      </c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25">
        <f>G71*H71</f>
        <v/>
      </c>
      <c r="J71" s="4" t="n"/>
      <c r="K71" s="4" t="n"/>
      <c r="L71" s="4" t="n"/>
      <c r="M71" s="4" t="n"/>
      <c r="N71" s="25">
        <f>L71*M71</f>
        <v/>
      </c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25">
        <f>G72*H72</f>
        <v/>
      </c>
      <c r="J72" s="4" t="n"/>
      <c r="K72" s="4" t="n"/>
      <c r="L72" s="4" t="n"/>
      <c r="M72" s="4" t="n"/>
      <c r="N72" s="25">
        <f>L72*M72</f>
        <v/>
      </c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25">
        <f>G73*H73</f>
        <v/>
      </c>
      <c r="J73" s="4" t="n"/>
      <c r="K73" s="4" t="n"/>
      <c r="L73" s="4" t="n"/>
      <c r="M73" s="4" t="n"/>
      <c r="N73" s="25">
        <f>L73*M73</f>
        <v/>
      </c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25">
        <f>G74*H74</f>
        <v/>
      </c>
      <c r="J74" s="4" t="n"/>
      <c r="K74" s="4" t="n"/>
      <c r="L74" s="4" t="n"/>
      <c r="M74" s="4" t="n"/>
      <c r="N74" s="25">
        <f>L74*M74</f>
        <v/>
      </c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25">
        <f>G75*H75</f>
        <v/>
      </c>
      <c r="J75" s="4" t="n"/>
      <c r="K75" s="4" t="n"/>
      <c r="L75" s="4" t="n"/>
      <c r="M75" s="4" t="n"/>
      <c r="N75" s="25">
        <f>L75*M75</f>
        <v/>
      </c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25">
        <f>G76*H76</f>
        <v/>
      </c>
      <c r="J76" s="4" t="n"/>
      <c r="K76" s="4" t="n"/>
      <c r="L76" s="4" t="n"/>
      <c r="M76" s="4" t="n"/>
      <c r="N76" s="25">
        <f>L76*M76</f>
        <v/>
      </c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25">
        <f>G77*H77</f>
        <v/>
      </c>
      <c r="J77" s="4" t="n"/>
      <c r="K77" s="4" t="n"/>
      <c r="L77" s="4" t="n"/>
      <c r="M77" s="4" t="n"/>
      <c r="N77" s="25">
        <f>L77*M77</f>
        <v/>
      </c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25">
        <f>G78*H78</f>
        <v/>
      </c>
      <c r="J78" s="4" t="n"/>
      <c r="K78" s="4" t="n"/>
      <c r="L78" s="4" t="n"/>
      <c r="M78" s="4" t="n"/>
      <c r="N78" s="25">
        <f>L78*M78</f>
        <v/>
      </c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25">
        <f>G79*H79</f>
        <v/>
      </c>
      <c r="J79" s="4" t="n"/>
      <c r="K79" s="4" t="n"/>
      <c r="L79" s="4" t="n"/>
      <c r="M79" s="4" t="n"/>
      <c r="N79" s="25">
        <f>L79*M79</f>
        <v/>
      </c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25">
        <f>G80*H80</f>
        <v/>
      </c>
      <c r="J80" s="4" t="n"/>
      <c r="K80" s="4" t="n"/>
      <c r="L80" s="4" t="n"/>
      <c r="M80" s="4" t="n"/>
      <c r="N80" s="25">
        <f>L80*M80</f>
        <v/>
      </c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25">
        <f>G81*H81</f>
        <v/>
      </c>
      <c r="J81" s="4" t="n"/>
      <c r="K81" s="4" t="n"/>
      <c r="L81" s="4" t="n"/>
      <c r="M81" s="4" t="n"/>
      <c r="N81" s="25">
        <f>L81*M81</f>
        <v/>
      </c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25">
        <f>G82*H82</f>
        <v/>
      </c>
      <c r="J82" s="4" t="n"/>
      <c r="K82" s="4" t="n"/>
      <c r="L82" s="4" t="n"/>
      <c r="M82" s="4" t="n"/>
      <c r="N82" s="25">
        <f>L82*M82</f>
        <v/>
      </c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25">
        <f>G83*H83</f>
        <v/>
      </c>
      <c r="J83" s="4" t="n"/>
      <c r="K83" s="4" t="n"/>
      <c r="L83" s="4" t="n"/>
      <c r="M83" s="4" t="n"/>
      <c r="N83" s="25">
        <f>L83*M83</f>
        <v/>
      </c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25">
        <f>G84*H84</f>
        <v/>
      </c>
      <c r="J84" s="4" t="n"/>
      <c r="K84" s="4" t="n"/>
      <c r="L84" s="4" t="n"/>
      <c r="M84" s="4" t="n"/>
      <c r="N84" s="25">
        <f>L84*M84</f>
        <v/>
      </c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25">
        <f>G85*H85</f>
        <v/>
      </c>
      <c r="J85" s="4" t="n"/>
      <c r="K85" s="4" t="n"/>
      <c r="L85" s="4" t="n"/>
      <c r="M85" s="4" t="n"/>
      <c r="N85" s="25">
        <f>L85*M85</f>
        <v/>
      </c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25">
        <f>G86*H86</f>
        <v/>
      </c>
      <c r="J86" s="4" t="n"/>
      <c r="K86" s="4" t="n"/>
      <c r="L86" s="4" t="n"/>
      <c r="M86" s="4" t="n"/>
      <c r="N86" s="25">
        <f>L86*M86</f>
        <v/>
      </c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25">
        <f>G87*H87</f>
        <v/>
      </c>
      <c r="J87" s="4" t="n"/>
      <c r="K87" s="4" t="n"/>
      <c r="L87" s="4" t="n"/>
      <c r="M87" s="4" t="n"/>
      <c r="N87" s="25">
        <f>L87*M87</f>
        <v/>
      </c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25">
        <f>G88*H88</f>
        <v/>
      </c>
      <c r="J88" s="4" t="n"/>
      <c r="K88" s="4" t="n"/>
      <c r="L88" s="4" t="n"/>
      <c r="M88" s="4" t="n"/>
      <c r="N88" s="25">
        <f>L88*M88</f>
        <v/>
      </c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25">
        <f>G89*H89</f>
        <v/>
      </c>
      <c r="J89" s="4" t="n"/>
      <c r="K89" s="4" t="n"/>
      <c r="L89" s="4" t="n"/>
      <c r="M89" s="4" t="n"/>
      <c r="N89" s="25">
        <f>L89*M89</f>
        <v/>
      </c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25">
        <f>G90*H90</f>
        <v/>
      </c>
      <c r="J90" s="4" t="n"/>
      <c r="K90" s="4" t="n"/>
      <c r="L90" s="4" t="n"/>
      <c r="M90" s="4" t="n"/>
      <c r="N90" s="25">
        <f>L90*M90</f>
        <v/>
      </c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25">
        <f>G91*H91</f>
        <v/>
      </c>
      <c r="J91" s="4" t="n"/>
      <c r="K91" s="4" t="n"/>
      <c r="L91" s="4" t="n"/>
      <c r="M91" s="4" t="n"/>
      <c r="N91" s="25">
        <f>L91*M91</f>
        <v/>
      </c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25">
        <f>G92*H92</f>
        <v/>
      </c>
      <c r="J92" s="4" t="n"/>
      <c r="K92" s="4" t="n"/>
      <c r="L92" s="4" t="n"/>
      <c r="M92" s="4" t="n"/>
      <c r="N92" s="25">
        <f>L92*M92</f>
        <v/>
      </c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25">
        <f>G93*H93</f>
        <v/>
      </c>
      <c r="J93" s="4" t="n"/>
      <c r="K93" s="4" t="n"/>
      <c r="L93" s="4" t="n"/>
      <c r="M93" s="4" t="n"/>
      <c r="N93" s="25">
        <f>L93*M93</f>
        <v/>
      </c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25">
        <f>G94*H94</f>
        <v/>
      </c>
      <c r="J94" s="4" t="n"/>
      <c r="K94" s="4" t="n"/>
      <c r="L94" s="4" t="n"/>
      <c r="M94" s="4" t="n"/>
      <c r="N94" s="25">
        <f>L94*M94</f>
        <v/>
      </c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25">
        <f>G95*H95</f>
        <v/>
      </c>
      <c r="J95" s="4" t="n"/>
      <c r="K95" s="4" t="n"/>
      <c r="L95" s="4" t="n"/>
      <c r="M95" s="4" t="n"/>
      <c r="N95" s="25">
        <f>L95*M95</f>
        <v/>
      </c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25">
        <f>G96*H96</f>
        <v/>
      </c>
      <c r="J96" s="4" t="n"/>
      <c r="K96" s="4" t="n"/>
      <c r="L96" s="4" t="n"/>
      <c r="M96" s="4" t="n"/>
      <c r="N96" s="25">
        <f>L96*M96</f>
        <v/>
      </c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25">
        <f>G97*H97</f>
        <v/>
      </c>
      <c r="J97" s="4" t="n"/>
      <c r="K97" s="4" t="n"/>
      <c r="L97" s="4" t="n"/>
      <c r="M97" s="4" t="n"/>
      <c r="N97" s="25">
        <f>L97*M97</f>
        <v/>
      </c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25">
        <f>G98*H98</f>
        <v/>
      </c>
      <c r="J98" s="4" t="n"/>
      <c r="K98" s="4" t="n"/>
      <c r="L98" s="4" t="n"/>
      <c r="M98" s="4" t="n"/>
      <c r="N98" s="25">
        <f>L98*M98</f>
        <v/>
      </c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25">
        <f>G99*H99</f>
        <v/>
      </c>
      <c r="J99" s="4" t="n"/>
      <c r="K99" s="4" t="n"/>
      <c r="L99" s="4" t="n"/>
      <c r="M99" s="4" t="n"/>
      <c r="N99" s="25">
        <f>L99*M99</f>
        <v/>
      </c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25">
        <f>G100*H100</f>
        <v/>
      </c>
      <c r="J100" s="4" t="n"/>
      <c r="K100" s="4" t="n"/>
      <c r="L100" s="4" t="n"/>
      <c r="M100" s="4" t="n"/>
      <c r="N100" s="25">
        <f>L100*M100</f>
        <v/>
      </c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25">
        <f>G101*H101</f>
        <v/>
      </c>
      <c r="J101" s="4" t="n"/>
      <c r="K101" s="4" t="n"/>
      <c r="L101" s="4" t="n"/>
      <c r="M101" s="4" t="n"/>
      <c r="N101" s="25">
        <f>L101*M101</f>
        <v/>
      </c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25">
        <f>G102*H102</f>
        <v/>
      </c>
      <c r="J102" s="4" t="n"/>
      <c r="K102" s="4" t="n"/>
      <c r="L102" s="4" t="n"/>
      <c r="M102" s="4" t="n"/>
      <c r="N102" s="25">
        <f>L102*M102</f>
        <v/>
      </c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25">
        <f>G103*H103</f>
        <v/>
      </c>
      <c r="J103" s="4" t="n"/>
      <c r="K103" s="4" t="n"/>
      <c r="L103" s="4" t="n"/>
      <c r="M103" s="4" t="n"/>
      <c r="N103" s="25">
        <f>L103*M103</f>
        <v/>
      </c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25">
        <f>G104*H104</f>
        <v/>
      </c>
      <c r="J104" s="4" t="n"/>
      <c r="K104" s="4" t="n"/>
      <c r="L104" s="4" t="n"/>
      <c r="M104" s="4" t="n"/>
      <c r="N104" s="25">
        <f>L104*M104</f>
        <v/>
      </c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25">
        <f>G105*H105</f>
        <v/>
      </c>
      <c r="J105" s="4" t="n"/>
      <c r="K105" s="4" t="n"/>
      <c r="L105" s="4" t="n"/>
      <c r="M105" s="4" t="n"/>
      <c r="N105" s="25">
        <f>L105*M105</f>
        <v/>
      </c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25">
        <f>G106*H106</f>
        <v/>
      </c>
      <c r="J106" s="4" t="n"/>
      <c r="K106" s="4" t="n"/>
      <c r="L106" s="4" t="n"/>
      <c r="M106" s="4" t="n"/>
      <c r="N106" s="25">
        <f>L106*M106</f>
        <v/>
      </c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25">
        <f>G107*H107</f>
        <v/>
      </c>
      <c r="J107" s="4" t="n"/>
      <c r="K107" s="4" t="n"/>
      <c r="L107" s="4" t="n"/>
      <c r="M107" s="4" t="n"/>
      <c r="N107" s="25">
        <f>L107*M107</f>
        <v/>
      </c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25">
        <f>G108*H108</f>
        <v/>
      </c>
      <c r="J108" s="4" t="n"/>
      <c r="K108" s="4" t="n"/>
      <c r="L108" s="4" t="n"/>
      <c r="M108" s="4" t="n"/>
      <c r="N108" s="25">
        <f>L108*M108</f>
        <v/>
      </c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25">
        <f>G109*H109</f>
        <v/>
      </c>
      <c r="J109" s="4" t="n"/>
      <c r="K109" s="4" t="n"/>
      <c r="L109" s="4" t="n"/>
      <c r="M109" s="4" t="n"/>
      <c r="N109" s="25">
        <f>L109*M109</f>
        <v/>
      </c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25">
        <f>G110*H110</f>
        <v/>
      </c>
      <c r="J110" s="4" t="n"/>
      <c r="K110" s="4" t="n"/>
      <c r="L110" s="4" t="n"/>
      <c r="M110" s="4" t="n"/>
      <c r="N110" s="25">
        <f>L110*M110</f>
        <v/>
      </c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25">
        <f>G111*H111</f>
        <v/>
      </c>
      <c r="J111" s="4" t="n"/>
      <c r="K111" s="4" t="n"/>
      <c r="L111" s="4" t="n"/>
      <c r="M111" s="4" t="n"/>
      <c r="N111" s="25">
        <f>L111*M111</f>
        <v/>
      </c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25">
        <f>G112*H112</f>
        <v/>
      </c>
      <c r="J112" s="4" t="n"/>
      <c r="K112" s="4" t="n"/>
      <c r="L112" s="4" t="n"/>
      <c r="M112" s="4" t="n"/>
      <c r="N112" s="25">
        <f>L112*M112</f>
        <v/>
      </c>
      <c r="O112" s="4" t="n"/>
      <c r="P112" s="4" t="n"/>
      <c r="Q112" s="4" t="n"/>
    </row>
  </sheetData>
  <mergeCells count="3">
    <mergeCell ref="A11:Q11"/>
    <mergeCell ref="A1:Q1"/>
    <mergeCell ref="A3:E3"/>
  </mergeCells>
  <dataValidations count="4">
    <dataValidation sqref="G13:G112 L13:L112" showDropDown="0" showInputMessage="0" showErrorMessage="0" allowBlank="1" type="list">
      <formula1>"1,2,3,4"</formula1>
    </dataValidation>
    <dataValidation sqref="H13:H112 M13:M112" showDropDown="0" showInputMessage="0" showErrorMessage="0" allowBlank="1" type="list">
      <formula1>"1,2,3,4"</formula1>
    </dataValidation>
    <dataValidation sqref="O13:O112" showDropDown="0" showInputMessage="0" showErrorMessage="0" allowBlank="1" type="list">
      <formula1>"Accept,Mitigate,Transfer,Avoid"</formula1>
    </dataValidation>
    <dataValidation sqref="Q13:Q112" showDropDown="0" showInputMessage="0" showErrorMessage="0" allowBlank="1" type="list">
      <formula1>"Open,Monitoring,Resolved,Closed"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36" topLeftCell="A37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25" customWidth="1" min="12" max="12"/>
    <col width="30" customWidth="1" min="13" max="13"/>
    <col width="20" customWidth="1" min="14" max="14"/>
    <col width="30" customWidth="1" min="15" max="15"/>
    <col width="15" customWidth="1" min="16" max="16"/>
  </cols>
  <sheetData>
    <row r="1" ht="30" customHeight="1">
      <c r="A1" s="1" t="inlineStr">
        <is>
          <t>REMEDIATION ROADMAP - A.8.32 CHANGE MANAGEMENT</t>
        </is>
      </c>
    </row>
    <row r="2">
      <c r="A2" s="16" t="inlineStr">
        <is>
          <t>Action plan for closing identified gaps and reducing risks</t>
        </is>
      </c>
    </row>
    <row r="4">
      <c r="A4" s="6" t="inlineStr">
        <is>
          <t>REMEDIATION SUMMARY</t>
        </is>
      </c>
    </row>
    <row r="5">
      <c r="A5" s="26" t="inlineStr">
        <is>
          <t>Total Action Items</t>
        </is>
      </c>
      <c r="B5" s="9">
        <f>COUNTA(A37:A236)</f>
        <v/>
      </c>
    </row>
    <row r="6">
      <c r="A6" s="26" t="inlineStr">
        <is>
          <t>Completed</t>
        </is>
      </c>
      <c r="B6" s="9">
        <f>COUNTIF(H37:H236,"Completed")</f>
        <v/>
      </c>
    </row>
    <row r="7">
      <c r="A7" s="26" t="inlineStr">
        <is>
          <t>In Progress</t>
        </is>
      </c>
      <c r="B7" s="27">
        <f>COUNTIF(H37:H236,"In Progress")</f>
        <v/>
      </c>
    </row>
    <row r="8">
      <c r="A8" s="26" t="inlineStr">
        <is>
          <t>Not Started</t>
        </is>
      </c>
      <c r="B8" s="9">
        <f>COUNTIF(H37:H236,"Not Started")</f>
        <v/>
      </c>
    </row>
    <row r="9">
      <c r="A9" s="26" t="inlineStr">
        <is>
          <t>Overdue</t>
        </is>
      </c>
      <c r="B9" s="9">
        <f>COUNTIFS(H37:H236,"&lt;&gt;Completed",E37:E236,"&lt;"&amp;TODAY())</f>
        <v/>
      </c>
    </row>
    <row r="10">
      <c r="A10" s="26" t="inlineStr">
        <is>
          <t>Overall Progress</t>
        </is>
      </c>
      <c r="B10" s="27">
        <f>COUNTIF(H37:H236,"Completed")/COUNTA(A37:A236)</f>
        <v/>
      </c>
    </row>
    <row r="13">
      <c r="A13" s="6" t="inlineStr">
        <is>
          <t>IMPLEMENTATION PHASES</t>
        </is>
      </c>
    </row>
    <row r="14">
      <c r="A14" s="28" t="inlineStr">
        <is>
          <t>Phase 1: Critical (0-30 days)</t>
        </is>
      </c>
      <c r="B14" s="8" t="inlineStr">
        <is>
          <t>Immediate action required</t>
        </is>
      </c>
      <c r="C14" s="29" t="inlineStr">
        <is>
          <t>Critical gaps, security risks</t>
        </is>
      </c>
    </row>
    <row r="15">
      <c r="A15" s="28" t="inlineStr">
        <is>
          <t>Phase 2: High (30-90 days)</t>
        </is>
      </c>
      <c r="B15" s="8" t="inlineStr">
        <is>
          <t>Quick wins, high impact</t>
        </is>
      </c>
      <c r="C15" s="29" t="inlineStr">
        <is>
          <t>Infrastructure, coverage gaps</t>
        </is>
      </c>
    </row>
    <row r="16">
      <c r="A16" s="28" t="inlineStr">
        <is>
          <t>Phase 3: Medium (90-180 days)</t>
        </is>
      </c>
      <c r="B16" s="8" t="inlineStr">
        <is>
          <t>Process improvements</t>
        </is>
      </c>
      <c r="C16" s="29" t="inlineStr">
        <is>
          <t>Policy, monitoring enhancements</t>
        </is>
      </c>
    </row>
    <row r="17">
      <c r="A17" s="28" t="inlineStr">
        <is>
          <t>Phase 4: Low (180-365 days)</t>
        </is>
      </c>
      <c r="B17" s="8" t="inlineStr">
        <is>
          <t>Optimization</t>
        </is>
      </c>
      <c r="C17" s="29" t="inlineStr">
        <is>
          <t>Fine-tuning, documentation</t>
        </is>
      </c>
    </row>
    <row r="20">
      <c r="A20" s="6" t="inlineStr">
        <is>
          <t>ACTION ITEMS</t>
        </is>
      </c>
    </row>
    <row r="21">
      <c r="A21" s="7" t="inlineStr">
        <is>
          <t>Action ID</t>
        </is>
      </c>
      <c r="B21" s="7" t="inlineStr">
        <is>
          <t>Phase</t>
        </is>
      </c>
      <c r="C21" s="7" t="inlineStr">
        <is>
          <t>Related Gap/Risk</t>
        </is>
      </c>
      <c r="D21" s="7" t="inlineStr">
        <is>
          <t>Action Description</t>
        </is>
      </c>
      <c r="E21" s="7" t="inlineStr">
        <is>
          <t>Target Date</t>
        </is>
      </c>
      <c r="F21" s="7" t="inlineStr">
        <is>
          <t>Assigned Owner</t>
        </is>
      </c>
      <c r="G21" s="7" t="inlineStr">
        <is>
          <t>Department</t>
        </is>
      </c>
      <c r="H21" s="7" t="inlineStr">
        <is>
          <t>Status</t>
        </is>
      </c>
      <c r="I21" s="7" t="inlineStr">
        <is>
          <t>Progress %</t>
        </is>
      </c>
      <c r="J21" s="7" t="inlineStr">
        <is>
          <t>Actual Completion</t>
        </is>
      </c>
      <c r="K21" s="7" t="inlineStr">
        <is>
          <t>Budget</t>
        </is>
      </c>
      <c r="L21" s="7" t="inlineStr">
        <is>
          <t>Dependencies</t>
        </is>
      </c>
      <c r="M21" s="7" t="inlineStr">
        <is>
          <t>Success Criteria</t>
        </is>
      </c>
      <c r="N21" s="7" t="inlineStr">
        <is>
          <t>Verification</t>
        </is>
      </c>
      <c r="O21" s="7" t="inlineStr">
        <is>
          <t>Notes</t>
        </is>
      </c>
      <c r="P21" s="7" t="inlineStr">
        <is>
          <t>Last Updated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</sheetData>
  <mergeCells count="9">
    <mergeCell ref="C17:F17"/>
    <mergeCell ref="A13:F13"/>
    <mergeCell ref="A1:P1"/>
    <mergeCell ref="A4:D4"/>
    <mergeCell ref="C16:F16"/>
    <mergeCell ref="C15:F15"/>
    <mergeCell ref="A20:P20"/>
    <mergeCell ref="C14:F14"/>
    <mergeCell ref="A2:P2"/>
  </mergeCells>
  <dataValidations count="2">
    <dataValidation sqref="B37:B236" showDropDown="0" showInputMessage="0" showErrorMessage="0" allowBlank="1" type="list">
      <formula1>"Phase 1,Phase 2,Phase 3,Phase 4"</formula1>
    </dataValidation>
    <dataValidation sqref="H37:H236" showDropDown="0" showInputMessage="0" showErrorMessage="0" allowBlank="1" type="list">
      <formula1>"Not Started,In Progress,Completed,Blocked,Cancelled"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  <col width="15" customWidth="1" min="8" max="8"/>
    <col width="25" customWidth="1" min="9" max="9"/>
    <col width="18" customWidth="1" min="10" max="10"/>
    <col width="20" customWidth="1" min="11" max="11"/>
    <col width="20" customWidth="1" min="12" max="12"/>
    <col width="30" customWidth="1" min="13" max="13"/>
  </cols>
  <sheetData>
    <row r="1" ht="30" customHeight="1">
      <c r="A1" s="1" t="inlineStr">
        <is>
          <t>KPIs &amp; METRICS - A.8.32 CHANGE MANAGEMENT</t>
        </is>
      </c>
    </row>
    <row r="3">
      <c r="A3" s="6" t="inlineStr">
        <is>
          <t>INFRASTRUCTURE METRICS</t>
        </is>
      </c>
    </row>
    <row r="4">
      <c r="A4" s="7" t="inlineStr">
        <is>
          <t>KPI Name</t>
        </is>
      </c>
      <c r="B4" s="7" t="inlineStr">
        <is>
          <t>Unit</t>
        </is>
      </c>
      <c r="C4" s="7" t="inlineStr">
        <is>
          <t>Current Value</t>
        </is>
      </c>
      <c r="D4" s="7" t="inlineStr">
        <is>
          <t>Target</t>
        </is>
      </c>
      <c r="E4" s="7" t="inlineStr">
        <is>
          <t>Status</t>
        </is>
      </c>
      <c r="F4" s="7" t="inlineStr">
        <is>
          <t>Trend</t>
        </is>
      </c>
      <c r="G4" s="7" t="inlineStr">
        <is>
          <t>Last Month</t>
        </is>
      </c>
      <c r="H4" s="7" t="inlineStr">
        <is>
          <t>YTD Average</t>
        </is>
      </c>
      <c r="I4" s="7" t="inlineStr">
        <is>
          <t>Data Source</t>
        </is>
      </c>
      <c r="J4" s="7" t="inlineStr">
        <is>
          <t>Update Frequency</t>
        </is>
      </c>
      <c r="K4" s="7" t="inlineStr">
        <is>
          <t>Owner</t>
        </is>
      </c>
      <c r="L4" s="7" t="inlineStr">
        <is>
          <t>Collection Method</t>
        </is>
      </c>
      <c r="M4" s="7" t="inlineStr">
        <is>
          <t>Notes</t>
        </is>
      </c>
    </row>
    <row r="5">
      <c r="A5" s="8" t="inlineStr">
        <is>
          <t>Total Filtering Solutions</t>
        </is>
      </c>
      <c r="B5" s="8" t="inlineStr">
        <is>
          <t>Count</t>
        </is>
      </c>
      <c r="C5" s="4" t="n"/>
      <c r="D5" s="8" t="inlineStr">
        <is>
          <t>1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8" t="inlineStr">
        <is>
          <t>Deployment Coverage</t>
        </is>
      </c>
      <c r="B6" s="8" t="inlineStr">
        <is>
          <t>%</t>
        </is>
      </c>
      <c r="C6" s="4" t="n"/>
      <c r="D6" s="8" t="inlineStr">
        <is>
          <t>100%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>
      <c r="A7" s="8" t="inlineStr">
        <is>
          <t>Solution Availability</t>
        </is>
      </c>
      <c r="B7" s="8" t="inlineStr">
        <is>
          <t>%</t>
        </is>
      </c>
      <c r="C7" s="4" t="n"/>
      <c r="D7" s="8" t="inlineStr">
        <is>
          <t>99%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8" t="inlineStr">
        <is>
          <t>Performance - Latency</t>
        </is>
      </c>
      <c r="B8" s="8" t="inlineStr">
        <is>
          <t>ms</t>
        </is>
      </c>
      <c r="C8" s="4" t="n"/>
      <c r="D8" s="8" t="inlineStr">
        <is>
          <t>100ms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>
      <c r="A9" s="8" t="inlineStr">
        <is>
          <t>Licensing Compliance</t>
        </is>
      </c>
      <c r="B9" s="8" t="inlineStr">
        <is>
          <t>%</t>
        </is>
      </c>
      <c r="C9" s="4" t="n"/>
      <c r="D9" s="8" t="inlineStr">
        <is>
          <t>100%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1">
      <c r="A11" s="6" t="inlineStr">
        <is>
          <t>COVERAGE METRICS</t>
        </is>
      </c>
    </row>
    <row r="12">
      <c r="A12" s="7" t="inlineStr">
        <is>
          <t>KPI Name</t>
        </is>
      </c>
      <c r="B12" s="7" t="inlineStr">
        <is>
          <t>Unit</t>
        </is>
      </c>
      <c r="C12" s="7" t="inlineStr">
        <is>
          <t>Current Value</t>
        </is>
      </c>
      <c r="D12" s="7" t="inlineStr">
        <is>
          <t>Target</t>
        </is>
      </c>
      <c r="E12" s="7" t="inlineStr">
        <is>
          <t>Status</t>
        </is>
      </c>
      <c r="F12" s="7" t="inlineStr">
        <is>
          <t>Trend</t>
        </is>
      </c>
      <c r="G12" s="7" t="inlineStr">
        <is>
          <t>Last Month</t>
        </is>
      </c>
      <c r="H12" s="7" t="inlineStr">
        <is>
          <t>YTD Average</t>
        </is>
      </c>
      <c r="I12" s="7" t="inlineStr">
        <is>
          <t>Data Source</t>
        </is>
      </c>
      <c r="J12" s="7" t="inlineStr">
        <is>
          <t>Update Frequency</t>
        </is>
      </c>
      <c r="K12" s="7" t="inlineStr">
        <is>
          <t>Owner</t>
        </is>
      </c>
      <c r="L12" s="7" t="inlineStr">
        <is>
          <t>Collection Method</t>
        </is>
      </c>
      <c r="M12" s="7" t="inlineStr">
        <is>
          <t>Notes</t>
        </is>
      </c>
    </row>
    <row r="13">
      <c r="A13" s="8" t="inlineStr">
        <is>
          <t>Network Segments Covered</t>
        </is>
      </c>
      <c r="B13" s="8" t="inlineStr">
        <is>
          <t>%</t>
        </is>
      </c>
      <c r="C13" s="4" t="n"/>
      <c r="D13" s="8" t="inlineStr">
        <is>
          <t>100%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8" t="inlineStr">
        <is>
          <t>Users Protected</t>
        </is>
      </c>
      <c r="B14" s="8" t="inlineStr">
        <is>
          <t>Count</t>
        </is>
      </c>
      <c r="C14" s="4" t="n"/>
      <c r="D14" s="8" t="inlineStr">
        <is>
          <t>All</t>
        </is>
      </c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8" t="inlineStr">
        <is>
          <t>Devices Protected</t>
        </is>
      </c>
      <c r="B15" s="8" t="inlineStr">
        <is>
          <t>Count</t>
        </is>
      </c>
      <c r="C15" s="4" t="n"/>
      <c r="D15" s="8" t="inlineStr">
        <is>
          <t>All</t>
        </is>
      </c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8" t="inlineStr">
        <is>
          <t>Bypass Vulnerabilities</t>
        </is>
      </c>
      <c r="B16" s="8" t="inlineStr">
        <is>
          <t>Count</t>
        </is>
      </c>
      <c r="C16" s="4" t="n"/>
      <c r="D16" s="8" t="inlineStr">
        <is>
          <t>0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8" t="inlineStr">
        <is>
          <t>Coverage Verification Rate</t>
        </is>
      </c>
      <c r="B17" s="8" t="inlineStr">
        <is>
          <t>%</t>
        </is>
      </c>
      <c r="C17" s="4" t="n"/>
      <c r="D17" s="8" t="inlineStr">
        <is>
          <t>100%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9">
      <c r="A19" s="6" t="inlineStr">
        <is>
          <t>POLICY METRICS</t>
        </is>
      </c>
    </row>
    <row r="20">
      <c r="A20" s="7" t="inlineStr">
        <is>
          <t>KPI Name</t>
        </is>
      </c>
      <c r="B20" s="7" t="inlineStr">
        <is>
          <t>Unit</t>
        </is>
      </c>
      <c r="C20" s="7" t="inlineStr">
        <is>
          <t>Current Value</t>
        </is>
      </c>
      <c r="D20" s="7" t="inlineStr">
        <is>
          <t>Target</t>
        </is>
      </c>
      <c r="E20" s="7" t="inlineStr">
        <is>
          <t>Status</t>
        </is>
      </c>
      <c r="F20" s="7" t="inlineStr">
        <is>
          <t>Trend</t>
        </is>
      </c>
      <c r="G20" s="7" t="inlineStr">
        <is>
          <t>Last Month</t>
        </is>
      </c>
      <c r="H20" s="7" t="inlineStr">
        <is>
          <t>YTD Average</t>
        </is>
      </c>
      <c r="I20" s="7" t="inlineStr">
        <is>
          <t>Data Source</t>
        </is>
      </c>
      <c r="J20" s="7" t="inlineStr">
        <is>
          <t>Update Frequency</t>
        </is>
      </c>
      <c r="K20" s="7" t="inlineStr">
        <is>
          <t>Owner</t>
        </is>
      </c>
      <c r="L20" s="7" t="inlineStr">
        <is>
          <t>Collection Method</t>
        </is>
      </c>
      <c r="M20" s="7" t="inlineStr">
        <is>
          <t>Notes</t>
        </is>
      </c>
    </row>
    <row r="21">
      <c r="A21" s="8" t="inlineStr">
        <is>
          <t>Threat Categories Blocked</t>
        </is>
      </c>
      <c r="B21" s="8" t="inlineStr">
        <is>
          <t>%</t>
        </is>
      </c>
      <c r="C21" s="4" t="n"/>
      <c r="D21" s="8" t="inlineStr">
        <is>
          <t>95%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8" t="inlineStr">
        <is>
          <t>Content Categories Configured</t>
        </is>
      </c>
      <c r="B22" s="8" t="inlineStr">
        <is>
          <t>Count</t>
        </is>
      </c>
      <c r="C22" s="4" t="n"/>
      <c r="D22" s="8" t="inlineStr">
        <is>
          <t>30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8" t="inlineStr">
        <is>
          <t>Active Policy Exceptions</t>
        </is>
      </c>
      <c r="B23" s="8" t="inlineStr">
        <is>
          <t>Count</t>
        </is>
      </c>
      <c r="C23" s="4" t="n"/>
      <c r="D23" s="8" t="inlineStr">
        <is>
          <t>10</t>
        </is>
      </c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8" t="inlineStr">
        <is>
          <t>Exception Review Compliance</t>
        </is>
      </c>
      <c r="B24" s="8" t="inlineStr">
        <is>
          <t>%</t>
        </is>
      </c>
      <c r="C24" s="4" t="n"/>
      <c r="D24" s="8" t="inlineStr">
        <is>
          <t>100%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8" t="inlineStr">
        <is>
          <t>Policy Update Frequency</t>
        </is>
      </c>
      <c r="B25" s="8" t="inlineStr">
        <is>
          <t>Days</t>
        </is>
      </c>
      <c r="C25" s="4" t="n"/>
      <c r="D25" s="8" t="inlineStr">
        <is>
          <t>90</t>
        </is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7">
      <c r="A27" s="6" t="inlineStr">
        <is>
          <t>MONITORING METRICS</t>
        </is>
      </c>
    </row>
    <row r="28">
      <c r="A28" s="7" t="inlineStr">
        <is>
          <t>KPI Name</t>
        </is>
      </c>
      <c r="B28" s="7" t="inlineStr">
        <is>
          <t>Unit</t>
        </is>
      </c>
      <c r="C28" s="7" t="inlineStr">
        <is>
          <t>Current Value</t>
        </is>
      </c>
      <c r="D28" s="7" t="inlineStr">
        <is>
          <t>Target</t>
        </is>
      </c>
      <c r="E28" s="7" t="inlineStr">
        <is>
          <t>Status</t>
        </is>
      </c>
      <c r="F28" s="7" t="inlineStr">
        <is>
          <t>Trend</t>
        </is>
      </c>
      <c r="G28" s="7" t="inlineStr">
        <is>
          <t>Last Month</t>
        </is>
      </c>
      <c r="H28" s="7" t="inlineStr">
        <is>
          <t>YTD Average</t>
        </is>
      </c>
      <c r="I28" s="7" t="inlineStr">
        <is>
          <t>Data Source</t>
        </is>
      </c>
      <c r="J28" s="7" t="inlineStr">
        <is>
          <t>Update Frequency</t>
        </is>
      </c>
      <c r="K28" s="7" t="inlineStr">
        <is>
          <t>Owner</t>
        </is>
      </c>
      <c r="L28" s="7" t="inlineStr">
        <is>
          <t>Collection Method</t>
        </is>
      </c>
      <c r="M28" s="7" t="inlineStr">
        <is>
          <t>Notes</t>
        </is>
      </c>
    </row>
    <row r="29">
      <c r="A29" s="8" t="inlineStr">
        <is>
          <t>Log Collection Rate</t>
        </is>
      </c>
      <c r="B29" s="8" t="inlineStr">
        <is>
          <t>%</t>
        </is>
      </c>
      <c r="C29" s="4" t="n"/>
      <c r="D29" s="8" t="inlineStr">
        <is>
          <t>100%</t>
        </is>
      </c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8" t="inlineStr">
        <is>
          <t>Alert Rules Active</t>
        </is>
      </c>
      <c r="B30" s="8" t="inlineStr">
        <is>
          <t>Count</t>
        </is>
      </c>
      <c r="C30" s="4" t="n"/>
      <c r="D30" s="8" t="inlineStr">
        <is>
          <t>20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8" t="inlineStr">
        <is>
          <t>Alert Response Time</t>
        </is>
      </c>
      <c r="B31" s="8" t="inlineStr">
        <is>
          <t>Minutes</t>
        </is>
      </c>
      <c r="C31" s="4" t="n"/>
      <c r="D31" s="8" t="inlineStr">
        <is>
          <t>30</t>
        </is>
      </c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8" t="inlineStr">
        <is>
          <t>Dashboard Availability</t>
        </is>
      </c>
      <c r="B32" s="8" t="inlineStr">
        <is>
          <t>%</t>
        </is>
      </c>
      <c r="C32" s="4" t="n"/>
      <c r="D32" s="8" t="inlineStr">
        <is>
          <t>99%</t>
        </is>
      </c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8" t="inlineStr">
        <is>
          <t>SIEM Integration Health</t>
        </is>
      </c>
      <c r="B33" s="8" t="inlineStr">
        <is>
          <t>%</t>
        </is>
      </c>
      <c r="C33" s="4" t="n"/>
      <c r="D33" s="8" t="inlineStr">
        <is>
          <t>100%</t>
        </is>
      </c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5">
      <c r="A35" s="6" t="inlineStr">
        <is>
          <t>INCIDENT METRICS</t>
        </is>
      </c>
    </row>
    <row r="36">
      <c r="A36" s="7" t="inlineStr">
        <is>
          <t>KPI Name</t>
        </is>
      </c>
      <c r="B36" s="7" t="inlineStr">
        <is>
          <t>Unit</t>
        </is>
      </c>
      <c r="C36" s="7" t="inlineStr">
        <is>
          <t>Current Value</t>
        </is>
      </c>
      <c r="D36" s="7" t="inlineStr">
        <is>
          <t>Target</t>
        </is>
      </c>
      <c r="E36" s="7" t="inlineStr">
        <is>
          <t>Status</t>
        </is>
      </c>
      <c r="F36" s="7" t="inlineStr">
        <is>
          <t>Trend</t>
        </is>
      </c>
      <c r="G36" s="7" t="inlineStr">
        <is>
          <t>Last Month</t>
        </is>
      </c>
      <c r="H36" s="7" t="inlineStr">
        <is>
          <t>YTD Average</t>
        </is>
      </c>
      <c r="I36" s="7" t="inlineStr">
        <is>
          <t>Data Source</t>
        </is>
      </c>
      <c r="J36" s="7" t="inlineStr">
        <is>
          <t>Update Frequency</t>
        </is>
      </c>
      <c r="K36" s="7" t="inlineStr">
        <is>
          <t>Owner</t>
        </is>
      </c>
      <c r="L36" s="7" t="inlineStr">
        <is>
          <t>Collection Method</t>
        </is>
      </c>
      <c r="M36" s="7" t="inlineStr">
        <is>
          <t>Notes</t>
        </is>
      </c>
    </row>
    <row r="37">
      <c r="A37" s="8" t="inlineStr">
        <is>
          <t>Open Critical Incidents</t>
        </is>
      </c>
      <c r="B37" s="8" t="inlineStr">
        <is>
          <t>Count</t>
        </is>
      </c>
      <c r="C37" s="4" t="n"/>
      <c r="D37" s="8" t="inlineStr">
        <is>
          <t>0</t>
        </is>
      </c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8" t="inlineStr">
        <is>
          <t>Mean Time to Detect (MTTD)</t>
        </is>
      </c>
      <c r="B38" s="8" t="inlineStr">
        <is>
          <t>Minutes</t>
        </is>
      </c>
      <c r="C38" s="4" t="n"/>
      <c r="D38" s="8" t="inlineStr">
        <is>
          <t>15</t>
        </is>
      </c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8" t="inlineStr">
        <is>
          <t>Mean Time to Respond (MTTR)</t>
        </is>
      </c>
      <c r="B39" s="8" t="inlineStr">
        <is>
          <t>Hours</t>
        </is>
      </c>
      <c r="C39" s="4" t="n"/>
      <c r="D39" s="8" t="inlineStr">
        <is>
          <t>4</t>
        </is>
      </c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8" t="inlineStr">
        <is>
          <t>SLA Compliance Rate</t>
        </is>
      </c>
      <c r="B40" s="8" t="inlineStr">
        <is>
          <t>%</t>
        </is>
      </c>
      <c r="C40" s="4" t="n"/>
      <c r="D40" s="8" t="inlineStr">
        <is>
          <t>95%</t>
        </is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8" t="inlineStr">
        <is>
          <t>False Positive Rate</t>
        </is>
      </c>
      <c r="B41" s="8" t="inlineStr">
        <is>
          <t>%</t>
        </is>
      </c>
      <c r="C41" s="4" t="n"/>
      <c r="D41" s="8" t="inlineStr">
        <is>
          <t>1%</t>
        </is>
      </c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3">
      <c r="A43" s="6" t="inlineStr">
        <is>
          <t>COMPLIANCE METRICS</t>
        </is>
      </c>
    </row>
    <row r="44">
      <c r="A44" s="7" t="inlineStr">
        <is>
          <t>KPI Name</t>
        </is>
      </c>
      <c r="B44" s="7" t="inlineStr">
        <is>
          <t>Unit</t>
        </is>
      </c>
      <c r="C44" s="7" t="inlineStr">
        <is>
          <t>Current Value</t>
        </is>
      </c>
      <c r="D44" s="7" t="inlineStr">
        <is>
          <t>Target</t>
        </is>
      </c>
      <c r="E44" s="7" t="inlineStr">
        <is>
          <t>Status</t>
        </is>
      </c>
      <c r="F44" s="7" t="inlineStr">
        <is>
          <t>Trend</t>
        </is>
      </c>
      <c r="G44" s="7" t="inlineStr">
        <is>
          <t>Last Month</t>
        </is>
      </c>
      <c r="H44" s="7" t="inlineStr">
        <is>
          <t>YTD Average</t>
        </is>
      </c>
      <c r="I44" s="7" t="inlineStr">
        <is>
          <t>Data Source</t>
        </is>
      </c>
      <c r="J44" s="7" t="inlineStr">
        <is>
          <t>Update Frequency</t>
        </is>
      </c>
      <c r="K44" s="7" t="inlineStr">
        <is>
          <t>Owner</t>
        </is>
      </c>
      <c r="L44" s="7" t="inlineStr">
        <is>
          <t>Collection Method</t>
        </is>
      </c>
      <c r="M44" s="7" t="inlineStr">
        <is>
          <t>Notes</t>
        </is>
      </c>
    </row>
    <row r="45">
      <c r="A45" s="8" t="inlineStr">
        <is>
          <t>Overall Compliance Score</t>
        </is>
      </c>
      <c r="B45" s="8" t="inlineStr">
        <is>
          <t>%</t>
        </is>
      </c>
      <c r="C45" s="4" t="n"/>
      <c r="D45" s="8" t="inlineStr">
        <is>
          <t>95%</t>
        </is>
      </c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8" t="inlineStr">
        <is>
          <t>Critical Gaps Open</t>
        </is>
      </c>
      <c r="B46" s="8" t="inlineStr">
        <is>
          <t>Count</t>
        </is>
      </c>
      <c r="C46" s="4" t="n"/>
      <c r="D46" s="8" t="inlineStr">
        <is>
          <t>0</t>
        </is>
      </c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8" t="inlineStr">
        <is>
          <t>Evidence Collection Rate</t>
        </is>
      </c>
      <c r="B47" s="8" t="inlineStr">
        <is>
          <t>%</t>
        </is>
      </c>
      <c r="C47" s="4" t="n"/>
      <c r="D47" s="8" t="inlineStr">
        <is>
          <t>100%</t>
        </is>
      </c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8" t="inlineStr">
        <is>
          <t>Audit Readiness</t>
        </is>
      </c>
      <c r="B48" s="8" t="inlineStr">
        <is>
          <t>Status</t>
        </is>
      </c>
      <c r="C48" s="4" t="n"/>
      <c r="D48" s="8" t="inlineStr">
        <is>
          <t>Ready</t>
        </is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8" t="inlineStr">
        <is>
          <t>Policy Review Currency</t>
        </is>
      </c>
      <c r="B49" s="8" t="inlineStr">
        <is>
          <t>Days</t>
        </is>
      </c>
      <c r="C49" s="4" t="n"/>
      <c r="D49" s="8" t="inlineStr">
        <is>
          <t>90</t>
        </is>
      </c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</sheetData>
  <mergeCells count="7">
    <mergeCell ref="A19:M19"/>
    <mergeCell ref="A1:M1"/>
    <mergeCell ref="A27:M27"/>
    <mergeCell ref="A35:M35"/>
    <mergeCell ref="A3:M3"/>
    <mergeCell ref="A43:M43"/>
    <mergeCell ref="A11:M11"/>
  </mergeCells>
  <dataValidations count="3">
    <dataValidation sqref="E4:E100" showDropDown="0" showInputMessage="0" showErrorMessage="0" allowBlank="1" type="list">
      <formula1>"Green,Amber,Red"</formula1>
    </dataValidation>
    <dataValidation sqref="F4:F100" showDropDown="0" showInputMessage="0" showErrorMessage="0" allowBlank="1" type="list">
      <formula1>"Improving,Stable,Degrading,New"</formula1>
    </dataValidation>
    <dataValidation sqref="J4:J100" showDropDown="0" showInputMessage="0" showErrorMessage="0" allowBlank="1" type="list">
      <formula1>"Real-Time,Hourly,Daily,Weekly,Monthly"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30" t="inlineStr">
        <is>
          <t>Centralised evidence tracking for audit and compliance verification</t>
        </is>
      </c>
    </row>
    <row r="4">
      <c r="A4" s="7" t="inlineStr">
        <is>
          <t>Evidence ID</t>
        </is>
      </c>
      <c r="B4" s="7" t="inlineStr">
        <is>
          <t>Assessment Area</t>
        </is>
      </c>
      <c r="C4" s="7" t="inlineStr">
        <is>
          <t>Evidence Type</t>
        </is>
      </c>
      <c r="D4" s="7" t="inlineStr">
        <is>
          <t>Description</t>
        </is>
      </c>
      <c r="E4" s="7" t="inlineStr">
        <is>
          <t>Location / Path</t>
        </is>
      </c>
      <c r="F4" s="7" t="inlineStr">
        <is>
          <t>Date Collected</t>
        </is>
      </c>
      <c r="G4" s="7" t="inlineStr">
        <is>
          <t>Collected By</t>
        </is>
      </c>
      <c r="H4" s="7" t="inlineStr">
        <is>
          <t>Verification Status</t>
        </is>
      </c>
    </row>
    <row r="5">
      <c r="A5" s="31" t="inlineStr">
        <is>
          <t>EV-001</t>
        </is>
      </c>
      <c r="B5" s="32" t="n"/>
      <c r="C5" s="32" t="n"/>
      <c r="D5" s="32" t="n"/>
      <c r="E5" s="32" t="n"/>
      <c r="F5" s="32" t="n"/>
      <c r="G5" s="32" t="n"/>
      <c r="H5" s="32" t="n"/>
    </row>
    <row r="6">
      <c r="A6" s="31" t="inlineStr">
        <is>
          <t>EV-002</t>
        </is>
      </c>
      <c r="B6" s="32" t="n"/>
      <c r="C6" s="32" t="n"/>
      <c r="D6" s="32" t="n"/>
      <c r="E6" s="32" t="n"/>
      <c r="F6" s="32" t="n"/>
      <c r="G6" s="32" t="n"/>
      <c r="H6" s="32" t="n"/>
    </row>
    <row r="7">
      <c r="A7" s="31" t="inlineStr">
        <is>
          <t>EV-003</t>
        </is>
      </c>
      <c r="B7" s="32" t="n"/>
      <c r="C7" s="32" t="n"/>
      <c r="D7" s="32" t="n"/>
      <c r="E7" s="32" t="n"/>
      <c r="F7" s="32" t="n"/>
      <c r="G7" s="32" t="n"/>
      <c r="H7" s="32" t="n"/>
    </row>
    <row r="8">
      <c r="A8" s="31" t="inlineStr">
        <is>
          <t>EV-004</t>
        </is>
      </c>
      <c r="B8" s="32" t="n"/>
      <c r="C8" s="32" t="n"/>
      <c r="D8" s="32" t="n"/>
      <c r="E8" s="32" t="n"/>
      <c r="F8" s="32" t="n"/>
      <c r="G8" s="32" t="n"/>
      <c r="H8" s="32" t="n"/>
    </row>
    <row r="9">
      <c r="A9" s="31" t="inlineStr">
        <is>
          <t>EV-005</t>
        </is>
      </c>
      <c r="B9" s="32" t="n"/>
      <c r="C9" s="32" t="n"/>
      <c r="D9" s="32" t="n"/>
      <c r="E9" s="32" t="n"/>
      <c r="F9" s="32" t="n"/>
      <c r="G9" s="32" t="n"/>
      <c r="H9" s="32" t="n"/>
    </row>
    <row r="10">
      <c r="A10" s="31" t="inlineStr">
        <is>
          <t>EV-006</t>
        </is>
      </c>
      <c r="B10" s="32" t="n"/>
      <c r="C10" s="32" t="n"/>
      <c r="D10" s="32" t="n"/>
      <c r="E10" s="32" t="n"/>
      <c r="F10" s="32" t="n"/>
      <c r="G10" s="32" t="n"/>
      <c r="H10" s="32" t="n"/>
    </row>
    <row r="11">
      <c r="A11" s="31" t="inlineStr">
        <is>
          <t>EV-007</t>
        </is>
      </c>
      <c r="B11" s="32" t="n"/>
      <c r="C11" s="32" t="n"/>
      <c r="D11" s="32" t="n"/>
      <c r="E11" s="32" t="n"/>
      <c r="F11" s="32" t="n"/>
      <c r="G11" s="32" t="n"/>
      <c r="H11" s="32" t="n"/>
    </row>
    <row r="12">
      <c r="A12" s="31" t="inlineStr">
        <is>
          <t>EV-008</t>
        </is>
      </c>
      <c r="B12" s="32" t="n"/>
      <c r="C12" s="32" t="n"/>
      <c r="D12" s="32" t="n"/>
      <c r="E12" s="32" t="n"/>
      <c r="F12" s="32" t="n"/>
      <c r="G12" s="32" t="n"/>
      <c r="H12" s="32" t="n"/>
    </row>
    <row r="13">
      <c r="A13" s="31" t="inlineStr">
        <is>
          <t>EV-009</t>
        </is>
      </c>
      <c r="B13" s="32" t="n"/>
      <c r="C13" s="32" t="n"/>
      <c r="D13" s="32" t="n"/>
      <c r="E13" s="32" t="n"/>
      <c r="F13" s="32" t="n"/>
      <c r="G13" s="32" t="n"/>
      <c r="H13" s="32" t="n"/>
    </row>
    <row r="14">
      <c r="A14" s="31" t="inlineStr">
        <is>
          <t>EV-010</t>
        </is>
      </c>
      <c r="B14" s="32" t="n"/>
      <c r="C14" s="32" t="n"/>
      <c r="D14" s="32" t="n"/>
      <c r="E14" s="32" t="n"/>
      <c r="F14" s="32" t="n"/>
      <c r="G14" s="32" t="n"/>
      <c r="H14" s="32" t="n"/>
    </row>
    <row r="15">
      <c r="A15" s="31" t="inlineStr">
        <is>
          <t>EV-011</t>
        </is>
      </c>
      <c r="B15" s="32" t="n"/>
      <c r="C15" s="32" t="n"/>
      <c r="D15" s="32" t="n"/>
      <c r="E15" s="32" t="n"/>
      <c r="F15" s="32" t="n"/>
      <c r="G15" s="32" t="n"/>
      <c r="H15" s="32" t="n"/>
    </row>
    <row r="16">
      <c r="A16" s="31" t="inlineStr">
        <is>
          <t>EV-012</t>
        </is>
      </c>
      <c r="B16" s="32" t="n"/>
      <c r="C16" s="32" t="n"/>
      <c r="D16" s="32" t="n"/>
      <c r="E16" s="32" t="n"/>
      <c r="F16" s="32" t="n"/>
      <c r="G16" s="32" t="n"/>
      <c r="H16" s="32" t="n"/>
    </row>
    <row r="17">
      <c r="A17" s="31" t="inlineStr">
        <is>
          <t>EV-013</t>
        </is>
      </c>
      <c r="B17" s="32" t="n"/>
      <c r="C17" s="32" t="n"/>
      <c r="D17" s="32" t="n"/>
      <c r="E17" s="32" t="n"/>
      <c r="F17" s="32" t="n"/>
      <c r="G17" s="32" t="n"/>
      <c r="H17" s="32" t="n"/>
    </row>
    <row r="18">
      <c r="A18" s="31" t="inlineStr">
        <is>
          <t>EV-014</t>
        </is>
      </c>
      <c r="B18" s="32" t="n"/>
      <c r="C18" s="32" t="n"/>
      <c r="D18" s="32" t="n"/>
      <c r="E18" s="32" t="n"/>
      <c r="F18" s="32" t="n"/>
      <c r="G18" s="32" t="n"/>
      <c r="H18" s="32" t="n"/>
    </row>
    <row r="19">
      <c r="A19" s="31" t="inlineStr">
        <is>
          <t>EV-015</t>
        </is>
      </c>
      <c r="B19" s="32" t="n"/>
      <c r="C19" s="32" t="n"/>
      <c r="D19" s="32" t="n"/>
      <c r="E19" s="32" t="n"/>
      <c r="F19" s="32" t="n"/>
      <c r="G19" s="32" t="n"/>
      <c r="H19" s="32" t="n"/>
    </row>
    <row r="20">
      <c r="A20" s="31" t="inlineStr">
        <is>
          <t>EV-016</t>
        </is>
      </c>
      <c r="B20" s="32" t="n"/>
      <c r="C20" s="32" t="n"/>
      <c r="D20" s="32" t="n"/>
      <c r="E20" s="32" t="n"/>
      <c r="F20" s="32" t="n"/>
      <c r="G20" s="32" t="n"/>
      <c r="H20" s="32" t="n"/>
    </row>
    <row r="21">
      <c r="A21" s="31" t="inlineStr">
        <is>
          <t>EV-017</t>
        </is>
      </c>
      <c r="B21" s="32" t="n"/>
      <c r="C21" s="32" t="n"/>
      <c r="D21" s="32" t="n"/>
      <c r="E21" s="32" t="n"/>
      <c r="F21" s="32" t="n"/>
      <c r="G21" s="32" t="n"/>
      <c r="H21" s="32" t="n"/>
    </row>
    <row r="22">
      <c r="A22" s="31" t="inlineStr">
        <is>
          <t>EV-018</t>
        </is>
      </c>
      <c r="B22" s="32" t="n"/>
      <c r="C22" s="32" t="n"/>
      <c r="D22" s="32" t="n"/>
      <c r="E22" s="32" t="n"/>
      <c r="F22" s="32" t="n"/>
      <c r="G22" s="32" t="n"/>
      <c r="H22" s="32" t="n"/>
    </row>
    <row r="23">
      <c r="A23" s="31" t="inlineStr">
        <is>
          <t>EV-019</t>
        </is>
      </c>
      <c r="B23" s="32" t="n"/>
      <c r="C23" s="32" t="n"/>
      <c r="D23" s="32" t="n"/>
      <c r="E23" s="32" t="n"/>
      <c r="F23" s="32" t="n"/>
      <c r="G23" s="32" t="n"/>
      <c r="H23" s="32" t="n"/>
    </row>
    <row r="24">
      <c r="A24" s="31" t="inlineStr">
        <is>
          <t>EV-020</t>
        </is>
      </c>
      <c r="B24" s="32" t="n"/>
      <c r="C24" s="32" t="n"/>
      <c r="D24" s="32" t="n"/>
      <c r="E24" s="32" t="n"/>
      <c r="F24" s="32" t="n"/>
      <c r="G24" s="32" t="n"/>
      <c r="H24" s="32" t="n"/>
    </row>
    <row r="25">
      <c r="A25" s="31" t="inlineStr">
        <is>
          <t>EV-021</t>
        </is>
      </c>
      <c r="B25" s="32" t="n"/>
      <c r="C25" s="32" t="n"/>
      <c r="D25" s="32" t="n"/>
      <c r="E25" s="32" t="n"/>
      <c r="F25" s="32" t="n"/>
      <c r="G25" s="32" t="n"/>
      <c r="H25" s="32" t="n"/>
    </row>
    <row r="26">
      <c r="A26" s="31" t="inlineStr">
        <is>
          <t>EV-022</t>
        </is>
      </c>
      <c r="B26" s="32" t="n"/>
      <c r="C26" s="32" t="n"/>
      <c r="D26" s="32" t="n"/>
      <c r="E26" s="32" t="n"/>
      <c r="F26" s="32" t="n"/>
      <c r="G26" s="32" t="n"/>
      <c r="H26" s="32" t="n"/>
    </row>
    <row r="27">
      <c r="A27" s="31" t="inlineStr">
        <is>
          <t>EV-023</t>
        </is>
      </c>
      <c r="B27" s="32" t="n"/>
      <c r="C27" s="32" t="n"/>
      <c r="D27" s="32" t="n"/>
      <c r="E27" s="32" t="n"/>
      <c r="F27" s="32" t="n"/>
      <c r="G27" s="32" t="n"/>
      <c r="H27" s="32" t="n"/>
    </row>
    <row r="28">
      <c r="A28" s="31" t="inlineStr">
        <is>
          <t>EV-024</t>
        </is>
      </c>
      <c r="B28" s="32" t="n"/>
      <c r="C28" s="32" t="n"/>
      <c r="D28" s="32" t="n"/>
      <c r="E28" s="32" t="n"/>
      <c r="F28" s="32" t="n"/>
      <c r="G28" s="32" t="n"/>
      <c r="H28" s="32" t="n"/>
    </row>
    <row r="29">
      <c r="A29" s="31" t="inlineStr">
        <is>
          <t>EV-025</t>
        </is>
      </c>
      <c r="B29" s="32" t="n"/>
      <c r="C29" s="32" t="n"/>
      <c r="D29" s="32" t="n"/>
      <c r="E29" s="32" t="n"/>
      <c r="F29" s="32" t="n"/>
      <c r="G29" s="32" t="n"/>
      <c r="H29" s="32" t="n"/>
    </row>
    <row r="30">
      <c r="A30" s="31" t="inlineStr">
        <is>
          <t>EV-026</t>
        </is>
      </c>
      <c r="B30" s="32" t="n"/>
      <c r="C30" s="32" t="n"/>
      <c r="D30" s="32" t="n"/>
      <c r="E30" s="32" t="n"/>
      <c r="F30" s="32" t="n"/>
      <c r="G30" s="32" t="n"/>
      <c r="H30" s="32" t="n"/>
    </row>
    <row r="31">
      <c r="A31" s="31" t="inlineStr">
        <is>
          <t>EV-027</t>
        </is>
      </c>
      <c r="B31" s="32" t="n"/>
      <c r="C31" s="32" t="n"/>
      <c r="D31" s="32" t="n"/>
      <c r="E31" s="32" t="n"/>
      <c r="F31" s="32" t="n"/>
      <c r="G31" s="32" t="n"/>
      <c r="H31" s="32" t="n"/>
    </row>
    <row r="32">
      <c r="A32" s="31" t="inlineStr">
        <is>
          <t>EV-028</t>
        </is>
      </c>
      <c r="B32" s="32" t="n"/>
      <c r="C32" s="32" t="n"/>
      <c r="D32" s="32" t="n"/>
      <c r="E32" s="32" t="n"/>
      <c r="F32" s="32" t="n"/>
      <c r="G32" s="32" t="n"/>
      <c r="H32" s="32" t="n"/>
    </row>
    <row r="33">
      <c r="A33" s="31" t="inlineStr">
        <is>
          <t>EV-029</t>
        </is>
      </c>
      <c r="B33" s="32" t="n"/>
      <c r="C33" s="32" t="n"/>
      <c r="D33" s="32" t="n"/>
      <c r="E33" s="32" t="n"/>
      <c r="F33" s="32" t="n"/>
      <c r="G33" s="32" t="n"/>
      <c r="H33" s="32" t="n"/>
    </row>
    <row r="34">
      <c r="A34" s="31" t="inlineStr">
        <is>
          <t>EV-030</t>
        </is>
      </c>
      <c r="B34" s="32" t="n"/>
      <c r="C34" s="32" t="n"/>
      <c r="D34" s="32" t="n"/>
      <c r="E34" s="32" t="n"/>
      <c r="F34" s="32" t="n"/>
      <c r="G34" s="32" t="n"/>
      <c r="H34" s="32" t="n"/>
    </row>
    <row r="35">
      <c r="A35" s="31" t="inlineStr">
        <is>
          <t>EV-031</t>
        </is>
      </c>
      <c r="B35" s="32" t="n"/>
      <c r="C35" s="32" t="n"/>
      <c r="D35" s="32" t="n"/>
      <c r="E35" s="32" t="n"/>
      <c r="F35" s="32" t="n"/>
      <c r="G35" s="32" t="n"/>
      <c r="H35" s="32" t="n"/>
    </row>
    <row r="36">
      <c r="A36" s="31" t="inlineStr">
        <is>
          <t>EV-032</t>
        </is>
      </c>
      <c r="B36" s="32" t="n"/>
      <c r="C36" s="32" t="n"/>
      <c r="D36" s="32" t="n"/>
      <c r="E36" s="32" t="n"/>
      <c r="F36" s="32" t="n"/>
      <c r="G36" s="32" t="n"/>
      <c r="H36" s="32" t="n"/>
    </row>
    <row r="37">
      <c r="A37" s="31" t="inlineStr">
        <is>
          <t>EV-033</t>
        </is>
      </c>
      <c r="B37" s="32" t="n"/>
      <c r="C37" s="32" t="n"/>
      <c r="D37" s="32" t="n"/>
      <c r="E37" s="32" t="n"/>
      <c r="F37" s="32" t="n"/>
      <c r="G37" s="32" t="n"/>
      <c r="H37" s="32" t="n"/>
    </row>
    <row r="38">
      <c r="A38" s="31" t="inlineStr">
        <is>
          <t>EV-034</t>
        </is>
      </c>
      <c r="B38" s="32" t="n"/>
      <c r="C38" s="32" t="n"/>
      <c r="D38" s="32" t="n"/>
      <c r="E38" s="32" t="n"/>
      <c r="F38" s="32" t="n"/>
      <c r="G38" s="32" t="n"/>
      <c r="H38" s="32" t="n"/>
    </row>
    <row r="39">
      <c r="A39" s="31" t="inlineStr">
        <is>
          <t>EV-035</t>
        </is>
      </c>
      <c r="B39" s="32" t="n"/>
      <c r="C39" s="32" t="n"/>
      <c r="D39" s="32" t="n"/>
      <c r="E39" s="32" t="n"/>
      <c r="F39" s="32" t="n"/>
      <c r="G39" s="32" t="n"/>
      <c r="H39" s="32" t="n"/>
    </row>
    <row r="40">
      <c r="A40" s="31" t="inlineStr">
        <is>
          <t>EV-036</t>
        </is>
      </c>
      <c r="B40" s="32" t="n"/>
      <c r="C40" s="32" t="n"/>
      <c r="D40" s="32" t="n"/>
      <c r="E40" s="32" t="n"/>
      <c r="F40" s="32" t="n"/>
      <c r="G40" s="32" t="n"/>
      <c r="H40" s="32" t="n"/>
    </row>
    <row r="41">
      <c r="A41" s="31" t="inlineStr">
        <is>
          <t>EV-037</t>
        </is>
      </c>
      <c r="B41" s="32" t="n"/>
      <c r="C41" s="32" t="n"/>
      <c r="D41" s="32" t="n"/>
      <c r="E41" s="32" t="n"/>
      <c r="F41" s="32" t="n"/>
      <c r="G41" s="32" t="n"/>
      <c r="H41" s="32" t="n"/>
    </row>
    <row r="42">
      <c r="A42" s="31" t="inlineStr">
        <is>
          <t>EV-038</t>
        </is>
      </c>
      <c r="B42" s="32" t="n"/>
      <c r="C42" s="32" t="n"/>
      <c r="D42" s="32" t="n"/>
      <c r="E42" s="32" t="n"/>
      <c r="F42" s="32" t="n"/>
      <c r="G42" s="32" t="n"/>
      <c r="H42" s="32" t="n"/>
    </row>
    <row r="43">
      <c r="A43" s="31" t="inlineStr">
        <is>
          <t>EV-039</t>
        </is>
      </c>
      <c r="B43" s="32" t="n"/>
      <c r="C43" s="32" t="n"/>
      <c r="D43" s="32" t="n"/>
      <c r="E43" s="32" t="n"/>
      <c r="F43" s="32" t="n"/>
      <c r="G43" s="32" t="n"/>
      <c r="H43" s="32" t="n"/>
    </row>
    <row r="44">
      <c r="A44" s="31" t="inlineStr">
        <is>
          <t>EV-040</t>
        </is>
      </c>
      <c r="B44" s="32" t="n"/>
      <c r="C44" s="32" t="n"/>
      <c r="D44" s="32" t="n"/>
      <c r="E44" s="32" t="n"/>
      <c r="F44" s="32" t="n"/>
      <c r="G44" s="32" t="n"/>
      <c r="H44" s="32" t="n"/>
    </row>
    <row r="45">
      <c r="A45" s="31" t="inlineStr">
        <is>
          <t>EV-041</t>
        </is>
      </c>
      <c r="B45" s="32" t="n"/>
      <c r="C45" s="32" t="n"/>
      <c r="D45" s="32" t="n"/>
      <c r="E45" s="32" t="n"/>
      <c r="F45" s="32" t="n"/>
      <c r="G45" s="32" t="n"/>
      <c r="H45" s="32" t="n"/>
    </row>
    <row r="46">
      <c r="A46" s="31" t="inlineStr">
        <is>
          <t>EV-042</t>
        </is>
      </c>
      <c r="B46" s="32" t="n"/>
      <c r="C46" s="32" t="n"/>
      <c r="D46" s="32" t="n"/>
      <c r="E46" s="32" t="n"/>
      <c r="F46" s="32" t="n"/>
      <c r="G46" s="32" t="n"/>
      <c r="H46" s="32" t="n"/>
    </row>
    <row r="47">
      <c r="A47" s="31" t="inlineStr">
        <is>
          <t>EV-043</t>
        </is>
      </c>
      <c r="B47" s="32" t="n"/>
      <c r="C47" s="32" t="n"/>
      <c r="D47" s="32" t="n"/>
      <c r="E47" s="32" t="n"/>
      <c r="F47" s="32" t="n"/>
      <c r="G47" s="32" t="n"/>
      <c r="H47" s="32" t="n"/>
    </row>
    <row r="48">
      <c r="A48" s="31" t="inlineStr">
        <is>
          <t>EV-044</t>
        </is>
      </c>
      <c r="B48" s="32" t="n"/>
      <c r="C48" s="32" t="n"/>
      <c r="D48" s="32" t="n"/>
      <c r="E48" s="32" t="n"/>
      <c r="F48" s="32" t="n"/>
      <c r="G48" s="32" t="n"/>
      <c r="H48" s="32" t="n"/>
    </row>
    <row r="49">
      <c r="A49" s="31" t="inlineStr">
        <is>
          <t>EV-045</t>
        </is>
      </c>
      <c r="B49" s="32" t="n"/>
      <c r="C49" s="32" t="n"/>
      <c r="D49" s="32" t="n"/>
      <c r="E49" s="32" t="n"/>
      <c r="F49" s="32" t="n"/>
      <c r="G49" s="32" t="n"/>
      <c r="H49" s="32" t="n"/>
    </row>
    <row r="50">
      <c r="A50" s="31" t="inlineStr">
        <is>
          <t>EV-046</t>
        </is>
      </c>
      <c r="B50" s="32" t="n"/>
      <c r="C50" s="32" t="n"/>
      <c r="D50" s="32" t="n"/>
      <c r="E50" s="32" t="n"/>
      <c r="F50" s="32" t="n"/>
      <c r="G50" s="32" t="n"/>
      <c r="H50" s="32" t="n"/>
    </row>
    <row r="51">
      <c r="A51" s="31" t="inlineStr">
        <is>
          <t>EV-047</t>
        </is>
      </c>
      <c r="B51" s="32" t="n"/>
      <c r="C51" s="32" t="n"/>
      <c r="D51" s="32" t="n"/>
      <c r="E51" s="32" t="n"/>
      <c r="F51" s="32" t="n"/>
      <c r="G51" s="32" t="n"/>
      <c r="H51" s="32" t="n"/>
    </row>
    <row r="52">
      <c r="A52" s="31" t="inlineStr">
        <is>
          <t>EV-048</t>
        </is>
      </c>
      <c r="B52" s="32" t="n"/>
      <c r="C52" s="32" t="n"/>
      <c r="D52" s="32" t="n"/>
      <c r="E52" s="32" t="n"/>
      <c r="F52" s="32" t="n"/>
      <c r="G52" s="32" t="n"/>
      <c r="H52" s="32" t="n"/>
    </row>
    <row r="53">
      <c r="A53" s="31" t="inlineStr">
        <is>
          <t>EV-049</t>
        </is>
      </c>
      <c r="B53" s="32" t="n"/>
      <c r="C53" s="32" t="n"/>
      <c r="D53" s="32" t="n"/>
      <c r="E53" s="32" t="n"/>
      <c r="F53" s="32" t="n"/>
      <c r="G53" s="32" t="n"/>
      <c r="H53" s="32" t="n"/>
    </row>
    <row r="54">
      <c r="A54" s="31" t="inlineStr">
        <is>
          <t>EV-050</t>
        </is>
      </c>
      <c r="B54" s="32" t="n"/>
      <c r="C54" s="32" t="n"/>
      <c r="D54" s="32" t="n"/>
      <c r="E54" s="32" t="n"/>
      <c r="F54" s="32" t="n"/>
      <c r="G54" s="32" t="n"/>
      <c r="H54" s="32" t="n"/>
    </row>
    <row r="55">
      <c r="A55" s="31" t="inlineStr">
        <is>
          <t>EV-051</t>
        </is>
      </c>
      <c r="B55" s="32" t="n"/>
      <c r="C55" s="32" t="n"/>
      <c r="D55" s="32" t="n"/>
      <c r="E55" s="32" t="n"/>
      <c r="F55" s="32" t="n"/>
      <c r="G55" s="32" t="n"/>
      <c r="H55" s="32" t="n"/>
    </row>
    <row r="56">
      <c r="A56" s="31" t="inlineStr">
        <is>
          <t>EV-052</t>
        </is>
      </c>
      <c r="B56" s="32" t="n"/>
      <c r="C56" s="32" t="n"/>
      <c r="D56" s="32" t="n"/>
      <c r="E56" s="32" t="n"/>
      <c r="F56" s="32" t="n"/>
      <c r="G56" s="32" t="n"/>
      <c r="H56" s="32" t="n"/>
    </row>
    <row r="57">
      <c r="A57" s="31" t="inlineStr">
        <is>
          <t>EV-053</t>
        </is>
      </c>
      <c r="B57" s="32" t="n"/>
      <c r="C57" s="32" t="n"/>
      <c r="D57" s="32" t="n"/>
      <c r="E57" s="32" t="n"/>
      <c r="F57" s="32" t="n"/>
      <c r="G57" s="32" t="n"/>
      <c r="H57" s="32" t="n"/>
    </row>
    <row r="58">
      <c r="A58" s="31" t="inlineStr">
        <is>
          <t>EV-054</t>
        </is>
      </c>
      <c r="B58" s="32" t="n"/>
      <c r="C58" s="32" t="n"/>
      <c r="D58" s="32" t="n"/>
      <c r="E58" s="32" t="n"/>
      <c r="F58" s="32" t="n"/>
      <c r="G58" s="32" t="n"/>
      <c r="H58" s="32" t="n"/>
    </row>
    <row r="59">
      <c r="A59" s="31" t="inlineStr">
        <is>
          <t>EV-055</t>
        </is>
      </c>
      <c r="B59" s="32" t="n"/>
      <c r="C59" s="32" t="n"/>
      <c r="D59" s="32" t="n"/>
      <c r="E59" s="32" t="n"/>
      <c r="F59" s="32" t="n"/>
      <c r="G59" s="32" t="n"/>
      <c r="H59" s="32" t="n"/>
    </row>
    <row r="60">
      <c r="A60" s="31" t="inlineStr">
        <is>
          <t>EV-056</t>
        </is>
      </c>
      <c r="B60" s="32" t="n"/>
      <c r="C60" s="32" t="n"/>
      <c r="D60" s="32" t="n"/>
      <c r="E60" s="32" t="n"/>
      <c r="F60" s="32" t="n"/>
      <c r="G60" s="32" t="n"/>
      <c r="H60" s="32" t="n"/>
    </row>
    <row r="61">
      <c r="A61" s="31" t="inlineStr">
        <is>
          <t>EV-057</t>
        </is>
      </c>
      <c r="B61" s="32" t="n"/>
      <c r="C61" s="32" t="n"/>
      <c r="D61" s="32" t="n"/>
      <c r="E61" s="32" t="n"/>
      <c r="F61" s="32" t="n"/>
      <c r="G61" s="32" t="n"/>
      <c r="H61" s="32" t="n"/>
    </row>
    <row r="62">
      <c r="A62" s="31" t="inlineStr">
        <is>
          <t>EV-058</t>
        </is>
      </c>
      <c r="B62" s="32" t="n"/>
      <c r="C62" s="32" t="n"/>
      <c r="D62" s="32" t="n"/>
      <c r="E62" s="32" t="n"/>
      <c r="F62" s="32" t="n"/>
      <c r="G62" s="32" t="n"/>
      <c r="H62" s="32" t="n"/>
    </row>
    <row r="63">
      <c r="A63" s="31" t="inlineStr">
        <is>
          <t>EV-059</t>
        </is>
      </c>
      <c r="B63" s="32" t="n"/>
      <c r="C63" s="32" t="n"/>
      <c r="D63" s="32" t="n"/>
      <c r="E63" s="32" t="n"/>
      <c r="F63" s="32" t="n"/>
      <c r="G63" s="32" t="n"/>
      <c r="H63" s="32" t="n"/>
    </row>
    <row r="64">
      <c r="A64" s="31" t="inlineStr">
        <is>
          <t>EV-060</t>
        </is>
      </c>
      <c r="B64" s="32" t="n"/>
      <c r="C64" s="32" t="n"/>
      <c r="D64" s="32" t="n"/>
      <c r="E64" s="32" t="n"/>
      <c r="F64" s="32" t="n"/>
      <c r="G64" s="32" t="n"/>
      <c r="H64" s="32" t="n"/>
    </row>
    <row r="65">
      <c r="A65" s="31" t="inlineStr">
        <is>
          <t>EV-061</t>
        </is>
      </c>
      <c r="B65" s="32" t="n"/>
      <c r="C65" s="32" t="n"/>
      <c r="D65" s="32" t="n"/>
      <c r="E65" s="32" t="n"/>
      <c r="F65" s="32" t="n"/>
      <c r="G65" s="32" t="n"/>
      <c r="H65" s="32" t="n"/>
    </row>
    <row r="66">
      <c r="A66" s="31" t="inlineStr">
        <is>
          <t>EV-062</t>
        </is>
      </c>
      <c r="B66" s="32" t="n"/>
      <c r="C66" s="32" t="n"/>
      <c r="D66" s="32" t="n"/>
      <c r="E66" s="32" t="n"/>
      <c r="F66" s="32" t="n"/>
      <c r="G66" s="32" t="n"/>
      <c r="H66" s="32" t="n"/>
    </row>
    <row r="67">
      <c r="A67" s="31" t="inlineStr">
        <is>
          <t>EV-063</t>
        </is>
      </c>
      <c r="B67" s="32" t="n"/>
      <c r="C67" s="32" t="n"/>
      <c r="D67" s="32" t="n"/>
      <c r="E67" s="32" t="n"/>
      <c r="F67" s="32" t="n"/>
      <c r="G67" s="32" t="n"/>
      <c r="H67" s="32" t="n"/>
    </row>
    <row r="68">
      <c r="A68" s="31" t="inlineStr">
        <is>
          <t>EV-064</t>
        </is>
      </c>
      <c r="B68" s="32" t="n"/>
      <c r="C68" s="32" t="n"/>
      <c r="D68" s="32" t="n"/>
      <c r="E68" s="32" t="n"/>
      <c r="F68" s="32" t="n"/>
      <c r="G68" s="32" t="n"/>
      <c r="H68" s="32" t="n"/>
    </row>
    <row r="69">
      <c r="A69" s="31" t="inlineStr">
        <is>
          <t>EV-065</t>
        </is>
      </c>
      <c r="B69" s="32" t="n"/>
      <c r="C69" s="32" t="n"/>
      <c r="D69" s="32" t="n"/>
      <c r="E69" s="32" t="n"/>
      <c r="F69" s="32" t="n"/>
      <c r="G69" s="32" t="n"/>
      <c r="H69" s="32" t="n"/>
    </row>
    <row r="70">
      <c r="A70" s="31" t="inlineStr">
        <is>
          <t>EV-066</t>
        </is>
      </c>
      <c r="B70" s="32" t="n"/>
      <c r="C70" s="32" t="n"/>
      <c r="D70" s="32" t="n"/>
      <c r="E70" s="32" t="n"/>
      <c r="F70" s="32" t="n"/>
      <c r="G70" s="32" t="n"/>
      <c r="H70" s="32" t="n"/>
    </row>
    <row r="71">
      <c r="A71" s="31" t="inlineStr">
        <is>
          <t>EV-067</t>
        </is>
      </c>
      <c r="B71" s="32" t="n"/>
      <c r="C71" s="32" t="n"/>
      <c r="D71" s="32" t="n"/>
      <c r="E71" s="32" t="n"/>
      <c r="F71" s="32" t="n"/>
      <c r="G71" s="32" t="n"/>
      <c r="H71" s="32" t="n"/>
    </row>
    <row r="72">
      <c r="A72" s="31" t="inlineStr">
        <is>
          <t>EV-068</t>
        </is>
      </c>
      <c r="B72" s="32" t="n"/>
      <c r="C72" s="32" t="n"/>
      <c r="D72" s="32" t="n"/>
      <c r="E72" s="32" t="n"/>
      <c r="F72" s="32" t="n"/>
      <c r="G72" s="32" t="n"/>
      <c r="H72" s="32" t="n"/>
    </row>
    <row r="73">
      <c r="A73" s="31" t="inlineStr">
        <is>
          <t>EV-069</t>
        </is>
      </c>
      <c r="B73" s="32" t="n"/>
      <c r="C73" s="32" t="n"/>
      <c r="D73" s="32" t="n"/>
      <c r="E73" s="32" t="n"/>
      <c r="F73" s="32" t="n"/>
      <c r="G73" s="32" t="n"/>
      <c r="H73" s="32" t="n"/>
    </row>
    <row r="74">
      <c r="A74" s="31" t="inlineStr">
        <is>
          <t>EV-070</t>
        </is>
      </c>
      <c r="B74" s="32" t="n"/>
      <c r="C74" s="32" t="n"/>
      <c r="D74" s="32" t="n"/>
      <c r="E74" s="32" t="n"/>
      <c r="F74" s="32" t="n"/>
      <c r="G74" s="32" t="n"/>
      <c r="H74" s="32" t="n"/>
    </row>
    <row r="75">
      <c r="A75" s="31" t="inlineStr">
        <is>
          <t>EV-071</t>
        </is>
      </c>
      <c r="B75" s="32" t="n"/>
      <c r="C75" s="32" t="n"/>
      <c r="D75" s="32" t="n"/>
      <c r="E75" s="32" t="n"/>
      <c r="F75" s="32" t="n"/>
      <c r="G75" s="32" t="n"/>
      <c r="H75" s="32" t="n"/>
    </row>
    <row r="76">
      <c r="A76" s="31" t="inlineStr">
        <is>
          <t>EV-072</t>
        </is>
      </c>
      <c r="B76" s="32" t="n"/>
      <c r="C76" s="32" t="n"/>
      <c r="D76" s="32" t="n"/>
      <c r="E76" s="32" t="n"/>
      <c r="F76" s="32" t="n"/>
      <c r="G76" s="32" t="n"/>
      <c r="H76" s="32" t="n"/>
    </row>
    <row r="77">
      <c r="A77" s="31" t="inlineStr">
        <is>
          <t>EV-073</t>
        </is>
      </c>
      <c r="B77" s="32" t="n"/>
      <c r="C77" s="32" t="n"/>
      <c r="D77" s="32" t="n"/>
      <c r="E77" s="32" t="n"/>
      <c r="F77" s="32" t="n"/>
      <c r="G77" s="32" t="n"/>
      <c r="H77" s="32" t="n"/>
    </row>
    <row r="78">
      <c r="A78" s="31" t="inlineStr">
        <is>
          <t>EV-074</t>
        </is>
      </c>
      <c r="B78" s="32" t="n"/>
      <c r="C78" s="32" t="n"/>
      <c r="D78" s="32" t="n"/>
      <c r="E78" s="32" t="n"/>
      <c r="F78" s="32" t="n"/>
      <c r="G78" s="32" t="n"/>
      <c r="H78" s="32" t="n"/>
    </row>
    <row r="79">
      <c r="A79" s="31" t="inlineStr">
        <is>
          <t>EV-075</t>
        </is>
      </c>
      <c r="B79" s="32" t="n"/>
      <c r="C79" s="32" t="n"/>
      <c r="D79" s="32" t="n"/>
      <c r="E79" s="32" t="n"/>
      <c r="F79" s="32" t="n"/>
      <c r="G79" s="32" t="n"/>
      <c r="H79" s="32" t="n"/>
    </row>
    <row r="80">
      <c r="A80" s="31" t="inlineStr">
        <is>
          <t>EV-076</t>
        </is>
      </c>
      <c r="B80" s="32" t="n"/>
      <c r="C80" s="32" t="n"/>
      <c r="D80" s="32" t="n"/>
      <c r="E80" s="32" t="n"/>
      <c r="F80" s="32" t="n"/>
      <c r="G80" s="32" t="n"/>
      <c r="H80" s="32" t="n"/>
    </row>
    <row r="81">
      <c r="A81" s="31" t="inlineStr">
        <is>
          <t>EV-077</t>
        </is>
      </c>
      <c r="B81" s="32" t="n"/>
      <c r="C81" s="32" t="n"/>
      <c r="D81" s="32" t="n"/>
      <c r="E81" s="32" t="n"/>
      <c r="F81" s="32" t="n"/>
      <c r="G81" s="32" t="n"/>
      <c r="H81" s="32" t="n"/>
    </row>
    <row r="82">
      <c r="A82" s="31" t="inlineStr">
        <is>
          <t>EV-078</t>
        </is>
      </c>
      <c r="B82" s="32" t="n"/>
      <c r="C82" s="32" t="n"/>
      <c r="D82" s="32" t="n"/>
      <c r="E82" s="32" t="n"/>
      <c r="F82" s="32" t="n"/>
      <c r="G82" s="32" t="n"/>
      <c r="H82" s="32" t="n"/>
    </row>
    <row r="83">
      <c r="A83" s="31" t="inlineStr">
        <is>
          <t>EV-079</t>
        </is>
      </c>
      <c r="B83" s="32" t="n"/>
      <c r="C83" s="32" t="n"/>
      <c r="D83" s="32" t="n"/>
      <c r="E83" s="32" t="n"/>
      <c r="F83" s="32" t="n"/>
      <c r="G83" s="32" t="n"/>
      <c r="H83" s="32" t="n"/>
    </row>
    <row r="84">
      <c r="A84" s="31" t="inlineStr">
        <is>
          <t>EV-080</t>
        </is>
      </c>
      <c r="B84" s="32" t="n"/>
      <c r="C84" s="32" t="n"/>
      <c r="D84" s="32" t="n"/>
      <c r="E84" s="32" t="n"/>
      <c r="F84" s="32" t="n"/>
      <c r="G84" s="32" t="n"/>
      <c r="H84" s="32" t="n"/>
    </row>
    <row r="85">
      <c r="A85" s="31" t="inlineStr">
        <is>
          <t>EV-081</t>
        </is>
      </c>
      <c r="B85" s="32" t="n"/>
      <c r="C85" s="32" t="n"/>
      <c r="D85" s="32" t="n"/>
      <c r="E85" s="32" t="n"/>
      <c r="F85" s="32" t="n"/>
      <c r="G85" s="32" t="n"/>
      <c r="H85" s="32" t="n"/>
    </row>
    <row r="86">
      <c r="A86" s="31" t="inlineStr">
        <is>
          <t>EV-082</t>
        </is>
      </c>
      <c r="B86" s="32" t="n"/>
      <c r="C86" s="32" t="n"/>
      <c r="D86" s="32" t="n"/>
      <c r="E86" s="32" t="n"/>
      <c r="F86" s="32" t="n"/>
      <c r="G86" s="32" t="n"/>
      <c r="H86" s="32" t="n"/>
    </row>
    <row r="87">
      <c r="A87" s="31" t="inlineStr">
        <is>
          <t>EV-083</t>
        </is>
      </c>
      <c r="B87" s="32" t="n"/>
      <c r="C87" s="32" t="n"/>
      <c r="D87" s="32" t="n"/>
      <c r="E87" s="32" t="n"/>
      <c r="F87" s="32" t="n"/>
      <c r="G87" s="32" t="n"/>
      <c r="H87" s="32" t="n"/>
    </row>
    <row r="88">
      <c r="A88" s="31" t="inlineStr">
        <is>
          <t>EV-084</t>
        </is>
      </c>
      <c r="B88" s="32" t="n"/>
      <c r="C88" s="32" t="n"/>
      <c r="D88" s="32" t="n"/>
      <c r="E88" s="32" t="n"/>
      <c r="F88" s="32" t="n"/>
      <c r="G88" s="32" t="n"/>
      <c r="H88" s="32" t="n"/>
    </row>
    <row r="89">
      <c r="A89" s="31" t="inlineStr">
        <is>
          <t>EV-085</t>
        </is>
      </c>
      <c r="B89" s="32" t="n"/>
      <c r="C89" s="32" t="n"/>
      <c r="D89" s="32" t="n"/>
      <c r="E89" s="32" t="n"/>
      <c r="F89" s="32" t="n"/>
      <c r="G89" s="32" t="n"/>
      <c r="H89" s="32" t="n"/>
    </row>
    <row r="90">
      <c r="A90" s="31" t="inlineStr">
        <is>
          <t>EV-086</t>
        </is>
      </c>
      <c r="B90" s="32" t="n"/>
      <c r="C90" s="32" t="n"/>
      <c r="D90" s="32" t="n"/>
      <c r="E90" s="32" t="n"/>
      <c r="F90" s="32" t="n"/>
      <c r="G90" s="32" t="n"/>
      <c r="H90" s="32" t="n"/>
    </row>
    <row r="91">
      <c r="A91" s="31" t="inlineStr">
        <is>
          <t>EV-087</t>
        </is>
      </c>
      <c r="B91" s="32" t="n"/>
      <c r="C91" s="32" t="n"/>
      <c r="D91" s="32" t="n"/>
      <c r="E91" s="32" t="n"/>
      <c r="F91" s="32" t="n"/>
      <c r="G91" s="32" t="n"/>
      <c r="H91" s="32" t="n"/>
    </row>
    <row r="92">
      <c r="A92" s="31" t="inlineStr">
        <is>
          <t>EV-088</t>
        </is>
      </c>
      <c r="B92" s="32" t="n"/>
      <c r="C92" s="32" t="n"/>
      <c r="D92" s="32" t="n"/>
      <c r="E92" s="32" t="n"/>
      <c r="F92" s="32" t="n"/>
      <c r="G92" s="32" t="n"/>
      <c r="H92" s="32" t="n"/>
    </row>
    <row r="93">
      <c r="A93" s="31" t="inlineStr">
        <is>
          <t>EV-089</t>
        </is>
      </c>
      <c r="B93" s="32" t="n"/>
      <c r="C93" s="32" t="n"/>
      <c r="D93" s="32" t="n"/>
      <c r="E93" s="32" t="n"/>
      <c r="F93" s="32" t="n"/>
      <c r="G93" s="32" t="n"/>
      <c r="H93" s="32" t="n"/>
    </row>
    <row r="94">
      <c r="A94" s="31" t="inlineStr">
        <is>
          <t>EV-090</t>
        </is>
      </c>
      <c r="B94" s="32" t="n"/>
      <c r="C94" s="32" t="n"/>
      <c r="D94" s="32" t="n"/>
      <c r="E94" s="32" t="n"/>
      <c r="F94" s="32" t="n"/>
      <c r="G94" s="32" t="n"/>
      <c r="H94" s="32" t="n"/>
    </row>
    <row r="95">
      <c r="A95" s="31" t="inlineStr">
        <is>
          <t>EV-091</t>
        </is>
      </c>
      <c r="B95" s="32" t="n"/>
      <c r="C95" s="32" t="n"/>
      <c r="D95" s="32" t="n"/>
      <c r="E95" s="32" t="n"/>
      <c r="F95" s="32" t="n"/>
      <c r="G95" s="32" t="n"/>
      <c r="H95" s="32" t="n"/>
    </row>
    <row r="96">
      <c r="A96" s="31" t="inlineStr">
        <is>
          <t>EV-092</t>
        </is>
      </c>
      <c r="B96" s="32" t="n"/>
      <c r="C96" s="32" t="n"/>
      <c r="D96" s="32" t="n"/>
      <c r="E96" s="32" t="n"/>
      <c r="F96" s="32" t="n"/>
      <c r="G96" s="32" t="n"/>
      <c r="H96" s="32" t="n"/>
    </row>
    <row r="97">
      <c r="A97" s="31" t="inlineStr">
        <is>
          <t>EV-093</t>
        </is>
      </c>
      <c r="B97" s="32" t="n"/>
      <c r="C97" s="32" t="n"/>
      <c r="D97" s="32" t="n"/>
      <c r="E97" s="32" t="n"/>
      <c r="F97" s="32" t="n"/>
      <c r="G97" s="32" t="n"/>
      <c r="H97" s="32" t="n"/>
    </row>
    <row r="98">
      <c r="A98" s="31" t="inlineStr">
        <is>
          <t>EV-094</t>
        </is>
      </c>
      <c r="B98" s="32" t="n"/>
      <c r="C98" s="32" t="n"/>
      <c r="D98" s="32" t="n"/>
      <c r="E98" s="32" t="n"/>
      <c r="F98" s="32" t="n"/>
      <c r="G98" s="32" t="n"/>
      <c r="H98" s="32" t="n"/>
    </row>
    <row r="99">
      <c r="A99" s="31" t="inlineStr">
        <is>
          <t>EV-095</t>
        </is>
      </c>
      <c r="B99" s="32" t="n"/>
      <c r="C99" s="32" t="n"/>
      <c r="D99" s="32" t="n"/>
      <c r="E99" s="32" t="n"/>
      <c r="F99" s="32" t="n"/>
      <c r="G99" s="32" t="n"/>
      <c r="H99" s="32" t="n"/>
    </row>
    <row r="100">
      <c r="A100" s="31" t="inlineStr">
        <is>
          <t>EV-096</t>
        </is>
      </c>
      <c r="B100" s="32" t="n"/>
      <c r="C100" s="32" t="n"/>
      <c r="D100" s="32" t="n"/>
      <c r="E100" s="32" t="n"/>
      <c r="F100" s="32" t="n"/>
      <c r="G100" s="32" t="n"/>
      <c r="H100" s="32" t="n"/>
    </row>
    <row r="101">
      <c r="A101" s="31" t="inlineStr">
        <is>
          <t>EV-097</t>
        </is>
      </c>
      <c r="B101" s="32" t="n"/>
      <c r="C101" s="32" t="n"/>
      <c r="D101" s="32" t="n"/>
      <c r="E101" s="32" t="n"/>
      <c r="F101" s="32" t="n"/>
      <c r="G101" s="32" t="n"/>
      <c r="H101" s="32" t="n"/>
    </row>
    <row r="102">
      <c r="A102" s="31" t="inlineStr">
        <is>
          <t>EV-098</t>
        </is>
      </c>
      <c r="B102" s="32" t="n"/>
      <c r="C102" s="32" t="n"/>
      <c r="D102" s="32" t="n"/>
      <c r="E102" s="32" t="n"/>
      <c r="F102" s="32" t="n"/>
      <c r="G102" s="32" t="n"/>
      <c r="H102" s="32" t="n"/>
    </row>
    <row r="103">
      <c r="A103" s="31" t="inlineStr">
        <is>
          <t>EV-099</t>
        </is>
      </c>
      <c r="B103" s="32" t="n"/>
      <c r="C103" s="32" t="n"/>
      <c r="D103" s="32" t="n"/>
      <c r="E103" s="32" t="n"/>
      <c r="F103" s="32" t="n"/>
      <c r="G103" s="32" t="n"/>
      <c r="H103" s="32" t="n"/>
    </row>
    <row r="104">
      <c r="A104" s="31" t="inlineStr">
        <is>
          <t>EV-100</t>
        </is>
      </c>
      <c r="B104" s="32" t="n"/>
      <c r="C104" s="32" t="n"/>
      <c r="D104" s="32" t="n"/>
      <c r="E104" s="32" t="n"/>
      <c r="F104" s="32" t="n"/>
      <c r="G104" s="32" t="n"/>
      <c r="H104" s="32" t="n"/>
    </row>
  </sheetData>
  <mergeCells count="2">
    <mergeCell ref="A2:H2"/>
    <mergeCell ref="A1:H1"/>
  </mergeCells>
  <dataValidations count="2">
    <dataValidation sqref="C5:C104" showDropDown="0" showInputMessage="0" showErrorMessage="0" allowBlank="1" type="list">
      <formula1>"Screenshot,Configuration Export,Log Sample,Report,Procedure,Email,Audit Report,Test Results,Policy Document,Meeting Minutes,Other"</formula1>
    </dataValidation>
    <dataValidation sqref="H5:H104" showDropDown="0" showInputMessage="0" showErrorMessage="0" allowBlank="1" type="list">
      <formula1>"Verified,Pending,Not Verified,Expired"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0" customWidth="1" min="4" max="4"/>
    <col width="15" customWidth="1" min="5" max="5"/>
    <col width="18" customWidth="1" min="6" max="6"/>
    <col width="15" customWidth="1" min="7" max="7"/>
  </cols>
  <sheetData>
    <row r="1" ht="30" customHeight="1">
      <c r="A1" s="1" t="inlineStr">
        <is>
          <t>AUDIT READINESS ASSESSMENT</t>
        </is>
      </c>
    </row>
    <row r="2">
      <c r="A2" s="16" t="inlineStr">
        <is>
          <t>Assessment of readiness for internal and external audits</t>
        </is>
      </c>
    </row>
    <row r="4">
      <c r="A4" s="33" t="inlineStr">
        <is>
          <t>Audit Area</t>
        </is>
      </c>
      <c r="B4" s="33" t="inlineStr">
        <is>
          <t>Evidence Available</t>
        </is>
      </c>
      <c r="C4" s="33" t="inlineStr">
        <is>
          <t>Gaps Identified</t>
        </is>
      </c>
      <c r="D4" s="33" t="inlineStr">
        <is>
          <t>Remediation Status</t>
        </is>
      </c>
      <c r="E4" s="33" t="inlineStr">
        <is>
          <t>Target Date</t>
        </is>
      </c>
      <c r="F4" s="33" t="inlineStr">
        <is>
          <t>Owner</t>
        </is>
      </c>
      <c r="G4" s="33" t="inlineStr">
        <is>
          <t>Status</t>
        </is>
      </c>
    </row>
    <row r="5">
      <c r="A5" t="inlineStr">
        <is>
          <t>Change Process Documentation</t>
        </is>
      </c>
      <c r="B5" s="34" t="inlineStr"/>
      <c r="C5" s="34" t="inlineStr"/>
      <c r="D5" s="34" t="inlineStr"/>
      <c r="E5" s="34" t="inlineStr"/>
      <c r="F5" s="34" t="inlineStr"/>
      <c r="G5" s="34" t="inlineStr"/>
    </row>
    <row r="6">
      <c r="A6" t="inlineStr">
        <is>
          <t>Change Type Classification</t>
        </is>
      </c>
      <c r="B6" s="34" t="inlineStr"/>
      <c r="C6" s="34" t="inlineStr"/>
      <c r="D6" s="34" t="inlineStr"/>
      <c r="E6" s="34" t="inlineStr"/>
      <c r="F6" s="34" t="inlineStr"/>
      <c r="G6" s="34" t="inlineStr"/>
    </row>
    <row r="7">
      <c r="A7" t="inlineStr">
        <is>
          <t>Environment Separation</t>
        </is>
      </c>
      <c r="B7" s="34" t="inlineStr"/>
      <c r="C7" s="34" t="inlineStr"/>
      <c r="D7" s="34" t="inlineStr"/>
      <c r="E7" s="34" t="inlineStr"/>
      <c r="F7" s="34" t="inlineStr"/>
      <c r="G7" s="34" t="inlineStr"/>
    </row>
    <row r="8">
      <c r="A8" t="inlineStr">
        <is>
          <t>Testing &amp; Validation</t>
        </is>
      </c>
      <c r="B8" s="34" t="inlineStr"/>
      <c r="C8" s="34" t="inlineStr"/>
      <c r="D8" s="34" t="inlineStr"/>
      <c r="E8" s="34" t="inlineStr"/>
      <c r="F8" s="34" t="inlineStr"/>
      <c r="G8" s="34" t="inlineStr"/>
    </row>
    <row r="9">
      <c r="A9" t="inlineStr">
        <is>
          <t>Evidence Collection</t>
        </is>
      </c>
      <c r="B9" s="34" t="inlineStr"/>
      <c r="C9" s="34" t="inlineStr"/>
      <c r="D9" s="34" t="inlineStr"/>
      <c r="E9" s="34" t="inlineStr"/>
      <c r="F9" s="34" t="inlineStr"/>
      <c r="G9" s="34" t="inlineStr"/>
    </row>
    <row r="10">
      <c r="A10" t="inlineStr">
        <is>
          <t>Risk Management</t>
        </is>
      </c>
      <c r="B10" s="34" t="inlineStr"/>
      <c r="C10" s="34" t="inlineStr"/>
      <c r="D10" s="34" t="inlineStr"/>
      <c r="E10" s="34" t="inlineStr"/>
      <c r="F10" s="34" t="inlineStr"/>
      <c r="G10" s="34" t="inlineStr"/>
    </row>
    <row r="11">
      <c r="A11" t="inlineStr">
        <is>
          <t>Compliance Metrics</t>
        </is>
      </c>
      <c r="B11" s="34" t="inlineStr"/>
      <c r="C11" s="34" t="inlineStr"/>
      <c r="D11" s="34" t="inlineStr"/>
      <c r="E11" s="34" t="inlineStr"/>
      <c r="F11" s="34" t="inlineStr"/>
      <c r="G11" s="3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</row>
    <row r="3">
      <c r="A3" s="35" t="inlineStr">
        <is>
          <t>ASSESSMENT SUMMARY</t>
        </is>
      </c>
    </row>
    <row r="4">
      <c r="A4" s="36" t="inlineStr">
        <is>
          <t>Document ID:</t>
        </is>
      </c>
      <c r="B4" t="inlineStr">
        <is>
          <t>ISMS-IMP-A.8.32.5</t>
        </is>
      </c>
    </row>
    <row r="5">
      <c r="A5" s="36" t="inlineStr">
        <is>
          <t>Assessment:</t>
        </is>
      </c>
      <c r="B5" t="inlineStr">
        <is>
          <t>Compliance Dashboard</t>
        </is>
      </c>
    </row>
    <row r="6">
      <c r="A6" s="36" t="inlineStr">
        <is>
          <t>Control Reference:</t>
        </is>
      </c>
      <c r="B6" t="inlineStr">
        <is>
          <t>ISO/IEC 27001:2022 - Control A.8.32: Change Management</t>
        </is>
      </c>
    </row>
    <row r="7">
      <c r="A7" s="36" t="inlineStr">
        <is>
          <t>Assessment Status:</t>
        </is>
      </c>
      <c r="B7" s="4" t="inlineStr"/>
    </row>
    <row r="8">
      <c r="A8" s="36" t="inlineStr">
        <is>
          <t>Overall Rating:</t>
        </is>
      </c>
      <c r="B8" s="4" t="inlineStr"/>
    </row>
    <row r="10">
      <c r="A10" s="35" t="inlineStr">
        <is>
          <t>COMPLETED BY</t>
        </is>
      </c>
    </row>
    <row r="11">
      <c r="A11" s="36" t="inlineStr">
        <is>
          <t>Name:</t>
        </is>
      </c>
      <c r="B11" s="4" t="n"/>
    </row>
    <row r="12">
      <c r="A12" s="36" t="inlineStr">
        <is>
          <t>Title:</t>
        </is>
      </c>
      <c r="B12" s="4" t="n"/>
    </row>
    <row r="13">
      <c r="A13" s="36" t="inlineStr">
        <is>
          <t>Date:</t>
        </is>
      </c>
      <c r="B13" s="4" t="n"/>
    </row>
    <row r="14">
      <c r="A14" s="36" t="inlineStr">
        <is>
          <t>Signature:</t>
        </is>
      </c>
      <c r="B14" s="4" t="n"/>
    </row>
    <row r="15">
      <c r="A15" s="36" t="inlineStr">
        <is>
          <t>Comments:</t>
        </is>
      </c>
      <c r="B15" s="4" t="n"/>
    </row>
    <row r="17">
      <c r="A17" s="35" t="inlineStr">
        <is>
          <t>REVIEWED BY</t>
        </is>
      </c>
    </row>
    <row r="18">
      <c r="A18" s="36" t="inlineStr">
        <is>
          <t>Name:</t>
        </is>
      </c>
      <c r="B18" s="4" t="n"/>
    </row>
    <row r="19">
      <c r="A19" s="36" t="inlineStr">
        <is>
          <t>Title:</t>
        </is>
      </c>
      <c r="B19" s="4" t="n"/>
    </row>
    <row r="20">
      <c r="A20" s="36" t="inlineStr">
        <is>
          <t>Date:</t>
        </is>
      </c>
      <c r="B20" s="4" t="n"/>
    </row>
    <row r="21">
      <c r="A21" s="36" t="inlineStr">
        <is>
          <t>Signature:</t>
        </is>
      </c>
      <c r="B21" s="4" t="n"/>
    </row>
    <row r="22">
      <c r="A22" s="36" t="inlineStr">
        <is>
          <t>Comments:</t>
        </is>
      </c>
      <c r="B22" s="4" t="n"/>
    </row>
    <row r="24">
      <c r="A24" s="37" t="inlineStr">
        <is>
          <t>APPROVED BY — CISO</t>
        </is>
      </c>
    </row>
    <row r="25">
      <c r="A25" s="36" t="inlineStr">
        <is>
          <t>Name:</t>
        </is>
      </c>
      <c r="B25" s="4" t="n"/>
    </row>
    <row r="26">
      <c r="A26" s="36" t="inlineStr">
        <is>
          <t>Title:</t>
        </is>
      </c>
      <c r="B26" s="4" t="n"/>
    </row>
    <row r="27">
      <c r="A27" s="36" t="inlineStr">
        <is>
          <t>Date:</t>
        </is>
      </c>
      <c r="B27" s="4" t="n"/>
    </row>
    <row r="28">
      <c r="A28" s="36" t="inlineStr">
        <is>
          <t>Signature:</t>
        </is>
      </c>
      <c r="B28" s="4" t="n"/>
    </row>
    <row r="29">
      <c r="A29" s="36" t="inlineStr">
        <is>
          <t>Comments:</t>
        </is>
      </c>
      <c r="B29" s="4" t="n"/>
    </row>
    <row r="30">
      <c r="A30" s="36" t="inlineStr">
        <is>
          <t>FINAL DECISION:</t>
        </is>
      </c>
      <c r="B30" s="4" t="n"/>
    </row>
    <row r="33">
      <c r="A33" s="35" t="inlineStr">
        <is>
          <t>NEXT REVIEW DETAILS</t>
        </is>
      </c>
    </row>
    <row r="34">
      <c r="A34" s="36" t="inlineStr">
        <is>
          <t>Next Review Date:</t>
        </is>
      </c>
      <c r="B34" s="4" t="n"/>
    </row>
    <row r="35">
      <c r="A35" s="36" t="inlineStr">
        <is>
          <t>Review Frequency:</t>
        </is>
      </c>
      <c r="B35" s="4" t="n"/>
    </row>
    <row r="36">
      <c r="A36" s="36" t="inlineStr">
        <is>
          <t>Scheduled Reviewer:</t>
        </is>
      </c>
      <c r="B36" s="4" t="n"/>
    </row>
  </sheetData>
  <mergeCells count="30">
    <mergeCell ref="A24:E24"/>
    <mergeCell ref="B6:E6"/>
    <mergeCell ref="B30:E30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18:E18"/>
    <mergeCell ref="B27:E27"/>
    <mergeCell ref="B12:E12"/>
    <mergeCell ref="B21:E21"/>
    <mergeCell ref="A33:E33"/>
    <mergeCell ref="B11:E11"/>
    <mergeCell ref="A17:E17"/>
    <mergeCell ref="B14:E14"/>
    <mergeCell ref="B8:E8"/>
    <mergeCell ref="A10:E10"/>
    <mergeCell ref="B13:E13"/>
    <mergeCell ref="B29:E29"/>
    <mergeCell ref="B19:E19"/>
    <mergeCell ref="B34:E34"/>
    <mergeCell ref="B28:E28"/>
  </mergeCells>
  <dataValidations count="2">
    <dataValidation sqref="B7" showDropDown="0" showInputMessage="0" showErrorMessage="0" allowBlank="0" type="list">
      <formula1>"Draft,Final,Requires remediation,Re-assessment required"</formula1>
    </dataValidation>
    <dataValidation sqref="B30" showDropDown="0" showInputMessage="0" showErrorMessage="0" allowBlank="0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2026-02-10T21:34:37Z</dcterms:created>
  <dcterms:modified xmlns:dcterms="http://purl.org/dc/terms/" xmlns:xsi="http://www.w3.org/2001/XMLSchema-instance" xsi:type="dcterms:W3CDTF">2026-02-10T21:34:37Z</dcterms:modified>
</cp:coreProperties>
</file>