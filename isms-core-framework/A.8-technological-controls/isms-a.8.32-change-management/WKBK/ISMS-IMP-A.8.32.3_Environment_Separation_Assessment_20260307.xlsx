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Access Controls" sheetId="3" state="visible" r:id="rId3"/>
    <sheet xmlns:r="http://schemas.openxmlformats.org/officeDocument/2006/relationships" name="Promotion Workflows" sheetId="4" state="visible" r:id="rId4"/>
    <sheet xmlns:r="http://schemas.openxmlformats.org/officeDocument/2006/relationships" name="Data Protection" sheetId="5" state="visible" r:id="rId5"/>
    <sheet xmlns:r="http://schemas.openxmlformats.org/officeDocument/2006/relationships" name="Environment Config" sheetId="6" state="visible" r:id="rId6"/>
    <sheet xmlns:r="http://schemas.openxmlformats.org/officeDocument/2006/relationships" name="Separation Control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0" borderId="0" pivotButton="0" quotePrefix="0" xfId="0"/>
    <xf numFmtId="0" fontId="0" fillId="10" borderId="1"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1" borderId="1" applyAlignment="1" pivotButton="0" quotePrefix="0" xfId="0">
      <alignment horizontal="center" vertical="center"/>
    </xf>
    <xf numFmtId="164"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4"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2" borderId="1" applyAlignment="1" pivotButton="0" quotePrefix="0" xfId="0">
      <alignment horizontal="left" vertical="center"/>
    </xf>
    <xf numFmtId="0" fontId="13" fillId="9" borderId="1" applyAlignment="1" pivotButton="0" quotePrefix="0" xfId="0">
      <alignment horizontal="center"/>
    </xf>
    <xf numFmtId="0" fontId="14" fillId="10" borderId="1" pivotButton="0" quotePrefix="0" xfId="0"/>
    <xf numFmtId="0" fontId="14" fillId="10"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ISMS-IMP-A.8.32.3  -  Environment Separation Assessment
ISO/IEC 27001:2022 - Control A.8.32: Change Management</t>
        </is>
      </c>
    </row>
    <row r="3">
      <c r="A3" s="2" t="inlineStr">
        <is>
          <t>Document Information</t>
        </is>
      </c>
    </row>
    <row r="4">
      <c r="A4" s="3" t="inlineStr">
        <is>
          <t>Document ID</t>
        </is>
      </c>
      <c r="B4" t="inlineStr">
        <is>
          <t>ISMS-IMP-A.8.32.3</t>
        </is>
      </c>
    </row>
    <row r="5">
      <c r="A5" s="3" t="inlineStr">
        <is>
          <t>Workbook Title</t>
        </is>
      </c>
      <c r="B5" t="inlineStr">
        <is>
          <t>Environment Separation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development environment configuration and controls.</t>
        </is>
      </c>
    </row>
    <row r="14">
      <c r="A14" t="inlineStr">
        <is>
          <t>2. Document YOUR test/QA environment configuration and controls.</t>
        </is>
      </c>
    </row>
    <row r="15">
      <c r="A15" t="inlineStr">
        <is>
          <t>3. Document YOUR production environment configuration and controls.</t>
        </is>
      </c>
    </row>
    <row r="16">
      <c r="A16" t="inlineStr">
        <is>
          <t>4. Define YOUR environment promotion procedures.</t>
        </is>
      </c>
    </row>
    <row r="17">
      <c r="A17" t="inlineStr">
        <is>
          <t>5. Assess YOUR production data usage in non-production environments (Control 8.33).</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DEVELOPMENT ENVIRONMENT ASSESSMENT</t>
        </is>
      </c>
    </row>
    <row r="2">
      <c r="A2" s="12" t="inlineStr">
        <is>
          <t>Document development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Deployment Tools Used</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15" t="n"/>
      <c r="C23" s="15" t="n"/>
      <c r="D23" s="15" t="n"/>
      <c r="E23" s="15" t="n"/>
    </row>
    <row r="24">
      <c r="A24" t="inlineStr">
        <is>
          <t>Role-Based Access Control (RBAC) implemented?</t>
        </is>
      </c>
      <c r="B24" s="15" t="n"/>
      <c r="C24" s="15" t="n"/>
      <c r="D24" s="15" t="n"/>
      <c r="E24" s="15" t="n"/>
    </row>
    <row r="25">
      <c r="A25" t="inlineStr">
        <is>
          <t>Access approval process defined?</t>
        </is>
      </c>
      <c r="B25" s="15" t="n"/>
      <c r="C25" s="15" t="n"/>
      <c r="D25" s="15" t="n"/>
      <c r="E25" s="15" t="n"/>
    </row>
    <row r="26">
      <c r="A26" t="inlineStr">
        <is>
          <t>Access request tracked in ticket system?</t>
        </is>
      </c>
      <c r="B26" s="15" t="n"/>
      <c r="C26" s="15" t="n"/>
      <c r="D26" s="15" t="n"/>
      <c r="E26" s="15" t="n"/>
    </row>
    <row r="27">
      <c r="A27" t="inlineStr">
        <is>
          <t>Multi-Factor Authentication (MFA) required?</t>
        </is>
      </c>
      <c r="B27" s="15" t="n"/>
      <c r="C27" s="15" t="n"/>
      <c r="D27" s="15" t="n"/>
      <c r="E27" s="15" t="n"/>
    </row>
    <row r="28">
      <c r="A28" t="inlineStr">
        <is>
          <t>Access review performed?</t>
        </is>
      </c>
      <c r="B28" s="15" t="n"/>
      <c r="C28" s="15" t="n"/>
      <c r="D28" s="15" t="n"/>
      <c r="E28" s="15" t="n"/>
    </row>
    <row r="29">
      <c r="A29" t="inlineStr">
        <is>
          <t>Privileged access tracked separately?</t>
        </is>
      </c>
      <c r="B29" s="15" t="n"/>
      <c r="C29" s="15" t="n"/>
      <c r="D29" s="15" t="n"/>
      <c r="E29" s="15" t="n"/>
    </row>
    <row r="30">
      <c r="A30" t="inlineStr">
        <is>
          <t>Shared accounts prohibited?</t>
        </is>
      </c>
      <c r="B30" s="15" t="n"/>
      <c r="C30" s="15" t="n"/>
      <c r="D30" s="15" t="n"/>
      <c r="E30" s="15" t="n"/>
    </row>
    <row r="31">
      <c r="A31" t="inlineStr">
        <is>
          <t>SSH key management implemented?</t>
        </is>
      </c>
      <c r="B31" s="15" t="n"/>
      <c r="C31" s="15" t="n"/>
      <c r="D31" s="15" t="n"/>
      <c r="E31" s="15" t="n"/>
    </row>
    <row r="32">
      <c r="A32" t="inlineStr">
        <is>
          <t>Service accounts documented?</t>
        </is>
      </c>
      <c r="B32" s="15" t="n"/>
      <c r="C32" s="15" t="n"/>
      <c r="D32" s="15" t="n"/>
      <c r="E32" s="15" t="n"/>
    </row>
    <row r="33">
      <c r="A33" t="inlineStr">
        <is>
          <t>Emergency access procedure defined?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Synthetic data generation capability?</t>
        </is>
      </c>
      <c r="B40" s="15" t="n"/>
      <c r="C40" s="15" t="n"/>
      <c r="D40" s="15" t="n"/>
      <c r="E40" s="15" t="n"/>
    </row>
    <row r="41">
      <c r="A41" t="inlineStr">
        <is>
          <t>Data subset strategy implemented?</t>
        </is>
      </c>
      <c r="B41" s="15" t="n"/>
      <c r="C41" s="15" t="n"/>
      <c r="D41" s="15" t="n"/>
      <c r="E41" s="15" t="n"/>
    </row>
    <row r="42">
      <c r="A42" t="inlineStr">
        <is>
          <t>Encryption at rest implemented?</t>
        </is>
      </c>
      <c r="B42" s="15" t="n"/>
      <c r="C42" s="15" t="n"/>
      <c r="D42" s="15" t="n"/>
      <c r="E42" s="15" t="n"/>
    </row>
    <row r="43">
      <c r="A43" t="inlineStr">
        <is>
          <t>Encryption in transit enforced?</t>
        </is>
      </c>
      <c r="B43" s="15" t="n"/>
      <c r="C43" s="15" t="n"/>
      <c r="D43" s="15" t="n"/>
      <c r="E43" s="15" t="n"/>
    </row>
    <row r="44">
      <c r="A44" t="inlineStr">
        <is>
          <t>DPO approval obtained (if prod data)?</t>
        </is>
      </c>
      <c r="B44" s="15" t="n"/>
      <c r="C44" s="15" t="n"/>
      <c r="D44" s="15" t="n"/>
      <c r="E44" s="15" t="n"/>
    </row>
    <row r="46">
      <c r="A46" s="1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15" t="n"/>
      <c r="C48" s="15" t="n"/>
      <c r="D48" s="15" t="n"/>
      <c r="E48" s="15" t="n"/>
    </row>
    <row r="49">
      <c r="A49" t="inlineStr">
        <is>
          <t>Version control system in use?</t>
        </is>
      </c>
      <c r="B49" s="15" t="n"/>
      <c r="C49" s="15" t="n"/>
      <c r="D49" s="15" t="n"/>
      <c r="E49" s="15" t="n"/>
    </row>
    <row r="50">
      <c r="A50" t="inlineStr">
        <is>
          <t>Code review process defined?</t>
        </is>
      </c>
      <c r="B50" s="15" t="n"/>
      <c r="C50" s="15" t="n"/>
      <c r="D50" s="15" t="n"/>
      <c r="E50" s="15" t="n"/>
    </row>
    <row r="51">
      <c r="A51" t="inlineStr">
        <is>
          <t>Testing before promotion to test environment?</t>
        </is>
      </c>
      <c r="B51" s="15" t="n"/>
      <c r="C51" s="15" t="n"/>
      <c r="D51" s="15" t="n"/>
      <c r="E51" s="15" t="n"/>
    </row>
    <row r="52">
      <c r="A52" t="inlineStr">
        <is>
          <t>Automated testing implemented?</t>
        </is>
      </c>
      <c r="B52" s="15" t="n"/>
      <c r="C52" s="15" t="n"/>
      <c r="D52" s="15" t="n"/>
      <c r="E52" s="15" t="n"/>
    </row>
  </sheetData>
  <mergeCells count="6">
    <mergeCell ref="A21:E21"/>
    <mergeCell ref="A35:E35"/>
    <mergeCell ref="A4:E4"/>
    <mergeCell ref="A2:E2"/>
    <mergeCell ref="A1:E1"/>
    <mergeCell ref="A46:E46"/>
  </mergeCells>
  <dataValidations count="17">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D6 D7 D8 D9 D10 D11 D12 D13 D14 D15 D16 D17 D18 D19 D23 D24 D25 D26 D27 D28 D29 D30 D31 D32 D33 D37 D38 D39 D40 D41 D42 D43 D44 D48 D49 D50 D51 D52" showDropDown="0" showInputMessage="0" showErrorMessage="0" allowBlank="1" type="list">
      <formula1>"Change Request,Policy Document,Process Record,System Screenshot,Configuration Export,Audit Log,Training Record,Test Result,Risk Assessment,Meeting Minutes,Other,N/A"</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TEST/QA ENVIRONMENT ASSESSMENT</t>
        </is>
      </c>
    </row>
    <row r="2">
      <c r="A2" s="12" t="inlineStr">
        <is>
          <t>Document test/QA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Test Automation Tools</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15" t="n"/>
      <c r="C23" s="15" t="n"/>
      <c r="D23" s="15" t="n"/>
      <c r="E23" s="15" t="n"/>
    </row>
    <row r="24">
      <c r="A24" t="inlineStr">
        <is>
          <t>Developer access restricted vs development?</t>
        </is>
      </c>
      <c r="B24" s="15" t="n"/>
      <c r="C24" s="15" t="n"/>
      <c r="D24" s="15" t="n"/>
      <c r="E24" s="15" t="n"/>
    </row>
    <row r="25">
      <c r="A25" t="inlineStr">
        <is>
          <t>Role-Based Access Control (RBAC) implemented?</t>
        </is>
      </c>
      <c r="B25" s="15" t="n"/>
      <c r="C25" s="15" t="n"/>
      <c r="D25" s="15" t="n"/>
      <c r="E25" s="15" t="n"/>
    </row>
    <row r="26">
      <c r="A26" t="inlineStr">
        <is>
          <t>Access approval process defined?</t>
        </is>
      </c>
      <c r="B26" s="15" t="n"/>
      <c r="C26" s="15" t="n"/>
      <c r="D26" s="15" t="n"/>
      <c r="E26" s="15" t="n"/>
    </row>
    <row r="27">
      <c r="A27" t="inlineStr">
        <is>
          <t>Access request tracked in ticket system?</t>
        </is>
      </c>
      <c r="B27" s="15" t="n"/>
      <c r="C27" s="15" t="n"/>
      <c r="D27" s="15" t="n"/>
      <c r="E27" s="15" t="n"/>
    </row>
    <row r="28">
      <c r="A28" t="inlineStr">
        <is>
          <t>Multi-Factor Authentication (MFA) required?</t>
        </is>
      </c>
      <c r="B28" s="15" t="n"/>
      <c r="C28" s="15" t="n"/>
      <c r="D28" s="15" t="n"/>
      <c r="E28" s="15" t="n"/>
    </row>
    <row r="29">
      <c r="A29" t="inlineStr">
        <is>
          <t>Access review performed?</t>
        </is>
      </c>
      <c r="B29" s="15" t="n"/>
      <c r="C29" s="15" t="n"/>
      <c r="D29" s="15" t="n"/>
      <c r="E29" s="15" t="n"/>
    </row>
    <row r="30">
      <c r="A30" t="inlineStr">
        <is>
          <t>Privileged access tracked separately?</t>
        </is>
      </c>
      <c r="B30" s="15" t="n"/>
      <c r="C30" s="15" t="n"/>
      <c r="D30" s="15" t="n"/>
      <c r="E30" s="15" t="n"/>
    </row>
    <row r="31">
      <c r="A31" t="inlineStr">
        <is>
          <t>Shared accounts prohibited?</t>
        </is>
      </c>
      <c r="B31" s="15" t="n"/>
      <c r="C31" s="15" t="n"/>
      <c r="D31" s="15" t="n"/>
      <c r="E31" s="15" t="n"/>
    </row>
    <row r="32">
      <c r="A32" t="inlineStr">
        <is>
          <t>Test data access logged?</t>
        </is>
      </c>
      <c r="B32" s="15" t="n"/>
      <c r="C32" s="15" t="n"/>
      <c r="D32" s="15" t="n"/>
      <c r="E32" s="15" t="n"/>
    </row>
    <row r="33">
      <c r="A33" t="inlineStr">
        <is>
          <t>UAT user access documented?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Anonymization effectiveness tested?</t>
        </is>
      </c>
      <c r="B40" s="15" t="n"/>
      <c r="C40" s="15" t="n"/>
      <c r="D40" s="15" t="n"/>
      <c r="E40" s="15" t="n"/>
    </row>
    <row r="41">
      <c r="A41" t="inlineStr">
        <is>
          <t>Synthetic data generation capability?</t>
        </is>
      </c>
      <c r="B41" s="15" t="n"/>
      <c r="C41" s="15" t="n"/>
      <c r="D41" s="15" t="n"/>
      <c r="E41" s="15" t="n"/>
    </row>
    <row r="42">
      <c r="A42" t="inlineStr">
        <is>
          <t>Data subset strategy implemented?</t>
        </is>
      </c>
      <c r="B42" s="15" t="n"/>
      <c r="C42" s="15" t="n"/>
      <c r="D42" s="15" t="n"/>
      <c r="E42" s="15" t="n"/>
    </row>
    <row r="43">
      <c r="A43" t="inlineStr">
        <is>
          <t>Re-identification risk assessed?</t>
        </is>
      </c>
      <c r="B43" s="15" t="n"/>
      <c r="C43" s="15" t="n"/>
      <c r="D43" s="15" t="n"/>
      <c r="E43" s="15" t="n"/>
    </row>
    <row r="44">
      <c r="A44" t="inlineStr">
        <is>
          <t>Encryption at rest implemented?</t>
        </is>
      </c>
      <c r="B44" s="15" t="n"/>
      <c r="C44" s="15" t="n"/>
      <c r="D44" s="15" t="n"/>
      <c r="E44" s="15" t="n"/>
    </row>
    <row r="45">
      <c r="A45" t="inlineStr">
        <is>
          <t>Encryption in transit enforced?</t>
        </is>
      </c>
      <c r="B45" s="15" t="n"/>
      <c r="C45" s="15" t="n"/>
      <c r="D45" s="15" t="n"/>
      <c r="E45" s="15" t="n"/>
    </row>
    <row r="46">
      <c r="A46" t="inlineStr">
        <is>
          <t>Data backup procedures defined?</t>
        </is>
      </c>
      <c r="B46" s="15" t="n"/>
      <c r="C46" s="15" t="n"/>
      <c r="D46" s="15" t="n"/>
      <c r="E46" s="15" t="n"/>
    </row>
    <row r="47">
      <c r="A47" t="inlineStr">
        <is>
          <t>Data retention/disposal policy?</t>
        </is>
      </c>
      <c r="B47" s="15" t="n"/>
      <c r="C47" s="15" t="n"/>
      <c r="D47" s="15" t="n"/>
      <c r="E47" s="15" t="n"/>
    </row>
    <row r="48">
      <c r="A48" t="inlineStr">
        <is>
          <t>Test data refresh procedures?</t>
        </is>
      </c>
      <c r="B48" s="15" t="n"/>
      <c r="C48" s="15" t="n"/>
      <c r="D48" s="15" t="n"/>
      <c r="E48" s="15" t="n"/>
    </row>
    <row r="49">
      <c r="A49" t="inlineStr">
        <is>
          <t>DPO approval obtained (if prod data)?</t>
        </is>
      </c>
      <c r="B49" s="15" t="n"/>
      <c r="C49" s="15" t="n"/>
      <c r="D49" s="15" t="n"/>
      <c r="E49" s="15" t="n"/>
    </row>
    <row r="51">
      <c r="A51" s="1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15" t="n"/>
      <c r="C53" s="15" t="n"/>
      <c r="D53" s="15" t="n"/>
      <c r="E53" s="15" t="n"/>
    </row>
    <row r="54">
      <c r="A54" t="inlineStr">
        <is>
          <t>Test results documented?</t>
        </is>
      </c>
      <c r="B54" s="15" t="n"/>
      <c r="C54" s="15" t="n"/>
      <c r="D54" s="15" t="n"/>
      <c r="E54" s="15" t="n"/>
    </row>
    <row r="55">
      <c r="A55" t="inlineStr">
        <is>
          <t>Automated testing framework?</t>
        </is>
      </c>
      <c r="B55" s="15" t="n"/>
      <c r="C55" s="15" t="n"/>
      <c r="D55" s="15" t="n"/>
      <c r="E55" s="15" t="n"/>
    </row>
    <row r="56">
      <c r="A56" t="inlineStr">
        <is>
          <t>Performance testing capabilities?</t>
        </is>
      </c>
      <c r="B56" s="15" t="n"/>
      <c r="C56" s="15" t="n"/>
      <c r="D56" s="15" t="n"/>
      <c r="E56" s="15" t="n"/>
    </row>
    <row r="57">
      <c r="A57" t="inlineStr">
        <is>
          <t>Security testing performed?</t>
        </is>
      </c>
      <c r="B57" s="15" t="n"/>
      <c r="C57" s="15" t="n"/>
      <c r="D57" s="15" t="n"/>
      <c r="E57" s="15" t="n"/>
    </row>
    <row r="58">
      <c r="A58" t="inlineStr">
        <is>
          <t>UAT sign-off required?</t>
        </is>
      </c>
      <c r="B58" s="15" t="n"/>
      <c r="C58" s="15" t="n"/>
      <c r="D58" s="15" t="n"/>
      <c r="E58" s="15"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5" customHeight="1">
      <c r="A1" s="11" t="inlineStr">
        <is>
          <t>ENVIRONMENT PROMOTION PROCESS</t>
        </is>
      </c>
    </row>
    <row r="2">
      <c r="A2" s="12" t="inlineStr">
        <is>
          <t>Document promotion workflows between environments (Dev → Test → Prod)</t>
        </is>
      </c>
    </row>
    <row r="4">
      <c r="A4" s="1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15" t="n"/>
      <c r="D6" s="15" t="n"/>
      <c r="E6" s="15" t="n"/>
      <c r="F6" s="15" t="n"/>
    </row>
    <row r="7">
      <c r="A7" t="inlineStr">
        <is>
          <t>Test</t>
        </is>
      </c>
      <c r="B7" t="inlineStr">
        <is>
          <t>QA</t>
        </is>
      </c>
      <c r="C7" s="15" t="n"/>
      <c r="D7" s="15" t="n"/>
      <c r="E7" s="15" t="n"/>
      <c r="F7" s="15" t="n"/>
    </row>
    <row r="8">
      <c r="A8" t="inlineStr">
        <is>
          <t>QA</t>
        </is>
      </c>
      <c r="B8" t="inlineStr">
        <is>
          <t>UAT</t>
        </is>
      </c>
      <c r="C8" s="15" t="n"/>
      <c r="D8" s="15" t="n"/>
      <c r="E8" s="15" t="n"/>
      <c r="F8" s="15" t="n"/>
    </row>
    <row r="9">
      <c r="A9" t="inlineStr">
        <is>
          <t>UAT</t>
        </is>
      </c>
      <c r="B9" t="inlineStr">
        <is>
          <t>Production</t>
        </is>
      </c>
      <c r="C9" s="15" t="n"/>
      <c r="D9" s="15" t="n"/>
      <c r="E9" s="15" t="n"/>
      <c r="F9" s="15" t="n"/>
    </row>
    <row r="10">
      <c r="A10" t="inlineStr">
        <is>
          <t>Hotfix</t>
        </is>
      </c>
      <c r="B10" t="inlineStr">
        <is>
          <t>Production (Emergency)</t>
        </is>
      </c>
      <c r="C10" s="15" t="n"/>
      <c r="D10" s="15" t="n"/>
      <c r="E10" s="15" t="n"/>
      <c r="F10" s="15" t="n"/>
    </row>
    <row r="12">
      <c r="A12" s="1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15" t="n"/>
      <c r="C14" s="15" t="n"/>
      <c r="D14" s="15" t="n"/>
      <c r="E14" s="15" t="n"/>
      <c r="F14" s="15" t="n"/>
    </row>
    <row r="15">
      <c r="A15" t="inlineStr">
        <is>
          <t>Unit tests passed?</t>
        </is>
      </c>
      <c r="B15" s="15" t="n"/>
      <c r="C15" s="15" t="n"/>
      <c r="D15" s="15" t="n"/>
      <c r="E15" s="15" t="n"/>
      <c r="F15" s="15" t="n"/>
    </row>
    <row r="16">
      <c r="A16" t="inlineStr">
        <is>
          <t>Integration tests passed?</t>
        </is>
      </c>
      <c r="B16" s="15" t="n"/>
      <c r="C16" s="15" t="n"/>
      <c r="D16" s="15" t="n"/>
      <c r="E16" s="15" t="n"/>
      <c r="F16" s="15" t="n"/>
    </row>
    <row r="17">
      <c r="A17" t="inlineStr">
        <is>
          <t>Security scan passed?</t>
        </is>
      </c>
      <c r="B17" s="15" t="n"/>
      <c r="C17" s="15" t="n"/>
      <c r="D17" s="15" t="n"/>
      <c r="E17" s="15" t="n"/>
      <c r="F17" s="15" t="n"/>
    </row>
    <row r="18">
      <c r="A18" t="inlineStr">
        <is>
          <t>Performance test passed?</t>
        </is>
      </c>
      <c r="B18" s="15" t="n"/>
      <c r="C18" s="15" t="n"/>
      <c r="D18" s="15" t="n"/>
      <c r="E18" s="15" t="n"/>
      <c r="F18" s="15" t="n"/>
    </row>
    <row r="19">
      <c r="A19" t="inlineStr">
        <is>
          <t>UAT sign-off obtained?</t>
        </is>
      </c>
      <c r="B19" s="15" t="n"/>
      <c r="C19" s="15" t="n"/>
      <c r="D19" s="15" t="n"/>
      <c r="E19" s="15" t="n"/>
      <c r="F19" s="15" t="n"/>
    </row>
    <row r="20">
      <c r="A20" t="inlineStr">
        <is>
          <t>Documentation updated?</t>
        </is>
      </c>
      <c r="B20" s="15" t="n"/>
      <c r="C20" s="15" t="n"/>
      <c r="D20" s="15" t="n"/>
      <c r="E20" s="15" t="n"/>
      <c r="F20" s="15" t="n"/>
    </row>
    <row r="21">
      <c r="A21" t="inlineStr">
        <is>
          <t>Change ticket approved?</t>
        </is>
      </c>
      <c r="B21" s="15" t="n"/>
      <c r="C21" s="15" t="n"/>
      <c r="D21" s="15" t="n"/>
      <c r="E21" s="15" t="n"/>
      <c r="F21" s="15" t="n"/>
    </row>
    <row r="22">
      <c r="A22" t="inlineStr">
        <is>
          <t>Rollback plan documented?</t>
        </is>
      </c>
      <c r="B22" s="15" t="n"/>
      <c r="C22" s="15" t="n"/>
      <c r="D22" s="15" t="n"/>
      <c r="E22" s="15" t="n"/>
      <c r="F22" s="15" t="n"/>
    </row>
    <row r="23">
      <c r="A23" t="inlineStr">
        <is>
          <t>Stakeholders notified?</t>
        </is>
      </c>
      <c r="B23" s="15" t="n"/>
      <c r="C23" s="15" t="n"/>
      <c r="D23" s="15" t="n"/>
      <c r="E23" s="15" t="n"/>
      <c r="F23" s="15" t="n"/>
    </row>
    <row r="24">
      <c r="A24" t="inlineStr">
        <is>
          <t>Change window scheduled?</t>
        </is>
      </c>
      <c r="B24" s="15" t="n"/>
      <c r="C24" s="15" t="n"/>
      <c r="D24" s="15" t="n"/>
      <c r="E24" s="15" t="n"/>
      <c r="F24" s="15" t="n"/>
    </row>
    <row r="25">
      <c r="A25" t="inlineStr">
        <is>
          <t>Backup completed?</t>
        </is>
      </c>
      <c r="B25" s="15" t="n"/>
      <c r="C25" s="15" t="n"/>
      <c r="D25" s="15" t="n"/>
      <c r="E25" s="15" t="n"/>
      <c r="F25" s="15" t="n"/>
    </row>
    <row r="26">
      <c r="A26" t="inlineStr">
        <is>
          <t>Validation test defined?</t>
        </is>
      </c>
      <c r="B26" s="15" t="n"/>
      <c r="C26" s="15" t="n"/>
      <c r="D26" s="15" t="n"/>
      <c r="E26" s="15" t="n"/>
      <c r="F26" s="15" t="n"/>
    </row>
    <row r="27">
      <c r="A27" t="inlineStr">
        <is>
          <t>Post-deployment checklist?</t>
        </is>
      </c>
      <c r="B27" s="15" t="n"/>
      <c r="C27" s="15" t="n"/>
      <c r="D27" s="15" t="n"/>
      <c r="E27" s="15" t="n"/>
      <c r="F27" s="15" t="n"/>
    </row>
    <row r="28">
      <c r="A28" t="inlineStr">
        <is>
          <t>CAB approval (if required)?</t>
        </is>
      </c>
      <c r="B28" s="15" t="n"/>
      <c r="C28" s="15" t="n"/>
      <c r="D28" s="15" t="n"/>
      <c r="E28" s="15" t="n"/>
      <c r="F28" s="15" t="n"/>
    </row>
    <row r="29">
      <c r="A29" t="inlineStr">
        <is>
          <t>Emergency bypass procedure?</t>
        </is>
      </c>
      <c r="B29" s="15" t="n"/>
      <c r="C29" s="15" t="n"/>
      <c r="D29" s="15" t="n"/>
      <c r="E29" s="15" t="n"/>
      <c r="F29" s="15" t="n"/>
    </row>
    <row r="31">
      <c r="A31" s="1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15" t="n"/>
      <c r="C33" s="15" t="n"/>
      <c r="D33" s="15" t="n"/>
      <c r="E33" s="15" t="n"/>
      <c r="F33" s="15" t="n"/>
    </row>
    <row r="34">
      <c r="A34" t="inlineStr">
        <is>
          <t>Build automation</t>
        </is>
      </c>
      <c r="B34" s="15" t="n"/>
      <c r="C34" s="15" t="n"/>
      <c r="D34" s="15" t="n"/>
      <c r="E34" s="15" t="n"/>
      <c r="F34" s="15" t="n"/>
    </row>
    <row r="35">
      <c r="A35" t="inlineStr">
        <is>
          <t>Unit testing</t>
        </is>
      </c>
      <c r="B35" s="15" t="n"/>
      <c r="C35" s="15" t="n"/>
      <c r="D35" s="15" t="n"/>
      <c r="E35" s="15" t="n"/>
      <c r="F35" s="15" t="n"/>
    </row>
    <row r="36">
      <c r="A36" t="inlineStr">
        <is>
          <t>Code quality analysis</t>
        </is>
      </c>
      <c r="B36" s="15" t="n"/>
      <c r="C36" s="15" t="n"/>
      <c r="D36" s="15" t="n"/>
      <c r="E36" s="15" t="n"/>
      <c r="F36" s="15" t="n"/>
    </row>
    <row r="37">
      <c r="A37" t="inlineStr">
        <is>
          <t>Security scanning (SAST)</t>
        </is>
      </c>
      <c r="B37" s="15" t="n"/>
      <c r="C37" s="15" t="n"/>
      <c r="D37" s="15" t="n"/>
      <c r="E37" s="15" t="n"/>
      <c r="F37" s="15" t="n"/>
    </row>
    <row r="38">
      <c r="A38" t="inlineStr">
        <is>
          <t>Dependency vulnerability scanning</t>
        </is>
      </c>
      <c r="B38" s="15" t="n"/>
      <c r="C38" s="15" t="n"/>
      <c r="D38" s="15" t="n"/>
      <c r="E38" s="15" t="n"/>
      <c r="F38" s="15" t="n"/>
    </row>
    <row r="39">
      <c r="A39" t="inlineStr">
        <is>
          <t>Integration testing</t>
        </is>
      </c>
      <c r="B39" s="15" t="n"/>
      <c r="C39" s="15" t="n"/>
      <c r="D39" s="15" t="n"/>
      <c r="E39" s="15" t="n"/>
      <c r="F39" s="15" t="n"/>
    </row>
    <row r="40">
      <c r="A40" t="inlineStr">
        <is>
          <t>Container scanning (if applicable)</t>
        </is>
      </c>
      <c r="B40" s="15" t="n"/>
      <c r="C40" s="15" t="n"/>
      <c r="D40" s="15" t="n"/>
      <c r="E40" s="15" t="n"/>
      <c r="F40" s="15" t="n"/>
    </row>
    <row r="41">
      <c r="A41" t="inlineStr">
        <is>
          <t>Artifact versioning</t>
        </is>
      </c>
      <c r="B41" s="15" t="n"/>
      <c r="C41" s="15" t="n"/>
      <c r="D41" s="15" t="n"/>
      <c r="E41" s="15" t="n"/>
      <c r="F41" s="15" t="n"/>
    </row>
    <row r="42">
      <c r="A42" t="inlineStr">
        <is>
          <t>Environment-specific config management</t>
        </is>
      </c>
      <c r="B42" s="15" t="n"/>
      <c r="C42" s="15" t="n"/>
      <c r="D42" s="15" t="n"/>
      <c r="E42" s="15" t="n"/>
      <c r="F42" s="15" t="n"/>
    </row>
    <row r="43">
      <c r="A43" t="inlineStr">
        <is>
          <t>Automated deployment to test/QA</t>
        </is>
      </c>
      <c r="B43" s="15" t="n"/>
      <c r="C43" s="15" t="n"/>
      <c r="D43" s="15" t="n"/>
      <c r="E43" s="15" t="n"/>
      <c r="F43" s="15" t="n"/>
    </row>
    <row r="44">
      <c r="A44" t="inlineStr">
        <is>
          <t>Production deployment approval gate</t>
        </is>
      </c>
      <c r="B44" s="15" t="n"/>
      <c r="C44" s="15" t="n"/>
      <c r="D44" s="15" t="n"/>
      <c r="E44" s="15" t="n"/>
      <c r="F44" s="15" t="n"/>
    </row>
  </sheetData>
  <mergeCells count="5">
    <mergeCell ref="A2:F2"/>
    <mergeCell ref="A1:F1"/>
    <mergeCell ref="A31:F31"/>
    <mergeCell ref="A12:F12"/>
    <mergeCell ref="A4:F4"/>
  </mergeCells>
  <dataValidations count="8">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 sqref="F14 F15 F16 F17 F18 F19 F20 F21 F22 F23 F24 F25 F26 F27 F28 F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4"/>
  <sheetViews>
    <sheetView showGridLines="0"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5" customHeight="1">
      <c r="A1" s="11" t="inlineStr">
        <is>
          <t>PRODUCTION DATA IN NON-PRODUCTION ENVIRONMENTS</t>
        </is>
      </c>
    </row>
    <row r="2">
      <c r="A2" s="12" t="inlineStr">
        <is>
          <t>Control 8.33: Test Information - Production data protection assessment</t>
        </is>
      </c>
    </row>
    <row r="4">
      <c r="A4" s="1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15" t="n"/>
      <c r="C6" s="15" t="n"/>
      <c r="D6" s="15" t="n"/>
      <c r="E6" s="15" t="n"/>
      <c r="F6" s="15" t="n"/>
    </row>
    <row r="7">
      <c r="A7" t="inlineStr">
        <is>
          <t>Prohibition of prod data in non-prod enforced?</t>
        </is>
      </c>
      <c r="B7" s="15" t="n"/>
      <c r="C7" s="15" t="n"/>
      <c r="D7" s="15" t="n"/>
      <c r="E7" s="15" t="n"/>
      <c r="F7" s="15" t="n"/>
    </row>
    <row r="8">
      <c r="A8" t="inlineStr">
        <is>
          <t>Exceptions process defined and documented?</t>
        </is>
      </c>
      <c r="B8" s="15" t="n"/>
      <c r="C8" s="15" t="n"/>
      <c r="D8" s="15" t="n"/>
      <c r="E8" s="15" t="n"/>
      <c r="F8" s="15" t="n"/>
    </row>
    <row r="9">
      <c r="A9" t="inlineStr">
        <is>
          <t>DPO review required for exceptions?</t>
        </is>
      </c>
      <c r="B9" s="15" t="n"/>
      <c r="C9" s="15" t="n"/>
      <c r="D9" s="15" t="n"/>
      <c r="E9" s="15" t="n"/>
      <c r="F9" s="15" t="n"/>
    </row>
    <row r="10">
      <c r="A10" t="inlineStr">
        <is>
          <t>Data classification system implemented?</t>
        </is>
      </c>
      <c r="B10" s="15" t="n"/>
      <c r="C10" s="15" t="n"/>
      <c r="D10" s="15" t="n"/>
      <c r="E10" s="15" t="n"/>
      <c r="F10" s="15" t="n"/>
    </row>
    <row r="11">
      <c r="A11" t="inlineStr">
        <is>
          <t>Anonymization procedures documented?</t>
        </is>
      </c>
      <c r="B11" s="15" t="n"/>
      <c r="C11" s="15" t="n"/>
      <c r="D11" s="15" t="n"/>
      <c r="E11" s="15" t="n"/>
      <c r="F11" s="15" t="n"/>
    </row>
    <row r="12">
      <c r="A12" t="inlineStr">
        <is>
          <t>Annual policy review performed?</t>
        </is>
      </c>
      <c r="B12" s="15" t="n"/>
      <c r="C12" s="15" t="n"/>
      <c r="D12" s="15" t="n"/>
      <c r="E12" s="15" t="n"/>
      <c r="F12" s="15" t="n"/>
    </row>
    <row r="14">
      <c r="A14" s="1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15" t="n"/>
      <c r="C16" s="15" t="n"/>
      <c r="D16" s="15" t="n"/>
      <c r="E16" s="15" t="n"/>
      <c r="F16" s="15" t="n"/>
    </row>
    <row r="17">
      <c r="A17" t="inlineStr">
        <is>
          <t>Tokenization used for sensitive fields?</t>
        </is>
      </c>
      <c r="B17" s="15" t="n"/>
      <c r="C17" s="15" t="n"/>
      <c r="D17" s="15" t="n"/>
      <c r="E17" s="15" t="n"/>
      <c r="F17" s="15" t="n"/>
    </row>
    <row r="18">
      <c r="A18" t="inlineStr">
        <is>
          <t>Anonymization testing performed?</t>
        </is>
      </c>
      <c r="B18" s="15" t="n"/>
      <c r="C18" s="15" t="n"/>
      <c r="D18" s="15" t="n"/>
      <c r="E18" s="15" t="n"/>
      <c r="F18" s="15" t="n"/>
    </row>
    <row r="19">
      <c r="A19" t="inlineStr">
        <is>
          <t>Re-identification risk assessed?</t>
        </is>
      </c>
      <c r="B19" s="15" t="n"/>
      <c r="C19" s="15" t="n"/>
      <c r="D19" s="15" t="n"/>
      <c r="E19" s="15" t="n"/>
      <c r="F19" s="15" t="n"/>
    </row>
    <row r="20">
      <c r="A20" t="inlineStr">
        <is>
          <t>Anonymization effectiveness &gt;95%?</t>
        </is>
      </c>
      <c r="B20" s="15" t="n"/>
      <c r="C20" s="15" t="n"/>
      <c r="D20" s="15" t="n"/>
      <c r="E20" s="15" t="n"/>
      <c r="F20" s="15" t="n"/>
    </row>
    <row r="21">
      <c r="A21" t="inlineStr">
        <is>
          <t>PII/PHI identification automated?</t>
        </is>
      </c>
      <c r="B21" s="15" t="n"/>
      <c r="C21" s="15" t="n"/>
      <c r="D21" s="15" t="n"/>
      <c r="E21" s="15" t="n"/>
      <c r="F21" s="15" t="n"/>
    </row>
    <row r="22">
      <c r="A22" t="inlineStr">
        <is>
          <t>Direct identifiers removed?</t>
        </is>
      </c>
      <c r="B22" s="15" t="n"/>
      <c r="C22" s="15" t="n"/>
      <c r="D22" s="15" t="n"/>
      <c r="E22" s="15" t="n"/>
      <c r="F22" s="15" t="n"/>
    </row>
    <row r="23">
      <c r="A23" t="inlineStr">
        <is>
          <t>Indirect identifiers assessed?</t>
        </is>
      </c>
      <c r="B23" s="15" t="n"/>
      <c r="C23" s="15" t="n"/>
      <c r="D23" s="15" t="n"/>
      <c r="E23" s="15" t="n"/>
      <c r="F23" s="15" t="n"/>
    </row>
    <row r="24">
      <c r="A24" t="inlineStr">
        <is>
          <t>Data linkage risk evaluated?</t>
        </is>
      </c>
      <c r="B24" s="15" t="n"/>
      <c r="C24" s="15" t="n"/>
      <c r="D24" s="15" t="n"/>
      <c r="E24" s="15" t="n"/>
      <c r="F24" s="15" t="n"/>
    </row>
    <row r="25">
      <c r="A25" t="inlineStr">
        <is>
          <t>Anonymization audit trail maintained?</t>
        </is>
      </c>
      <c r="B25" s="15" t="n"/>
      <c r="C25" s="15" t="n"/>
      <c r="D25" s="15" t="n"/>
      <c r="E25" s="15" t="n"/>
      <c r="F25" s="15" t="n"/>
    </row>
    <row r="26">
      <c r="A26" t="inlineStr">
        <is>
          <t>Failed anonymization procedures defined?</t>
        </is>
      </c>
      <c r="B26" s="15" t="n"/>
      <c r="C26" s="15" t="n"/>
      <c r="D26" s="15" t="n"/>
      <c r="E26" s="15" t="n"/>
      <c r="F26" s="15" t="n"/>
    </row>
    <row r="27">
      <c r="A27" t="inlineStr">
        <is>
          <t>Anonymization tools validated?</t>
        </is>
      </c>
      <c r="B27" s="15" t="n"/>
      <c r="C27" s="15" t="n"/>
      <c r="D27" s="15" t="n"/>
      <c r="E27" s="15" t="n"/>
      <c r="F27" s="15" t="n"/>
    </row>
    <row r="28">
      <c r="A28" t="inlineStr">
        <is>
          <t>Data subsetting implemented?</t>
        </is>
      </c>
      <c r="B28" s="15" t="n"/>
      <c r="C28" s="15" t="n"/>
      <c r="D28" s="15" t="n"/>
      <c r="E28" s="15" t="n"/>
      <c r="F28" s="15" t="n"/>
    </row>
    <row r="29">
      <c r="A29" t="inlineStr">
        <is>
          <t>Referential integrity maintained?</t>
        </is>
      </c>
      <c r="B29" s="15" t="n"/>
      <c r="C29" s="15" t="n"/>
      <c r="D29" s="15" t="n"/>
      <c r="E29" s="15" t="n"/>
      <c r="F29" s="15" t="n"/>
    </row>
    <row r="30">
      <c r="A30" t="inlineStr">
        <is>
          <t>Test data generation capability?</t>
        </is>
      </c>
      <c r="B30" s="15" t="n"/>
      <c r="C30" s="15" t="n"/>
      <c r="D30" s="15" t="n"/>
      <c r="E30" s="15" t="n"/>
      <c r="F30" s="15" t="n"/>
    </row>
    <row r="31">
      <c r="A31" t="inlineStr">
        <is>
          <t>Synthetic data generation used?</t>
        </is>
      </c>
      <c r="B31" s="15" t="n"/>
      <c r="C31" s="15" t="n"/>
      <c r="D31" s="15" t="n"/>
      <c r="E31" s="15" t="n"/>
      <c r="F31" s="15" t="n"/>
    </row>
    <row r="32">
      <c r="A32" t="inlineStr">
        <is>
          <t>Production data refresh controls?</t>
        </is>
      </c>
      <c r="B32" s="15" t="n"/>
      <c r="C32" s="15" t="n"/>
      <c r="D32" s="15" t="n"/>
      <c r="E32" s="15" t="n"/>
      <c r="F32" s="15" t="n"/>
    </row>
    <row r="34">
      <c r="A34" s="1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15" t="inlineStr">
        <is>
          <t>CRM Test Environment</t>
        </is>
      </c>
      <c r="B36" s="15" t="inlineStr">
        <is>
          <t>No</t>
        </is>
      </c>
      <c r="C36" s="15" t="inlineStr">
        <is>
          <t>Synthetic customer data</t>
        </is>
      </c>
      <c r="D36" s="15" t="inlineStr">
        <is>
          <t>N/A</t>
        </is>
      </c>
      <c r="E36" s="15" t="inlineStr">
        <is>
          <t>15.01.2026</t>
        </is>
      </c>
      <c r="F36" s="15" t="inlineStr">
        <is>
          <t>Test Manager</t>
        </is>
      </c>
      <c r="G36" s="15" t="inlineStr">
        <is>
          <t>15.07.2026</t>
        </is>
      </c>
      <c r="H36" s="15" t="inlineStr">
        <is>
          <t>Compliant</t>
        </is>
      </c>
      <c r="I36" s="15" t="inlineStr">
        <is>
          <t>EV-DATA-001</t>
        </is>
      </c>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6">
      <c r="A56" s="15" t="n"/>
      <c r="B56" s="15" t="n"/>
      <c r="C56" s="15" t="n"/>
      <c r="D56" s="15" t="n"/>
      <c r="E56" s="15" t="n"/>
      <c r="F56" s="15" t="n"/>
      <c r="G56" s="15" t="n"/>
      <c r="H56" s="15" t="n"/>
      <c r="I56" s="15" t="n"/>
    </row>
    <row r="57">
      <c r="A57" s="15" t="n"/>
      <c r="B57" s="15" t="n"/>
      <c r="C57" s="15" t="n"/>
      <c r="D57" s="15" t="n"/>
      <c r="E57" s="15" t="n"/>
      <c r="F57" s="15" t="n"/>
      <c r="G57" s="15" t="n"/>
      <c r="H57" s="15" t="n"/>
      <c r="I57" s="15" t="n"/>
    </row>
    <row r="58">
      <c r="A58" s="15" t="n"/>
      <c r="B58" s="15" t="n"/>
      <c r="C58" s="15" t="n"/>
      <c r="D58" s="15" t="n"/>
      <c r="E58" s="15" t="n"/>
      <c r="F58" s="15" t="n"/>
      <c r="G58" s="15" t="n"/>
      <c r="H58" s="15" t="n"/>
      <c r="I58" s="15" t="n"/>
    </row>
    <row r="59">
      <c r="A59" s="15" t="n"/>
      <c r="B59" s="15" t="n"/>
      <c r="C59" s="15" t="n"/>
      <c r="D59" s="15" t="n"/>
      <c r="E59" s="15" t="n"/>
      <c r="F59" s="15" t="n"/>
      <c r="G59" s="15" t="n"/>
      <c r="H59" s="15" t="n"/>
      <c r="I59" s="15" t="n"/>
    </row>
    <row r="60">
      <c r="A60" s="15" t="n"/>
      <c r="B60" s="15" t="n"/>
      <c r="C60" s="15" t="n"/>
      <c r="D60" s="15" t="n"/>
      <c r="E60" s="15" t="n"/>
      <c r="F60" s="15" t="n"/>
      <c r="G60" s="15" t="n"/>
      <c r="H60" s="15" t="n"/>
      <c r="I60" s="15" t="n"/>
    </row>
    <row r="61">
      <c r="A61" s="15" t="n"/>
      <c r="B61" s="15" t="n"/>
      <c r="C61" s="15" t="n"/>
      <c r="D61" s="15" t="n"/>
      <c r="E61" s="15" t="n"/>
      <c r="F61" s="15" t="n"/>
      <c r="G61" s="15" t="n"/>
      <c r="H61" s="15" t="n"/>
      <c r="I61" s="15" t="n"/>
    </row>
    <row r="62">
      <c r="A62" s="15" t="n"/>
      <c r="B62" s="15" t="n"/>
      <c r="C62" s="15" t="n"/>
      <c r="D62" s="15" t="n"/>
      <c r="E62" s="15" t="n"/>
      <c r="F62" s="15" t="n"/>
      <c r="G62" s="15" t="n"/>
      <c r="H62" s="15" t="n"/>
      <c r="I62" s="15" t="n"/>
    </row>
    <row r="63">
      <c r="A63" s="15" t="n"/>
      <c r="B63" s="15" t="n"/>
      <c r="C63" s="15" t="n"/>
      <c r="D63" s="15" t="n"/>
      <c r="E63" s="15" t="n"/>
      <c r="F63" s="15" t="n"/>
      <c r="G63" s="15" t="n"/>
      <c r="H63" s="15" t="n"/>
      <c r="I63" s="15" t="n"/>
    </row>
    <row r="64">
      <c r="A64" s="15" t="n"/>
      <c r="B64" s="15" t="n"/>
      <c r="C64" s="15" t="n"/>
      <c r="D64" s="15" t="n"/>
      <c r="E64" s="15" t="n"/>
      <c r="F64" s="15" t="n"/>
      <c r="G64" s="15" t="n"/>
      <c r="H64" s="15" t="n"/>
      <c r="I64" s="15" t="n"/>
    </row>
    <row r="65">
      <c r="A65" s="15" t="n"/>
      <c r="B65" s="15" t="n"/>
      <c r="C65" s="15" t="n"/>
      <c r="D65" s="15" t="n"/>
      <c r="E65" s="15" t="n"/>
      <c r="F65" s="15" t="n"/>
      <c r="G65" s="15" t="n"/>
      <c r="H65" s="15" t="n"/>
      <c r="I65" s="15" t="n"/>
    </row>
    <row r="66">
      <c r="A66" s="15" t="n"/>
      <c r="B66" s="15" t="n"/>
      <c r="C66" s="15" t="n"/>
      <c r="D66" s="15" t="n"/>
      <c r="E66" s="15" t="n"/>
      <c r="F66" s="15" t="n"/>
      <c r="G66" s="15" t="n"/>
      <c r="H66" s="15" t="n"/>
      <c r="I66" s="15" t="n"/>
    </row>
    <row r="67">
      <c r="A67" s="15" t="n"/>
      <c r="B67" s="15" t="n"/>
      <c r="C67" s="15" t="n"/>
      <c r="D67" s="15" t="n"/>
      <c r="E67" s="15" t="n"/>
      <c r="F67" s="15" t="n"/>
      <c r="G67" s="15" t="n"/>
      <c r="H67" s="15" t="n"/>
      <c r="I67" s="15" t="n"/>
    </row>
    <row r="68">
      <c r="A68" s="15" t="n"/>
      <c r="B68" s="15" t="n"/>
      <c r="C68" s="15" t="n"/>
      <c r="D68" s="15" t="n"/>
      <c r="E68" s="15" t="n"/>
      <c r="F68" s="15" t="n"/>
      <c r="G68" s="15" t="n"/>
      <c r="H68" s="15" t="n"/>
      <c r="I68" s="15" t="n"/>
    </row>
    <row r="69">
      <c r="A69" s="15" t="n"/>
      <c r="B69" s="15" t="n"/>
      <c r="C69" s="15" t="n"/>
      <c r="D69" s="15" t="n"/>
      <c r="E69" s="15" t="n"/>
      <c r="F69" s="15" t="n"/>
      <c r="G69" s="15" t="n"/>
      <c r="H69" s="15" t="n"/>
      <c r="I69" s="15" t="n"/>
    </row>
    <row r="70">
      <c r="A70" s="15" t="n"/>
      <c r="B70" s="15" t="n"/>
      <c r="C70" s="15" t="n"/>
      <c r="D70" s="15" t="n"/>
      <c r="E70" s="15" t="n"/>
      <c r="F70" s="15" t="n"/>
      <c r="G70" s="15" t="n"/>
      <c r="H70" s="15" t="n"/>
      <c r="I70" s="15" t="n"/>
    </row>
    <row r="71">
      <c r="A71" s="15" t="n"/>
      <c r="B71" s="15" t="n"/>
      <c r="C71" s="15" t="n"/>
      <c r="D71" s="15" t="n"/>
      <c r="E71" s="15" t="n"/>
      <c r="F71" s="15" t="n"/>
      <c r="G71" s="15" t="n"/>
      <c r="H71" s="15" t="n"/>
      <c r="I71" s="15" t="n"/>
    </row>
    <row r="72">
      <c r="A72" s="15" t="n"/>
      <c r="B72" s="15" t="n"/>
      <c r="C72" s="15" t="n"/>
      <c r="D72" s="15" t="n"/>
      <c r="E72" s="15" t="n"/>
      <c r="F72" s="15" t="n"/>
      <c r="G72" s="15" t="n"/>
      <c r="H72" s="15" t="n"/>
      <c r="I72" s="15" t="n"/>
    </row>
    <row r="73">
      <c r="A73" s="15" t="n"/>
      <c r="B73" s="15" t="n"/>
      <c r="C73" s="15" t="n"/>
      <c r="D73" s="15" t="n"/>
      <c r="E73" s="15" t="n"/>
      <c r="F73" s="15" t="n"/>
      <c r="G73" s="15" t="n"/>
      <c r="H73" s="15" t="n"/>
      <c r="I73" s="15" t="n"/>
    </row>
    <row r="74">
      <c r="A74" s="15" t="n"/>
      <c r="B74" s="15" t="n"/>
      <c r="C74" s="15" t="n"/>
      <c r="D74" s="15" t="n"/>
      <c r="E74" s="15" t="n"/>
      <c r="F74" s="15" t="n"/>
      <c r="G74" s="15" t="n"/>
      <c r="H74" s="15" t="n"/>
      <c r="I74" s="15" t="n"/>
    </row>
    <row r="75">
      <c r="A75" s="15" t="n"/>
      <c r="B75" s="15" t="n"/>
      <c r="C75" s="15" t="n"/>
      <c r="D75" s="15" t="n"/>
      <c r="E75" s="15" t="n"/>
      <c r="F75" s="15" t="n"/>
      <c r="G75" s="15" t="n"/>
      <c r="H75" s="15" t="n"/>
      <c r="I75" s="15" t="n"/>
    </row>
    <row r="76">
      <c r="A76" s="15" t="n"/>
      <c r="B76" s="15" t="n"/>
      <c r="C76" s="15" t="n"/>
      <c r="D76" s="15" t="n"/>
      <c r="E76" s="15" t="n"/>
      <c r="F76" s="15" t="n"/>
      <c r="G76" s="15" t="n"/>
      <c r="H76" s="15" t="n"/>
      <c r="I76" s="15" t="n"/>
    </row>
    <row r="77">
      <c r="A77" s="15" t="n"/>
      <c r="B77" s="15" t="n"/>
      <c r="C77" s="15" t="n"/>
      <c r="D77" s="15" t="n"/>
      <c r="E77" s="15" t="n"/>
      <c r="F77" s="15" t="n"/>
      <c r="G77" s="15" t="n"/>
      <c r="H77" s="15" t="n"/>
      <c r="I77" s="15" t="n"/>
    </row>
    <row r="78">
      <c r="A78" s="15" t="n"/>
      <c r="B78" s="15" t="n"/>
      <c r="C78" s="15" t="n"/>
      <c r="D78" s="15" t="n"/>
      <c r="E78" s="15" t="n"/>
      <c r="F78" s="15" t="n"/>
      <c r="G78" s="15" t="n"/>
      <c r="H78" s="15" t="n"/>
      <c r="I78" s="15" t="n"/>
    </row>
    <row r="79">
      <c r="A79" s="15" t="n"/>
      <c r="B79" s="15" t="n"/>
      <c r="C79" s="15" t="n"/>
      <c r="D79" s="15" t="n"/>
      <c r="E79" s="15" t="n"/>
      <c r="F79" s="15" t="n"/>
      <c r="G79" s="15" t="n"/>
      <c r="H79" s="15" t="n"/>
      <c r="I79" s="15" t="n"/>
    </row>
    <row r="80">
      <c r="A80" s="15" t="n"/>
      <c r="B80" s="15" t="n"/>
      <c r="C80" s="15" t="n"/>
      <c r="D80" s="15" t="n"/>
      <c r="E80" s="15" t="n"/>
      <c r="F80" s="15" t="n"/>
      <c r="G80" s="15" t="n"/>
      <c r="H80" s="15" t="n"/>
      <c r="I80" s="15" t="n"/>
    </row>
    <row r="81">
      <c r="A81" s="15" t="n"/>
      <c r="B81" s="15" t="n"/>
      <c r="C81" s="15" t="n"/>
      <c r="D81" s="15" t="n"/>
      <c r="E81" s="15" t="n"/>
      <c r="F81" s="15" t="n"/>
      <c r="G81" s="15" t="n"/>
      <c r="H81" s="15" t="n"/>
      <c r="I81" s="15" t="n"/>
    </row>
    <row r="82">
      <c r="A82" s="15" t="n"/>
      <c r="B82" s="15" t="n"/>
      <c r="C82" s="15" t="n"/>
      <c r="D82" s="15" t="n"/>
      <c r="E82" s="15" t="n"/>
      <c r="F82" s="15" t="n"/>
      <c r="G82" s="15" t="n"/>
      <c r="H82" s="15" t="n"/>
      <c r="I82" s="15" t="n"/>
    </row>
    <row r="83">
      <c r="A83" s="15" t="n"/>
      <c r="B83" s="15" t="n"/>
      <c r="C83" s="15" t="n"/>
      <c r="D83" s="15" t="n"/>
      <c r="E83" s="15" t="n"/>
      <c r="F83" s="15" t="n"/>
      <c r="G83" s="15" t="n"/>
      <c r="H83" s="15" t="n"/>
      <c r="I83" s="15" t="n"/>
    </row>
    <row r="84">
      <c r="A84" s="15" t="n"/>
      <c r="B84" s="15" t="n"/>
      <c r="C84" s="15" t="n"/>
      <c r="D84" s="15" t="n"/>
      <c r="E84" s="15" t="n"/>
      <c r="F84" s="15" t="n"/>
      <c r="G84" s="15" t="n"/>
      <c r="H84" s="15" t="n"/>
      <c r="I84" s="15" t="n"/>
    </row>
    <row r="85">
      <c r="A85" s="15" t="n"/>
      <c r="B85" s="15" t="n"/>
      <c r="C85" s="15" t="n"/>
      <c r="D85" s="15" t="n"/>
      <c r="E85" s="15" t="n"/>
      <c r="F85" s="15" t="n"/>
      <c r="G85" s="15" t="n"/>
      <c r="H85" s="15" t="n"/>
      <c r="I85" s="15" t="n"/>
    </row>
    <row r="86">
      <c r="A86" s="15" t="n"/>
      <c r="B86" s="15" t="n"/>
      <c r="C86" s="15" t="n"/>
      <c r="D86" s="15" t="n"/>
      <c r="E86" s="15" t="n"/>
      <c r="F86" s="15" t="n"/>
      <c r="G86" s="15" t="n"/>
      <c r="H86" s="15" t="n"/>
      <c r="I86" s="15" t="n"/>
    </row>
    <row r="88">
      <c r="A88" s="12" t="inlineStr">
        <is>
          <t>SYNTHETIC DATA GENERATION CAPABILITY</t>
        </is>
      </c>
    </row>
    <row r="89">
      <c r="A89" s="13" t="inlineStr">
        <is>
          <t>Capability</t>
        </is>
      </c>
      <c r="B89" s="13" t="inlineStr">
        <is>
          <t>Available?</t>
        </is>
      </c>
      <c r="C89" s="13" t="inlineStr">
        <is>
          <t>Tool/Method</t>
        </is>
      </c>
      <c r="D89" s="13" t="inlineStr">
        <is>
          <t>Data Types Supported</t>
        </is>
      </c>
      <c r="E89" s="13" t="inlineStr">
        <is>
          <t>Usage</t>
        </is>
      </c>
      <c r="F89" s="13" t="inlineStr">
        <is>
          <t>Compliance</t>
        </is>
      </c>
      <c r="G89" s="13" t="inlineStr">
        <is>
          <t>Evidence</t>
        </is>
      </c>
    </row>
    <row r="90">
      <c r="A90" t="inlineStr">
        <is>
          <t>Synthetic data generator</t>
        </is>
      </c>
      <c r="B90" s="15" t="n"/>
      <c r="C90" s="15" t="n"/>
      <c r="D90" s="15" t="n"/>
      <c r="E90" s="15" t="n"/>
      <c r="F90" s="15" t="n"/>
      <c r="G90" s="15" t="n"/>
    </row>
    <row r="91">
      <c r="A91" t="inlineStr">
        <is>
          <t>Maintains referential integrity</t>
        </is>
      </c>
      <c r="B91" s="15" t="n"/>
      <c r="C91" s="15" t="n"/>
      <c r="D91" s="15" t="n"/>
      <c r="E91" s="15" t="n"/>
      <c r="F91" s="15" t="n"/>
      <c r="G91" s="15" t="n"/>
    </row>
    <row r="92">
      <c r="A92" t="inlineStr">
        <is>
          <t>Realistic data distributions</t>
        </is>
      </c>
      <c r="B92" s="15" t="n"/>
      <c r="C92" s="15" t="n"/>
      <c r="D92" s="15" t="n"/>
      <c r="E92" s="15" t="n"/>
      <c r="F92" s="15" t="n"/>
      <c r="G92" s="15" t="n"/>
    </row>
    <row r="93">
      <c r="A93" t="inlineStr">
        <is>
          <t>Supports edge cases</t>
        </is>
      </c>
      <c r="B93" s="15" t="n"/>
      <c r="C93" s="15" t="n"/>
      <c r="D93" s="15" t="n"/>
      <c r="E93" s="15" t="n"/>
      <c r="F93" s="15" t="n"/>
      <c r="G93" s="15" t="n"/>
    </row>
    <row r="94">
      <c r="A94" t="inlineStr">
        <is>
          <t>Automated generation</t>
        </is>
      </c>
      <c r="B94" s="15" t="n"/>
      <c r="C94" s="15" t="n"/>
      <c r="D94" s="15" t="n"/>
      <c r="E94" s="15" t="n"/>
      <c r="F94" s="15" t="n"/>
      <c r="G94" s="15" t="n"/>
    </row>
  </sheetData>
  <mergeCells count="6">
    <mergeCell ref="A1:G1"/>
    <mergeCell ref="A88:G88"/>
    <mergeCell ref="A14:F14"/>
    <mergeCell ref="A2:G2"/>
    <mergeCell ref="A4:F4"/>
    <mergeCell ref="A34:I34"/>
  </mergeCells>
  <dataValidations count="6">
    <dataValidation sqref="B36 B37 B38 B39 B40 B41 B42 B43 B44 B45 B46 B47 B48 B49 B50 B51 B52 B53 B54 B55 B56 B57 B58 B59 B60 B61 B62 B63 B64 B65 B66 B67 B68 B69 B70 B71 B72 B73 B74 B75 B76 B77 B78 B79 B80 B81 B82 B83 B84 B85 B86" showDropDown="0" showInputMessage="0" showErrorMessage="0" allowBlank="0" type="list">
      <formula1>"✅ Yes,❌ No"</formula1>
    </dataValidation>
    <dataValidation sqref="B6 B7 B8 B9 B10 B11 B12 B90 B91 B92 B93 B94 D36 D37 D38 D39 D40 D41 D42 D43 D44 D45 D46 D47 D48 D49 D50 D51 D52 D53 D54 D55 D56 D57 D58 D59 D60 D61 D62 D63 D64 D65 D66 D67 D68 D69 D70 D71 D72 D73 D74 D75 D76 D77 D78 D79 D80 D81 D82 D83 D84 D85 D86"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90 F91 F92 F93 F94 H36 H37 H38 H39 H40 H41 H42 H43 H44 H45 H46 H47 H48 H49 H50 H51 H52 H53 H54 H55 H56 H57 H58 H59 H60 H61 H62 H63 H64 H65 H66 H67 H68 H69 H70 H71 H72 H73 H74 H75 H76 H77 H78 H79 H80 H81 H82 H83 H84 H85 H86" showDropDown="0" showInputMessage="0" showErrorMessage="0" allowBlank="0" type="list">
      <formula1>"✅ Compliant,⚠ Partial,❌ Non-Compliant, Pending"</formula1>
    </dataValidation>
    <dataValidation sqref="E6 E7 E8 E9 E10 E11 E12 E16 E17 E18 E19 E20 E21 E22 E23 E24 E25 E26 E27 E28 E29 E30 E31 E32 G90 G91 G92 G93 G94 I36 I37 I38 I39 I40 I41 I42 I43 I44 I45 I46 I47 I48 I49 I50 I51 I52 I53 I54 I55 I56 I57 I58 I59 I60 I61 I62 I63 I64 I65 I66 I67 I68 I69 I70 I71 I72 I73 I74 I75 I76 I77 I78 I79 I80 I81 I82 I83 I84 I85 I86" showDropDown="0" showInputMessage="0" showErrorMessage="0" allowBlank="1" type="list">
      <formula1>"Change Request,Policy Document,Process Record,System Screenshot,Configuration Export,Audit Log,Training Record,Test Result,Risk Assessment,Meeting Minutes,Other,N/A"</formula1>
    </dataValidation>
    <dataValidation sqref="E90 E91 E92 E93 E94" showDropDown="0" showInputMessage="0" showErrorMessage="0" allowBlank="0" type="list">
      <formula1>"✅ Primary,⚠ Supplemental,❌ Not Used"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showGridLines="0"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5" customHeight="1">
      <c r="A1" s="11" t="inlineStr">
        <is>
          <t>PRODUCTION ENVIRONMENT ASSESSMENT</t>
        </is>
      </c>
    </row>
    <row r="2">
      <c r="A2" s="12" t="inlineStr">
        <is>
          <t>Document production environment configuration and controls (HIGHEST SECURITY)</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Served</t>
        </is>
      </c>
      <c r="B14" s="15" t="n"/>
      <c r="C14" s="15" t="n"/>
      <c r="D14" s="15" t="n"/>
      <c r="E14" s="15" t="n"/>
    </row>
    <row r="15">
      <c r="A15" s="14" t="inlineStr">
        <is>
          <t>Business Criticality</t>
        </is>
      </c>
      <c r="B15" s="15" t="n"/>
      <c r="C15" s="15" t="n"/>
      <c r="D15" s="15" t="n"/>
      <c r="E15" s="15" t="n"/>
    </row>
    <row r="16">
      <c r="A16" s="14" t="inlineStr">
        <is>
          <t>Access Method</t>
        </is>
      </c>
      <c r="B16" s="15" t="n"/>
      <c r="C16" s="15" t="n"/>
      <c r="D16" s="15" t="n"/>
      <c r="E16" s="15" t="n"/>
    </row>
    <row r="17">
      <c r="A17" s="14" t="inlineStr">
        <is>
          <t>Change Window Schedule</t>
        </is>
      </c>
      <c r="B17" s="15" t="n"/>
      <c r="C17" s="15" t="n"/>
      <c r="D17" s="15" t="n"/>
      <c r="E17" s="15" t="n"/>
    </row>
    <row r="18">
      <c r="A18" s="14" t="inlineStr">
        <is>
          <t>Deployment Method</t>
        </is>
      </c>
      <c r="B18" s="15" t="n"/>
      <c r="C18" s="15" t="n"/>
      <c r="D18" s="15" t="n"/>
      <c r="E18" s="15" t="n"/>
    </row>
    <row r="19">
      <c r="A19" s="14" t="inlineStr">
        <is>
          <t>Monitoring Solution</t>
        </is>
      </c>
      <c r="B19" s="15" t="n"/>
      <c r="C19" s="15" t="n"/>
      <c r="D19" s="15" t="n"/>
      <c r="E19" s="15" t="n"/>
    </row>
    <row r="20">
      <c r="A20" s="14" t="inlineStr">
        <is>
          <t>Backup Strategy</t>
        </is>
      </c>
      <c r="B20" s="15" t="n"/>
      <c r="C20" s="15" t="n"/>
      <c r="D20" s="15" t="n"/>
      <c r="E20" s="15" t="n"/>
    </row>
    <row r="21">
      <c r="A21" s="14" t="inlineStr">
        <is>
          <t>DR/HA Configuration</t>
        </is>
      </c>
      <c r="B21" s="15" t="n"/>
      <c r="C21" s="15" t="n"/>
      <c r="D21" s="15" t="n"/>
      <c r="E21" s="15" t="n"/>
    </row>
    <row r="22">
      <c r="A22" s="14" t="inlineStr">
        <is>
          <t>SLA/RTO/RPO Targets</t>
        </is>
      </c>
      <c r="B22" s="15" t="n"/>
      <c r="C22" s="15" t="n"/>
      <c r="D22" s="15" t="n"/>
      <c r="E22" s="15" t="n"/>
    </row>
    <row r="23">
      <c r="A23" s="14" t="inlineStr">
        <is>
          <t>Compliance Requirements</t>
        </is>
      </c>
      <c r="B23" s="15" t="n"/>
      <c r="C23" s="15" t="n"/>
      <c r="D23" s="15" t="n"/>
      <c r="E23" s="15" t="n"/>
    </row>
    <row r="25">
      <c r="A25" s="1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15" t="n"/>
      <c r="C27" s="15" t="n"/>
      <c r="D27" s="15" t="n"/>
      <c r="E27" s="15" t="n"/>
    </row>
    <row r="28">
      <c r="A28" t="inlineStr">
        <is>
          <t>All access logged and monitored?</t>
        </is>
      </c>
      <c r="B28" s="15" t="n"/>
      <c r="C28" s="15" t="n"/>
      <c r="D28" s="15" t="n"/>
      <c r="E28" s="15" t="n"/>
    </row>
    <row r="29">
      <c r="A29" t="inlineStr">
        <is>
          <t>Multi-Factor Authentication (MFA) MANDATORY?</t>
        </is>
      </c>
      <c r="B29" s="15" t="n"/>
      <c r="C29" s="15" t="n"/>
      <c r="D29" s="15" t="n"/>
      <c r="E29" s="15" t="n"/>
    </row>
    <row r="30">
      <c r="A30" t="inlineStr">
        <is>
          <t>Role-Based Access Control (RBAC) enforced?</t>
        </is>
      </c>
      <c r="B30" s="15" t="n"/>
      <c r="C30" s="15" t="n"/>
      <c r="D30" s="15" t="n"/>
      <c r="E30" s="15" t="n"/>
    </row>
    <row r="31">
      <c r="A31" t="inlineStr">
        <is>
          <t>Principle of Least Privilege applied?</t>
        </is>
      </c>
      <c r="B31" s="15" t="n"/>
      <c r="C31" s="15" t="n"/>
      <c r="D31" s="15" t="n"/>
      <c r="E31" s="15" t="n"/>
    </row>
    <row r="32">
      <c r="A32" t="inlineStr">
        <is>
          <t>Privileged access requires approval?</t>
        </is>
      </c>
      <c r="B32" s="15" t="n"/>
      <c r="C32" s="15" t="n"/>
      <c r="D32" s="15" t="n"/>
      <c r="E32" s="15" t="n"/>
    </row>
    <row r="33">
      <c r="A33" t="inlineStr">
        <is>
          <t>Emergency access break-glass procedure?</t>
        </is>
      </c>
      <c r="B33" s="15" t="n"/>
      <c r="C33" s="15" t="n"/>
      <c r="D33" s="15" t="n"/>
      <c r="E33" s="15" t="n"/>
    </row>
    <row r="34">
      <c r="A34" t="inlineStr">
        <is>
          <t>Access review frequency</t>
        </is>
      </c>
      <c r="B34" s="15" t="n"/>
      <c r="C34" s="15" t="n"/>
      <c r="D34" s="15" t="n"/>
      <c r="E34" s="15" t="n"/>
    </row>
    <row r="35">
      <c r="A35" t="inlineStr">
        <is>
          <t>Just-In-Time (JIT) access implemented?</t>
        </is>
      </c>
      <c r="B35" s="15" t="n"/>
      <c r="C35" s="15" t="n"/>
      <c r="D35" s="15" t="n"/>
      <c r="E35" s="15" t="n"/>
    </row>
    <row r="36">
      <c r="A36" t="inlineStr">
        <is>
          <t>Shared accounts prohibited?</t>
        </is>
      </c>
      <c r="B36" s="15" t="n"/>
      <c r="C36" s="15" t="n"/>
      <c r="D36" s="15" t="n"/>
      <c r="E36" s="15" t="n"/>
    </row>
    <row r="37">
      <c r="A37" t="inlineStr">
        <is>
          <t>Service accounts managed separately?</t>
        </is>
      </c>
      <c r="B37" s="15" t="n"/>
      <c r="C37" s="15" t="n"/>
      <c r="D37" s="15" t="n"/>
      <c r="E37" s="15" t="n"/>
    </row>
    <row r="38">
      <c r="A38" t="inlineStr">
        <is>
          <t>SSH keys rotated regularly?</t>
        </is>
      </c>
      <c r="B38" s="15" t="n"/>
      <c r="C38" s="15" t="n"/>
      <c r="D38" s="15" t="n"/>
      <c r="E38" s="15" t="n"/>
    </row>
    <row r="39">
      <c r="A39" t="inlineStr">
        <is>
          <t>Bastion/Jump host required for access?</t>
        </is>
      </c>
      <c r="B39" s="15" t="n"/>
      <c r="C39" s="15" t="n"/>
      <c r="D39" s="15" t="n"/>
      <c r="E39" s="15" t="n"/>
    </row>
    <row r="40">
      <c r="A40" t="inlineStr">
        <is>
          <t>Administrative actions require ticket?</t>
        </is>
      </c>
      <c r="B40" s="15" t="n"/>
      <c r="C40" s="15" t="n"/>
      <c r="D40" s="15" t="n"/>
      <c r="E40" s="15" t="n"/>
    </row>
    <row r="42">
      <c r="A42" s="1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15" t="n"/>
      <c r="C44" s="15" t="n"/>
      <c r="D44" s="15" t="n"/>
      <c r="E44" s="15" t="n"/>
    </row>
    <row r="45">
      <c r="A45" t="inlineStr">
        <is>
          <t>Production data exfiltration monitoring?</t>
        </is>
      </c>
      <c r="B45" s="15" t="n"/>
      <c r="C45" s="15" t="n"/>
      <c r="D45" s="15" t="n"/>
      <c r="E45" s="15" t="n"/>
    </row>
    <row r="46">
      <c r="A46" t="inlineStr">
        <is>
          <t>Data Loss Prevention (DLP) implemented?</t>
        </is>
      </c>
      <c r="B46" s="15" t="n"/>
      <c r="C46" s="15" t="n"/>
      <c r="D46" s="15" t="n"/>
      <c r="E46" s="15" t="n"/>
    </row>
    <row r="47">
      <c r="A47" t="inlineStr">
        <is>
          <t>Encryption at rest enforced?</t>
        </is>
      </c>
      <c r="B47" s="15" t="n"/>
      <c r="C47" s="15" t="n"/>
      <c r="D47" s="15" t="n"/>
      <c r="E47" s="15" t="n"/>
    </row>
    <row r="48">
      <c r="A48" t="inlineStr">
        <is>
          <t>Encryption in transit enforced?</t>
        </is>
      </c>
      <c r="B48" s="15" t="n"/>
      <c r="C48" s="15" t="n"/>
      <c r="D48" s="15" t="n"/>
      <c r="E48" s="15" t="n"/>
    </row>
    <row r="49">
      <c r="A49" t="inlineStr">
        <is>
          <t>Database access logging comprehensive?</t>
        </is>
      </c>
      <c r="B49" s="15" t="n"/>
      <c r="C49" s="15" t="n"/>
      <c r="D49" s="15" t="n"/>
      <c r="E49" s="15" t="n"/>
    </row>
    <row r="50">
      <c r="A50" t="inlineStr">
        <is>
          <t>Backup encryption implemented?</t>
        </is>
      </c>
      <c r="B50" s="15" t="n"/>
      <c r="C50" s="15" t="n"/>
      <c r="D50" s="15" t="n"/>
      <c r="E50" s="15" t="n"/>
    </row>
    <row r="51">
      <c r="A51" t="inlineStr">
        <is>
          <t>Backup tested regularly?</t>
        </is>
      </c>
      <c r="B51" s="15" t="n"/>
      <c r="C51" s="15" t="n"/>
      <c r="D51" s="15" t="n"/>
      <c r="E51" s="15" t="n"/>
    </row>
    <row r="52">
      <c r="A52" t="inlineStr">
        <is>
          <t>Data classification implemented?</t>
        </is>
      </c>
      <c r="B52" s="15" t="n"/>
      <c r="C52" s="15" t="n"/>
      <c r="D52" s="15" t="n"/>
      <c r="E52" s="15" t="n"/>
    </row>
    <row r="53">
      <c r="A53" t="inlineStr">
        <is>
          <t>Personal data handling documented?</t>
        </is>
      </c>
      <c r="B53" s="15" t="n"/>
      <c r="C53" s="15" t="n"/>
      <c r="D53" s="15" t="n"/>
      <c r="E53" s="15" t="n"/>
    </row>
    <row r="54">
      <c r="A54" t="inlineStr">
        <is>
          <t>Data retention policy enforced?</t>
        </is>
      </c>
      <c r="B54" s="15" t="n"/>
      <c r="C54" s="15" t="n"/>
      <c r="D54" s="15" t="n"/>
      <c r="E54" s="15" t="n"/>
    </row>
    <row r="55">
      <c r="A55" t="inlineStr">
        <is>
          <t>Secure data disposal procedures?</t>
        </is>
      </c>
      <c r="B55" s="15" t="n"/>
      <c r="C55" s="15" t="n"/>
      <c r="D55" s="15" t="n"/>
      <c r="E55" s="15" t="n"/>
    </row>
    <row r="57">
      <c r="A57" s="1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15" t="n"/>
      <c r="C59" s="15" t="n"/>
      <c r="D59" s="15" t="n"/>
      <c r="E59" s="15" t="n"/>
    </row>
    <row r="60">
      <c r="A60" t="inlineStr">
        <is>
          <t>Changes tested in non-prod first?</t>
        </is>
      </c>
      <c r="B60" s="15" t="n"/>
      <c r="C60" s="15" t="n"/>
      <c r="D60" s="15" t="n"/>
      <c r="E60" s="15" t="n"/>
    </row>
    <row r="61">
      <c r="A61" t="inlineStr">
        <is>
          <t>Change window adherence monitored?</t>
        </is>
      </c>
      <c r="B61" s="15" t="n"/>
      <c r="C61" s="15" t="n"/>
      <c r="D61" s="15" t="n"/>
      <c r="E61" s="15" t="n"/>
    </row>
    <row r="62">
      <c r="A62" t="inlineStr">
        <is>
          <t>Emergency change procedure defined?</t>
        </is>
      </c>
      <c r="B62" s="15" t="n"/>
      <c r="C62" s="15" t="n"/>
      <c r="D62" s="15" t="n"/>
      <c r="E62" s="15" t="n"/>
    </row>
    <row r="63">
      <c r="A63" t="inlineStr">
        <is>
          <t>Rollback procedure documented and tested?</t>
        </is>
      </c>
      <c r="B63" s="15" t="n"/>
      <c r="C63" s="15" t="n"/>
      <c r="D63" s="15" t="n"/>
      <c r="E63" s="15" t="n"/>
    </row>
    <row r="64">
      <c r="A64" t="inlineStr">
        <is>
          <t>Post-implementation validation required?</t>
        </is>
      </c>
      <c r="B64" s="15" t="n"/>
      <c r="C64" s="15" t="n"/>
      <c r="D64" s="15" t="n"/>
      <c r="E64" s="15" t="n"/>
    </row>
    <row r="65">
      <c r="A65" t="inlineStr">
        <is>
          <t>Change success rate monitored?</t>
        </is>
      </c>
      <c r="B65" s="15" t="n"/>
      <c r="C65" s="15" t="n"/>
      <c r="D65" s="15" t="n"/>
      <c r="E65" s="15"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25" customWidth="1" min="3" max="3"/>
    <col width="20" customWidth="1" min="4" max="4"/>
    <col width="15" customWidth="1" min="5" max="5"/>
    <col width="15" customWidth="1" min="6" max="6"/>
    <col width="18" customWidth="1" min="7" max="7"/>
    <col width="20" customWidth="1" min="8" max="8"/>
  </cols>
  <sheetData>
    <row r="1" ht="35" customHeight="1">
      <c r="A1" s="11" t="inlineStr">
        <is>
          <t>ENVIRONMENT SEPARATION CONTROLS</t>
        </is>
      </c>
    </row>
    <row r="2">
      <c r="A2" s="12" t="inlineStr">
        <is>
          <t>Document technical controls enforcing environment separation</t>
        </is>
      </c>
    </row>
    <row r="4">
      <c r="A4" s="12" t="inlineStr">
        <is>
          <t>TECHNICAL SEPARATION CONTROLS</t>
        </is>
      </c>
    </row>
    <row r="5">
      <c r="A5" s="13" t="inlineStr">
        <is>
          <t>Control Type</t>
        </is>
      </c>
      <c r="B5" s="13" t="inlineStr">
        <is>
          <t>Description</t>
        </is>
      </c>
      <c r="C5" s="13" t="inlineStr">
        <is>
          <t>Environments Covered</t>
        </is>
      </c>
      <c r="D5" s="13" t="inlineStr">
        <is>
          <t>Implementation Status</t>
        </is>
      </c>
      <c r="E5" s="13" t="inlineStr">
        <is>
          <t>Effectiveness</t>
        </is>
      </c>
      <c r="F5" s="13" t="inlineStr">
        <is>
          <t>Last Tested</t>
        </is>
      </c>
      <c r="G5" s="13" t="inlineStr">
        <is>
          <t>Owner</t>
        </is>
      </c>
      <c r="H5" s="13" t="inlineStr">
        <is>
          <t>Evidence</t>
        </is>
      </c>
    </row>
    <row r="6">
      <c r="A6" t="inlineStr">
        <is>
          <t>Network Segmentation</t>
        </is>
      </c>
      <c r="B6" t="inlineStr">
        <is>
          <t>VLAN/subnet separation between environments</t>
        </is>
      </c>
      <c r="C6" s="16" t="inlineStr"/>
      <c r="D6" s="16" t="inlineStr"/>
      <c r="E6" s="16" t="inlineStr"/>
      <c r="F6" s="16" t="inlineStr"/>
      <c r="G6" s="16" t="inlineStr"/>
      <c r="H6" s="16" t="inlineStr"/>
    </row>
    <row r="7">
      <c r="A7" t="inlineStr">
        <is>
          <t>Firewall Rules</t>
        </is>
      </c>
      <c r="B7" t="inlineStr">
        <is>
          <t>Inter-environment traffic restrictions</t>
        </is>
      </c>
      <c r="C7" s="16" t="inlineStr"/>
      <c r="D7" s="16" t="inlineStr"/>
      <c r="E7" s="16" t="inlineStr"/>
      <c r="F7" s="16" t="inlineStr"/>
      <c r="G7" s="16" t="inlineStr"/>
      <c r="H7" s="16" t="inlineStr"/>
    </row>
    <row r="8">
      <c r="A8" t="inlineStr">
        <is>
          <t>IAM Policies</t>
        </is>
      </c>
      <c r="B8" t="inlineStr">
        <is>
          <t>Role-based access per environment</t>
        </is>
      </c>
      <c r="C8" s="16" t="inlineStr"/>
      <c r="D8" s="16" t="inlineStr"/>
      <c r="E8" s="16" t="inlineStr"/>
      <c r="F8" s="16" t="inlineStr"/>
      <c r="G8" s="16" t="inlineStr"/>
      <c r="H8" s="16" t="inlineStr"/>
    </row>
    <row r="9">
      <c r="A9" t="inlineStr">
        <is>
          <t>CI/CD Pipeline Controls</t>
        </is>
      </c>
      <c r="B9" t="inlineStr">
        <is>
          <t>Automated promotion with approvals</t>
        </is>
      </c>
      <c r="C9" s="16" t="inlineStr"/>
      <c r="D9" s="16" t="inlineStr"/>
      <c r="E9" s="16" t="inlineStr"/>
      <c r="F9" s="16" t="inlineStr"/>
      <c r="G9" s="16" t="inlineStr"/>
      <c r="H9" s="16" t="inlineStr"/>
    </row>
    <row r="10">
      <c r="A10" t="inlineStr">
        <is>
          <t>Database Isolation</t>
        </is>
      </c>
      <c r="B10" t="inlineStr">
        <is>
          <t>Separate database instances/schemas</t>
        </is>
      </c>
      <c r="C10" s="16" t="inlineStr"/>
      <c r="D10" s="16" t="inlineStr"/>
      <c r="E10" s="16" t="inlineStr"/>
      <c r="F10" s="16" t="inlineStr"/>
      <c r="G10" s="16" t="inlineStr"/>
      <c r="H10" s="16" t="inlineStr"/>
    </row>
    <row r="11">
      <c r="A11" t="inlineStr">
        <is>
          <t>Secret Management</t>
        </is>
      </c>
      <c r="B11" t="inlineStr">
        <is>
          <t>Environment-specific credentials</t>
        </is>
      </c>
      <c r="C11" s="16" t="inlineStr"/>
      <c r="D11" s="16" t="inlineStr"/>
      <c r="E11" s="16" t="inlineStr"/>
      <c r="F11" s="16" t="inlineStr"/>
      <c r="G11" s="16" t="inlineStr"/>
      <c r="H11" s="16" t="inlineStr"/>
    </row>
    <row r="12">
      <c r="A12" t="inlineStr">
        <is>
          <t>Monitoring Separation</t>
        </is>
      </c>
      <c r="B12" t="inlineStr">
        <is>
          <t>Distinct logging/monitoring per env</t>
        </is>
      </c>
      <c r="C12" s="16" t="inlineStr"/>
      <c r="D12" s="16" t="inlineStr"/>
      <c r="E12" s="16" t="inlineStr"/>
      <c r="F12" s="16" t="inlineStr"/>
      <c r="G12" s="16" t="inlineStr"/>
      <c r="H12" s="16" t="inlineStr"/>
    </row>
    <row r="13">
      <c r="A13" t="inlineStr">
        <is>
          <t>Container Isolation</t>
        </is>
      </c>
      <c r="B13" t="inlineStr">
        <is>
          <t>Namespace/cluster separation</t>
        </is>
      </c>
      <c r="C13" s="16" t="inlineStr"/>
      <c r="D13" s="16" t="inlineStr"/>
      <c r="E13" s="16" t="inlineStr"/>
      <c r="F13" s="16" t="inlineStr"/>
      <c r="G13" s="16" t="inlineStr"/>
      <c r="H13" s="16" t="inlineStr"/>
    </row>
    <row r="16">
      <c r="A16" s="12" t="inlineStr">
        <is>
          <t>CONTROL EFFECTIVENESS ASSESSMENT</t>
        </is>
      </c>
    </row>
    <row r="17">
      <c r="A17" s="13" t="inlineStr">
        <is>
          <t>Assessment Area</t>
        </is>
      </c>
      <c r="B17" s="13" t="inlineStr">
        <is>
          <t>Target</t>
        </is>
      </c>
      <c r="C17" s="13" t="inlineStr">
        <is>
          <t>Current Score</t>
        </is>
      </c>
      <c r="D17" s="13" t="inlineStr">
        <is>
          <t>Gap</t>
        </is>
      </c>
      <c r="E17" s="13" t="inlineStr">
        <is>
          <t>Remediation Required</t>
        </is>
      </c>
      <c r="F17" s="13" t="inlineStr">
        <is>
          <t>Target Date</t>
        </is>
      </c>
    </row>
    <row r="18">
      <c r="A18" t="inlineStr">
        <is>
          <t>Network Separation</t>
        </is>
      </c>
      <c r="B18" t="inlineStr">
        <is>
          <t>100%</t>
        </is>
      </c>
      <c r="C18" s="16" t="inlineStr"/>
      <c r="D18" s="16" t="inlineStr"/>
      <c r="E18" s="16" t="inlineStr"/>
      <c r="F18" s="16" t="inlineStr"/>
    </row>
    <row r="19">
      <c r="A19" t="inlineStr">
        <is>
          <t>Access Control Separation</t>
        </is>
      </c>
      <c r="B19" t="inlineStr">
        <is>
          <t>100%</t>
        </is>
      </c>
      <c r="C19" s="16" t="inlineStr"/>
      <c r="D19" s="16" t="inlineStr"/>
      <c r="E19" s="16" t="inlineStr"/>
      <c r="F19" s="16" t="inlineStr"/>
    </row>
    <row r="20">
      <c r="A20" t="inlineStr">
        <is>
          <t>Data Separation</t>
        </is>
      </c>
      <c r="B20" t="inlineStr">
        <is>
          <t>100%</t>
        </is>
      </c>
      <c r="C20" s="16" t="inlineStr"/>
      <c r="D20" s="16" t="inlineStr"/>
      <c r="E20" s="16" t="inlineStr"/>
      <c r="F20" s="16" t="inlineStr"/>
    </row>
    <row r="21">
      <c r="A21" t="inlineStr">
        <is>
          <t>Code Promotion Controls</t>
        </is>
      </c>
      <c r="B21" t="inlineStr">
        <is>
          <t>100%</t>
        </is>
      </c>
      <c r="C21" s="16" t="inlineStr"/>
      <c r="D21" s="16" t="inlineStr"/>
      <c r="E21" s="16" t="inlineStr"/>
      <c r="F21" s="16" t="inlineStr"/>
    </row>
  </sheetData>
  <mergeCells count="4">
    <mergeCell ref="A4:H4"/>
    <mergeCell ref="A16:F16"/>
    <mergeCell ref="A2:H2"/>
    <mergeCell ref="A1:H1"/>
  </mergeCells>
  <dataValidations count="2">
    <dataValidation sqref="D6 D7 D8 D9 D10 D11 D12 D13" showDropDown="0" showInputMessage="0" showErrorMessage="0" allowBlank="0" type="list">
      <formula1>"✅ Compliant,⚠ Partial,❌ Non-Compliant, Pending"</formula1>
    </dataValidation>
    <dataValidation sqref="H6 H7 H8 H9 H10 H11 H12 H13"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Document all evidence collected during this assessment</t>
        </is>
      </c>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Environment Separation</t>
        </is>
      </c>
      <c r="C5" s="21" t="inlineStr">
        <is>
          <t>Configuration Export</t>
        </is>
      </c>
      <c r="D5" s="21" t="inlineStr">
        <is>
          <t>Network segmentation configuration from firewall</t>
        </is>
      </c>
      <c r="E5" s="21" t="inlineStr">
        <is>
          <t>\\fileserver\evidence\firewall_rules_export_20260115.csv</t>
        </is>
      </c>
      <c r="F5" s="21" t="inlineStr">
        <is>
          <t>15.01.2026</t>
        </is>
      </c>
      <c r="G5" s="21" t="inlineStr">
        <is>
          <t>Network Administrator</t>
        </is>
      </c>
      <c r="H5" s="21" t="inlineStr">
        <is>
          <t>✅ Verified</t>
        </is>
      </c>
    </row>
    <row r="6">
      <c r="A6" s="22" t="n"/>
      <c r="B6" s="16" t="n"/>
      <c r="C6" s="16" t="n"/>
      <c r="D6" s="16" t="n"/>
      <c r="E6" s="16" t="n"/>
      <c r="F6" s="16" t="n"/>
      <c r="G6" s="16" t="n"/>
      <c r="H6" s="16" t="n"/>
    </row>
    <row r="7">
      <c r="A7" s="22" t="n"/>
      <c r="B7" s="16" t="n"/>
      <c r="C7" s="16" t="n"/>
      <c r="D7" s="16" t="n"/>
      <c r="E7" s="16" t="n"/>
      <c r="F7" s="16" t="n"/>
      <c r="G7" s="16" t="n"/>
      <c r="H7" s="16" t="n"/>
    </row>
    <row r="8">
      <c r="A8" s="22" t="n"/>
      <c r="B8" s="16" t="n"/>
      <c r="C8" s="16" t="n"/>
      <c r="D8" s="16" t="n"/>
      <c r="E8" s="16" t="n"/>
      <c r="F8" s="16" t="n"/>
      <c r="G8" s="16" t="n"/>
      <c r="H8" s="16" t="n"/>
    </row>
    <row r="9">
      <c r="A9" s="22" t="n"/>
      <c r="B9" s="16" t="n"/>
      <c r="C9" s="16" t="n"/>
      <c r="D9" s="16" t="n"/>
      <c r="E9" s="16" t="n"/>
      <c r="F9" s="16" t="n"/>
      <c r="G9" s="16" t="n"/>
      <c r="H9" s="16" t="n"/>
    </row>
    <row r="10">
      <c r="A10" s="22" t="n"/>
      <c r="B10" s="16" t="n"/>
      <c r="C10" s="16" t="n"/>
      <c r="D10" s="16" t="n"/>
      <c r="E10" s="16" t="n"/>
      <c r="F10" s="16" t="n"/>
      <c r="G10" s="16" t="n"/>
      <c r="H10" s="16" t="n"/>
    </row>
    <row r="11">
      <c r="A11" s="22" t="n"/>
      <c r="B11" s="16" t="n"/>
      <c r="C11" s="16" t="n"/>
      <c r="D11" s="16" t="n"/>
      <c r="E11" s="16" t="n"/>
      <c r="F11" s="16" t="n"/>
      <c r="G11" s="16" t="n"/>
      <c r="H11" s="16" t="n"/>
    </row>
    <row r="12">
      <c r="A12" s="22" t="n"/>
      <c r="B12" s="16" t="n"/>
      <c r="C12" s="16" t="n"/>
      <c r="D12" s="16" t="n"/>
      <c r="E12" s="16" t="n"/>
      <c r="F12" s="16" t="n"/>
      <c r="G12" s="16" t="n"/>
      <c r="H12" s="16" t="n"/>
    </row>
    <row r="13">
      <c r="A13" s="22" t="n"/>
      <c r="B13" s="16" t="n"/>
      <c r="C13" s="16" t="n"/>
      <c r="D13" s="16" t="n"/>
      <c r="E13" s="16" t="n"/>
      <c r="F13" s="16" t="n"/>
      <c r="G13" s="16" t="n"/>
      <c r="H13" s="16" t="n"/>
    </row>
    <row r="14">
      <c r="A14" s="22" t="n"/>
      <c r="B14" s="16" t="n"/>
      <c r="C14" s="16" t="n"/>
      <c r="D14" s="16" t="n"/>
      <c r="E14" s="16" t="n"/>
      <c r="F14" s="16" t="n"/>
      <c r="G14" s="16" t="n"/>
      <c r="H14" s="16" t="n"/>
    </row>
    <row r="15">
      <c r="A15" s="22" t="n"/>
      <c r="B15" s="16" t="n"/>
      <c r="C15" s="16" t="n"/>
      <c r="D15" s="16" t="n"/>
      <c r="E15" s="16" t="n"/>
      <c r="F15" s="16" t="n"/>
      <c r="G15" s="16" t="n"/>
      <c r="H15" s="16" t="n"/>
    </row>
    <row r="16">
      <c r="A16" s="22" t="n"/>
      <c r="B16" s="16" t="n"/>
      <c r="C16" s="16" t="n"/>
      <c r="D16" s="16" t="n"/>
      <c r="E16" s="16" t="n"/>
      <c r="F16" s="16" t="n"/>
      <c r="G16" s="16" t="n"/>
      <c r="H16" s="16" t="n"/>
    </row>
    <row r="17">
      <c r="A17" s="22" t="n"/>
      <c r="B17" s="16" t="n"/>
      <c r="C17" s="16" t="n"/>
      <c r="D17" s="16" t="n"/>
      <c r="E17" s="16" t="n"/>
      <c r="F17" s="16" t="n"/>
      <c r="G17" s="16" t="n"/>
      <c r="H17" s="16" t="n"/>
    </row>
    <row r="18">
      <c r="A18" s="22" t="n"/>
      <c r="B18" s="16" t="n"/>
      <c r="C18" s="16" t="n"/>
      <c r="D18" s="16" t="n"/>
      <c r="E18" s="16" t="n"/>
      <c r="F18" s="16" t="n"/>
      <c r="G18" s="16" t="n"/>
      <c r="H18" s="16" t="n"/>
    </row>
    <row r="19">
      <c r="A19" s="22" t="n"/>
      <c r="B19" s="16" t="n"/>
      <c r="C19" s="16" t="n"/>
      <c r="D19" s="16" t="n"/>
      <c r="E19" s="16" t="n"/>
      <c r="F19" s="16" t="n"/>
      <c r="G19" s="16" t="n"/>
      <c r="H19" s="16" t="n"/>
    </row>
    <row r="20">
      <c r="A20" s="22" t="n"/>
      <c r="B20" s="16" t="n"/>
      <c r="C20" s="16" t="n"/>
      <c r="D20" s="16" t="n"/>
      <c r="E20" s="16" t="n"/>
      <c r="F20" s="16" t="n"/>
      <c r="G20" s="16" t="n"/>
      <c r="H20" s="16" t="n"/>
    </row>
    <row r="21">
      <c r="A21" s="22" t="n"/>
      <c r="B21" s="16" t="n"/>
      <c r="C21" s="16" t="n"/>
      <c r="D21" s="16" t="n"/>
      <c r="E21" s="16" t="n"/>
      <c r="F21" s="16" t="n"/>
      <c r="G21" s="16" t="n"/>
      <c r="H21" s="16" t="n"/>
    </row>
    <row r="22">
      <c r="A22" s="22" t="n"/>
      <c r="B22" s="16" t="n"/>
      <c r="C22" s="16" t="n"/>
      <c r="D22" s="16" t="n"/>
      <c r="E22" s="16" t="n"/>
      <c r="F22" s="16" t="n"/>
      <c r="G22" s="16" t="n"/>
      <c r="H22" s="16" t="n"/>
    </row>
    <row r="23">
      <c r="A23" s="22" t="n"/>
      <c r="B23" s="16" t="n"/>
      <c r="C23" s="16" t="n"/>
      <c r="D23" s="16" t="n"/>
      <c r="E23" s="16" t="n"/>
      <c r="F23" s="16" t="n"/>
      <c r="G23" s="16" t="n"/>
      <c r="H23" s="16" t="n"/>
    </row>
    <row r="24">
      <c r="A24" s="22" t="n"/>
      <c r="B24" s="16" t="n"/>
      <c r="C24" s="16" t="n"/>
      <c r="D24" s="16" t="n"/>
      <c r="E24" s="16" t="n"/>
      <c r="F24" s="16" t="n"/>
      <c r="G24" s="16" t="n"/>
      <c r="H24" s="16" t="n"/>
    </row>
    <row r="25">
      <c r="A25" s="22" t="n"/>
      <c r="B25" s="16" t="n"/>
      <c r="C25" s="16" t="n"/>
      <c r="D25" s="16" t="n"/>
      <c r="E25" s="16" t="n"/>
      <c r="F25" s="16" t="n"/>
      <c r="G25" s="16" t="n"/>
      <c r="H25" s="16" t="n"/>
    </row>
    <row r="26">
      <c r="A26" s="22" t="n"/>
      <c r="B26" s="16" t="n"/>
      <c r="C26" s="16" t="n"/>
      <c r="D26" s="16" t="n"/>
      <c r="E26" s="16" t="n"/>
      <c r="F26" s="16" t="n"/>
      <c r="G26" s="16" t="n"/>
      <c r="H26" s="16" t="n"/>
    </row>
    <row r="27">
      <c r="A27" s="22" t="n"/>
      <c r="B27" s="16" t="n"/>
      <c r="C27" s="16" t="n"/>
      <c r="D27" s="16" t="n"/>
      <c r="E27" s="16" t="n"/>
      <c r="F27" s="16" t="n"/>
      <c r="G27" s="16" t="n"/>
      <c r="H27" s="16" t="n"/>
    </row>
    <row r="28">
      <c r="A28" s="22" t="n"/>
      <c r="B28" s="16" t="n"/>
      <c r="C28" s="16" t="n"/>
      <c r="D28" s="16" t="n"/>
      <c r="E28" s="16" t="n"/>
      <c r="F28" s="16" t="n"/>
      <c r="G28" s="16" t="n"/>
      <c r="H28" s="16" t="n"/>
    </row>
    <row r="29">
      <c r="A29" s="22" t="n"/>
      <c r="B29" s="16" t="n"/>
      <c r="C29" s="16" t="n"/>
      <c r="D29" s="16" t="n"/>
      <c r="E29" s="16" t="n"/>
      <c r="F29" s="16" t="n"/>
      <c r="G29" s="16" t="n"/>
      <c r="H29" s="16" t="n"/>
    </row>
    <row r="30">
      <c r="A30" s="22" t="n"/>
      <c r="B30" s="16" t="n"/>
      <c r="C30" s="16" t="n"/>
      <c r="D30" s="16" t="n"/>
      <c r="E30" s="16" t="n"/>
      <c r="F30" s="16" t="n"/>
      <c r="G30" s="16" t="n"/>
      <c r="H30" s="16" t="n"/>
    </row>
    <row r="31">
      <c r="A31" s="22" t="n"/>
      <c r="B31" s="16" t="n"/>
      <c r="C31" s="16" t="n"/>
      <c r="D31" s="16" t="n"/>
      <c r="E31" s="16" t="n"/>
      <c r="F31" s="16" t="n"/>
      <c r="G31" s="16" t="n"/>
      <c r="H31" s="16" t="n"/>
    </row>
    <row r="32">
      <c r="A32" s="22" t="n"/>
      <c r="B32" s="16" t="n"/>
      <c r="C32" s="16" t="n"/>
      <c r="D32" s="16" t="n"/>
      <c r="E32" s="16" t="n"/>
      <c r="F32" s="16" t="n"/>
      <c r="G32" s="16" t="n"/>
      <c r="H32" s="16" t="n"/>
    </row>
    <row r="33">
      <c r="A33" s="22" t="n"/>
      <c r="B33" s="16" t="n"/>
      <c r="C33" s="16" t="n"/>
      <c r="D33" s="16" t="n"/>
      <c r="E33" s="16" t="n"/>
      <c r="F33" s="16" t="n"/>
      <c r="G33" s="16" t="n"/>
      <c r="H33" s="16" t="n"/>
    </row>
    <row r="34">
      <c r="A34" s="22" t="n"/>
      <c r="B34" s="16" t="n"/>
      <c r="C34" s="16" t="n"/>
      <c r="D34" s="16" t="n"/>
      <c r="E34" s="16" t="n"/>
      <c r="F34" s="16" t="n"/>
      <c r="G34" s="16" t="n"/>
      <c r="H34" s="16" t="n"/>
    </row>
    <row r="35">
      <c r="A35" s="22" t="n"/>
      <c r="B35" s="16" t="n"/>
      <c r="C35" s="16" t="n"/>
      <c r="D35" s="16" t="n"/>
      <c r="E35" s="16" t="n"/>
      <c r="F35" s="16" t="n"/>
      <c r="G35" s="16" t="n"/>
      <c r="H35" s="16" t="n"/>
    </row>
    <row r="36">
      <c r="A36" s="22" t="n"/>
      <c r="B36" s="16" t="n"/>
      <c r="C36" s="16" t="n"/>
      <c r="D36" s="16" t="n"/>
      <c r="E36" s="16" t="n"/>
      <c r="F36" s="16" t="n"/>
      <c r="G36" s="16" t="n"/>
      <c r="H36" s="16" t="n"/>
    </row>
    <row r="37">
      <c r="A37" s="22" t="n"/>
      <c r="B37" s="16" t="n"/>
      <c r="C37" s="16" t="n"/>
      <c r="D37" s="16" t="n"/>
      <c r="E37" s="16" t="n"/>
      <c r="F37" s="16" t="n"/>
      <c r="G37" s="16" t="n"/>
      <c r="H37" s="16" t="n"/>
    </row>
    <row r="38">
      <c r="A38" s="22" t="n"/>
      <c r="B38" s="16" t="n"/>
      <c r="C38" s="16" t="n"/>
      <c r="D38" s="16" t="n"/>
      <c r="E38" s="16" t="n"/>
      <c r="F38" s="16" t="n"/>
      <c r="G38" s="16" t="n"/>
      <c r="H38" s="16" t="n"/>
    </row>
    <row r="39">
      <c r="A39" s="22" t="n"/>
      <c r="B39" s="16" t="n"/>
      <c r="C39" s="16" t="n"/>
      <c r="D39" s="16" t="n"/>
      <c r="E39" s="16" t="n"/>
      <c r="F39" s="16" t="n"/>
      <c r="G39" s="16" t="n"/>
      <c r="H39" s="16" t="n"/>
    </row>
    <row r="40">
      <c r="A40" s="22" t="n"/>
      <c r="B40" s="16" t="n"/>
      <c r="C40" s="16" t="n"/>
      <c r="D40" s="16" t="n"/>
      <c r="E40" s="16" t="n"/>
      <c r="F40" s="16" t="n"/>
      <c r="G40" s="16" t="n"/>
      <c r="H40" s="16" t="n"/>
    </row>
    <row r="41">
      <c r="A41" s="22" t="n"/>
      <c r="B41" s="16" t="n"/>
      <c r="C41" s="16" t="n"/>
      <c r="D41" s="16" t="n"/>
      <c r="E41" s="16" t="n"/>
      <c r="F41" s="16" t="n"/>
      <c r="G41" s="16" t="n"/>
      <c r="H41" s="16" t="n"/>
    </row>
    <row r="42">
      <c r="A42" s="22" t="n"/>
      <c r="B42" s="16" t="n"/>
      <c r="C42" s="16" t="n"/>
      <c r="D42" s="16" t="n"/>
      <c r="E42" s="16" t="n"/>
      <c r="F42" s="16" t="n"/>
      <c r="G42" s="16" t="n"/>
      <c r="H42" s="16" t="n"/>
    </row>
    <row r="43">
      <c r="A43" s="22" t="n"/>
      <c r="B43" s="16" t="n"/>
      <c r="C43" s="16" t="n"/>
      <c r="D43" s="16" t="n"/>
      <c r="E43" s="16" t="n"/>
      <c r="F43" s="16" t="n"/>
      <c r="G43" s="16" t="n"/>
      <c r="H43" s="16" t="n"/>
    </row>
    <row r="44">
      <c r="A44" s="22" t="n"/>
      <c r="B44" s="16" t="n"/>
      <c r="C44" s="16" t="n"/>
      <c r="D44" s="16" t="n"/>
      <c r="E44" s="16" t="n"/>
      <c r="F44" s="16" t="n"/>
      <c r="G44" s="16" t="n"/>
      <c r="H44" s="16" t="n"/>
    </row>
    <row r="45">
      <c r="A45" s="22" t="n"/>
      <c r="B45" s="16" t="n"/>
      <c r="C45" s="16" t="n"/>
      <c r="D45" s="16" t="n"/>
      <c r="E45" s="16" t="n"/>
      <c r="F45" s="16" t="n"/>
      <c r="G45" s="16" t="n"/>
      <c r="H45" s="16" t="n"/>
    </row>
    <row r="46">
      <c r="A46" s="22" t="n"/>
      <c r="B46" s="16" t="n"/>
      <c r="C46" s="16" t="n"/>
      <c r="D46" s="16" t="n"/>
      <c r="E46" s="16" t="n"/>
      <c r="F46" s="16" t="n"/>
      <c r="G46" s="16" t="n"/>
      <c r="H46" s="16" t="n"/>
    </row>
    <row r="47">
      <c r="A47" s="22" t="n"/>
      <c r="B47" s="16" t="n"/>
      <c r="C47" s="16" t="n"/>
      <c r="D47" s="16" t="n"/>
      <c r="E47" s="16" t="n"/>
      <c r="F47" s="16" t="n"/>
      <c r="G47" s="16" t="n"/>
      <c r="H47" s="16" t="n"/>
    </row>
    <row r="48">
      <c r="A48" s="22" t="n"/>
      <c r="B48" s="16" t="n"/>
      <c r="C48" s="16" t="n"/>
      <c r="D48" s="16" t="n"/>
      <c r="E48" s="16" t="n"/>
      <c r="F48" s="16" t="n"/>
      <c r="G48" s="16" t="n"/>
      <c r="H48" s="16" t="n"/>
    </row>
    <row r="49">
      <c r="A49" s="22" t="n"/>
      <c r="B49" s="16" t="n"/>
      <c r="C49" s="16" t="n"/>
      <c r="D49" s="16" t="n"/>
      <c r="E49" s="16" t="n"/>
      <c r="F49" s="16" t="n"/>
      <c r="G49" s="16" t="n"/>
      <c r="H49" s="16" t="n"/>
    </row>
    <row r="50">
      <c r="A50" s="22" t="n"/>
      <c r="B50" s="16" t="n"/>
      <c r="C50" s="16" t="n"/>
      <c r="D50" s="16" t="n"/>
      <c r="E50" s="16" t="n"/>
      <c r="F50" s="16" t="n"/>
      <c r="G50" s="16" t="n"/>
      <c r="H50" s="16" t="n"/>
    </row>
    <row r="51">
      <c r="A51" s="22" t="n"/>
      <c r="B51" s="16" t="n"/>
      <c r="C51" s="16" t="n"/>
      <c r="D51" s="16" t="n"/>
      <c r="E51" s="16" t="n"/>
      <c r="F51" s="16" t="n"/>
      <c r="G51" s="16" t="n"/>
      <c r="H51" s="16" t="n"/>
    </row>
    <row r="52">
      <c r="A52" s="22" t="n"/>
      <c r="B52" s="16" t="n"/>
      <c r="C52" s="16" t="n"/>
      <c r="D52" s="16" t="n"/>
      <c r="E52" s="16" t="n"/>
      <c r="F52" s="16" t="n"/>
      <c r="G52" s="16" t="n"/>
      <c r="H52" s="16" t="n"/>
    </row>
    <row r="53">
      <c r="A53" s="22" t="n"/>
      <c r="B53" s="16" t="n"/>
      <c r="C53" s="16" t="n"/>
      <c r="D53" s="16" t="n"/>
      <c r="E53" s="16" t="n"/>
      <c r="F53" s="16" t="n"/>
      <c r="G53" s="16" t="n"/>
      <c r="H53" s="16" t="n"/>
    </row>
    <row r="54">
      <c r="A54" s="22" t="n"/>
      <c r="B54" s="16" t="n"/>
      <c r="C54" s="16" t="n"/>
      <c r="D54" s="16" t="n"/>
      <c r="E54" s="16" t="n"/>
      <c r="F54" s="16" t="n"/>
      <c r="G54" s="16" t="n"/>
      <c r="H54" s="16" t="n"/>
    </row>
    <row r="55">
      <c r="A55" s="22" t="n"/>
      <c r="B55" s="16" t="n"/>
      <c r="C55" s="16" t="n"/>
      <c r="D55" s="16" t="n"/>
      <c r="E55" s="16" t="n"/>
      <c r="F55" s="16" t="n"/>
      <c r="G55" s="16" t="n"/>
      <c r="H55" s="16" t="n"/>
    </row>
    <row r="56">
      <c r="A56" s="22" t="n"/>
      <c r="B56" s="16" t="n"/>
      <c r="C56" s="16" t="n"/>
      <c r="D56" s="16" t="n"/>
      <c r="E56" s="16" t="n"/>
      <c r="F56" s="16" t="n"/>
      <c r="G56" s="16" t="n"/>
      <c r="H56" s="16" t="n"/>
    </row>
    <row r="57">
      <c r="A57" s="22" t="n"/>
      <c r="B57" s="16" t="n"/>
      <c r="C57" s="16" t="n"/>
      <c r="D57" s="16" t="n"/>
      <c r="E57" s="16" t="n"/>
      <c r="F57" s="16" t="n"/>
      <c r="G57" s="16" t="n"/>
      <c r="H57" s="16" t="n"/>
    </row>
    <row r="58">
      <c r="A58" s="22" t="n"/>
      <c r="B58" s="16" t="n"/>
      <c r="C58" s="16" t="n"/>
      <c r="D58" s="16" t="n"/>
      <c r="E58" s="16" t="n"/>
      <c r="F58" s="16" t="n"/>
      <c r="G58" s="16" t="n"/>
      <c r="H58" s="16" t="n"/>
    </row>
    <row r="59">
      <c r="A59" s="22" t="n"/>
      <c r="B59" s="16" t="n"/>
      <c r="C59" s="16" t="n"/>
      <c r="D59" s="16" t="n"/>
      <c r="E59" s="16" t="n"/>
      <c r="F59" s="16" t="n"/>
      <c r="G59" s="16" t="n"/>
      <c r="H59" s="16" t="n"/>
    </row>
    <row r="60">
      <c r="A60" s="22" t="n"/>
      <c r="B60" s="16" t="n"/>
      <c r="C60" s="16" t="n"/>
      <c r="D60" s="16" t="n"/>
      <c r="E60" s="16" t="n"/>
      <c r="F60" s="16" t="n"/>
      <c r="G60" s="16" t="n"/>
      <c r="H60" s="16" t="n"/>
    </row>
    <row r="61">
      <c r="A61" s="22" t="n"/>
      <c r="B61" s="16" t="n"/>
      <c r="C61" s="16" t="n"/>
      <c r="D61" s="16" t="n"/>
      <c r="E61" s="16" t="n"/>
      <c r="F61" s="16" t="n"/>
      <c r="G61" s="16" t="n"/>
      <c r="H61" s="16" t="n"/>
    </row>
    <row r="62">
      <c r="A62" s="22" t="n"/>
      <c r="B62" s="16" t="n"/>
      <c r="C62" s="16" t="n"/>
      <c r="D62" s="16" t="n"/>
      <c r="E62" s="16" t="n"/>
      <c r="F62" s="16" t="n"/>
      <c r="G62" s="16" t="n"/>
      <c r="H62" s="16" t="n"/>
    </row>
    <row r="63">
      <c r="A63" s="22" t="n"/>
      <c r="B63" s="16" t="n"/>
      <c r="C63" s="16" t="n"/>
      <c r="D63" s="16" t="n"/>
      <c r="E63" s="16" t="n"/>
      <c r="F63" s="16" t="n"/>
      <c r="G63" s="16" t="n"/>
      <c r="H63" s="16" t="n"/>
    </row>
    <row r="64">
      <c r="A64" s="22" t="n"/>
      <c r="B64" s="16" t="n"/>
      <c r="C64" s="16" t="n"/>
      <c r="D64" s="16" t="n"/>
      <c r="E64" s="16" t="n"/>
      <c r="F64" s="16" t="n"/>
      <c r="G64" s="16" t="n"/>
      <c r="H64" s="16" t="n"/>
    </row>
    <row r="65">
      <c r="A65" s="22" t="n"/>
      <c r="B65" s="16" t="n"/>
      <c r="C65" s="16" t="n"/>
      <c r="D65" s="16" t="n"/>
      <c r="E65" s="16" t="n"/>
      <c r="F65" s="16" t="n"/>
      <c r="G65" s="16" t="n"/>
      <c r="H65" s="16" t="n"/>
    </row>
    <row r="66">
      <c r="A66" s="22" t="n"/>
      <c r="B66" s="16" t="n"/>
      <c r="C66" s="16" t="n"/>
      <c r="D66" s="16" t="n"/>
      <c r="E66" s="16" t="n"/>
      <c r="F66" s="16" t="n"/>
      <c r="G66" s="16" t="n"/>
      <c r="H66" s="16" t="n"/>
    </row>
    <row r="67">
      <c r="A67" s="22" t="n"/>
      <c r="B67" s="16" t="n"/>
      <c r="C67" s="16" t="n"/>
      <c r="D67" s="16" t="n"/>
      <c r="E67" s="16" t="n"/>
      <c r="F67" s="16" t="n"/>
      <c r="G67" s="16" t="n"/>
      <c r="H67" s="16" t="n"/>
    </row>
    <row r="68">
      <c r="A68" s="22" t="n"/>
      <c r="B68" s="16" t="n"/>
      <c r="C68" s="16" t="n"/>
      <c r="D68" s="16" t="n"/>
      <c r="E68" s="16" t="n"/>
      <c r="F68" s="16" t="n"/>
      <c r="G68" s="16" t="n"/>
      <c r="H68" s="16" t="n"/>
    </row>
    <row r="69">
      <c r="A69" s="22" t="n"/>
      <c r="B69" s="16" t="n"/>
      <c r="C69" s="16" t="n"/>
      <c r="D69" s="16" t="n"/>
      <c r="E69" s="16" t="n"/>
      <c r="F69" s="16" t="n"/>
      <c r="G69" s="16" t="n"/>
      <c r="H69" s="16" t="n"/>
    </row>
    <row r="70">
      <c r="A70" s="22" t="n"/>
      <c r="B70" s="16" t="n"/>
      <c r="C70" s="16" t="n"/>
      <c r="D70" s="16" t="n"/>
      <c r="E70" s="16" t="n"/>
      <c r="F70" s="16" t="n"/>
      <c r="G70" s="16" t="n"/>
      <c r="H70" s="16" t="n"/>
    </row>
    <row r="71">
      <c r="A71" s="22" t="n"/>
      <c r="B71" s="16" t="n"/>
      <c r="C71" s="16" t="n"/>
      <c r="D71" s="16" t="n"/>
      <c r="E71" s="16" t="n"/>
      <c r="F71" s="16" t="n"/>
      <c r="G71" s="16" t="n"/>
      <c r="H71" s="16" t="n"/>
    </row>
    <row r="72">
      <c r="A72" s="22" t="n"/>
      <c r="B72" s="16" t="n"/>
      <c r="C72" s="16" t="n"/>
      <c r="D72" s="16" t="n"/>
      <c r="E72" s="16" t="n"/>
      <c r="F72" s="16" t="n"/>
      <c r="G72" s="16" t="n"/>
      <c r="H72" s="16" t="n"/>
    </row>
    <row r="73">
      <c r="A73" s="22" t="n"/>
      <c r="B73" s="16" t="n"/>
      <c r="C73" s="16" t="n"/>
      <c r="D73" s="16" t="n"/>
      <c r="E73" s="16" t="n"/>
      <c r="F73" s="16" t="n"/>
      <c r="G73" s="16" t="n"/>
      <c r="H73" s="16" t="n"/>
    </row>
    <row r="74">
      <c r="A74" s="22" t="n"/>
      <c r="B74" s="16" t="n"/>
      <c r="C74" s="16" t="n"/>
      <c r="D74" s="16" t="n"/>
      <c r="E74" s="16" t="n"/>
      <c r="F74" s="16" t="n"/>
      <c r="G74" s="16" t="n"/>
      <c r="H74" s="16" t="n"/>
    </row>
    <row r="75">
      <c r="A75" s="22" t="n"/>
      <c r="B75" s="16" t="n"/>
      <c r="C75" s="16" t="n"/>
      <c r="D75" s="16" t="n"/>
      <c r="E75" s="16" t="n"/>
      <c r="F75" s="16" t="n"/>
      <c r="G75" s="16" t="n"/>
      <c r="H75" s="16" t="n"/>
    </row>
    <row r="76">
      <c r="A76" s="22" t="n"/>
      <c r="B76" s="16" t="n"/>
      <c r="C76" s="16" t="n"/>
      <c r="D76" s="16" t="n"/>
      <c r="E76" s="16" t="n"/>
      <c r="F76" s="16" t="n"/>
      <c r="G76" s="16" t="n"/>
      <c r="H76" s="16" t="n"/>
    </row>
    <row r="77">
      <c r="A77" s="22" t="n"/>
      <c r="B77" s="16" t="n"/>
      <c r="C77" s="16" t="n"/>
      <c r="D77" s="16" t="n"/>
      <c r="E77" s="16" t="n"/>
      <c r="F77" s="16" t="n"/>
      <c r="G77" s="16" t="n"/>
      <c r="H77" s="16" t="n"/>
    </row>
    <row r="78">
      <c r="A78" s="22" t="n"/>
      <c r="B78" s="16" t="n"/>
      <c r="C78" s="16" t="n"/>
      <c r="D78" s="16" t="n"/>
      <c r="E78" s="16" t="n"/>
      <c r="F78" s="16" t="n"/>
      <c r="G78" s="16" t="n"/>
      <c r="H78" s="16" t="n"/>
    </row>
    <row r="79">
      <c r="A79" s="22" t="n"/>
      <c r="B79" s="16" t="n"/>
      <c r="C79" s="16" t="n"/>
      <c r="D79" s="16" t="n"/>
      <c r="E79" s="16" t="n"/>
      <c r="F79" s="16" t="n"/>
      <c r="G79" s="16" t="n"/>
      <c r="H79" s="16" t="n"/>
    </row>
    <row r="80">
      <c r="A80" s="22" t="n"/>
      <c r="B80" s="16" t="n"/>
      <c r="C80" s="16" t="n"/>
      <c r="D80" s="16" t="n"/>
      <c r="E80" s="16" t="n"/>
      <c r="F80" s="16" t="n"/>
      <c r="G80" s="16" t="n"/>
      <c r="H80" s="16" t="n"/>
    </row>
    <row r="81">
      <c r="A81" s="22" t="n"/>
      <c r="B81" s="16" t="n"/>
      <c r="C81" s="16" t="n"/>
      <c r="D81" s="16" t="n"/>
      <c r="E81" s="16" t="n"/>
      <c r="F81" s="16" t="n"/>
      <c r="G81" s="16" t="n"/>
      <c r="H81" s="16" t="n"/>
    </row>
    <row r="82">
      <c r="A82" s="22" t="n"/>
      <c r="B82" s="16" t="n"/>
      <c r="C82" s="16" t="n"/>
      <c r="D82" s="16" t="n"/>
      <c r="E82" s="16" t="n"/>
      <c r="F82" s="16" t="n"/>
      <c r="G82" s="16" t="n"/>
      <c r="H82" s="16" t="n"/>
    </row>
    <row r="83">
      <c r="A83" s="22" t="n"/>
      <c r="B83" s="16" t="n"/>
      <c r="C83" s="16" t="n"/>
      <c r="D83" s="16" t="n"/>
      <c r="E83" s="16" t="n"/>
      <c r="F83" s="16" t="n"/>
      <c r="G83" s="16" t="n"/>
      <c r="H83" s="16" t="n"/>
    </row>
    <row r="84">
      <c r="A84" s="22" t="n"/>
      <c r="B84" s="16" t="n"/>
      <c r="C84" s="16" t="n"/>
      <c r="D84" s="16" t="n"/>
      <c r="E84" s="16" t="n"/>
      <c r="F84" s="16" t="n"/>
      <c r="G84" s="16" t="n"/>
      <c r="H84" s="16" t="n"/>
    </row>
    <row r="85">
      <c r="A85" s="22" t="n"/>
      <c r="B85" s="16" t="n"/>
      <c r="C85" s="16" t="n"/>
      <c r="D85" s="16" t="n"/>
      <c r="E85" s="16" t="n"/>
      <c r="F85" s="16" t="n"/>
      <c r="G85" s="16" t="n"/>
      <c r="H85" s="16" t="n"/>
    </row>
    <row r="86">
      <c r="A86" s="22" t="n"/>
      <c r="B86" s="16" t="n"/>
      <c r="C86" s="16" t="n"/>
      <c r="D86" s="16" t="n"/>
      <c r="E86" s="16" t="n"/>
      <c r="F86" s="16" t="n"/>
      <c r="G86" s="16" t="n"/>
      <c r="H86" s="16" t="n"/>
    </row>
    <row r="87">
      <c r="A87" s="22" t="n"/>
      <c r="B87" s="16" t="n"/>
      <c r="C87" s="16" t="n"/>
      <c r="D87" s="16" t="n"/>
      <c r="E87" s="16" t="n"/>
      <c r="F87" s="16" t="n"/>
      <c r="G87" s="16" t="n"/>
      <c r="H87" s="16" t="n"/>
    </row>
    <row r="88">
      <c r="A88" s="22" t="n"/>
      <c r="B88" s="16" t="n"/>
      <c r="C88" s="16" t="n"/>
      <c r="D88" s="16" t="n"/>
      <c r="E88" s="16" t="n"/>
      <c r="F88" s="16" t="n"/>
      <c r="G88" s="16" t="n"/>
      <c r="H88" s="16" t="n"/>
    </row>
    <row r="89">
      <c r="A89" s="22" t="n"/>
      <c r="B89" s="16" t="n"/>
      <c r="C89" s="16" t="n"/>
      <c r="D89" s="16" t="n"/>
      <c r="E89" s="16" t="n"/>
      <c r="F89" s="16" t="n"/>
      <c r="G89" s="16" t="n"/>
      <c r="H89" s="16" t="n"/>
    </row>
    <row r="90">
      <c r="A90" s="22" t="n"/>
      <c r="B90" s="16" t="n"/>
      <c r="C90" s="16" t="n"/>
      <c r="D90" s="16" t="n"/>
      <c r="E90" s="16" t="n"/>
      <c r="F90" s="16" t="n"/>
      <c r="G90" s="16" t="n"/>
      <c r="H90" s="16" t="n"/>
    </row>
    <row r="91">
      <c r="A91" s="22" t="n"/>
      <c r="B91" s="16" t="n"/>
      <c r="C91" s="16" t="n"/>
      <c r="D91" s="16" t="n"/>
      <c r="E91" s="16" t="n"/>
      <c r="F91" s="16" t="n"/>
      <c r="G91" s="16" t="n"/>
      <c r="H91" s="16" t="n"/>
    </row>
    <row r="92">
      <c r="A92" s="22" t="n"/>
      <c r="B92" s="16" t="n"/>
      <c r="C92" s="16" t="n"/>
      <c r="D92" s="16" t="n"/>
      <c r="E92" s="16" t="n"/>
      <c r="F92" s="16" t="n"/>
      <c r="G92" s="16" t="n"/>
      <c r="H92" s="16" t="n"/>
    </row>
    <row r="93">
      <c r="A93" s="22" t="n"/>
      <c r="B93" s="16" t="n"/>
      <c r="C93" s="16" t="n"/>
      <c r="D93" s="16" t="n"/>
      <c r="E93" s="16" t="n"/>
      <c r="F93" s="16" t="n"/>
      <c r="G93" s="16" t="n"/>
      <c r="H93" s="16" t="n"/>
    </row>
    <row r="94">
      <c r="A94" s="22" t="n"/>
      <c r="B94" s="16" t="n"/>
      <c r="C94" s="16" t="n"/>
      <c r="D94" s="16" t="n"/>
      <c r="E94" s="16" t="n"/>
      <c r="F94" s="16" t="n"/>
      <c r="G94" s="16" t="n"/>
      <c r="H94" s="16" t="n"/>
    </row>
    <row r="95">
      <c r="A95" s="22" t="n"/>
      <c r="B95" s="16" t="n"/>
      <c r="C95" s="16" t="n"/>
      <c r="D95" s="16" t="n"/>
      <c r="E95" s="16" t="n"/>
      <c r="F95" s="16" t="n"/>
      <c r="G95" s="16" t="n"/>
      <c r="H95" s="16" t="n"/>
    </row>
    <row r="96">
      <c r="A96" s="22" t="n"/>
      <c r="B96" s="16" t="n"/>
      <c r="C96" s="16" t="n"/>
      <c r="D96" s="16" t="n"/>
      <c r="E96" s="16" t="n"/>
      <c r="F96" s="16" t="n"/>
      <c r="G96" s="16" t="n"/>
      <c r="H96" s="16" t="n"/>
    </row>
    <row r="97">
      <c r="A97" s="22" t="n"/>
      <c r="B97" s="16" t="n"/>
      <c r="C97" s="16" t="n"/>
      <c r="D97" s="16" t="n"/>
      <c r="E97" s="16" t="n"/>
      <c r="F97" s="16" t="n"/>
      <c r="G97" s="16" t="n"/>
      <c r="H97" s="16" t="n"/>
    </row>
    <row r="98">
      <c r="A98" s="22" t="n"/>
      <c r="B98" s="16" t="n"/>
      <c r="C98" s="16" t="n"/>
      <c r="D98" s="16" t="n"/>
      <c r="E98" s="16" t="n"/>
      <c r="F98" s="16" t="n"/>
      <c r="G98" s="16" t="n"/>
      <c r="H98" s="16" t="n"/>
    </row>
    <row r="99">
      <c r="A99" s="22" t="n"/>
      <c r="B99" s="16" t="n"/>
      <c r="C99" s="16" t="n"/>
      <c r="D99" s="16" t="n"/>
      <c r="E99" s="16" t="n"/>
      <c r="F99" s="16" t="n"/>
      <c r="G99" s="16" t="n"/>
      <c r="H99" s="16" t="n"/>
    </row>
    <row r="100">
      <c r="A100" s="22" t="n"/>
      <c r="B100" s="16" t="n"/>
      <c r="C100" s="16" t="n"/>
      <c r="D100" s="16" t="n"/>
      <c r="E100" s="16" t="n"/>
      <c r="F100" s="16" t="n"/>
      <c r="G100" s="16" t="n"/>
      <c r="H100" s="16" t="n"/>
    </row>
    <row r="101">
      <c r="A101" s="22" t="n"/>
      <c r="B101" s="16" t="n"/>
      <c r="C101" s="16" t="n"/>
      <c r="D101" s="16" t="n"/>
      <c r="E101" s="16" t="n"/>
      <c r="F101" s="16" t="n"/>
      <c r="G101" s="16" t="n"/>
      <c r="H101" s="16" t="n"/>
    </row>
    <row r="102">
      <c r="A102" s="22" t="n"/>
      <c r="B102" s="16" t="n"/>
      <c r="C102" s="16" t="n"/>
      <c r="D102" s="16" t="n"/>
      <c r="E102" s="16" t="n"/>
      <c r="F102" s="16" t="n"/>
      <c r="G102" s="16" t="n"/>
      <c r="H102" s="16" t="n"/>
    </row>
    <row r="103">
      <c r="A103" s="22" t="n"/>
      <c r="B103" s="16" t="n"/>
      <c r="C103" s="16" t="n"/>
      <c r="D103" s="16" t="n"/>
      <c r="E103" s="16" t="n"/>
      <c r="F103" s="16" t="n"/>
      <c r="G103" s="16" t="n"/>
      <c r="H103" s="16" t="n"/>
    </row>
    <row r="104">
      <c r="A104" s="22" t="n"/>
      <c r="B104" s="16" t="n"/>
      <c r="C104" s="16" t="n"/>
      <c r="D104" s="16" t="n"/>
      <c r="E104" s="16" t="n"/>
      <c r="F104" s="16" t="n"/>
      <c r="G104" s="16" t="n"/>
      <c r="H104" s="16" t="n"/>
    </row>
    <row r="105">
      <c r="A105" s="22"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17" t="inlineStr">
        <is>
          <t>ENVIRONMENT SEPARATION ASSESSMENT — SUMMARY DASHBOARD</t>
        </is>
      </c>
    </row>
    <row r="2">
      <c r="A2" s="18" t="inlineStr">
        <is>
          <t>ISO/IEC 27001:2022 — Control A.8.32: Change Management</t>
        </is>
      </c>
    </row>
    <row r="4">
      <c r="A4" s="23" t="inlineStr">
        <is>
          <t>TABLE 1: ASSESSMENT AREA COMPLIANCE OVERVIEW</t>
        </is>
      </c>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Environment Inventory</t>
        </is>
      </c>
      <c r="B6" s="26">
        <f>COUNTA('Environment Inventory'!A6:A55)</f>
        <v/>
      </c>
      <c r="C6" s="26">
        <f>COUNTIF('Environment Inventory'!C6:C55,"✅ Compliant")</f>
        <v/>
      </c>
      <c r="D6" s="26">
        <f>COUNTIF('Environment Inventory'!C6:C55,"⚠ Partial")</f>
        <v/>
      </c>
      <c r="E6" s="26">
        <f>COUNTIF('Environment Inventory'!C6:C55,"❌ Non-Compliant")+COUNTIF('Environment Inventory'!C6:C55,"Pending")</f>
        <v/>
      </c>
      <c r="F6" s="26" t="n">
        <v>0</v>
      </c>
      <c r="G6" s="27">
        <f>IF((B6-F6)=0,0,C6/(B6-F6))</f>
        <v/>
      </c>
    </row>
    <row r="7">
      <c r="A7" s="25" t="inlineStr">
        <is>
          <t>Access Controls</t>
        </is>
      </c>
      <c r="B7" s="26">
        <f>COUNTA('Access Controls'!A6:A58)</f>
        <v/>
      </c>
      <c r="C7" s="26">
        <f>COUNTIF('Access Controls'!C6:C58,"✅ Compliant")</f>
        <v/>
      </c>
      <c r="D7" s="26">
        <f>COUNTIF('Access Controls'!C6:C58,"⚠ Partial")</f>
        <v/>
      </c>
      <c r="E7" s="26">
        <f>COUNTIF('Access Controls'!C6:C58,"❌ Non-Compliant")+COUNTIF('Access Controls'!C6:C58,"Pending")</f>
        <v/>
      </c>
      <c r="F7" s="26" t="n">
        <v>0</v>
      </c>
      <c r="G7" s="27">
        <f>IF((B7-F7)=0,0,C7/(B7-F7))</f>
        <v/>
      </c>
    </row>
    <row r="8">
      <c r="A8" s="25" t="inlineStr">
        <is>
          <t>Promotion Workflows - Controls &amp; Gates</t>
        </is>
      </c>
      <c r="B8" s="26">
        <f>COUNTA('Promotion Workflows'!A14:A44)</f>
        <v/>
      </c>
      <c r="C8" s="26">
        <f>COUNTIF('Promotion Workflows'!E14:E44,"✅ Compliant")</f>
        <v/>
      </c>
      <c r="D8" s="26">
        <f>COUNTIF('Promotion Workflows'!E14:E44,"⚠ Partial")</f>
        <v/>
      </c>
      <c r="E8" s="26">
        <f>COUNTIF('Promotion Workflows'!E14:E44,"❌ Non-Compliant")+COUNTIF('Promotion Workflows'!E14:E44,"Pending")</f>
        <v/>
      </c>
      <c r="F8" s="26" t="n">
        <v>0</v>
      </c>
      <c r="G8" s="27">
        <f>IF((B8-F8)=0,0,C8/(B8-F8))</f>
        <v/>
      </c>
    </row>
    <row r="9">
      <c r="A9" s="25" t="inlineStr">
        <is>
          <t>Promotion Workflows - CI/CD Pipeline</t>
        </is>
      </c>
      <c r="B9" s="26">
        <f>COUNTA('Promotion Workflows'!A33:A44)</f>
        <v/>
      </c>
      <c r="C9" s="26">
        <f>COUNTIF('Promotion Workflows'!E33:E44,"✅ Compliant")</f>
        <v/>
      </c>
      <c r="D9" s="26">
        <f>COUNTIF('Promotion Workflows'!E33:E44,"⚠ Partial")</f>
        <v/>
      </c>
      <c r="E9" s="26">
        <f>COUNTIF('Promotion Workflows'!E33:E44,"❌ Non-Compliant")+COUNTIF('Promotion Workflows'!E33:E44,"Pending")</f>
        <v/>
      </c>
      <c r="F9" s="26" t="n">
        <v>0</v>
      </c>
      <c r="G9" s="27">
        <f>IF((B9-F9)=0,0,C9/(B9-F9))</f>
        <v/>
      </c>
    </row>
    <row r="10">
      <c r="A10" s="25" t="inlineStr">
        <is>
          <t>Data Protection</t>
        </is>
      </c>
      <c r="B10" s="26">
        <f>COUNTA('Data Protection'!A6:A95)</f>
        <v/>
      </c>
      <c r="C10" s="26">
        <f>COUNTIF('Data Protection'!D6:D95,"✅ Yes")</f>
        <v/>
      </c>
      <c r="D10" s="26">
        <f>COUNTIF('Data Protection'!D6:D95,"⚠ Partial")</f>
        <v/>
      </c>
      <c r="E10" s="26">
        <f>COUNTIF('Data Protection'!D6:D95,"❌ No")</f>
        <v/>
      </c>
      <c r="F10" s="26" t="n">
        <v>0</v>
      </c>
      <c r="G10" s="27">
        <f>IF((B10-F10)=0,0,C10/(B10-F10))</f>
        <v/>
      </c>
    </row>
    <row r="11">
      <c r="A11" s="25" t="inlineStr">
        <is>
          <t>Environment Config</t>
        </is>
      </c>
      <c r="B11" s="26">
        <f>COUNTA('Environment Config'!A6:A65)</f>
        <v/>
      </c>
      <c r="C11" s="26">
        <f>COUNTIF('Environment Config'!C6:C65,"✅ Compliant")</f>
        <v/>
      </c>
      <c r="D11" s="26">
        <f>COUNTIF('Environment Config'!C6:C65,"⚠ Partial")</f>
        <v/>
      </c>
      <c r="E11" s="26">
        <f>COUNTIF('Environment Config'!C6:C65,"❌ Non-Compliant")+COUNTIF('Environment Config'!C6:C65,"Pending")</f>
        <v/>
      </c>
      <c r="F11" s="26" t="n">
        <v>0</v>
      </c>
      <c r="G11" s="27">
        <f>IF((B11-F11)=0,0,C11/(B11-F11))</f>
        <v/>
      </c>
    </row>
    <row r="12">
      <c r="A12" s="25" t="inlineStr">
        <is>
          <t>Separation Controls</t>
        </is>
      </c>
      <c r="B12" s="26">
        <f>COUNTA('Separation Controls'!A6:A21)</f>
        <v/>
      </c>
      <c r="C12" s="26">
        <f>COUNTIF('Separation Controls'!D6:D21,"✅ Compliant")</f>
        <v/>
      </c>
      <c r="D12" s="26">
        <f>COUNTIF('Separation Controls'!D6:D21,"⚠ Partial")</f>
        <v/>
      </c>
      <c r="E12" s="26">
        <f>COUNTIF('Separation Controls'!D6:D21,"❌ Non-Compliant")+COUNTIF('Separation Controls'!D6:D21,"Pending")</f>
        <v/>
      </c>
      <c r="F12" s="26" t="n">
        <v>0</v>
      </c>
      <c r="G12" s="27">
        <f>IF((B12-F12)=0,0,C12/(B12-F12))</f>
        <v/>
      </c>
    </row>
    <row r="13">
      <c r="A13" s="28" t="inlineStr">
        <is>
          <t>TOTAL</t>
        </is>
      </c>
      <c r="B13" s="29">
        <f>SUM(B6:B12)</f>
        <v/>
      </c>
      <c r="C13" s="29">
        <f>SUM(C6:C12)</f>
        <v/>
      </c>
      <c r="D13" s="29">
        <f>SUM(D6:D12)</f>
        <v/>
      </c>
      <c r="E13" s="29">
        <f>SUM(E6:E12)</f>
        <v/>
      </c>
      <c r="F13" s="29">
        <f>SUM(F6:F12)</f>
        <v/>
      </c>
      <c r="G13" s="30">
        <f>IF((B13-F13)=0,0,C13/(B13-F13))</f>
        <v/>
      </c>
    </row>
    <row r="15">
      <c r="A15" s="31" t="inlineStr">
        <is>
          <t>TABLE 2: KEY METRICS</t>
        </is>
      </c>
      <c r="B15" s="6" t="n"/>
      <c r="C15" s="6" t="n"/>
      <c r="D15" s="6" t="n"/>
      <c r="E15" s="6" t="n"/>
      <c r="F15" s="6" t="n"/>
      <c r="G15" s="6" t="n"/>
    </row>
    <row r="16">
      <c r="A16" s="29" t="inlineStr">
        <is>
          <t>Metric</t>
        </is>
      </c>
      <c r="B16" s="29" t="inlineStr">
        <is>
          <t>Value</t>
        </is>
      </c>
      <c r="C16" s="29" t="inlineStr"/>
      <c r="D16" s="29" t="inlineStr"/>
      <c r="E16" s="29" t="inlineStr"/>
      <c r="F16" s="29" t="inlineStr"/>
      <c r="G16" s="29" t="inlineStr"/>
    </row>
    <row r="17">
      <c r="A17" s="32" t="inlineStr">
        <is>
          <t>Network Isolation Coverage</t>
        </is>
      </c>
      <c r="B17" s="32">
        <f>'Separation Controls'!D6</f>
        <v/>
      </c>
      <c r="C17" s="6" t="n"/>
      <c r="D17" s="6" t="n"/>
      <c r="E17" s="6" t="n"/>
      <c r="F17" s="6" t="n"/>
      <c r="G17" s="6" t="n"/>
    </row>
    <row r="18">
      <c r="A18" s="32" t="inlineStr">
        <is>
          <t>MFA Enforcement (Production)</t>
        </is>
      </c>
      <c r="B18" s="32">
        <f>'Access Controls'!C30</f>
        <v/>
      </c>
      <c r="C18" s="6" t="n"/>
      <c r="D18" s="6" t="n"/>
      <c r="E18" s="6" t="n"/>
      <c r="F18" s="6" t="n"/>
      <c r="G18" s="6" t="n"/>
    </row>
    <row r="19">
      <c r="A19" s="32" t="inlineStr">
        <is>
          <t>Developer Direct Production Access</t>
        </is>
      </c>
      <c r="B19" s="32">
        <f>'Access Controls'!C35</f>
        <v/>
      </c>
      <c r="C19" s="6" t="n"/>
      <c r="D19" s="6" t="n"/>
      <c r="E19" s="6" t="n"/>
      <c r="F19" s="6" t="n"/>
      <c r="G19" s="6" t="n"/>
    </row>
    <row r="20">
      <c r="A20" s="32" t="inlineStr">
        <is>
          <t>Change Promotion Success Rate</t>
        </is>
      </c>
      <c r="B20" s="32">
        <f>'Promotion Workflows'!E14</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t>
        </is>
      </c>
      <c r="B24" s="6" t="n"/>
      <c r="C24" s="6" t="n"/>
      <c r="D24" s="6" t="n"/>
      <c r="E24" s="6" t="n"/>
      <c r="F24" s="6" t="n"/>
      <c r="G24" s="6" t="n"/>
    </row>
    <row r="25">
      <c r="A25" s="34" t="inlineStr">
        <is>
          <t>Category</t>
        </is>
      </c>
      <c r="B25" s="34" t="inlineStr">
        <is>
          <t>Finding</t>
        </is>
      </c>
      <c r="C25" s="34" t="inlineStr">
        <is>
          <t>Count</t>
        </is>
      </c>
      <c r="D25" s="34" t="inlineStr">
        <is>
          <t>Severity</t>
        </is>
      </c>
      <c r="E25" s="34" t="inlineStr">
        <is>
          <t>Action Required</t>
        </is>
      </c>
      <c r="F25" s="34" t="inlineStr"/>
      <c r="G25" s="34" t="inlineStr"/>
    </row>
    <row r="26">
      <c r="A26" s="35" t="inlineStr">
        <is>
          <t>Environment Separation</t>
        </is>
      </c>
      <c r="B26" s="35" t="inlineStr">
        <is>
          <t>Production changes without separate test</t>
        </is>
      </c>
      <c r="C26" s="36">
        <f>COUNTIF('Environment Inventory'!F6:F55,"❌ Not Implemented")</f>
        <v/>
      </c>
      <c r="D26" s="35" t="inlineStr">
        <is>
          <t>Critical</t>
        </is>
      </c>
      <c r="E26" s="35" t="inlineStr">
        <is>
          <t>Immediate</t>
        </is>
      </c>
      <c r="F26" s="15" t="n"/>
      <c r="G26" s="15" t="n"/>
    </row>
    <row r="27">
      <c r="A27" s="35" t="inlineStr">
        <is>
          <t>Environment Separation</t>
        </is>
      </c>
      <c r="B27" s="35" t="inlineStr">
        <is>
          <t>Missing environment isolation controls</t>
        </is>
      </c>
      <c r="C27" s="36">
        <f>COUNTIF('Environment Inventory'!J6:J55,"❌ Not Implemented")</f>
        <v/>
      </c>
      <c r="D27" s="35" t="inlineStr">
        <is>
          <t>Critical</t>
        </is>
      </c>
      <c r="E27" s="35" t="inlineStr">
        <is>
          <t>Immediate</t>
        </is>
      </c>
      <c r="F27" s="15" t="n"/>
      <c r="G27" s="15" t="n"/>
    </row>
    <row r="28">
      <c r="A28" s="35" t="inlineStr">
        <is>
          <t>Promotion Process</t>
        </is>
      </c>
      <c r="B28" s="35" t="inlineStr">
        <is>
          <t>Production promotions without testing</t>
        </is>
      </c>
      <c r="C28" s="36">
        <f>COUNTIF('Promotion Workflows'!E14:E44,"❌ Non-Compliant")</f>
        <v/>
      </c>
      <c r="D28" s="35" t="inlineStr">
        <is>
          <t>Critical</t>
        </is>
      </c>
      <c r="E28" s="35" t="inlineStr">
        <is>
          <t>Immediate</t>
        </is>
      </c>
      <c r="F28" s="15" t="n"/>
      <c r="G28" s="15" t="n"/>
    </row>
    <row r="29">
      <c r="A29" s="35" t="inlineStr">
        <is>
          <t>Production Access</t>
        </is>
      </c>
      <c r="B29" s="35" t="inlineStr">
        <is>
          <t>Unauthorised production access</t>
        </is>
      </c>
      <c r="C29" s="36">
        <f>COUNTIF('Access Controls'!I6:I58,"❌ Not Implemented")</f>
        <v/>
      </c>
      <c r="D29" s="35" t="inlineStr">
        <is>
          <t>Critical</t>
        </is>
      </c>
      <c r="E29" s="35" t="inlineStr">
        <is>
          <t>Immediate</t>
        </is>
      </c>
      <c r="F29" s="15" t="n"/>
      <c r="G29" s="15" t="n"/>
    </row>
    <row r="30">
      <c r="A30" s="35" t="inlineStr">
        <is>
          <t>Data Sync</t>
        </is>
      </c>
      <c r="B30" s="35" t="inlineStr">
        <is>
          <t>Production data in lower environments</t>
        </is>
      </c>
      <c r="C30" s="36">
        <f>COUNTIF('Data Protection'!K6:K94,"❌ Not Implemented")</f>
        <v/>
      </c>
      <c r="D30" s="35" t="inlineStr">
        <is>
          <t>Critical</t>
        </is>
      </c>
      <c r="E30" s="35" t="inlineStr">
        <is>
          <t>Immediate</t>
        </is>
      </c>
      <c r="F30" s="15" t="n"/>
      <c r="G30" s="15" t="n"/>
    </row>
    <row r="31">
      <c r="A31" s="35" t="inlineStr">
        <is>
          <t>Environment Separation</t>
        </is>
      </c>
      <c r="B31" s="35" t="inlineStr">
        <is>
          <t>Partial environment separation</t>
        </is>
      </c>
      <c r="C31" s="36">
        <f>COUNTIF('Environment Inventory'!F6:F55,"⚠ Partial")</f>
        <v/>
      </c>
      <c r="D31" s="35" t="inlineStr">
        <is>
          <t>High</t>
        </is>
      </c>
      <c r="E31" s="35" t="inlineStr">
        <is>
          <t>Urgent</t>
        </is>
      </c>
      <c r="F31" s="15" t="n"/>
      <c r="G31" s="15" t="n"/>
    </row>
    <row r="32">
      <c r="A32" s="35" t="inlineStr">
        <is>
          <t>Promotion Process</t>
        </is>
      </c>
      <c r="B32" s="35" t="inlineStr">
        <is>
          <t>Incomplete promotion controls</t>
        </is>
      </c>
      <c r="C32" s="36">
        <f>COUNTIF('Promotion Workflows'!E33:E44,"❌ Non-Compliant")</f>
        <v/>
      </c>
      <c r="D32" s="35" t="inlineStr">
        <is>
          <t>High</t>
        </is>
      </c>
      <c r="E32" s="35" t="inlineStr">
        <is>
          <t>Urgent</t>
        </is>
      </c>
      <c r="F32" s="15" t="n"/>
      <c r="G32" s="15" t="n"/>
    </row>
    <row r="33">
      <c r="A33" s="35" t="inlineStr">
        <is>
          <t>Production Access</t>
        </is>
      </c>
      <c r="B33" s="35" t="inlineStr">
        <is>
          <t>Production access control gaps</t>
        </is>
      </c>
      <c r="C33" s="36">
        <f>COUNTIF('Access Controls'!I6:I58,"⚠ Partial")</f>
        <v/>
      </c>
      <c r="D33" s="35" t="inlineStr">
        <is>
          <t>High</t>
        </is>
      </c>
      <c r="E33" s="35" t="inlineStr">
        <is>
          <t>Urgent</t>
        </is>
      </c>
      <c r="F33" s="15" t="n"/>
      <c r="G33" s="15" t="n"/>
    </row>
    <row r="34">
      <c r="A34" s="35" t="inlineStr">
        <is>
          <t>Data Sync</t>
        </is>
      </c>
      <c r="B34" s="35" t="inlineStr">
        <is>
          <t>Data synchronization gaps</t>
        </is>
      </c>
      <c r="C34" s="36">
        <f>COUNTIF('Data Protection'!K6:K94,"⚠ Partial")</f>
        <v/>
      </c>
      <c r="D34" s="35" t="inlineStr">
        <is>
          <t>Medium</t>
        </is>
      </c>
      <c r="E34" s="35" t="inlineStr">
        <is>
          <t>Plan</t>
        </is>
      </c>
      <c r="F34" s="15" t="n"/>
      <c r="G34" s="15" t="n"/>
    </row>
    <row r="35">
      <c r="A35" s="35" t="inlineStr">
        <is>
          <t>Environment Separation</t>
        </is>
      </c>
      <c r="B35" s="35" t="inlineStr">
        <is>
          <t>Environment monitoring gaps</t>
        </is>
      </c>
      <c r="C35" s="36">
        <f>COUNTIF('Environment Inventory'!N6:N55,"Gap")</f>
        <v/>
      </c>
      <c r="D35" s="35" t="inlineStr">
        <is>
          <t>Medium</t>
        </is>
      </c>
      <c r="E35" s="35" t="inlineStr">
        <is>
          <t>Plan</t>
        </is>
      </c>
      <c r="F35" s="15" t="n"/>
      <c r="G35" s="15" t="n"/>
    </row>
    <row r="36">
      <c r="A36" s="15" t="n"/>
      <c r="B36" s="15" t="n"/>
      <c r="C36" s="15" t="n"/>
      <c r="D36" s="15" t="n"/>
      <c r="E36" s="15" t="n"/>
      <c r="F36" s="15" t="n"/>
      <c r="G36" s="15" t="n"/>
    </row>
    <row r="37">
      <c r="A37" s="15" t="n"/>
      <c r="B37" s="15" t="n"/>
      <c r="C37" s="15" t="n"/>
      <c r="D37" s="15" t="n"/>
      <c r="E37" s="15" t="n"/>
      <c r="F37" s="15" t="n"/>
      <c r="G37" s="15"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A.8.32: Change Management</t>
        </is>
      </c>
      <c r="B2" s="6" t="n"/>
      <c r="C2" s="6" t="n"/>
      <c r="D2" s="6" t="n"/>
      <c r="E2" s="6" t="n"/>
    </row>
    <row r="3">
      <c r="A3" s="39" t="inlineStr">
        <is>
          <t>ASSESSMENT SUMMARY</t>
        </is>
      </c>
      <c r="B3" s="6" t="n"/>
      <c r="C3" s="6" t="n"/>
      <c r="D3" s="6" t="n"/>
      <c r="E3" s="6" t="n"/>
    </row>
    <row r="4">
      <c r="A4" s="40" t="inlineStr">
        <is>
          <t>Document:</t>
        </is>
      </c>
      <c r="B4" s="6" t="inlineStr">
        <is>
          <t>ISMS-IMP-A.8.32.3 — Environment Separation Assessment</t>
        </is>
      </c>
      <c r="C4" s="6" t="n"/>
      <c r="D4" s="6" t="n"/>
      <c r="E4" s="6" t="n"/>
    </row>
    <row r="5">
      <c r="A5" s="40" t="inlineStr">
        <is>
          <t>Assessment Period:</t>
        </is>
      </c>
      <c r="B5" s="15" t="inlineStr"/>
      <c r="C5" s="15" t="n"/>
      <c r="D5" s="15" t="n"/>
      <c r="E5" s="15" t="n"/>
    </row>
    <row r="6">
      <c r="A6" s="40" t="inlineStr">
        <is>
          <t>Overall Compliance Rating:</t>
        </is>
      </c>
      <c r="B6" s="6">
        <f>'Summary Dashboard'!G13</f>
        <v/>
      </c>
      <c r="C6" s="6" t="n"/>
      <c r="D6" s="6" t="n"/>
      <c r="E6" s="6" t="n"/>
    </row>
    <row r="7">
      <c r="A7" s="40" t="inlineStr">
        <is>
          <t>Assessed By:</t>
        </is>
      </c>
      <c r="B7" s="15" t="inlineStr"/>
      <c r="C7" s="15" t="n"/>
      <c r="D7" s="15" t="n"/>
      <c r="E7" s="15" t="n"/>
    </row>
    <row r="8">
      <c r="A8" s="40" t="inlineStr">
        <is>
          <t>Assessment Status:</t>
        </is>
      </c>
      <c r="B8" s="15" t="inlineStr"/>
      <c r="C8" s="15" t="n"/>
      <c r="D8" s="15" t="n"/>
      <c r="E8" s="15" t="n"/>
    </row>
    <row r="10">
      <c r="A10" s="39" t="inlineStr">
        <is>
          <t>COMPLETED BY (ASSESSOR)</t>
        </is>
      </c>
      <c r="B10" s="6" t="n"/>
      <c r="C10" s="6" t="n"/>
      <c r="D10" s="6" t="n"/>
      <c r="E10" s="6" t="n"/>
    </row>
    <row r="11">
      <c r="A11" s="40" t="inlineStr">
        <is>
          <t>Name:</t>
        </is>
      </c>
      <c r="B11" s="15" t="n"/>
      <c r="C11" s="15" t="n"/>
      <c r="D11" s="15" t="n"/>
      <c r="E11" s="15" t="n"/>
    </row>
    <row r="12">
      <c r="A12" s="40" t="inlineStr">
        <is>
          <t>Title:</t>
        </is>
      </c>
      <c r="B12" s="15" t="n"/>
      <c r="C12" s="15" t="n"/>
      <c r="D12" s="15" t="n"/>
      <c r="E12" s="15" t="n"/>
    </row>
    <row r="13">
      <c r="A13" s="40" t="inlineStr">
        <is>
          <t>Date:</t>
        </is>
      </c>
      <c r="B13" s="15" t="n"/>
      <c r="C13" s="15" t="n"/>
      <c r="D13" s="15" t="n"/>
      <c r="E13" s="15" t="n"/>
    </row>
    <row r="14">
      <c r="A14" s="40" t="inlineStr">
        <is>
          <t>Signature:</t>
        </is>
      </c>
      <c r="B14" s="15" t="n"/>
      <c r="C14" s="15" t="n"/>
      <c r="D14" s="15" t="n"/>
      <c r="E14" s="15" t="n"/>
    </row>
    <row r="15">
      <c r="A15" s="40" t="inlineStr">
        <is>
          <t>Comments:</t>
        </is>
      </c>
      <c r="B15" s="15" t="n"/>
      <c r="C15" s="15" t="n"/>
      <c r="D15" s="15" t="n"/>
      <c r="E15" s="15" t="n"/>
    </row>
    <row r="17">
      <c r="A17" s="39" t="inlineStr">
        <is>
          <t>REVIEWED BY (INFORMATION SECURITY OFFICER)</t>
        </is>
      </c>
      <c r="B17" s="6" t="n"/>
      <c r="C17" s="6" t="n"/>
      <c r="D17" s="6" t="n"/>
      <c r="E17" s="6" t="n"/>
    </row>
    <row r="18">
      <c r="A18" s="40" t="inlineStr">
        <is>
          <t>Name:</t>
        </is>
      </c>
      <c r="B18" s="15" t="n"/>
      <c r="C18" s="15" t="n"/>
      <c r="D18" s="15" t="n"/>
      <c r="E18" s="15" t="n"/>
    </row>
    <row r="19">
      <c r="A19" s="40" t="inlineStr">
        <is>
          <t>Title:</t>
        </is>
      </c>
      <c r="B19" s="15" t="n"/>
      <c r="C19" s="15" t="n"/>
      <c r="D19" s="15" t="n"/>
      <c r="E19" s="15" t="n"/>
    </row>
    <row r="20">
      <c r="A20" s="40" t="inlineStr">
        <is>
          <t>Date:</t>
        </is>
      </c>
      <c r="B20" s="15" t="n"/>
      <c r="C20" s="15" t="n"/>
      <c r="D20" s="15" t="n"/>
      <c r="E20" s="15" t="n"/>
    </row>
    <row r="21">
      <c r="A21" s="40" t="inlineStr">
        <is>
          <t>Signature:</t>
        </is>
      </c>
      <c r="B21" s="15" t="n"/>
      <c r="C21" s="15" t="n"/>
      <c r="D21" s="15" t="n"/>
      <c r="E21" s="15" t="n"/>
    </row>
    <row r="22">
      <c r="A22" s="40" t="inlineStr">
        <is>
          <t>Comments:</t>
        </is>
      </c>
      <c r="B22" s="15" t="n"/>
      <c r="C22" s="15" t="n"/>
      <c r="D22" s="15" t="n"/>
      <c r="E22" s="15" t="n"/>
    </row>
    <row r="24">
      <c r="A24" s="31" t="inlineStr">
        <is>
          <t>APPROVED BY — CISO</t>
        </is>
      </c>
      <c r="B24" s="6" t="n"/>
      <c r="C24" s="6" t="n"/>
      <c r="D24" s="6" t="n"/>
      <c r="E24" s="6" t="n"/>
    </row>
    <row r="25">
      <c r="A25" s="40" t="inlineStr">
        <is>
          <t>Name:</t>
        </is>
      </c>
      <c r="B25" s="15" t="n"/>
      <c r="C25" s="15" t="n"/>
      <c r="D25" s="15" t="n"/>
      <c r="E25" s="15" t="n"/>
    </row>
    <row r="26">
      <c r="A26" s="40" t="inlineStr">
        <is>
          <t>Title:</t>
        </is>
      </c>
      <c r="B26" s="15" t="n"/>
      <c r="C26" s="15" t="n"/>
      <c r="D26" s="15" t="n"/>
      <c r="E26" s="15" t="n"/>
    </row>
    <row r="27">
      <c r="A27" s="40" t="inlineStr">
        <is>
          <t>Date:</t>
        </is>
      </c>
      <c r="B27" s="15" t="n"/>
      <c r="C27" s="15" t="n"/>
      <c r="D27" s="15" t="n"/>
      <c r="E27" s="15" t="n"/>
    </row>
    <row r="28">
      <c r="A28" s="40" t="inlineStr">
        <is>
          <t>Signature:</t>
        </is>
      </c>
      <c r="B28" s="15" t="n"/>
      <c r="C28" s="15" t="n"/>
      <c r="D28" s="15" t="n"/>
      <c r="E28" s="15" t="n"/>
    </row>
    <row r="29">
      <c r="A29" s="40" t="inlineStr">
        <is>
          <t>Comments:</t>
        </is>
      </c>
      <c r="B29" s="15" t="n"/>
      <c r="C29" s="15" t="n"/>
      <c r="D29" s="15" t="n"/>
      <c r="E29" s="15" t="n"/>
    </row>
    <row r="30">
      <c r="A30" s="40" t="inlineStr">
        <is>
          <t>FINAL DECISION:</t>
        </is>
      </c>
      <c r="B30" s="15" t="n"/>
      <c r="C30" s="15" t="n"/>
      <c r="D30" s="15" t="n"/>
      <c r="E30" s="15" t="n"/>
    </row>
    <row r="33">
      <c r="A33" s="39" t="inlineStr">
        <is>
          <t>NEXT REVIEW DETAILS</t>
        </is>
      </c>
      <c r="B33" s="6" t="n"/>
      <c r="C33" s="6" t="n"/>
      <c r="D33" s="6" t="n"/>
      <c r="E33" s="6" t="n"/>
    </row>
    <row r="34">
      <c r="A34" s="40" t="inlineStr">
        <is>
          <t>Next Review Date:</t>
        </is>
      </c>
      <c r="B34" s="15" t="n"/>
      <c r="C34" s="15" t="n"/>
      <c r="D34" s="15" t="n"/>
      <c r="E34" s="15" t="n"/>
    </row>
    <row r="35">
      <c r="A35" s="40" t="inlineStr">
        <is>
          <t>Review Responsible:</t>
        </is>
      </c>
      <c r="B35" s="15" t="n"/>
      <c r="C35" s="15" t="n"/>
      <c r="D35" s="15" t="n"/>
      <c r="E35" s="15" t="n"/>
    </row>
    <row r="36">
      <c r="A36" s="40" t="inlineStr">
        <is>
          <t>Special Considerations:</t>
        </is>
      </c>
      <c r="B36" s="15" t="n"/>
      <c r="C36" s="15" t="n"/>
      <c r="D36" s="15" t="n"/>
      <c r="E36" s="15"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ISMS-IMP-A.8.32.3 — Environment Separation Assessment</dc:title>
  <dc:description xmlns:dc="http://purl.org/dc/elements/1.1/">ISMS Implementation Workbook — ISMS-IMP-A.8.32.3</dc:description>
  <dc:subject xmlns:dc="http://purl.org/dc/elements/1.1/">ISO/IEC 27001:2022 — Control A.8.32: Change Management</dc:subject>
  <dcterms:created xmlns:dcterms="http://purl.org/dc/terms/" xmlns:xsi="http://www.w3.org/2001/XMLSchema-instance" xsi:type="dcterms:W3CDTF">2026-03-07T11:28:30Z</dcterms:created>
  <dcterms:modified xmlns:dcterms="http://purl.org/dc/terms/" xmlns:xsi="http://www.w3.org/2001/XMLSchema-instance" xsi:type="dcterms:W3CDTF">2026-03-07T11:28:30Z</dcterms:modified>
</cp:coreProperties>
</file>