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andard Changes Catalog" sheetId="2" state="visible" r:id="rId2"/>
    <sheet xmlns:r="http://schemas.openxmlformats.org/officeDocument/2006/relationships" name="Normal Change Classification" sheetId="3" state="visible" r:id="rId3"/>
    <sheet xmlns:r="http://schemas.openxmlformats.org/officeDocument/2006/relationships" name="Emergency Change Procedures" sheetId="4" state="visible" r:id="rId4"/>
    <sheet xmlns:r="http://schemas.openxmlformats.org/officeDocument/2006/relationships" name="Risk Assessment Matrix" sheetId="5" state="visible" r:id="rId5"/>
    <sheet xmlns:r="http://schemas.openxmlformats.org/officeDocument/2006/relationships" name="Change Calendar Management" sheetId="6" state="visible" r:id="rId6"/>
    <sheet xmlns:r="http://schemas.openxmlformats.org/officeDocument/2006/relationships" name="Classification Metric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164" fontId="0" fillId="10" borderId="1" pivotButton="0" quotePrefix="0" xfId="0"/>
    <xf numFmtId="0" fontId="0" fillId="11" borderId="1" pivotButton="0" quotePrefix="0" xfId="0"/>
    <xf numFmtId="164" fontId="0" fillId="11" borderId="1" pivotButton="0" quotePrefix="0" xfId="0"/>
    <xf numFmtId="0" fontId="0" fillId="9" borderId="0" pivotButton="0" quotePrefix="0" xfId="0"/>
    <xf numFmtId="0" fontId="6" fillId="9" borderId="0" pivotButton="0" quotePrefix="0" xfId="0"/>
    <xf numFmtId="0" fontId="6" fillId="0" borderId="0" pivotButton="0" quotePrefix="0" xfId="0"/>
    <xf numFmtId="0" fontId="6" fillId="12" borderId="0" applyAlignment="1" pivotButton="0" quotePrefix="0" xfId="0">
      <alignment horizontal="center" vertical="center"/>
    </xf>
    <xf numFmtId="0" fontId="6" fillId="13" borderId="0" applyAlignment="1" pivotButton="0" quotePrefix="0" xfId="0">
      <alignment horizontal="center" vertical="center"/>
    </xf>
    <xf numFmtId="0" fontId="6" fillId="14" borderId="0" applyAlignment="1" pivotButton="0" quotePrefix="0" xfId="0">
      <alignment horizontal="center" vertical="center"/>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5" fillId="8" borderId="0" applyAlignment="1" pivotButton="0" quotePrefix="0" xfId="0">
      <alignment horizontal="left" vertical="center"/>
    </xf>
    <xf numFmtId="0" fontId="10" fillId="9" borderId="1" applyAlignment="1" pivotButton="0" quotePrefix="0" xfId="0">
      <alignment horizontal="center" vertical="center" wrapText="1"/>
    </xf>
    <xf numFmtId="0" fontId="9" fillId="0" borderId="1" pivotButton="0" quotePrefix="0" xfId="0"/>
    <xf numFmtId="0" fontId="0" fillId="10"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0"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1" fillId="0" borderId="1" pivotButton="0" quotePrefix="0" xfId="0"/>
    <xf numFmtId="0" fontId="12" fillId="15" borderId="1" applyAlignment="1" pivotButton="0" quotePrefix="0" xfId="0">
      <alignment horizontal="left" vertical="center"/>
    </xf>
    <xf numFmtId="0" fontId="13" fillId="9" borderId="1" applyAlignment="1" pivotButton="0" quotePrefix="0" xfId="0">
      <alignment horizontal="center"/>
    </xf>
    <xf numFmtId="0" fontId="14" fillId="11" borderId="1" pivotButton="0" quotePrefix="0" xfId="0"/>
    <xf numFmtId="0" fontId="14" fillId="11" borderId="1" applyAlignment="1" pivotButton="0" quotePrefix="0" xfId="0">
      <alignment horizontal="center"/>
    </xf>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5" fillId="16"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ISMS-IMP-A.8.32.2  -  Change Types &amp; Categories Assessment
ISO/IEC 27001:2022 - Control A.8.32: Change Management</t>
        </is>
      </c>
    </row>
    <row r="3">
      <c r="A3" s="2" t="inlineStr">
        <is>
          <t>Document Information</t>
        </is>
      </c>
    </row>
    <row r="4">
      <c r="A4" s="3" t="inlineStr">
        <is>
          <t>Document ID</t>
        </is>
      </c>
      <c r="B4" t="inlineStr">
        <is>
          <t>ISMS-IMP-A.8.32.2</t>
        </is>
      </c>
    </row>
    <row r="5">
      <c r="A5" s="3" t="inlineStr">
        <is>
          <t>Workbook Title</t>
        </is>
      </c>
      <c r="B5" t="inlineStr">
        <is>
          <t>Change Types &amp; Categories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Standard Changes Catalog with YOUR pre-approved changes.</t>
        </is>
      </c>
    </row>
    <row r="14">
      <c r="A14" t="inlineStr">
        <is>
          <t>2. Document YOUR normal change assessment criteria.</t>
        </is>
      </c>
    </row>
    <row r="15">
      <c r="A15" t="inlineStr">
        <is>
          <t>3. Define YOUR emergency change triggers and procedures.</t>
        </is>
      </c>
    </row>
    <row r="16">
      <c r="A16" t="inlineStr">
        <is>
          <t>4. Configure YOUR change risk classification matrix.</t>
        </is>
      </c>
    </row>
    <row r="17">
      <c r="A17" t="inlineStr">
        <is>
          <t>5. Document YOUR change calendar management approach.</t>
        </is>
      </c>
    </row>
    <row r="18">
      <c r="A18" t="inlineStr">
        <is>
          <t>6. Review the Summary Dashboard for compliance metrics.</t>
        </is>
      </c>
    </row>
    <row r="19">
      <c r="A19" t="inlineStr">
        <is>
          <t>7. Maintain the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40" customWidth="1" min="3" max="3"/>
    <col width="18" customWidth="1" min="4" max="4"/>
    <col width="15" customWidth="1" min="5" max="5"/>
    <col width="30" customWidth="1" min="6" max="6"/>
    <col width="30" customWidth="1" min="7" max="7"/>
    <col width="20" customWidth="1" min="8" max="8"/>
    <col width="15" customWidth="1" min="9" max="9"/>
    <col width="15" customWidth="1" min="10" max="10"/>
    <col width="15" customWidth="1" min="11" max="11"/>
    <col width="18" customWidth="1" min="12" max="12"/>
    <col width="25" customWidth="1" min="13" max="13"/>
  </cols>
  <sheetData>
    <row r="1" ht="35" customHeight="1">
      <c r="A1" s="11" t="inlineStr">
        <is>
          <t>STANDARD CHANGES CATALOG</t>
        </is>
      </c>
    </row>
    <row r="2">
      <c r="A2" s="12" t="inlineStr">
        <is>
          <t>Pre-approved, low-risk changes with documented procedures</t>
        </is>
      </c>
    </row>
    <row r="4">
      <c r="A4" s="13" t="inlineStr">
        <is>
          <t>Change ID</t>
        </is>
      </c>
      <c r="B4" s="13" t="inlineStr">
        <is>
          <t>Change Title</t>
        </is>
      </c>
      <c r="C4" s="13" t="inlineStr">
        <is>
          <t>Description</t>
        </is>
      </c>
      <c r="D4" s="13" t="inlineStr">
        <is>
          <t>Category</t>
        </is>
      </c>
      <c r="E4" s="13" t="inlineStr">
        <is>
          <t>Frequency</t>
        </is>
      </c>
      <c r="F4" s="13" t="inlineStr">
        <is>
          <t>Pre-requisites</t>
        </is>
      </c>
      <c r="G4" s="13" t="inlineStr">
        <is>
          <t>Procedure Location</t>
        </is>
      </c>
      <c r="H4" s="13" t="inlineStr">
        <is>
          <t>Owner</t>
        </is>
      </c>
      <c r="I4" s="13" t="inlineStr">
        <is>
          <t>Approval Date</t>
        </is>
      </c>
      <c r="J4" s="13" t="inlineStr">
        <is>
          <t>Review Date</t>
        </is>
      </c>
      <c r="K4" s="13" t="inlineStr">
        <is>
          <t>Risk Level</t>
        </is>
      </c>
      <c r="L4" s="13" t="inlineStr">
        <is>
          <t>Status</t>
        </is>
      </c>
      <c r="M4" s="13" t="inlineStr">
        <is>
          <t>Evidence</t>
        </is>
      </c>
    </row>
    <row r="5">
      <c r="A5" s="14" t="inlineStr">
        <is>
          <t>STD-001</t>
        </is>
      </c>
      <c r="B5" s="14" t="inlineStr">
        <is>
          <t>Restart Application Server</t>
        </is>
      </c>
      <c r="C5" s="14" t="inlineStr">
        <is>
          <t>Standard procedure to restart application server after configuration changes</t>
        </is>
      </c>
      <c r="D5" s="14" t="inlineStr">
        <is>
          <t>Application</t>
        </is>
      </c>
      <c r="E5" s="14" t="inlineStr">
        <is>
          <t>Weekly</t>
        </is>
      </c>
      <c r="F5" s="14" t="inlineStr">
        <is>
          <t>Business approval, maintenance window scheduled</t>
        </is>
      </c>
      <c r="G5" s="14" t="inlineStr">
        <is>
          <t>\\procedures\app_server_restart.pdf</t>
        </is>
      </c>
      <c r="H5" s="14" t="inlineStr">
        <is>
          <t>Application Support Team</t>
        </is>
      </c>
      <c r="I5" s="15" t="inlineStr">
        <is>
          <t>15.01.2025</t>
        </is>
      </c>
      <c r="J5" s="15" t="inlineStr">
        <is>
          <t>15.01.2026</t>
        </is>
      </c>
      <c r="K5" s="14" t="inlineStr">
        <is>
          <t>Low</t>
        </is>
      </c>
      <c r="L5" s="14" t="inlineStr">
        <is>
          <t>Active</t>
        </is>
      </c>
      <c r="M5" s="14" t="inlineStr">
        <is>
          <t>EV-APP-001</t>
        </is>
      </c>
    </row>
    <row r="6">
      <c r="A6" s="16" t="n"/>
      <c r="B6" s="16" t="n"/>
      <c r="C6" s="16" t="n"/>
      <c r="D6" s="16" t="n"/>
      <c r="E6" s="16" t="n"/>
      <c r="F6" s="16" t="n"/>
      <c r="G6" s="16" t="n"/>
      <c r="H6" s="16" t="n"/>
      <c r="I6" s="17" t="n"/>
      <c r="J6" s="17" t="n"/>
      <c r="K6" s="16" t="n"/>
      <c r="L6" s="16" t="n"/>
      <c r="M6" s="16" t="n"/>
    </row>
    <row r="7">
      <c r="A7" s="16" t="n"/>
      <c r="B7" s="16" t="n"/>
      <c r="C7" s="16" t="n"/>
      <c r="D7" s="16" t="n"/>
      <c r="E7" s="16" t="n"/>
      <c r="F7" s="16" t="n"/>
      <c r="G7" s="16" t="n"/>
      <c r="H7" s="16" t="n"/>
      <c r="I7" s="17" t="n"/>
      <c r="J7" s="17" t="n"/>
      <c r="K7" s="16" t="n"/>
      <c r="L7" s="16" t="n"/>
      <c r="M7" s="16" t="n"/>
    </row>
    <row r="8">
      <c r="A8" s="16" t="n"/>
      <c r="B8" s="16" t="n"/>
      <c r="C8" s="16" t="n"/>
      <c r="D8" s="16" t="n"/>
      <c r="E8" s="16" t="n"/>
      <c r="F8" s="16" t="n"/>
      <c r="G8" s="16" t="n"/>
      <c r="H8" s="16" t="n"/>
      <c r="I8" s="17" t="n"/>
      <c r="J8" s="17" t="n"/>
      <c r="K8" s="16" t="n"/>
      <c r="L8" s="16" t="n"/>
      <c r="M8" s="16" t="n"/>
    </row>
    <row r="9">
      <c r="A9" s="16" t="n"/>
      <c r="B9" s="16" t="n"/>
      <c r="C9" s="16" t="n"/>
      <c r="D9" s="16" t="n"/>
      <c r="E9" s="16" t="n"/>
      <c r="F9" s="16" t="n"/>
      <c r="G9" s="16" t="n"/>
      <c r="H9" s="16" t="n"/>
      <c r="I9" s="17" t="n"/>
      <c r="J9" s="17" t="n"/>
      <c r="K9" s="16" t="n"/>
      <c r="L9" s="16" t="n"/>
      <c r="M9" s="16" t="n"/>
    </row>
    <row r="10">
      <c r="A10" s="16" t="n"/>
      <c r="B10" s="16" t="n"/>
      <c r="C10" s="16" t="n"/>
      <c r="D10" s="16" t="n"/>
      <c r="E10" s="16" t="n"/>
      <c r="F10" s="16" t="n"/>
      <c r="G10" s="16" t="n"/>
      <c r="H10" s="16" t="n"/>
      <c r="I10" s="17" t="n"/>
      <c r="J10" s="17" t="n"/>
      <c r="K10" s="16" t="n"/>
      <c r="L10" s="16" t="n"/>
      <c r="M10" s="16" t="n"/>
    </row>
    <row r="11">
      <c r="A11" s="16" t="n"/>
      <c r="B11" s="16" t="n"/>
      <c r="C11" s="16" t="n"/>
      <c r="D11" s="16" t="n"/>
      <c r="E11" s="16" t="n"/>
      <c r="F11" s="16" t="n"/>
      <c r="G11" s="16" t="n"/>
      <c r="H11" s="16" t="n"/>
      <c r="I11" s="17" t="n"/>
      <c r="J11" s="17" t="n"/>
      <c r="K11" s="16" t="n"/>
      <c r="L11" s="16" t="n"/>
      <c r="M11" s="16" t="n"/>
    </row>
    <row r="12">
      <c r="A12" s="16" t="n"/>
      <c r="B12" s="16" t="n"/>
      <c r="C12" s="16" t="n"/>
      <c r="D12" s="16" t="n"/>
      <c r="E12" s="16" t="n"/>
      <c r="F12" s="16" t="n"/>
      <c r="G12" s="16" t="n"/>
      <c r="H12" s="16" t="n"/>
      <c r="I12" s="17" t="n"/>
      <c r="J12" s="17" t="n"/>
      <c r="K12" s="16" t="n"/>
      <c r="L12" s="16" t="n"/>
      <c r="M12" s="16" t="n"/>
    </row>
    <row r="13">
      <c r="A13" s="16" t="n"/>
      <c r="B13" s="16" t="n"/>
      <c r="C13" s="16" t="n"/>
      <c r="D13" s="16" t="n"/>
      <c r="E13" s="16" t="n"/>
      <c r="F13" s="16" t="n"/>
      <c r="G13" s="16" t="n"/>
      <c r="H13" s="16" t="n"/>
      <c r="I13" s="17" t="n"/>
      <c r="J13" s="17" t="n"/>
      <c r="K13" s="16" t="n"/>
      <c r="L13" s="16" t="n"/>
      <c r="M13" s="16" t="n"/>
    </row>
    <row r="14">
      <c r="A14" s="16" t="n"/>
      <c r="B14" s="16" t="n"/>
      <c r="C14" s="16" t="n"/>
      <c r="D14" s="16" t="n"/>
      <c r="E14" s="16" t="n"/>
      <c r="F14" s="16" t="n"/>
      <c r="G14" s="16" t="n"/>
      <c r="H14" s="16" t="n"/>
      <c r="I14" s="17" t="n"/>
      <c r="J14" s="17" t="n"/>
      <c r="K14" s="16" t="n"/>
      <c r="L14" s="16" t="n"/>
      <c r="M14" s="16" t="n"/>
    </row>
    <row r="15">
      <c r="A15" s="16" t="n"/>
      <c r="B15" s="16" t="n"/>
      <c r="C15" s="16" t="n"/>
      <c r="D15" s="16" t="n"/>
      <c r="E15" s="16" t="n"/>
      <c r="F15" s="16" t="n"/>
      <c r="G15" s="16" t="n"/>
      <c r="H15" s="16" t="n"/>
      <c r="I15" s="17" t="n"/>
      <c r="J15" s="17" t="n"/>
      <c r="K15" s="16" t="n"/>
      <c r="L15" s="16" t="n"/>
      <c r="M15" s="16" t="n"/>
    </row>
    <row r="16">
      <c r="A16" s="16" t="n"/>
      <c r="B16" s="16" t="n"/>
      <c r="C16" s="16" t="n"/>
      <c r="D16" s="16" t="n"/>
      <c r="E16" s="16" t="n"/>
      <c r="F16" s="16" t="n"/>
      <c r="G16" s="16" t="n"/>
      <c r="H16" s="16" t="n"/>
      <c r="I16" s="17" t="n"/>
      <c r="J16" s="17" t="n"/>
      <c r="K16" s="16" t="n"/>
      <c r="L16" s="16" t="n"/>
      <c r="M16" s="16" t="n"/>
    </row>
    <row r="17">
      <c r="A17" s="16" t="n"/>
      <c r="B17" s="16" t="n"/>
      <c r="C17" s="16" t="n"/>
      <c r="D17" s="16" t="n"/>
      <c r="E17" s="16" t="n"/>
      <c r="F17" s="16" t="n"/>
      <c r="G17" s="16" t="n"/>
      <c r="H17" s="16" t="n"/>
      <c r="I17" s="17" t="n"/>
      <c r="J17" s="17" t="n"/>
      <c r="K17" s="16" t="n"/>
      <c r="L17" s="16" t="n"/>
      <c r="M17" s="16" t="n"/>
    </row>
    <row r="18">
      <c r="A18" s="16" t="n"/>
      <c r="B18" s="16" t="n"/>
      <c r="C18" s="16" t="n"/>
      <c r="D18" s="16" t="n"/>
      <c r="E18" s="16" t="n"/>
      <c r="F18" s="16" t="n"/>
      <c r="G18" s="16" t="n"/>
      <c r="H18" s="16" t="n"/>
      <c r="I18" s="17" t="n"/>
      <c r="J18" s="17" t="n"/>
      <c r="K18" s="16" t="n"/>
      <c r="L18" s="16" t="n"/>
      <c r="M18" s="16" t="n"/>
    </row>
    <row r="19">
      <c r="A19" s="16" t="n"/>
      <c r="B19" s="16" t="n"/>
      <c r="C19" s="16" t="n"/>
      <c r="D19" s="16" t="n"/>
      <c r="E19" s="16" t="n"/>
      <c r="F19" s="16" t="n"/>
      <c r="G19" s="16" t="n"/>
      <c r="H19" s="16" t="n"/>
      <c r="I19" s="17" t="n"/>
      <c r="J19" s="17" t="n"/>
      <c r="K19" s="16" t="n"/>
      <c r="L19" s="16" t="n"/>
      <c r="M19" s="16" t="n"/>
    </row>
    <row r="20">
      <c r="A20" s="16" t="n"/>
      <c r="B20" s="16" t="n"/>
      <c r="C20" s="16" t="n"/>
      <c r="D20" s="16" t="n"/>
      <c r="E20" s="16" t="n"/>
      <c r="F20" s="16" t="n"/>
      <c r="G20" s="16" t="n"/>
      <c r="H20" s="16" t="n"/>
      <c r="I20" s="17" t="n"/>
      <c r="J20" s="17" t="n"/>
      <c r="K20" s="16" t="n"/>
      <c r="L20" s="16" t="n"/>
      <c r="M20" s="16" t="n"/>
    </row>
    <row r="21">
      <c r="A21" s="16" t="n"/>
      <c r="B21" s="16" t="n"/>
      <c r="C21" s="16" t="n"/>
      <c r="D21" s="16" t="n"/>
      <c r="E21" s="16" t="n"/>
      <c r="F21" s="16" t="n"/>
      <c r="G21" s="16" t="n"/>
      <c r="H21" s="16" t="n"/>
      <c r="I21" s="17" t="n"/>
      <c r="J21" s="17" t="n"/>
      <c r="K21" s="16" t="n"/>
      <c r="L21" s="16" t="n"/>
      <c r="M21" s="16" t="n"/>
    </row>
    <row r="22">
      <c r="A22" s="16" t="n"/>
      <c r="B22" s="16" t="n"/>
      <c r="C22" s="16" t="n"/>
      <c r="D22" s="16" t="n"/>
      <c r="E22" s="16" t="n"/>
      <c r="F22" s="16" t="n"/>
      <c r="G22" s="16" t="n"/>
      <c r="H22" s="16" t="n"/>
      <c r="I22" s="17" t="n"/>
      <c r="J22" s="17" t="n"/>
      <c r="K22" s="16" t="n"/>
      <c r="L22" s="16" t="n"/>
      <c r="M22" s="16" t="n"/>
    </row>
    <row r="23">
      <c r="A23" s="16" t="n"/>
      <c r="B23" s="16" t="n"/>
      <c r="C23" s="16" t="n"/>
      <c r="D23" s="16" t="n"/>
      <c r="E23" s="16" t="n"/>
      <c r="F23" s="16" t="n"/>
      <c r="G23" s="16" t="n"/>
      <c r="H23" s="16" t="n"/>
      <c r="I23" s="17" t="n"/>
      <c r="J23" s="17" t="n"/>
      <c r="K23" s="16" t="n"/>
      <c r="L23" s="16" t="n"/>
      <c r="M23" s="16" t="n"/>
    </row>
    <row r="24">
      <c r="A24" s="16" t="n"/>
      <c r="B24" s="16" t="n"/>
      <c r="C24" s="16" t="n"/>
      <c r="D24" s="16" t="n"/>
      <c r="E24" s="16" t="n"/>
      <c r="F24" s="16" t="n"/>
      <c r="G24" s="16" t="n"/>
      <c r="H24" s="16" t="n"/>
      <c r="I24" s="17" t="n"/>
      <c r="J24" s="17" t="n"/>
      <c r="K24" s="16" t="n"/>
      <c r="L24" s="16" t="n"/>
      <c r="M24" s="16" t="n"/>
    </row>
    <row r="25">
      <c r="A25" s="16" t="n"/>
      <c r="B25" s="16" t="n"/>
      <c r="C25" s="16" t="n"/>
      <c r="D25" s="16" t="n"/>
      <c r="E25" s="16" t="n"/>
      <c r="F25" s="16" t="n"/>
      <c r="G25" s="16" t="n"/>
      <c r="H25" s="16" t="n"/>
      <c r="I25" s="17" t="n"/>
      <c r="J25" s="17" t="n"/>
      <c r="K25" s="16" t="n"/>
      <c r="L25" s="16" t="n"/>
      <c r="M25" s="16" t="n"/>
    </row>
    <row r="26">
      <c r="A26" s="16" t="n"/>
      <c r="B26" s="16" t="n"/>
      <c r="C26" s="16" t="n"/>
      <c r="D26" s="16" t="n"/>
      <c r="E26" s="16" t="n"/>
      <c r="F26" s="16" t="n"/>
      <c r="G26" s="16" t="n"/>
      <c r="H26" s="16" t="n"/>
      <c r="I26" s="17" t="n"/>
      <c r="J26" s="17" t="n"/>
      <c r="K26" s="16" t="n"/>
      <c r="L26" s="16" t="n"/>
      <c r="M26" s="16" t="n"/>
    </row>
    <row r="27">
      <c r="A27" s="16" t="n"/>
      <c r="B27" s="16" t="n"/>
      <c r="C27" s="16" t="n"/>
      <c r="D27" s="16" t="n"/>
      <c r="E27" s="16" t="n"/>
      <c r="F27" s="16" t="n"/>
      <c r="G27" s="16" t="n"/>
      <c r="H27" s="16" t="n"/>
      <c r="I27" s="17" t="n"/>
      <c r="J27" s="17" t="n"/>
      <c r="K27" s="16" t="n"/>
      <c r="L27" s="16" t="n"/>
      <c r="M27" s="16" t="n"/>
    </row>
    <row r="28">
      <c r="A28" s="16" t="n"/>
      <c r="B28" s="16" t="n"/>
      <c r="C28" s="16" t="n"/>
      <c r="D28" s="16" t="n"/>
      <c r="E28" s="16" t="n"/>
      <c r="F28" s="16" t="n"/>
      <c r="G28" s="16" t="n"/>
      <c r="H28" s="16" t="n"/>
      <c r="I28" s="17" t="n"/>
      <c r="J28" s="17" t="n"/>
      <c r="K28" s="16" t="n"/>
      <c r="L28" s="16" t="n"/>
      <c r="M28" s="16" t="n"/>
    </row>
    <row r="29">
      <c r="A29" s="16" t="n"/>
      <c r="B29" s="16" t="n"/>
      <c r="C29" s="16" t="n"/>
      <c r="D29" s="16" t="n"/>
      <c r="E29" s="16" t="n"/>
      <c r="F29" s="16" t="n"/>
      <c r="G29" s="16" t="n"/>
      <c r="H29" s="16" t="n"/>
      <c r="I29" s="17" t="n"/>
      <c r="J29" s="17" t="n"/>
      <c r="K29" s="16" t="n"/>
      <c r="L29" s="16" t="n"/>
      <c r="M29" s="16" t="n"/>
    </row>
    <row r="30">
      <c r="A30" s="16" t="n"/>
      <c r="B30" s="16" t="n"/>
      <c r="C30" s="16" t="n"/>
      <c r="D30" s="16" t="n"/>
      <c r="E30" s="16" t="n"/>
      <c r="F30" s="16" t="n"/>
      <c r="G30" s="16" t="n"/>
      <c r="H30" s="16" t="n"/>
      <c r="I30" s="17" t="n"/>
      <c r="J30" s="17" t="n"/>
      <c r="K30" s="16" t="n"/>
      <c r="L30" s="16" t="n"/>
      <c r="M30" s="16" t="n"/>
    </row>
    <row r="31">
      <c r="A31" s="16" t="n"/>
      <c r="B31" s="16" t="n"/>
      <c r="C31" s="16" t="n"/>
      <c r="D31" s="16" t="n"/>
      <c r="E31" s="16" t="n"/>
      <c r="F31" s="16" t="n"/>
      <c r="G31" s="16" t="n"/>
      <c r="H31" s="16" t="n"/>
      <c r="I31" s="17" t="n"/>
      <c r="J31" s="17" t="n"/>
      <c r="K31" s="16" t="n"/>
      <c r="L31" s="16" t="n"/>
      <c r="M31" s="16" t="n"/>
    </row>
    <row r="32">
      <c r="A32" s="16" t="n"/>
      <c r="B32" s="16" t="n"/>
      <c r="C32" s="16" t="n"/>
      <c r="D32" s="16" t="n"/>
      <c r="E32" s="16" t="n"/>
      <c r="F32" s="16" t="n"/>
      <c r="G32" s="16" t="n"/>
      <c r="H32" s="16" t="n"/>
      <c r="I32" s="17" t="n"/>
      <c r="J32" s="17" t="n"/>
      <c r="K32" s="16" t="n"/>
      <c r="L32" s="16" t="n"/>
      <c r="M32" s="16" t="n"/>
    </row>
    <row r="33">
      <c r="A33" s="16" t="n"/>
      <c r="B33" s="16" t="n"/>
      <c r="C33" s="16" t="n"/>
      <c r="D33" s="16" t="n"/>
      <c r="E33" s="16" t="n"/>
      <c r="F33" s="16" t="n"/>
      <c r="G33" s="16" t="n"/>
      <c r="H33" s="16" t="n"/>
      <c r="I33" s="17" t="n"/>
      <c r="J33" s="17" t="n"/>
      <c r="K33" s="16" t="n"/>
      <c r="L33" s="16" t="n"/>
      <c r="M33" s="16" t="n"/>
    </row>
    <row r="34">
      <c r="A34" s="16" t="n"/>
      <c r="B34" s="16" t="n"/>
      <c r="C34" s="16" t="n"/>
      <c r="D34" s="16" t="n"/>
      <c r="E34" s="16" t="n"/>
      <c r="F34" s="16" t="n"/>
      <c r="G34" s="16" t="n"/>
      <c r="H34" s="16" t="n"/>
      <c r="I34" s="17" t="n"/>
      <c r="J34" s="17" t="n"/>
      <c r="K34" s="16" t="n"/>
      <c r="L34" s="16" t="n"/>
      <c r="M34" s="16" t="n"/>
    </row>
    <row r="35">
      <c r="A35" s="16" t="n"/>
      <c r="B35" s="16" t="n"/>
      <c r="C35" s="16" t="n"/>
      <c r="D35" s="16" t="n"/>
      <c r="E35" s="16" t="n"/>
      <c r="F35" s="16" t="n"/>
      <c r="G35" s="16" t="n"/>
      <c r="H35" s="16" t="n"/>
      <c r="I35" s="17" t="n"/>
      <c r="J35" s="17" t="n"/>
      <c r="K35" s="16" t="n"/>
      <c r="L35" s="16" t="n"/>
      <c r="M35" s="16" t="n"/>
    </row>
    <row r="36">
      <c r="A36" s="16" t="n"/>
      <c r="B36" s="16" t="n"/>
      <c r="C36" s="16" t="n"/>
      <c r="D36" s="16" t="n"/>
      <c r="E36" s="16" t="n"/>
      <c r="F36" s="16" t="n"/>
      <c r="G36" s="16" t="n"/>
      <c r="H36" s="16" t="n"/>
      <c r="I36" s="17" t="n"/>
      <c r="J36" s="17" t="n"/>
      <c r="K36" s="16" t="n"/>
      <c r="L36" s="16" t="n"/>
      <c r="M36" s="16" t="n"/>
    </row>
    <row r="37">
      <c r="A37" s="16" t="n"/>
      <c r="B37" s="16" t="n"/>
      <c r="C37" s="16" t="n"/>
      <c r="D37" s="16" t="n"/>
      <c r="E37" s="16" t="n"/>
      <c r="F37" s="16" t="n"/>
      <c r="G37" s="16" t="n"/>
      <c r="H37" s="16" t="n"/>
      <c r="I37" s="17" t="n"/>
      <c r="J37" s="17" t="n"/>
      <c r="K37" s="16" t="n"/>
      <c r="L37" s="16" t="n"/>
      <c r="M37" s="16" t="n"/>
    </row>
    <row r="38">
      <c r="A38" s="16" t="n"/>
      <c r="B38" s="16" t="n"/>
      <c r="C38" s="16" t="n"/>
      <c r="D38" s="16" t="n"/>
      <c r="E38" s="16" t="n"/>
      <c r="F38" s="16" t="n"/>
      <c r="G38" s="16" t="n"/>
      <c r="H38" s="16" t="n"/>
      <c r="I38" s="17" t="n"/>
      <c r="J38" s="17" t="n"/>
      <c r="K38" s="16" t="n"/>
      <c r="L38" s="16" t="n"/>
      <c r="M38" s="16" t="n"/>
    </row>
    <row r="39">
      <c r="A39" s="16" t="n"/>
      <c r="B39" s="16" t="n"/>
      <c r="C39" s="16" t="n"/>
      <c r="D39" s="16" t="n"/>
      <c r="E39" s="16" t="n"/>
      <c r="F39" s="16" t="n"/>
      <c r="G39" s="16" t="n"/>
      <c r="H39" s="16" t="n"/>
      <c r="I39" s="17" t="n"/>
      <c r="J39" s="17" t="n"/>
      <c r="K39" s="16" t="n"/>
      <c r="L39" s="16" t="n"/>
      <c r="M39" s="16" t="n"/>
    </row>
    <row r="40">
      <c r="A40" s="16" t="n"/>
      <c r="B40" s="16" t="n"/>
      <c r="C40" s="16" t="n"/>
      <c r="D40" s="16" t="n"/>
      <c r="E40" s="16" t="n"/>
      <c r="F40" s="16" t="n"/>
      <c r="G40" s="16" t="n"/>
      <c r="H40" s="16" t="n"/>
      <c r="I40" s="17" t="n"/>
      <c r="J40" s="17" t="n"/>
      <c r="K40" s="16" t="n"/>
      <c r="L40" s="16" t="n"/>
      <c r="M40" s="16" t="n"/>
    </row>
    <row r="41">
      <c r="A41" s="16" t="n"/>
      <c r="B41" s="16" t="n"/>
      <c r="C41" s="16" t="n"/>
      <c r="D41" s="16" t="n"/>
      <c r="E41" s="16" t="n"/>
      <c r="F41" s="16" t="n"/>
      <c r="G41" s="16" t="n"/>
      <c r="H41" s="16" t="n"/>
      <c r="I41" s="17" t="n"/>
      <c r="J41" s="17" t="n"/>
      <c r="K41" s="16" t="n"/>
      <c r="L41" s="16" t="n"/>
      <c r="M41" s="16" t="n"/>
    </row>
    <row r="42">
      <c r="A42" s="16" t="n"/>
      <c r="B42" s="16" t="n"/>
      <c r="C42" s="16" t="n"/>
      <c r="D42" s="16" t="n"/>
      <c r="E42" s="16" t="n"/>
      <c r="F42" s="16" t="n"/>
      <c r="G42" s="16" t="n"/>
      <c r="H42" s="16" t="n"/>
      <c r="I42" s="17" t="n"/>
      <c r="J42" s="17" t="n"/>
      <c r="K42" s="16" t="n"/>
      <c r="L42" s="16" t="n"/>
      <c r="M42" s="16" t="n"/>
    </row>
    <row r="43">
      <c r="A43" s="16" t="n"/>
      <c r="B43" s="16" t="n"/>
      <c r="C43" s="16" t="n"/>
      <c r="D43" s="16" t="n"/>
      <c r="E43" s="16" t="n"/>
      <c r="F43" s="16" t="n"/>
      <c r="G43" s="16" t="n"/>
      <c r="H43" s="16" t="n"/>
      <c r="I43" s="17" t="n"/>
      <c r="J43" s="17" t="n"/>
      <c r="K43" s="16" t="n"/>
      <c r="L43" s="16" t="n"/>
      <c r="M43" s="16" t="n"/>
    </row>
    <row r="44">
      <c r="A44" s="16" t="n"/>
      <c r="B44" s="16" t="n"/>
      <c r="C44" s="16" t="n"/>
      <c r="D44" s="16" t="n"/>
      <c r="E44" s="16" t="n"/>
      <c r="F44" s="16" t="n"/>
      <c r="G44" s="16" t="n"/>
      <c r="H44" s="16" t="n"/>
      <c r="I44" s="17" t="n"/>
      <c r="J44" s="17" t="n"/>
      <c r="K44" s="16" t="n"/>
      <c r="L44" s="16" t="n"/>
      <c r="M44" s="16" t="n"/>
    </row>
    <row r="45">
      <c r="A45" s="16" t="n"/>
      <c r="B45" s="16" t="n"/>
      <c r="C45" s="16" t="n"/>
      <c r="D45" s="16" t="n"/>
      <c r="E45" s="16" t="n"/>
      <c r="F45" s="16" t="n"/>
      <c r="G45" s="16" t="n"/>
      <c r="H45" s="16" t="n"/>
      <c r="I45" s="17" t="n"/>
      <c r="J45" s="17" t="n"/>
      <c r="K45" s="16" t="n"/>
      <c r="L45" s="16" t="n"/>
      <c r="M45" s="16" t="n"/>
    </row>
    <row r="46">
      <c r="A46" s="16" t="n"/>
      <c r="B46" s="16" t="n"/>
      <c r="C46" s="16" t="n"/>
      <c r="D46" s="16" t="n"/>
      <c r="E46" s="16" t="n"/>
      <c r="F46" s="16" t="n"/>
      <c r="G46" s="16" t="n"/>
      <c r="H46" s="16" t="n"/>
      <c r="I46" s="17" t="n"/>
      <c r="J46" s="17" t="n"/>
      <c r="K46" s="16" t="n"/>
      <c r="L46" s="16" t="n"/>
      <c r="M46" s="16" t="n"/>
    </row>
    <row r="47">
      <c r="A47" s="16" t="n"/>
      <c r="B47" s="16" t="n"/>
      <c r="C47" s="16" t="n"/>
      <c r="D47" s="16" t="n"/>
      <c r="E47" s="16" t="n"/>
      <c r="F47" s="16" t="n"/>
      <c r="G47" s="16" t="n"/>
      <c r="H47" s="16" t="n"/>
      <c r="I47" s="17" t="n"/>
      <c r="J47" s="17" t="n"/>
      <c r="K47" s="16" t="n"/>
      <c r="L47" s="16" t="n"/>
      <c r="M47" s="16" t="n"/>
    </row>
    <row r="48">
      <c r="A48" s="16" t="n"/>
      <c r="B48" s="16" t="n"/>
      <c r="C48" s="16" t="n"/>
      <c r="D48" s="16" t="n"/>
      <c r="E48" s="16" t="n"/>
      <c r="F48" s="16" t="n"/>
      <c r="G48" s="16" t="n"/>
      <c r="H48" s="16" t="n"/>
      <c r="I48" s="17" t="n"/>
      <c r="J48" s="17" t="n"/>
      <c r="K48" s="16" t="n"/>
      <c r="L48" s="16" t="n"/>
      <c r="M48" s="16" t="n"/>
    </row>
    <row r="49">
      <c r="A49" s="16" t="n"/>
      <c r="B49" s="16" t="n"/>
      <c r="C49" s="16" t="n"/>
      <c r="D49" s="16" t="n"/>
      <c r="E49" s="16" t="n"/>
      <c r="F49" s="16" t="n"/>
      <c r="G49" s="16" t="n"/>
      <c r="H49" s="16" t="n"/>
      <c r="I49" s="17" t="n"/>
      <c r="J49" s="17" t="n"/>
      <c r="K49" s="16" t="n"/>
      <c r="L49" s="16" t="n"/>
      <c r="M49" s="16" t="n"/>
    </row>
    <row r="50">
      <c r="A50" s="16" t="n"/>
      <c r="B50" s="16" t="n"/>
      <c r="C50" s="16" t="n"/>
      <c r="D50" s="16" t="n"/>
      <c r="E50" s="16" t="n"/>
      <c r="F50" s="16" t="n"/>
      <c r="G50" s="16" t="n"/>
      <c r="H50" s="16" t="n"/>
      <c r="I50" s="17" t="n"/>
      <c r="J50" s="17" t="n"/>
      <c r="K50" s="16" t="n"/>
      <c r="L50" s="16" t="n"/>
      <c r="M50" s="16" t="n"/>
    </row>
    <row r="51">
      <c r="A51" s="16" t="n"/>
      <c r="B51" s="16" t="n"/>
      <c r="C51" s="16" t="n"/>
      <c r="D51" s="16" t="n"/>
      <c r="E51" s="16" t="n"/>
      <c r="F51" s="16" t="n"/>
      <c r="G51" s="16" t="n"/>
      <c r="H51" s="16" t="n"/>
      <c r="I51" s="17" t="n"/>
      <c r="J51" s="17" t="n"/>
      <c r="K51" s="16" t="n"/>
      <c r="L51" s="16" t="n"/>
      <c r="M51" s="16" t="n"/>
    </row>
    <row r="52">
      <c r="A52" s="16" t="n"/>
      <c r="B52" s="16" t="n"/>
      <c r="C52" s="16" t="n"/>
      <c r="D52" s="16" t="n"/>
      <c r="E52" s="16" t="n"/>
      <c r="F52" s="16" t="n"/>
      <c r="G52" s="16" t="n"/>
      <c r="H52" s="16" t="n"/>
      <c r="I52" s="17" t="n"/>
      <c r="J52" s="17" t="n"/>
      <c r="K52" s="16" t="n"/>
      <c r="L52" s="16" t="n"/>
      <c r="M52" s="16" t="n"/>
    </row>
    <row r="53">
      <c r="A53" s="16" t="n"/>
      <c r="B53" s="16" t="n"/>
      <c r="C53" s="16" t="n"/>
      <c r="D53" s="16" t="n"/>
      <c r="E53" s="16" t="n"/>
      <c r="F53" s="16" t="n"/>
      <c r="G53" s="16" t="n"/>
      <c r="H53" s="16" t="n"/>
      <c r="I53" s="17" t="n"/>
      <c r="J53" s="17" t="n"/>
      <c r="K53" s="16" t="n"/>
      <c r="L53" s="16" t="n"/>
      <c r="M53" s="16" t="n"/>
    </row>
    <row r="54">
      <c r="A54" s="16" t="n"/>
      <c r="B54" s="16" t="n"/>
      <c r="C54" s="16" t="n"/>
      <c r="D54" s="16" t="n"/>
      <c r="E54" s="16" t="n"/>
      <c r="F54" s="16" t="n"/>
      <c r="G54" s="16" t="n"/>
      <c r="H54" s="16" t="n"/>
      <c r="I54" s="17" t="n"/>
      <c r="J54" s="17" t="n"/>
      <c r="K54" s="16" t="n"/>
      <c r="L54" s="16" t="n"/>
      <c r="M54" s="16" t="n"/>
    </row>
    <row r="55">
      <c r="A55" s="16" t="n"/>
      <c r="B55" s="16" t="n"/>
      <c r="C55" s="16" t="n"/>
      <c r="D55" s="16" t="n"/>
      <c r="E55" s="16" t="n"/>
      <c r="F55" s="16" t="n"/>
      <c r="G55" s="16" t="n"/>
      <c r="H55" s="16" t="n"/>
      <c r="I55" s="17" t="n"/>
      <c r="J55" s="17" t="n"/>
      <c r="K55" s="16" t="n"/>
      <c r="L55" s="16" t="n"/>
      <c r="M55" s="16" t="n"/>
    </row>
    <row r="58">
      <c r="A58" s="12" t="inlineStr">
        <is>
          <t>STANDARD CHANGE SUMMARY METRICS</t>
        </is>
      </c>
    </row>
    <row r="59">
      <c r="A59" s="13" t="inlineStr">
        <is>
          <t>Metric</t>
        </is>
      </c>
      <c r="B59" s="13" t="inlineStr">
        <is>
          <t>Value</t>
        </is>
      </c>
      <c r="C59" s="13" t="inlineStr">
        <is>
          <t>Notes</t>
        </is>
      </c>
    </row>
    <row r="60">
      <c r="A60" t="inlineStr">
        <is>
          <t>Total Standard Changes Defined</t>
        </is>
      </c>
      <c r="B60" s="18" t="inlineStr">
        <is>
          <t>[FORMULA]</t>
        </is>
      </c>
      <c r="C60" s="16" t="n"/>
    </row>
    <row r="61">
      <c r="A61" t="inlineStr">
        <is>
          <t>Active Standard Changes</t>
        </is>
      </c>
      <c r="B61" s="18" t="inlineStr">
        <is>
          <t>[FORMULA]</t>
        </is>
      </c>
      <c r="C61" s="16" t="n"/>
    </row>
    <row r="62">
      <c r="A62" t="inlineStr">
        <is>
          <t>Standard Changes Under Review</t>
        </is>
      </c>
      <c r="B62" s="18" t="inlineStr">
        <is>
          <t>[FORMULA]</t>
        </is>
      </c>
      <c r="C62" s="16" t="n"/>
    </row>
    <row r="63">
      <c r="A63" t="inlineStr">
        <is>
          <t>Standard Changes Requiring Annual Review</t>
        </is>
      </c>
      <c r="B63" s="18" t="inlineStr">
        <is>
          <t>[FORMULA]</t>
        </is>
      </c>
      <c r="C63" s="16" t="n"/>
    </row>
    <row r="64">
      <c r="A64" t="inlineStr">
        <is>
          <t>Most Common Category</t>
        </is>
      </c>
      <c r="B64" s="18" t="inlineStr">
        <is>
          <t>[FORMULA]</t>
        </is>
      </c>
      <c r="C64" s="16" t="n"/>
    </row>
    <row r="65">
      <c r="A65" t="inlineStr">
        <is>
          <t>Average Age of Standard Changes</t>
        </is>
      </c>
      <c r="B65" s="18" t="inlineStr">
        <is>
          <t>[FORMULA]</t>
        </is>
      </c>
      <c r="C65" s="16" t="n"/>
    </row>
  </sheetData>
  <mergeCells count="3">
    <mergeCell ref="A2:M2"/>
    <mergeCell ref="A58:C58"/>
    <mergeCell ref="A1:M1"/>
  </mergeCells>
  <dataValidations count="5">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"Infrastructure,Application,Security,Data,Network,Cloud,User Access,Configuration,Other"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"Daily,Weekly,Monthly,Quarterly,Annual,On-Demand,Rare"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"Low,Medium"</formula1>
    </dataValidation>
    <dataValidation sqref="L5 L6 L7 L8 L9 L10 L11 L12 L13 L14 L15 L16 L17 L18 L19 L20 L21 L22 L23 L24 L25 L26 L27 L28 L29 L30 L31 L32 L33 L34 L35 L36 L37 L38 L39 L40 L41 L42 L43 L44 L45 L46 L47 L48 L49 L50 L51 L52 L53 L54 L55" showDropDown="0" showInputMessage="0" showErrorMessage="0" allowBlank="0" type="list">
      <formula1>"✅ Active,⚠ Under Review,❌ Retired, Proposed"</formula1>
    </dataValidation>
    <dataValidation sqref="M5 M6 M7 M8 M9 M10 M11 M12 M13 M14 M15 M16 M17 M18 M19 M20 M21 M22 M23 M24 M25 M26 M27 M28 M29 M30 M31 M32 M33 M34 M35 M36 M37 M38 M39 M40 M41 M42 M43 M44 M45 M46 M47 M48 M49 M50 M51 M52 M53 M54 M55"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showGridLines="0"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18" customWidth="1" min="5" max="5"/>
    <col width="15" customWidth="1" min="6" max="6"/>
    <col width="18" customWidth="1" min="7" max="7"/>
    <col width="25" customWidth="1" min="8" max="8"/>
  </cols>
  <sheetData>
    <row r="1" ht="35" customHeight="1">
      <c r="A1" s="11" t="inlineStr">
        <is>
          <t>NORMAL CHANGES ASSESSMENT</t>
        </is>
      </c>
    </row>
    <row r="2">
      <c r="A2" s="12" t="inlineStr">
        <is>
          <t>Changes requiring risk assessment, approval, and CAB review</t>
        </is>
      </c>
    </row>
    <row r="4">
      <c r="A4" s="12" t="inlineStr">
        <is>
          <t>NORMAL CHANGE CRITERIA</t>
        </is>
      </c>
    </row>
    <row r="5">
      <c r="A5" s="13" t="inlineStr">
        <is>
          <t>Criterion</t>
        </is>
      </c>
      <c r="B5" s="13" t="inlineStr">
        <is>
          <t>Defined</t>
        </is>
      </c>
      <c r="C5" s="13" t="inlineStr">
        <is>
          <t>Documentation Reference</t>
        </is>
      </c>
      <c r="D5" s="13" t="inlineStr">
        <is>
          <t>Assessment Method</t>
        </is>
      </c>
      <c r="E5" s="13" t="inlineStr">
        <is>
          <t>Responsible Role</t>
        </is>
      </c>
      <c r="F5" s="13" t="inlineStr">
        <is>
          <t>Compliance</t>
        </is>
      </c>
      <c r="G5" s="13" t="inlineStr">
        <is>
          <t>Evidence</t>
        </is>
      </c>
    </row>
    <row r="6">
      <c r="A6" t="inlineStr">
        <is>
          <t>Change does not meet Standard criteria</t>
        </is>
      </c>
      <c r="B6" s="16" t="n"/>
      <c r="C6" s="16" t="n"/>
      <c r="D6" s="16" t="n"/>
      <c r="E6" s="16" t="n"/>
      <c r="F6" s="16" t="n"/>
      <c r="G6" s="16" t="n"/>
    </row>
    <row r="7">
      <c r="A7" t="inlineStr">
        <is>
          <t>Change is not an emergency</t>
        </is>
      </c>
      <c r="B7" s="16" t="n"/>
      <c r="C7" s="16" t="n"/>
      <c r="D7" s="16" t="n"/>
      <c r="E7" s="16" t="n"/>
      <c r="F7" s="16" t="n"/>
      <c r="G7" s="16" t="n"/>
    </row>
    <row r="8">
      <c r="A8" t="inlineStr">
        <is>
          <t>Risk assessment required</t>
        </is>
      </c>
      <c r="B8" s="16" t="n"/>
      <c r="C8" s="16" t="n"/>
      <c r="D8" s="16" t="n"/>
      <c r="E8" s="16" t="n"/>
      <c r="F8" s="16" t="n"/>
      <c r="G8" s="16" t="n"/>
    </row>
    <row r="9">
      <c r="A9" t="inlineStr">
        <is>
          <t>Impact assessment required</t>
        </is>
      </c>
      <c r="B9" s="16" t="n"/>
      <c r="C9" s="16" t="n"/>
      <c r="D9" s="16" t="n"/>
      <c r="E9" s="16" t="n"/>
      <c r="F9" s="16" t="n"/>
      <c r="G9" s="16" t="n"/>
    </row>
    <row r="10">
      <c r="A10" t="inlineStr">
        <is>
          <t>CAB review required (based on risk)</t>
        </is>
      </c>
      <c r="B10" s="16" t="n"/>
      <c r="C10" s="16" t="n"/>
      <c r="D10" s="16" t="n"/>
      <c r="E10" s="16" t="n"/>
      <c r="F10" s="16" t="n"/>
      <c r="G10" s="16" t="n"/>
    </row>
    <row r="11">
      <c r="A11" t="inlineStr">
        <is>
          <t>Business justification required</t>
        </is>
      </c>
      <c r="B11" s="16" t="n"/>
      <c r="C11" s="16" t="n"/>
      <c r="D11" s="16" t="n"/>
      <c r="E11" s="16" t="n"/>
      <c r="F11" s="16" t="n"/>
      <c r="G11" s="16" t="n"/>
    </row>
    <row r="12">
      <c r="A12" t="inlineStr">
        <is>
          <t>Implementation plan required</t>
        </is>
      </c>
      <c r="B12" s="16" t="n"/>
      <c r="C12" s="16" t="n"/>
      <c r="D12" s="16" t="n"/>
      <c r="E12" s="16" t="n"/>
      <c r="F12" s="16" t="n"/>
      <c r="G12" s="16" t="n"/>
    </row>
    <row r="13">
      <c r="A13" t="inlineStr">
        <is>
          <t>Test plan required</t>
        </is>
      </c>
      <c r="B13" s="16" t="n"/>
      <c r="C13" s="16" t="n"/>
      <c r="D13" s="16" t="n"/>
      <c r="E13" s="16" t="n"/>
      <c r="F13" s="16" t="n"/>
      <c r="G13" s="16" t="n"/>
    </row>
    <row r="14">
      <c r="A14" t="inlineStr">
        <is>
          <t>Rollback plan required</t>
        </is>
      </c>
      <c r="B14" s="16" t="n"/>
      <c r="C14" s="16" t="n"/>
      <c r="D14" s="16" t="n"/>
      <c r="E14" s="16" t="n"/>
      <c r="F14" s="16" t="n"/>
      <c r="G14" s="16" t="n"/>
    </row>
    <row r="15">
      <c r="A15" t="inlineStr">
        <is>
          <t>Communication plan required</t>
        </is>
      </c>
      <c r="B15" s="16" t="n"/>
      <c r="C15" s="16" t="n"/>
      <c r="D15" s="16" t="n"/>
      <c r="E15" s="16" t="n"/>
      <c r="F15" s="16" t="n"/>
      <c r="G15" s="16" t="n"/>
    </row>
    <row r="16">
      <c r="A16" t="inlineStr">
        <is>
          <t>PIR (Post-Implementation Review) required</t>
        </is>
      </c>
      <c r="B16" s="16" t="n"/>
      <c r="C16" s="16" t="n"/>
      <c r="D16" s="16" t="n"/>
      <c r="E16" s="16" t="n"/>
      <c r="F16" s="16" t="n"/>
      <c r="G16" s="16" t="n"/>
    </row>
    <row r="17">
      <c r="A17" t="inlineStr">
        <is>
          <t>Change window scheduling required</t>
        </is>
      </c>
      <c r="B17" s="16" t="n"/>
      <c r="C17" s="16" t="n"/>
      <c r="D17" s="16" t="n"/>
      <c r="E17" s="16" t="n"/>
      <c r="F17" s="16" t="n"/>
      <c r="G17" s="16" t="n"/>
    </row>
    <row r="20">
      <c r="A20" s="12" t="inlineStr">
        <is>
          <t>RISK-BASED APPROVAL PATHS</t>
        </is>
      </c>
    </row>
    <row r="21">
      <c r="A21" s="13" t="inlineStr">
        <is>
          <t>Risk Category</t>
        </is>
      </c>
      <c r="B21" s="13" t="inlineStr">
        <is>
          <t>Impact Category</t>
        </is>
      </c>
      <c r="C21" s="13" t="inlineStr">
        <is>
          <t>Approval Authority</t>
        </is>
      </c>
      <c r="D21" s="13" t="inlineStr">
        <is>
          <t>CAB Review</t>
        </is>
      </c>
      <c r="E21" s="13" t="inlineStr">
        <is>
          <t>Typical Timeline</t>
        </is>
      </c>
      <c r="F21" s="13" t="inlineStr">
        <is>
          <t>Success Rate</t>
        </is>
      </c>
      <c r="G21" s="13" t="inlineStr">
        <is>
          <t>Documented</t>
        </is>
      </c>
      <c r="H21" s="13" t="inlineStr">
        <is>
          <t>Evidence</t>
        </is>
      </c>
    </row>
    <row r="22">
      <c r="A22" t="inlineStr">
        <is>
          <t>Low</t>
        </is>
      </c>
      <c r="B22" t="inlineStr">
        <is>
          <t>Low</t>
        </is>
      </c>
      <c r="C22" s="16" t="n"/>
      <c r="D22" s="16" t="n"/>
      <c r="E22" s="16" t="n"/>
      <c r="F22" s="16" t="n"/>
      <c r="G22" s="16" t="n"/>
      <c r="H22" s="16" t="n"/>
    </row>
    <row r="23">
      <c r="A23" t="inlineStr">
        <is>
          <t>Low</t>
        </is>
      </c>
      <c r="B23" t="inlineStr">
        <is>
          <t>Medium</t>
        </is>
      </c>
      <c r="C23" s="16" t="n"/>
      <c r="D23" s="16" t="n"/>
      <c r="E23" s="16" t="n"/>
      <c r="F23" s="16" t="n"/>
      <c r="G23" s="16" t="n"/>
      <c r="H23" s="16" t="n"/>
    </row>
    <row r="24">
      <c r="A24" t="inlineStr">
        <is>
          <t>Low</t>
        </is>
      </c>
      <c r="B24" t="inlineStr">
        <is>
          <t>High</t>
        </is>
      </c>
      <c r="C24" s="16" t="n"/>
      <c r="D24" s="16" t="n"/>
      <c r="E24" s="16" t="n"/>
      <c r="F24" s="16" t="n"/>
      <c r="G24" s="16" t="n"/>
      <c r="H24" s="16" t="n"/>
    </row>
    <row r="25">
      <c r="A25" t="inlineStr">
        <is>
          <t>Medium</t>
        </is>
      </c>
      <c r="B25" t="inlineStr">
        <is>
          <t>Low</t>
        </is>
      </c>
      <c r="C25" s="16" t="n"/>
      <c r="D25" s="16" t="n"/>
      <c r="E25" s="16" t="n"/>
      <c r="F25" s="16" t="n"/>
      <c r="G25" s="16" t="n"/>
      <c r="H25" s="16" t="n"/>
    </row>
    <row r="26">
      <c r="A26" t="inlineStr">
        <is>
          <t>Medium</t>
        </is>
      </c>
      <c r="B26" t="inlineStr">
        <is>
          <t>Medium</t>
        </is>
      </c>
      <c r="C26" s="16" t="n"/>
      <c r="D26" s="16" t="n"/>
      <c r="E26" s="16" t="n"/>
      <c r="F26" s="16" t="n"/>
      <c r="G26" s="16" t="n"/>
      <c r="H26" s="16" t="n"/>
    </row>
    <row r="27">
      <c r="A27" t="inlineStr">
        <is>
          <t>Medium</t>
        </is>
      </c>
      <c r="B27" t="inlineStr">
        <is>
          <t>High</t>
        </is>
      </c>
      <c r="C27" s="16" t="n"/>
      <c r="D27" s="16" t="n"/>
      <c r="E27" s="16" t="n"/>
      <c r="F27" s="16" t="n"/>
      <c r="G27" s="16" t="n"/>
      <c r="H27" s="16" t="n"/>
    </row>
    <row r="28">
      <c r="A28" t="inlineStr">
        <is>
          <t>High</t>
        </is>
      </c>
      <c r="B28" t="inlineStr">
        <is>
          <t>Low</t>
        </is>
      </c>
      <c r="C28" s="16" t="n"/>
      <c r="D28" s="16" t="n"/>
      <c r="E28" s="16" t="n"/>
      <c r="F28" s="16" t="n"/>
      <c r="G28" s="16" t="n"/>
      <c r="H28" s="16" t="n"/>
    </row>
    <row r="29">
      <c r="A29" t="inlineStr">
        <is>
          <t>High</t>
        </is>
      </c>
      <c r="B29" t="inlineStr">
        <is>
          <t>Medium</t>
        </is>
      </c>
      <c r="C29" s="16" t="n"/>
      <c r="D29" s="16" t="n"/>
      <c r="E29" s="16" t="n"/>
      <c r="F29" s="16" t="n"/>
      <c r="G29" s="16" t="n"/>
      <c r="H29" s="16" t="n"/>
    </row>
    <row r="30">
      <c r="A30" t="inlineStr">
        <is>
          <t>High</t>
        </is>
      </c>
      <c r="B30" t="inlineStr">
        <is>
          <t>High</t>
        </is>
      </c>
      <c r="C30" s="16" t="n"/>
      <c r="D30" s="16" t="n"/>
      <c r="E30" s="16" t="n"/>
      <c r="F30" s="16" t="n"/>
      <c r="G30" s="16" t="n"/>
      <c r="H30" s="16" t="n"/>
    </row>
    <row r="31">
      <c r="A31" t="inlineStr">
        <is>
          <t>Critical</t>
        </is>
      </c>
      <c r="B31" t="inlineStr">
        <is>
          <t>Any</t>
        </is>
      </c>
      <c r="C31" s="16" t="n"/>
      <c r="D31" s="16" t="n"/>
      <c r="E31" s="16" t="n"/>
      <c r="F31" s="16" t="n"/>
      <c r="G31" s="16" t="n"/>
      <c r="H31" s="16" t="n"/>
    </row>
  </sheetData>
  <mergeCells count="4">
    <mergeCell ref="A20:H20"/>
    <mergeCell ref="A2:G2"/>
    <mergeCell ref="A1:G1"/>
    <mergeCell ref="A4:G4"/>
  </mergeCells>
  <dataValidations count="5">
    <dataValidation sqref="B6 B7 B8 B9 B10 B11 B12 B13 B14 B15 B16 B17 G22 G23 G24 G25 G26 G27 G28 G29 G30 G31" showDropDown="0" showInputMessage="0" showErrorMessage="0" allowBlank="0" type="list">
      <formula1>"✅ Defined,⚠ Partial,❌ Not Defined, Planned,N/A"</formula1>
    </dataValidation>
    <dataValidation sqref="D22 D23 D24 D25 D26 D27 D28 D29 D30 D31" showDropDown="0" showInputMessage="0" showErrorMessage="0" allowBlank="0" type="list">
      <formula1>"Mandatory,Recommended,Optional,Not Required"</formula1>
    </dataValidation>
    <dataValidation sqref="C22 C23 C24 C25 C26 C27 C28 C29 C30 C31" showDropDown="0" showInputMessage="0" showErrorMessage="0" allowBlank="0" type="list">
      <formula1>"Change Manager,CAB,Service Owner,CISO,CIO,Multiple Required,Other"</formula1>
    </dataValidation>
    <dataValidation sqref="F6 F7 F8 F9 F10 F11 F12 F13 F14 F15 F16 F17" showDropDown="0" showInputMessage="0" showErrorMessage="0" allowBlank="0" type="list">
      <formula1>"✅ Yes,⚠ Partial,❌ No"</formula1>
    </dataValidation>
    <dataValidation sqref="G6 G7 G8 G9 G10 G11 G12 G13 G14 G15 G16 G17 H22 H23 H24 H25 H26 H27 H28 H29 H30 H31"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showGridLines="0" workbookViewId="0">
      <pane ySplit="5" topLeftCell="A6" activePane="bottomLeft" state="frozen"/>
      <selection pane="bottomLeft" activeCell="A1" sqref="A1"/>
    </sheetView>
  </sheetViews>
  <sheetFormatPr baseColWidth="8" defaultRowHeight="15"/>
  <cols>
    <col width="35" customWidth="1" min="1" max="1"/>
    <col width="20" customWidth="1" min="2" max="2"/>
    <col width="25" customWidth="1" min="3" max="3"/>
    <col width="25" customWidth="1" min="4" max="4"/>
    <col width="20" customWidth="1" min="5" max="5"/>
    <col width="18" customWidth="1" min="6" max="6"/>
    <col width="25" customWidth="1" min="7" max="7"/>
  </cols>
  <sheetData>
    <row r="1" ht="35" customHeight="1">
      <c r="A1" s="11" t="inlineStr">
        <is>
          <t>EMERGENCY CHANGES</t>
        </is>
      </c>
    </row>
    <row r="2">
      <c r="A2" s="12" t="inlineStr">
        <is>
          <t>Urgent changes meeting specific emergency criteria with E-CAB approval</t>
        </is>
      </c>
    </row>
    <row r="4">
      <c r="A4" s="12" t="inlineStr">
        <is>
          <t>EMERGENCY CRITERIA DEFINITION</t>
        </is>
      </c>
    </row>
    <row r="5">
      <c r="A5" s="13" t="inlineStr">
        <is>
          <t>Emergency Criterion</t>
        </is>
      </c>
      <c r="B5" s="13" t="inlineStr">
        <is>
          <t>Defined</t>
        </is>
      </c>
      <c r="C5" s="13" t="inlineStr">
        <is>
          <t>Specific Triggers</t>
        </is>
      </c>
      <c r="D5" s="13" t="inlineStr">
        <is>
          <t>Escalation Path</t>
        </is>
      </c>
      <c r="E5" s="13" t="inlineStr">
        <is>
          <t>Response Time SLA</t>
        </is>
      </c>
      <c r="F5" s="13" t="inlineStr">
        <is>
          <t>Documented</t>
        </is>
      </c>
      <c r="G5" s="13" t="inlineStr">
        <is>
          <t>Evidence</t>
        </is>
      </c>
    </row>
    <row r="6">
      <c r="A6" t="inlineStr">
        <is>
          <t>System Outage (Critical Services)</t>
        </is>
      </c>
      <c r="B6" s="16" t="n"/>
      <c r="C6" s="16" t="n"/>
      <c r="D6" s="16" t="n"/>
      <c r="E6" s="16" t="n"/>
      <c r="F6" s="16" t="n"/>
      <c r="G6" s="16" t="n"/>
    </row>
    <row r="7">
      <c r="A7" t="inlineStr">
        <is>
          <t>Security Incident Response</t>
        </is>
      </c>
      <c r="B7" s="16" t="n"/>
      <c r="C7" s="16" t="n"/>
      <c r="D7" s="16" t="n"/>
      <c r="E7" s="16" t="n"/>
      <c r="F7" s="16" t="n"/>
      <c r="G7" s="16" t="n"/>
    </row>
    <row r="8">
      <c r="A8" t="inlineStr">
        <is>
          <t>Data Loss Prevention</t>
        </is>
      </c>
      <c r="B8" s="16" t="n"/>
      <c r="C8" s="16" t="n"/>
      <c r="D8" s="16" t="n"/>
      <c r="E8" s="16" t="n"/>
      <c r="F8" s="16" t="n"/>
      <c r="G8" s="16" t="n"/>
    </row>
    <row r="9">
      <c r="A9" t="inlineStr">
        <is>
          <t>Regulatory Compliance Deadline</t>
        </is>
      </c>
      <c r="B9" s="16" t="n"/>
      <c r="C9" s="16" t="n"/>
      <c r="D9" s="16" t="n"/>
      <c r="E9" s="16" t="n"/>
      <c r="F9" s="16" t="n"/>
      <c r="G9" s="16" t="n"/>
    </row>
    <row r="10">
      <c r="A10" t="inlineStr">
        <is>
          <t>Health &amp; Safety Risk</t>
        </is>
      </c>
      <c r="B10" s="16" t="n"/>
      <c r="C10" s="16" t="n"/>
      <c r="D10" s="16" t="n"/>
      <c r="E10" s="16" t="n"/>
      <c r="F10" s="16" t="n"/>
      <c r="G10" s="16" t="n"/>
    </row>
    <row r="11">
      <c r="A11" t="inlineStr">
        <is>
          <t>Business Continuity Threat</t>
        </is>
      </c>
      <c r="B11" s="16" t="n"/>
      <c r="C11" s="16" t="n"/>
      <c r="D11" s="16" t="n"/>
      <c r="E11" s="16" t="n"/>
      <c r="F11" s="16" t="n"/>
      <c r="G11" s="16" t="n"/>
    </row>
    <row r="12">
      <c r="A12" t="inlineStr">
        <is>
          <t>[Custom Criterion 1]</t>
        </is>
      </c>
      <c r="B12" s="16" t="n"/>
      <c r="C12" s="16" t="n"/>
      <c r="D12" s="16" t="n"/>
      <c r="E12" s="16" t="n"/>
      <c r="F12" s="16" t="n"/>
      <c r="G12" s="16" t="n"/>
    </row>
    <row r="13">
      <c r="A13" t="inlineStr">
        <is>
          <t>[Custom Criterion 2]</t>
        </is>
      </c>
      <c r="B13" s="16" t="n"/>
      <c r="C13" s="16" t="n"/>
      <c r="D13" s="16" t="n"/>
      <c r="E13" s="16" t="n"/>
      <c r="F13" s="16" t="n"/>
      <c r="G13" s="16" t="n"/>
    </row>
    <row r="16">
      <c r="A16" s="12" t="inlineStr">
        <is>
          <t>EMERGENCY CHANGE PROCESS REQUIREMENTS</t>
        </is>
      </c>
    </row>
    <row r="17">
      <c r="A17" s="13" t="inlineStr">
        <is>
          <t>Requirement</t>
        </is>
      </c>
      <c r="B17" s="13" t="inlineStr">
        <is>
          <t>Implemented</t>
        </is>
      </c>
      <c r="C17" s="13" t="inlineStr">
        <is>
          <t>Process Description</t>
        </is>
      </c>
      <c r="D17" s="13" t="inlineStr">
        <is>
          <t>Responsible Role</t>
        </is>
      </c>
      <c r="E17" s="13" t="inlineStr">
        <is>
          <t>Exceptions Allowed</t>
        </is>
      </c>
      <c r="F17" s="13" t="inlineStr">
        <is>
          <t>Compliance</t>
        </is>
      </c>
      <c r="G17" s="13" t="inlineStr">
        <is>
          <t>Evidence</t>
        </is>
      </c>
    </row>
    <row r="18">
      <c r="A18" t="inlineStr">
        <is>
          <t>Emergency criteria must be met</t>
        </is>
      </c>
      <c r="B18" s="16" t="n"/>
      <c r="C18" s="16" t="n"/>
      <c r="D18" s="16" t="n"/>
      <c r="E18" s="16" t="n"/>
      <c r="F18" s="16" t="n"/>
      <c r="G18" s="16" t="n"/>
    </row>
    <row r="19">
      <c r="A19" t="inlineStr">
        <is>
          <t>E-CAB convened</t>
        </is>
      </c>
      <c r="B19" s="16" t="n"/>
      <c r="C19" s="16" t="n"/>
      <c r="D19" s="16" t="n"/>
      <c r="E19" s="16" t="n"/>
      <c r="F19" s="16" t="n"/>
      <c r="G19" s="16" t="n"/>
    </row>
    <row r="20">
      <c r="A20" t="inlineStr">
        <is>
          <t>Minimum E-CAB members defined</t>
        </is>
      </c>
      <c r="B20" s="16" t="n"/>
      <c r="C20" s="16" t="n"/>
      <c r="D20" s="16" t="n"/>
      <c r="E20" s="16" t="n"/>
      <c r="F20" s="16" t="n"/>
      <c r="G20" s="16" t="n"/>
    </row>
    <row r="21">
      <c r="A21" t="inlineStr">
        <is>
          <t>Emergency approval documented</t>
        </is>
      </c>
      <c r="B21" s="16" t="n"/>
      <c r="C21" s="16" t="n"/>
      <c r="D21" s="16" t="n"/>
      <c r="E21" s="16" t="n"/>
      <c r="F21" s="16" t="n"/>
      <c r="G21" s="16" t="n"/>
    </row>
    <row r="22">
      <c r="A22" t="inlineStr">
        <is>
          <t>Risk acceptance explicit</t>
        </is>
      </c>
      <c r="B22" s="16" t="n"/>
      <c r="C22" s="16" t="n"/>
      <c r="D22" s="16" t="n"/>
      <c r="E22" s="16" t="n"/>
      <c r="F22" s="16" t="n"/>
      <c r="G22" s="16" t="n"/>
    </row>
    <row r="23">
      <c r="A23" t="inlineStr">
        <is>
          <t>Communication immediate</t>
        </is>
      </c>
      <c r="B23" s="16" t="n"/>
      <c r="C23" s="16" t="n"/>
      <c r="D23" s="16" t="n"/>
      <c r="E23" s="16" t="n"/>
      <c r="F23" s="16" t="n"/>
      <c r="G23" s="16" t="n"/>
    </row>
    <row r="24">
      <c r="A24" t="inlineStr">
        <is>
          <t>Implementation window immediate</t>
        </is>
      </c>
      <c r="B24" s="16" t="n"/>
      <c r="C24" s="16" t="n"/>
      <c r="D24" s="16" t="n"/>
      <c r="E24" s="16" t="n"/>
      <c r="F24" s="16" t="n"/>
      <c r="G24" s="16" t="n"/>
    </row>
    <row r="25">
      <c r="A25" t="inlineStr">
        <is>
          <t>Rollback plan prepared (where feasible)</t>
        </is>
      </c>
      <c r="B25" s="16" t="n"/>
      <c r="C25" s="16" t="n"/>
      <c r="D25" s="16" t="n"/>
      <c r="E25" s="16" t="n"/>
      <c r="F25" s="16" t="n"/>
      <c r="G25" s="16" t="n"/>
    </row>
    <row r="26">
      <c r="A26" t="inlineStr">
        <is>
          <t>Incident ticket linked</t>
        </is>
      </c>
      <c r="B26" s="16" t="n"/>
      <c r="C26" s="16" t="n"/>
      <c r="D26" s="16" t="n"/>
      <c r="E26" s="16" t="n"/>
      <c r="F26" s="16" t="n"/>
      <c r="G26" s="16" t="n"/>
    </row>
    <row r="27">
      <c r="A27" t="inlineStr">
        <is>
          <t>Mandatory PIR within 2 business days</t>
        </is>
      </c>
      <c r="B27" s="16" t="n"/>
      <c r="C27" s="16" t="n"/>
      <c r="D27" s="16" t="n"/>
      <c r="E27" s="16" t="n"/>
      <c r="F27" s="16" t="n"/>
      <c r="G27" s="16" t="n"/>
    </row>
    <row r="28">
      <c r="A28" t="inlineStr">
        <is>
          <t>Retrospective CAB review</t>
        </is>
      </c>
      <c r="B28" s="16" t="n"/>
      <c r="C28" s="16" t="n"/>
      <c r="D28" s="16" t="n"/>
      <c r="E28" s="16" t="n"/>
      <c r="F28" s="16" t="n"/>
      <c r="G28" s="16" t="n"/>
    </row>
    <row r="29">
      <c r="A29" t="inlineStr">
        <is>
          <t>Emergency change metrics tracked</t>
        </is>
      </c>
      <c r="B29" s="16" t="n"/>
      <c r="C29" s="16" t="n"/>
      <c r="D29" s="16" t="n"/>
      <c r="E29" s="16" t="n"/>
      <c r="F29" s="16" t="n"/>
      <c r="G29" s="16" t="n"/>
    </row>
    <row r="32">
      <c r="A32" s="12" t="inlineStr">
        <is>
          <t>EMERGENCY CHANGE METRICS</t>
        </is>
      </c>
    </row>
    <row r="33">
      <c r="A33" s="13" t="inlineStr">
        <is>
          <t>Metric</t>
        </is>
      </c>
      <c r="B33" s="13" t="inlineStr">
        <is>
          <t>Target</t>
        </is>
      </c>
      <c r="C33" s="13" t="inlineStr">
        <is>
          <t>Current (Last Quarter)</t>
        </is>
      </c>
      <c r="D33" s="13" t="inlineStr">
        <is>
          <t>Status</t>
        </is>
      </c>
      <c r="E33" s="13" t="inlineStr">
        <is>
          <t>Notes</t>
        </is>
      </c>
    </row>
    <row r="34">
      <c r="A34" t="inlineStr">
        <is>
          <t>Emergency changes as % of total changes</t>
        </is>
      </c>
      <c r="B34" s="16" t="inlineStr">
        <is>
          <t>&lt;5%</t>
        </is>
      </c>
      <c r="C34" s="16" t="n"/>
      <c r="D34" s="16" t="n"/>
      <c r="E34" s="16" t="n"/>
    </row>
    <row r="35">
      <c r="A35" t="inlineStr">
        <is>
          <t>Average E-CAB response time</t>
        </is>
      </c>
      <c r="B35" s="16" t="inlineStr">
        <is>
          <t>&lt;4 hours</t>
        </is>
      </c>
      <c r="C35" s="16" t="n"/>
      <c r="D35" s="16" t="n"/>
      <c r="E35" s="16" t="n"/>
    </row>
    <row r="36">
      <c r="A36" t="inlineStr">
        <is>
          <t>Emergency changes with PIR completed</t>
        </is>
      </c>
      <c r="B36" s="16" t="inlineStr">
        <is>
          <t>100%</t>
        </is>
      </c>
      <c r="C36" s="16" t="n"/>
      <c r="D36" s="16" t="n"/>
      <c r="E36" s="16" t="n"/>
    </row>
    <row r="37">
      <c r="A37" t="inlineStr">
        <is>
          <t>Emergency changes leading to incidents</t>
        </is>
      </c>
      <c r="B37" s="16" t="inlineStr">
        <is>
          <t>0%</t>
        </is>
      </c>
      <c r="C37" s="16" t="n"/>
      <c r="D37" s="16" t="n"/>
      <c r="E37" s="16" t="n"/>
    </row>
    <row r="38">
      <c r="A38" t="inlineStr">
        <is>
          <t>Retrospective CAB review completion</t>
        </is>
      </c>
      <c r="B38" s="16" t="inlineStr">
        <is>
          <t>100%</t>
        </is>
      </c>
      <c r="C38" s="16" t="n"/>
      <c r="D38" s="16" t="n"/>
      <c r="E38" s="16" t="n"/>
    </row>
    <row r="39">
      <c r="A39" t="inlineStr">
        <is>
          <t>False emergency declarations</t>
        </is>
      </c>
      <c r="B39" s="16" t="inlineStr">
        <is>
          <t>&lt;5%</t>
        </is>
      </c>
      <c r="C39" s="16" t="n"/>
      <c r="D39" s="16" t="n"/>
      <c r="E39" s="16" t="n"/>
    </row>
    <row r="40">
      <c r="A40" t="inlineStr">
        <is>
          <t>Emergency change success rate</t>
        </is>
      </c>
      <c r="B40" s="16" t="inlineStr">
        <is>
          <t>&gt;95%</t>
        </is>
      </c>
      <c r="C40" s="16" t="n"/>
      <c r="D40" s="16" t="n"/>
      <c r="E40" s="16" t="n"/>
    </row>
  </sheetData>
  <mergeCells count="5">
    <mergeCell ref="A1:G1"/>
    <mergeCell ref="A4:G4"/>
    <mergeCell ref="A16:G16"/>
    <mergeCell ref="A2:G2"/>
    <mergeCell ref="A32:E32"/>
  </mergeCells>
  <dataValidations count="6">
    <dataValidation sqref="F6 F7 F8 F9 F10 F11 F12 F13" showDropDown="0" showInputMessage="0" showErrorMessage="0" allowBlank="0" type="list">
      <formula1>"✅ Defined,⚠ Partial,❌ Not Defined, Planned,N/A"</formula1>
    </dataValidation>
    <dataValidation sqref="B18 B19 B20 B21 B22 B23 B24 B25 B26 B27 B28 B29" showDropDown="0" showInputMessage="0" showErrorMessage="0" allowBlank="0" type="list">
      <formula1>"✅ Always,⚠ Sometimes,❌ Never, Planned"</formula1>
    </dataValidation>
    <dataValidation sqref="E18 E19 E20 E21 E22 E23 E24 E25 E26 E27 E28 E29" showDropDown="0" showInputMessage="0" showErrorMessage="0" allowBlank="0" type="list">
      <formula1>"✅ Yes,❌ No,⚠ Case-by-Case,N/A"</formula1>
    </dataValidation>
    <dataValidation sqref="F18 F19 F20 F21 F22 F23 F24 F25 F26 F27 F28 F29" showDropDown="0" showInputMessage="0" showErrorMessage="0" allowBlank="0" type="list">
      <formula1>"✅ Yes,⚠ Partial,❌ No"</formula1>
    </dataValidation>
    <dataValidation sqref="B6 B7 B8 B9 B10 B11 B12 B13" showDropDown="0" showInputMessage="0" showErrorMessage="0" allowBlank="0" type="list">
      <formula1>"✅ Clearly Defined,⚠ Partially,❌ Not Defined"</formula1>
    </dataValidation>
    <dataValidation sqref="G6 G7 G8 G9 G10 G11 G12 G13 G18 G19 G20 G21 G22 G23 G24 G25 G26 G27 G28 G29"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pane ySplit="5" topLeftCell="A6"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0" customWidth="1" min="6" max="6"/>
    <col width="18" customWidth="1" min="7" max="7"/>
    <col width="25" customWidth="1" min="8" max="8"/>
  </cols>
  <sheetData>
    <row r="1" ht="35" customHeight="1">
      <c r="A1" s="11" t="inlineStr">
        <is>
          <t>CHANGE RISK CLASSIFICATION MATRIX</t>
        </is>
      </c>
    </row>
    <row r="2">
      <c r="A2" s="12" t="inlineStr">
        <is>
          <t>Risk = Impact × Likelihood methodology</t>
        </is>
      </c>
    </row>
    <row r="4">
      <c r="A4" s="12" t="inlineStr">
        <is>
          <t>IMPACT LEVEL DEFINITIONS</t>
        </is>
      </c>
    </row>
    <row r="5">
      <c r="A5" s="13" t="inlineStr">
        <is>
          <t>Impact Level</t>
        </is>
      </c>
      <c r="B5" s="13" t="inlineStr">
        <is>
          <t>User Count Affected</t>
        </is>
      </c>
      <c r="C5" s="13" t="inlineStr">
        <is>
          <t>Service Downtime Potential</t>
        </is>
      </c>
      <c r="D5" s="13" t="inlineStr">
        <is>
          <t>Recovery Time</t>
        </is>
      </c>
      <c r="E5" s="13" t="inlineStr">
        <is>
          <t>Data Loss Risk</t>
        </is>
      </c>
      <c r="F5" s="13" t="inlineStr">
        <is>
          <t>Financial Impact</t>
        </is>
      </c>
      <c r="G5" s="13" t="inlineStr">
        <is>
          <t>Documented</t>
        </is>
      </c>
      <c r="H5" s="13" t="inlineStr">
        <is>
          <t>Evidence</t>
        </is>
      </c>
    </row>
    <row r="6">
      <c r="A6" t="inlineStr">
        <is>
          <t>Low</t>
        </is>
      </c>
      <c r="B6" s="16" t="n"/>
      <c r="C6" s="16" t="n"/>
      <c r="D6" s="16" t="n"/>
      <c r="E6" s="16" t="n"/>
      <c r="F6" s="16" t="n"/>
      <c r="G6" s="16" t="n"/>
      <c r="H6" s="16" t="n"/>
    </row>
    <row r="7">
      <c r="A7" t="inlineStr">
        <is>
          <t>Medium</t>
        </is>
      </c>
      <c r="B7" s="16" t="n"/>
      <c r="C7" s="16" t="n"/>
      <c r="D7" s="16" t="n"/>
      <c r="E7" s="16" t="n"/>
      <c r="F7" s="16" t="n"/>
      <c r="G7" s="16" t="n"/>
      <c r="H7" s="16" t="n"/>
    </row>
    <row r="8">
      <c r="A8" t="inlineStr">
        <is>
          <t>High</t>
        </is>
      </c>
      <c r="B8" s="16" t="n"/>
      <c r="C8" s="16" t="n"/>
      <c r="D8" s="16" t="n"/>
      <c r="E8" s="16" t="n"/>
      <c r="F8" s="16" t="n"/>
      <c r="G8" s="16" t="n"/>
      <c r="H8" s="16" t="n"/>
    </row>
    <row r="9">
      <c r="A9" t="inlineStr">
        <is>
          <t>Critical</t>
        </is>
      </c>
      <c r="B9" s="16" t="n"/>
      <c r="C9" s="16" t="n"/>
      <c r="D9" s="16" t="n"/>
      <c r="E9" s="16" t="n"/>
      <c r="F9" s="16" t="n"/>
      <c r="G9" s="16" t="n"/>
      <c r="H9" s="16" t="n"/>
    </row>
    <row r="12">
      <c r="A12" s="12" t="inlineStr">
        <is>
          <t>LIKELIHOOD LEVEL DEFINITIONS</t>
        </is>
      </c>
    </row>
    <row r="13">
      <c r="A13" s="13" t="inlineStr">
        <is>
          <t>Likelihood Level</t>
        </is>
      </c>
      <c r="B13" s="13" t="inlineStr">
        <is>
          <t>Failure Probability</t>
        </is>
      </c>
      <c r="C13" s="13" t="inlineStr">
        <is>
          <t>Complexity</t>
        </is>
      </c>
      <c r="D13" s="13" t="inlineStr">
        <is>
          <t>Dependencies</t>
        </is>
      </c>
      <c r="E13" s="13" t="inlineStr">
        <is>
          <t>Testing Maturity</t>
        </is>
      </c>
      <c r="F13" s="13" t="inlineStr">
        <is>
          <t>Historical Success Rate</t>
        </is>
      </c>
      <c r="G13" s="13" t="inlineStr">
        <is>
          <t>Documented</t>
        </is>
      </c>
      <c r="H13" s="13" t="inlineStr">
        <is>
          <t>Evidence</t>
        </is>
      </c>
    </row>
    <row r="14">
      <c r="A14" t="inlineStr">
        <is>
          <t>Low</t>
        </is>
      </c>
      <c r="B14" s="16" t="n"/>
      <c r="C14" s="16" t="n"/>
      <c r="D14" s="16" t="n"/>
      <c r="E14" s="16" t="n"/>
      <c r="F14" s="16" t="n"/>
      <c r="G14" s="16" t="n"/>
      <c r="H14" s="16" t="n"/>
    </row>
    <row r="15">
      <c r="A15" t="inlineStr">
        <is>
          <t>Medium</t>
        </is>
      </c>
      <c r="B15" s="16" t="n"/>
      <c r="C15" s="16" t="n"/>
      <c r="D15" s="16" t="n"/>
      <c r="E15" s="16" t="n"/>
      <c r="F15" s="16" t="n"/>
      <c r="G15" s="16" t="n"/>
      <c r="H15" s="16" t="n"/>
    </row>
    <row r="16">
      <c r="A16" t="inlineStr">
        <is>
          <t>High</t>
        </is>
      </c>
      <c r="B16" s="16" t="n"/>
      <c r="C16" s="16" t="n"/>
      <c r="D16" s="16" t="n"/>
      <c r="E16" s="16" t="n"/>
      <c r="F16" s="16" t="n"/>
      <c r="G16" s="16" t="n"/>
      <c r="H16" s="16" t="n"/>
    </row>
    <row r="19">
      <c r="A19" s="12" t="inlineStr">
        <is>
          <t>RISK MATRIX (Impact × Likelihood)</t>
        </is>
      </c>
    </row>
    <row r="20">
      <c r="A20" s="19" t="inlineStr"/>
      <c r="B20" s="19" t="inlineStr">
        <is>
          <t>Low Impact</t>
        </is>
      </c>
      <c r="C20" s="19" t="inlineStr">
        <is>
          <t>Medium Impact</t>
        </is>
      </c>
      <c r="D20" s="19" t="inlineStr">
        <is>
          <t>High Impact</t>
        </is>
      </c>
      <c r="E20" s="19" t="inlineStr">
        <is>
          <t>Critical Impact</t>
        </is>
      </c>
    </row>
    <row r="21">
      <c r="A21" s="20" t="inlineStr">
        <is>
          <t>Low Likelihood</t>
        </is>
      </c>
      <c r="B21" s="21" t="inlineStr">
        <is>
          <t>LOW RISK</t>
        </is>
      </c>
      <c r="C21" s="21" t="inlineStr">
        <is>
          <t>LOW RISK</t>
        </is>
      </c>
      <c r="D21" s="22" t="inlineStr">
        <is>
          <t>MEDIUM RISK</t>
        </is>
      </c>
      <c r="E21" s="22" t="inlineStr">
        <is>
          <t>HIGH RISK</t>
        </is>
      </c>
    </row>
    <row r="22">
      <c r="A22" s="20" t="inlineStr">
        <is>
          <t>Medium Likelihood</t>
        </is>
      </c>
      <c r="B22" s="21" t="inlineStr">
        <is>
          <t>LOW RISK</t>
        </is>
      </c>
      <c r="C22" s="22" t="inlineStr">
        <is>
          <t>MEDIUM RISK</t>
        </is>
      </c>
      <c r="D22" s="22" t="inlineStr">
        <is>
          <t>HIGH RISK</t>
        </is>
      </c>
      <c r="E22" s="23" t="inlineStr">
        <is>
          <t>CRITICAL RISK</t>
        </is>
      </c>
    </row>
    <row r="23">
      <c r="A23" s="20" t="inlineStr">
        <is>
          <t>High Likelihood</t>
        </is>
      </c>
      <c r="B23" s="22" t="inlineStr">
        <is>
          <t>MEDIUM RISK</t>
        </is>
      </c>
      <c r="C23" s="22" t="inlineStr">
        <is>
          <t>HIGH RISK</t>
        </is>
      </c>
      <c r="D23" s="23" t="inlineStr">
        <is>
          <t>CRITICAL RISK</t>
        </is>
      </c>
      <c r="E23" s="23" t="inlineStr">
        <is>
          <t>CRITICAL RISK</t>
        </is>
      </c>
    </row>
  </sheetData>
  <mergeCells count="5">
    <mergeCell ref="A12:H12"/>
    <mergeCell ref="A4:H4"/>
    <mergeCell ref="A2:H2"/>
    <mergeCell ref="A19:E19"/>
    <mergeCell ref="A1:H1"/>
  </mergeCells>
  <dataValidations count="7">
    <dataValidation sqref="G6 G7 G8 G9 G14 G15 G16" showDropDown="0" showInputMessage="0" showErrorMessage="0" allowBlank="0" type="list">
      <formula1>"✅ Defined,⚠ Partial,❌ Not Defined, Planned,N/A"</formula1>
    </dataValidation>
    <dataValidation sqref="B6 B7 B8 B9" showDropDown="0" showInputMessage="0" showErrorMessage="0" allowBlank="0" type="list">
      <formula1>"&lt;10 users,10-50,50-100,100-1000,&gt;1000 users,All users,Business-critical,Other"</formula1>
    </dataValidation>
    <dataValidation sqref="C6 C7 C8 C9" showDropDown="0" showInputMessage="0" showErrorMessage="0" allowBlank="0" type="list">
      <formula1>"&lt;15 min,15-60 min,1-2 hours,2-8 hours,&gt;8 hours,Irreversible,Business-critical,Other"</formula1>
    </dataValidation>
    <dataValidation sqref="E6 E7 E8 E9" showDropDown="0" showInputMessage="0" showErrorMessage="0" allowBlank="0" type="list">
      <formula1>"None,Minimal,Moderate,High"</formula1>
    </dataValidation>
    <dataValidation sqref="C14 C15 C16" showDropDown="0" showInputMessage="0" showErrorMessage="0" allowBlank="0" type="list">
      <formula1>"Simple,Moderate,Complex,Very Complex"</formula1>
    </dataValidation>
    <dataValidation sqref="E14 E15 E16" showDropDown="0" showInputMessage="0" showErrorMessage="0" allowBlank="0" type="list">
      <formula1>"Extensively Tested,Well Tested,Limited Testing,Untested"</formula1>
    </dataValidation>
    <dataValidation sqref="H6 H7 H8 H9 H14 H15 H1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
  <sheetViews>
    <sheetView showGridLines="0"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30" customWidth="1" min="5" max="5"/>
    <col width="18" customWidth="1" min="6" max="6"/>
    <col width="20" customWidth="1" min="7" max="7"/>
    <col width="18" customWidth="1" min="8" max="8"/>
    <col width="25" customWidth="1" min="9" max="9"/>
  </cols>
  <sheetData>
    <row r="1" ht="35" customHeight="1">
      <c r="A1" s="11" t="inlineStr">
        <is>
          <t>CHANGE CALENDAR MANAGEMENT</t>
        </is>
      </c>
    </row>
    <row r="2">
      <c r="A2" s="12" t="inlineStr">
        <is>
          <t>Scheduling, blackout windows, and conflict detection</t>
        </is>
      </c>
    </row>
    <row r="4">
      <c r="A4" s="12" t="inlineStr">
        <is>
          <t>CHANGE WINDOW DEFINITIONS</t>
        </is>
      </c>
    </row>
    <row r="5">
      <c r="A5" s="13" t="inlineStr">
        <is>
          <t>Change Window</t>
        </is>
      </c>
      <c r="B5" s="13" t="inlineStr">
        <is>
          <t>Days/Times</t>
        </is>
      </c>
      <c r="C5" s="13" t="inlineStr">
        <is>
          <t>Applicable Change Types</t>
        </is>
      </c>
      <c r="D5" s="13" t="inlineStr">
        <is>
          <t>Approval Required</t>
        </is>
      </c>
      <c r="E5" s="13" t="inlineStr">
        <is>
          <t>Advance Notice</t>
        </is>
      </c>
      <c r="F5" s="13" t="inlineStr">
        <is>
          <t>Documented</t>
        </is>
      </c>
      <c r="G5" s="13" t="inlineStr">
        <is>
          <t>Evidence</t>
        </is>
      </c>
    </row>
    <row r="6">
      <c r="A6" t="inlineStr">
        <is>
          <t>Standard Maintenance Window</t>
        </is>
      </c>
      <c r="B6" s="16" t="n"/>
      <c r="C6" s="16" t="n"/>
      <c r="D6" s="16" t="n"/>
      <c r="E6" s="16" t="n"/>
      <c r="F6" s="16" t="n"/>
      <c r="G6" s="16" t="n"/>
    </row>
    <row r="7">
      <c r="A7" t="inlineStr">
        <is>
          <t>Business Hours (Restricted)</t>
        </is>
      </c>
      <c r="B7" s="16" t="n"/>
      <c r="C7" s="16" t="n"/>
      <c r="D7" s="16" t="n"/>
      <c r="E7" s="16" t="n"/>
      <c r="F7" s="16" t="n"/>
      <c r="G7" s="16" t="n"/>
    </row>
    <row r="8">
      <c r="A8" t="inlineStr">
        <is>
          <t>After-Hours Window</t>
        </is>
      </c>
      <c r="B8" s="16" t="n"/>
      <c r="C8" s="16" t="n"/>
      <c r="D8" s="16" t="n"/>
      <c r="E8" s="16" t="n"/>
      <c r="F8" s="16" t="n"/>
      <c r="G8" s="16" t="n"/>
    </row>
    <row r="9">
      <c r="A9" t="inlineStr">
        <is>
          <t>Emergency Window</t>
        </is>
      </c>
      <c r="B9" s="16" t="n"/>
      <c r="C9" s="16" t="n"/>
      <c r="D9" s="16" t="n"/>
      <c r="E9" s="16" t="n"/>
      <c r="F9" s="16" t="n"/>
      <c r="G9" s="16" t="n"/>
    </row>
    <row r="10">
      <c r="A10" t="inlineStr">
        <is>
          <t>[Custom Window 1]</t>
        </is>
      </c>
      <c r="B10" s="16" t="n"/>
      <c r="C10" s="16" t="n"/>
      <c r="D10" s="16" t="n"/>
      <c r="E10" s="16" t="n"/>
      <c r="F10" s="16" t="n"/>
      <c r="G10" s="16" t="n"/>
    </row>
    <row r="11">
      <c r="A11" t="inlineStr">
        <is>
          <t>[Custom Window 2]</t>
        </is>
      </c>
      <c r="B11" s="16" t="n"/>
      <c r="C11" s="16" t="n"/>
      <c r="D11" s="16" t="n"/>
      <c r="E11" s="16" t="n"/>
      <c r="F11" s="16" t="n"/>
      <c r="G11" s="16" t="n"/>
    </row>
    <row r="14">
      <c r="A14" s="12" t="inlineStr">
        <is>
          <t>BLACKOUT PERIODS</t>
        </is>
      </c>
    </row>
    <row r="15">
      <c r="A15" s="13" t="inlineStr">
        <is>
          <t>Blackout Period</t>
        </is>
      </c>
      <c r="B15" s="13" t="inlineStr">
        <is>
          <t>Start Date</t>
        </is>
      </c>
      <c r="C15" s="13" t="inlineStr">
        <is>
          <t>End Date</t>
        </is>
      </c>
      <c r="D15" s="13" t="inlineStr">
        <is>
          <t>Reason</t>
        </is>
      </c>
      <c r="E15" s="13" t="inlineStr">
        <is>
          <t>Affected Systems/Services</t>
        </is>
      </c>
      <c r="F15" s="13" t="inlineStr">
        <is>
          <t>Exceptions Allowed</t>
        </is>
      </c>
      <c r="G15" s="13" t="inlineStr">
        <is>
          <t>Exception Approver</t>
        </is>
      </c>
      <c r="H15" s="13" t="inlineStr">
        <is>
          <t>Documented</t>
        </is>
      </c>
      <c r="I15" s="13" t="inlineStr">
        <is>
          <t>Evidence</t>
        </is>
      </c>
    </row>
    <row r="16">
      <c r="A16" s="16" t="inlineStr">
        <is>
          <t>Year-End Freeze</t>
        </is>
      </c>
      <c r="B16" s="17" t="inlineStr">
        <is>
          <t>20.12.2025</t>
        </is>
      </c>
      <c r="C16" s="17" t="inlineStr">
        <is>
          <t>05.01.2026</t>
        </is>
      </c>
      <c r="D16" s="16" t="inlineStr">
        <is>
          <t>Financial Close</t>
        </is>
      </c>
      <c r="E16" s="16" t="inlineStr">
        <is>
          <t>All production systems</t>
        </is>
      </c>
      <c r="F16" s="16" t="inlineStr">
        <is>
          <t>Critical only</t>
        </is>
      </c>
      <c r="G16" s="16" t="inlineStr">
        <is>
          <t>CTO</t>
        </is>
      </c>
      <c r="H16" s="16" t="inlineStr">
        <is>
          <t>Documented</t>
        </is>
      </c>
      <c r="I16" s="16" t="inlineStr">
        <is>
          <t>EV-BL-001</t>
        </is>
      </c>
    </row>
    <row r="17">
      <c r="A17" s="16" t="n"/>
      <c r="B17" s="17" t="n"/>
      <c r="C17" s="17" t="n"/>
      <c r="D17" s="16" t="n"/>
      <c r="E17" s="16" t="n"/>
      <c r="F17" s="16" t="n"/>
      <c r="G17" s="16" t="n"/>
      <c r="H17" s="16" t="n"/>
      <c r="I17" s="16" t="n"/>
    </row>
    <row r="18">
      <c r="A18" s="16" t="n"/>
      <c r="B18" s="17" t="n"/>
      <c r="C18" s="17" t="n"/>
      <c r="D18" s="16" t="n"/>
      <c r="E18" s="16" t="n"/>
      <c r="F18" s="16" t="n"/>
      <c r="G18" s="16" t="n"/>
      <c r="H18" s="16" t="n"/>
      <c r="I18" s="16" t="n"/>
    </row>
    <row r="19">
      <c r="A19" s="16" t="n"/>
      <c r="B19" s="17" t="n"/>
      <c r="C19" s="17" t="n"/>
      <c r="D19" s="16" t="n"/>
      <c r="E19" s="16" t="n"/>
      <c r="F19" s="16" t="n"/>
      <c r="G19" s="16" t="n"/>
      <c r="H19" s="16" t="n"/>
      <c r="I19" s="16" t="n"/>
    </row>
    <row r="20">
      <c r="A20" s="16" t="n"/>
      <c r="B20" s="17" t="n"/>
      <c r="C20" s="17" t="n"/>
      <c r="D20" s="16" t="n"/>
      <c r="E20" s="16" t="n"/>
      <c r="F20" s="16" t="n"/>
      <c r="G20" s="16" t="n"/>
      <c r="H20" s="16" t="n"/>
      <c r="I20" s="16" t="n"/>
    </row>
    <row r="21">
      <c r="A21" s="16" t="n"/>
      <c r="B21" s="17" t="n"/>
      <c r="C21" s="17" t="n"/>
      <c r="D21" s="16" t="n"/>
      <c r="E21" s="16" t="n"/>
      <c r="F21" s="16" t="n"/>
      <c r="G21" s="16" t="n"/>
      <c r="H21" s="16" t="n"/>
      <c r="I21" s="16" t="n"/>
    </row>
    <row r="22">
      <c r="A22" s="16" t="n"/>
      <c r="B22" s="17" t="n"/>
      <c r="C22" s="17" t="n"/>
      <c r="D22" s="16" t="n"/>
      <c r="E22" s="16" t="n"/>
      <c r="F22" s="16" t="n"/>
      <c r="G22" s="16" t="n"/>
      <c r="H22" s="16" t="n"/>
      <c r="I22" s="16" t="n"/>
    </row>
    <row r="23">
      <c r="A23" s="16" t="n"/>
      <c r="B23" s="17" t="n"/>
      <c r="C23" s="17" t="n"/>
      <c r="D23" s="16" t="n"/>
      <c r="E23" s="16" t="n"/>
      <c r="F23" s="16" t="n"/>
      <c r="G23" s="16" t="n"/>
      <c r="H23" s="16" t="n"/>
      <c r="I23" s="16" t="n"/>
    </row>
    <row r="24">
      <c r="A24" s="16" t="n"/>
      <c r="B24" s="17" t="n"/>
      <c r="C24" s="17" t="n"/>
      <c r="D24" s="16" t="n"/>
      <c r="E24" s="16" t="n"/>
      <c r="F24" s="16" t="n"/>
      <c r="G24" s="16" t="n"/>
      <c r="H24" s="16" t="n"/>
      <c r="I24" s="16" t="n"/>
    </row>
    <row r="25">
      <c r="A25" s="16" t="n"/>
      <c r="B25" s="17" t="n"/>
      <c r="C25" s="17" t="n"/>
      <c r="D25" s="16" t="n"/>
      <c r="E25" s="16" t="n"/>
      <c r="F25" s="16" t="n"/>
      <c r="G25" s="16" t="n"/>
      <c r="H25" s="16" t="n"/>
      <c r="I25" s="16" t="n"/>
    </row>
    <row r="26">
      <c r="A26" s="16" t="n"/>
      <c r="B26" s="17" t="n"/>
      <c r="C26" s="17" t="n"/>
      <c r="D26" s="16" t="n"/>
      <c r="E26" s="16" t="n"/>
      <c r="F26" s="16" t="n"/>
      <c r="G26" s="16" t="n"/>
      <c r="H26" s="16" t="n"/>
      <c r="I26" s="16" t="n"/>
    </row>
    <row r="27">
      <c r="A27" s="16" t="n"/>
      <c r="B27" s="17" t="n"/>
      <c r="C27" s="17" t="n"/>
      <c r="D27" s="16" t="n"/>
      <c r="E27" s="16" t="n"/>
      <c r="F27" s="16" t="n"/>
      <c r="G27" s="16" t="n"/>
      <c r="H27" s="16" t="n"/>
      <c r="I27" s="16" t="n"/>
    </row>
    <row r="28">
      <c r="A28" s="16" t="n"/>
      <c r="B28" s="17" t="n"/>
      <c r="C28" s="17" t="n"/>
      <c r="D28" s="16" t="n"/>
      <c r="E28" s="16" t="n"/>
      <c r="F28" s="16" t="n"/>
      <c r="G28" s="16" t="n"/>
      <c r="H28" s="16" t="n"/>
      <c r="I28" s="16" t="n"/>
    </row>
    <row r="29">
      <c r="A29" s="16" t="n"/>
      <c r="B29" s="17" t="n"/>
      <c r="C29" s="17" t="n"/>
      <c r="D29" s="16" t="n"/>
      <c r="E29" s="16" t="n"/>
      <c r="F29" s="16" t="n"/>
      <c r="G29" s="16" t="n"/>
      <c r="H29" s="16" t="n"/>
      <c r="I29" s="16" t="n"/>
    </row>
    <row r="30">
      <c r="A30" s="16" t="n"/>
      <c r="B30" s="17" t="n"/>
      <c r="C30" s="17" t="n"/>
      <c r="D30" s="16" t="n"/>
      <c r="E30" s="16" t="n"/>
      <c r="F30" s="16" t="n"/>
      <c r="G30" s="16" t="n"/>
      <c r="H30" s="16" t="n"/>
      <c r="I30" s="16" t="n"/>
    </row>
    <row r="31">
      <c r="A31" s="16" t="n"/>
      <c r="B31" s="17" t="n"/>
      <c r="C31" s="17" t="n"/>
      <c r="D31" s="16" t="n"/>
      <c r="E31" s="16" t="n"/>
      <c r="F31" s="16" t="n"/>
      <c r="G31" s="16" t="n"/>
      <c r="H31" s="16" t="n"/>
      <c r="I31" s="16" t="n"/>
    </row>
    <row r="32">
      <c r="A32" s="16" t="n"/>
      <c r="B32" s="17" t="n"/>
      <c r="C32" s="17" t="n"/>
      <c r="D32" s="16" t="n"/>
      <c r="E32" s="16" t="n"/>
      <c r="F32" s="16" t="n"/>
      <c r="G32" s="16" t="n"/>
      <c r="H32" s="16" t="n"/>
      <c r="I32" s="16" t="n"/>
    </row>
    <row r="33">
      <c r="A33" s="16" t="n"/>
      <c r="B33" s="17" t="n"/>
      <c r="C33" s="17" t="n"/>
      <c r="D33" s="16" t="n"/>
      <c r="E33" s="16" t="n"/>
      <c r="F33" s="16" t="n"/>
      <c r="G33" s="16" t="n"/>
      <c r="H33" s="16" t="n"/>
      <c r="I33" s="16" t="n"/>
    </row>
    <row r="34">
      <c r="A34" s="16" t="n"/>
      <c r="B34" s="17" t="n"/>
      <c r="C34" s="17" t="n"/>
      <c r="D34" s="16" t="n"/>
      <c r="E34" s="16" t="n"/>
      <c r="F34" s="16" t="n"/>
      <c r="G34" s="16" t="n"/>
      <c r="H34" s="16" t="n"/>
      <c r="I34" s="16" t="n"/>
    </row>
    <row r="35">
      <c r="A35" s="16" t="n"/>
      <c r="B35" s="17" t="n"/>
      <c r="C35" s="17" t="n"/>
      <c r="D35" s="16" t="n"/>
      <c r="E35" s="16" t="n"/>
      <c r="F35" s="16" t="n"/>
      <c r="G35" s="16" t="n"/>
      <c r="H35" s="16" t="n"/>
      <c r="I35" s="16" t="n"/>
    </row>
    <row r="36">
      <c r="A36" s="16" t="n"/>
      <c r="B36" s="17" t="n"/>
      <c r="C36" s="17" t="n"/>
      <c r="D36" s="16" t="n"/>
      <c r="E36" s="16" t="n"/>
      <c r="F36" s="16" t="n"/>
      <c r="G36" s="16" t="n"/>
      <c r="H36" s="16" t="n"/>
      <c r="I36" s="16" t="n"/>
    </row>
    <row r="37">
      <c r="A37" s="16" t="n"/>
      <c r="B37" s="17" t="n"/>
      <c r="C37" s="17" t="n"/>
      <c r="D37" s="16" t="n"/>
      <c r="E37" s="16" t="n"/>
      <c r="F37" s="16" t="n"/>
      <c r="G37" s="16" t="n"/>
      <c r="H37" s="16" t="n"/>
      <c r="I37" s="16" t="n"/>
    </row>
    <row r="38">
      <c r="A38" s="16" t="n"/>
      <c r="B38" s="17" t="n"/>
      <c r="C38" s="17" t="n"/>
      <c r="D38" s="16" t="n"/>
      <c r="E38" s="16" t="n"/>
      <c r="F38" s="16" t="n"/>
      <c r="G38" s="16" t="n"/>
      <c r="H38" s="16" t="n"/>
      <c r="I38" s="16" t="n"/>
    </row>
    <row r="39">
      <c r="A39" s="16" t="n"/>
      <c r="B39" s="17" t="n"/>
      <c r="C39" s="17" t="n"/>
      <c r="D39" s="16" t="n"/>
      <c r="E39" s="16" t="n"/>
      <c r="F39" s="16" t="n"/>
      <c r="G39" s="16" t="n"/>
      <c r="H39" s="16" t="n"/>
      <c r="I39" s="16" t="n"/>
    </row>
    <row r="40">
      <c r="A40" s="16" t="n"/>
      <c r="B40" s="17" t="n"/>
      <c r="C40" s="17" t="n"/>
      <c r="D40" s="16" t="n"/>
      <c r="E40" s="16" t="n"/>
      <c r="F40" s="16" t="n"/>
      <c r="G40" s="16" t="n"/>
      <c r="H40" s="16" t="n"/>
      <c r="I40" s="16" t="n"/>
    </row>
    <row r="41">
      <c r="A41" s="16" t="n"/>
      <c r="B41" s="17" t="n"/>
      <c r="C41" s="17" t="n"/>
      <c r="D41" s="16" t="n"/>
      <c r="E41" s="16" t="n"/>
      <c r="F41" s="16" t="n"/>
      <c r="G41" s="16" t="n"/>
      <c r="H41" s="16" t="n"/>
      <c r="I41" s="16" t="n"/>
    </row>
    <row r="42">
      <c r="A42" s="16" t="n"/>
      <c r="B42" s="17" t="n"/>
      <c r="C42" s="17" t="n"/>
      <c r="D42" s="16" t="n"/>
      <c r="E42" s="16" t="n"/>
      <c r="F42" s="16" t="n"/>
      <c r="G42" s="16" t="n"/>
      <c r="H42" s="16" t="n"/>
      <c r="I42" s="16" t="n"/>
    </row>
    <row r="43">
      <c r="A43" s="16" t="n"/>
      <c r="B43" s="17" t="n"/>
      <c r="C43" s="17" t="n"/>
      <c r="D43" s="16" t="n"/>
      <c r="E43" s="16" t="n"/>
      <c r="F43" s="16" t="n"/>
      <c r="G43" s="16" t="n"/>
      <c r="H43" s="16" t="n"/>
      <c r="I43" s="16" t="n"/>
    </row>
    <row r="44">
      <c r="A44" s="16" t="n"/>
      <c r="B44" s="17" t="n"/>
      <c r="C44" s="17" t="n"/>
      <c r="D44" s="16" t="n"/>
      <c r="E44" s="16" t="n"/>
      <c r="F44" s="16" t="n"/>
      <c r="G44" s="16" t="n"/>
      <c r="H44" s="16" t="n"/>
      <c r="I44" s="16" t="n"/>
    </row>
    <row r="45">
      <c r="A45" s="16" t="n"/>
      <c r="B45" s="17" t="n"/>
      <c r="C45" s="17" t="n"/>
      <c r="D45" s="16" t="n"/>
      <c r="E45" s="16" t="n"/>
      <c r="F45" s="16" t="n"/>
      <c r="G45" s="16" t="n"/>
      <c r="H45" s="16" t="n"/>
      <c r="I45" s="16" t="n"/>
    </row>
    <row r="46">
      <c r="A46" s="16" t="n"/>
      <c r="B46" s="17" t="n"/>
      <c r="C46" s="17" t="n"/>
      <c r="D46" s="16" t="n"/>
      <c r="E46" s="16" t="n"/>
      <c r="F46" s="16" t="n"/>
      <c r="G46" s="16" t="n"/>
      <c r="H46" s="16" t="n"/>
      <c r="I46" s="16" t="n"/>
    </row>
    <row r="47">
      <c r="A47" s="16" t="n"/>
      <c r="B47" s="17" t="n"/>
      <c r="C47" s="17" t="n"/>
      <c r="D47" s="16" t="n"/>
      <c r="E47" s="16" t="n"/>
      <c r="F47" s="16" t="n"/>
      <c r="G47" s="16" t="n"/>
      <c r="H47" s="16" t="n"/>
      <c r="I47" s="16" t="n"/>
    </row>
    <row r="48">
      <c r="A48" s="16" t="n"/>
      <c r="B48" s="17" t="n"/>
      <c r="C48" s="17" t="n"/>
      <c r="D48" s="16" t="n"/>
      <c r="E48" s="16" t="n"/>
      <c r="F48" s="16" t="n"/>
      <c r="G48" s="16" t="n"/>
      <c r="H48" s="16" t="n"/>
      <c r="I48" s="16" t="n"/>
    </row>
    <row r="49">
      <c r="A49" s="16" t="n"/>
      <c r="B49" s="17" t="n"/>
      <c r="C49" s="17" t="n"/>
      <c r="D49" s="16" t="n"/>
      <c r="E49" s="16" t="n"/>
      <c r="F49" s="16" t="n"/>
      <c r="G49" s="16" t="n"/>
      <c r="H49" s="16" t="n"/>
      <c r="I49" s="16" t="n"/>
    </row>
    <row r="50">
      <c r="A50" s="16" t="n"/>
      <c r="B50" s="17" t="n"/>
      <c r="C50" s="17" t="n"/>
      <c r="D50" s="16" t="n"/>
      <c r="E50" s="16" t="n"/>
      <c r="F50" s="16" t="n"/>
      <c r="G50" s="16" t="n"/>
      <c r="H50" s="16" t="n"/>
      <c r="I50" s="16" t="n"/>
    </row>
    <row r="51">
      <c r="A51" s="16" t="n"/>
      <c r="B51" s="17" t="n"/>
      <c r="C51" s="17" t="n"/>
      <c r="D51" s="16" t="n"/>
      <c r="E51" s="16" t="n"/>
      <c r="F51" s="16" t="n"/>
      <c r="G51" s="16" t="n"/>
      <c r="H51" s="16" t="n"/>
      <c r="I51" s="16" t="n"/>
    </row>
    <row r="52">
      <c r="A52" s="16" t="n"/>
      <c r="B52" s="17" t="n"/>
      <c r="C52" s="17" t="n"/>
      <c r="D52" s="16" t="n"/>
      <c r="E52" s="16" t="n"/>
      <c r="F52" s="16" t="n"/>
      <c r="G52" s="16" t="n"/>
      <c r="H52" s="16" t="n"/>
      <c r="I52" s="16" t="n"/>
    </row>
    <row r="53">
      <c r="A53" s="16" t="n"/>
      <c r="B53" s="17" t="n"/>
      <c r="C53" s="17" t="n"/>
      <c r="D53" s="16" t="n"/>
      <c r="E53" s="16" t="n"/>
      <c r="F53" s="16" t="n"/>
      <c r="G53" s="16" t="n"/>
      <c r="H53" s="16" t="n"/>
      <c r="I53" s="16" t="n"/>
    </row>
    <row r="54">
      <c r="A54" s="16" t="n"/>
      <c r="B54" s="17" t="n"/>
      <c r="C54" s="17" t="n"/>
      <c r="D54" s="16" t="n"/>
      <c r="E54" s="16" t="n"/>
      <c r="F54" s="16" t="n"/>
      <c r="G54" s="16" t="n"/>
      <c r="H54" s="16" t="n"/>
      <c r="I54" s="16" t="n"/>
    </row>
    <row r="55">
      <c r="A55" s="16" t="n"/>
      <c r="B55" s="17" t="n"/>
      <c r="C55" s="17" t="n"/>
      <c r="D55" s="16" t="n"/>
      <c r="E55" s="16" t="n"/>
      <c r="F55" s="16" t="n"/>
      <c r="G55" s="16" t="n"/>
      <c r="H55" s="16" t="n"/>
      <c r="I55" s="16" t="n"/>
    </row>
    <row r="56">
      <c r="A56" s="16" t="n"/>
      <c r="B56" s="17" t="n"/>
      <c r="C56" s="17" t="n"/>
      <c r="D56" s="16" t="n"/>
      <c r="E56" s="16" t="n"/>
      <c r="F56" s="16" t="n"/>
      <c r="G56" s="16" t="n"/>
      <c r="H56" s="16" t="n"/>
      <c r="I56" s="16" t="n"/>
    </row>
    <row r="57">
      <c r="A57" s="16" t="n"/>
      <c r="B57" s="17" t="n"/>
      <c r="C57" s="17" t="n"/>
      <c r="D57" s="16" t="n"/>
      <c r="E57" s="16" t="n"/>
      <c r="F57" s="16" t="n"/>
      <c r="G57" s="16" t="n"/>
      <c r="H57" s="16" t="n"/>
      <c r="I57" s="16" t="n"/>
    </row>
    <row r="58">
      <c r="A58" s="16" t="n"/>
      <c r="B58" s="17" t="n"/>
      <c r="C58" s="17" t="n"/>
      <c r="D58" s="16" t="n"/>
      <c r="E58" s="16" t="n"/>
      <c r="F58" s="16" t="n"/>
      <c r="G58" s="16" t="n"/>
      <c r="H58" s="16" t="n"/>
      <c r="I58" s="16" t="n"/>
    </row>
    <row r="59">
      <c r="A59" s="16" t="n"/>
      <c r="B59" s="17" t="n"/>
      <c r="C59" s="17" t="n"/>
      <c r="D59" s="16" t="n"/>
      <c r="E59" s="16" t="n"/>
      <c r="F59" s="16" t="n"/>
      <c r="G59" s="16" t="n"/>
      <c r="H59" s="16" t="n"/>
      <c r="I59" s="16" t="n"/>
    </row>
    <row r="60">
      <c r="A60" s="16" t="n"/>
      <c r="B60" s="17" t="n"/>
      <c r="C60" s="17" t="n"/>
      <c r="D60" s="16" t="n"/>
      <c r="E60" s="16" t="n"/>
      <c r="F60" s="16" t="n"/>
      <c r="G60" s="16" t="n"/>
      <c r="H60" s="16" t="n"/>
      <c r="I60" s="16" t="n"/>
    </row>
    <row r="61">
      <c r="A61" s="16" t="n"/>
      <c r="B61" s="17" t="n"/>
      <c r="C61" s="17" t="n"/>
      <c r="D61" s="16" t="n"/>
      <c r="E61" s="16" t="n"/>
      <c r="F61" s="16" t="n"/>
      <c r="G61" s="16" t="n"/>
      <c r="H61" s="16" t="n"/>
      <c r="I61" s="16" t="n"/>
    </row>
    <row r="62">
      <c r="A62" s="16" t="n"/>
      <c r="B62" s="17" t="n"/>
      <c r="C62" s="17" t="n"/>
      <c r="D62" s="16" t="n"/>
      <c r="E62" s="16" t="n"/>
      <c r="F62" s="16" t="n"/>
      <c r="G62" s="16" t="n"/>
      <c r="H62" s="16" t="n"/>
      <c r="I62" s="16" t="n"/>
    </row>
    <row r="63">
      <c r="A63" s="16" t="n"/>
      <c r="B63" s="17" t="n"/>
      <c r="C63" s="17" t="n"/>
      <c r="D63" s="16" t="n"/>
      <c r="E63" s="16" t="n"/>
      <c r="F63" s="16" t="n"/>
      <c r="G63" s="16" t="n"/>
      <c r="H63" s="16" t="n"/>
      <c r="I63" s="16" t="n"/>
    </row>
    <row r="64">
      <c r="A64" s="16" t="n"/>
      <c r="B64" s="17" t="n"/>
      <c r="C64" s="17" t="n"/>
      <c r="D64" s="16" t="n"/>
      <c r="E64" s="16" t="n"/>
      <c r="F64" s="16" t="n"/>
      <c r="G64" s="16" t="n"/>
      <c r="H64" s="16" t="n"/>
      <c r="I64" s="16" t="n"/>
    </row>
    <row r="65">
      <c r="A65" s="16" t="n"/>
      <c r="B65" s="17" t="n"/>
      <c r="C65" s="17" t="n"/>
      <c r="D65" s="16" t="n"/>
      <c r="E65" s="16" t="n"/>
      <c r="F65" s="16" t="n"/>
      <c r="G65" s="16" t="n"/>
      <c r="H65" s="16" t="n"/>
      <c r="I65" s="16" t="n"/>
    </row>
    <row r="66">
      <c r="A66" s="16" t="n"/>
      <c r="B66" s="17" t="n"/>
      <c r="C66" s="17" t="n"/>
      <c r="D66" s="16" t="n"/>
      <c r="E66" s="16" t="n"/>
      <c r="F66" s="16" t="n"/>
      <c r="G66" s="16" t="n"/>
      <c r="H66" s="16" t="n"/>
      <c r="I66" s="16" t="n"/>
    </row>
  </sheetData>
  <mergeCells count="4">
    <mergeCell ref="A14:I14"/>
    <mergeCell ref="A2:G2"/>
    <mergeCell ref="A1:G1"/>
    <mergeCell ref="A4:G4"/>
  </mergeCells>
  <dataValidations count="6">
    <dataValidation sqref="D6 D7 D8 D9 D10 D11" showDropDown="0" showInputMessage="0" showErrorMessage="0" allowBlank="0" type="list">
      <formula1>"Yes,No"</formula1>
    </dataValidation>
    <dataValidation sqref="F6 F7 F8 F9 F10 F11 H16 H17 H18 H19 H20 H21 H22 H23 H24 H25 H26 H27 H28 H29 H30 H31 H32 H33 H34 H35 H36 H37 H38 H39 H40 H41 H42 H43 H44 H45 H46 H47 H48 H49 H50 H51 H52 H53 H54 H55 H56 H57 H58 H59 H60 H61 H62 H63 H64 H65 H66" showDropDown="0" showInputMessage="0" showErrorMessage="0" allowBlank="0" type="list">
      <formula1>"✅ Defined,⚠ Partial,❌ Not Defined, Planned,N/A"</formula1>
    </dataValidation>
    <dataValidation sqref="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 Yes,❌ No,⚠ Case-by-Case,N/A"</formula1>
    </dataValidation>
    <dataValidation sqref="C6 C7 C8 C9 C10 C11" showDropDown="0" showInputMessage="0" showErrorMessage="0" allowBlank="0" type="list">
      <formula1>"All,Standard Only,Normal Only,Emergency Only,Custom"</formula1>
    </dataValidation>
    <dataValidation sqref="D16 D17 D18 D19 D20 D21 D22 D23 D24 D25 D26 D27 D28 D29 D30 D31 D32 D33 D34 D35 D36 D37 D38 D39 D40 D41 D42 D43 D44 D45 D46 D47 D48 D49 D50 D51 D52 D53 D54 D55 D56 D57 D58 D59 D60 D61 D62 D63 D64 D65 D66" showDropDown="0" showInputMessage="0" showErrorMessage="0" allowBlank="0" type="list">
      <formula1>"Financial Close,Holiday Period,Peak Business,Audit,Other"</formula1>
    </dataValidation>
    <dataValidation sqref="G6 G7 G8 G9 G10 G11 I16 I17 I18 I19 I20 I21 I22 I23 I24 I25 I26 I27 I28 I29 I30 I31 I32 I33 I34 I35 I36 I37 I38 I39 I40 I41 I42 I43 I44 I45 I46 I47 I48 I49 I50 I51 I52 I53 I54 I55 I56 I57 I58 I59 I60 I61 I62 I63 I64 I65 I6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
  <sheetViews>
    <sheetView showGridLines="0"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8" customWidth="1" min="7" max="7"/>
    <col width="25" customWidth="1" min="8" max="8"/>
  </cols>
  <sheetData>
    <row r="1" ht="35" customHeight="1">
      <c r="A1" s="11" t="inlineStr">
        <is>
          <t>CHANGE CLASSIFICATION METRICS</t>
        </is>
      </c>
    </row>
    <row r="2">
      <c r="A2" s="12" t="inlineStr">
        <is>
          <t>Track metrics related to change type distribution and classification accuracy</t>
        </is>
      </c>
    </row>
    <row r="4">
      <c r="A4" s="12" t="inlineStr">
        <is>
          <t>CHANGE TYPE DISTRIBUTION METRICS</t>
        </is>
      </c>
    </row>
    <row r="5">
      <c r="A5" s="13" t="inlineStr">
        <is>
          <t>Metric</t>
        </is>
      </c>
      <c r="B5" s="13" t="inlineStr">
        <is>
          <t>Target</t>
        </is>
      </c>
      <c r="C5" s="13" t="inlineStr">
        <is>
          <t>Current</t>
        </is>
      </c>
      <c r="D5" s="13" t="inlineStr">
        <is>
          <t>Period</t>
        </is>
      </c>
      <c r="E5" s="13" t="inlineStr">
        <is>
          <t>Trend</t>
        </is>
      </c>
      <c r="F5" s="13" t="inlineStr">
        <is>
          <t>Status</t>
        </is>
      </c>
      <c r="G5" s="13" t="inlineStr">
        <is>
          <t>Owner</t>
        </is>
      </c>
      <c r="H5" s="13" t="inlineStr">
        <is>
          <t>Notes</t>
        </is>
      </c>
    </row>
    <row r="6">
      <c r="A6" t="inlineStr">
        <is>
          <t>Standard Changes %</t>
        </is>
      </c>
      <c r="B6" t="inlineStr">
        <is>
          <t>&gt;60%</t>
        </is>
      </c>
      <c r="C6" s="24" t="inlineStr"/>
      <c r="D6" s="24" t="inlineStr">
        <is>
          <t>Monthly</t>
        </is>
      </c>
      <c r="E6" s="24" t="inlineStr"/>
      <c r="F6" s="24" t="inlineStr"/>
      <c r="G6" s="24" t="inlineStr"/>
      <c r="H6" s="24" t="inlineStr"/>
    </row>
    <row r="7">
      <c r="A7" t="inlineStr">
        <is>
          <t>Normal Changes %</t>
        </is>
      </c>
      <c r="B7" t="inlineStr">
        <is>
          <t>25-35%</t>
        </is>
      </c>
      <c r="C7" s="24" t="inlineStr"/>
      <c r="D7" s="24" t="inlineStr">
        <is>
          <t>Monthly</t>
        </is>
      </c>
      <c r="E7" s="24" t="inlineStr"/>
      <c r="F7" s="24" t="inlineStr"/>
      <c r="G7" s="24" t="inlineStr"/>
      <c r="H7" s="24" t="inlineStr"/>
    </row>
    <row r="8">
      <c r="A8" t="inlineStr">
        <is>
          <t>Emergency Changes %</t>
        </is>
      </c>
      <c r="B8" t="inlineStr">
        <is>
          <t>&lt;5%</t>
        </is>
      </c>
      <c r="C8" s="24" t="inlineStr"/>
      <c r="D8" s="24" t="inlineStr">
        <is>
          <t>Monthly</t>
        </is>
      </c>
      <c r="E8" s="24" t="inlineStr"/>
      <c r="F8" s="24" t="inlineStr"/>
      <c r="G8" s="24" t="inlineStr"/>
      <c r="H8" s="24" t="inlineStr"/>
    </row>
    <row r="9">
      <c r="A9" t="inlineStr">
        <is>
          <t>Classification Accuracy</t>
        </is>
      </c>
      <c r="B9" t="inlineStr">
        <is>
          <t>&gt;95%</t>
        </is>
      </c>
      <c r="C9" s="24" t="inlineStr"/>
      <c r="D9" s="24" t="inlineStr">
        <is>
          <t>Monthly</t>
        </is>
      </c>
      <c r="E9" s="24" t="inlineStr"/>
      <c r="F9" s="24" t="inlineStr"/>
      <c r="G9" s="24" t="inlineStr"/>
      <c r="H9" s="24" t="inlineStr"/>
    </row>
    <row r="10">
      <c r="A10" t="inlineStr">
        <is>
          <t>Re-Classification Rate</t>
        </is>
      </c>
      <c r="B10" t="inlineStr">
        <is>
          <t>&lt;2%</t>
        </is>
      </c>
      <c r="C10" s="24" t="inlineStr"/>
      <c r="D10" s="24" t="inlineStr">
        <is>
          <t>Monthly</t>
        </is>
      </c>
      <c r="E10" s="24" t="inlineStr"/>
      <c r="F10" s="24" t="inlineStr"/>
      <c r="G10" s="24" t="inlineStr"/>
      <c r="H10" s="24" t="inlineStr"/>
    </row>
    <row r="11">
      <c r="A11" t="inlineStr">
        <is>
          <t>Standard Catalog Utilization</t>
        </is>
      </c>
      <c r="B11" t="inlineStr">
        <is>
          <t>&gt;80%</t>
        </is>
      </c>
      <c r="C11" s="24" t="inlineStr"/>
      <c r="D11" s="24" t="inlineStr">
        <is>
          <t>Monthly</t>
        </is>
      </c>
      <c r="E11" s="24" t="inlineStr"/>
      <c r="F11" s="24" t="inlineStr"/>
      <c r="G11" s="24" t="inlineStr"/>
      <c r="H11" s="24" t="inlineStr"/>
    </row>
    <row r="14">
      <c r="A14" s="12" t="inlineStr">
        <is>
          <t>CLASSIFICATION ACCURACY TRACKING</t>
        </is>
      </c>
    </row>
    <row r="15">
      <c r="A15" s="13" t="inlineStr">
        <is>
          <t>Period</t>
        </is>
      </c>
      <c r="B15" s="13" t="inlineStr">
        <is>
          <t>Total Changes</t>
        </is>
      </c>
      <c r="C15" s="13" t="inlineStr">
        <is>
          <t>Correctly Classified</t>
        </is>
      </c>
      <c r="D15" s="13" t="inlineStr">
        <is>
          <t>Misclassified</t>
        </is>
      </c>
      <c r="E15" s="13" t="inlineStr">
        <is>
          <t>Accuracy %</t>
        </is>
      </c>
      <c r="F15" s="13" t="inlineStr">
        <is>
          <t>Review Date</t>
        </is>
      </c>
      <c r="G15" s="13" t="inlineStr">
        <is>
          <t>Reviewer</t>
        </is>
      </c>
    </row>
    <row r="16">
      <c r="A16" s="24" t="inlineStr">
        <is>
          <t>2025 Q4</t>
        </is>
      </c>
      <c r="B16" s="24" t="inlineStr">
        <is>
          <t>142</t>
        </is>
      </c>
      <c r="C16" s="24" t="inlineStr">
        <is>
          <t>139</t>
        </is>
      </c>
      <c r="D16" s="24" t="inlineStr">
        <is>
          <t>3</t>
        </is>
      </c>
      <c r="E16" s="24" t="inlineStr">
        <is>
          <t>97.9%</t>
        </is>
      </c>
      <c r="F16" s="24" t="inlineStr">
        <is>
          <t>15.01.2026</t>
        </is>
      </c>
      <c r="G16" s="24" t="inlineStr">
        <is>
          <t>Change Manager</t>
        </is>
      </c>
    </row>
    <row r="17">
      <c r="A17" s="24" t="n"/>
      <c r="B17" s="24" t="n"/>
      <c r="C17" s="24" t="n"/>
      <c r="D17" s="24" t="n"/>
      <c r="E17" s="24" t="n"/>
      <c r="F17" s="24" t="n"/>
      <c r="G17" s="24" t="n"/>
    </row>
    <row r="18">
      <c r="A18" s="24" t="n"/>
      <c r="B18" s="24" t="n"/>
      <c r="C18" s="24" t="n"/>
      <c r="D18" s="24" t="n"/>
      <c r="E18" s="24" t="n"/>
      <c r="F18" s="24" t="n"/>
      <c r="G18" s="24" t="n"/>
    </row>
    <row r="19">
      <c r="A19" s="24" t="n"/>
      <c r="B19" s="24" t="n"/>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2">
      <c r="A22" s="24" t="n"/>
      <c r="B22" s="24" t="n"/>
      <c r="C22" s="24" t="n"/>
      <c r="D22" s="24" t="n"/>
      <c r="E22" s="24" t="n"/>
      <c r="F22" s="24" t="n"/>
      <c r="G22" s="24" t="n"/>
    </row>
    <row r="23">
      <c r="A23" s="24" t="n"/>
      <c r="B23" s="24" t="n"/>
      <c r="C23" s="24" t="n"/>
      <c r="D23" s="24" t="n"/>
      <c r="E23" s="24" t="n"/>
      <c r="F23" s="24" t="n"/>
      <c r="G23" s="24" t="n"/>
    </row>
    <row r="24">
      <c r="A24" s="24" t="n"/>
      <c r="B24" s="24" t="n"/>
      <c r="C24" s="24" t="n"/>
      <c r="D24" s="24" t="n"/>
      <c r="E24" s="24" t="n"/>
      <c r="F24" s="24" t="n"/>
      <c r="G24" s="24" t="n"/>
    </row>
    <row r="25">
      <c r="A25" s="24" t="n"/>
      <c r="B25" s="24" t="n"/>
      <c r="C25" s="24" t="n"/>
      <c r="D25" s="24" t="n"/>
      <c r="E25" s="24" t="n"/>
      <c r="F25" s="24" t="n"/>
      <c r="G25" s="24" t="n"/>
    </row>
    <row r="26">
      <c r="A26" s="24" t="n"/>
      <c r="B26" s="24" t="n"/>
      <c r="C26" s="24" t="n"/>
      <c r="D26" s="24" t="n"/>
      <c r="E26" s="24" t="n"/>
      <c r="F26" s="24" t="n"/>
      <c r="G26" s="24" t="n"/>
    </row>
    <row r="27">
      <c r="A27" s="24" t="n"/>
      <c r="B27" s="24" t="n"/>
      <c r="C27" s="24" t="n"/>
      <c r="D27" s="24" t="n"/>
      <c r="E27" s="24" t="n"/>
      <c r="F27" s="24" t="n"/>
      <c r="G27" s="24" t="n"/>
    </row>
    <row r="28">
      <c r="A28" s="24" t="n"/>
      <c r="B28" s="24" t="n"/>
      <c r="C28" s="24" t="n"/>
      <c r="D28" s="24" t="n"/>
      <c r="E28" s="24" t="n"/>
      <c r="F28" s="24" t="n"/>
      <c r="G28" s="24" t="n"/>
    </row>
    <row r="29">
      <c r="A29" s="24" t="n"/>
      <c r="B29" s="24" t="n"/>
      <c r="C29" s="24" t="n"/>
      <c r="D29" s="24" t="n"/>
      <c r="E29" s="24" t="n"/>
      <c r="F29" s="24" t="n"/>
      <c r="G29" s="24" t="n"/>
    </row>
    <row r="30">
      <c r="A30" s="24" t="n"/>
      <c r="B30" s="24" t="n"/>
      <c r="C30" s="24" t="n"/>
      <c r="D30" s="24" t="n"/>
      <c r="E30" s="24" t="n"/>
      <c r="F30" s="24" t="n"/>
      <c r="G30" s="24" t="n"/>
    </row>
    <row r="31">
      <c r="A31" s="24" t="n"/>
      <c r="B31" s="24" t="n"/>
      <c r="C31" s="24" t="n"/>
      <c r="D31" s="24" t="n"/>
      <c r="E31" s="24" t="n"/>
      <c r="F31" s="24" t="n"/>
      <c r="G31" s="24" t="n"/>
    </row>
    <row r="32">
      <c r="A32" s="24" t="n"/>
      <c r="B32" s="24" t="n"/>
      <c r="C32" s="24" t="n"/>
      <c r="D32" s="24" t="n"/>
      <c r="E32" s="24" t="n"/>
      <c r="F32" s="24" t="n"/>
      <c r="G32" s="24" t="n"/>
    </row>
    <row r="33">
      <c r="A33" s="24" t="n"/>
      <c r="B33" s="24" t="n"/>
      <c r="C33" s="24" t="n"/>
      <c r="D33" s="24" t="n"/>
      <c r="E33" s="24" t="n"/>
      <c r="F33" s="24" t="n"/>
      <c r="G33" s="24" t="n"/>
    </row>
    <row r="34">
      <c r="A34" s="24" t="n"/>
      <c r="B34" s="24" t="n"/>
      <c r="C34" s="24" t="n"/>
      <c r="D34" s="24" t="n"/>
      <c r="E34" s="24" t="n"/>
      <c r="F34" s="24" t="n"/>
      <c r="G34" s="24" t="n"/>
    </row>
    <row r="35">
      <c r="A35" s="24" t="n"/>
      <c r="B35" s="24" t="n"/>
      <c r="C35" s="24" t="n"/>
      <c r="D35" s="24" t="n"/>
      <c r="E35" s="24" t="n"/>
      <c r="F35" s="24" t="n"/>
      <c r="G35" s="24" t="n"/>
    </row>
    <row r="36">
      <c r="A36" s="24" t="n"/>
      <c r="B36" s="24" t="n"/>
      <c r="C36" s="24" t="n"/>
      <c r="D36" s="24" t="n"/>
      <c r="E36" s="24" t="n"/>
      <c r="F36" s="24" t="n"/>
      <c r="G36" s="24" t="n"/>
    </row>
    <row r="37">
      <c r="A37" s="24" t="n"/>
      <c r="B37" s="24" t="n"/>
      <c r="C37" s="24" t="n"/>
      <c r="D37" s="24" t="n"/>
      <c r="E37" s="24" t="n"/>
      <c r="F37" s="24" t="n"/>
      <c r="G37" s="24" t="n"/>
    </row>
    <row r="38">
      <c r="A38" s="24" t="n"/>
      <c r="B38" s="24" t="n"/>
      <c r="C38" s="24" t="n"/>
      <c r="D38" s="24" t="n"/>
      <c r="E38" s="24" t="n"/>
      <c r="F38" s="24" t="n"/>
      <c r="G38" s="24" t="n"/>
    </row>
    <row r="39">
      <c r="A39" s="24" t="n"/>
      <c r="B39" s="24" t="n"/>
      <c r="C39" s="24" t="n"/>
      <c r="D39" s="24" t="n"/>
      <c r="E39" s="24" t="n"/>
      <c r="F39" s="24" t="n"/>
      <c r="G39" s="24" t="n"/>
    </row>
    <row r="40">
      <c r="A40" s="24" t="n"/>
      <c r="B40" s="24" t="n"/>
      <c r="C40" s="24" t="n"/>
      <c r="D40" s="24" t="n"/>
      <c r="E40" s="24" t="n"/>
      <c r="F40" s="24" t="n"/>
      <c r="G40" s="24" t="n"/>
    </row>
    <row r="41">
      <c r="A41" s="24" t="n"/>
      <c r="B41" s="24" t="n"/>
      <c r="C41" s="24" t="n"/>
      <c r="D41" s="24" t="n"/>
      <c r="E41" s="24" t="n"/>
      <c r="F41" s="24" t="n"/>
      <c r="G41" s="24" t="n"/>
    </row>
    <row r="42">
      <c r="A42" s="24" t="n"/>
      <c r="B42" s="24" t="n"/>
      <c r="C42" s="24" t="n"/>
      <c r="D42" s="24" t="n"/>
      <c r="E42" s="24" t="n"/>
      <c r="F42" s="24" t="n"/>
      <c r="G42" s="24" t="n"/>
    </row>
    <row r="43">
      <c r="A43" s="24" t="n"/>
      <c r="B43" s="24" t="n"/>
      <c r="C43" s="24" t="n"/>
      <c r="D43" s="24" t="n"/>
      <c r="E43" s="24" t="n"/>
      <c r="F43" s="24" t="n"/>
      <c r="G43" s="24" t="n"/>
    </row>
    <row r="44">
      <c r="A44" s="24" t="n"/>
      <c r="B44" s="24" t="n"/>
      <c r="C44" s="24" t="n"/>
      <c r="D44" s="24" t="n"/>
      <c r="E44" s="24" t="n"/>
      <c r="F44" s="24" t="n"/>
      <c r="G44" s="24" t="n"/>
    </row>
    <row r="45">
      <c r="A45" s="24" t="n"/>
      <c r="B45" s="24" t="n"/>
      <c r="C45" s="24" t="n"/>
      <c r="D45" s="24" t="n"/>
      <c r="E45" s="24" t="n"/>
      <c r="F45" s="24" t="n"/>
      <c r="G45" s="24" t="n"/>
    </row>
    <row r="46">
      <c r="A46" s="24" t="n"/>
      <c r="B46" s="24" t="n"/>
      <c r="C46" s="24" t="n"/>
      <c r="D46" s="24" t="n"/>
      <c r="E46" s="24" t="n"/>
      <c r="F46" s="24" t="n"/>
      <c r="G46" s="24" t="n"/>
    </row>
    <row r="47">
      <c r="A47" s="24" t="n"/>
      <c r="B47" s="24" t="n"/>
      <c r="C47" s="24" t="n"/>
      <c r="D47" s="24" t="n"/>
      <c r="E47" s="24" t="n"/>
      <c r="F47" s="24" t="n"/>
      <c r="G47" s="24" t="n"/>
    </row>
    <row r="48">
      <c r="A48" s="24" t="n"/>
      <c r="B48" s="24" t="n"/>
      <c r="C48" s="24" t="n"/>
      <c r="D48" s="24" t="n"/>
      <c r="E48" s="24" t="n"/>
      <c r="F48" s="24" t="n"/>
      <c r="G48" s="24" t="n"/>
    </row>
    <row r="49">
      <c r="A49" s="24" t="n"/>
      <c r="B49" s="24" t="n"/>
      <c r="C49" s="24" t="n"/>
      <c r="D49" s="24" t="n"/>
      <c r="E49" s="24" t="n"/>
      <c r="F49" s="24" t="n"/>
      <c r="G49" s="24" t="n"/>
    </row>
    <row r="50">
      <c r="A50" s="24" t="n"/>
      <c r="B50" s="24" t="n"/>
      <c r="C50" s="24" t="n"/>
      <c r="D50" s="24" t="n"/>
      <c r="E50" s="24" t="n"/>
      <c r="F50" s="24" t="n"/>
      <c r="G50" s="24" t="n"/>
    </row>
    <row r="51">
      <c r="A51" s="24" t="n"/>
      <c r="B51" s="24" t="n"/>
      <c r="C51" s="24" t="n"/>
      <c r="D51" s="24" t="n"/>
      <c r="E51" s="24" t="n"/>
      <c r="F51" s="24" t="n"/>
      <c r="G51" s="24" t="n"/>
    </row>
    <row r="52">
      <c r="A52" s="24" t="n"/>
      <c r="B52" s="24" t="n"/>
      <c r="C52" s="24" t="n"/>
      <c r="D52" s="24" t="n"/>
      <c r="E52" s="24" t="n"/>
      <c r="F52" s="24" t="n"/>
      <c r="G52" s="24" t="n"/>
    </row>
    <row r="53">
      <c r="A53" s="24" t="n"/>
      <c r="B53" s="24" t="n"/>
      <c r="C53" s="24" t="n"/>
      <c r="D53" s="24" t="n"/>
      <c r="E53" s="24" t="n"/>
      <c r="F53" s="24" t="n"/>
      <c r="G53" s="24" t="n"/>
    </row>
    <row r="54">
      <c r="A54" s="24" t="n"/>
      <c r="B54" s="24" t="n"/>
      <c r="C54" s="24" t="n"/>
      <c r="D54" s="24" t="n"/>
      <c r="E54" s="24" t="n"/>
      <c r="F54" s="24" t="n"/>
      <c r="G54" s="24" t="n"/>
    </row>
    <row r="55">
      <c r="A55" s="24" t="n"/>
      <c r="B55" s="24" t="n"/>
      <c r="C55" s="24" t="n"/>
      <c r="D55" s="24" t="n"/>
      <c r="E55" s="24" t="n"/>
      <c r="F55" s="24" t="n"/>
      <c r="G55" s="24" t="n"/>
    </row>
    <row r="56">
      <c r="A56" s="24" t="n"/>
      <c r="B56" s="24" t="n"/>
      <c r="C56" s="24" t="n"/>
      <c r="D56" s="24" t="n"/>
      <c r="E56" s="24" t="n"/>
      <c r="F56" s="24" t="n"/>
      <c r="G56" s="24" t="n"/>
    </row>
    <row r="57">
      <c r="A57" s="24" t="n"/>
      <c r="B57" s="24" t="n"/>
      <c r="C57" s="24" t="n"/>
      <c r="D57" s="24" t="n"/>
      <c r="E57" s="24" t="n"/>
      <c r="F57" s="24" t="n"/>
      <c r="G57" s="24" t="n"/>
    </row>
    <row r="58">
      <c r="A58" s="24" t="n"/>
      <c r="B58" s="24" t="n"/>
      <c r="C58" s="24" t="n"/>
      <c r="D58" s="24" t="n"/>
      <c r="E58" s="24" t="n"/>
      <c r="F58" s="24" t="n"/>
      <c r="G58" s="24" t="n"/>
    </row>
    <row r="59">
      <c r="A59" s="24" t="n"/>
      <c r="B59" s="24" t="n"/>
      <c r="C59" s="24" t="n"/>
      <c r="D59" s="24" t="n"/>
      <c r="E59" s="24" t="n"/>
      <c r="F59" s="24" t="n"/>
      <c r="G59" s="24" t="n"/>
    </row>
    <row r="60">
      <c r="A60" s="24" t="n"/>
      <c r="B60" s="24" t="n"/>
      <c r="C60" s="24" t="n"/>
      <c r="D60" s="24" t="n"/>
      <c r="E60" s="24" t="n"/>
      <c r="F60" s="24" t="n"/>
      <c r="G60" s="24" t="n"/>
    </row>
    <row r="61">
      <c r="A61" s="24" t="n"/>
      <c r="B61" s="24" t="n"/>
      <c r="C61" s="24" t="n"/>
      <c r="D61" s="24" t="n"/>
      <c r="E61" s="24" t="n"/>
      <c r="F61" s="24" t="n"/>
      <c r="G61" s="24" t="n"/>
    </row>
    <row r="62">
      <c r="A62" s="24" t="n"/>
      <c r="B62" s="24" t="n"/>
      <c r="C62" s="24" t="n"/>
      <c r="D62" s="24" t="n"/>
      <c r="E62" s="24" t="n"/>
      <c r="F62" s="24" t="n"/>
      <c r="G62" s="24" t="n"/>
    </row>
    <row r="63">
      <c r="A63" s="24" t="n"/>
      <c r="B63" s="24" t="n"/>
      <c r="C63" s="24" t="n"/>
      <c r="D63" s="24" t="n"/>
      <c r="E63" s="24" t="n"/>
      <c r="F63" s="24" t="n"/>
      <c r="G63" s="24" t="n"/>
    </row>
    <row r="64">
      <c r="A64" s="24" t="n"/>
      <c r="B64" s="24" t="n"/>
      <c r="C64" s="24" t="n"/>
      <c r="D64" s="24" t="n"/>
      <c r="E64" s="24" t="n"/>
      <c r="F64" s="24" t="n"/>
      <c r="G64" s="24" t="n"/>
    </row>
    <row r="65">
      <c r="A65" s="24" t="n"/>
      <c r="B65" s="24" t="n"/>
      <c r="C65" s="24" t="n"/>
      <c r="D65" s="24" t="n"/>
      <c r="E65" s="24" t="n"/>
      <c r="F65" s="24" t="n"/>
      <c r="G65" s="24" t="n"/>
    </row>
    <row r="66">
      <c r="A66" s="24" t="n"/>
      <c r="B66" s="24" t="n"/>
      <c r="C66" s="24" t="n"/>
      <c r="D66" s="24" t="n"/>
      <c r="E66" s="24" t="n"/>
      <c r="F66" s="24" t="n"/>
      <c r="G66" s="24" t="n"/>
    </row>
  </sheetData>
  <mergeCells count="4">
    <mergeCell ref="A4:H4"/>
    <mergeCell ref="A14:G1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Document all evidence collected during this assessment</t>
        </is>
      </c>
    </row>
    <row r="4">
      <c r="A4" s="27" t="inlineStr">
        <is>
          <t>Evidence ID</t>
        </is>
      </c>
      <c r="B4" s="27" t="inlineStr">
        <is>
          <t>Assessment Area</t>
        </is>
      </c>
      <c r="C4" s="27" t="inlineStr">
        <is>
          <t>Evidence Type</t>
        </is>
      </c>
      <c r="D4" s="27" t="inlineStr">
        <is>
          <t>Description</t>
        </is>
      </c>
      <c r="E4" s="27" t="inlineStr">
        <is>
          <t>Location / Path</t>
        </is>
      </c>
      <c r="F4" s="27" t="inlineStr">
        <is>
          <t>Date Collected</t>
        </is>
      </c>
      <c r="G4" s="27" t="inlineStr">
        <is>
          <t>Collected By</t>
        </is>
      </c>
      <c r="H4" s="27" t="inlineStr">
        <is>
          <t>Verification Status</t>
        </is>
      </c>
    </row>
    <row r="5">
      <c r="A5" s="28" t="inlineStr">
        <is>
          <t>EV-001</t>
        </is>
      </c>
      <c r="B5" s="29" t="inlineStr">
        <is>
          <t>Change Types Assessment</t>
        </is>
      </c>
      <c r="C5" s="29" t="inlineStr">
        <is>
          <t>System Screenshot</t>
        </is>
      </c>
      <c r="D5" s="29" t="inlineStr">
        <is>
          <t>Standard change catalog export from ITSM tool</t>
        </is>
      </c>
      <c r="E5" s="29" t="inlineStr">
        <is>
          <t>\\fileserver\evidence\std_change_catalog_20260115.xlsx</t>
        </is>
      </c>
      <c r="F5" s="29" t="inlineStr">
        <is>
          <t>15.01.2026</t>
        </is>
      </c>
      <c r="G5" s="29" t="inlineStr">
        <is>
          <t>Change Administrator</t>
        </is>
      </c>
      <c r="H5" s="29" t="inlineStr">
        <is>
          <t>✅ Verified</t>
        </is>
      </c>
    </row>
    <row r="6">
      <c r="A6" s="30" t="n"/>
      <c r="B6" s="24" t="n"/>
      <c r="C6" s="24" t="n"/>
      <c r="D6" s="24" t="n"/>
      <c r="E6" s="24" t="n"/>
      <c r="F6" s="24" t="n"/>
      <c r="G6" s="24" t="n"/>
      <c r="H6" s="24" t="n"/>
    </row>
    <row r="7">
      <c r="A7" s="30" t="n"/>
      <c r="B7" s="24" t="n"/>
      <c r="C7" s="24" t="n"/>
      <c r="D7" s="24" t="n"/>
      <c r="E7" s="24" t="n"/>
      <c r="F7" s="24" t="n"/>
      <c r="G7" s="24" t="n"/>
      <c r="H7" s="24" t="n"/>
    </row>
    <row r="8">
      <c r="A8" s="30" t="n"/>
      <c r="B8" s="24" t="n"/>
      <c r="C8" s="24" t="n"/>
      <c r="D8" s="24" t="n"/>
      <c r="E8" s="24" t="n"/>
      <c r="F8" s="24" t="n"/>
      <c r="G8" s="24" t="n"/>
      <c r="H8" s="24" t="n"/>
    </row>
    <row r="9">
      <c r="A9" s="30" t="n"/>
      <c r="B9" s="24" t="n"/>
      <c r="C9" s="24" t="n"/>
      <c r="D9" s="24" t="n"/>
      <c r="E9" s="24" t="n"/>
      <c r="F9" s="24" t="n"/>
      <c r="G9" s="24" t="n"/>
      <c r="H9" s="24" t="n"/>
    </row>
    <row r="10">
      <c r="A10" s="30" t="n"/>
      <c r="B10" s="24" t="n"/>
      <c r="C10" s="24" t="n"/>
      <c r="D10" s="24" t="n"/>
      <c r="E10" s="24" t="n"/>
      <c r="F10" s="24" t="n"/>
      <c r="G10" s="24" t="n"/>
      <c r="H10" s="24" t="n"/>
    </row>
    <row r="11">
      <c r="A11" s="30" t="n"/>
      <c r="B11" s="24" t="n"/>
      <c r="C11" s="24" t="n"/>
      <c r="D11" s="24" t="n"/>
      <c r="E11" s="24" t="n"/>
      <c r="F11" s="24" t="n"/>
      <c r="G11" s="24" t="n"/>
      <c r="H11" s="24" t="n"/>
    </row>
    <row r="12">
      <c r="A12" s="30" t="n"/>
      <c r="B12" s="24" t="n"/>
      <c r="C12" s="24" t="n"/>
      <c r="D12" s="24" t="n"/>
      <c r="E12" s="24" t="n"/>
      <c r="F12" s="24" t="n"/>
      <c r="G12" s="24" t="n"/>
      <c r="H12" s="24" t="n"/>
    </row>
    <row r="13">
      <c r="A13" s="30" t="n"/>
      <c r="B13" s="24" t="n"/>
      <c r="C13" s="24" t="n"/>
      <c r="D13" s="24" t="n"/>
      <c r="E13" s="24" t="n"/>
      <c r="F13" s="24" t="n"/>
      <c r="G13" s="24" t="n"/>
      <c r="H13" s="24" t="n"/>
    </row>
    <row r="14">
      <c r="A14" s="30" t="n"/>
      <c r="B14" s="24" t="n"/>
      <c r="C14" s="24" t="n"/>
      <c r="D14" s="24" t="n"/>
      <c r="E14" s="24" t="n"/>
      <c r="F14" s="24" t="n"/>
      <c r="G14" s="24" t="n"/>
      <c r="H14" s="24" t="n"/>
    </row>
    <row r="15">
      <c r="A15" s="30" t="n"/>
      <c r="B15" s="24" t="n"/>
      <c r="C15" s="24" t="n"/>
      <c r="D15" s="24" t="n"/>
      <c r="E15" s="24" t="n"/>
      <c r="F15" s="24" t="n"/>
      <c r="G15" s="24" t="n"/>
      <c r="H15" s="24" t="n"/>
    </row>
    <row r="16">
      <c r="A16" s="30" t="n"/>
      <c r="B16" s="24" t="n"/>
      <c r="C16" s="24" t="n"/>
      <c r="D16" s="24" t="n"/>
      <c r="E16" s="24" t="n"/>
      <c r="F16" s="24" t="n"/>
      <c r="G16" s="24" t="n"/>
      <c r="H16" s="24" t="n"/>
    </row>
    <row r="17">
      <c r="A17" s="30" t="n"/>
      <c r="B17" s="24" t="n"/>
      <c r="C17" s="24" t="n"/>
      <c r="D17" s="24" t="n"/>
      <c r="E17" s="24" t="n"/>
      <c r="F17" s="24" t="n"/>
      <c r="G17" s="24" t="n"/>
      <c r="H17" s="24" t="n"/>
    </row>
    <row r="18">
      <c r="A18" s="30" t="n"/>
      <c r="B18" s="24" t="n"/>
      <c r="C18" s="24" t="n"/>
      <c r="D18" s="24" t="n"/>
      <c r="E18" s="24" t="n"/>
      <c r="F18" s="24" t="n"/>
      <c r="G18" s="24" t="n"/>
      <c r="H18" s="24" t="n"/>
    </row>
    <row r="19">
      <c r="A19" s="30" t="n"/>
      <c r="B19" s="24" t="n"/>
      <c r="C19" s="24" t="n"/>
      <c r="D19" s="24" t="n"/>
      <c r="E19" s="24" t="n"/>
      <c r="F19" s="24" t="n"/>
      <c r="G19" s="24" t="n"/>
      <c r="H19" s="24" t="n"/>
    </row>
    <row r="20">
      <c r="A20" s="30" t="n"/>
      <c r="B20" s="24" t="n"/>
      <c r="C20" s="24" t="n"/>
      <c r="D20" s="24" t="n"/>
      <c r="E20" s="24" t="n"/>
      <c r="F20" s="24" t="n"/>
      <c r="G20" s="24" t="n"/>
      <c r="H20" s="24" t="n"/>
    </row>
    <row r="21">
      <c r="A21" s="30" t="n"/>
      <c r="B21" s="24" t="n"/>
      <c r="C21" s="24" t="n"/>
      <c r="D21" s="24" t="n"/>
      <c r="E21" s="24" t="n"/>
      <c r="F21" s="24" t="n"/>
      <c r="G21" s="24" t="n"/>
      <c r="H21" s="24" t="n"/>
    </row>
    <row r="22">
      <c r="A22" s="30" t="n"/>
      <c r="B22" s="24" t="n"/>
      <c r="C22" s="24" t="n"/>
      <c r="D22" s="24" t="n"/>
      <c r="E22" s="24" t="n"/>
      <c r="F22" s="24" t="n"/>
      <c r="G22" s="24" t="n"/>
      <c r="H22" s="24" t="n"/>
    </row>
    <row r="23">
      <c r="A23" s="30" t="n"/>
      <c r="B23" s="24" t="n"/>
      <c r="C23" s="24" t="n"/>
      <c r="D23" s="24" t="n"/>
      <c r="E23" s="24" t="n"/>
      <c r="F23" s="24" t="n"/>
      <c r="G23" s="24" t="n"/>
      <c r="H23" s="24" t="n"/>
    </row>
    <row r="24">
      <c r="A24" s="30" t="n"/>
      <c r="B24" s="24" t="n"/>
      <c r="C24" s="24" t="n"/>
      <c r="D24" s="24" t="n"/>
      <c r="E24" s="24" t="n"/>
      <c r="F24" s="24" t="n"/>
      <c r="G24" s="24" t="n"/>
      <c r="H24" s="24" t="n"/>
    </row>
    <row r="25">
      <c r="A25" s="30" t="n"/>
      <c r="B25" s="24" t="n"/>
      <c r="C25" s="24" t="n"/>
      <c r="D25" s="24" t="n"/>
      <c r="E25" s="24" t="n"/>
      <c r="F25" s="24" t="n"/>
      <c r="G25" s="24" t="n"/>
      <c r="H25" s="24" t="n"/>
    </row>
    <row r="26">
      <c r="A26" s="30" t="n"/>
      <c r="B26" s="24" t="n"/>
      <c r="C26" s="24" t="n"/>
      <c r="D26" s="24" t="n"/>
      <c r="E26" s="24" t="n"/>
      <c r="F26" s="24" t="n"/>
      <c r="G26" s="24" t="n"/>
      <c r="H26" s="24" t="n"/>
    </row>
    <row r="27">
      <c r="A27" s="30" t="n"/>
      <c r="B27" s="24" t="n"/>
      <c r="C27" s="24" t="n"/>
      <c r="D27" s="24" t="n"/>
      <c r="E27" s="24" t="n"/>
      <c r="F27" s="24" t="n"/>
      <c r="G27" s="24" t="n"/>
      <c r="H27" s="24" t="n"/>
    </row>
    <row r="28">
      <c r="A28" s="30" t="n"/>
      <c r="B28" s="24" t="n"/>
      <c r="C28" s="24" t="n"/>
      <c r="D28" s="24" t="n"/>
      <c r="E28" s="24" t="n"/>
      <c r="F28" s="24" t="n"/>
      <c r="G28" s="24" t="n"/>
      <c r="H28" s="24" t="n"/>
    </row>
    <row r="29">
      <c r="A29" s="30" t="n"/>
      <c r="B29" s="24" t="n"/>
      <c r="C29" s="24" t="n"/>
      <c r="D29" s="24" t="n"/>
      <c r="E29" s="24" t="n"/>
      <c r="F29" s="24" t="n"/>
      <c r="G29" s="24" t="n"/>
      <c r="H29" s="24" t="n"/>
    </row>
    <row r="30">
      <c r="A30" s="30" t="n"/>
      <c r="B30" s="24" t="n"/>
      <c r="C30" s="24" t="n"/>
      <c r="D30" s="24" t="n"/>
      <c r="E30" s="24" t="n"/>
      <c r="F30" s="24" t="n"/>
      <c r="G30" s="24" t="n"/>
      <c r="H30" s="24" t="n"/>
    </row>
    <row r="31">
      <c r="A31" s="30" t="n"/>
      <c r="B31" s="24" t="n"/>
      <c r="C31" s="24" t="n"/>
      <c r="D31" s="24" t="n"/>
      <c r="E31" s="24" t="n"/>
      <c r="F31" s="24" t="n"/>
      <c r="G31" s="24" t="n"/>
      <c r="H31" s="24" t="n"/>
    </row>
    <row r="32">
      <c r="A32" s="30" t="n"/>
      <c r="B32" s="24" t="n"/>
      <c r="C32" s="24" t="n"/>
      <c r="D32" s="24" t="n"/>
      <c r="E32" s="24" t="n"/>
      <c r="F32" s="24" t="n"/>
      <c r="G32" s="24" t="n"/>
      <c r="H32" s="24" t="n"/>
    </row>
    <row r="33">
      <c r="A33" s="30" t="n"/>
      <c r="B33" s="24" t="n"/>
      <c r="C33" s="24" t="n"/>
      <c r="D33" s="24" t="n"/>
      <c r="E33" s="24" t="n"/>
      <c r="F33" s="24" t="n"/>
      <c r="G33" s="24" t="n"/>
      <c r="H33" s="24" t="n"/>
    </row>
    <row r="34">
      <c r="A34" s="30" t="n"/>
      <c r="B34" s="24" t="n"/>
      <c r="C34" s="24" t="n"/>
      <c r="D34" s="24" t="n"/>
      <c r="E34" s="24" t="n"/>
      <c r="F34" s="24" t="n"/>
      <c r="G34" s="24" t="n"/>
      <c r="H34" s="24" t="n"/>
    </row>
    <row r="35">
      <c r="A35" s="30" t="n"/>
      <c r="B35" s="24" t="n"/>
      <c r="C35" s="24" t="n"/>
      <c r="D35" s="24" t="n"/>
      <c r="E35" s="24" t="n"/>
      <c r="F35" s="24" t="n"/>
      <c r="G35" s="24" t="n"/>
      <c r="H35" s="24" t="n"/>
    </row>
    <row r="36">
      <c r="A36" s="30" t="n"/>
      <c r="B36" s="24" t="n"/>
      <c r="C36" s="24" t="n"/>
      <c r="D36" s="24" t="n"/>
      <c r="E36" s="24" t="n"/>
      <c r="F36" s="24" t="n"/>
      <c r="G36" s="24" t="n"/>
      <c r="H36" s="24" t="n"/>
    </row>
    <row r="37">
      <c r="A37" s="30" t="n"/>
      <c r="B37" s="24" t="n"/>
      <c r="C37" s="24" t="n"/>
      <c r="D37" s="24" t="n"/>
      <c r="E37" s="24" t="n"/>
      <c r="F37" s="24" t="n"/>
      <c r="G37" s="24" t="n"/>
      <c r="H37" s="24" t="n"/>
    </row>
    <row r="38">
      <c r="A38" s="30" t="n"/>
      <c r="B38" s="24" t="n"/>
      <c r="C38" s="24" t="n"/>
      <c r="D38" s="24" t="n"/>
      <c r="E38" s="24" t="n"/>
      <c r="F38" s="24" t="n"/>
      <c r="G38" s="24" t="n"/>
      <c r="H38" s="24" t="n"/>
    </row>
    <row r="39">
      <c r="A39" s="30" t="n"/>
      <c r="B39" s="24" t="n"/>
      <c r="C39" s="24" t="n"/>
      <c r="D39" s="24" t="n"/>
      <c r="E39" s="24" t="n"/>
      <c r="F39" s="24" t="n"/>
      <c r="G39" s="24" t="n"/>
      <c r="H39" s="24" t="n"/>
    </row>
    <row r="40">
      <c r="A40" s="30" t="n"/>
      <c r="B40" s="24" t="n"/>
      <c r="C40" s="24" t="n"/>
      <c r="D40" s="24" t="n"/>
      <c r="E40" s="24" t="n"/>
      <c r="F40" s="24" t="n"/>
      <c r="G40" s="24" t="n"/>
      <c r="H40" s="24" t="n"/>
    </row>
    <row r="41">
      <c r="A41" s="30" t="n"/>
      <c r="B41" s="24" t="n"/>
      <c r="C41" s="24" t="n"/>
      <c r="D41" s="24" t="n"/>
      <c r="E41" s="24" t="n"/>
      <c r="F41" s="24" t="n"/>
      <c r="G41" s="24" t="n"/>
      <c r="H41" s="24" t="n"/>
    </row>
    <row r="42">
      <c r="A42" s="30" t="n"/>
      <c r="B42" s="24" t="n"/>
      <c r="C42" s="24" t="n"/>
      <c r="D42" s="24" t="n"/>
      <c r="E42" s="24" t="n"/>
      <c r="F42" s="24" t="n"/>
      <c r="G42" s="24" t="n"/>
      <c r="H42" s="24" t="n"/>
    </row>
    <row r="43">
      <c r="A43" s="30" t="n"/>
      <c r="B43" s="24" t="n"/>
      <c r="C43" s="24" t="n"/>
      <c r="D43" s="24" t="n"/>
      <c r="E43" s="24" t="n"/>
      <c r="F43" s="24" t="n"/>
      <c r="G43" s="24" t="n"/>
      <c r="H43" s="24" t="n"/>
    </row>
    <row r="44">
      <c r="A44" s="30" t="n"/>
      <c r="B44" s="24" t="n"/>
      <c r="C44" s="24" t="n"/>
      <c r="D44" s="24" t="n"/>
      <c r="E44" s="24" t="n"/>
      <c r="F44" s="24" t="n"/>
      <c r="G44" s="24" t="n"/>
      <c r="H44" s="24" t="n"/>
    </row>
    <row r="45">
      <c r="A45" s="30" t="n"/>
      <c r="B45" s="24" t="n"/>
      <c r="C45" s="24" t="n"/>
      <c r="D45" s="24" t="n"/>
      <c r="E45" s="24" t="n"/>
      <c r="F45" s="24" t="n"/>
      <c r="G45" s="24" t="n"/>
      <c r="H45" s="24" t="n"/>
    </row>
    <row r="46">
      <c r="A46" s="30" t="n"/>
      <c r="B46" s="24" t="n"/>
      <c r="C46" s="24" t="n"/>
      <c r="D46" s="24" t="n"/>
      <c r="E46" s="24" t="n"/>
      <c r="F46" s="24" t="n"/>
      <c r="G46" s="24" t="n"/>
      <c r="H46" s="24" t="n"/>
    </row>
    <row r="47">
      <c r="A47" s="30" t="n"/>
      <c r="B47" s="24" t="n"/>
      <c r="C47" s="24" t="n"/>
      <c r="D47" s="24" t="n"/>
      <c r="E47" s="24" t="n"/>
      <c r="F47" s="24" t="n"/>
      <c r="G47" s="24" t="n"/>
      <c r="H47" s="24" t="n"/>
    </row>
    <row r="48">
      <c r="A48" s="30" t="n"/>
      <c r="B48" s="24" t="n"/>
      <c r="C48" s="24" t="n"/>
      <c r="D48" s="24" t="n"/>
      <c r="E48" s="24" t="n"/>
      <c r="F48" s="24" t="n"/>
      <c r="G48" s="24" t="n"/>
      <c r="H48" s="24" t="n"/>
    </row>
    <row r="49">
      <c r="A49" s="30" t="n"/>
      <c r="B49" s="24" t="n"/>
      <c r="C49" s="24" t="n"/>
      <c r="D49" s="24" t="n"/>
      <c r="E49" s="24" t="n"/>
      <c r="F49" s="24" t="n"/>
      <c r="G49" s="24" t="n"/>
      <c r="H49" s="24" t="n"/>
    </row>
    <row r="50">
      <c r="A50" s="30" t="n"/>
      <c r="B50" s="24" t="n"/>
      <c r="C50" s="24" t="n"/>
      <c r="D50" s="24" t="n"/>
      <c r="E50" s="24" t="n"/>
      <c r="F50" s="24" t="n"/>
      <c r="G50" s="24" t="n"/>
      <c r="H50" s="24" t="n"/>
    </row>
    <row r="51">
      <c r="A51" s="30" t="n"/>
      <c r="B51" s="24" t="n"/>
      <c r="C51" s="24" t="n"/>
      <c r="D51" s="24" t="n"/>
      <c r="E51" s="24" t="n"/>
      <c r="F51" s="24" t="n"/>
      <c r="G51" s="24" t="n"/>
      <c r="H51" s="24" t="n"/>
    </row>
    <row r="52">
      <c r="A52" s="30" t="n"/>
      <c r="B52" s="24" t="n"/>
      <c r="C52" s="24" t="n"/>
      <c r="D52" s="24" t="n"/>
      <c r="E52" s="24" t="n"/>
      <c r="F52" s="24" t="n"/>
      <c r="G52" s="24" t="n"/>
      <c r="H52" s="24" t="n"/>
    </row>
    <row r="53">
      <c r="A53" s="30" t="n"/>
      <c r="B53" s="24" t="n"/>
      <c r="C53" s="24" t="n"/>
      <c r="D53" s="24" t="n"/>
      <c r="E53" s="24" t="n"/>
      <c r="F53" s="24" t="n"/>
      <c r="G53" s="24" t="n"/>
      <c r="H53" s="24" t="n"/>
    </row>
    <row r="54">
      <c r="A54" s="30" t="n"/>
      <c r="B54" s="24" t="n"/>
      <c r="C54" s="24" t="n"/>
      <c r="D54" s="24" t="n"/>
      <c r="E54" s="24" t="n"/>
      <c r="F54" s="24" t="n"/>
      <c r="G54" s="24" t="n"/>
      <c r="H54" s="24" t="n"/>
    </row>
    <row r="55">
      <c r="A55" s="30" t="n"/>
      <c r="B55" s="24" t="n"/>
      <c r="C55" s="24" t="n"/>
      <c r="D55" s="24" t="n"/>
      <c r="E55" s="24" t="n"/>
      <c r="F55" s="24" t="n"/>
      <c r="G55" s="24" t="n"/>
      <c r="H55" s="24" t="n"/>
    </row>
    <row r="56">
      <c r="A56" s="30" t="n"/>
      <c r="B56" s="24" t="n"/>
      <c r="C56" s="24" t="n"/>
      <c r="D56" s="24" t="n"/>
      <c r="E56" s="24" t="n"/>
      <c r="F56" s="24" t="n"/>
      <c r="G56" s="24" t="n"/>
      <c r="H56" s="24" t="n"/>
    </row>
    <row r="57">
      <c r="A57" s="30" t="n"/>
      <c r="B57" s="24" t="n"/>
      <c r="C57" s="24" t="n"/>
      <c r="D57" s="24" t="n"/>
      <c r="E57" s="24" t="n"/>
      <c r="F57" s="24" t="n"/>
      <c r="G57" s="24" t="n"/>
      <c r="H57" s="24" t="n"/>
    </row>
    <row r="58">
      <c r="A58" s="30" t="n"/>
      <c r="B58" s="24" t="n"/>
      <c r="C58" s="24" t="n"/>
      <c r="D58" s="24" t="n"/>
      <c r="E58" s="24" t="n"/>
      <c r="F58" s="24" t="n"/>
      <c r="G58" s="24" t="n"/>
      <c r="H58" s="24" t="n"/>
    </row>
    <row r="59">
      <c r="A59" s="30" t="n"/>
      <c r="B59" s="24" t="n"/>
      <c r="C59" s="24" t="n"/>
      <c r="D59" s="24" t="n"/>
      <c r="E59" s="24" t="n"/>
      <c r="F59" s="24" t="n"/>
      <c r="G59" s="24" t="n"/>
      <c r="H59" s="24" t="n"/>
    </row>
    <row r="60">
      <c r="A60" s="30" t="n"/>
      <c r="B60" s="24" t="n"/>
      <c r="C60" s="24" t="n"/>
      <c r="D60" s="24" t="n"/>
      <c r="E60" s="24" t="n"/>
      <c r="F60" s="24" t="n"/>
      <c r="G60" s="24" t="n"/>
      <c r="H60" s="24" t="n"/>
    </row>
    <row r="61">
      <c r="A61" s="30" t="n"/>
      <c r="B61" s="24" t="n"/>
      <c r="C61" s="24" t="n"/>
      <c r="D61" s="24" t="n"/>
      <c r="E61" s="24" t="n"/>
      <c r="F61" s="24" t="n"/>
      <c r="G61" s="24" t="n"/>
      <c r="H61" s="24" t="n"/>
    </row>
    <row r="62">
      <c r="A62" s="30" t="n"/>
      <c r="B62" s="24" t="n"/>
      <c r="C62" s="24" t="n"/>
      <c r="D62" s="24" t="n"/>
      <c r="E62" s="24" t="n"/>
      <c r="F62" s="24" t="n"/>
      <c r="G62" s="24" t="n"/>
      <c r="H62" s="24" t="n"/>
    </row>
    <row r="63">
      <c r="A63" s="30" t="n"/>
      <c r="B63" s="24" t="n"/>
      <c r="C63" s="24" t="n"/>
      <c r="D63" s="24" t="n"/>
      <c r="E63" s="24" t="n"/>
      <c r="F63" s="24" t="n"/>
      <c r="G63" s="24" t="n"/>
      <c r="H63" s="24" t="n"/>
    </row>
    <row r="64">
      <c r="A64" s="30" t="n"/>
      <c r="B64" s="24" t="n"/>
      <c r="C64" s="24" t="n"/>
      <c r="D64" s="24" t="n"/>
      <c r="E64" s="24" t="n"/>
      <c r="F64" s="24" t="n"/>
      <c r="G64" s="24" t="n"/>
      <c r="H64" s="24" t="n"/>
    </row>
    <row r="65">
      <c r="A65" s="30" t="n"/>
      <c r="B65" s="24" t="n"/>
      <c r="C65" s="24" t="n"/>
      <c r="D65" s="24" t="n"/>
      <c r="E65" s="24" t="n"/>
      <c r="F65" s="24" t="n"/>
      <c r="G65" s="24" t="n"/>
      <c r="H65" s="24" t="n"/>
    </row>
    <row r="66">
      <c r="A66" s="30" t="n"/>
      <c r="B66" s="24" t="n"/>
      <c r="C66" s="24" t="n"/>
      <c r="D66" s="24" t="n"/>
      <c r="E66" s="24" t="n"/>
      <c r="F66" s="24" t="n"/>
      <c r="G66" s="24" t="n"/>
      <c r="H66" s="24" t="n"/>
    </row>
    <row r="67">
      <c r="A67" s="30" t="n"/>
      <c r="B67" s="24" t="n"/>
      <c r="C67" s="24" t="n"/>
      <c r="D67" s="24" t="n"/>
      <c r="E67" s="24" t="n"/>
      <c r="F67" s="24" t="n"/>
      <c r="G67" s="24" t="n"/>
      <c r="H67" s="24" t="n"/>
    </row>
    <row r="68">
      <c r="A68" s="30" t="n"/>
      <c r="B68" s="24" t="n"/>
      <c r="C68" s="24" t="n"/>
      <c r="D68" s="24" t="n"/>
      <c r="E68" s="24" t="n"/>
      <c r="F68" s="24" t="n"/>
      <c r="G68" s="24" t="n"/>
      <c r="H68" s="24" t="n"/>
    </row>
    <row r="69">
      <c r="A69" s="30" t="n"/>
      <c r="B69" s="24" t="n"/>
      <c r="C69" s="24" t="n"/>
      <c r="D69" s="24" t="n"/>
      <c r="E69" s="24" t="n"/>
      <c r="F69" s="24" t="n"/>
      <c r="G69" s="24" t="n"/>
      <c r="H69" s="24" t="n"/>
    </row>
    <row r="70">
      <c r="A70" s="30" t="n"/>
      <c r="B70" s="24" t="n"/>
      <c r="C70" s="24" t="n"/>
      <c r="D70" s="24" t="n"/>
      <c r="E70" s="24" t="n"/>
      <c r="F70" s="24" t="n"/>
      <c r="G70" s="24" t="n"/>
      <c r="H70" s="24" t="n"/>
    </row>
    <row r="71">
      <c r="A71" s="30" t="n"/>
      <c r="B71" s="24" t="n"/>
      <c r="C71" s="24" t="n"/>
      <c r="D71" s="24" t="n"/>
      <c r="E71" s="24" t="n"/>
      <c r="F71" s="24" t="n"/>
      <c r="G71" s="24" t="n"/>
      <c r="H71" s="24" t="n"/>
    </row>
    <row r="72">
      <c r="A72" s="30" t="n"/>
      <c r="B72" s="24" t="n"/>
      <c r="C72" s="24" t="n"/>
      <c r="D72" s="24" t="n"/>
      <c r="E72" s="24" t="n"/>
      <c r="F72" s="24" t="n"/>
      <c r="G72" s="24" t="n"/>
      <c r="H72" s="24" t="n"/>
    </row>
    <row r="73">
      <c r="A73" s="30" t="n"/>
      <c r="B73" s="24" t="n"/>
      <c r="C73" s="24" t="n"/>
      <c r="D73" s="24" t="n"/>
      <c r="E73" s="24" t="n"/>
      <c r="F73" s="24" t="n"/>
      <c r="G73" s="24" t="n"/>
      <c r="H73" s="24" t="n"/>
    </row>
    <row r="74">
      <c r="A74" s="30" t="n"/>
      <c r="B74" s="24" t="n"/>
      <c r="C74" s="24" t="n"/>
      <c r="D74" s="24" t="n"/>
      <c r="E74" s="24" t="n"/>
      <c r="F74" s="24" t="n"/>
      <c r="G74" s="24" t="n"/>
      <c r="H74" s="24" t="n"/>
    </row>
    <row r="75">
      <c r="A75" s="30" t="n"/>
      <c r="B75" s="24" t="n"/>
      <c r="C75" s="24" t="n"/>
      <c r="D75" s="24" t="n"/>
      <c r="E75" s="24" t="n"/>
      <c r="F75" s="24" t="n"/>
      <c r="G75" s="24" t="n"/>
      <c r="H75" s="24" t="n"/>
    </row>
    <row r="76">
      <c r="A76" s="30" t="n"/>
      <c r="B76" s="24" t="n"/>
      <c r="C76" s="24" t="n"/>
      <c r="D76" s="24" t="n"/>
      <c r="E76" s="24" t="n"/>
      <c r="F76" s="24" t="n"/>
      <c r="G76" s="24" t="n"/>
      <c r="H76" s="24" t="n"/>
    </row>
    <row r="77">
      <c r="A77" s="30" t="n"/>
      <c r="B77" s="24" t="n"/>
      <c r="C77" s="24" t="n"/>
      <c r="D77" s="24" t="n"/>
      <c r="E77" s="24" t="n"/>
      <c r="F77" s="24" t="n"/>
      <c r="G77" s="24" t="n"/>
      <c r="H77" s="24" t="n"/>
    </row>
    <row r="78">
      <c r="A78" s="30" t="n"/>
      <c r="B78" s="24" t="n"/>
      <c r="C78" s="24" t="n"/>
      <c r="D78" s="24" t="n"/>
      <c r="E78" s="24" t="n"/>
      <c r="F78" s="24" t="n"/>
      <c r="G78" s="24" t="n"/>
      <c r="H78" s="24" t="n"/>
    </row>
    <row r="79">
      <c r="A79" s="30" t="n"/>
      <c r="B79" s="24" t="n"/>
      <c r="C79" s="24" t="n"/>
      <c r="D79" s="24" t="n"/>
      <c r="E79" s="24" t="n"/>
      <c r="F79" s="24" t="n"/>
      <c r="G79" s="24" t="n"/>
      <c r="H79" s="24" t="n"/>
    </row>
    <row r="80">
      <c r="A80" s="30" t="n"/>
      <c r="B80" s="24" t="n"/>
      <c r="C80" s="24" t="n"/>
      <c r="D80" s="24" t="n"/>
      <c r="E80" s="24" t="n"/>
      <c r="F80" s="24" t="n"/>
      <c r="G80" s="24" t="n"/>
      <c r="H80" s="24" t="n"/>
    </row>
    <row r="81">
      <c r="A81" s="30" t="n"/>
      <c r="B81" s="24" t="n"/>
      <c r="C81" s="24" t="n"/>
      <c r="D81" s="24" t="n"/>
      <c r="E81" s="24" t="n"/>
      <c r="F81" s="24" t="n"/>
      <c r="G81" s="24" t="n"/>
      <c r="H81" s="24" t="n"/>
    </row>
    <row r="82">
      <c r="A82" s="30" t="n"/>
      <c r="B82" s="24" t="n"/>
      <c r="C82" s="24" t="n"/>
      <c r="D82" s="24" t="n"/>
      <c r="E82" s="24" t="n"/>
      <c r="F82" s="24" t="n"/>
      <c r="G82" s="24" t="n"/>
      <c r="H82" s="24" t="n"/>
    </row>
    <row r="83">
      <c r="A83" s="30" t="n"/>
      <c r="B83" s="24" t="n"/>
      <c r="C83" s="24" t="n"/>
      <c r="D83" s="24" t="n"/>
      <c r="E83" s="24" t="n"/>
      <c r="F83" s="24" t="n"/>
      <c r="G83" s="24" t="n"/>
      <c r="H83" s="24" t="n"/>
    </row>
    <row r="84">
      <c r="A84" s="30" t="n"/>
      <c r="B84" s="24" t="n"/>
      <c r="C84" s="24" t="n"/>
      <c r="D84" s="24" t="n"/>
      <c r="E84" s="24" t="n"/>
      <c r="F84" s="24" t="n"/>
      <c r="G84" s="24" t="n"/>
      <c r="H84" s="24" t="n"/>
    </row>
    <row r="85">
      <c r="A85" s="30" t="n"/>
      <c r="B85" s="24" t="n"/>
      <c r="C85" s="24" t="n"/>
      <c r="D85" s="24" t="n"/>
      <c r="E85" s="24" t="n"/>
      <c r="F85" s="24" t="n"/>
      <c r="G85" s="24" t="n"/>
      <c r="H85" s="24" t="n"/>
    </row>
    <row r="86">
      <c r="A86" s="30" t="n"/>
      <c r="B86" s="24" t="n"/>
      <c r="C86" s="24" t="n"/>
      <c r="D86" s="24" t="n"/>
      <c r="E86" s="24" t="n"/>
      <c r="F86" s="24" t="n"/>
      <c r="G86" s="24" t="n"/>
      <c r="H86" s="24" t="n"/>
    </row>
    <row r="87">
      <c r="A87" s="30" t="n"/>
      <c r="B87" s="24" t="n"/>
      <c r="C87" s="24" t="n"/>
      <c r="D87" s="24" t="n"/>
      <c r="E87" s="24" t="n"/>
      <c r="F87" s="24" t="n"/>
      <c r="G87" s="24" t="n"/>
      <c r="H87" s="24" t="n"/>
    </row>
    <row r="88">
      <c r="A88" s="30" t="n"/>
      <c r="B88" s="24" t="n"/>
      <c r="C88" s="24" t="n"/>
      <c r="D88" s="24" t="n"/>
      <c r="E88" s="24" t="n"/>
      <c r="F88" s="24" t="n"/>
      <c r="G88" s="24" t="n"/>
      <c r="H88" s="24" t="n"/>
    </row>
    <row r="89">
      <c r="A89" s="30" t="n"/>
      <c r="B89" s="24" t="n"/>
      <c r="C89" s="24" t="n"/>
      <c r="D89" s="24" t="n"/>
      <c r="E89" s="24" t="n"/>
      <c r="F89" s="24" t="n"/>
      <c r="G89" s="24" t="n"/>
      <c r="H89" s="24" t="n"/>
    </row>
    <row r="90">
      <c r="A90" s="30" t="n"/>
      <c r="B90" s="24" t="n"/>
      <c r="C90" s="24" t="n"/>
      <c r="D90" s="24" t="n"/>
      <c r="E90" s="24" t="n"/>
      <c r="F90" s="24" t="n"/>
      <c r="G90" s="24" t="n"/>
      <c r="H90" s="24" t="n"/>
    </row>
    <row r="91">
      <c r="A91" s="30" t="n"/>
      <c r="B91" s="24" t="n"/>
      <c r="C91" s="24" t="n"/>
      <c r="D91" s="24" t="n"/>
      <c r="E91" s="24" t="n"/>
      <c r="F91" s="24" t="n"/>
      <c r="G91" s="24" t="n"/>
      <c r="H91" s="24" t="n"/>
    </row>
    <row r="92">
      <c r="A92" s="30" t="n"/>
      <c r="B92" s="24" t="n"/>
      <c r="C92" s="24" t="n"/>
      <c r="D92" s="24" t="n"/>
      <c r="E92" s="24" t="n"/>
      <c r="F92" s="24" t="n"/>
      <c r="G92" s="24" t="n"/>
      <c r="H92" s="24" t="n"/>
    </row>
    <row r="93">
      <c r="A93" s="30" t="n"/>
      <c r="B93" s="24" t="n"/>
      <c r="C93" s="24" t="n"/>
      <c r="D93" s="24" t="n"/>
      <c r="E93" s="24" t="n"/>
      <c r="F93" s="24" t="n"/>
      <c r="G93" s="24" t="n"/>
      <c r="H93" s="24" t="n"/>
    </row>
    <row r="94">
      <c r="A94" s="30" t="n"/>
      <c r="B94" s="24" t="n"/>
      <c r="C94" s="24" t="n"/>
      <c r="D94" s="24" t="n"/>
      <c r="E94" s="24" t="n"/>
      <c r="F94" s="24" t="n"/>
      <c r="G94" s="24" t="n"/>
      <c r="H94" s="24" t="n"/>
    </row>
    <row r="95">
      <c r="A95" s="30" t="n"/>
      <c r="B95" s="24" t="n"/>
      <c r="C95" s="24" t="n"/>
      <c r="D95" s="24" t="n"/>
      <c r="E95" s="24" t="n"/>
      <c r="F95" s="24" t="n"/>
      <c r="G95" s="24" t="n"/>
      <c r="H95" s="24" t="n"/>
    </row>
    <row r="96">
      <c r="A96" s="30" t="n"/>
      <c r="B96" s="24" t="n"/>
      <c r="C96" s="24" t="n"/>
      <c r="D96" s="24" t="n"/>
      <c r="E96" s="24" t="n"/>
      <c r="F96" s="24" t="n"/>
      <c r="G96" s="24" t="n"/>
      <c r="H96" s="24" t="n"/>
    </row>
    <row r="97">
      <c r="A97" s="30" t="n"/>
      <c r="B97" s="24" t="n"/>
      <c r="C97" s="24" t="n"/>
      <c r="D97" s="24" t="n"/>
      <c r="E97" s="24" t="n"/>
      <c r="F97" s="24" t="n"/>
      <c r="G97" s="24" t="n"/>
      <c r="H97" s="24" t="n"/>
    </row>
    <row r="98">
      <c r="A98" s="30" t="n"/>
      <c r="B98" s="24" t="n"/>
      <c r="C98" s="24" t="n"/>
      <c r="D98" s="24" t="n"/>
      <c r="E98" s="24" t="n"/>
      <c r="F98" s="24" t="n"/>
      <c r="G98" s="24" t="n"/>
      <c r="H98" s="24" t="n"/>
    </row>
    <row r="99">
      <c r="A99" s="30" t="n"/>
      <c r="B99" s="24" t="n"/>
      <c r="C99" s="24" t="n"/>
      <c r="D99" s="24" t="n"/>
      <c r="E99" s="24" t="n"/>
      <c r="F99" s="24" t="n"/>
      <c r="G99" s="24" t="n"/>
      <c r="H99" s="24" t="n"/>
    </row>
    <row r="100">
      <c r="A100" s="30" t="n"/>
      <c r="B100" s="24" t="n"/>
      <c r="C100" s="24" t="n"/>
      <c r="D100" s="24" t="n"/>
      <c r="E100" s="24" t="n"/>
      <c r="F100" s="24" t="n"/>
      <c r="G100" s="24" t="n"/>
      <c r="H100" s="24" t="n"/>
    </row>
    <row r="101">
      <c r="A101" s="30" t="n"/>
      <c r="B101" s="24" t="n"/>
      <c r="C101" s="24" t="n"/>
      <c r="D101" s="24" t="n"/>
      <c r="E101" s="24" t="n"/>
      <c r="F101" s="24" t="n"/>
      <c r="G101" s="24" t="n"/>
      <c r="H101" s="24" t="n"/>
    </row>
    <row r="102">
      <c r="A102" s="30" t="n"/>
      <c r="B102" s="24" t="n"/>
      <c r="C102" s="24" t="n"/>
      <c r="D102" s="24" t="n"/>
      <c r="E102" s="24" t="n"/>
      <c r="F102" s="24" t="n"/>
      <c r="G102" s="24" t="n"/>
      <c r="H102" s="24" t="n"/>
    </row>
    <row r="103">
      <c r="A103" s="30" t="n"/>
      <c r="B103" s="24" t="n"/>
      <c r="C103" s="24" t="n"/>
      <c r="D103" s="24" t="n"/>
      <c r="E103" s="24" t="n"/>
      <c r="F103" s="24" t="n"/>
      <c r="G103" s="24" t="n"/>
      <c r="H103" s="24" t="n"/>
    </row>
    <row r="104">
      <c r="A104" s="30" t="n"/>
      <c r="B104" s="24" t="n"/>
      <c r="C104" s="24" t="n"/>
      <c r="D104" s="24" t="n"/>
      <c r="E104" s="24" t="n"/>
      <c r="F104" s="24" t="n"/>
      <c r="G104" s="24" t="n"/>
      <c r="H104" s="24" t="n"/>
    </row>
    <row r="105">
      <c r="A105" s="30"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5" t="inlineStr">
        <is>
          <t>CHANGE TYPES ASSESSMENT — SUMMARY DASHBOARD</t>
        </is>
      </c>
    </row>
    <row r="2">
      <c r="A2" s="26" t="inlineStr">
        <is>
          <t>ISO/IEC 27001:2022 — Control A.8.32: Change Management</t>
        </is>
      </c>
    </row>
    <row r="4">
      <c r="A4" s="31" t="inlineStr">
        <is>
          <t>TABLE 1: ASSESSMENT AREA COMPLIANCE OVERVIEW</t>
        </is>
      </c>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s="33" t="inlineStr">
        <is>
          <t>Standard Changes Catalog</t>
        </is>
      </c>
      <c r="B6" s="34">
        <f>COUNTA('Standard Changes Catalog'!A6:A65)</f>
        <v/>
      </c>
      <c r="C6" s="34">
        <f>COUNTIF('Standard Changes Catalog'!L6:L65,"✅ Active")</f>
        <v/>
      </c>
      <c r="D6" s="34">
        <f>COUNTIF('Standard Changes Catalog'!L6:L65,"⚠ Under Review")</f>
        <v/>
      </c>
      <c r="E6" s="34">
        <f>COUNTIF('Standard Changes Catalog'!L6:L65,"❌ Retired")+COUNTIF('Standard Changes Catalog'!L6:L65,"Proposed")</f>
        <v/>
      </c>
      <c r="F6" s="34" t="n">
        <v>0</v>
      </c>
      <c r="G6" s="35">
        <f>IF((B6-F6)=0,0,C6/(B6-F6))</f>
        <v/>
      </c>
    </row>
    <row r="7">
      <c r="A7" s="33" t="inlineStr">
        <is>
          <t>Normal Change Classification</t>
        </is>
      </c>
      <c r="B7" s="34">
        <f>COUNTA('Normal Change Classification'!A6:A55)</f>
        <v/>
      </c>
      <c r="C7" s="34">
        <f>COUNTIF('Normal Change Classification'!F6:F55,"✅ Yes")</f>
        <v/>
      </c>
      <c r="D7" s="34">
        <f>COUNTIF('Normal Change Classification'!F6:F55,"⚠ Partial")</f>
        <v/>
      </c>
      <c r="E7" s="34">
        <f>COUNTIF('Normal Change Classification'!F6:F55,"❌ No")</f>
        <v/>
      </c>
      <c r="F7" s="34" t="n">
        <v>0</v>
      </c>
      <c r="G7" s="35">
        <f>IF((B7-F7)=0,0,C7/(B7-F7))</f>
        <v/>
      </c>
    </row>
    <row r="8">
      <c r="A8" s="33" t="inlineStr">
        <is>
          <t>Emergency Change Procedures</t>
        </is>
      </c>
      <c r="B8" s="34">
        <f>COUNTA('Emergency Change Procedures'!A17:A40)</f>
        <v/>
      </c>
      <c r="C8" s="34">
        <f>COUNTIF('Emergency Change Procedures'!B17:B40,"✅ Always")</f>
        <v/>
      </c>
      <c r="D8" s="34">
        <f>COUNTIF('Emergency Change Procedures'!B17:B40,"⚠ Sometimes")</f>
        <v/>
      </c>
      <c r="E8" s="34">
        <f>COUNTIF('Emergency Change Procedures'!B17:B40,"❌ Never")+COUNTIF('Emergency Change Procedures'!B17:B40,"Planned")</f>
        <v/>
      </c>
      <c r="F8" s="34" t="n">
        <v>0</v>
      </c>
      <c r="G8" s="35">
        <f>IF((B8-F8)=0,0,C8/(B8-F8))</f>
        <v/>
      </c>
    </row>
    <row r="9">
      <c r="A9" s="33" t="inlineStr">
        <is>
          <t>Risk Assessment Matrix - Impact Levels</t>
        </is>
      </c>
      <c r="B9" s="34">
        <f>COUNTA('Risk Assessment Matrix'!A6:A16)</f>
        <v/>
      </c>
      <c r="C9" s="34">
        <f>COUNTIF('Risk Assessment Matrix'!G6:G16,"✅ Defined")</f>
        <v/>
      </c>
      <c r="D9" s="34">
        <f>COUNTIF('Risk Assessment Matrix'!G6:G16,"⚠ Partial")</f>
        <v/>
      </c>
      <c r="E9" s="34">
        <f>COUNTIF('Risk Assessment Matrix'!G6:G16,"❌ Not Defined")+COUNTIF('Risk Assessment Matrix'!G6:G16,"Planned")</f>
        <v/>
      </c>
      <c r="F9" s="34" t="n">
        <v>0</v>
      </c>
      <c r="G9" s="35">
        <f>IF((B9-F9)=0,0,C9/(B9-F9))</f>
        <v/>
      </c>
    </row>
    <row r="10">
      <c r="A10" s="33" t="inlineStr">
        <is>
          <t>Risk Assessment Matrix - Likelihood Levels</t>
        </is>
      </c>
      <c r="B10" s="34">
        <f>COUNTA('Risk Assessment Matrix'!A14:A16)</f>
        <v/>
      </c>
      <c r="C10" s="34">
        <f>COUNTIF('Risk Assessment Matrix'!G14:G16,"✅ Defined")</f>
        <v/>
      </c>
      <c r="D10" s="34">
        <f>COUNTIF('Risk Assessment Matrix'!G14:G16,"⚠ Partial")</f>
        <v/>
      </c>
      <c r="E10" s="34">
        <f>COUNTIF('Risk Assessment Matrix'!G14:G16,"❌ Not Defined")+COUNTIF('Risk Assessment Matrix'!G14:G16,"Planned")</f>
        <v/>
      </c>
      <c r="F10" s="34" t="n">
        <v>0</v>
      </c>
      <c r="G10" s="35">
        <f>IF((B10-F10)=0,0,C10/(B10-F10))</f>
        <v/>
      </c>
    </row>
    <row r="11">
      <c r="A11" s="33" t="inlineStr">
        <is>
          <t>Change Calendar Management - Change Windows</t>
        </is>
      </c>
      <c r="B11" s="34">
        <f>COUNTA('Change Calendar Management'!A6:A66)</f>
        <v/>
      </c>
      <c r="C11" s="34">
        <f>COUNTIF('Change Calendar Management'!F6:F66,"✅ Defined")</f>
        <v/>
      </c>
      <c r="D11" s="34">
        <f>COUNTIF('Change Calendar Management'!F6:F66,"⚠ Partial")</f>
        <v/>
      </c>
      <c r="E11" s="34">
        <f>COUNTIF('Change Calendar Management'!F6:F66,"❌ Not Defined")+COUNTIF('Change Calendar Management'!F6:F66,"Planned")</f>
        <v/>
      </c>
      <c r="F11" s="34" t="n">
        <v>0</v>
      </c>
      <c r="G11" s="35">
        <f>IF((B11-F11)=0,0,C11/(B11-F11))</f>
        <v/>
      </c>
    </row>
    <row r="12">
      <c r="A12" s="33" t="inlineStr">
        <is>
          <t>Change Calendar Management - Blackout Periods</t>
        </is>
      </c>
      <c r="B12" s="34">
        <f>COUNTA('Change Calendar Management'!A16:A66)</f>
        <v/>
      </c>
      <c r="C12" s="34">
        <f>COUNTIF('Change Calendar Management'!H16:H66,"✅ Defined")</f>
        <v/>
      </c>
      <c r="D12" s="34">
        <f>COUNTIF('Change Calendar Management'!H16:H66,"⚠ Partial")</f>
        <v/>
      </c>
      <c r="E12" s="34">
        <f>COUNTIF('Change Calendar Management'!H16:H66,"❌ Not Defined")+COUNTIF('Change Calendar Management'!H16:H66,"Planned")</f>
        <v/>
      </c>
      <c r="F12" s="34" t="n">
        <v>0</v>
      </c>
      <c r="G12" s="35">
        <f>IF((B12-F12)=0,0,C12/(B12-F12))</f>
        <v/>
      </c>
    </row>
    <row r="13">
      <c r="A13" s="36" t="inlineStr">
        <is>
          <t>TOTAL</t>
        </is>
      </c>
      <c r="B13" s="37">
        <f>SUM(B6:B12)</f>
        <v/>
      </c>
      <c r="C13" s="37">
        <f>SUM(C6:C12)</f>
        <v/>
      </c>
      <c r="D13" s="37">
        <f>SUM(D6:D12)</f>
        <v/>
      </c>
      <c r="E13" s="37">
        <f>SUM(E6:E12)</f>
        <v/>
      </c>
      <c r="F13" s="37">
        <f>SUM(F6:F12)</f>
        <v/>
      </c>
      <c r="G13" s="38">
        <f>IF((B13-F13)=0,0,C13/(B13-F13))</f>
        <v/>
      </c>
    </row>
    <row r="15">
      <c r="A15" s="39" t="inlineStr">
        <is>
          <t>TABLE 2: KEY METRICS</t>
        </is>
      </c>
      <c r="B15" s="6" t="n"/>
      <c r="C15" s="6" t="n"/>
      <c r="D15" s="6" t="n"/>
      <c r="E15" s="6" t="n"/>
      <c r="F15" s="6" t="n"/>
      <c r="G15" s="6" t="n"/>
    </row>
    <row r="16">
      <c r="A16" s="37" t="inlineStr">
        <is>
          <t>Metric</t>
        </is>
      </c>
      <c r="B16" s="37" t="inlineStr">
        <is>
          <t>Value</t>
        </is>
      </c>
      <c r="C16" s="37" t="inlineStr"/>
      <c r="D16" s="37" t="inlineStr"/>
      <c r="E16" s="37" t="inlineStr"/>
      <c r="F16" s="37" t="inlineStr"/>
      <c r="G16" s="37" t="inlineStr"/>
    </row>
    <row r="17">
      <c r="A17" s="40" t="inlineStr">
        <is>
          <t>Standard Change Utilisation Rate</t>
        </is>
      </c>
      <c r="B17" s="40">
        <f>'Classification Metrics'!C6</f>
        <v/>
      </c>
      <c r="C17" s="6" t="n"/>
      <c r="D17" s="6" t="n"/>
      <c r="E17" s="6" t="n"/>
      <c r="F17" s="6" t="n"/>
      <c r="G17" s="6" t="n"/>
    </row>
    <row r="18">
      <c r="A18" s="40" t="inlineStr">
        <is>
          <t>Emergency Change Rate</t>
        </is>
      </c>
      <c r="B18" s="40">
        <f>'Classification Metrics'!C8</f>
        <v/>
      </c>
      <c r="C18" s="6" t="n"/>
      <c r="D18" s="6" t="n"/>
      <c r="E18" s="6" t="n"/>
      <c r="F18" s="6" t="n"/>
      <c r="G18" s="6" t="n"/>
    </row>
    <row r="19">
      <c r="A19" s="40" t="inlineStr">
        <is>
          <t>Classification Accuracy</t>
        </is>
      </c>
      <c r="B19" s="40">
        <f>'Classification Metrics'!C9</f>
        <v/>
      </c>
      <c r="C19" s="6" t="n"/>
      <c r="D19" s="6" t="n"/>
      <c r="E19" s="6" t="n"/>
      <c r="F19" s="6" t="n"/>
      <c r="G19" s="6" t="n"/>
    </row>
    <row r="20">
      <c r="A20" s="40" t="inlineStr">
        <is>
          <t>Risk Matrix Coverage</t>
        </is>
      </c>
      <c r="B20" s="40" t="inlineStr">
        <is>
          <t>[enter %]</t>
        </is>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41" t="inlineStr">
        <is>
          <t>TABLE 3: CRITICAL FINDINGS</t>
        </is>
      </c>
      <c r="B24" s="6" t="n"/>
      <c r="C24" s="6" t="n"/>
      <c r="D24" s="6" t="n"/>
      <c r="E24" s="6" t="n"/>
      <c r="F24" s="6" t="n"/>
      <c r="G24" s="6" t="n"/>
    </row>
    <row r="25">
      <c r="A25" s="42" t="inlineStr">
        <is>
          <t>Category</t>
        </is>
      </c>
      <c r="B25" s="42" t="inlineStr">
        <is>
          <t>Finding</t>
        </is>
      </c>
      <c r="C25" s="42" t="inlineStr">
        <is>
          <t>Count</t>
        </is>
      </c>
      <c r="D25" s="42" t="inlineStr">
        <is>
          <t>Severity</t>
        </is>
      </c>
      <c r="E25" s="42" t="inlineStr">
        <is>
          <t>Action Required</t>
        </is>
      </c>
      <c r="F25" s="42" t="inlineStr"/>
      <c r="G25" s="42" t="inlineStr"/>
    </row>
    <row r="26">
      <c r="A26" s="43" t="inlineStr">
        <is>
          <t>Standard Changes</t>
        </is>
      </c>
      <c r="B26" s="43" t="inlineStr">
        <is>
          <t>Standard changes without pre-authorisation</t>
        </is>
      </c>
      <c r="C26" s="44">
        <f>COUNTIF('Standard Changes Catalog'!L6:L65,"❌ Retired")</f>
        <v/>
      </c>
      <c r="D26" s="43" t="inlineStr">
        <is>
          <t>Critical</t>
        </is>
      </c>
      <c r="E26" s="43" t="inlineStr">
        <is>
          <t>Immediate</t>
        </is>
      </c>
      <c r="F26" s="16" t="n"/>
      <c r="G26" s="16" t="n"/>
    </row>
    <row r="27">
      <c r="A27" s="43" t="inlineStr">
        <is>
          <t>Normal Changes</t>
        </is>
      </c>
      <c r="B27" s="43" t="inlineStr">
        <is>
          <t>Normal changes without CAB approval</t>
        </is>
      </c>
      <c r="C27" s="44">
        <f>COUNTIF('Normal Change Classification'!F6:F55,"❌ No")</f>
        <v/>
      </c>
      <c r="D27" s="43" t="inlineStr">
        <is>
          <t>Critical</t>
        </is>
      </c>
      <c r="E27" s="43" t="inlineStr">
        <is>
          <t>Immediate</t>
        </is>
      </c>
      <c r="F27" s="16" t="n"/>
      <c r="G27" s="16" t="n"/>
    </row>
    <row r="28">
      <c r="A28" s="43" t="inlineStr">
        <is>
          <t>Emergency Changes</t>
        </is>
      </c>
      <c r="B28" s="43" t="inlineStr">
        <is>
          <t>Emergency changes without justification</t>
        </is>
      </c>
      <c r="C28" s="44">
        <f>COUNTIF('Emergency Change Procedures'!I6:I55,"❌ Not Implemented")</f>
        <v/>
      </c>
      <c r="D28" s="43" t="inlineStr">
        <is>
          <t>Critical</t>
        </is>
      </c>
      <c r="E28" s="43" t="inlineStr">
        <is>
          <t>Immediate</t>
        </is>
      </c>
      <c r="F28" s="16" t="n"/>
      <c r="G28" s="16" t="n"/>
    </row>
    <row r="29">
      <c r="A29" s="43" t="inlineStr">
        <is>
          <t>Emergency Changes</t>
        </is>
      </c>
      <c r="B29" s="43" t="inlineStr">
        <is>
          <t>Emergency changes exceeding threshold</t>
        </is>
      </c>
      <c r="C29" s="44">
        <f>COUNTIF('Emergency Change Procedures'!O6:O55,"Above Threshold")</f>
        <v/>
      </c>
      <c r="D29" s="43" t="inlineStr">
        <is>
          <t>Critical</t>
        </is>
      </c>
      <c r="E29" s="43" t="inlineStr">
        <is>
          <t>Immediate</t>
        </is>
      </c>
      <c r="F29" s="16" t="n"/>
      <c r="G29" s="16" t="n"/>
    </row>
    <row r="30">
      <c r="A30" s="43" t="inlineStr">
        <is>
          <t>Normal Changes</t>
        </is>
      </c>
      <c r="B30" s="43" t="inlineStr">
        <is>
          <t>High-risk changes without risk assessment</t>
        </is>
      </c>
      <c r="C30" s="44">
        <f>COUNTIF('Normal Change Classification'!J6:J55,"❌ No")</f>
        <v/>
      </c>
      <c r="D30" s="43" t="inlineStr">
        <is>
          <t>Critical</t>
        </is>
      </c>
      <c r="E30" s="43" t="inlineStr">
        <is>
          <t>Immediate</t>
        </is>
      </c>
      <c r="F30" s="16" t="n"/>
      <c r="G30" s="16" t="n"/>
    </row>
    <row r="31">
      <c r="A31" s="43" t="inlineStr">
        <is>
          <t>Standard Changes</t>
        </is>
      </c>
      <c r="B31" s="43" t="inlineStr">
        <is>
          <t>Standard changes with partial authorisation</t>
        </is>
      </c>
      <c r="C31" s="44">
        <f>COUNTIF('Standard Changes Catalog'!F6:F65,"⚠ Partial")</f>
        <v/>
      </c>
      <c r="D31" s="43" t="inlineStr">
        <is>
          <t>High</t>
        </is>
      </c>
      <c r="E31" s="43" t="inlineStr">
        <is>
          <t>Urgent</t>
        </is>
      </c>
      <c r="F31" s="16" t="n"/>
      <c r="G31" s="16" t="n"/>
    </row>
    <row r="32">
      <c r="A32" s="43" t="inlineStr">
        <is>
          <t>Normal Changes</t>
        </is>
      </c>
      <c r="B32" s="43" t="inlineStr">
        <is>
          <t>Normal changes with incomplete approval</t>
        </is>
      </c>
      <c r="C32" s="44">
        <f>COUNTIF('Normal Change Classification'!F6:F55,"⚠ Partial")</f>
        <v/>
      </c>
      <c r="D32" s="43" t="inlineStr">
        <is>
          <t>High</t>
        </is>
      </c>
      <c r="E32" s="43" t="inlineStr">
        <is>
          <t>Urgent</t>
        </is>
      </c>
      <c r="F32" s="16" t="n"/>
      <c r="G32" s="16" t="n"/>
    </row>
    <row r="33">
      <c r="A33" s="43" t="inlineStr">
        <is>
          <t>Emergency Changes</t>
        </is>
      </c>
      <c r="B33" s="43" t="inlineStr">
        <is>
          <t>Emergency changes with partial retrospective approval</t>
        </is>
      </c>
      <c r="C33" s="44">
        <f>COUNTIF('Emergency Change Procedures'!I6:I55,"⚠ Partial")</f>
        <v/>
      </c>
      <c r="D33" s="43" t="inlineStr">
        <is>
          <t>High</t>
        </is>
      </c>
      <c r="E33" s="43" t="inlineStr">
        <is>
          <t>Urgent</t>
        </is>
      </c>
      <c r="F33" s="16" t="n"/>
      <c r="G33" s="16" t="n"/>
    </row>
    <row r="34">
      <c r="A34" s="43" t="inlineStr">
        <is>
          <t>Standard Changes</t>
        </is>
      </c>
      <c r="B34" s="43" t="inlineStr">
        <is>
          <t>Standard changes requiring review</t>
        </is>
      </c>
      <c r="C34" s="44">
        <f>COUNTIF('Standard Changes Catalog'!O6:O65,"Review Required")</f>
        <v/>
      </c>
      <c r="D34" s="43" t="inlineStr">
        <is>
          <t>Medium</t>
        </is>
      </c>
      <c r="E34" s="43" t="inlineStr">
        <is>
          <t>Plan</t>
        </is>
      </c>
      <c r="F34" s="16" t="n"/>
      <c r="G34" s="16" t="n"/>
    </row>
    <row r="35">
      <c r="A35" s="43" t="inlineStr">
        <is>
          <t>Normal Changes</t>
        </is>
      </c>
      <c r="B35" s="43" t="inlineStr">
        <is>
          <t>Normal changes with minor gaps</t>
        </is>
      </c>
      <c r="C35" s="44">
        <f>COUNTIF('Normal Change Classification'!O6:O55,"Minor Gap")</f>
        <v/>
      </c>
      <c r="D35" s="43" t="inlineStr">
        <is>
          <t>Medium</t>
        </is>
      </c>
      <c r="E35" s="43" t="inlineStr">
        <is>
          <t>Plan</t>
        </is>
      </c>
      <c r="F35" s="16" t="n"/>
      <c r="G35" s="16" t="n"/>
    </row>
    <row r="36">
      <c r="A36" s="16" t="n"/>
      <c r="B36" s="16" t="n"/>
      <c r="C36" s="16" t="n"/>
      <c r="D36" s="16" t="n"/>
      <c r="E36" s="16" t="n"/>
      <c r="F36" s="16" t="n"/>
      <c r="G36" s="16" t="n"/>
    </row>
    <row r="37">
      <c r="A37" s="16" t="n"/>
      <c r="B37" s="16" t="n"/>
      <c r="C37" s="16" t="n"/>
      <c r="D37" s="16" t="n"/>
      <c r="E37" s="16" t="n"/>
      <c r="F37" s="16" t="n"/>
      <c r="G37" s="16" t="n"/>
    </row>
  </sheetData>
  <mergeCells count="5">
    <mergeCell ref="A1:G1"/>
    <mergeCell ref="A4:G4"/>
    <mergeCell ref="A24:G24"/>
    <mergeCell ref="A2:G2"/>
    <mergeCell ref="A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A.8.32: Change Management</t>
        </is>
      </c>
      <c r="B2" s="6" t="n"/>
      <c r="C2" s="6" t="n"/>
      <c r="D2" s="6" t="n"/>
      <c r="E2" s="6" t="n"/>
    </row>
    <row r="3">
      <c r="A3" s="47" t="inlineStr">
        <is>
          <t>ASSESSMENT SUMMARY</t>
        </is>
      </c>
      <c r="B3" s="6" t="n"/>
      <c r="C3" s="6" t="n"/>
      <c r="D3" s="6" t="n"/>
      <c r="E3" s="6" t="n"/>
    </row>
    <row r="4">
      <c r="A4" s="48" t="inlineStr">
        <is>
          <t>Document:</t>
        </is>
      </c>
      <c r="B4" s="6" t="inlineStr">
        <is>
          <t>ISMS-IMP-A.8.32.2 — Change Types &amp; Categories Assessment</t>
        </is>
      </c>
      <c r="C4" s="6" t="n"/>
      <c r="D4" s="6" t="n"/>
      <c r="E4" s="6" t="n"/>
    </row>
    <row r="5">
      <c r="A5" s="48" t="inlineStr">
        <is>
          <t>Assessment Period:</t>
        </is>
      </c>
      <c r="B5" s="16" t="inlineStr"/>
      <c r="C5" s="16" t="n"/>
      <c r="D5" s="16" t="n"/>
      <c r="E5" s="16" t="n"/>
    </row>
    <row r="6">
      <c r="A6" s="48" t="inlineStr">
        <is>
          <t>Overall Compliance Rating:</t>
        </is>
      </c>
      <c r="B6" s="6">
        <f>'Summary Dashboard'!G13</f>
        <v/>
      </c>
      <c r="C6" s="6" t="n"/>
      <c r="D6" s="6" t="n"/>
      <c r="E6" s="6" t="n"/>
    </row>
    <row r="7">
      <c r="A7" s="48" t="inlineStr">
        <is>
          <t>Assessed By:</t>
        </is>
      </c>
      <c r="B7" s="16" t="inlineStr"/>
      <c r="C7" s="16" t="n"/>
      <c r="D7" s="16" t="n"/>
      <c r="E7" s="16" t="n"/>
    </row>
    <row r="8">
      <c r="A8" s="48" t="inlineStr">
        <is>
          <t>Assessment Status:</t>
        </is>
      </c>
      <c r="B8" s="16" t="inlineStr"/>
      <c r="C8" s="16" t="n"/>
      <c r="D8" s="16" t="n"/>
      <c r="E8" s="16" t="n"/>
    </row>
    <row r="10">
      <c r="A10" s="47" t="inlineStr">
        <is>
          <t>COMPLETED BY (ASSESSOR)</t>
        </is>
      </c>
      <c r="B10" s="6" t="n"/>
      <c r="C10" s="6" t="n"/>
      <c r="D10" s="6" t="n"/>
      <c r="E10" s="6" t="n"/>
    </row>
    <row r="11">
      <c r="A11" s="48" t="inlineStr">
        <is>
          <t>Name:</t>
        </is>
      </c>
      <c r="B11" s="16" t="n"/>
      <c r="C11" s="16" t="n"/>
      <c r="D11" s="16" t="n"/>
      <c r="E11" s="16" t="n"/>
    </row>
    <row r="12">
      <c r="A12" s="48" t="inlineStr">
        <is>
          <t>Title:</t>
        </is>
      </c>
      <c r="B12" s="16" t="n"/>
      <c r="C12" s="16" t="n"/>
      <c r="D12" s="16" t="n"/>
      <c r="E12" s="16" t="n"/>
    </row>
    <row r="13">
      <c r="A13" s="48" t="inlineStr">
        <is>
          <t>Date:</t>
        </is>
      </c>
      <c r="B13" s="16" t="n"/>
      <c r="C13" s="16" t="n"/>
      <c r="D13" s="16" t="n"/>
      <c r="E13" s="16" t="n"/>
    </row>
    <row r="14">
      <c r="A14" s="48" t="inlineStr">
        <is>
          <t>Signature:</t>
        </is>
      </c>
      <c r="B14" s="16" t="n"/>
      <c r="C14" s="16" t="n"/>
      <c r="D14" s="16" t="n"/>
      <c r="E14" s="16" t="n"/>
    </row>
    <row r="15">
      <c r="A15" s="48" t="inlineStr">
        <is>
          <t>Comments:</t>
        </is>
      </c>
      <c r="B15" s="16" t="n"/>
      <c r="C15" s="16" t="n"/>
      <c r="D15" s="16" t="n"/>
      <c r="E15" s="16" t="n"/>
    </row>
    <row r="17">
      <c r="A17" s="47" t="inlineStr">
        <is>
          <t>REVIEWED BY (INFORMATION SECURITY OFFICER)</t>
        </is>
      </c>
      <c r="B17" s="6" t="n"/>
      <c r="C17" s="6" t="n"/>
      <c r="D17" s="6" t="n"/>
      <c r="E17" s="6" t="n"/>
    </row>
    <row r="18">
      <c r="A18" s="48" t="inlineStr">
        <is>
          <t>Name:</t>
        </is>
      </c>
      <c r="B18" s="16" t="n"/>
      <c r="C18" s="16" t="n"/>
      <c r="D18" s="16" t="n"/>
      <c r="E18" s="16" t="n"/>
    </row>
    <row r="19">
      <c r="A19" s="48" t="inlineStr">
        <is>
          <t>Title:</t>
        </is>
      </c>
      <c r="B19" s="16" t="n"/>
      <c r="C19" s="16" t="n"/>
      <c r="D19" s="16" t="n"/>
      <c r="E19" s="16" t="n"/>
    </row>
    <row r="20">
      <c r="A20" s="48" t="inlineStr">
        <is>
          <t>Date:</t>
        </is>
      </c>
      <c r="B20" s="16" t="n"/>
      <c r="C20" s="16" t="n"/>
      <c r="D20" s="16" t="n"/>
      <c r="E20" s="16" t="n"/>
    </row>
    <row r="21">
      <c r="A21" s="48" t="inlineStr">
        <is>
          <t>Signature:</t>
        </is>
      </c>
      <c r="B21" s="16" t="n"/>
      <c r="C21" s="16" t="n"/>
      <c r="D21" s="16" t="n"/>
      <c r="E21" s="16" t="n"/>
    </row>
    <row r="22">
      <c r="A22" s="48" t="inlineStr">
        <is>
          <t>Comments:</t>
        </is>
      </c>
      <c r="B22" s="16" t="n"/>
      <c r="C22" s="16" t="n"/>
      <c r="D22" s="16" t="n"/>
      <c r="E22" s="16" t="n"/>
    </row>
    <row r="24">
      <c r="A24" s="39" t="inlineStr">
        <is>
          <t>APPROVED BY — CISO</t>
        </is>
      </c>
      <c r="B24" s="6" t="n"/>
      <c r="C24" s="6" t="n"/>
      <c r="D24" s="6" t="n"/>
      <c r="E24" s="6" t="n"/>
    </row>
    <row r="25">
      <c r="A25" s="48" t="inlineStr">
        <is>
          <t>Name:</t>
        </is>
      </c>
      <c r="B25" s="16" t="n"/>
      <c r="C25" s="16" t="n"/>
      <c r="D25" s="16" t="n"/>
      <c r="E25" s="16" t="n"/>
    </row>
    <row r="26">
      <c r="A26" s="48" t="inlineStr">
        <is>
          <t>Title:</t>
        </is>
      </c>
      <c r="B26" s="16" t="n"/>
      <c r="C26" s="16" t="n"/>
      <c r="D26" s="16" t="n"/>
      <c r="E26" s="16" t="n"/>
    </row>
    <row r="27">
      <c r="A27" s="48" t="inlineStr">
        <is>
          <t>Date:</t>
        </is>
      </c>
      <c r="B27" s="16" t="n"/>
      <c r="C27" s="16" t="n"/>
      <c r="D27" s="16" t="n"/>
      <c r="E27" s="16" t="n"/>
    </row>
    <row r="28">
      <c r="A28" s="48" t="inlineStr">
        <is>
          <t>Signature:</t>
        </is>
      </c>
      <c r="B28" s="16" t="n"/>
      <c r="C28" s="16" t="n"/>
      <c r="D28" s="16" t="n"/>
      <c r="E28" s="16" t="n"/>
    </row>
    <row r="29">
      <c r="A29" s="48" t="inlineStr">
        <is>
          <t>Comments:</t>
        </is>
      </c>
      <c r="B29" s="16" t="n"/>
      <c r="C29" s="16" t="n"/>
      <c r="D29" s="16" t="n"/>
      <c r="E29" s="16" t="n"/>
    </row>
    <row r="30">
      <c r="A30" s="48" t="inlineStr">
        <is>
          <t>FINAL DECISION:</t>
        </is>
      </c>
      <c r="B30" s="16" t="n"/>
      <c r="C30" s="16" t="n"/>
      <c r="D30" s="16" t="n"/>
      <c r="E30" s="16" t="n"/>
    </row>
    <row r="33">
      <c r="A33" s="47" t="inlineStr">
        <is>
          <t>NEXT REVIEW DETAILS</t>
        </is>
      </c>
      <c r="B33" s="6" t="n"/>
      <c r="C33" s="6" t="n"/>
      <c r="D33" s="6" t="n"/>
      <c r="E33" s="6" t="n"/>
    </row>
    <row r="34">
      <c r="A34" s="48" t="inlineStr">
        <is>
          <t>Next Review Date:</t>
        </is>
      </c>
      <c r="B34" s="16" t="n"/>
      <c r="C34" s="16" t="n"/>
      <c r="D34" s="16" t="n"/>
      <c r="E34" s="16" t="n"/>
    </row>
    <row r="35">
      <c r="A35" s="48" t="inlineStr">
        <is>
          <t>Review Responsible:</t>
        </is>
      </c>
      <c r="B35" s="16" t="n"/>
      <c r="C35" s="16" t="n"/>
      <c r="D35" s="16" t="n"/>
      <c r="E35" s="16" t="n"/>
    </row>
    <row r="36">
      <c r="A36" s="48" t="inlineStr">
        <is>
          <t>Special Considerations:</t>
        </is>
      </c>
      <c r="B36" s="16" t="n"/>
      <c r="C36" s="16" t="n"/>
      <c r="D36" s="16" t="n"/>
      <c r="E36" s="16"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ISMS-IMP-A.8.32.2 — Change Types &amp; Categories Assessment</dc:title>
  <dc:description xmlns:dc="http://purl.org/dc/elements/1.1/">ISMS Implementation Workbook — ISMS-IMP-A.8.32.2</dc:description>
  <dc:subject xmlns:dc="http://purl.org/dc/elements/1.1/">ISO/IEC 27001:2022 — Control A.8.32: Change Management</dc:subject>
  <dcterms:created xmlns:dcterms="http://purl.org/dc/terms/" xmlns:xsi="http://www.w3.org/2001/XMLSchema-instance" xsi:type="dcterms:W3CDTF">2026-03-07T11:28:30Z</dcterms:created>
  <dcterms:modified xmlns:dcterms="http://purl.org/dc/terms/" xmlns:xsi="http://www.w3.org/2001/XMLSchema-instance" xsi:type="dcterms:W3CDTF">2026-03-07T11:28:30Z</dcterms:modified>
</cp:coreProperties>
</file>