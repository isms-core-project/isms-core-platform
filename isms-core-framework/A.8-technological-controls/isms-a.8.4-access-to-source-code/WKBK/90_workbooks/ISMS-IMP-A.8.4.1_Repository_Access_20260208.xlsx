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epository_Inventory" sheetId="2" state="visible" r:id="rId2"/>
    <sheet xmlns:r="http://schemas.openxmlformats.org/officeDocument/2006/relationships" name="User_Access_Matrix" sheetId="3" state="visible" r:id="rId3"/>
    <sheet xmlns:r="http://schemas.openxmlformats.org/officeDocument/2006/relationships" name="Access_Approval_Records" sheetId="4" state="visible" r:id="rId4"/>
    <sheet xmlns:r="http://schemas.openxmlformats.org/officeDocument/2006/relationships" name="Access_Review_Log" sheetId="5" state="visible" r:id="rId5"/>
    <sheet xmlns:r="http://schemas.openxmlformats.org/officeDocument/2006/relationships" name="Deprovisioning_Log" sheetId="6" state="visible" r:id="rId6"/>
    <sheet xmlns:r="http://schemas.openxmlformats.org/officeDocument/2006/relationships" name="Third_Party_Access" sheetId="7" state="visible" r:id="rId7"/>
    <sheet xmlns:r="http://schemas.openxmlformats.org/officeDocument/2006/relationships" name="Service_Accounts" sheetId="8" state="visible" r:id="rId8"/>
    <sheet xmlns:r="http://schemas.openxmlformats.org/officeDocument/2006/relationships" name="Compliance_Scoring" sheetId="9" state="visible" r:id="rId9"/>
    <sheet xmlns:r="http://schemas.openxmlformats.org/officeDocument/2006/relationships" name="Gap_Analysis" sheetId="10" state="visible" r:id="rId10"/>
    <sheet xmlns:r="http://schemas.openxmlformats.org/officeDocument/2006/relationships" name="Evidence_Register" sheetId="11" state="visible" r:id="rId11"/>
    <sheet xmlns:r="http://schemas.openxmlformats.org/officeDocument/2006/relationships" name="Approval_Sign_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2"/>
    </font>
    <font>
      <name val="Calibri"/>
      <b val="1"/>
      <sz val="10"/>
    </font>
    <font>
      <b val="1"/>
      <sz val="12"/>
    </font>
    <font>
      <name val="Calibri"/>
      <sz val="11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3" fillId="5" borderId="0" pivotButton="0" quotePrefix="0" xfId="0"/>
    <xf numFmtId="0" fontId="0" fillId="0" borderId="0" applyAlignment="1" pivotButton="0" quotePrefix="0" xfId="0">
      <alignment horizont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ISMS-IMP-A.8.4.1 – Repository Access Control Assessment</t>
        </is>
      </c>
    </row>
    <row r="2" ht="25" customHeight="1">
      <c r="A2" s="2" t="inlineStr">
        <is>
          <t>ISO/IEC 27001:2022 - Control A.8.4: Access to Source Code</t>
        </is>
      </c>
    </row>
    <row r="4">
      <c r="A4" s="3" t="inlineStr">
        <is>
          <t>Document ID:</t>
        </is>
      </c>
      <c r="B4" t="inlineStr">
        <is>
          <t>ISMS-IMP-A.8.4.1</t>
        </is>
      </c>
    </row>
    <row r="5">
      <c r="A5" s="3" t="inlineStr">
        <is>
          <t>Assessment Area:</t>
        </is>
      </c>
      <c r="B5" t="inlineStr">
        <is>
          <t>Repository Access Control</t>
        </is>
      </c>
    </row>
    <row r="6">
      <c r="A6" s="3" t="inlineStr">
        <is>
          <t>Related Policy:</t>
        </is>
      </c>
      <c r="B6" t="inlineStr">
        <is>
          <t>ISMS-POL-A.8.4-S2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[ENTER DATE]</t>
        </is>
      </c>
    </row>
    <row r="9">
      <c r="A9" s="3" t="inlineStr">
        <is>
          <t>Completed By:</t>
        </is>
      </c>
      <c r="B9" s="4" t="inlineStr">
        <is>
          <t>[ENTER NAME]</t>
        </is>
      </c>
    </row>
    <row r="10">
      <c r="A10" s="3" t="inlineStr">
        <is>
          <t>Organization:</t>
        </is>
      </c>
      <c r="B10" s="4" t="inlineStr">
        <is>
          <t>[ENTER ORGANIZATION NAME]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4">
      <c r="A14" s="5" t="inlineStr">
        <is>
          <t>HOW TO USE THIS WORKBOOK</t>
        </is>
      </c>
    </row>
    <row r="15">
      <c r="A15" s="6" t="inlineStr">
        <is>
          <t>1. Complete the Repository_Inventory sheet for ALL source code repositories</t>
        </is>
      </c>
    </row>
    <row r="16">
      <c r="A16" s="6" t="inlineStr">
        <is>
          <t>2. Fill in the User_Access_Matrix sheet showing who has access to what</t>
        </is>
      </c>
    </row>
    <row r="17">
      <c r="A17" s="6" t="inlineStr">
        <is>
          <t>3. Document all access requests and approvals in Access_Approval_Records</t>
        </is>
      </c>
    </row>
    <row r="18">
      <c r="A18" s="6" t="inlineStr">
        <is>
          <t>4. Track quarterly access reviews in Access_Review_Log</t>
        </is>
      </c>
    </row>
    <row r="19">
      <c r="A19" s="6" t="inlineStr">
        <is>
          <t>5. The Compliance_Scoring sheet automatically calculates compliance metrics</t>
        </is>
      </c>
    </row>
    <row r="20">
      <c r="A20" s="6" t="inlineStr">
        <is>
          <t>6. Document gaps in Gap_Analysis with remediation plans</t>
        </is>
      </c>
    </row>
    <row r="21">
      <c r="A21" s="6" t="inlineStr">
        <is>
          <t>7. Maintain Evidence_Register for audit traceability</t>
        </is>
      </c>
    </row>
    <row r="22">
      <c r="A22" s="6" t="inlineStr">
        <is>
          <t>8. Obtain final approval and sign-off</t>
        </is>
      </c>
    </row>
    <row r="25">
      <c r="A25" s="5" t="inlineStr">
        <is>
          <t>STATUS LEGEND</t>
        </is>
      </c>
    </row>
    <row r="26">
      <c r="A26" s="7" t="inlineStr">
        <is>
          <t>Symbol</t>
        </is>
      </c>
      <c r="B26" s="7" t="inlineStr">
        <is>
          <t>Status</t>
        </is>
      </c>
      <c r="C26" s="7" t="inlineStr">
        <is>
          <t>Description</t>
        </is>
      </c>
      <c r="D26" s="7" t="inlineStr">
        <is>
          <t>Color Code</t>
        </is>
      </c>
    </row>
    <row r="27">
      <c r="A27" s="8" t="inlineStr">
        <is>
          <t>{CHECK}</t>
        </is>
      </c>
      <c r="B27" t="inlineStr">
        <is>
          <t>Appropriate</t>
        </is>
      </c>
      <c r="C27" t="inlineStr">
        <is>
          <t>Access is justified and appropriate</t>
        </is>
      </c>
      <c r="D27" s="9" t="inlineStr">
        <is>
          <t>Green</t>
        </is>
      </c>
    </row>
    <row r="28">
      <c r="A28" s="8" t="inlineStr">
        <is>
          <t>{WARNING}</t>
        </is>
      </c>
      <c r="B28" t="inlineStr">
        <is>
          <t>Excessive</t>
        </is>
      </c>
      <c r="C28" t="inlineStr">
        <is>
          <t>User has higher access than needed</t>
        </is>
      </c>
      <c r="D28" s="10" t="inlineStr">
        <is>
          <t>Yellow</t>
        </is>
      </c>
    </row>
    <row r="29">
      <c r="A29" s="8" t="inlineStr">
        <is>
          <t>{XMARK}</t>
        </is>
      </c>
      <c r="B29" t="inlineStr">
        <is>
          <t>Orphaned</t>
        </is>
      </c>
      <c r="C29" t="inlineStr">
        <is>
          <t>Former employee still has access</t>
        </is>
      </c>
      <c r="D29" s="11" t="inlineStr">
        <is>
          <t>Red</t>
        </is>
      </c>
    </row>
    <row r="30">
      <c r="A30" s="8" t="inlineStr">
        <is>
          <t>Ὄ5</t>
        </is>
      </c>
      <c r="B30" t="inlineStr">
        <is>
          <t>Expired</t>
        </is>
      </c>
      <c r="C30" t="inlineStr">
        <is>
          <t>Contractor access past contract end</t>
        </is>
      </c>
      <c r="D30" s="11" t="inlineStr">
        <is>
          <t>Red</t>
        </is>
      </c>
    </row>
    <row r="31">
      <c r="A31" s="8" t="inlineStr">
        <is>
          <t>✔</t>
        </is>
      </c>
      <c r="B31" t="inlineStr">
        <is>
          <t>Remediated</t>
        </is>
      </c>
      <c r="C31" t="inlineStr">
        <is>
          <t>Finding has been addressed</t>
        </is>
      </c>
      <c r="D31" s="12" t="inlineStr">
        <is>
          <t>Blue</t>
        </is>
      </c>
    </row>
    <row r="34">
      <c r="A34" s="5" t="inlineStr">
        <is>
          <t>ACCEPTABLE EVIDENCE (Examples)</t>
        </is>
      </c>
    </row>
    <row r="35">
      <c r="A35" s="6" t="inlineStr">
        <is>
          <t>✓ Repository platform access reports (exports from GitHub, GitLab, etc.)</t>
        </is>
      </c>
    </row>
    <row r="36">
      <c r="A36" s="6" t="inlineStr">
        <is>
          <t>✓ Access request tickets and approval emails</t>
        </is>
      </c>
    </row>
    <row r="37">
      <c r="A37" s="6" t="inlineStr">
        <is>
          <t>✓ NDA signature records for personnel with code access</t>
        </is>
      </c>
    </row>
    <row r="38">
      <c r="A38" s="6" t="inlineStr">
        <is>
          <t>✓ Contractor contracts showing access periods</t>
        </is>
      </c>
    </row>
    <row r="39">
      <c r="A39" s="6" t="inlineStr">
        <is>
          <t>✓ Access review completion reports</t>
        </is>
      </c>
    </row>
    <row r="40">
      <c r="A40" s="6" t="inlineStr">
        <is>
          <t>✓ Deprovisioning logs showing timely access removal</t>
        </is>
      </c>
    </row>
    <row r="41">
      <c r="A41" s="6" t="inlineStr">
        <is>
          <t>✓ User-to-repository access matrix</t>
        </is>
      </c>
    </row>
    <row r="42">
      <c r="A42" s="6" t="inlineStr">
        <is>
          <t>✓ HR termination records correlated with access removal</t>
        </is>
      </c>
    </row>
  </sheetData>
  <mergeCells count="5">
    <mergeCell ref="A2:F2"/>
    <mergeCell ref="A14:F14"/>
    <mergeCell ref="A1:F1"/>
    <mergeCell ref="A34:F34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23" customWidth="1" min="4" max="4"/>
    <col width="20" customWidth="1" min="5" max="5"/>
    <col width="30" customWidth="1" min="6" max="6"/>
    <col width="40" customWidth="1" min="7" max="7"/>
    <col width="25" customWidth="1" min="8" max="8"/>
    <col width="18" customWidth="1" min="9" max="9"/>
    <col width="18" customWidth="1" min="10" max="10"/>
    <col width="15" customWidth="1" min="11" max="11"/>
    <col width="20" customWidth="1" min="12" max="12"/>
    <col width="20" customWidth="1" min="13" max="13"/>
    <col width="12" customWidth="1" min="14" max="14"/>
    <col width="20" customWidth="1" min="15" max="15"/>
    <col width="20" customWidth="1" min="16" max="16"/>
    <col width="23" customWidth="1" min="17" max="17"/>
    <col width="20" customWidth="1" min="18" max="18"/>
    <col width="20" customWidth="1" min="19" max="19"/>
    <col width="30" customWidth="1" min="20" max="20"/>
  </cols>
  <sheetData>
    <row r="1" ht="30" customHeight="1">
      <c r="A1" s="1" t="inlineStr">
        <is>
          <t>REPOSITORY INVENTORY</t>
        </is>
      </c>
    </row>
    <row r="2" ht="25" customHeight="1">
      <c r="A2" s="2" t="inlineStr">
        <is>
          <t>Document all source code repositories regardless of platform</t>
        </is>
      </c>
    </row>
    <row r="3">
      <c r="A3" s="13" t="inlineStr">
        <is>
          <t>Repository Name</t>
        </is>
      </c>
      <c r="B3" s="13" t="inlineStr">
        <is>
          <t>Repository URL</t>
        </is>
      </c>
      <c r="C3" s="13" t="inlineStr">
        <is>
          <t>Repository Platform</t>
        </is>
      </c>
      <c r="D3" s="13" t="inlineStr">
        <is>
          <t>Repository Classification</t>
        </is>
      </c>
      <c r="E3" s="13" t="inlineStr">
        <is>
          <t>Repository Owner</t>
        </is>
      </c>
      <c r="F3" s="13" t="inlineStr">
        <is>
          <t>Repository Owner Email</t>
        </is>
      </c>
      <c r="G3" s="13" t="inlineStr">
        <is>
          <t>Business Purpose</t>
        </is>
      </c>
      <c r="H3" s="13" t="inlineStr">
        <is>
          <t>Primary Programming Language</t>
        </is>
      </c>
      <c r="I3" s="13" t="inlineStr">
        <is>
          <t>Last Commit Date</t>
        </is>
      </c>
      <c r="J3" s="13" t="inlineStr">
        <is>
          <t>Active/Inactive Status</t>
        </is>
      </c>
      <c r="K3" s="13" t="inlineStr">
        <is>
          <t>Total Contributors</t>
        </is>
      </c>
      <c r="L3" s="13" t="inlineStr">
        <is>
          <t>Total Commits (Lifetime)</t>
        </is>
      </c>
      <c r="M3" s="13" t="inlineStr">
        <is>
          <t>Repository Creation Date</t>
        </is>
      </c>
      <c r="N3" s="13" t="inlineStr">
        <is>
          <t>Criticality</t>
        </is>
      </c>
      <c r="O3" s="13" t="inlineStr">
        <is>
          <t>Contains Production Code</t>
        </is>
      </c>
      <c r="P3" s="13" t="inlineStr">
        <is>
          <t>Contains Sensitive Data</t>
        </is>
      </c>
      <c r="Q3" s="13" t="inlineStr">
        <is>
          <t>Branch Protection Enabled</t>
        </is>
      </c>
      <c r="R3" s="13" t="inlineStr">
        <is>
          <t>Secret Scanning Enabled</t>
        </is>
      </c>
      <c r="S3" s="13" t="inlineStr">
        <is>
          <t>Last Access Review Date</t>
        </is>
      </c>
      <c r="T3" s="13" t="inlineStr">
        <is>
          <t>Notes</t>
        </is>
      </c>
    </row>
    <row r="4">
      <c r="A4" s="4" t="inlineStr">
        <is>
          <t>[Example: customer-portal]</t>
        </is>
      </c>
      <c r="B4" s="4" t="inlineStr">
        <is>
          <t>[Example: https://github.com/org/customer-portal]</t>
        </is>
      </c>
      <c r="C4" s="4" t="inlineStr">
        <is>
          <t>GitHub</t>
        </is>
      </c>
      <c r="D4" s="4" t="inlineStr">
        <is>
          <t>Production Code</t>
        </is>
      </c>
      <c r="E4" s="4" t="inlineStr">
        <is>
          <t>[Example: Jane Doe]</t>
        </is>
      </c>
      <c r="F4" s="4" t="inlineStr">
        <is>
          <t>[Example: jane.doe@organization.com]</t>
        </is>
      </c>
      <c r="G4" s="4" t="inlineStr">
        <is>
          <t>[Example: Customer-facing web application]</t>
        </is>
      </c>
      <c r="H4" s="4" t="inlineStr">
        <is>
          <t>[Example: Python]</t>
        </is>
      </c>
      <c r="I4" s="4" t="inlineStr">
        <is>
          <t>08.02.2026</t>
        </is>
      </c>
      <c r="J4" s="4" t="inlineStr">
        <is>
          <t>Active</t>
        </is>
      </c>
      <c r="K4" s="4" t="inlineStr">
        <is>
          <t>[Example: 15]</t>
        </is>
      </c>
      <c r="L4" s="4" t="inlineStr">
        <is>
          <t>[Example: 3,245]</t>
        </is>
      </c>
      <c r="M4" s="4" t="inlineStr">
        <is>
          <t>[Example: 2021-03-15]</t>
        </is>
      </c>
      <c r="N4" s="4" t="inlineStr">
        <is>
          <t>Critical</t>
        </is>
      </c>
      <c r="O4" s="4" t="inlineStr">
        <is>
          <t>✅ Yes</t>
        </is>
      </c>
      <c r="P4" s="4" t="inlineStr">
        <is>
          <t>❌ No</t>
        </is>
      </c>
      <c r="Q4" s="4" t="inlineStr">
        <is>
          <t>✅ Yes</t>
        </is>
      </c>
      <c r="R4" s="4" t="inlineStr">
        <is>
          <t>✅ Yes</t>
        </is>
      </c>
      <c r="S4" s="4" t="inlineStr">
        <is>
          <t>08.02.2026</t>
        </is>
      </c>
      <c r="T4" s="4" t="inlineStr">
        <is>
          <t>[Example notes]</t>
        </is>
      </c>
    </row>
  </sheetData>
  <mergeCells count="2">
    <mergeCell ref="A1:T1"/>
    <mergeCell ref="A2:T2"/>
  </mergeCells>
  <dataValidations count="5">
    <dataValidation sqref="C5:C500 G5:G500" showDropDown="0" showInputMessage="0" showErrorMessage="0" allowBlank="0" type="list">
      <formula1>"GitHub,GitLab,Bitbucket,Azure DevOps,Self-Hosted Git,Perforce,SVN,Other"</formula1>
    </dataValidation>
    <dataValidation sqref="D5:D500" showDropDown="0" showInputMessage="0" showErrorMessage="0" allowBlank="0" type="list">
      <formula1>"Production Code,Internal Tools,Open Source,Archived/Deprecated"</formula1>
    </dataValidation>
    <dataValidation sqref="J5:J500" showDropDown="0" showInputMessage="0" showErrorMessage="0" allowBlank="0" type="list">
      <formula1>"Active,Archived,Deprecated,Planned"</formula1>
    </dataValidation>
    <dataValidation sqref="N5:N500" showDropDown="0" showInputMessage="0" showErrorMessage="0" allowBlank="0" type="list">
      <formula1>"Critical,High,Medium,Low"</formula1>
    </dataValidation>
    <dataValidation sqref="N5:N500 O5:O500 P5:P500 Q5:Q500 R5:R500" showDropDown="0" showInputMessage="0" showErrorMessage="0" allowBlank="0" type="list">
      <formula1>"✅ Yes,❌ No,⚠️ Partial,❓ 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8" customWidth="1" min="4" max="4"/>
    <col width="20" customWidth="1" min="5" max="5"/>
    <col width="25" customWidth="1" min="6" max="6"/>
    <col width="18" customWidth="1" min="7" max="7"/>
    <col width="18" customWidth="1" min="8" max="8"/>
    <col width="18" customWidth="1" min="9" max="9"/>
    <col width="20" customWidth="1" min="10" max="10"/>
    <col width="4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18" customWidth="1" min="18" max="18"/>
    <col width="18" customWidth="1" min="19" max="19"/>
    <col width="30" customWidth="1" min="20" max="20"/>
  </cols>
  <sheetData>
    <row r="1" ht="30" customHeight="1">
      <c r="A1" s="1" t="inlineStr">
        <is>
          <t>USER ACCESS MATRIX</t>
        </is>
      </c>
    </row>
    <row r="2" ht="25" customHeight="1">
      <c r="A2" s="2" t="inlineStr">
        <is>
          <t>Document all user access to repositories</t>
        </is>
      </c>
    </row>
    <row r="3">
      <c r="A3" s="13" t="inlineStr">
        <is>
          <t>User Name</t>
        </is>
      </c>
      <c r="B3" s="13" t="inlineStr">
        <is>
          <t>User Email</t>
        </is>
      </c>
      <c r="C3" s="13" t="inlineStr">
        <is>
          <t>User Role</t>
        </is>
      </c>
      <c r="D3" s="13" t="inlineStr">
        <is>
          <t>Employment Type</t>
        </is>
      </c>
      <c r="E3" s="13" t="inlineStr">
        <is>
          <t>Department/Team</t>
        </is>
      </c>
      <c r="F3" s="13" t="inlineStr">
        <is>
          <t>Repository Name</t>
        </is>
      </c>
      <c r="G3" s="13" t="inlineStr">
        <is>
          <t>Repository Platform</t>
        </is>
      </c>
      <c r="H3" s="13" t="inlineStr">
        <is>
          <t>Access Level</t>
        </is>
      </c>
      <c r="I3" s="13" t="inlineStr">
        <is>
          <t>Access Granted Date</t>
        </is>
      </c>
      <c r="J3" s="13" t="inlineStr">
        <is>
          <t>Access Approved By</t>
        </is>
      </c>
      <c r="K3" s="13" t="inlineStr">
        <is>
          <t>Business Justification</t>
        </is>
      </c>
      <c r="L3" s="13" t="inlineStr">
        <is>
          <t>Contract End Date</t>
        </is>
      </c>
      <c r="M3" s="13" t="inlineStr">
        <is>
          <t>Access Expiration Date</t>
        </is>
      </c>
      <c r="N3" s="13" t="inlineStr">
        <is>
          <t>Last Access Date</t>
        </is>
      </c>
      <c r="O3" s="13" t="inlineStr">
        <is>
          <t>Access Status</t>
        </is>
      </c>
      <c r="P3" s="13" t="inlineStr">
        <is>
          <t>Last Review Date</t>
        </is>
      </c>
      <c r="Q3" s="13" t="inlineStr">
        <is>
          <t>Reviewer Comments</t>
        </is>
      </c>
      <c r="R3" s="13" t="inlineStr">
        <is>
          <t>Remediation Required</t>
        </is>
      </c>
      <c r="S3" s="13" t="inlineStr">
        <is>
          <t>Remediation Due Date</t>
        </is>
      </c>
      <c r="T3" s="13" t="inlineStr">
        <is>
          <t>Notes</t>
        </is>
      </c>
    </row>
    <row r="4">
      <c r="A4" s="4" t="inlineStr">
        <is>
          <t>[Example: John Smith]</t>
        </is>
      </c>
      <c r="B4" s="4" t="inlineStr">
        <is>
          <t>[Example: john.smith@organization.com]</t>
        </is>
      </c>
      <c r="C4" s="4" t="inlineStr">
        <is>
          <t>Developer</t>
        </is>
      </c>
      <c r="D4" s="4" t="inlineStr">
        <is>
          <t>Employee</t>
        </is>
      </c>
      <c r="E4" s="4" t="inlineStr">
        <is>
          <t>[Example: Engineering]</t>
        </is>
      </c>
      <c r="F4" s="4" t="inlineStr">
        <is>
          <t>[Example: customer-portal]</t>
        </is>
      </c>
      <c r="G4" s="4" t="inlineStr">
        <is>
          <t>GitHub</t>
        </is>
      </c>
      <c r="H4" s="4" t="inlineStr">
        <is>
          <t>Write/Contribute</t>
        </is>
      </c>
      <c r="I4" s="4" t="inlineStr">
        <is>
          <t>08.02.2026</t>
        </is>
      </c>
      <c r="J4" s="4" t="inlineStr">
        <is>
          <t>[Example: Jane Doe]</t>
        </is>
      </c>
      <c r="K4" s="4" t="inlineStr">
        <is>
          <t>[Example: Active development on customer portal project]</t>
        </is>
      </c>
      <c r="L4" s="4" t="inlineStr"/>
      <c r="M4" s="4" t="inlineStr"/>
      <c r="N4" s="4" t="inlineStr">
        <is>
          <t>24.01.2026</t>
        </is>
      </c>
      <c r="O4" s="4" t="inlineStr">
        <is>
          <t>✅ Appropriate</t>
        </is>
      </c>
      <c r="P4" s="4" t="inlineStr">
        <is>
          <t>08.02.2026</t>
        </is>
      </c>
      <c r="Q4" s="4" t="inlineStr">
        <is>
          <t>[Example: Access reviewed and confirmed]</t>
        </is>
      </c>
      <c r="R4" s="4" t="inlineStr">
        <is>
          <t>❌ No</t>
        </is>
      </c>
      <c r="S4" s="4" t="inlineStr"/>
      <c r="T4" s="4" t="inlineStr"/>
    </row>
  </sheetData>
  <mergeCells count="2">
    <mergeCell ref="A1:T1"/>
    <mergeCell ref="A2:T2"/>
  </mergeCells>
  <dataValidations count="6">
    <dataValidation sqref="C5:C500" showDropDown="0" showInputMessage="0" showErrorMessage="0" allowBlank="0" type="list">
      <formula1>"Developer,Security Team,Auditor,External Contractor,Repository Admin,Service Account"</formula1>
    </dataValidation>
    <dataValidation sqref="D5:D500" showDropDown="0" showInputMessage="0" showErrorMessage="0" allowBlank="0" type="list">
      <formula1>"Employee,Contractor,Auditor,Automated System"</formula1>
    </dataValidation>
    <dataValidation sqref="C5:C500 G5:G500" showDropDown="0" showInputMessage="0" showErrorMessage="0" allowBlank="0" type="list">
      <formula1>"GitHub,GitLab,Bitbucket,Azure DevOps,Self-Hosted Git,Perforce,SVN,Other"</formula1>
    </dataValidation>
    <dataValidation sqref="F5:F500 G5:G500 H5:H500" showDropDown="0" showInputMessage="0" showErrorMessage="0" allowBlank="0" type="list">
      <formula1>"Read,Write/Contribute,Admin"</formula1>
    </dataValidation>
    <dataValidation sqref="O5:O500" showDropDown="0" showInputMessage="0" showErrorMessage="0" allowBlank="0" type="list">
      <formula1>"✅ Appropriate,⚠️ Excessive,❌ Orphaned,📅 Expired,✔️ Remediated"</formula1>
    </dataValidation>
    <dataValidation sqref="N5:N500 O5:O500 P5:P500 Q5:Q500 R5:R500" showDropDown="0" showInputMessage="0" showErrorMessage="0" allowBlank="0" type="list">
      <formula1>"✅ Yes,❌ No,⚠️ Partial,❓ 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30" customWidth="1" min="4" max="4"/>
    <col width="25" customWidth="1" min="5" max="5"/>
    <col width="20" customWidth="1" min="6" max="6"/>
    <col width="40" customWidth="1" min="7" max="7"/>
    <col width="15" customWidth="1" min="8" max="8"/>
    <col width="18" customWidth="1" min="9" max="9"/>
    <col width="20" customWidth="1" min="10" max="10"/>
    <col width="15" customWidth="1" min="11" max="11"/>
    <col width="15" customWidth="1" min="12" max="12"/>
    <col width="20" customWidth="1" min="13" max="13"/>
    <col width="18" customWidth="1" min="14" max="14"/>
    <col width="15" customWidth="1" min="15" max="15"/>
    <col width="20" customWidth="1" min="16" max="16"/>
    <col width="30" customWidth="1" min="17" max="17"/>
    <col width="30" customWidth="1" min="18" max="18"/>
  </cols>
  <sheetData>
    <row r="1" ht="30" customHeight="1">
      <c r="A1" s="1" t="inlineStr">
        <is>
          <t>ACCESS APPROVAL RECORDS</t>
        </is>
      </c>
    </row>
    <row r="2" ht="25" customHeight="1">
      <c r="A2" s="2" t="inlineStr">
        <is>
          <t>Document all access request approvals for audit trail</t>
        </is>
      </c>
    </row>
    <row r="3">
      <c r="A3" s="13" t="inlineStr">
        <is>
          <t>Request Date</t>
        </is>
      </c>
      <c r="B3" s="13" t="inlineStr">
        <is>
          <t>Request ID</t>
        </is>
      </c>
      <c r="C3" s="13" t="inlineStr">
        <is>
          <t>Requestor Name</t>
        </is>
      </c>
      <c r="D3" s="13" t="inlineStr">
        <is>
          <t>Requestor Email</t>
        </is>
      </c>
      <c r="E3" s="13" t="inlineStr">
        <is>
          <t>Repository Name</t>
        </is>
      </c>
      <c r="F3" s="13" t="inlineStr">
        <is>
          <t>Access Level Requested</t>
        </is>
      </c>
      <c r="G3" s="13" t="inlineStr">
        <is>
          <t>Business Justification</t>
        </is>
      </c>
      <c r="H3" s="13" t="inlineStr">
        <is>
          <t>Expected Duration</t>
        </is>
      </c>
      <c r="I3" s="13" t="inlineStr">
        <is>
          <t>Expected End Date</t>
        </is>
      </c>
      <c r="J3" s="13" t="inlineStr">
        <is>
          <t>Repository Owner</t>
        </is>
      </c>
      <c r="K3" s="13" t="inlineStr">
        <is>
          <t>Owner Approval</t>
        </is>
      </c>
      <c r="L3" s="13" t="inlineStr">
        <is>
          <t>Approval Date</t>
        </is>
      </c>
      <c r="M3" s="13" t="inlineStr">
        <is>
          <t>Additional Approver</t>
        </is>
      </c>
      <c r="N3" s="13" t="inlineStr">
        <is>
          <t>Additional Approval</t>
        </is>
      </c>
      <c r="O3" s="13" t="inlineStr">
        <is>
          <t>Provisioning Date</t>
        </is>
      </c>
      <c r="P3" s="13" t="inlineStr">
        <is>
          <t>Provisioned By</t>
        </is>
      </c>
      <c r="Q3" s="13" t="inlineStr">
        <is>
          <t>Denial Reason</t>
        </is>
      </c>
      <c r="R3" s="13" t="inlineStr">
        <is>
          <t>Notes</t>
        </is>
      </c>
    </row>
    <row r="4">
      <c r="A4" s="4" t="inlineStr">
        <is>
          <t>08.02.2026</t>
        </is>
      </c>
      <c r="B4" s="4" t="inlineStr">
        <is>
          <t>[Example: TICKET-12345]</t>
        </is>
      </c>
      <c r="C4" s="4" t="inlineStr">
        <is>
          <t>[Example: Bob Johnson]</t>
        </is>
      </c>
      <c r="D4" s="4" t="inlineStr">
        <is>
          <t>[Example: bob.johnson@organization.com]</t>
        </is>
      </c>
      <c r="E4" s="4" t="inlineStr">
        <is>
          <t>[Example: customer-portal]</t>
        </is>
      </c>
      <c r="F4" s="4" t="inlineStr">
        <is>
          <t>Write/Contribute</t>
        </is>
      </c>
      <c r="G4" s="4" t="inlineStr">
        <is>
          <t>[Example: Need to fix authentication bug]</t>
        </is>
      </c>
      <c r="H4" s="4" t="inlineStr">
        <is>
          <t>Permanent</t>
        </is>
      </c>
      <c r="I4" s="4" t="inlineStr"/>
      <c r="J4" s="4" t="inlineStr">
        <is>
          <t>[Example: Jane Doe]</t>
        </is>
      </c>
      <c r="K4" s="4" t="inlineStr">
        <is>
          <t>✅ Approved</t>
        </is>
      </c>
      <c r="L4" s="4" t="inlineStr">
        <is>
          <t>08.02.2026</t>
        </is>
      </c>
      <c r="M4" s="4" t="inlineStr"/>
      <c r="N4" s="4" t="inlineStr">
        <is>
          <t>➖ N/A</t>
        </is>
      </c>
      <c r="O4" s="4" t="inlineStr">
        <is>
          <t>09.02.2026</t>
        </is>
      </c>
      <c r="P4" s="4" t="inlineStr">
        <is>
          <t>[Example: DevOps Team]</t>
        </is>
      </c>
      <c r="Q4" s="4" t="inlineStr"/>
      <c r="R4" s="4" t="inlineStr"/>
    </row>
  </sheetData>
  <mergeCells count="2">
    <mergeCell ref="A2:R2"/>
    <mergeCell ref="A1:R1"/>
  </mergeCells>
  <dataValidations count="4">
    <dataValidation sqref="F5:F500 G5:G500 H5:H500" showDropDown="0" showInputMessage="0" showErrorMessage="0" allowBlank="0" type="list">
      <formula1>"Read,Write/Contribute,Admin"</formula1>
    </dataValidation>
    <dataValidation sqref="H5:H500" showDropDown="0" showInputMessage="0" showErrorMessage="0" allowBlank="0" type="list">
      <formula1>"Permanent,Time-Bound"</formula1>
    </dataValidation>
    <dataValidation sqref="K5:K500" showDropDown="0" showInputMessage="0" showErrorMessage="0" allowBlank="0" type="list">
      <formula1>"✅ Approved,❌ Denied,⏳ Pending"</formula1>
    </dataValidation>
    <dataValidation sqref="N5:N500" showDropDown="0" showInputMessage="0" showErrorMessage="0" allowBlank="0" type="list">
      <formula1>"✅ Approved,❌ Denied,➖ 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  <col width="15" customWidth="1" min="5" max="5"/>
    <col width="40" customWidth="1" min="6" max="6"/>
    <col width="15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5" customWidth="1" min="13" max="13"/>
    <col width="18" customWidth="1" min="14" max="14"/>
    <col width="18" customWidth="1" min="15" max="15"/>
    <col width="18" customWidth="1" min="16" max="16"/>
    <col width="15" customWidth="1" min="17" max="17"/>
    <col width="18" customWidth="1" min="18" max="18"/>
    <col width="18" customWidth="1" min="19" max="19"/>
    <col width="30" customWidth="1" min="20" max="20"/>
  </cols>
  <sheetData>
    <row r="1" ht="30" customHeight="1">
      <c r="A1" s="1" t="inlineStr">
        <is>
          <t>ACCESS REVIEW LOG</t>
        </is>
      </c>
    </row>
    <row r="2" ht="25" customHeight="1">
      <c r="A2" s="2" t="inlineStr">
        <is>
          <t>Track quarterly access reviews for all repositories</t>
        </is>
      </c>
    </row>
    <row r="3">
      <c r="A3" s="13" t="inlineStr">
        <is>
          <t>Review Date</t>
        </is>
      </c>
      <c r="B3" s="13" t="inlineStr">
        <is>
          <t>Review Quarter</t>
        </is>
      </c>
      <c r="C3" s="13" t="inlineStr">
        <is>
          <t>Reviewer Name</t>
        </is>
      </c>
      <c r="D3" s="13" t="inlineStr">
        <is>
          <t>Reviewer Role</t>
        </is>
      </c>
      <c r="E3" s="13" t="inlineStr">
        <is>
          <t>Repositories Reviewed</t>
        </is>
      </c>
      <c r="F3" s="13" t="inlineStr">
        <is>
          <t>Repository Names</t>
        </is>
      </c>
      <c r="G3" s="13" t="inlineStr">
        <is>
          <t>Total Users Reviewed</t>
        </is>
      </c>
      <c r="H3" s="13" t="inlineStr">
        <is>
          <t>Appropriate Access Found</t>
        </is>
      </c>
      <c r="I3" s="13" t="inlineStr">
        <is>
          <t>Excessive Access Found</t>
        </is>
      </c>
      <c r="J3" s="13" t="inlineStr">
        <is>
          <t>Unnecessary Access Found</t>
        </is>
      </c>
      <c r="K3" s="13" t="inlineStr">
        <is>
          <t>Orphaned Accounts Found</t>
        </is>
      </c>
      <c r="L3" s="13" t="inlineStr">
        <is>
          <t>Contractor Expired Found</t>
        </is>
      </c>
      <c r="M3" s="13" t="inlineStr">
        <is>
          <t>Total Findings</t>
        </is>
      </c>
      <c r="N3" s="13" t="inlineStr">
        <is>
          <t>Remediation Completed</t>
        </is>
      </c>
      <c r="O3" s="13" t="inlineStr">
        <is>
          <t>Remediation Pending</t>
        </is>
      </c>
      <c r="P3" s="13" t="inlineStr">
        <is>
          <t>Review Completion Date</t>
        </is>
      </c>
      <c r="Q3" s="13" t="inlineStr">
        <is>
          <t>Days to Complete</t>
        </is>
      </c>
      <c r="R3" s="13" t="inlineStr">
        <is>
          <t>Next Review Due Date</t>
        </is>
      </c>
      <c r="S3" s="13" t="inlineStr">
        <is>
          <t>Compliance Status</t>
        </is>
      </c>
      <c r="T3" s="13" t="inlineStr">
        <is>
          <t>Notes</t>
        </is>
      </c>
    </row>
    <row r="4">
      <c r="A4" s="4" t="inlineStr">
        <is>
          <t>08.02.2026</t>
        </is>
      </c>
      <c r="B4" s="4" t="inlineStr">
        <is>
          <t>Q1 2026</t>
        </is>
      </c>
      <c r="C4" s="4" t="inlineStr">
        <is>
          <t>[Example: Repository Owner]</t>
        </is>
      </c>
      <c r="D4" s="4" t="inlineStr">
        <is>
          <t>[Example: Engineering Manager]</t>
        </is>
      </c>
      <c r="E4" s="4" t="inlineStr">
        <is>
          <t>[Example: 5]</t>
        </is>
      </c>
      <c r="F4" s="4" t="inlineStr">
        <is>
          <t>[Example: customer-portal, api-gateway, ...]</t>
        </is>
      </c>
      <c r="G4" s="4" t="inlineStr">
        <is>
          <t>[Example: 25]</t>
        </is>
      </c>
      <c r="H4" s="4" t="inlineStr">
        <is>
          <t>[Example: 22]</t>
        </is>
      </c>
      <c r="I4" s="4" t="inlineStr">
        <is>
          <t>[Example: 2]</t>
        </is>
      </c>
      <c r="J4" s="4" t="inlineStr">
        <is>
          <t>[Example: 1]</t>
        </is>
      </c>
      <c r="K4" s="4" t="inlineStr">
        <is>
          <t>[Example: 0]</t>
        </is>
      </c>
      <c r="L4" s="4" t="inlineStr">
        <is>
          <t>[Example: 0]</t>
        </is>
      </c>
      <c r="M4" s="4">
        <f>I4+J4+K4+L4</f>
        <v/>
      </c>
      <c r="N4" s="4" t="inlineStr">
        <is>
          <t>[Example: 3]</t>
        </is>
      </c>
      <c r="O4" s="4">
        <f>M4-N4</f>
        <v/>
      </c>
      <c r="P4" s="4" t="inlineStr">
        <is>
          <t>15.02.2026</t>
        </is>
      </c>
      <c r="Q4" s="4">
        <f>P4-A4</f>
        <v/>
      </c>
      <c r="R4" s="4" t="inlineStr">
        <is>
          <t>09.05.2026</t>
        </is>
      </c>
      <c r="S4" s="4" t="inlineStr">
        <is>
          <t>✅ Compliant</t>
        </is>
      </c>
      <c r="T4" s="4" t="inlineStr">
        <is>
          <t>[Example: All findings being addressed]</t>
        </is>
      </c>
    </row>
  </sheetData>
  <mergeCells count="2">
    <mergeCell ref="A1:T1"/>
    <mergeCell ref="A2:T2"/>
  </mergeCells>
  <dataValidations count="1">
    <dataValidation sqref="S5:S500" showDropDown="0" showInputMessage="0" showErrorMessage="0" allowBlank="0" type="list">
      <formula1>"✅ Compliant,⚠️ Partial,❌ Non-Compliant"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5" customWidth="1" min="4" max="4"/>
    <col width="20" customWidth="1" min="5" max="5"/>
    <col width="25" customWidth="1" min="6" max="6"/>
    <col width="18" customWidth="1" min="7" max="7"/>
    <col width="18" customWidth="1" min="8" max="8"/>
    <col width="15" customWidth="1" min="9" max="9"/>
    <col width="20" customWidth="1" min="10" max="10"/>
    <col width="15" customWidth="1" min="11" max="11"/>
    <col width="18" customWidth="1" min="12" max="12"/>
    <col width="15" customWidth="1" min="13" max="13"/>
    <col width="18" customWidth="1" min="14" max="14"/>
    <col width="30" customWidth="1" min="15" max="15"/>
    <col width="30" customWidth="1" min="16" max="16"/>
  </cols>
  <sheetData>
    <row r="1" ht="30" customHeight="1">
      <c r="A1" s="1" t="inlineStr">
        <is>
          <t>DEPROVISIONING LOG</t>
        </is>
      </c>
    </row>
    <row r="2" ht="25" customHeight="1">
      <c r="A2" s="2" t="inlineStr">
        <is>
          <t>Track access removal for audit trail</t>
        </is>
      </c>
    </row>
    <row r="3">
      <c r="A3" s="13" t="inlineStr">
        <is>
          <t>User Name</t>
        </is>
      </c>
      <c r="B3" s="13" t="inlineStr">
        <is>
          <t>User Email</t>
        </is>
      </c>
      <c r="C3" s="13" t="inlineStr">
        <is>
          <t>Deprovisioning Event</t>
        </is>
      </c>
      <c r="D3" s="13" t="inlineStr">
        <is>
          <t>Event Date</t>
        </is>
      </c>
      <c r="E3" s="13" t="inlineStr">
        <is>
          <t>Notification Received Date</t>
        </is>
      </c>
      <c r="F3" s="13" t="inlineStr">
        <is>
          <t>Repository Name</t>
        </is>
      </c>
      <c r="G3" s="13" t="inlineStr">
        <is>
          <t>Previous Access Level</t>
        </is>
      </c>
      <c r="H3" s="13" t="inlineStr">
        <is>
          <t>Access Removed Date</t>
        </is>
      </c>
      <c r="I3" s="13" t="inlineStr">
        <is>
          <t>Hours to Deprovision</t>
        </is>
      </c>
      <c r="J3" s="13" t="inlineStr">
        <is>
          <t>Removed By</t>
        </is>
      </c>
      <c r="K3" s="13" t="inlineStr">
        <is>
          <t>Removal Method</t>
        </is>
      </c>
      <c r="L3" s="13" t="inlineStr">
        <is>
          <t>Verification Method</t>
        </is>
      </c>
      <c r="M3" s="13" t="inlineStr">
        <is>
          <t>Verification Date</t>
        </is>
      </c>
      <c r="N3" s="13" t="inlineStr">
        <is>
          <t>Compliant Timeline</t>
        </is>
      </c>
      <c r="O3" s="13" t="inlineStr">
        <is>
          <t>Delay Reason</t>
        </is>
      </c>
      <c r="P3" s="13" t="inlineStr">
        <is>
          <t>Notes</t>
        </is>
      </c>
    </row>
    <row r="4">
      <c r="A4" s="4" t="inlineStr">
        <is>
          <t>[Example: Former Employee]</t>
        </is>
      </c>
      <c r="B4" s="4" t="inlineStr">
        <is>
          <t>[Example: former@organization.com]</t>
        </is>
      </c>
      <c r="C4" s="4" t="inlineStr">
        <is>
          <t>Termination</t>
        </is>
      </c>
      <c r="D4" s="4" t="inlineStr">
        <is>
          <t>06.02.2026</t>
        </is>
      </c>
      <c r="E4" s="4" t="inlineStr">
        <is>
          <t>06.02.2026</t>
        </is>
      </c>
      <c r="F4" s="4" t="inlineStr">
        <is>
          <t>[Example: customer-portal]</t>
        </is>
      </c>
      <c r="G4" s="4" t="inlineStr">
        <is>
          <t>Write/Contribute</t>
        </is>
      </c>
      <c r="H4" s="4" t="inlineStr">
        <is>
          <t>07.02.2026</t>
        </is>
      </c>
      <c r="I4" s="4">
        <f>INT((H4-D4)*24)</f>
        <v/>
      </c>
      <c r="J4" s="4" t="inlineStr">
        <is>
          <t>[Example: DevOps Team]</t>
        </is>
      </c>
      <c r="K4" s="4" t="inlineStr">
        <is>
          <t>Automated</t>
        </is>
      </c>
      <c r="L4" s="4" t="inlineStr">
        <is>
          <t>Platform Check</t>
        </is>
      </c>
      <c r="M4" s="4" t="inlineStr">
        <is>
          <t>07.02.2026</t>
        </is>
      </c>
      <c r="N4" s="4" t="inlineStr">
        <is>
          <t>✅ Yes</t>
        </is>
      </c>
      <c r="O4" s="4" t="inlineStr"/>
      <c r="P4" s="4" t="inlineStr"/>
    </row>
  </sheetData>
  <mergeCells count="2">
    <mergeCell ref="A1:P1"/>
    <mergeCell ref="A2:P2"/>
  </mergeCells>
  <dataValidations count="5">
    <dataValidation sqref="C5:C500" showDropDown="0" showInputMessage="0" showErrorMessage="0" allowBlank="0" type="list">
      <formula1>"Termination,Role Change,Contract End,Access Review,Security Incident"</formula1>
    </dataValidation>
    <dataValidation sqref="F5:F500 G5:G500 H5:H500" showDropDown="0" showInputMessage="0" showErrorMessage="0" allowBlank="0" type="list">
      <formula1>"Read,Write/Contribute,Admin"</formula1>
    </dataValidation>
    <dataValidation sqref="K5:K500" showDropDown="0" showInputMessage="0" showErrorMessage="0" allowBlank="0" type="list">
      <formula1>"Automated,Manual"</formula1>
    </dataValidation>
    <dataValidation sqref="L5:L500" showDropDown="0" showInputMessage="0" showErrorMessage="0" allowBlank="0" type="list">
      <formula1>"Platform Check,Login Test,API Query"</formula1>
    </dataValidation>
    <dataValidation sqref="N5:N500 O5:O500 P5:P500 Q5:Q500 R5:R500" showDropDown="0" showInputMessage="0" showErrorMessage="0" allowBlank="0" type="list">
      <formula1>"✅ Yes,❌ No,⚠️ Partial,❓ Unknown"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 ht="40" customHeight="1">
      <c r="A1" s="1" t="inlineStr">
        <is>
          <t>COMPLIANCE SCORING DASHBOARD</t>
        </is>
      </c>
    </row>
    <row r="2" ht="25" customHeight="1">
      <c r="A2" s="2" t="inlineStr">
        <is>
          <t>Automated compliance metrics based on assessment data</t>
        </is>
      </c>
    </row>
    <row r="4">
      <c r="A4" s="14" t="inlineStr">
        <is>
          <t>COMPLIANCE METRICS</t>
        </is>
      </c>
    </row>
    <row r="5">
      <c r="A5" s="13" t="inlineStr">
        <is>
          <t>Metric</t>
        </is>
      </c>
      <c r="B5" s="13" t="inlineStr">
        <is>
          <t>Current Score</t>
        </is>
      </c>
      <c r="C5" s="13" t="inlineStr">
        <is>
          <t>Target</t>
        </is>
      </c>
      <c r="D5" s="13" t="inlineStr">
        <is>
          <t>Status</t>
        </is>
      </c>
      <c r="E5" s="13" t="inlineStr">
        <is>
          <t>Weight</t>
        </is>
      </c>
    </row>
    <row r="6">
      <c r="A6" t="inlineStr">
        <is>
          <t>Repository Inventory Compliance</t>
        </is>
      </c>
      <c r="B6" s="15">
        <f>COUNTIF(Repository_Inventory!A:A,"&lt;&gt;")/COUNTIF(Repository_Inventory!A:A,"&lt;&gt;")*100</f>
        <v/>
      </c>
      <c r="C6" t="inlineStr">
        <is>
          <t>100%</t>
        </is>
      </c>
      <c r="D6" t="inlineStr"/>
      <c r="E6" t="inlineStr">
        <is>
          <t>15%</t>
        </is>
      </c>
    </row>
    <row r="7">
      <c r="A7" t="inlineStr">
        <is>
          <t>Access Control Compliance</t>
        </is>
      </c>
      <c r="B7" s="15">
        <f>COUNTIFS(Repository_Inventory!Q:Q,"✅ Yes")/COUNTA(Repository_Inventory!Q:Q)*100</f>
        <v/>
      </c>
      <c r="C7" t="inlineStr">
        <is>
          <t>100%</t>
        </is>
      </c>
      <c r="D7" t="inlineStr"/>
      <c r="E7" t="inlineStr">
        <is>
          <t>20%</t>
        </is>
      </c>
    </row>
    <row r="8">
      <c r="A8" t="inlineStr">
        <is>
          <t>Appropriate Access Rate</t>
        </is>
      </c>
      <c r="B8" s="15">
        <f>COUNTIFS(User_Access_Matrix!O:O,"✅ Appropriate")/COUNTA(User_Access_Matrix!O:O)*100</f>
        <v/>
      </c>
      <c r="C8" t="inlineStr">
        <is>
          <t>≥95%</t>
        </is>
      </c>
      <c r="D8" t="inlineStr"/>
      <c r="E8" t="inlineStr">
        <is>
          <t>25%</t>
        </is>
      </c>
    </row>
    <row r="9">
      <c r="A9" t="inlineStr">
        <is>
          <t>Orphaned Account Rate</t>
        </is>
      </c>
      <c r="B9" s="15">
        <f>COUNTIFS(User_Access_Matrix!O:O,"❌ Orphaned")/COUNTA(User_Access_Matrix!O:O)*100</f>
        <v/>
      </c>
      <c r="C9" t="inlineStr">
        <is>
          <t>0%</t>
        </is>
      </c>
      <c r="D9" t="inlineStr"/>
      <c r="E9" t="inlineStr">
        <is>
          <t>15%</t>
        </is>
      </c>
    </row>
    <row r="10">
      <c r="A10" t="inlineStr">
        <is>
          <t>Access Review Completion</t>
        </is>
      </c>
      <c r="B10" s="15">
        <f>COUNTIFS(Access_Review_Log!S:S,"✅ Compliant")/COUNTA(Access_Review_Log!S:S)*100</f>
        <v/>
      </c>
      <c r="C10" t="inlineStr">
        <is>
          <t>100%</t>
        </is>
      </c>
      <c r="D10" t="inlineStr"/>
      <c r="E10" t="inlineStr">
        <is>
          <t>15%</t>
        </is>
      </c>
    </row>
    <row r="11">
      <c r="A11" t="inlineStr">
        <is>
          <t>Deprovisioning SLA Compliance</t>
        </is>
      </c>
      <c r="B11" s="15">
        <f>COUNTIFS(Deprovisioning_Log!N:N,"✅ Yes")/COUNTA(Deprovisioning_Log!N:N)*100</f>
        <v/>
      </c>
      <c r="C11" t="inlineStr">
        <is>
          <t>≥95%</t>
        </is>
      </c>
      <c r="D11" t="inlineStr"/>
      <c r="E11" t="inlineStr">
        <is>
          <t>10%</t>
        </is>
      </c>
    </row>
    <row r="13">
      <c r="A13" s="16" t="inlineStr">
        <is>
          <t>OVERALL REPOSITORY ACCESS COMPLIANCE SCORE</t>
        </is>
      </c>
      <c r="B13" s="17">
        <f>B6*0.15+B7*0.20+B8*0.25+(100-B9)*0.15+B10*0.15+B11*0.10</f>
        <v/>
      </c>
      <c r="C13" s="3" t="inlineStr">
        <is>
          <t>≥85%</t>
        </is>
      </c>
    </row>
    <row r="16">
      <c r="A16" s="14" t="inlineStr">
        <is>
          <t>RISK CATEGORIZATION</t>
        </is>
      </c>
    </row>
    <row r="17">
      <c r="A17" t="inlineStr">
        <is>
          <t>🟢 Low Risk</t>
        </is>
      </c>
      <c r="B17" t="inlineStr">
        <is>
          <t>Score ≥85%</t>
        </is>
      </c>
      <c r="C17" t="inlineStr">
        <is>
          <t>Maintain current controls</t>
        </is>
      </c>
    </row>
    <row r="18">
      <c r="A18" t="inlineStr">
        <is>
          <t>🟡 Medium Risk</t>
        </is>
      </c>
      <c r="B18" t="inlineStr">
        <is>
          <t>Score 70-84%</t>
        </is>
      </c>
      <c r="C18" t="inlineStr">
        <is>
          <t>Remediation within 30 days</t>
        </is>
      </c>
    </row>
    <row r="19">
      <c r="A19" t="inlineStr">
        <is>
          <t>🔴 High Risk</t>
        </is>
      </c>
      <c r="B19" t="inlineStr">
        <is>
          <t>Score &lt;70%</t>
        </is>
      </c>
      <c r="C19" t="inlineStr">
        <is>
          <t>Immediate remediation required</t>
        </is>
      </c>
    </row>
  </sheetData>
  <mergeCells count="4">
    <mergeCell ref="A2:E2"/>
    <mergeCell ref="A16:E16"/>
    <mergeCell ref="A1:E1"/>
    <mergeCell ref="A4:E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25" customWidth="1" min="4" max="4"/>
    <col width="30" customWidth="1" min="5" max="5"/>
    <col width="30" customWidth="1" min="6" max="6"/>
    <col width="15" customWidth="1" min="7" max="7"/>
    <col width="30" customWidth="1" min="8" max="8"/>
    <col width="30" customWidth="1" min="9" max="9"/>
    <col width="30" customWidth="1" min="10" max="10"/>
    <col width="40" customWidth="1" min="11" max="11"/>
    <col width="20" customWidth="1" min="12" max="12"/>
    <col width="18" customWidth="1" min="13" max="13"/>
    <col width="18" customWidth="1" min="14" max="14"/>
    <col width="15" customWidth="1" min="15" max="15"/>
    <col width="18" customWidth="1" min="16" max="16"/>
    <col width="25" customWidth="1" min="17" max="17"/>
    <col width="15" customWidth="1" min="18" max="18"/>
    <col width="30" customWidth="1" min="19" max="19"/>
  </cols>
  <sheetData>
    <row r="1" ht="30" customHeight="1">
      <c r="A1" s="1" t="inlineStr">
        <is>
          <t>GAP ANALYSIS</t>
        </is>
      </c>
    </row>
    <row r="2" ht="25" customHeight="1">
      <c r="A2" s="2" t="inlineStr">
        <is>
          <t>Document identified gaps and remediation plans</t>
        </is>
      </c>
    </row>
    <row r="3">
      <c r="A3" s="13" t="inlineStr">
        <is>
          <t>Gap ID</t>
        </is>
      </c>
      <c r="B3" s="13" t="inlineStr">
        <is>
          <t>Gap Category</t>
        </is>
      </c>
      <c r="C3" s="13" t="inlineStr">
        <is>
          <t>Gap Description</t>
        </is>
      </c>
      <c r="D3" s="13" t="inlineStr">
        <is>
          <t>Policy Requirement</t>
        </is>
      </c>
      <c r="E3" s="13" t="inlineStr">
        <is>
          <t>Current State</t>
        </is>
      </c>
      <c r="F3" s="13" t="inlineStr">
        <is>
          <t>Desired State</t>
        </is>
      </c>
      <c r="G3" s="13" t="inlineStr">
        <is>
          <t>Risk Level</t>
        </is>
      </c>
      <c r="H3" s="13" t="inlineStr">
        <is>
          <t>Impact</t>
        </is>
      </c>
      <c r="I3" s="13" t="inlineStr">
        <is>
          <t>Affected Repositories</t>
        </is>
      </c>
      <c r="J3" s="13" t="inlineStr">
        <is>
          <t>Root Cause</t>
        </is>
      </c>
      <c r="K3" s="13" t="inlineStr">
        <is>
          <t>Remediation Plan</t>
        </is>
      </c>
      <c r="L3" s="13" t="inlineStr">
        <is>
          <t>Responsible Party</t>
        </is>
      </c>
      <c r="M3" s="13" t="inlineStr">
        <is>
          <t>Target Completion Date</t>
        </is>
      </c>
      <c r="N3" s="13" t="inlineStr">
        <is>
          <t>Estimated Effort</t>
        </is>
      </c>
      <c r="O3" s="13" t="inlineStr">
        <is>
          <t>Status</t>
        </is>
      </c>
      <c r="P3" s="13" t="inlineStr">
        <is>
          <t>Actual Completion Date</t>
        </is>
      </c>
      <c r="Q3" s="13" t="inlineStr">
        <is>
          <t>Verification Method</t>
        </is>
      </c>
      <c r="R3" s="13" t="inlineStr">
        <is>
          <t>Verification Date</t>
        </is>
      </c>
      <c r="S3" s="13" t="inlineStr">
        <is>
          <t>Notes</t>
        </is>
      </c>
    </row>
    <row r="4">
      <c r="A4" s="4" t="inlineStr">
        <is>
          <t>GAP-001</t>
        </is>
      </c>
      <c r="B4" s="4" t="inlineStr">
        <is>
          <t>Access Control</t>
        </is>
      </c>
      <c r="C4" s="4" t="inlineStr">
        <is>
          <t>[Example: Branch protection not enabled on all production repositories]</t>
        </is>
      </c>
      <c r="D4" s="4" t="inlineStr">
        <is>
          <t>[Example: REQ-2.4.1-001 - Main branch protection]</t>
        </is>
      </c>
      <c r="E4" s="4" t="inlineStr">
        <is>
          <t>[Example: 15 out of 20 production repos lack branch protection]</t>
        </is>
      </c>
      <c r="F4" s="4" t="inlineStr">
        <is>
          <t>[Example: All production repos have branch protection enabled]</t>
        </is>
      </c>
      <c r="G4" s="4" t="inlineStr">
        <is>
          <t>🟠 High</t>
        </is>
      </c>
      <c r="H4" s="4" t="inlineStr">
        <is>
          <t>[Example: Unauthorized direct commits to production code possible]</t>
        </is>
      </c>
      <c r="I4" s="4" t="inlineStr">
        <is>
          <t>[Example: api-gateway, payment-processor, ...]</t>
        </is>
      </c>
      <c r="J4" s="4" t="inlineStr">
        <is>
          <t>[Example: Repositories created before policy implementation]</t>
        </is>
      </c>
      <c r="K4" s="4" t="inlineStr">
        <is>
          <t>[Example: Enable branch protection on all production repositories]</t>
        </is>
      </c>
      <c r="L4" s="4" t="inlineStr">
        <is>
          <t>[Example: Platform Team Lead]</t>
        </is>
      </c>
      <c r="M4" s="4" t="inlineStr">
        <is>
          <t>10.03.2026</t>
        </is>
      </c>
      <c r="N4" s="4" t="inlineStr">
        <is>
          <t>1 week</t>
        </is>
      </c>
      <c r="O4" s="4" t="inlineStr">
        <is>
          <t>🟡 In Progress</t>
        </is>
      </c>
      <c r="P4" s="4" t="inlineStr"/>
      <c r="Q4" s="4" t="inlineStr"/>
      <c r="R4" s="4" t="inlineStr"/>
      <c r="S4" s="4" t="inlineStr"/>
    </row>
  </sheetData>
  <mergeCells count="2">
    <mergeCell ref="A2:S2"/>
    <mergeCell ref="A1:S1"/>
  </mergeCells>
  <dataValidations count="4">
    <dataValidation sqref="B5:B500" showDropDown="0" showInputMessage="0" showErrorMessage="0" allowBlank="0" type="list">
      <formula1>"Access Control,Inventory,Reviews,Deprovisioning,Documentation"</formula1>
    </dataValidation>
    <dataValidation sqref="G5:G500" showDropDown="0" showInputMessage="0" showErrorMessage="0" allowBlank="0" type="list">
      <formula1>"🔴 Critical,🟠 High,🟡 Medium,🟢 Low"</formula1>
    </dataValidation>
    <dataValidation sqref="N5:N500" showDropDown="0" showInputMessage="0" showErrorMessage="0" allowBlank="0" type="list">
      <formula1>"1-2 hours,1 day,1 week,2-4 weeks,&gt;1 month"</formula1>
    </dataValidation>
    <dataValidation sqref="O5:O500" showDropDown="0" showInputMessage="0" showErrorMessage="0" allowBlank="0" type="list">
      <formula1>"🔴 Open,🟡 In Progress,🟢 Completed,⚪ 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30" customWidth="1" min="4" max="4"/>
    <col width="15" customWidth="1" min="5" max="5"/>
    <col width="25" customWidth="1" min="6" max="6"/>
    <col width="30" customWidth="1" min="7" max="7"/>
    <col width="30" customWidth="1" min="8" max="8"/>
    <col width="20" customWidth="1" min="9" max="9"/>
    <col width="15" customWidth="1" min="10" max="10"/>
    <col width="15" customWidth="1" min="11" max="11"/>
    <col width="18" customWidth="1" min="12" max="12"/>
    <col width="18" customWidth="1" min="13" max="13"/>
    <col width="15" customWidth="1" min="14" max="14"/>
    <col width="30" customWidth="1" min="15" max="15"/>
    <col width="30" customWidth="1" min="16" max="16"/>
  </cols>
  <sheetData>
    <row r="1" ht="30" customHeight="1">
      <c r="A1" s="1" t="inlineStr">
        <is>
          <t>EVIDENCE REGISTER</t>
        </is>
      </c>
    </row>
    <row r="2" ht="25" customHeight="1">
      <c r="A2" s="2" t="inlineStr">
        <is>
          <t>Track evidence collected for audit purposes</t>
        </is>
      </c>
    </row>
    <row r="3">
      <c r="A3" s="13" t="inlineStr">
        <is>
          <t>Evidence ID</t>
        </is>
      </c>
      <c r="B3" s="13" t="inlineStr">
        <is>
          <t>Evidence Type</t>
        </is>
      </c>
      <c r="C3" s="13" t="inlineStr">
        <is>
          <t>Evidence Description</t>
        </is>
      </c>
      <c r="D3" s="13" t="inlineStr">
        <is>
          <t>Related Requirement</t>
        </is>
      </c>
      <c r="E3" s="13" t="inlineStr">
        <is>
          <t>Evidence Date</t>
        </is>
      </c>
      <c r="F3" s="13" t="inlineStr">
        <is>
          <t>Evidence Source</t>
        </is>
      </c>
      <c r="G3" s="13" t="inlineStr">
        <is>
          <t>File Name</t>
        </is>
      </c>
      <c r="H3" s="13" t="inlineStr">
        <is>
          <t>File Location</t>
        </is>
      </c>
      <c r="I3" s="13" t="inlineStr">
        <is>
          <t>Collected By</t>
        </is>
      </c>
      <c r="J3" s="13" t="inlineStr">
        <is>
          <t>Collection Date</t>
        </is>
      </c>
      <c r="K3" s="13" t="inlineStr">
        <is>
          <t>Evidence Format</t>
        </is>
      </c>
      <c r="L3" s="13" t="inlineStr">
        <is>
          <t>Retention Period</t>
        </is>
      </c>
      <c r="M3" s="13" t="inlineStr">
        <is>
          <t>Retention End Date</t>
        </is>
      </c>
      <c r="N3" s="13" t="inlineStr">
        <is>
          <t>Auditor Reviewed</t>
        </is>
      </c>
      <c r="O3" s="13" t="inlineStr">
        <is>
          <t>Auditor Comments</t>
        </is>
      </c>
      <c r="P3" s="13" t="inlineStr">
        <is>
          <t>Notes</t>
        </is>
      </c>
    </row>
    <row r="4">
      <c r="A4" s="4" t="inlineStr">
        <is>
          <t>EV-001</t>
        </is>
      </c>
      <c r="B4" s="4" t="inlineStr">
        <is>
          <t>Access Report</t>
        </is>
      </c>
      <c r="C4" s="4" t="inlineStr">
        <is>
          <t>[Example: GitHub organization members export Q1 2026]</t>
        </is>
      </c>
      <c r="D4" s="4" t="inlineStr">
        <is>
          <t>[Example: REQ-2.1.1-001 - RBAC implementation]</t>
        </is>
      </c>
      <c r="E4" s="4" t="inlineStr">
        <is>
          <t>08.02.2026</t>
        </is>
      </c>
      <c r="F4" s="4" t="inlineStr">
        <is>
          <t>[Example: GitHub API export]</t>
        </is>
      </c>
      <c r="G4" s="4" t="inlineStr">
        <is>
          <t>[Example: github-members-2026-Q1.csv]</t>
        </is>
      </c>
      <c r="H4" s="4" t="inlineStr">
        <is>
          <t>[Example: SharePoint/Evidence/A84/]</t>
        </is>
      </c>
      <c r="I4" s="4" t="inlineStr">
        <is>
          <t>[Example: Security Analyst]</t>
        </is>
      </c>
      <c r="J4" s="4" t="inlineStr">
        <is>
          <t>08.02.2026</t>
        </is>
      </c>
      <c r="K4" s="4" t="inlineStr">
        <is>
          <t>CSV</t>
        </is>
      </c>
      <c r="L4" s="4" t="inlineStr">
        <is>
          <t>3 years</t>
        </is>
      </c>
      <c r="M4" s="4" t="inlineStr">
        <is>
          <t>07.02.2029</t>
        </is>
      </c>
      <c r="N4" s="4" t="inlineStr">
        <is>
          <t>⏳ Pending</t>
        </is>
      </c>
      <c r="O4" s="4" t="inlineStr"/>
      <c r="P4" s="4" t="inlineStr"/>
    </row>
  </sheetData>
  <mergeCells count="2">
    <mergeCell ref="A1:P1"/>
    <mergeCell ref="A2:P2"/>
  </mergeCells>
  <dataValidations count="3">
    <dataValidation sqref="B5:B500" showDropDown="0" showInputMessage="0" showErrorMessage="0" allowBlank="0" type="list">
      <formula1>"Access Report,Approval Record,Review Report,Deprovisioning Log,Configuration Screenshot,Other"</formula1>
    </dataValidation>
    <dataValidation sqref="K5:K500" showDropDown="0" showInputMessage="0" showErrorMessage="0" allowBlank="0" type="list">
      <formula1>"Excel,PDF,CSV,Screenshot,Email,JSON,Other"</formula1>
    </dataValidation>
    <dataValidation sqref="N5:N500" showDropDown="0" showInputMessage="0" showErrorMessage="0" allowBlank="0" type="list">
      <formula1>"✅ Yes,❌ No,⏳ Pending"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5" customWidth="1" min="4" max="4"/>
    <col width="15" customWidth="1" min="5" max="5"/>
  </cols>
  <sheetData>
    <row r="1" ht="40" customHeight="1">
      <c r="A1" s="1" t="inlineStr">
        <is>
          <t>ASSESSMENT COMPLETION CERTIFICATION</t>
        </is>
      </c>
    </row>
    <row r="3" ht="120" customHeight="1">
      <c r="A3" s="18" t="inlineStr">
        <is>
          <t>I certify that this repository access control assessment has been completed in accordance with ISMS-POL-A.8.4 requirements and that the information documented herein is accurate to the best of my knowledge.
Assessment Period: [Enter Quarter/Year]
Assessment Completion Date: [Enter Date]
Overall Compliance Score: [See Compliance_Scoring sheet]</t>
        </is>
      </c>
    </row>
    <row r="4"/>
    <row r="5"/>
    <row r="6"/>
    <row r="7"/>
    <row r="8"/>
    <row r="10">
      <c r="A10" s="14" t="inlineStr">
        <is>
          <t>APPROVALS</t>
        </is>
      </c>
    </row>
    <row r="12">
      <c r="A12" s="3" t="inlineStr">
        <is>
          <t>Repository Owners:</t>
        </is>
      </c>
    </row>
    <row r="13">
      <c r="A13" t="inlineStr">
        <is>
          <t>Name:</t>
        </is>
      </c>
      <c r="B13" s="4" t="inlineStr">
        <is>
          <t>________________</t>
        </is>
      </c>
      <c r="C13" t="inlineStr">
        <is>
          <t>Signature:</t>
        </is>
      </c>
      <c r="D13" s="4" t="inlineStr">
        <is>
          <t>________________</t>
        </is>
      </c>
      <c r="E13" s="4" t="inlineStr">
        <is>
          <t>Date: ______</t>
        </is>
      </c>
    </row>
    <row r="14">
      <c r="A14" t="inlineStr">
        <is>
          <t>Name:</t>
        </is>
      </c>
      <c r="B14" s="4" t="inlineStr">
        <is>
          <t>________________</t>
        </is>
      </c>
      <c r="C14" t="inlineStr">
        <is>
          <t>Signature:</t>
        </is>
      </c>
      <c r="D14" s="4" t="inlineStr">
        <is>
          <t>________________</t>
        </is>
      </c>
      <c r="E14" s="4" t="inlineStr">
        <is>
          <t>Date: ______</t>
        </is>
      </c>
    </row>
    <row r="15">
      <c r="A15" t="inlineStr">
        <is>
          <t>Name:</t>
        </is>
      </c>
      <c r="B15" s="4" t="inlineStr">
        <is>
          <t>________________</t>
        </is>
      </c>
      <c r="C15" t="inlineStr">
        <is>
          <t>Signature:</t>
        </is>
      </c>
      <c r="D15" s="4" t="inlineStr">
        <is>
          <t>________________</t>
        </is>
      </c>
      <c r="E15" s="4" t="inlineStr">
        <is>
          <t>Date: ______</t>
        </is>
      </c>
    </row>
    <row r="17">
      <c r="A17" s="3" t="inlineStr">
        <is>
          <t>Information Security Manager:</t>
        </is>
      </c>
    </row>
    <row r="18">
      <c r="A18" t="inlineStr">
        <is>
          <t>Name:</t>
        </is>
      </c>
      <c r="B18" s="4" t="inlineStr">
        <is>
          <t>________________</t>
        </is>
      </c>
      <c r="C18" t="inlineStr">
        <is>
          <t>Signature:</t>
        </is>
      </c>
      <c r="D18" s="4" t="inlineStr">
        <is>
          <t>________________</t>
        </is>
      </c>
      <c r="E18" s="4" t="inlineStr">
        <is>
          <t>Date: ______</t>
        </is>
      </c>
    </row>
    <row r="20">
      <c r="A20" s="3" t="inlineStr">
        <is>
          <t>Chief Information Security Officer (CISO):</t>
        </is>
      </c>
    </row>
    <row r="21">
      <c r="A21" t="inlineStr">
        <is>
          <t>Name:</t>
        </is>
      </c>
      <c r="B21" s="4" t="inlineStr">
        <is>
          <t>________________</t>
        </is>
      </c>
      <c r="C21" t="inlineStr">
        <is>
          <t>Signature:</t>
        </is>
      </c>
      <c r="D21" s="4" t="inlineStr">
        <is>
          <t>________________</t>
        </is>
      </c>
      <c r="E21" s="4" t="inlineStr">
        <is>
          <t>Date: ______</t>
        </is>
      </c>
    </row>
    <row r="24">
      <c r="A24" s="3" t="inlineStr">
        <is>
          <t>Next Scheduled Review:</t>
        </is>
      </c>
      <c r="B24" s="4" t="inlineStr">
        <is>
          <t>[Completion Date + 90 days]</t>
        </is>
      </c>
    </row>
  </sheetData>
  <mergeCells count="6">
    <mergeCell ref="A12:E12"/>
    <mergeCell ref="A20:E20"/>
    <mergeCell ref="A10:E10"/>
    <mergeCell ref="A1:E1"/>
    <mergeCell ref="A17:E17"/>
    <mergeCell ref="A3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2026-02-08T10:50:07Z</dcterms:created>
  <dcterms:modified xmlns:dcterms="http://purl.org/dc/terms/" xmlns:xsi="http://www.w3.org/2001/XMLSchema-instance" xsi:type="dcterms:W3CDTF">2026-02-08T10:50:07Z</dcterms:modified>
</cp:coreProperties>
</file>