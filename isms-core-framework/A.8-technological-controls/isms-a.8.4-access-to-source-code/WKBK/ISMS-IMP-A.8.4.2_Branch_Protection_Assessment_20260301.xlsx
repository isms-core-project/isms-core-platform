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Branch Inventory" sheetId="2" state="visible" r:id="rId2"/>
    <sheet xmlns:r="http://schemas.openxmlformats.org/officeDocument/2006/relationships" name="Branch Protection Details" sheetId="3" state="visible" r:id="rId3"/>
    <sheet xmlns:r="http://schemas.openxmlformats.org/officeDocument/2006/relationships" name="Pull Request Configuration" sheetId="4" state="visible" r:id="rId4"/>
    <sheet xmlns:r="http://schemas.openxmlformats.org/officeDocument/2006/relationships" name="Status Check Verification" sheetId="5" state="visible" r:id="rId5"/>
    <sheet xmlns:r="http://schemas.openxmlformats.org/officeDocument/2006/relationships" name="Signed Commits Audit" sheetId="6" state="visible" r:id="rId6"/>
    <sheet xmlns:r="http://schemas.openxmlformats.org/officeDocument/2006/relationships" name="Exception Manage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4">
    <numFmt numFmtId="164" formatCode="0.0&quot;%&quot;"/>
    <numFmt numFmtId="165" formatCode="0&quot;%&quot;"/>
    <numFmt numFmtId="166" formatCode="0.0"/>
    <numFmt numFmtId="167"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6"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6" fontId="4" fillId="9" borderId="1" applyAlignment="1" pivotButton="0" quotePrefix="0" xfId="0">
      <alignment horizontal="center" vertical="center"/>
    </xf>
    <xf numFmtId="0" fontId="8" fillId="9" borderId="1" applyAlignment="1" pivotButton="0" quotePrefix="0" xfId="0">
      <alignment horizontal="center" vertical="center"/>
    </xf>
    <xf numFmtId="167" fontId="0" fillId="11"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7"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ISMS-IMP-A.8.4.2  -  Branch Protection Assessment
ISO/IEC 27001:2022 - Control A.8.4: Access to Source Code</t>
        </is>
      </c>
    </row>
    <row r="3">
      <c r="A3" s="2" t="inlineStr">
        <is>
          <t>Document Information</t>
        </is>
      </c>
    </row>
    <row r="4">
      <c r="A4" s="3" t="inlineStr">
        <is>
          <t>Document ID</t>
        </is>
      </c>
      <c r="B4" t="inlineStr">
        <is>
          <t>ISMS-IMP-A.8.4.2</t>
        </is>
      </c>
    </row>
    <row r="5">
      <c r="A5" s="3" t="inlineStr">
        <is>
          <t>Workbook Title</t>
        </is>
      </c>
      <c r="B5" t="inlineStr">
        <is>
          <t>Branch Protection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Repository Branch Inventory for all branches requiring protection.</t>
        </is>
      </c>
    </row>
    <row r="14">
      <c r="A14" t="inlineStr">
        <is>
          <t>2. Document protection rules in Branch Protection Details.</t>
        </is>
      </c>
    </row>
    <row r="15">
      <c r="A15" t="inlineStr">
        <is>
          <t>3. Assess pull request configuration in Pull Request Configuration.</t>
        </is>
      </c>
    </row>
    <row r="16">
      <c r="A16" t="inlineStr">
        <is>
          <t>4. Verify status checks in Status Check Verification.</t>
        </is>
      </c>
    </row>
    <row r="17">
      <c r="A17" t="inlineStr">
        <is>
          <t>5. Track signed commits in Signed Commits Audit.</t>
        </is>
      </c>
    </row>
    <row r="18">
      <c r="A18" t="inlineStr">
        <is>
          <t>6. Document exceptions in Exception Management.</t>
        </is>
      </c>
    </row>
    <row r="19">
      <c r="A19" t="inlineStr">
        <is>
          <t>7. Review Summary Dashboard for automated metrics.</t>
        </is>
      </c>
    </row>
    <row r="20">
      <c r="A20" t="inlineStr">
        <is>
          <t>8. Identify gaps in Gap Analysis and create remediation plans.</t>
        </is>
      </c>
    </row>
    <row r="21">
      <c r="A21" t="inlineStr">
        <is>
          <t>9. Collect evidence in Evidence Register for audit readiness.</t>
        </is>
      </c>
    </row>
    <row r="22">
      <c r="A22" t="inlineStr">
        <is>
          <t>10. Obtain sign-off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20" customWidth="1" min="6" max="6"/>
    <col width="22" customWidth="1" min="7" max="7"/>
    <col width="18" customWidth="1" min="8" max="8"/>
  </cols>
  <sheetData>
    <row r="1" ht="35" customHeight="1">
      <c r="A1" s="11" t="inlineStr">
        <is>
          <t>REPOSITORY BRANCH INVENTORY</t>
        </is>
      </c>
    </row>
    <row r="2">
      <c r="A2" s="12" t="inlineStr">
        <is>
          <t>Document all branches requiring protection</t>
        </is>
      </c>
    </row>
    <row r="3">
      <c r="A3" s="13" t="inlineStr">
        <is>
          <t>Repository Name</t>
        </is>
      </c>
      <c r="B3" s="13" t="inlineStr">
        <is>
          <t>Repository Platform</t>
        </is>
      </c>
      <c r="C3" s="13" t="inlineStr">
        <is>
          <t>Repository Classification</t>
        </is>
      </c>
      <c r="D3" s="13" t="inlineStr">
        <is>
          <t>Branch Name</t>
        </is>
      </c>
      <c r="E3" s="13" t="inlineStr">
        <is>
          <t>Branch Type</t>
        </is>
      </c>
      <c r="F3" s="13" t="inlineStr">
        <is>
          <t>Protection Required</t>
        </is>
      </c>
      <c r="G3" s="13" t="inlineStr">
        <is>
          <t>Protection Configured</t>
        </is>
      </c>
      <c r="H3" s="13" t="inlineStr">
        <is>
          <t>Status</t>
        </is>
      </c>
    </row>
    <row r="4">
      <c r="A4" s="14" t="inlineStr">
        <is>
          <t>[Example: customer-portal]</t>
        </is>
      </c>
      <c r="B4" s="14" t="inlineStr">
        <is>
          <t>GitHub</t>
        </is>
      </c>
      <c r="C4" s="14" t="inlineStr">
        <is>
          <t>Production Code</t>
        </is>
      </c>
      <c r="D4" s="14" t="inlineStr">
        <is>
          <t>main</t>
        </is>
      </c>
      <c r="E4" s="14" t="inlineStr">
        <is>
          <t>Main</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5">
    <dataValidation sqref="B5:B500" showDropDown="0" showInputMessage="0" showErrorMessage="0" allowBlank="0" type="list">
      <formula1>"GitHub,GitLab,Bitbucket,Azure DevOps,Self-Hosted,Other"</formula1>
    </dataValidation>
    <dataValidation sqref="C5:C500" showDropDown="0" showInputMessage="0" showErrorMessage="0" allowBlank="0" type="list">
      <formula1>"Production Code,Internal Tools,Open Source,Archived"</formula1>
    </dataValidation>
    <dataValidation sqref="E5:E500" showDropDown="0" showInputMessage="0" showErrorMessage="0" allowBlank="0" type="list">
      <formula1>"Main,Release,Development,Feature,Hotfix"</formula1>
    </dataValidation>
    <dataValidation sqref="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2" customWidth="1" min="3" max="3"/>
    <col width="22" customWidth="1" min="4" max="4"/>
    <col width="18" customWidth="1" min="5" max="5"/>
    <col width="22" customWidth="1" min="6" max="6"/>
    <col width="22" customWidth="1" min="7" max="7"/>
    <col width="22" customWidth="1" min="8" max="8"/>
    <col width="35" customWidth="1" min="9" max="9"/>
    <col width="25" customWidth="1" min="10" max="10"/>
    <col width="18" customWidth="1" min="11" max="11"/>
    <col width="20" customWidth="1" min="12" max="12"/>
    <col width="18" customWidth="1" min="13" max="13"/>
  </cols>
  <sheetData>
    <row r="1" ht="35" customHeight="1">
      <c r="A1" s="11" t="inlineStr">
        <is>
          <t>BRANCH PROTECTION DETAILS</t>
        </is>
      </c>
    </row>
    <row r="2">
      <c r="A2" s="12" t="inlineStr">
        <is>
          <t>Document specific protection rules for each branch</t>
        </is>
      </c>
    </row>
    <row r="3">
      <c r="A3" s="13" t="inlineStr">
        <is>
          <t>Repository Name</t>
        </is>
      </c>
      <c r="B3" s="13" t="inlineStr">
        <is>
          <t>Branch Name</t>
        </is>
      </c>
      <c r="C3" s="13" t="inlineStr">
        <is>
          <t>Direct Commits Blocked</t>
        </is>
      </c>
      <c r="D3" s="13" t="inlineStr">
        <is>
          <t>Pull Request Required</t>
        </is>
      </c>
      <c r="E3" s="13" t="inlineStr">
        <is>
          <t>Required Approvals</t>
        </is>
      </c>
      <c r="F3" s="13" t="inlineStr">
        <is>
          <t>Dismiss Stale Reviews</t>
        </is>
      </c>
      <c r="G3" s="13" t="inlineStr">
        <is>
          <t>Code Owner Review</t>
        </is>
      </c>
      <c r="H3" s="13" t="inlineStr">
        <is>
          <t>Status Checks Required</t>
        </is>
      </c>
      <c r="I3" s="13" t="inlineStr">
        <is>
          <t>Status Check List</t>
        </is>
      </c>
      <c r="J3" s="13" t="inlineStr">
        <is>
          <t>Signed Commits Required</t>
        </is>
      </c>
      <c r="K3" s="13" t="inlineStr">
        <is>
          <t>Linear History</t>
        </is>
      </c>
      <c r="L3" s="13" t="inlineStr">
        <is>
          <t>Compliance Score (%)</t>
        </is>
      </c>
      <c r="M3" s="13" t="inlineStr">
        <is>
          <t>Status</t>
        </is>
      </c>
    </row>
    <row r="4">
      <c r="A4" s="14" t="inlineStr">
        <is>
          <t>[Example: customer-portal]</t>
        </is>
      </c>
      <c r="B4" s="14" t="inlineStr">
        <is>
          <t>main</t>
        </is>
      </c>
      <c r="C4" s="14" t="inlineStr">
        <is>
          <t>✅ Yes</t>
        </is>
      </c>
      <c r="D4" s="14" t="inlineStr">
        <is>
          <t>✅ Yes</t>
        </is>
      </c>
      <c r="E4" s="14" t="inlineStr">
        <is>
          <t>2</t>
        </is>
      </c>
      <c r="F4" s="14" t="inlineStr">
        <is>
          <t>✅ Yes</t>
        </is>
      </c>
      <c r="G4" s="14" t="inlineStr">
        <is>
          <t>✅ Yes</t>
        </is>
      </c>
      <c r="H4" s="14" t="inlineStr">
        <is>
          <t>✅ Yes</t>
        </is>
      </c>
      <c r="I4" s="14" t="inlineStr">
        <is>
          <t>[Example: build, test, security-scan]</t>
        </is>
      </c>
      <c r="J4" s="14" t="inlineStr">
        <is>
          <t>✅ Yes</t>
        </is>
      </c>
      <c r="K4" s="14" t="inlineStr">
        <is>
          <t>✅ Yes</t>
        </is>
      </c>
      <c r="L4" s="16">
        <f>((COUNTIF(C4:K4,"✅ Yes")/9)*100)</f>
        <v/>
      </c>
      <c r="M4" s="14" t="inlineStr">
        <is>
          <t>✅ Compliant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2">
    <dataValidation sqref="C5:C500 D5:D500 F5:F500 G5:G500 H5:H500 J5:J500 K5:K500" showDropDown="0" showInputMessage="0" showErrorMessage="0" allowBlank="0" type="list">
      <formula1>"✅ Yes,❌ No,⚠️ Partial,➖ N/A"</formula1>
    </dataValidation>
    <dataValidation sqref="M5:M500"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22" customWidth="1" min="3" max="3"/>
    <col width="25" customWidth="1" min="4" max="4"/>
    <col width="20" customWidth="1" min="5" max="5"/>
    <col width="25" customWidth="1" min="6" max="6"/>
    <col width="25" customWidth="1" min="7" max="7"/>
    <col width="20" customWidth="1" min="8" max="8"/>
  </cols>
  <sheetData>
    <row r="1" ht="35" customHeight="1">
      <c r="A1" s="11" t="inlineStr">
        <is>
          <t>PULL REQUEST CONFIGURATION</t>
        </is>
      </c>
    </row>
    <row r="2">
      <c r="A2" s="12" t="inlineStr">
        <is>
          <t>Assess pull request workflow configuration</t>
        </is>
      </c>
    </row>
    <row r="3">
      <c r="A3" s="13" t="inlineStr">
        <is>
          <t>Repository Name</t>
        </is>
      </c>
      <c r="B3" s="13" t="inlineStr">
        <is>
          <t>Minimum Reviewers</t>
        </is>
      </c>
      <c r="C3" s="13" t="inlineStr">
        <is>
          <t>Code Owner Review</t>
        </is>
      </c>
      <c r="D3" s="13" t="inlineStr">
        <is>
          <t>Dismiss Stale Approvals</t>
        </is>
      </c>
      <c r="E3" s="13" t="inlineStr">
        <is>
          <t>Restrict Dismiss</t>
        </is>
      </c>
      <c r="F3" s="13" t="inlineStr">
        <is>
          <t>Conversation Resolution</t>
        </is>
      </c>
      <c r="G3" s="13" t="inlineStr">
        <is>
          <t>Self-Approval Blocked</t>
        </is>
      </c>
      <c r="H3" s="13" t="inlineStr">
        <is>
          <t>Compliance Status</t>
        </is>
      </c>
    </row>
    <row r="4">
      <c r="A4" s="14" t="inlineStr">
        <is>
          <t>[Example: customer-portal]</t>
        </is>
      </c>
      <c r="B4" s="14" t="inlineStr">
        <is>
          <t>2</t>
        </is>
      </c>
      <c r="C4" s="14" t="inlineStr">
        <is>
          <t>✅ Required</t>
        </is>
      </c>
      <c r="D4" s="14" t="inlineStr">
        <is>
          <t>✅ Yes</t>
        </is>
      </c>
      <c r="E4" s="14" t="inlineStr">
        <is>
          <t>✅ Yes</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D5:D500 E5:E500 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 sqref="C5:C500" showDropDown="0" showInputMessage="0" showErrorMessage="0" allowBlank="0" type="list">
      <formula1>"✅ Required,⚠ Optional,❌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3" customWidth="1" min="2" max="2"/>
    <col width="18" customWidth="1" min="3" max="3"/>
    <col width="18" customWidth="1" min="4" max="4"/>
    <col width="18" customWidth="1" min="5" max="5"/>
    <col width="18" customWidth="1" min="6" max="6"/>
    <col width="22" customWidth="1" min="7" max="7"/>
    <col width="25" customWidth="1" min="8" max="8"/>
    <col width="20" customWidth="1" min="9" max="9"/>
  </cols>
  <sheetData>
    <row r="1" ht="35" customHeight="1">
      <c r="A1" s="11" t="inlineStr">
        <is>
          <t>STATUS CHECK VERIFICATION</t>
        </is>
      </c>
    </row>
    <row r="2">
      <c r="A2" s="12" t="inlineStr">
        <is>
          <t>Document CI/CD status checks</t>
        </is>
      </c>
    </row>
    <row r="3">
      <c r="A3" s="13" t="inlineStr">
        <is>
          <t>Repository Name</t>
        </is>
      </c>
      <c r="B3" s="13" t="inlineStr">
        <is>
          <t>Status Checks Configured</t>
        </is>
      </c>
      <c r="C3" s="13" t="inlineStr">
        <is>
          <t>Build Check</t>
        </is>
      </c>
      <c r="D3" s="13" t="inlineStr">
        <is>
          <t>Test Check</t>
        </is>
      </c>
      <c r="E3" s="13" t="inlineStr">
        <is>
          <t>Lint Check</t>
        </is>
      </c>
      <c r="F3" s="13" t="inlineStr">
        <is>
          <t>Security Check</t>
        </is>
      </c>
      <c r="G3" s="13" t="inlineStr">
        <is>
          <t>All Checks Must Pass</t>
        </is>
      </c>
      <c r="H3" s="13" t="inlineStr">
        <is>
          <t>Up-to-Date Before Merge</t>
        </is>
      </c>
      <c r="I3" s="13" t="inlineStr">
        <is>
          <t>Compliance Status</t>
        </is>
      </c>
    </row>
    <row r="4">
      <c r="A4" s="14" t="inlineStr">
        <is>
          <t>[Example: customer-portal]</t>
        </is>
      </c>
      <c r="B4" s="14" t="inlineStr">
        <is>
          <t>✅ Yes</t>
        </is>
      </c>
      <c r="C4" s="14" t="inlineStr">
        <is>
          <t>✅ Configured</t>
        </is>
      </c>
      <c r="D4" s="14" t="inlineStr">
        <is>
          <t>✅ Configured</t>
        </is>
      </c>
      <c r="E4" s="14" t="inlineStr">
        <is>
          <t>✅ Configured</t>
        </is>
      </c>
      <c r="F4" s="14" t="inlineStr">
        <is>
          <t>✅ Configured</t>
        </is>
      </c>
      <c r="G4" s="14" t="inlineStr">
        <is>
          <t>✅ Yes</t>
        </is>
      </c>
      <c r="H4" s="14" t="inlineStr">
        <is>
          <t>✅ Yes</t>
        </is>
      </c>
      <c r="I4" s="14" t="inlineStr">
        <is>
          <t>✅ Compliant</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B5:B500 G5:G500 H5:H500" showDropDown="0" showInputMessage="0" showErrorMessage="0" allowBlank="0" type="list">
      <formula1>"✅ Yes,❌ No,⚠️ Partial,➖ N/A"</formula1>
    </dataValidation>
    <dataValidation sqref="I5:I500" showDropDown="0" showInputMessage="0" showErrorMessage="0" allowBlank="0" type="list">
      <formula1>"✅ Compliant,⚠️ Partial,❌ Non-Compliant"</formula1>
    </dataValidation>
    <dataValidation sqref="C5:C500 D5:D500 E5:E500 F5:F500" showDropDown="0" showInputMessage="0" showErrorMessage="0" allowBlank="0" type="list">
      <formula1>"✅ Configured,❌ Missing,➖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25" customWidth="1" min="5" max="5"/>
    <col width="20" customWidth="1" min="6" max="6"/>
  </cols>
  <sheetData>
    <row r="1" ht="35" customHeight="1">
      <c r="A1" s="11" t="inlineStr">
        <is>
          <t>SIGNED COMMITS AUDIT</t>
        </is>
      </c>
    </row>
    <row r="2">
      <c r="A2" s="12" t="inlineStr">
        <is>
          <t>Track signed commit adoption</t>
        </is>
      </c>
    </row>
    <row r="3">
      <c r="A3" s="13" t="inlineStr">
        <is>
          <t>Repository Name</t>
        </is>
      </c>
      <c r="B3" s="13" t="inlineStr">
        <is>
          <t>Signed Commits Required</t>
        </is>
      </c>
      <c r="C3" s="13" t="inlineStr">
        <is>
          <t>% Commits Signed (30 days)</t>
        </is>
      </c>
      <c r="D3" s="13" t="inlineStr">
        <is>
          <t>GPG Infrastructure</t>
        </is>
      </c>
      <c r="E3" s="13" t="inlineStr">
        <is>
          <t>Developer Training</t>
        </is>
      </c>
      <c r="F3" s="13" t="inlineStr">
        <is>
          <t>Compliance Status</t>
        </is>
      </c>
    </row>
    <row r="4">
      <c r="A4" s="14" t="inlineStr">
        <is>
          <t>[Example: customer-portal]</t>
        </is>
      </c>
      <c r="B4" s="14" t="inlineStr">
        <is>
          <t>✅ Yes</t>
        </is>
      </c>
      <c r="C4" s="17" t="inlineStr">
        <is>
          <t>85</t>
        </is>
      </c>
      <c r="D4" s="14" t="inlineStr">
        <is>
          <t>✅ Implemented</t>
        </is>
      </c>
      <c r="E4" s="14" t="inlineStr">
        <is>
          <t>✅ Completed</t>
        </is>
      </c>
      <c r="F4" s="14" t="inlineStr">
        <is>
          <t>✅ Compliant</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dataValidations count="4">
    <dataValidation sqref="B5:B500" showDropDown="0" showInputMessage="0" showErrorMessage="0" allowBlank="0" type="list">
      <formula1>"✅ Yes,❌ No,⚠️ Partial,➖ N/A"</formula1>
    </dataValidation>
    <dataValidation sqref="F5:F500" showDropDown="0" showInputMessage="0" showErrorMessage="0" allowBlank="0" type="list">
      <formula1>"✅ Compliant,⚠️ Partial,❌ Non-Compliant"</formula1>
    </dataValidation>
    <dataValidation sqref="D5:D500" showDropDown="0" showInputMessage="0" showErrorMessage="0" allowBlank="0" type="list">
      <formula1>"✅ Implemented,⚠️ Partial,❌ Missing,➖ N/A"</formula1>
    </dataValidation>
    <dataValidation sqref="E5:E500" showDropDown="0" showInputMessage="0" showErrorMessage="0" allowBlank="0" type="list">
      <formula1>"✅ Completed,⚠️ In Progress,❌ 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15" customWidth="1" min="5" max="5"/>
    <col width="18" customWidth="1" min="6" max="6"/>
    <col width="15" customWidth="1" min="7" max="7"/>
    <col width="15" customWidth="1" min="8" max="8"/>
  </cols>
  <sheetData>
    <row r="1" ht="35" customHeight="1">
      <c r="A1" s="11" t="inlineStr">
        <is>
          <t>EXCEPTION MANAGEMENT</t>
        </is>
      </c>
    </row>
    <row r="2">
      <c r="A2" s="12" t="inlineStr">
        <is>
          <t>Track branch protection exceptions</t>
        </is>
      </c>
    </row>
    <row r="3">
      <c r="A3" s="13" t="inlineStr">
        <is>
          <t>Exception ID</t>
        </is>
      </c>
      <c r="B3" s="13" t="inlineStr">
        <is>
          <t>Repository/Branch</t>
        </is>
      </c>
      <c r="C3" s="13" t="inlineStr">
        <is>
          <t>Exception Reason</t>
        </is>
      </c>
      <c r="D3" s="13" t="inlineStr">
        <is>
          <t>Granted By</t>
        </is>
      </c>
      <c r="E3" s="13" t="inlineStr">
        <is>
          <t>Grant Date</t>
        </is>
      </c>
      <c r="F3" s="13" t="inlineStr">
        <is>
          <t>Expiration Date</t>
        </is>
      </c>
      <c r="G3" s="13" t="inlineStr">
        <is>
          <t>Review Date</t>
        </is>
      </c>
      <c r="H3" s="13" t="inlineStr">
        <is>
          <t>Status</t>
        </is>
      </c>
    </row>
    <row r="4">
      <c r="A4" s="14" t="inlineStr">
        <is>
          <t>EXC-001</t>
        </is>
      </c>
      <c r="B4" s="14" t="inlineStr">
        <is>
          <t>[Example: legacy-app/main]</t>
        </is>
      </c>
      <c r="C4" s="14" t="inlineStr">
        <is>
          <t>[Example: Repository in decommission process]</t>
        </is>
      </c>
      <c r="D4" s="14" t="inlineStr">
        <is>
          <t>[Example: CISO]</t>
        </is>
      </c>
      <c r="E4" s="14" t="inlineStr">
        <is>
          <t>01.03.2026</t>
        </is>
      </c>
      <c r="F4" s="14" t="inlineStr">
        <is>
          <t>30.05.2026</t>
        </is>
      </c>
      <c r="G4" s="14" t="inlineStr">
        <is>
          <t>31.03.2026</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H500" showDropDown="0" showInputMessage="0" showErrorMessage="0" allowBlank="0" type="list">
      <formula1>"Active,Expired,Revoked"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30" customWidth="1" min="3" max="3"/>
    <col width="40" customWidth="1" min="4" max="4"/>
    <col width="25" customWidth="1" min="5" max="5"/>
    <col width="18" customWidth="1" min="6" max="6"/>
    <col width="18" customWidth="1" min="7" max="7"/>
    <col width="30" customWidth="1" min="8" max="8"/>
  </cols>
  <sheetData>
    <row r="1" ht="35" customHeight="1">
      <c r="A1" s="11" t="inlineStr">
        <is>
          <t>GAP ANALYSIS</t>
        </is>
      </c>
    </row>
    <row r="2">
      <c r="A2" s="12" t="inlineStr">
        <is>
          <t>Document identified gaps in branch protection and access controls</t>
        </is>
      </c>
    </row>
    <row r="3">
      <c r="A3" s="13" t="inlineStr">
        <is>
          <t>Gap ID</t>
        </is>
      </c>
      <c r="B3" s="13" t="inlineStr">
        <is>
          <t>Gap Description</t>
        </is>
      </c>
      <c r="C3" s="13" t="inlineStr">
        <is>
          <t>Affected Repositories</t>
        </is>
      </c>
      <c r="D3" s="13" t="inlineStr">
        <is>
          <t>Remediation Plan</t>
        </is>
      </c>
      <c r="E3" s="13" t="inlineStr">
        <is>
          <t>Responsible Party</t>
        </is>
      </c>
      <c r="F3" s="13" t="inlineStr">
        <is>
          <t>Target Date</t>
        </is>
      </c>
      <c r="G3" s="13" t="inlineStr">
        <is>
          <t>Status</t>
        </is>
      </c>
      <c r="H3" s="13" t="inlineStr">
        <is>
          <t>Notes</t>
        </is>
      </c>
    </row>
    <row r="4">
      <c r="A4" s="14" t="inlineStr">
        <is>
          <t>GAP-001</t>
        </is>
      </c>
      <c r="B4" s="14" t="inlineStr">
        <is>
          <t>Main branch has no required reviewers</t>
        </is>
      </c>
      <c r="C4" s="14" t="inlineStr">
        <is>
          <t>prod-api, customer-portal</t>
        </is>
      </c>
      <c r="D4" s="14" t="inlineStr">
        <is>
          <t>Enable required reviews (minimum 2 approvals)</t>
        </is>
      </c>
      <c r="E4" s="14" t="inlineStr">
        <is>
          <t>Security Team</t>
        </is>
      </c>
      <c r="F4" s="14" t="inlineStr">
        <is>
          <t>28.02.2026</t>
        </is>
      </c>
      <c r="G4" s="14" t="inlineStr">
        <is>
          <t>Open</t>
        </is>
      </c>
      <c r="H4" s="14" t="inlineStr">
        <is>
          <t>High priority - production repositories</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G4:G54" showDropDown="0" showInputMessage="0" showErrorMessage="0" allowBlank="1" type="list">
      <formula1>"Open,In Progress,Closed,Deferred"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14" t="inlineStr">
        <is>
          <t>EV-001</t>
        </is>
      </c>
      <c r="B5" s="14" t="inlineStr">
        <is>
          <t>Branch Protection</t>
        </is>
      </c>
      <c r="C5" s="14" t="inlineStr">
        <is>
          <t>Configuration file</t>
        </is>
      </c>
      <c r="D5" s="14" t="inlineStr">
        <is>
          <t>Main branch protection rules for prod-api repository</t>
        </is>
      </c>
      <c r="E5" s="14" t="inlineStr">
        <is>
          <t>/evidence/branch-protection-prod-api.json</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21" t="inlineStr">
        <is>
          <t>Branch Protection Assessment — SUMMARY DASHBOARD</t>
        </is>
      </c>
      <c r="B1" s="6" t="n"/>
      <c r="C1" s="6" t="n"/>
      <c r="D1" s="6" t="n"/>
      <c r="E1" s="6" t="n"/>
      <c r="F1" s="6" t="n"/>
      <c r="G1" s="6" t="n"/>
    </row>
    <row r="2">
      <c r="A2" s="22" t="inlineStr">
        <is>
          <t>ISO/IEC 27001:2022 - Control A.8.4: Access to Source Code</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ht="18" customHeight="1">
      <c r="A5" s="25" t="inlineStr">
        <is>
          <t>Branch Inventory &amp; Status</t>
        </is>
      </c>
      <c r="B5" s="26">
        <f>COUNTA('Repository Branch Inventory'!A5:A54)</f>
        <v/>
      </c>
      <c r="C5" s="26">
        <f>COUNTIF('Repository Branch Inventory'!H5:H54,"✅ Compliant")</f>
        <v/>
      </c>
      <c r="D5" s="26">
        <f>COUNTIF('Repository Branch Inventory'!H5:H54,"⚠️ Partial")+COUNTIF('Repository Branch Inventory'!H5:H54,"❌ Non-Compliant")</f>
        <v/>
      </c>
      <c r="E5" s="26" t="n">
        <v>0</v>
      </c>
      <c r="F5" s="27" t="n">
        <v>0.85</v>
      </c>
      <c r="G5" s="28">
        <f>IFERROR(C5/(C5+D5)*100,0)</f>
        <v/>
      </c>
    </row>
    <row r="6" ht="18" customHeight="1">
      <c r="A6" s="25" t="inlineStr">
        <is>
          <t>Branch Protection Configuration</t>
        </is>
      </c>
      <c r="B6" s="26">
        <f>COUNTA('Branch Protection Details'!A5:A54)</f>
        <v/>
      </c>
      <c r="C6" s="26">
        <f>COUNTIF('Branch Protection Details'!M5:M54,"✅ Compliant")</f>
        <v/>
      </c>
      <c r="D6" s="26">
        <f>COUNTIF('Branch Protection Details'!M5:M54,"⚠️ Partial")+COUNTIF('Branch Protection Details'!M5:M54,"❌ Non-Compliant")</f>
        <v/>
      </c>
      <c r="E6" s="26" t="n">
        <v>0</v>
      </c>
      <c r="F6" s="27" t="n">
        <v>0.85</v>
      </c>
      <c r="G6" s="28">
        <f>IFERROR(C6/(C6+D6)*100,0)</f>
        <v/>
      </c>
    </row>
    <row r="7" ht="18" customHeight="1">
      <c r="A7" s="25" t="inlineStr">
        <is>
          <t>Pull Request Controls</t>
        </is>
      </c>
      <c r="B7" s="26">
        <f>COUNTA('Pull Request Configuration'!A5:A54)</f>
        <v/>
      </c>
      <c r="C7" s="26">
        <f>COUNTIF('Pull Request Configuration'!H5:H54,"✅ Compliant")</f>
        <v/>
      </c>
      <c r="D7" s="26">
        <f>COUNTIF('Pull Request Configuration'!H5:H54,"⚠️ Partial")+COUNTIF('Pull Request Configuration'!H5:H54,"❌ Non-Compliant")</f>
        <v/>
      </c>
      <c r="E7" s="26" t="n">
        <v>0</v>
      </c>
      <c r="F7" s="27" t="n">
        <v>0.85</v>
      </c>
      <c r="G7" s="28">
        <f>IFERROR(C7/(C7+D7)*100,0)</f>
        <v/>
      </c>
    </row>
    <row r="8" ht="18" customHeight="1">
      <c r="A8" s="25" t="inlineStr">
        <is>
          <t>Status Check Compliance</t>
        </is>
      </c>
      <c r="B8" s="26">
        <f>COUNTA('Status Check Verification'!A5:A54)</f>
        <v/>
      </c>
      <c r="C8" s="26">
        <f>COUNTIF('Status Check Verification'!I5:I54,"✅ Compliant")</f>
        <v/>
      </c>
      <c r="D8" s="26">
        <f>COUNTIF('Status Check Verification'!I5:I54,"⚠️ Partial")+COUNTIF('Status Check Verification'!I5:I54,"❌ Non-Compliant")</f>
        <v/>
      </c>
      <c r="E8" s="26" t="n">
        <v>0</v>
      </c>
      <c r="F8" s="27" t="n">
        <v>0.9</v>
      </c>
      <c r="G8" s="28">
        <f>IFERROR(C8/(C8+D8)*100,0)</f>
        <v/>
      </c>
    </row>
    <row r="9" ht="18" customHeight="1">
      <c r="A9" s="25" t="inlineStr">
        <is>
          <t>Code Integrity — Signed Commits</t>
        </is>
      </c>
      <c r="B9" s="26">
        <f>COUNTA('Signed Commits Audit'!A5:A54)</f>
        <v/>
      </c>
      <c r="C9" s="26">
        <f>COUNTIF('Signed Commits Audit'!F5:F54,"✅ Compliant")</f>
        <v/>
      </c>
      <c r="D9" s="26">
        <f>COUNTIF('Signed Commits Audit'!F5:F54,"⚠️ Partial")+COUNTIF('Signed Commits Audit'!F5:F54,"❌ Non-Compliant")</f>
        <v/>
      </c>
      <c r="E9" s="26" t="n">
        <v>0</v>
      </c>
      <c r="F9" s="27" t="n">
        <v>0.85</v>
      </c>
      <c r="G9" s="28">
        <f>IFERROR(C9/(C9+D9)*100,0)</f>
        <v/>
      </c>
    </row>
    <row r="10">
      <c r="A10" s="29" t="inlineStr">
        <is>
          <t>TOTAL</t>
        </is>
      </c>
      <c r="B10" s="30">
        <f>SUM(B5:B9)</f>
        <v/>
      </c>
      <c r="C10" s="30">
        <f>SUM(C5:C9)</f>
        <v/>
      </c>
      <c r="D10" s="30">
        <f>SUM(D5:D9)</f>
        <v/>
      </c>
      <c r="E10" s="30">
        <f>SUM(E5:E9)</f>
        <v/>
      </c>
      <c r="F10" s="30" t="inlineStr">
        <is>
          <t>—</t>
        </is>
      </c>
      <c r="G10" s="31">
        <f>IFERROR(AVERAGE(G5:G9),0)</f>
        <v/>
      </c>
    </row>
    <row r="12">
      <c r="A12" s="23" t="inlineStr">
        <is>
          <t>BRANCH PROTECTION HEALTH METRICS</t>
        </is>
      </c>
      <c r="B12" s="6" t="n"/>
      <c r="C12" s="6" t="n"/>
      <c r="D12" s="6" t="n"/>
      <c r="E12" s="6" t="n"/>
      <c r="F12" s="6" t="n"/>
      <c r="G12" s="6" t="n"/>
    </row>
    <row r="13">
      <c r="A13" s="32" t="inlineStr">
        <is>
          <t>Metric</t>
        </is>
      </c>
      <c r="B13" s="32" t="inlineStr">
        <is>
          <t>Value</t>
        </is>
      </c>
      <c r="C13" s="32" t="inlineStr">
        <is>
          <t>Target</t>
        </is>
      </c>
    </row>
    <row r="14">
      <c r="A14" s="25" t="inlineStr">
        <is>
          <t>Total Branches Assessed</t>
        </is>
      </c>
      <c r="B14" s="26">
        <f>COUNTA('Repository Branch Inventory'!A5:A54)</f>
        <v/>
      </c>
      <c r="C14" s="26" t="inlineStr">
        <is>
          <t>≥1</t>
        </is>
      </c>
    </row>
    <row r="15">
      <c r="A15" s="25" t="inlineStr">
        <is>
          <t>Partially Protected Branches</t>
        </is>
      </c>
      <c r="B15" s="26">
        <f>COUNTIF('Repository Branch Inventory'!H5:H54,"⚠️ Partial")</f>
        <v/>
      </c>
      <c r="C15" s="26" t="inlineStr">
        <is>
          <t>0</t>
        </is>
      </c>
    </row>
    <row r="16">
      <c r="A16" s="25" t="inlineStr">
        <is>
          <t>Avg Branch Protection Score (%)</t>
        </is>
      </c>
      <c r="B16" s="33">
        <f>IFERROR(AVERAGE('Branch Protection Details'!L5:L54)/100,0)</f>
        <v/>
      </c>
      <c r="C16" s="26" t="inlineStr">
        <is>
          <t>≥85%</t>
        </is>
      </c>
    </row>
    <row r="17">
      <c r="A17" s="25" t="inlineStr">
        <is>
          <t>Branches Requiring Pull Request</t>
        </is>
      </c>
      <c r="B17" s="26">
        <f>COUNTIF('Branch Protection Details'!D5:D54,"✅ Yes")</f>
        <v/>
      </c>
      <c r="C17" s="26" t="inlineStr">
        <is>
          <t>—</t>
        </is>
      </c>
    </row>
    <row r="18">
      <c r="A18" s="25" t="inlineStr">
        <is>
          <t>Branches with Code Owner Review</t>
        </is>
      </c>
      <c r="B18" s="26">
        <f>COUNTIF('Branch Protection Details'!G5:G54,"✅ Yes")</f>
        <v/>
      </c>
      <c r="C18" s="26" t="inlineStr">
        <is>
          <t>—</t>
        </is>
      </c>
    </row>
    <row r="19">
      <c r="A19" s="25" t="inlineStr">
        <is>
          <t>Repos Missing Security Status Check</t>
        </is>
      </c>
      <c r="B19" s="26">
        <f>COUNTIF('Status Check Verification'!F5:F54,"❌ Missing")</f>
        <v/>
      </c>
      <c r="C19" s="26" t="inlineStr">
        <is>
          <t>0</t>
        </is>
      </c>
    </row>
    <row r="20">
      <c r="A20" s="25" t="inlineStr">
        <is>
          <t>Repos without All Checks Required</t>
        </is>
      </c>
      <c r="B20" s="26">
        <f>COUNTIF('Status Check Verification'!G5:G54,"❌ No")</f>
        <v/>
      </c>
      <c r="C20" s="26" t="inlineStr">
        <is>
          <t>0</t>
        </is>
      </c>
    </row>
    <row r="21">
      <c r="A21" s="25" t="inlineStr">
        <is>
          <t>Repos Allowing Self-Approval</t>
        </is>
      </c>
      <c r="B21" s="26">
        <f>COUNTIF('Pull Request Configuration'!G5:G54,"❌ No")</f>
        <v/>
      </c>
      <c r="C21" s="26" t="inlineStr">
        <is>
          <t>0</t>
        </is>
      </c>
    </row>
    <row r="22">
      <c r="A22" s="25" t="inlineStr">
        <is>
          <t>Avg Signed Commit Rate (%)</t>
        </is>
      </c>
      <c r="B22" s="33">
        <f>IFERROR(AVERAGE('Signed Commits Audit'!C5:C54)/100,0)</f>
        <v/>
      </c>
      <c r="C22" s="26" t="inlineStr">
        <is>
          <t>≥90%</t>
        </is>
      </c>
    </row>
    <row r="23">
      <c r="A23" s="25" t="inlineStr">
        <is>
          <t>Active Policy Exceptions</t>
        </is>
      </c>
      <c r="B23" s="26">
        <f>COUNTIF('Exception Management'!H5:H54,"Active")</f>
        <v/>
      </c>
      <c r="C23" s="26" t="inlineStr">
        <is>
          <t>0</t>
        </is>
      </c>
    </row>
    <row r="24">
      <c r="A24" s="25" t="inlineStr">
        <is>
          <t>Open Remediation Gaps</t>
        </is>
      </c>
      <c r="B24" s="26">
        <f>COUNTIF('Gap Analysis'!G5:G54,"Open")</f>
        <v/>
      </c>
      <c r="C24" s="26" t="inlineStr">
        <is>
          <t>0</t>
        </is>
      </c>
    </row>
    <row r="25">
      <c r="A25" s="25" t="inlineStr">
        <is>
          <t>Unverified Evidence Items</t>
        </is>
      </c>
      <c r="B25" s="26">
        <f>COUNTIF('Evidence Register'!H6:H105,"Not verified")</f>
        <v/>
      </c>
      <c r="C25" s="26" t="inlineStr">
        <is>
          <t>0</t>
        </is>
      </c>
    </row>
    <row r="27">
      <c r="A27" s="34" t="inlineStr">
        <is>
          <t>CRITICAL FINDINGS</t>
        </is>
      </c>
      <c r="B27" s="6" t="n"/>
      <c r="C27" s="6" t="n"/>
      <c r="D27" s="6" t="n"/>
      <c r="E27" s="6" t="n"/>
      <c r="F27" s="6" t="n"/>
      <c r="G27" s="6" t="n"/>
    </row>
    <row r="28">
      <c r="A28" s="32" t="inlineStr">
        <is>
          <t>Critical Finding</t>
        </is>
      </c>
      <c r="B28" s="32" t="inlineStr">
        <is>
          <t>Status</t>
        </is>
      </c>
      <c r="C28" s="32" t="inlineStr">
        <is>
          <t>Severity</t>
        </is>
      </c>
    </row>
    <row r="29">
      <c r="A29" s="35" t="inlineStr">
        <is>
          <t>Direct commits to protected branches allowed</t>
        </is>
      </c>
      <c r="B29" s="35">
        <f>IF(COUNTIF('Branch Protection Details'!C5:C54,"❌ No")&gt;0,"[!] Review Required","[OK]")</f>
        <v/>
      </c>
      <c r="C29" s="35" t="inlineStr">
        <is>
          <t>Critical</t>
        </is>
      </c>
    </row>
    <row r="30">
      <c r="A30" s="35" t="inlineStr">
        <is>
          <t>Pull request not required on protected branches</t>
        </is>
      </c>
      <c r="B30" s="35">
        <f>IF(COUNTIF('Branch Protection Details'!D5:D54,"❌ No")&gt;0,"[!] Review Required","[OK]")</f>
        <v/>
      </c>
      <c r="C30" s="35" t="inlineStr">
        <is>
          <t>Critical</t>
        </is>
      </c>
    </row>
    <row r="31">
      <c r="A31" s="36" t="inlineStr">
        <is>
          <t>Self-approval of pull requests possible</t>
        </is>
      </c>
      <c r="B31" s="36">
        <f>IF(COUNTIF('Pull Request Configuration'!G5:G54,"❌ No")&gt;0,"[!] Review Required","[OK]")</f>
        <v/>
      </c>
      <c r="C31" s="36" t="inlineStr">
        <is>
          <t>High</t>
        </is>
      </c>
    </row>
    <row r="32">
      <c r="A32" s="36" t="inlineStr">
        <is>
          <t>Security status check missing</t>
        </is>
      </c>
      <c r="B32" s="36">
        <f>IF(COUNTIF('Status Check Verification'!F5:F54,"❌ Missing")&gt;0,"[!] Review Required","[OK]")</f>
        <v/>
      </c>
      <c r="C32" s="36" t="inlineStr">
        <is>
          <t>High</t>
        </is>
      </c>
    </row>
    <row r="33">
      <c r="A33" s="36" t="inlineStr">
        <is>
          <t>Active policy exceptions present</t>
        </is>
      </c>
      <c r="B33" s="36">
        <f>IF(COUNTIF('Exception Management'!H5:H54,"Active")&gt;0,"[!] Review Required","[OK]")</f>
        <v/>
      </c>
      <c r="C33" s="36" t="inlineStr">
        <is>
          <t>High</t>
        </is>
      </c>
    </row>
    <row r="34">
      <c r="A34" s="36" t="inlineStr">
        <is>
          <t>Signed commits not enforced</t>
        </is>
      </c>
      <c r="B34" s="36">
        <f>IF(COUNTIF('Signed Commits Audit'!B5:B54,"❌ No")&gt;0,"[!] Review Required","[OK]")</f>
        <v/>
      </c>
      <c r="C34" s="36" t="inlineStr">
        <is>
          <t>High</t>
        </is>
      </c>
    </row>
    <row r="35">
      <c r="A35" s="35" t="inlineStr">
        <is>
          <t>Overall compliance &lt;70%</t>
        </is>
      </c>
      <c r="B35" s="35">
        <f>IF(G10&lt;70,"[!] Below Target","[OK]")</f>
        <v/>
      </c>
      <c r="C35" s="35" t="inlineStr">
        <is>
          <t>Critical</t>
        </is>
      </c>
    </row>
    <row r="36">
      <c r="A36" s="36" t="inlineStr">
        <is>
          <t>Open remediation gaps</t>
        </is>
      </c>
      <c r="B36" s="36">
        <f>IF(COUNTIF('Gap Analysis'!G5:G54,"Open")&gt;0,"[!] Review Required","[OK]")</f>
        <v/>
      </c>
      <c r="C36" s="36" t="inlineStr">
        <is>
          <t>High</t>
        </is>
      </c>
    </row>
  </sheetData>
  <mergeCells count="5">
    <mergeCell ref="A1:G1"/>
    <mergeCell ref="A27:G27"/>
    <mergeCell ref="A3:G3"/>
    <mergeCell ref="A12:G12"/>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3">
      <c r="A3" s="37" t="inlineStr">
        <is>
          <t>ASSESSMENT SUMMARY</t>
        </is>
      </c>
      <c r="B3" s="6" t="n"/>
      <c r="C3" s="6" t="n"/>
      <c r="D3" s="6" t="n"/>
      <c r="E3" s="6" t="n"/>
    </row>
    <row r="4">
      <c r="A4" s="38" t="inlineStr">
        <is>
          <t>Document:</t>
        </is>
      </c>
      <c r="B4" s="6" t="inlineStr">
        <is>
          <t>ISMS-IMP-A.8.4.2 - Branch Protection Assessment</t>
        </is>
      </c>
      <c r="C4" s="6" t="n"/>
      <c r="D4" s="6" t="n"/>
      <c r="E4" s="6" t="n"/>
    </row>
    <row r="5">
      <c r="A5" s="38" t="inlineStr">
        <is>
          <t>Assessment Period:</t>
        </is>
      </c>
      <c r="B5" s="39" t="inlineStr"/>
      <c r="C5" s="6" t="n"/>
      <c r="D5" s="6" t="n"/>
      <c r="E5" s="6" t="n"/>
    </row>
    <row r="6">
      <c r="A6" s="38" t="inlineStr">
        <is>
          <t>Overall Compliance:</t>
        </is>
      </c>
      <c r="B6" s="40">
        <f>IFERROR('Summary Dashboard'!G10,"")</f>
        <v/>
      </c>
      <c r="C6" s="6" t="n"/>
      <c r="D6" s="6" t="n"/>
      <c r="E6" s="6" t="n"/>
    </row>
    <row r="7">
      <c r="A7" s="38" t="inlineStr">
        <is>
          <t>Assessment Status:</t>
        </is>
      </c>
      <c r="B7" s="39" t="inlineStr"/>
      <c r="C7" s="6" t="n"/>
      <c r="D7" s="6" t="n"/>
      <c r="E7" s="6" t="n"/>
    </row>
    <row r="10">
      <c r="A10" s="37" t="inlineStr">
        <is>
          <t>COMPLETED BY (ASSESSOR)</t>
        </is>
      </c>
      <c r="B10" s="6" t="n"/>
      <c r="C10" s="6" t="n"/>
      <c r="D10" s="6" t="n"/>
      <c r="E10" s="6" t="n"/>
    </row>
    <row r="11">
      <c r="A11" s="38" t="inlineStr">
        <is>
          <t>Name:</t>
        </is>
      </c>
      <c r="B11" s="39" t="n"/>
      <c r="C11" s="6" t="n"/>
      <c r="D11" s="6" t="n"/>
      <c r="E11" s="6" t="n"/>
    </row>
    <row r="12">
      <c r="A12" s="38" t="inlineStr">
        <is>
          <t>Title:</t>
        </is>
      </c>
      <c r="B12" s="39" t="n"/>
      <c r="C12" s="6" t="n"/>
      <c r="D12" s="6" t="n"/>
      <c r="E12" s="6" t="n"/>
    </row>
    <row r="13">
      <c r="A13" s="38" t="inlineStr">
        <is>
          <t>Date:</t>
        </is>
      </c>
      <c r="B13" s="39" t="n"/>
      <c r="C13" s="6" t="n"/>
      <c r="D13" s="6" t="n"/>
      <c r="E13" s="6" t="n"/>
    </row>
    <row r="14">
      <c r="A14" s="38" t="inlineStr">
        <is>
          <t>Signature:</t>
        </is>
      </c>
      <c r="B14" s="39" t="n"/>
      <c r="C14" s="6" t="n"/>
      <c r="D14" s="6" t="n"/>
      <c r="E14" s="6" t="n"/>
    </row>
    <row r="15">
      <c r="A15" s="38" t="inlineStr">
        <is>
          <t>Comments:</t>
        </is>
      </c>
      <c r="B15" s="39" t="n"/>
      <c r="C15" s="6" t="n"/>
      <c r="D15" s="6" t="n"/>
      <c r="E15" s="6" t="n"/>
    </row>
    <row r="17">
      <c r="A17" s="37" t="inlineStr">
        <is>
          <t>REVIEWED BY (INFORMATION SECURITY OFFICER)</t>
        </is>
      </c>
      <c r="B17" s="6" t="n"/>
      <c r="C17" s="6" t="n"/>
      <c r="D17" s="6" t="n"/>
      <c r="E17" s="6" t="n"/>
    </row>
    <row r="18">
      <c r="A18" s="38" t="inlineStr">
        <is>
          <t>Name:</t>
        </is>
      </c>
      <c r="B18" s="39" t="n"/>
      <c r="C18" s="6" t="n"/>
      <c r="D18" s="6" t="n"/>
      <c r="E18" s="6" t="n"/>
    </row>
    <row r="19">
      <c r="A19" s="38" t="inlineStr">
        <is>
          <t>Title:</t>
        </is>
      </c>
      <c r="B19" s="39" t="n"/>
      <c r="C19" s="6" t="n"/>
      <c r="D19" s="6" t="n"/>
      <c r="E19" s="6" t="n"/>
    </row>
    <row r="20">
      <c r="A20" s="38" t="inlineStr">
        <is>
          <t>Date:</t>
        </is>
      </c>
      <c r="B20" s="39" t="n"/>
      <c r="C20" s="6" t="n"/>
      <c r="D20" s="6" t="n"/>
      <c r="E20" s="6" t="n"/>
    </row>
    <row r="21">
      <c r="A21" s="38" t="inlineStr">
        <is>
          <t>Signature:</t>
        </is>
      </c>
      <c r="B21" s="39" t="n"/>
      <c r="C21" s="6" t="n"/>
      <c r="D21" s="6" t="n"/>
      <c r="E21" s="6" t="n"/>
    </row>
    <row r="22">
      <c r="A22" s="38" t="inlineStr">
        <is>
          <t>Comments:</t>
        </is>
      </c>
      <c r="B22" s="39" t="n"/>
      <c r="C22" s="6" t="n"/>
      <c r="D22" s="6" t="n"/>
      <c r="E22" s="6" t="n"/>
    </row>
    <row r="24">
      <c r="A24" s="41" t="inlineStr">
        <is>
          <t>APPROVED BY (CISO)</t>
        </is>
      </c>
      <c r="B24" s="6" t="n"/>
      <c r="C24" s="6" t="n"/>
      <c r="D24" s="6" t="n"/>
      <c r="E24" s="6" t="n"/>
    </row>
    <row r="25">
      <c r="A25" s="38" t="inlineStr">
        <is>
          <t>Name:</t>
        </is>
      </c>
      <c r="B25" s="39" t="n"/>
      <c r="C25" s="6" t="n"/>
      <c r="D25" s="6" t="n"/>
      <c r="E25" s="6" t="n"/>
    </row>
    <row r="26">
      <c r="A26" s="38" t="inlineStr">
        <is>
          <t>Title:</t>
        </is>
      </c>
      <c r="B26" s="39" t="n"/>
      <c r="C26" s="6" t="n"/>
      <c r="D26" s="6" t="n"/>
      <c r="E26" s="6" t="n"/>
    </row>
    <row r="27">
      <c r="A27" s="38" t="inlineStr">
        <is>
          <t>Date:</t>
        </is>
      </c>
      <c r="B27" s="39" t="n"/>
      <c r="C27" s="6" t="n"/>
      <c r="D27" s="6" t="n"/>
      <c r="E27" s="6" t="n"/>
    </row>
    <row r="28">
      <c r="A28" s="38" t="inlineStr">
        <is>
          <t>Signature:</t>
        </is>
      </c>
      <c r="B28" s="39" t="n"/>
      <c r="C28" s="6" t="n"/>
      <c r="D28" s="6" t="n"/>
      <c r="E28" s="6" t="n"/>
    </row>
    <row r="29">
      <c r="A29" s="38" t="inlineStr">
        <is>
          <t>Comments:</t>
        </is>
      </c>
      <c r="B29" s="39" t="n"/>
      <c r="C29" s="6" t="n"/>
      <c r="D29" s="6" t="n"/>
      <c r="E29" s="6" t="n"/>
    </row>
    <row r="31">
      <c r="A31" s="38" t="inlineStr">
        <is>
          <t>FINAL DECISION:</t>
        </is>
      </c>
      <c r="B31" s="39" t="n"/>
      <c r="C31" s="6" t="n"/>
      <c r="D31" s="6" t="n"/>
      <c r="E31" s="6" t="n"/>
    </row>
    <row r="34">
      <c r="A34" s="37" t="inlineStr">
        <is>
          <t>NEXT REVIEW DETAILS</t>
        </is>
      </c>
      <c r="B34" s="6" t="n"/>
      <c r="C34" s="6" t="n"/>
      <c r="D34" s="6" t="n"/>
      <c r="E34" s="6" t="n"/>
    </row>
    <row r="35">
      <c r="A35" s="38" t="inlineStr">
        <is>
          <t>Next Review Date:</t>
        </is>
      </c>
      <c r="B35" s="39" t="n"/>
      <c r="C35" s="6" t="n"/>
      <c r="D35" s="6" t="n"/>
      <c r="E35" s="6" t="n"/>
    </row>
    <row r="36">
      <c r="A36" s="38" t="inlineStr">
        <is>
          <t>Review Responsible:</t>
        </is>
      </c>
      <c r="B36" s="39" t="n"/>
      <c r="C36" s="6" t="n"/>
      <c r="D36" s="6" t="n"/>
      <c r="E36" s="6" t="n"/>
    </row>
    <row r="37">
      <c r="A37" s="38" t="inlineStr">
        <is>
          <t>Special Considerations:</t>
        </is>
      </c>
      <c r="B37" s="39"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ISMS-IMP-A.8.4.2 — Branch Protection Assessment</dc:title>
  <dc:description xmlns:dc="http://purl.org/dc/elements/1.1/">ISMS Implementation Workbook — ISMS-IMP-A.8.4.2</dc:description>
  <dc:subject xmlns:dc="http://purl.org/dc/elements/1.1/">ISO/IEC 27001:2022 — Control A.8.4: Access to Source Code</dc:subject>
  <dcterms:created xmlns:dcterms="http://purl.org/dc/terms/" xmlns:xsi="http://www.w3.org/2001/XMLSchema-instance" xsi:type="dcterms:W3CDTF">2026-03-01T10:23:42Z</dcterms:created>
  <dcterms:modified xmlns:dcterms="http://purl.org/dc/terms/" xmlns:xsi="http://www.w3.org/2001/XMLSchema-instance" xsi:type="dcterms:W3CDTF">2026-03-01T10:23:42Z</dcterms:modified>
</cp:coreProperties>
</file>