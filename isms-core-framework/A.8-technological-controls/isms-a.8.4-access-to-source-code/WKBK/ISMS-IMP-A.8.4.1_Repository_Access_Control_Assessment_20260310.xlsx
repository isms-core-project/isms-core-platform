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pository Inventory" sheetId="2" state="visible" r:id="rId2"/>
    <sheet xmlns:r="http://schemas.openxmlformats.org/officeDocument/2006/relationships" name="User Access Matrix" sheetId="3" state="visible" r:id="rId3"/>
    <sheet xmlns:r="http://schemas.openxmlformats.org/officeDocument/2006/relationships" name="Access Approval Records" sheetId="4" state="visible" r:id="rId4"/>
    <sheet xmlns:r="http://schemas.openxmlformats.org/officeDocument/2006/relationships" name="Access Review Log" sheetId="5" state="visible" r:id="rId5"/>
    <sheet xmlns:r="http://schemas.openxmlformats.org/officeDocument/2006/relationships" name="Deprovisioning Log" sheetId="6" state="visible" r:id="rId6"/>
    <sheet xmlns:r="http://schemas.openxmlformats.org/officeDocument/2006/relationships" name="Third Party Access" sheetId="7" state="visible" r:id="rId7"/>
    <sheet xmlns:r="http://schemas.openxmlformats.org/officeDocument/2006/relationships" name="Service Accou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name val="Calibri"/>
      <i val="1"/>
      <color rgb="00003366"/>
      <sz val="10"/>
    </font>
    <font>
      <name val="Calibri"/>
      <b val="1"/>
      <color rgb="00000000"/>
      <sz val="10"/>
    </font>
    <font>
      <b val="1"/>
      <color rgb="00FFFFFF"/>
      <sz val="11"/>
    </font>
    <font>
      <b val="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1" fillId="8" borderId="1" applyAlignment="1" pivotButton="0" quotePrefix="0" xfId="0">
      <alignment horizontal="center" vertical="center"/>
    </xf>
    <xf numFmtId="0" fontId="7" fillId="0" borderId="1"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center" vertical="center" wrapText="1"/>
    </xf>
    <xf numFmtId="0" fontId="0" fillId="11" borderId="1" applyAlignment="1" pivotButton="0" quotePrefix="0" xfId="0">
      <alignment horizontal="left" vertical="center"/>
    </xf>
    <xf numFmtId="0" fontId="0" fillId="11" borderId="1" applyAlignment="1" pivotButton="0" quotePrefix="0" xfId="0">
      <alignment horizontal="center" vertical="center"/>
    </xf>
    <xf numFmtId="9" fontId="0" fillId="11" borderId="1" applyAlignment="1" pivotButton="0" quotePrefix="0" xfId="0">
      <alignment horizontal="center" vertical="center"/>
    </xf>
    <xf numFmtId="164" fontId="0" fillId="11"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8" fillId="9" borderId="1" applyAlignment="1" pivotButton="0" quotePrefix="0" xfId="0">
      <alignment horizontal="center" vertical="center"/>
    </xf>
    <xf numFmtId="0" fontId="5"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9" fillId="15" borderId="1" pivotButton="0" quotePrefix="0" xfId="0"/>
    <xf numFmtId="0" fontId="10" fillId="0" borderId="0" pivotButton="0" quotePrefix="0" xfId="0"/>
    <xf numFmtId="0" fontId="0" fillId="11" borderId="1" pivotButton="0" quotePrefix="0" xfId="0"/>
    <xf numFmtId="165"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ISMS-IMP-A.8.4.1  -  Repository Access Control Assessment
ISO/IEC 27001:2022 - Control A.8.4: Access to Source Code</t>
        </is>
      </c>
    </row>
    <row r="3">
      <c r="A3" s="2" t="inlineStr">
        <is>
          <t>Document Information</t>
        </is>
      </c>
    </row>
    <row r="4">
      <c r="A4" s="3" t="inlineStr">
        <is>
          <t>Document ID</t>
        </is>
      </c>
      <c r="B4" t="inlineStr">
        <is>
          <t>ISMS-IMP-A.8.4.1</t>
        </is>
      </c>
    </row>
    <row r="5">
      <c r="A5" s="3" t="inlineStr">
        <is>
          <t>Workbook Title</t>
        </is>
      </c>
      <c r="B5" t="inlineStr">
        <is>
          <t>Repository Access Control Assessment</t>
        </is>
      </c>
    </row>
    <row r="6">
      <c r="A6" s="3" t="inlineStr">
        <is>
          <t>Control Reference</t>
        </is>
      </c>
      <c r="B6" t="inlineStr">
        <is>
          <t>ISO/IEC 27001:2022 - Control A.8.4: Access to Source Code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Repository Inventory sheet for ALL source code repositories.</t>
        </is>
      </c>
    </row>
    <row r="14">
      <c r="A14" t="inlineStr">
        <is>
          <t>2. Fill in the User Access Matrix sheet showing who has access to what.</t>
        </is>
      </c>
    </row>
    <row r="15">
      <c r="A15" t="inlineStr">
        <is>
          <t>3. Document all access requests and approvals in Access Approval Records.</t>
        </is>
      </c>
    </row>
    <row r="16">
      <c r="A16" t="inlineStr">
        <is>
          <t>4. Track quarterly access reviews in Access Review Log.</t>
        </is>
      </c>
    </row>
    <row r="17">
      <c r="A17" t="inlineStr">
        <is>
          <t>5. The Summary Dashboard sheet automatically calculates compliance metrics.</t>
        </is>
      </c>
    </row>
    <row r="18">
      <c r="A18" t="inlineStr">
        <is>
          <t>6. Document gaps in Gap Analysis with remediation plans.</t>
        </is>
      </c>
    </row>
    <row r="19">
      <c r="A19" t="inlineStr">
        <is>
          <t>7. Maintain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8" customWidth="1" min="3" max="3"/>
    <col width="23" customWidth="1" min="4" max="4"/>
    <col width="20" customWidth="1" min="5" max="5"/>
    <col width="30" customWidth="1" min="6" max="6"/>
    <col width="40" customWidth="1" min="7" max="7"/>
    <col width="25" customWidth="1" min="8" max="8"/>
    <col width="18" customWidth="1" min="9" max="9"/>
    <col width="18" customWidth="1" min="10" max="10"/>
    <col width="15" customWidth="1" min="11" max="11"/>
    <col width="20" customWidth="1" min="12" max="12"/>
    <col width="20" customWidth="1" min="13" max="13"/>
    <col width="12" customWidth="1" min="14" max="14"/>
    <col width="20" customWidth="1" min="15" max="15"/>
    <col width="20" customWidth="1" min="16" max="16"/>
    <col width="23" customWidth="1" min="17" max="17"/>
    <col width="20" customWidth="1" min="18" max="18"/>
    <col width="20" customWidth="1" min="19" max="19"/>
    <col width="30" customWidth="1" min="20" max="20"/>
  </cols>
  <sheetData>
    <row r="1" ht="35" customHeight="1">
      <c r="A1" s="11" t="inlineStr">
        <is>
          <t>REPOSITORY INVENTORY</t>
        </is>
      </c>
    </row>
    <row r="2">
      <c r="A2" s="12" t="inlineStr">
        <is>
          <t>Document all source code repositories regardless of platform</t>
        </is>
      </c>
    </row>
    <row r="3">
      <c r="A3" s="13" t="inlineStr">
        <is>
          <t>Repository Name</t>
        </is>
      </c>
      <c r="B3" s="13" t="inlineStr">
        <is>
          <t>Repository URL</t>
        </is>
      </c>
      <c r="C3" s="13" t="inlineStr">
        <is>
          <t>Repository Platform</t>
        </is>
      </c>
      <c r="D3" s="13" t="inlineStr">
        <is>
          <t>Repository Classification</t>
        </is>
      </c>
      <c r="E3" s="13" t="inlineStr">
        <is>
          <t>Repository Owner</t>
        </is>
      </c>
      <c r="F3" s="13" t="inlineStr">
        <is>
          <t>Repository Owner Email</t>
        </is>
      </c>
      <c r="G3" s="13" t="inlineStr">
        <is>
          <t>Business Purpose</t>
        </is>
      </c>
      <c r="H3" s="13" t="inlineStr">
        <is>
          <t>Primary Programming Language</t>
        </is>
      </c>
      <c r="I3" s="13" t="inlineStr">
        <is>
          <t>Last Commit Date</t>
        </is>
      </c>
      <c r="J3" s="13" t="inlineStr">
        <is>
          <t>Active/Inactive Status</t>
        </is>
      </c>
      <c r="K3" s="13" t="inlineStr">
        <is>
          <t>Total Contributors</t>
        </is>
      </c>
      <c r="L3" s="13" t="inlineStr">
        <is>
          <t>Total Commits (Lifetime)</t>
        </is>
      </c>
      <c r="M3" s="13" t="inlineStr">
        <is>
          <t>Repository Creation Date</t>
        </is>
      </c>
      <c r="N3" s="13" t="inlineStr">
        <is>
          <t>Criticality</t>
        </is>
      </c>
      <c r="O3" s="13" t="inlineStr">
        <is>
          <t>Contains Production Code</t>
        </is>
      </c>
      <c r="P3" s="13" t="inlineStr">
        <is>
          <t>Contains Sensitive Data</t>
        </is>
      </c>
      <c r="Q3" s="13" t="inlineStr">
        <is>
          <t>Branch Protection Enabled</t>
        </is>
      </c>
      <c r="R3" s="13" t="inlineStr">
        <is>
          <t>Secret Scanning Enabled</t>
        </is>
      </c>
      <c r="S3" s="13" t="inlineStr">
        <is>
          <t>Last Access Review Date</t>
        </is>
      </c>
      <c r="T3" s="13" t="inlineStr">
        <is>
          <t>Notes</t>
        </is>
      </c>
    </row>
    <row r="4">
      <c r="A4" s="14" t="inlineStr">
        <is>
          <t>[Example: customer-portal]</t>
        </is>
      </c>
      <c r="B4" s="14" t="inlineStr">
        <is>
          <t>[Example: https://github.com/org/customer-portal]</t>
        </is>
      </c>
      <c r="C4" s="14" t="inlineStr">
        <is>
          <t>GitHub</t>
        </is>
      </c>
      <c r="D4" s="14" t="inlineStr">
        <is>
          <t>Production Code</t>
        </is>
      </c>
      <c r="E4" s="14" t="inlineStr">
        <is>
          <t>[Example: Anna Muller]</t>
        </is>
      </c>
      <c r="F4" s="14" t="inlineStr">
        <is>
          <t>[Example: jane.doe@organisation.ch]</t>
        </is>
      </c>
      <c r="G4" s="14" t="inlineStr">
        <is>
          <t>[Example: Customer-facing web application]</t>
        </is>
      </c>
      <c r="H4" s="14" t="inlineStr">
        <is>
          <t>[Example: Python]</t>
        </is>
      </c>
      <c r="I4" s="14" t="inlineStr">
        <is>
          <t>10.03.2026</t>
        </is>
      </c>
      <c r="J4" s="14" t="inlineStr">
        <is>
          <t>Active</t>
        </is>
      </c>
      <c r="K4" s="14" t="inlineStr">
        <is>
          <t>[Example: 15]</t>
        </is>
      </c>
      <c r="L4" s="14" t="inlineStr">
        <is>
          <t>[Example: 3245]</t>
        </is>
      </c>
      <c r="M4" s="14" t="inlineStr">
        <is>
          <t>[Example: 2021-03-15]</t>
        </is>
      </c>
      <c r="N4" s="14" t="inlineStr">
        <is>
          <t>Critical</t>
        </is>
      </c>
      <c r="O4" s="14" t="inlineStr">
        <is>
          <t>[PASS] Yes</t>
        </is>
      </c>
      <c r="P4" s="14" t="inlineStr">
        <is>
          <t>[FAIL] No</t>
        </is>
      </c>
      <c r="Q4" s="14" t="inlineStr">
        <is>
          <t>[PASS] Yes</t>
        </is>
      </c>
      <c r="R4" s="14" t="inlineStr">
        <is>
          <t>[PASS] Yes</t>
        </is>
      </c>
      <c r="S4" s="14" t="inlineStr">
        <is>
          <t>10.03.2026</t>
        </is>
      </c>
      <c r="T4" s="14" t="inlineStr">
        <is>
          <t>[Example notes]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5">
    <dataValidation sqref="C4:C54" showDropDown="0" showInputMessage="0" showErrorMessage="0" allowBlank="0" type="list">
      <formula1>"GitHub,GitLab,Bitbucket,Azure DevOps,Self-Hosted Git,Perforce,SVN,Other"</formula1>
    </dataValidation>
    <dataValidation sqref="D4:D54" showDropDown="0" showInputMessage="0" showErrorMessage="0" allowBlank="0" type="list">
      <formula1>"Production Code,Internal Tools,Open Source,Archived/Deprecated"</formula1>
    </dataValidation>
    <dataValidation sqref="J4:J54" showDropDown="0" showInputMessage="0" showErrorMessage="0" allowBlank="0" type="list">
      <formula1>"Active,Archived,Deprecated,Planned"</formula1>
    </dataValidation>
    <dataValidation sqref="N4:N54" showDropDown="0" showInputMessage="0" showErrorMessage="0" allowBlank="0" type="list">
      <formula1>"Critical,High,Medium,Low"</formula1>
    </dataValidation>
    <dataValidation sqref="O4:O54 P4:P54 Q4:Q54 R4:R54" showDropDown="0" showInputMessage="0" showErrorMessage="0" allowBlank="0" type="list">
      <formula1>"[PASS] Yes,[FAIL] No,[WARN] Partial,[?]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18" customWidth="1" min="4" max="4"/>
    <col width="20" customWidth="1" min="5" max="5"/>
    <col width="25" customWidth="1" min="6" max="6"/>
    <col width="18" customWidth="1" min="7" max="7"/>
    <col width="18" customWidth="1" min="8" max="8"/>
    <col width="18" customWidth="1" min="9" max="9"/>
    <col width="20" customWidth="1" min="10" max="10"/>
    <col width="40" customWidth="1" min="11" max="11"/>
    <col width="18" customWidth="1" min="12" max="12"/>
    <col width="18" customWidth="1" min="13" max="13"/>
    <col width="18" customWidth="1" min="14" max="14"/>
    <col width="18" customWidth="1" min="15" max="15"/>
    <col width="18" customWidth="1" min="16" max="16"/>
    <col width="30" customWidth="1" min="17" max="17"/>
    <col width="18" customWidth="1" min="18" max="18"/>
    <col width="18" customWidth="1" min="19" max="19"/>
    <col width="30" customWidth="1" min="20" max="20"/>
  </cols>
  <sheetData>
    <row r="1" ht="35" customHeight="1">
      <c r="A1" s="11" t="inlineStr">
        <is>
          <t>USER ACCESS MATRIX</t>
        </is>
      </c>
    </row>
    <row r="2">
      <c r="A2" s="12" t="inlineStr">
        <is>
          <t>Document all user access to repositories</t>
        </is>
      </c>
    </row>
    <row r="3">
      <c r="A3" s="13" t="inlineStr">
        <is>
          <t>User Name</t>
        </is>
      </c>
      <c r="B3" s="13" t="inlineStr">
        <is>
          <t>User Email</t>
        </is>
      </c>
      <c r="C3" s="13" t="inlineStr">
        <is>
          <t>User Role</t>
        </is>
      </c>
      <c r="D3" s="13" t="inlineStr">
        <is>
          <t>Employment Type</t>
        </is>
      </c>
      <c r="E3" s="13" t="inlineStr">
        <is>
          <t>Department/Team</t>
        </is>
      </c>
      <c r="F3" s="13" t="inlineStr">
        <is>
          <t>Repository Name</t>
        </is>
      </c>
      <c r="G3" s="13" t="inlineStr">
        <is>
          <t>Repository Platform</t>
        </is>
      </c>
      <c r="H3" s="13" t="inlineStr">
        <is>
          <t>Access Level</t>
        </is>
      </c>
      <c r="I3" s="13" t="inlineStr">
        <is>
          <t>Access Granted Date</t>
        </is>
      </c>
      <c r="J3" s="13" t="inlineStr">
        <is>
          <t>Access Approved By</t>
        </is>
      </c>
      <c r="K3" s="13" t="inlineStr">
        <is>
          <t>Business Justification</t>
        </is>
      </c>
      <c r="L3" s="13" t="inlineStr">
        <is>
          <t>Contract End Date</t>
        </is>
      </c>
      <c r="M3" s="13" t="inlineStr">
        <is>
          <t>Access Expiration Date</t>
        </is>
      </c>
      <c r="N3" s="13" t="inlineStr">
        <is>
          <t>Last Access Date</t>
        </is>
      </c>
      <c r="O3" s="13" t="inlineStr">
        <is>
          <t>Access Status</t>
        </is>
      </c>
      <c r="P3" s="13" t="inlineStr">
        <is>
          <t>Last Review Date</t>
        </is>
      </c>
      <c r="Q3" s="13" t="inlineStr">
        <is>
          <t>Reviewer Comments</t>
        </is>
      </c>
      <c r="R3" s="13" t="inlineStr">
        <is>
          <t>Remediation Required</t>
        </is>
      </c>
      <c r="S3" s="13" t="inlineStr">
        <is>
          <t>Remediation Due Date</t>
        </is>
      </c>
      <c r="T3" s="13" t="inlineStr">
        <is>
          <t>Notes</t>
        </is>
      </c>
    </row>
    <row r="4">
      <c r="A4" s="14" t="inlineStr">
        <is>
          <t>[Example: Thomas Meier]</t>
        </is>
      </c>
      <c r="B4" s="14" t="inlineStr">
        <is>
          <t>[Example: john.smith@organisation.ch]</t>
        </is>
      </c>
      <c r="C4" s="14" t="inlineStr">
        <is>
          <t>Developer</t>
        </is>
      </c>
      <c r="D4" s="14" t="inlineStr">
        <is>
          <t>Employee</t>
        </is>
      </c>
      <c r="E4" s="14" t="inlineStr">
        <is>
          <t>[Example: Engineering]</t>
        </is>
      </c>
      <c r="F4" s="14" t="inlineStr">
        <is>
          <t>[Example: customer-portal]</t>
        </is>
      </c>
      <c r="G4" s="14" t="inlineStr">
        <is>
          <t>GitHub</t>
        </is>
      </c>
      <c r="H4" s="14" t="inlineStr">
        <is>
          <t>Write/Contribute</t>
        </is>
      </c>
      <c r="I4" s="14" t="inlineStr">
        <is>
          <t>10.03.2026</t>
        </is>
      </c>
      <c r="J4" s="14" t="inlineStr">
        <is>
          <t>[Example: Anna Muller]</t>
        </is>
      </c>
      <c r="K4" s="14" t="inlineStr">
        <is>
          <t>[Example: Active development on customer portal project]</t>
        </is>
      </c>
      <c r="L4" s="14" t="inlineStr"/>
      <c r="M4" s="14" t="inlineStr"/>
      <c r="N4" s="14" t="inlineStr">
        <is>
          <t>23.02.2026</t>
        </is>
      </c>
      <c r="O4" s="14" t="inlineStr">
        <is>
          <t>[PASS] Appropriate</t>
        </is>
      </c>
      <c r="P4" s="14" t="inlineStr">
        <is>
          <t>10.03.2026</t>
        </is>
      </c>
      <c r="Q4" s="14" t="inlineStr">
        <is>
          <t>[Example: Access reviewed and confirmed]</t>
        </is>
      </c>
      <c r="R4" s="14" t="inlineStr">
        <is>
          <t>[FAIL] No</t>
        </is>
      </c>
      <c r="S4" s="14" t="inlineStr"/>
      <c r="T4" s="14" t="inlineStr"/>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6">
    <dataValidation sqref="C4:C54" showDropDown="0" showInputMessage="0" showErrorMessage="0" allowBlank="0" type="list">
      <formula1>"Developer,Security Team,Auditor,External Contractor,Repository Admin,Service Account"</formula1>
    </dataValidation>
    <dataValidation sqref="D4:D54" showDropDown="0" showInputMessage="0" showErrorMessage="0" allowBlank="0" type="list">
      <formula1>"Employee,Contractor,Auditor,Automated System"</formula1>
    </dataValidation>
    <dataValidation sqref="G4:G53" showDropDown="0" showInputMessage="0" showErrorMessage="0" allowBlank="0" type="list">
      <formula1>"GitHub,GitLab,Bitbucket,Azure DevOps,Self-Hosted Git,Perforce,SVN,Other"</formula1>
    </dataValidation>
    <dataValidation sqref="H4:H53" showDropDown="0" showInputMessage="0" showErrorMessage="0" allowBlank="0" type="list">
      <formula1>"Read,Write/Contribute,Admin"</formula1>
    </dataValidation>
    <dataValidation sqref="O4:O54" showDropDown="0" showInputMessage="0" showErrorMessage="0" allowBlank="0" type="list">
      <formula1>"[PASS] Appropriate,[WARN] Excessive,[FAIL] Orphaned,[DATE] Expired,[OK] Remediated"</formula1>
    </dataValidation>
    <dataValidation sqref="R4:R54" showDropDown="0" showInputMessage="0" showErrorMessage="0" allowBlank="0" type="list">
      <formula1>"[PASS] Yes,[FAIL] No,[WARN] Partial,[?]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5" customWidth="1" min="5" max="5"/>
    <col width="20" customWidth="1" min="6" max="6"/>
    <col width="40" customWidth="1" min="7" max="7"/>
    <col width="15" customWidth="1" min="8" max="8"/>
    <col width="18" customWidth="1" min="9" max="9"/>
    <col width="20" customWidth="1" min="10" max="10"/>
    <col width="15" customWidth="1" min="11" max="11"/>
    <col width="15" customWidth="1" min="12" max="12"/>
    <col width="20" customWidth="1" min="13" max="13"/>
    <col width="18" customWidth="1" min="14" max="14"/>
    <col width="15" customWidth="1" min="15" max="15"/>
    <col width="20" customWidth="1" min="16" max="16"/>
    <col width="30" customWidth="1" min="17" max="17"/>
    <col width="30" customWidth="1" min="18" max="18"/>
  </cols>
  <sheetData>
    <row r="1" ht="35" customHeight="1">
      <c r="A1" s="11" t="inlineStr">
        <is>
          <t>ACCESS APPROVAL RECORDS</t>
        </is>
      </c>
    </row>
    <row r="2">
      <c r="A2" s="12" t="inlineStr">
        <is>
          <t>Document all access request approvals for audit trail</t>
        </is>
      </c>
    </row>
    <row r="3">
      <c r="A3" s="13" t="inlineStr">
        <is>
          <t>Request Date</t>
        </is>
      </c>
      <c r="B3" s="13" t="inlineStr">
        <is>
          <t>Request ID</t>
        </is>
      </c>
      <c r="C3" s="13" t="inlineStr">
        <is>
          <t>Requestor Name</t>
        </is>
      </c>
      <c r="D3" s="13" t="inlineStr">
        <is>
          <t>Requestor Email</t>
        </is>
      </c>
      <c r="E3" s="13" t="inlineStr">
        <is>
          <t>Repository Name</t>
        </is>
      </c>
      <c r="F3" s="13" t="inlineStr">
        <is>
          <t>Access Level Requested</t>
        </is>
      </c>
      <c r="G3" s="13" t="inlineStr">
        <is>
          <t>Business Justification</t>
        </is>
      </c>
      <c r="H3" s="13" t="inlineStr">
        <is>
          <t>Expected Duration</t>
        </is>
      </c>
      <c r="I3" s="13" t="inlineStr">
        <is>
          <t>Expected End Date</t>
        </is>
      </c>
      <c r="J3" s="13" t="inlineStr">
        <is>
          <t>Repository Owner</t>
        </is>
      </c>
      <c r="K3" s="13" t="inlineStr">
        <is>
          <t>Owner Approval</t>
        </is>
      </c>
      <c r="L3" s="13" t="inlineStr">
        <is>
          <t>Approval Date</t>
        </is>
      </c>
      <c r="M3" s="13" t="inlineStr">
        <is>
          <t>Additional Approver</t>
        </is>
      </c>
      <c r="N3" s="13" t="inlineStr">
        <is>
          <t>Additional Approval</t>
        </is>
      </c>
      <c r="O3" s="13" t="inlineStr">
        <is>
          <t>Provisioning Date</t>
        </is>
      </c>
      <c r="P3" s="13" t="inlineStr">
        <is>
          <t>Provisioned By</t>
        </is>
      </c>
      <c r="Q3" s="13" t="inlineStr">
        <is>
          <t>Denial Reason</t>
        </is>
      </c>
      <c r="R3" s="13" t="inlineStr">
        <is>
          <t>Notes</t>
        </is>
      </c>
    </row>
    <row r="4">
      <c r="A4" s="14" t="inlineStr">
        <is>
          <t>10.03.2026</t>
        </is>
      </c>
      <c r="B4" s="14" t="inlineStr">
        <is>
          <t>[Example: TICKET-12345]</t>
        </is>
      </c>
      <c r="C4" s="14" t="inlineStr">
        <is>
          <t>[Example: Bob Johnson]</t>
        </is>
      </c>
      <c r="D4" s="14" t="inlineStr">
        <is>
          <t>[Example: bob.johnson@organisation.ch]</t>
        </is>
      </c>
      <c r="E4" s="14" t="inlineStr">
        <is>
          <t>[Example: customer-portal]</t>
        </is>
      </c>
      <c r="F4" s="14" t="inlineStr">
        <is>
          <t>Write/Contribute</t>
        </is>
      </c>
      <c r="G4" s="14" t="inlineStr">
        <is>
          <t>[Example: Need to fix authentication bug]</t>
        </is>
      </c>
      <c r="H4" s="14" t="inlineStr">
        <is>
          <t>Permanent</t>
        </is>
      </c>
      <c r="I4" s="14" t="inlineStr"/>
      <c r="J4" s="14" t="inlineStr">
        <is>
          <t>[Example: Anna Muller]</t>
        </is>
      </c>
      <c r="K4" s="14" t="inlineStr">
        <is>
          <t>[PASS] Approved</t>
        </is>
      </c>
      <c r="L4" s="14" t="inlineStr">
        <is>
          <t>10.03.2026</t>
        </is>
      </c>
      <c r="M4" s="14" t="inlineStr"/>
      <c r="N4" s="14" t="inlineStr">
        <is>
          <t>[N/A] N/A</t>
        </is>
      </c>
      <c r="O4" s="14" t="inlineStr">
        <is>
          <t>11.03.2026</t>
        </is>
      </c>
      <c r="P4" s="14" t="inlineStr">
        <is>
          <t>[Example: DevOps Team]</t>
        </is>
      </c>
      <c r="Q4" s="14" t="inlineStr"/>
      <c r="R4" s="14" t="inlineStr"/>
    </row>
    <row r="5">
      <c r="A5" s="15" t="n"/>
      <c r="B5" s="15" t="n"/>
      <c r="C5" s="15" t="n"/>
      <c r="D5" s="15" t="n"/>
      <c r="E5" s="15" t="n"/>
      <c r="F5" s="15" t="n"/>
      <c r="G5" s="15" t="n"/>
      <c r="H5" s="15" t="n"/>
      <c r="I5" s="15" t="n"/>
      <c r="J5" s="15" t="n"/>
      <c r="K5" s="15" t="n"/>
      <c r="L5" s="15" t="n"/>
      <c r="M5" s="15" t="n"/>
      <c r="N5" s="15" t="n"/>
      <c r="O5" s="15" t="n"/>
      <c r="P5" s="15" t="n"/>
      <c r="Q5" s="15" t="n"/>
      <c r="R5" s="15" t="n"/>
    </row>
    <row r="6">
      <c r="A6" s="15" t="n"/>
      <c r="B6" s="15" t="n"/>
      <c r="C6" s="15" t="n"/>
      <c r="D6" s="15" t="n"/>
      <c r="E6" s="15" t="n"/>
      <c r="F6" s="15" t="n"/>
      <c r="G6" s="15" t="n"/>
      <c r="H6" s="15" t="n"/>
      <c r="I6" s="15" t="n"/>
      <c r="J6" s="15" t="n"/>
      <c r="K6" s="15" t="n"/>
      <c r="L6" s="15" t="n"/>
      <c r="M6" s="15" t="n"/>
      <c r="N6" s="15" t="n"/>
      <c r="O6" s="15" t="n"/>
      <c r="P6" s="15" t="n"/>
      <c r="Q6" s="15" t="n"/>
      <c r="R6" s="15" t="n"/>
    </row>
    <row r="7">
      <c r="A7" s="15" t="n"/>
      <c r="B7" s="15" t="n"/>
      <c r="C7" s="15" t="n"/>
      <c r="D7" s="15" t="n"/>
      <c r="E7" s="15" t="n"/>
      <c r="F7" s="15" t="n"/>
      <c r="G7" s="15" t="n"/>
      <c r="H7" s="15" t="n"/>
      <c r="I7" s="15" t="n"/>
      <c r="J7" s="15" t="n"/>
      <c r="K7" s="15" t="n"/>
      <c r="L7" s="15" t="n"/>
      <c r="M7" s="15" t="n"/>
      <c r="N7" s="15" t="n"/>
      <c r="O7" s="15" t="n"/>
      <c r="P7" s="15" t="n"/>
      <c r="Q7" s="15" t="n"/>
      <c r="R7" s="15" t="n"/>
    </row>
    <row r="8">
      <c r="A8" s="15" t="n"/>
      <c r="B8" s="15" t="n"/>
      <c r="C8" s="15" t="n"/>
      <c r="D8" s="15" t="n"/>
      <c r="E8" s="15" t="n"/>
      <c r="F8" s="15" t="n"/>
      <c r="G8" s="15" t="n"/>
      <c r="H8" s="15" t="n"/>
      <c r="I8" s="15" t="n"/>
      <c r="J8" s="15" t="n"/>
      <c r="K8" s="15" t="n"/>
      <c r="L8" s="15" t="n"/>
      <c r="M8" s="15" t="n"/>
      <c r="N8" s="15" t="n"/>
      <c r="O8" s="15" t="n"/>
      <c r="P8" s="15" t="n"/>
      <c r="Q8" s="15" t="n"/>
      <c r="R8" s="15" t="n"/>
    </row>
    <row r="9">
      <c r="A9" s="15" t="n"/>
      <c r="B9" s="15" t="n"/>
      <c r="C9" s="15" t="n"/>
      <c r="D9" s="15" t="n"/>
      <c r="E9" s="15" t="n"/>
      <c r="F9" s="15" t="n"/>
      <c r="G9" s="15" t="n"/>
      <c r="H9" s="15" t="n"/>
      <c r="I9" s="15" t="n"/>
      <c r="J9" s="15" t="n"/>
      <c r="K9" s="15" t="n"/>
      <c r="L9" s="15" t="n"/>
      <c r="M9" s="15" t="n"/>
      <c r="N9" s="15" t="n"/>
      <c r="O9" s="15" t="n"/>
      <c r="P9" s="15" t="n"/>
      <c r="Q9" s="15" t="n"/>
      <c r="R9" s="15" t="n"/>
    </row>
    <row r="10">
      <c r="A10" s="15" t="n"/>
      <c r="B10" s="15" t="n"/>
      <c r="C10" s="15" t="n"/>
      <c r="D10" s="15" t="n"/>
      <c r="E10" s="15" t="n"/>
      <c r="F10" s="15" t="n"/>
      <c r="G10" s="15" t="n"/>
      <c r="H10" s="15" t="n"/>
      <c r="I10" s="15" t="n"/>
      <c r="J10" s="15" t="n"/>
      <c r="K10" s="15" t="n"/>
      <c r="L10" s="15" t="n"/>
      <c r="M10" s="15" t="n"/>
      <c r="N10" s="15" t="n"/>
      <c r="O10" s="15" t="n"/>
      <c r="P10" s="15" t="n"/>
      <c r="Q10" s="15" t="n"/>
      <c r="R10" s="15" t="n"/>
    </row>
    <row r="11">
      <c r="A11" s="15" t="n"/>
      <c r="B11" s="15" t="n"/>
      <c r="C11" s="15" t="n"/>
      <c r="D11" s="15" t="n"/>
      <c r="E11" s="15" t="n"/>
      <c r="F11" s="15" t="n"/>
      <c r="G11" s="15" t="n"/>
      <c r="H11" s="15" t="n"/>
      <c r="I11" s="15" t="n"/>
      <c r="J11" s="15" t="n"/>
      <c r="K11" s="15" t="n"/>
      <c r="L11" s="15" t="n"/>
      <c r="M11" s="15" t="n"/>
      <c r="N11" s="15" t="n"/>
      <c r="O11" s="15" t="n"/>
      <c r="P11" s="15" t="n"/>
      <c r="Q11" s="15" t="n"/>
      <c r="R11" s="15" t="n"/>
    </row>
    <row r="12">
      <c r="A12" s="15" t="n"/>
      <c r="B12" s="15" t="n"/>
      <c r="C12" s="15" t="n"/>
      <c r="D12" s="15" t="n"/>
      <c r="E12" s="15" t="n"/>
      <c r="F12" s="15" t="n"/>
      <c r="G12" s="15" t="n"/>
      <c r="H12" s="15" t="n"/>
      <c r="I12" s="15" t="n"/>
      <c r="J12" s="15" t="n"/>
      <c r="K12" s="15" t="n"/>
      <c r="L12" s="15" t="n"/>
      <c r="M12" s="15" t="n"/>
      <c r="N12" s="15" t="n"/>
      <c r="O12" s="15" t="n"/>
      <c r="P12" s="15" t="n"/>
      <c r="Q12" s="15" t="n"/>
      <c r="R12" s="15" t="n"/>
    </row>
    <row r="13">
      <c r="A13" s="15" t="n"/>
      <c r="B13" s="15" t="n"/>
      <c r="C13" s="15" t="n"/>
      <c r="D13" s="15" t="n"/>
      <c r="E13" s="15" t="n"/>
      <c r="F13" s="15" t="n"/>
      <c r="G13" s="15" t="n"/>
      <c r="H13" s="15" t="n"/>
      <c r="I13" s="15" t="n"/>
      <c r="J13" s="15" t="n"/>
      <c r="K13" s="15" t="n"/>
      <c r="L13" s="15" t="n"/>
      <c r="M13" s="15" t="n"/>
      <c r="N13" s="15" t="n"/>
      <c r="O13" s="15" t="n"/>
      <c r="P13" s="15" t="n"/>
      <c r="Q13" s="15" t="n"/>
      <c r="R13" s="15" t="n"/>
    </row>
    <row r="14">
      <c r="A14" s="15" t="n"/>
      <c r="B14" s="15" t="n"/>
      <c r="C14" s="15" t="n"/>
      <c r="D14" s="15" t="n"/>
      <c r="E14" s="15" t="n"/>
      <c r="F14" s="15" t="n"/>
      <c r="G14" s="15" t="n"/>
      <c r="H14" s="15" t="n"/>
      <c r="I14" s="15" t="n"/>
      <c r="J14" s="15" t="n"/>
      <c r="K14" s="15" t="n"/>
      <c r="L14" s="15" t="n"/>
      <c r="M14" s="15" t="n"/>
      <c r="N14" s="15" t="n"/>
      <c r="O14" s="15" t="n"/>
      <c r="P14" s="15" t="n"/>
      <c r="Q14" s="15" t="n"/>
      <c r="R14" s="15" t="n"/>
    </row>
    <row r="15">
      <c r="A15" s="15" t="n"/>
      <c r="B15" s="15" t="n"/>
      <c r="C15" s="15" t="n"/>
      <c r="D15" s="15" t="n"/>
      <c r="E15" s="15" t="n"/>
      <c r="F15" s="15" t="n"/>
      <c r="G15" s="15" t="n"/>
      <c r="H15" s="15" t="n"/>
      <c r="I15" s="15" t="n"/>
      <c r="J15" s="15" t="n"/>
      <c r="K15" s="15" t="n"/>
      <c r="L15" s="15" t="n"/>
      <c r="M15" s="15" t="n"/>
      <c r="N15" s="15" t="n"/>
      <c r="O15" s="15" t="n"/>
      <c r="P15" s="15" t="n"/>
      <c r="Q15" s="15" t="n"/>
      <c r="R15" s="15" t="n"/>
    </row>
    <row r="16">
      <c r="A16" s="15" t="n"/>
      <c r="B16" s="15" t="n"/>
      <c r="C16" s="15" t="n"/>
      <c r="D16" s="15" t="n"/>
      <c r="E16" s="15" t="n"/>
      <c r="F16" s="15" t="n"/>
      <c r="G16" s="15" t="n"/>
      <c r="H16" s="15" t="n"/>
      <c r="I16" s="15" t="n"/>
      <c r="J16" s="15" t="n"/>
      <c r="K16" s="15" t="n"/>
      <c r="L16" s="15" t="n"/>
      <c r="M16" s="15" t="n"/>
      <c r="N16" s="15" t="n"/>
      <c r="O16" s="15" t="n"/>
      <c r="P16" s="15" t="n"/>
      <c r="Q16" s="15" t="n"/>
      <c r="R16" s="15" t="n"/>
    </row>
    <row r="17">
      <c r="A17" s="15" t="n"/>
      <c r="B17" s="15" t="n"/>
      <c r="C17" s="15" t="n"/>
      <c r="D17" s="15" t="n"/>
      <c r="E17" s="15" t="n"/>
      <c r="F17" s="15" t="n"/>
      <c r="G17" s="15" t="n"/>
      <c r="H17" s="15" t="n"/>
      <c r="I17" s="15" t="n"/>
      <c r="J17" s="15" t="n"/>
      <c r="K17" s="15" t="n"/>
      <c r="L17" s="15" t="n"/>
      <c r="M17" s="15" t="n"/>
      <c r="N17" s="15" t="n"/>
      <c r="O17" s="15" t="n"/>
      <c r="P17" s="15" t="n"/>
      <c r="Q17" s="15" t="n"/>
      <c r="R17" s="15" t="n"/>
    </row>
    <row r="18">
      <c r="A18" s="15" t="n"/>
      <c r="B18" s="15" t="n"/>
      <c r="C18" s="15" t="n"/>
      <c r="D18" s="15" t="n"/>
      <c r="E18" s="15" t="n"/>
      <c r="F18" s="15" t="n"/>
      <c r="G18" s="15" t="n"/>
      <c r="H18" s="15" t="n"/>
      <c r="I18" s="15" t="n"/>
      <c r="J18" s="15" t="n"/>
      <c r="K18" s="15" t="n"/>
      <c r="L18" s="15" t="n"/>
      <c r="M18" s="15" t="n"/>
      <c r="N18" s="15" t="n"/>
      <c r="O18" s="15" t="n"/>
      <c r="P18" s="15" t="n"/>
      <c r="Q18" s="15" t="n"/>
      <c r="R18" s="15" t="n"/>
    </row>
    <row r="19">
      <c r="A19" s="15" t="n"/>
      <c r="B19" s="15" t="n"/>
      <c r="C19" s="15" t="n"/>
      <c r="D19" s="15" t="n"/>
      <c r="E19" s="15" t="n"/>
      <c r="F19" s="15" t="n"/>
      <c r="G19" s="15" t="n"/>
      <c r="H19" s="15" t="n"/>
      <c r="I19" s="15" t="n"/>
      <c r="J19" s="15" t="n"/>
      <c r="K19" s="15" t="n"/>
      <c r="L19" s="15" t="n"/>
      <c r="M19" s="15" t="n"/>
      <c r="N19" s="15" t="n"/>
      <c r="O19" s="15" t="n"/>
      <c r="P19" s="15" t="n"/>
      <c r="Q19" s="15" t="n"/>
      <c r="R19" s="15" t="n"/>
    </row>
    <row r="20">
      <c r="A20" s="15" t="n"/>
      <c r="B20" s="15" t="n"/>
      <c r="C20" s="15" t="n"/>
      <c r="D20" s="15" t="n"/>
      <c r="E20" s="15" t="n"/>
      <c r="F20" s="15" t="n"/>
      <c r="G20" s="15" t="n"/>
      <c r="H20" s="15" t="n"/>
      <c r="I20" s="15" t="n"/>
      <c r="J20" s="15" t="n"/>
      <c r="K20" s="15" t="n"/>
      <c r="L20" s="15" t="n"/>
      <c r="M20" s="15" t="n"/>
      <c r="N20" s="15" t="n"/>
      <c r="O20" s="15" t="n"/>
      <c r="P20" s="15" t="n"/>
      <c r="Q20" s="15" t="n"/>
      <c r="R20" s="15" t="n"/>
    </row>
    <row r="21">
      <c r="A21" s="15" t="n"/>
      <c r="B21" s="15" t="n"/>
      <c r="C21" s="15" t="n"/>
      <c r="D21" s="15" t="n"/>
      <c r="E21" s="15" t="n"/>
      <c r="F21" s="15" t="n"/>
      <c r="G21" s="15" t="n"/>
      <c r="H21" s="15" t="n"/>
      <c r="I21" s="15" t="n"/>
      <c r="J21" s="15" t="n"/>
      <c r="K21" s="15" t="n"/>
      <c r="L21" s="15" t="n"/>
      <c r="M21" s="15" t="n"/>
      <c r="N21" s="15" t="n"/>
      <c r="O21" s="15" t="n"/>
      <c r="P21" s="15" t="n"/>
      <c r="Q21" s="15" t="n"/>
      <c r="R21" s="15" t="n"/>
    </row>
    <row r="22">
      <c r="A22" s="15" t="n"/>
      <c r="B22" s="15" t="n"/>
      <c r="C22" s="15" t="n"/>
      <c r="D22" s="15" t="n"/>
      <c r="E22" s="15" t="n"/>
      <c r="F22" s="15" t="n"/>
      <c r="G22" s="15" t="n"/>
      <c r="H22" s="15" t="n"/>
      <c r="I22" s="15" t="n"/>
      <c r="J22" s="15" t="n"/>
      <c r="K22" s="15" t="n"/>
      <c r="L22" s="15" t="n"/>
      <c r="M22" s="15" t="n"/>
      <c r="N22" s="15" t="n"/>
      <c r="O22" s="15" t="n"/>
      <c r="P22" s="15" t="n"/>
      <c r="Q22" s="15" t="n"/>
      <c r="R22" s="15" t="n"/>
    </row>
    <row r="23">
      <c r="A23" s="15" t="n"/>
      <c r="B23" s="15" t="n"/>
      <c r="C23" s="15" t="n"/>
      <c r="D23" s="15" t="n"/>
      <c r="E23" s="15" t="n"/>
      <c r="F23" s="15" t="n"/>
      <c r="G23" s="15" t="n"/>
      <c r="H23" s="15" t="n"/>
      <c r="I23" s="15" t="n"/>
      <c r="J23" s="15" t="n"/>
      <c r="K23" s="15" t="n"/>
      <c r="L23" s="15" t="n"/>
      <c r="M23" s="15" t="n"/>
      <c r="N23" s="15" t="n"/>
      <c r="O23" s="15" t="n"/>
      <c r="P23" s="15" t="n"/>
      <c r="Q23" s="15" t="n"/>
      <c r="R23" s="15" t="n"/>
    </row>
    <row r="24">
      <c r="A24" s="15" t="n"/>
      <c r="B24" s="15" t="n"/>
      <c r="C24" s="15" t="n"/>
      <c r="D24" s="15" t="n"/>
      <c r="E24" s="15" t="n"/>
      <c r="F24" s="15" t="n"/>
      <c r="G24" s="15" t="n"/>
      <c r="H24" s="15" t="n"/>
      <c r="I24" s="15" t="n"/>
      <c r="J24" s="15" t="n"/>
      <c r="K24" s="15" t="n"/>
      <c r="L24" s="15" t="n"/>
      <c r="M24" s="15" t="n"/>
      <c r="N24" s="15" t="n"/>
      <c r="O24" s="15" t="n"/>
      <c r="P24" s="15" t="n"/>
      <c r="Q24" s="15" t="n"/>
      <c r="R24" s="15" t="n"/>
    </row>
    <row r="25">
      <c r="A25" s="15" t="n"/>
      <c r="B25" s="15" t="n"/>
      <c r="C25" s="15" t="n"/>
      <c r="D25" s="15" t="n"/>
      <c r="E25" s="15" t="n"/>
      <c r="F25" s="15" t="n"/>
      <c r="G25" s="15" t="n"/>
      <c r="H25" s="15" t="n"/>
      <c r="I25" s="15" t="n"/>
      <c r="J25" s="15" t="n"/>
      <c r="K25" s="15" t="n"/>
      <c r="L25" s="15" t="n"/>
      <c r="M25" s="15" t="n"/>
      <c r="N25" s="15" t="n"/>
      <c r="O25" s="15" t="n"/>
      <c r="P25" s="15" t="n"/>
      <c r="Q25" s="15" t="n"/>
      <c r="R25" s="15" t="n"/>
    </row>
    <row r="26">
      <c r="A26" s="15" t="n"/>
      <c r="B26" s="15" t="n"/>
      <c r="C26" s="15" t="n"/>
      <c r="D26" s="15" t="n"/>
      <c r="E26" s="15" t="n"/>
      <c r="F26" s="15" t="n"/>
      <c r="G26" s="15" t="n"/>
      <c r="H26" s="15" t="n"/>
      <c r="I26" s="15" t="n"/>
      <c r="J26" s="15" t="n"/>
      <c r="K26" s="15" t="n"/>
      <c r="L26" s="15" t="n"/>
      <c r="M26" s="15" t="n"/>
      <c r="N26" s="15" t="n"/>
      <c r="O26" s="15" t="n"/>
      <c r="P26" s="15" t="n"/>
      <c r="Q26" s="15" t="n"/>
      <c r="R26" s="15" t="n"/>
    </row>
    <row r="27">
      <c r="A27" s="15" t="n"/>
      <c r="B27" s="15" t="n"/>
      <c r="C27" s="15" t="n"/>
      <c r="D27" s="15" t="n"/>
      <c r="E27" s="15" t="n"/>
      <c r="F27" s="15" t="n"/>
      <c r="G27" s="15" t="n"/>
      <c r="H27" s="15" t="n"/>
      <c r="I27" s="15" t="n"/>
      <c r="J27" s="15" t="n"/>
      <c r="K27" s="15" t="n"/>
      <c r="L27" s="15" t="n"/>
      <c r="M27" s="15" t="n"/>
      <c r="N27" s="15" t="n"/>
      <c r="O27" s="15" t="n"/>
      <c r="P27" s="15" t="n"/>
      <c r="Q27" s="15" t="n"/>
      <c r="R27" s="15" t="n"/>
    </row>
    <row r="28">
      <c r="A28" s="15" t="n"/>
      <c r="B28" s="15" t="n"/>
      <c r="C28" s="15" t="n"/>
      <c r="D28" s="15" t="n"/>
      <c r="E28" s="15" t="n"/>
      <c r="F28" s="15" t="n"/>
      <c r="G28" s="15" t="n"/>
      <c r="H28" s="15" t="n"/>
      <c r="I28" s="15" t="n"/>
      <c r="J28" s="15" t="n"/>
      <c r="K28" s="15" t="n"/>
      <c r="L28" s="15" t="n"/>
      <c r="M28" s="15" t="n"/>
      <c r="N28" s="15" t="n"/>
      <c r="O28" s="15" t="n"/>
      <c r="P28" s="15" t="n"/>
      <c r="Q28" s="15" t="n"/>
      <c r="R28" s="15" t="n"/>
    </row>
    <row r="29">
      <c r="A29" s="15" t="n"/>
      <c r="B29" s="15" t="n"/>
      <c r="C29" s="15" t="n"/>
      <c r="D29" s="15" t="n"/>
      <c r="E29" s="15" t="n"/>
      <c r="F29" s="15" t="n"/>
      <c r="G29" s="15" t="n"/>
      <c r="H29" s="15" t="n"/>
      <c r="I29" s="15" t="n"/>
      <c r="J29" s="15" t="n"/>
      <c r="K29" s="15" t="n"/>
      <c r="L29" s="15" t="n"/>
      <c r="M29" s="15" t="n"/>
      <c r="N29" s="15" t="n"/>
      <c r="O29" s="15" t="n"/>
      <c r="P29" s="15" t="n"/>
      <c r="Q29" s="15" t="n"/>
      <c r="R29" s="15" t="n"/>
    </row>
    <row r="30">
      <c r="A30" s="15" t="n"/>
      <c r="B30" s="15" t="n"/>
      <c r="C30" s="15" t="n"/>
      <c r="D30" s="15" t="n"/>
      <c r="E30" s="15" t="n"/>
      <c r="F30" s="15" t="n"/>
      <c r="G30" s="15" t="n"/>
      <c r="H30" s="15" t="n"/>
      <c r="I30" s="15" t="n"/>
      <c r="J30" s="15" t="n"/>
      <c r="K30" s="15" t="n"/>
      <c r="L30" s="15" t="n"/>
      <c r="M30" s="15" t="n"/>
      <c r="N30" s="15" t="n"/>
      <c r="O30" s="15" t="n"/>
      <c r="P30" s="15" t="n"/>
      <c r="Q30" s="15" t="n"/>
      <c r="R30" s="15" t="n"/>
    </row>
    <row r="31">
      <c r="A31" s="15" t="n"/>
      <c r="B31" s="15" t="n"/>
      <c r="C31" s="15" t="n"/>
      <c r="D31" s="15" t="n"/>
      <c r="E31" s="15" t="n"/>
      <c r="F31" s="15" t="n"/>
      <c r="G31" s="15" t="n"/>
      <c r="H31" s="15" t="n"/>
      <c r="I31" s="15" t="n"/>
      <c r="J31" s="15" t="n"/>
      <c r="K31" s="15" t="n"/>
      <c r="L31" s="15" t="n"/>
      <c r="M31" s="15" t="n"/>
      <c r="N31" s="15" t="n"/>
      <c r="O31" s="15" t="n"/>
      <c r="P31" s="15" t="n"/>
      <c r="Q31" s="15" t="n"/>
      <c r="R31" s="15" t="n"/>
    </row>
    <row r="32">
      <c r="A32" s="15" t="n"/>
      <c r="B32" s="15" t="n"/>
      <c r="C32" s="15" t="n"/>
      <c r="D32" s="15" t="n"/>
      <c r="E32" s="15" t="n"/>
      <c r="F32" s="15" t="n"/>
      <c r="G32" s="15" t="n"/>
      <c r="H32" s="15" t="n"/>
      <c r="I32" s="15" t="n"/>
      <c r="J32" s="15" t="n"/>
      <c r="K32" s="15" t="n"/>
      <c r="L32" s="15" t="n"/>
      <c r="M32" s="15" t="n"/>
      <c r="N32" s="15" t="n"/>
      <c r="O32" s="15" t="n"/>
      <c r="P32" s="15" t="n"/>
      <c r="Q32" s="15" t="n"/>
      <c r="R32" s="15" t="n"/>
    </row>
    <row r="33">
      <c r="A33" s="15" t="n"/>
      <c r="B33" s="15" t="n"/>
      <c r="C33" s="15" t="n"/>
      <c r="D33" s="15" t="n"/>
      <c r="E33" s="15" t="n"/>
      <c r="F33" s="15" t="n"/>
      <c r="G33" s="15" t="n"/>
      <c r="H33" s="15" t="n"/>
      <c r="I33" s="15" t="n"/>
      <c r="J33" s="15" t="n"/>
      <c r="K33" s="15" t="n"/>
      <c r="L33" s="15" t="n"/>
      <c r="M33" s="15" t="n"/>
      <c r="N33" s="15" t="n"/>
      <c r="O33" s="15" t="n"/>
      <c r="P33" s="15" t="n"/>
      <c r="Q33" s="15" t="n"/>
      <c r="R33" s="15" t="n"/>
    </row>
    <row r="34">
      <c r="A34" s="15" t="n"/>
      <c r="B34" s="15" t="n"/>
      <c r="C34" s="15" t="n"/>
      <c r="D34" s="15" t="n"/>
      <c r="E34" s="15" t="n"/>
      <c r="F34" s="15" t="n"/>
      <c r="G34" s="15" t="n"/>
      <c r="H34" s="15" t="n"/>
      <c r="I34" s="15" t="n"/>
      <c r="J34" s="15" t="n"/>
      <c r="K34" s="15" t="n"/>
      <c r="L34" s="15" t="n"/>
      <c r="M34" s="15" t="n"/>
      <c r="N34" s="15" t="n"/>
      <c r="O34" s="15" t="n"/>
      <c r="P34" s="15" t="n"/>
      <c r="Q34" s="15" t="n"/>
      <c r="R34" s="15" t="n"/>
    </row>
    <row r="35">
      <c r="A35" s="15" t="n"/>
      <c r="B35" s="15" t="n"/>
      <c r="C35" s="15" t="n"/>
      <c r="D35" s="15" t="n"/>
      <c r="E35" s="15" t="n"/>
      <c r="F35" s="15" t="n"/>
      <c r="G35" s="15" t="n"/>
      <c r="H35" s="15" t="n"/>
      <c r="I35" s="15" t="n"/>
      <c r="J35" s="15" t="n"/>
      <c r="K35" s="15" t="n"/>
      <c r="L35" s="15" t="n"/>
      <c r="M35" s="15" t="n"/>
      <c r="N35" s="15" t="n"/>
      <c r="O35" s="15" t="n"/>
      <c r="P35" s="15" t="n"/>
      <c r="Q35" s="15" t="n"/>
      <c r="R35" s="15" t="n"/>
    </row>
    <row r="36">
      <c r="A36" s="15" t="n"/>
      <c r="B36" s="15" t="n"/>
      <c r="C36" s="15" t="n"/>
      <c r="D36" s="15" t="n"/>
      <c r="E36" s="15" t="n"/>
      <c r="F36" s="15" t="n"/>
      <c r="G36" s="15" t="n"/>
      <c r="H36" s="15" t="n"/>
      <c r="I36" s="15" t="n"/>
      <c r="J36" s="15" t="n"/>
      <c r="K36" s="15" t="n"/>
      <c r="L36" s="15" t="n"/>
      <c r="M36" s="15" t="n"/>
      <c r="N36" s="15" t="n"/>
      <c r="O36" s="15" t="n"/>
      <c r="P36" s="15" t="n"/>
      <c r="Q36" s="15" t="n"/>
      <c r="R36" s="15" t="n"/>
    </row>
    <row r="37">
      <c r="A37" s="15" t="n"/>
      <c r="B37" s="15" t="n"/>
      <c r="C37" s="15" t="n"/>
      <c r="D37" s="15" t="n"/>
      <c r="E37" s="15" t="n"/>
      <c r="F37" s="15" t="n"/>
      <c r="G37" s="15" t="n"/>
      <c r="H37" s="15" t="n"/>
      <c r="I37" s="15" t="n"/>
      <c r="J37" s="15" t="n"/>
      <c r="K37" s="15" t="n"/>
      <c r="L37" s="15" t="n"/>
      <c r="M37" s="15" t="n"/>
      <c r="N37" s="15" t="n"/>
      <c r="O37" s="15" t="n"/>
      <c r="P37" s="15" t="n"/>
      <c r="Q37" s="15" t="n"/>
      <c r="R37" s="15" t="n"/>
    </row>
    <row r="38">
      <c r="A38" s="15" t="n"/>
      <c r="B38" s="15" t="n"/>
      <c r="C38" s="15" t="n"/>
      <c r="D38" s="15" t="n"/>
      <c r="E38" s="15" t="n"/>
      <c r="F38" s="15" t="n"/>
      <c r="G38" s="15" t="n"/>
      <c r="H38" s="15" t="n"/>
      <c r="I38" s="15" t="n"/>
      <c r="J38" s="15" t="n"/>
      <c r="K38" s="15" t="n"/>
      <c r="L38" s="15" t="n"/>
      <c r="M38" s="15" t="n"/>
      <c r="N38" s="15" t="n"/>
      <c r="O38" s="15" t="n"/>
      <c r="P38" s="15" t="n"/>
      <c r="Q38" s="15" t="n"/>
      <c r="R38" s="15" t="n"/>
    </row>
    <row r="39">
      <c r="A39" s="15" t="n"/>
      <c r="B39" s="15" t="n"/>
      <c r="C39" s="15" t="n"/>
      <c r="D39" s="15" t="n"/>
      <c r="E39" s="15" t="n"/>
      <c r="F39" s="15" t="n"/>
      <c r="G39" s="15" t="n"/>
      <c r="H39" s="15" t="n"/>
      <c r="I39" s="15" t="n"/>
      <c r="J39" s="15" t="n"/>
      <c r="K39" s="15" t="n"/>
      <c r="L39" s="15" t="n"/>
      <c r="M39" s="15" t="n"/>
      <c r="N39" s="15" t="n"/>
      <c r="O39" s="15" t="n"/>
      <c r="P39" s="15" t="n"/>
      <c r="Q39" s="15" t="n"/>
      <c r="R39" s="15" t="n"/>
    </row>
    <row r="40">
      <c r="A40" s="15" t="n"/>
      <c r="B40" s="15" t="n"/>
      <c r="C40" s="15" t="n"/>
      <c r="D40" s="15" t="n"/>
      <c r="E40" s="15" t="n"/>
      <c r="F40" s="15" t="n"/>
      <c r="G40" s="15" t="n"/>
      <c r="H40" s="15" t="n"/>
      <c r="I40" s="15" t="n"/>
      <c r="J40" s="15" t="n"/>
      <c r="K40" s="15" t="n"/>
      <c r="L40" s="15" t="n"/>
      <c r="M40" s="15" t="n"/>
      <c r="N40" s="15" t="n"/>
      <c r="O40" s="15" t="n"/>
      <c r="P40" s="15" t="n"/>
      <c r="Q40" s="15" t="n"/>
      <c r="R40" s="15" t="n"/>
    </row>
    <row r="41">
      <c r="A41" s="15" t="n"/>
      <c r="B41" s="15" t="n"/>
      <c r="C41" s="15" t="n"/>
      <c r="D41" s="15" t="n"/>
      <c r="E41" s="15" t="n"/>
      <c r="F41" s="15" t="n"/>
      <c r="G41" s="15" t="n"/>
      <c r="H41" s="15" t="n"/>
      <c r="I41" s="15" t="n"/>
      <c r="J41" s="15" t="n"/>
      <c r="K41" s="15" t="n"/>
      <c r="L41" s="15" t="n"/>
      <c r="M41" s="15" t="n"/>
      <c r="N41" s="15" t="n"/>
      <c r="O41" s="15" t="n"/>
      <c r="P41" s="15" t="n"/>
      <c r="Q41" s="15" t="n"/>
      <c r="R41" s="15" t="n"/>
    </row>
    <row r="42">
      <c r="A42" s="15" t="n"/>
      <c r="B42" s="15" t="n"/>
      <c r="C42" s="15" t="n"/>
      <c r="D42" s="15" t="n"/>
      <c r="E42" s="15" t="n"/>
      <c r="F42" s="15" t="n"/>
      <c r="G42" s="15" t="n"/>
      <c r="H42" s="15" t="n"/>
      <c r="I42" s="15" t="n"/>
      <c r="J42" s="15" t="n"/>
      <c r="K42" s="15" t="n"/>
      <c r="L42" s="15" t="n"/>
      <c r="M42" s="15" t="n"/>
      <c r="N42" s="15" t="n"/>
      <c r="O42" s="15" t="n"/>
      <c r="P42" s="15" t="n"/>
      <c r="Q42" s="15" t="n"/>
      <c r="R42" s="15" t="n"/>
    </row>
    <row r="43">
      <c r="A43" s="15" t="n"/>
      <c r="B43" s="15" t="n"/>
      <c r="C43" s="15" t="n"/>
      <c r="D43" s="15" t="n"/>
      <c r="E43" s="15" t="n"/>
      <c r="F43" s="15" t="n"/>
      <c r="G43" s="15" t="n"/>
      <c r="H43" s="15" t="n"/>
      <c r="I43" s="15" t="n"/>
      <c r="J43" s="15" t="n"/>
      <c r="K43" s="15" t="n"/>
      <c r="L43" s="15" t="n"/>
      <c r="M43" s="15" t="n"/>
      <c r="N43" s="15" t="n"/>
      <c r="O43" s="15" t="n"/>
      <c r="P43" s="15" t="n"/>
      <c r="Q43" s="15" t="n"/>
      <c r="R43" s="15" t="n"/>
    </row>
    <row r="44">
      <c r="A44" s="15" t="n"/>
      <c r="B44" s="15" t="n"/>
      <c r="C44" s="15" t="n"/>
      <c r="D44" s="15" t="n"/>
      <c r="E44" s="15" t="n"/>
      <c r="F44" s="15" t="n"/>
      <c r="G44" s="15" t="n"/>
      <c r="H44" s="15" t="n"/>
      <c r="I44" s="15" t="n"/>
      <c r="J44" s="15" t="n"/>
      <c r="K44" s="15" t="n"/>
      <c r="L44" s="15" t="n"/>
      <c r="M44" s="15" t="n"/>
      <c r="N44" s="15" t="n"/>
      <c r="O44" s="15" t="n"/>
      <c r="P44" s="15" t="n"/>
      <c r="Q44" s="15" t="n"/>
      <c r="R44" s="15" t="n"/>
    </row>
    <row r="45">
      <c r="A45" s="15" t="n"/>
      <c r="B45" s="15" t="n"/>
      <c r="C45" s="15" t="n"/>
      <c r="D45" s="15" t="n"/>
      <c r="E45" s="15" t="n"/>
      <c r="F45" s="15" t="n"/>
      <c r="G45" s="15" t="n"/>
      <c r="H45" s="15" t="n"/>
      <c r="I45" s="15" t="n"/>
      <c r="J45" s="15" t="n"/>
      <c r="K45" s="15" t="n"/>
      <c r="L45" s="15" t="n"/>
      <c r="M45" s="15" t="n"/>
      <c r="N45" s="15" t="n"/>
      <c r="O45" s="15" t="n"/>
      <c r="P45" s="15" t="n"/>
      <c r="Q45" s="15" t="n"/>
      <c r="R45" s="15" t="n"/>
    </row>
    <row r="46">
      <c r="A46" s="15" t="n"/>
      <c r="B46" s="15" t="n"/>
      <c r="C46" s="15" t="n"/>
      <c r="D46" s="15" t="n"/>
      <c r="E46" s="15" t="n"/>
      <c r="F46" s="15" t="n"/>
      <c r="G46" s="15" t="n"/>
      <c r="H46" s="15" t="n"/>
      <c r="I46" s="15" t="n"/>
      <c r="J46" s="15" t="n"/>
      <c r="K46" s="15" t="n"/>
      <c r="L46" s="15" t="n"/>
      <c r="M46" s="15" t="n"/>
      <c r="N46" s="15" t="n"/>
      <c r="O46" s="15" t="n"/>
      <c r="P46" s="15" t="n"/>
      <c r="Q46" s="15" t="n"/>
      <c r="R46" s="15" t="n"/>
    </row>
    <row r="47">
      <c r="A47" s="15" t="n"/>
      <c r="B47" s="15" t="n"/>
      <c r="C47" s="15" t="n"/>
      <c r="D47" s="15" t="n"/>
      <c r="E47" s="15" t="n"/>
      <c r="F47" s="15" t="n"/>
      <c r="G47" s="15" t="n"/>
      <c r="H47" s="15" t="n"/>
      <c r="I47" s="15" t="n"/>
      <c r="J47" s="15" t="n"/>
      <c r="K47" s="15" t="n"/>
      <c r="L47" s="15" t="n"/>
      <c r="M47" s="15" t="n"/>
      <c r="N47" s="15" t="n"/>
      <c r="O47" s="15" t="n"/>
      <c r="P47" s="15" t="n"/>
      <c r="Q47" s="15" t="n"/>
      <c r="R47" s="15" t="n"/>
    </row>
    <row r="48">
      <c r="A48" s="15" t="n"/>
      <c r="B48" s="15" t="n"/>
      <c r="C48" s="15" t="n"/>
      <c r="D48" s="15" t="n"/>
      <c r="E48" s="15" t="n"/>
      <c r="F48" s="15" t="n"/>
      <c r="G48" s="15" t="n"/>
      <c r="H48" s="15" t="n"/>
      <c r="I48" s="15" t="n"/>
      <c r="J48" s="15" t="n"/>
      <c r="K48" s="15" t="n"/>
      <c r="L48" s="15" t="n"/>
      <c r="M48" s="15" t="n"/>
      <c r="N48" s="15" t="n"/>
      <c r="O48" s="15" t="n"/>
      <c r="P48" s="15" t="n"/>
      <c r="Q48" s="15" t="n"/>
      <c r="R48" s="15" t="n"/>
    </row>
    <row r="49">
      <c r="A49" s="15" t="n"/>
      <c r="B49" s="15" t="n"/>
      <c r="C49" s="15" t="n"/>
      <c r="D49" s="15" t="n"/>
      <c r="E49" s="15" t="n"/>
      <c r="F49" s="15" t="n"/>
      <c r="G49" s="15" t="n"/>
      <c r="H49" s="15" t="n"/>
      <c r="I49" s="15" t="n"/>
      <c r="J49" s="15" t="n"/>
      <c r="K49" s="15" t="n"/>
      <c r="L49" s="15" t="n"/>
      <c r="M49" s="15" t="n"/>
      <c r="N49" s="15" t="n"/>
      <c r="O49" s="15" t="n"/>
      <c r="P49" s="15" t="n"/>
      <c r="Q49" s="15" t="n"/>
      <c r="R49" s="15" t="n"/>
    </row>
    <row r="50">
      <c r="A50" s="15" t="n"/>
      <c r="B50" s="15" t="n"/>
      <c r="C50" s="15" t="n"/>
      <c r="D50" s="15" t="n"/>
      <c r="E50" s="15" t="n"/>
      <c r="F50" s="15" t="n"/>
      <c r="G50" s="15" t="n"/>
      <c r="H50" s="15" t="n"/>
      <c r="I50" s="15" t="n"/>
      <c r="J50" s="15" t="n"/>
      <c r="K50" s="15" t="n"/>
      <c r="L50" s="15" t="n"/>
      <c r="M50" s="15" t="n"/>
      <c r="N50" s="15" t="n"/>
      <c r="O50" s="15" t="n"/>
      <c r="P50" s="15" t="n"/>
      <c r="Q50" s="15" t="n"/>
      <c r="R50" s="15" t="n"/>
    </row>
    <row r="51">
      <c r="A51" s="15" t="n"/>
      <c r="B51" s="15" t="n"/>
      <c r="C51" s="15" t="n"/>
      <c r="D51" s="15" t="n"/>
      <c r="E51" s="15" t="n"/>
      <c r="F51" s="15" t="n"/>
      <c r="G51" s="15" t="n"/>
      <c r="H51" s="15" t="n"/>
      <c r="I51" s="15" t="n"/>
      <c r="J51" s="15" t="n"/>
      <c r="K51" s="15" t="n"/>
      <c r="L51" s="15" t="n"/>
      <c r="M51" s="15" t="n"/>
      <c r="N51" s="15" t="n"/>
      <c r="O51" s="15" t="n"/>
      <c r="P51" s="15" t="n"/>
      <c r="Q51" s="15" t="n"/>
      <c r="R51" s="15" t="n"/>
    </row>
    <row r="52">
      <c r="A52" s="15" t="n"/>
      <c r="B52" s="15" t="n"/>
      <c r="C52" s="15" t="n"/>
      <c r="D52" s="15" t="n"/>
      <c r="E52" s="15" t="n"/>
      <c r="F52" s="15" t="n"/>
      <c r="G52" s="15" t="n"/>
      <c r="H52" s="15" t="n"/>
      <c r="I52" s="15" t="n"/>
      <c r="J52" s="15" t="n"/>
      <c r="K52" s="15" t="n"/>
      <c r="L52" s="15" t="n"/>
      <c r="M52" s="15" t="n"/>
      <c r="N52" s="15" t="n"/>
      <c r="O52" s="15" t="n"/>
      <c r="P52" s="15" t="n"/>
      <c r="Q52" s="15" t="n"/>
      <c r="R52" s="15" t="n"/>
    </row>
    <row r="53">
      <c r="A53" s="15" t="n"/>
      <c r="B53" s="15" t="n"/>
      <c r="C53" s="15" t="n"/>
      <c r="D53" s="15" t="n"/>
      <c r="E53" s="15" t="n"/>
      <c r="F53" s="15" t="n"/>
      <c r="G53" s="15" t="n"/>
      <c r="H53" s="15" t="n"/>
      <c r="I53" s="15" t="n"/>
      <c r="J53" s="15" t="n"/>
      <c r="K53" s="15" t="n"/>
      <c r="L53" s="15" t="n"/>
      <c r="M53" s="15" t="n"/>
      <c r="N53" s="15" t="n"/>
      <c r="O53" s="15" t="n"/>
      <c r="P53" s="15" t="n"/>
      <c r="Q53" s="15" t="n"/>
      <c r="R53" s="15" t="n"/>
    </row>
    <row r="54">
      <c r="A54" s="15" t="n"/>
      <c r="B54" s="15" t="n"/>
      <c r="C54" s="15" t="n"/>
      <c r="D54" s="15" t="n"/>
      <c r="E54" s="15" t="n"/>
      <c r="F54" s="15" t="n"/>
      <c r="G54" s="15" t="n"/>
      <c r="H54" s="15" t="n"/>
      <c r="I54" s="15" t="n"/>
      <c r="J54" s="15" t="n"/>
      <c r="K54" s="15" t="n"/>
      <c r="L54" s="15" t="n"/>
      <c r="M54" s="15" t="n"/>
      <c r="N54" s="15" t="n"/>
      <c r="O54" s="15" t="n"/>
      <c r="P54" s="15" t="n"/>
      <c r="Q54" s="15" t="n"/>
      <c r="R54" s="15" t="n"/>
    </row>
  </sheetData>
  <mergeCells count="2">
    <mergeCell ref="A2:R2"/>
    <mergeCell ref="A1:R1"/>
  </mergeCells>
  <dataValidations count="4">
    <dataValidation sqref="F4:F53" showDropDown="0" showInputMessage="0" showErrorMessage="0" allowBlank="0" type="list">
      <formula1>"Read,Write/Contribute,Admin"</formula1>
    </dataValidation>
    <dataValidation sqref="H4:H53" showDropDown="0" showInputMessage="0" showErrorMessage="0" allowBlank="0" type="list">
      <formula1>"Permanent,Time-Bound"</formula1>
    </dataValidation>
    <dataValidation sqref="K4:K53" showDropDown="0" showInputMessage="0" showErrorMessage="0" allowBlank="0" type="list">
      <formula1>"[PASS] Approved,[FAIL] Denied,[WAIT] Pending"</formula1>
    </dataValidation>
    <dataValidation sqref="N4:N54" showDropDown="0" showInputMessage="0" showErrorMessage="0" allowBlank="0" type="list">
      <formula1>"[PASS] Approved,[FAIL] Denied,[N/A] 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0" customWidth="1" min="4" max="4"/>
    <col width="15" customWidth="1" min="5" max="5"/>
    <col width="40"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 width="18" customWidth="1" min="15" max="15"/>
    <col width="18" customWidth="1" min="16" max="16"/>
    <col width="15" customWidth="1" min="17" max="17"/>
    <col width="18" customWidth="1" min="18" max="18"/>
    <col width="18" customWidth="1" min="19" max="19"/>
    <col width="30" customWidth="1" min="20" max="20"/>
  </cols>
  <sheetData>
    <row r="1" ht="35" customHeight="1">
      <c r="A1" s="11" t="inlineStr">
        <is>
          <t>ACCESS REVIEW LOG</t>
        </is>
      </c>
    </row>
    <row r="2">
      <c r="A2" s="12" t="inlineStr">
        <is>
          <t>Track quarterly access reviews for all repositories</t>
        </is>
      </c>
    </row>
    <row r="3">
      <c r="A3" s="13" t="inlineStr">
        <is>
          <t>Review Date</t>
        </is>
      </c>
      <c r="B3" s="13" t="inlineStr">
        <is>
          <t>Review Quarter</t>
        </is>
      </c>
      <c r="C3" s="13" t="inlineStr">
        <is>
          <t>Reviewer Name</t>
        </is>
      </c>
      <c r="D3" s="13" t="inlineStr">
        <is>
          <t>Reviewer Role</t>
        </is>
      </c>
      <c r="E3" s="13" t="inlineStr">
        <is>
          <t>Repositories Reviewed</t>
        </is>
      </c>
      <c r="F3" s="13" t="inlineStr">
        <is>
          <t>Repository Names</t>
        </is>
      </c>
      <c r="G3" s="13" t="inlineStr">
        <is>
          <t>Total Users Reviewed</t>
        </is>
      </c>
      <c r="H3" s="13" t="inlineStr">
        <is>
          <t>Appropriate Access Found</t>
        </is>
      </c>
      <c r="I3" s="13" t="inlineStr">
        <is>
          <t>Excessive Access Found</t>
        </is>
      </c>
      <c r="J3" s="13" t="inlineStr">
        <is>
          <t>Unnecessary Access Found</t>
        </is>
      </c>
      <c r="K3" s="13" t="inlineStr">
        <is>
          <t>Orphaned Accounts Found</t>
        </is>
      </c>
      <c r="L3" s="13" t="inlineStr">
        <is>
          <t>Contractor Expired Found</t>
        </is>
      </c>
      <c r="M3" s="13" t="inlineStr">
        <is>
          <t>Total Findings</t>
        </is>
      </c>
      <c r="N3" s="13" t="inlineStr">
        <is>
          <t>Remediation Completed</t>
        </is>
      </c>
      <c r="O3" s="13" t="inlineStr">
        <is>
          <t>Remediation Pending</t>
        </is>
      </c>
      <c r="P3" s="13" t="inlineStr">
        <is>
          <t>Review Completion Date</t>
        </is>
      </c>
      <c r="Q3" s="13" t="inlineStr">
        <is>
          <t>Days to Complete</t>
        </is>
      </c>
      <c r="R3" s="13" t="inlineStr">
        <is>
          <t>Next Review Due Date</t>
        </is>
      </c>
      <c r="S3" s="13" t="inlineStr">
        <is>
          <t>Compliance Status</t>
        </is>
      </c>
      <c r="T3" s="13" t="inlineStr">
        <is>
          <t>Notes</t>
        </is>
      </c>
    </row>
    <row r="4">
      <c r="A4" s="14" t="inlineStr">
        <is>
          <t>10.03.2026</t>
        </is>
      </c>
      <c r="B4" s="14" t="inlineStr">
        <is>
          <t>Q1 2026</t>
        </is>
      </c>
      <c r="C4" s="14" t="inlineStr">
        <is>
          <t>[Example: Repository Owner]</t>
        </is>
      </c>
      <c r="D4" s="14" t="inlineStr">
        <is>
          <t>[Example: Engineering Manager]</t>
        </is>
      </c>
      <c r="E4" s="14" t="inlineStr">
        <is>
          <t>[Example: 5]</t>
        </is>
      </c>
      <c r="F4" s="14" t="inlineStr">
        <is>
          <t>[Example: customer-portal, api-gateway, ...]</t>
        </is>
      </c>
      <c r="G4" s="14" t="inlineStr">
        <is>
          <t>[Example: 25]</t>
        </is>
      </c>
      <c r="H4" s="14" t="inlineStr">
        <is>
          <t>[Example: 22]</t>
        </is>
      </c>
      <c r="I4" s="14" t="inlineStr">
        <is>
          <t>[Example: 2]</t>
        </is>
      </c>
      <c r="J4" s="14" t="inlineStr">
        <is>
          <t>[Example: 1]</t>
        </is>
      </c>
      <c r="K4" s="14" t="inlineStr">
        <is>
          <t>[Example: 0]</t>
        </is>
      </c>
      <c r="L4" s="14" t="inlineStr">
        <is>
          <t>[Example: 0]</t>
        </is>
      </c>
      <c r="M4" s="14">
        <f>I4+J4+K4+L4</f>
        <v/>
      </c>
      <c r="N4" s="14" t="inlineStr">
        <is>
          <t>[Example: 3]</t>
        </is>
      </c>
      <c r="O4" s="14">
        <f>M4-N4</f>
        <v/>
      </c>
      <c r="P4" s="14" t="inlineStr">
        <is>
          <t>17.03.2026</t>
        </is>
      </c>
      <c r="Q4" s="14">
        <f>P4-A4</f>
        <v/>
      </c>
      <c r="R4" s="14" t="inlineStr">
        <is>
          <t>08.06.2026</t>
        </is>
      </c>
      <c r="S4" s="14" t="inlineStr">
        <is>
          <t>[PASS] Compliant</t>
        </is>
      </c>
      <c r="T4" s="14" t="inlineStr">
        <is>
          <t>[Example: All findings being addressed]</t>
        </is>
      </c>
    </row>
    <row r="5">
      <c r="A5" s="15" t="n"/>
      <c r="B5" s="15" t="n"/>
      <c r="C5" s="15" t="n"/>
      <c r="D5" s="15" t="n"/>
      <c r="E5" s="15" t="n"/>
      <c r="F5" s="15" t="n"/>
      <c r="G5" s="15" t="n"/>
      <c r="H5" s="15" t="n"/>
      <c r="I5" s="15" t="n"/>
      <c r="J5" s="15" t="n"/>
      <c r="K5" s="15" t="n"/>
      <c r="L5" s="15" t="n"/>
      <c r="M5" s="15" t="n"/>
      <c r="N5" s="15" t="n"/>
      <c r="O5" s="15" t="n"/>
      <c r="P5" s="15" t="n"/>
      <c r="Q5" s="15" t="n"/>
      <c r="R5" s="15" t="n"/>
      <c r="S5" s="15" t="n"/>
      <c r="T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row>
  </sheetData>
  <mergeCells count="2">
    <mergeCell ref="A1:T1"/>
    <mergeCell ref="A2:T2"/>
  </mergeCells>
  <dataValidations count="1">
    <dataValidation sqref="S4:S53" showDropDown="0" showInputMessage="0" showErrorMessage="0" allowBlank="0" type="list">
      <formula1>"[PASS] Compliant,[WARN] Partial,[FAIL]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15" customWidth="1" min="4" max="4"/>
    <col width="20" customWidth="1" min="5" max="5"/>
    <col width="25" customWidth="1" min="6" max="6"/>
    <col width="18" customWidth="1" min="7" max="7"/>
    <col width="18" customWidth="1" min="8" max="8"/>
    <col width="15" customWidth="1" min="9" max="9"/>
    <col width="20" customWidth="1" min="10" max="10"/>
    <col width="15" customWidth="1" min="11" max="11"/>
    <col width="18" customWidth="1" min="12" max="12"/>
    <col width="15" customWidth="1" min="13" max="13"/>
    <col width="18" customWidth="1" min="14" max="14"/>
    <col width="30" customWidth="1" min="15" max="15"/>
    <col width="30" customWidth="1" min="16" max="16"/>
  </cols>
  <sheetData>
    <row r="1" ht="35" customHeight="1">
      <c r="A1" s="11" t="inlineStr">
        <is>
          <t>DEPROVISIONING LOG</t>
        </is>
      </c>
    </row>
    <row r="2">
      <c r="A2" s="12" t="inlineStr">
        <is>
          <t>Track access removal for audit trail</t>
        </is>
      </c>
    </row>
    <row r="3">
      <c r="A3" s="13" t="inlineStr">
        <is>
          <t>User Name</t>
        </is>
      </c>
      <c r="B3" s="13" t="inlineStr">
        <is>
          <t>User Email</t>
        </is>
      </c>
      <c r="C3" s="13" t="inlineStr">
        <is>
          <t>Deprovisioning Event</t>
        </is>
      </c>
      <c r="D3" s="13" t="inlineStr">
        <is>
          <t>Event Date</t>
        </is>
      </c>
      <c r="E3" s="13" t="inlineStr">
        <is>
          <t>Notification Received Date</t>
        </is>
      </c>
      <c r="F3" s="13" t="inlineStr">
        <is>
          <t>Repository Name</t>
        </is>
      </c>
      <c r="G3" s="13" t="inlineStr">
        <is>
          <t>Previous Access Level</t>
        </is>
      </c>
      <c r="H3" s="13" t="inlineStr">
        <is>
          <t>Access Removed Date</t>
        </is>
      </c>
      <c r="I3" s="13" t="inlineStr">
        <is>
          <t>Hours to Deprovision</t>
        </is>
      </c>
      <c r="J3" s="13" t="inlineStr">
        <is>
          <t>Removed By</t>
        </is>
      </c>
      <c r="K3" s="13" t="inlineStr">
        <is>
          <t>Removal Method</t>
        </is>
      </c>
      <c r="L3" s="13" t="inlineStr">
        <is>
          <t>Verification Method</t>
        </is>
      </c>
      <c r="M3" s="13" t="inlineStr">
        <is>
          <t>Verification Date</t>
        </is>
      </c>
      <c r="N3" s="13" t="inlineStr">
        <is>
          <t>Compliant Timeline</t>
        </is>
      </c>
      <c r="O3" s="13" t="inlineStr">
        <is>
          <t>Delay Reason</t>
        </is>
      </c>
      <c r="P3" s="13" t="inlineStr">
        <is>
          <t>Notes</t>
        </is>
      </c>
    </row>
    <row r="4">
      <c r="A4" s="14" t="inlineStr">
        <is>
          <t>[Example: Former Employee]</t>
        </is>
      </c>
      <c r="B4" s="14" t="inlineStr">
        <is>
          <t>[Example: former@organisation.ch]</t>
        </is>
      </c>
      <c r="C4" s="14" t="inlineStr">
        <is>
          <t>Termination</t>
        </is>
      </c>
      <c r="D4" s="14" t="inlineStr">
        <is>
          <t>08.03.2026</t>
        </is>
      </c>
      <c r="E4" s="14" t="inlineStr">
        <is>
          <t>08.03.2026</t>
        </is>
      </c>
      <c r="F4" s="14" t="inlineStr">
        <is>
          <t>[Example: customer-portal]</t>
        </is>
      </c>
      <c r="G4" s="14" t="inlineStr">
        <is>
          <t>Write/Contribute</t>
        </is>
      </c>
      <c r="H4" s="14" t="inlineStr">
        <is>
          <t>09.03.2026</t>
        </is>
      </c>
      <c r="I4" s="14">
        <f>INT((H4-D4)*24)</f>
        <v/>
      </c>
      <c r="J4" s="14" t="inlineStr">
        <is>
          <t>[Example: DevOps Team]</t>
        </is>
      </c>
      <c r="K4" s="14" t="inlineStr">
        <is>
          <t>Automated</t>
        </is>
      </c>
      <c r="L4" s="14" t="inlineStr">
        <is>
          <t>Platform Check</t>
        </is>
      </c>
      <c r="M4" s="14" t="inlineStr">
        <is>
          <t>09.03.2026</t>
        </is>
      </c>
      <c r="N4" s="14" t="inlineStr">
        <is>
          <t>[PASS] Yes</t>
        </is>
      </c>
      <c r="O4" s="14" t="inlineStr"/>
      <c r="P4" s="14" t="inlineStr"/>
    </row>
    <row r="5">
      <c r="A5" s="15" t="n"/>
      <c r="B5" s="15" t="n"/>
      <c r="C5" s="15" t="n"/>
      <c r="D5" s="15" t="n"/>
      <c r="E5" s="15" t="n"/>
      <c r="F5" s="15" t="n"/>
      <c r="G5" s="15" t="n"/>
      <c r="H5" s="15" t="n"/>
      <c r="I5" s="15" t="n"/>
      <c r="J5" s="15" t="n"/>
      <c r="K5" s="15" t="n"/>
      <c r="L5" s="15" t="n"/>
      <c r="M5" s="15" t="n"/>
      <c r="N5" s="15" t="n"/>
      <c r="O5" s="15" t="n"/>
      <c r="P5" s="15" t="n"/>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sheetData>
  <mergeCells count="2">
    <mergeCell ref="A1:P1"/>
    <mergeCell ref="A2:P2"/>
  </mergeCells>
  <dataValidations count="5">
    <dataValidation sqref="C4:C54" showDropDown="0" showInputMessage="0" showErrorMessage="0" allowBlank="0" type="list">
      <formula1>"Termination,Role Change,Contract End,Access Review,Security Incident"</formula1>
    </dataValidation>
    <dataValidation sqref="G4:G53" showDropDown="0" showInputMessage="0" showErrorMessage="0" allowBlank="0" type="list">
      <formula1>"Read,Write/Contribute,Admin"</formula1>
    </dataValidation>
    <dataValidation sqref="K4:K53" showDropDown="0" showInputMessage="0" showErrorMessage="0" allowBlank="0" type="list">
      <formula1>"Automated,Manual"</formula1>
    </dataValidation>
    <dataValidation sqref="L4:L53" showDropDown="0" showInputMessage="0" showErrorMessage="0" allowBlank="0" type="list">
      <formula1>"Platform Check,Login Test,API Query"</formula1>
    </dataValidation>
    <dataValidation sqref="N4:N54" showDropDown="0" showInputMessage="0" showErrorMessage="0" allowBlank="0" type="list">
      <formula1>"[PASS] Yes,[FAIL] No,[WARN] Partial,[?]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18" customWidth="1" min="4" max="4"/>
    <col width="40" customWidth="1" min="5" max="5"/>
    <col width="15" customWidth="1" min="6" max="6"/>
    <col width="20" customWidth="1" min="7" max="7"/>
    <col width="15" customWidth="1" min="8" max="8"/>
    <col width="15" customWidth="1" min="9" max="9"/>
    <col width="20" customWidth="1" min="10" max="10"/>
    <col width="18" customWidth="1" min="11" max="11"/>
    <col width="15" customWidth="1" min="12" max="12"/>
    <col width="35" customWidth="1" min="13" max="13"/>
  </cols>
  <sheetData>
    <row r="1" ht="35" customHeight="1">
      <c r="A1" s="11" t="inlineStr">
        <is>
          <t>THIRD PARTY SOURCE CODE ACCESS</t>
        </is>
      </c>
    </row>
    <row r="2">
      <c r="A2" s="12" t="inlineStr">
        <is>
          <t>Document all third party access to source code repositories</t>
        </is>
      </c>
    </row>
    <row r="3">
      <c r="A3" s="13" t="inlineStr">
        <is>
          <t>Third Party Name</t>
        </is>
      </c>
      <c r="B3" s="13" t="inlineStr">
        <is>
          <t>Access Type</t>
        </is>
      </c>
      <c r="C3" s="13" t="inlineStr">
        <is>
          <t>Repository/System</t>
        </is>
      </c>
      <c r="D3" s="13" t="inlineStr">
        <is>
          <t>Access Level</t>
        </is>
      </c>
      <c r="E3" s="13" t="inlineStr">
        <is>
          <t>Business Justification</t>
        </is>
      </c>
      <c r="F3" s="13" t="inlineStr">
        <is>
          <t>Approval Date</t>
        </is>
      </c>
      <c r="G3" s="13" t="inlineStr">
        <is>
          <t>Approved By</t>
        </is>
      </c>
      <c r="H3" s="13" t="inlineStr">
        <is>
          <t>Expiry Date</t>
        </is>
      </c>
      <c r="I3" s="13" t="inlineStr">
        <is>
          <t>Review Date</t>
        </is>
      </c>
      <c r="J3" s="13" t="inlineStr">
        <is>
          <t>NDA Reference</t>
        </is>
      </c>
      <c r="K3" s="13" t="inlineStr">
        <is>
          <t>Access Status</t>
        </is>
      </c>
      <c r="L3" s="13" t="inlineStr">
        <is>
          <t>Risk Rating</t>
        </is>
      </c>
      <c r="M3" s="13" t="inlineStr">
        <is>
          <t>Notes</t>
        </is>
      </c>
    </row>
    <row r="4">
      <c r="A4" s="14" t="inlineStr">
        <is>
          <t>SecureAudit GmbH</t>
        </is>
      </c>
      <c r="B4" s="14" t="inlineStr">
        <is>
          <t>Auditor</t>
        </is>
      </c>
      <c r="C4" s="14" t="inlineStr">
        <is>
          <t>customer-portal</t>
        </is>
      </c>
      <c r="D4" s="14" t="inlineStr">
        <is>
          <t>Read</t>
        </is>
      </c>
      <c r="E4" s="14" t="inlineStr">
        <is>
          <t>Annual security audit (Q1 2026)</t>
        </is>
      </c>
      <c r="F4" s="14" t="inlineStr">
        <is>
          <t>15.01.2026</t>
        </is>
      </c>
      <c r="G4" s="14" t="inlineStr">
        <is>
          <t>CISO</t>
        </is>
      </c>
      <c r="H4" s="14" t="inlineStr">
        <is>
          <t>15.04.2026</t>
        </is>
      </c>
      <c r="I4" s="14" t="inlineStr">
        <is>
          <t>15.03.2026</t>
        </is>
      </c>
      <c r="J4" s="14" t="inlineStr">
        <is>
          <t>NDA-2026-001</t>
        </is>
      </c>
      <c r="K4" s="14" t="inlineStr">
        <is>
          <t>Active</t>
        </is>
      </c>
      <c r="L4" s="14" t="inlineStr">
        <is>
          <t>Low</t>
        </is>
      </c>
      <c r="M4" s="14" t="inlineStr">
        <is>
          <t>Read-only access for Q1 audit</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8">
    <dataValidation sqref="B4:B53" showDropDown="0" showInputMessage="0" showErrorMessage="0" allowBlank="0" type="list">
      <formula1>"Contractor,Consultant,Vendor,Auditor,Partner,Other"</formula1>
    </dataValidation>
    <dataValidation sqref="D4:D54" showDropDown="0" showInputMessage="0" showErrorMessage="0" allowBlank="0" type="list">
      <formula1>"Read,Write/Contribute,Admin"</formula1>
    </dataValidation>
    <dataValidation sqref="K4:K53" showDropDown="0" showInputMessage="0" showErrorMessage="0" allowBlank="0" type="list">
      <formula1>"Active,Suspended,Expired,Revoked,Pending"</formula1>
    </dataValidation>
    <dataValidation sqref="L4:L53" showDropDown="0" showInputMessage="0" showErrorMessage="0" allowBlank="0" type="list">
      <formula1>"Critical,High,Medium,Low"</formula1>
    </dataValidation>
    <dataValidation sqref="B4:B53" showDropDown="0" showInputMessage="0" showErrorMessage="0" allowBlank="0" type="list">
      <formula1>"Contractor,Consultant,Vendor,Auditor,Partner,Other"</formula1>
    </dataValidation>
    <dataValidation sqref="D4:D54" showDropDown="0" showInputMessage="0" showErrorMessage="0" allowBlank="0" type="list">
      <formula1>"Read,Write/Contribute,Admin"</formula1>
    </dataValidation>
    <dataValidation sqref="K4:K53" showDropDown="0" showInputMessage="0" showErrorMessage="0" allowBlank="0" type="list">
      <formula1>"Active,Suspended,Expired,Revoked,Pending"</formula1>
    </dataValidation>
    <dataValidation sqref="L4:L53"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22" customWidth="1" min="1" max="1"/>
    <col width="20" customWidth="1" min="2" max="2"/>
    <col width="30" customWidth="1" min="3" max="3"/>
    <col width="35" customWidth="1" min="4" max="4"/>
    <col width="20" customWidth="1" min="5" max="5"/>
    <col width="18" customWidth="1" min="6" max="6"/>
    <col width="22" customWidth="1" min="7" max="7"/>
    <col width="22" customWidth="1" min="8" max="8"/>
    <col width="15" customWidth="1" min="9" max="9"/>
    <col width="18" customWidth="1" min="10" max="10"/>
    <col width="15" customWidth="1" min="11" max="11"/>
    <col width="15" customWidth="1" min="12" max="12"/>
    <col width="15" customWidth="1" min="13" max="13"/>
    <col width="35" customWidth="1" min="14" max="14"/>
  </cols>
  <sheetData>
    <row r="1" ht="35" customHeight="1">
      <c r="A1" s="11" t="inlineStr">
        <is>
          <t>SERVICE ACCOUNT AND BOT ACCESS INVENTORY</t>
        </is>
      </c>
    </row>
    <row r="2">
      <c r="A2" s="12" t="inlineStr">
        <is>
          <t>Document all service accounts, bots, and automated systems with source code access</t>
        </is>
      </c>
    </row>
    <row r="3">
      <c r="A3" s="13" t="inlineStr">
        <is>
          <t>Account Name</t>
        </is>
      </c>
      <c r="B3" s="13" t="inlineStr">
        <is>
          <t>Account Type</t>
        </is>
      </c>
      <c r="C3" s="13" t="inlineStr">
        <is>
          <t>Repository/System</t>
        </is>
      </c>
      <c r="D3" s="13" t="inlineStr">
        <is>
          <t>Purpose</t>
        </is>
      </c>
      <c r="E3" s="13" t="inlineStr">
        <is>
          <t>Owner</t>
        </is>
      </c>
      <c r="F3" s="13" t="inlineStr">
        <is>
          <t>Access Level</t>
        </is>
      </c>
      <c r="G3" s="13" t="inlineStr">
        <is>
          <t>Authentication Method</t>
        </is>
      </c>
      <c r="H3" s="13" t="inlineStr">
        <is>
          <t>Secret Storage</t>
        </is>
      </c>
      <c r="I3" s="13" t="inlineStr">
        <is>
          <t>Last Rotated</t>
        </is>
      </c>
      <c r="J3" s="13" t="inlineStr">
        <is>
          <t>Rotation Frequency</t>
        </is>
      </c>
      <c r="K3" s="13" t="inlineStr">
        <is>
          <t>Review Date</t>
        </is>
      </c>
      <c r="L3" s="13" t="inlineStr">
        <is>
          <t>Status</t>
        </is>
      </c>
      <c r="M3" s="13" t="inlineStr">
        <is>
          <t>Risk Rating</t>
        </is>
      </c>
      <c r="N3" s="13" t="inlineStr">
        <is>
          <t>Notes</t>
        </is>
      </c>
    </row>
    <row r="4">
      <c r="A4" s="14" t="inlineStr">
        <is>
          <t>github-actions-bot</t>
        </is>
      </c>
      <c r="B4" s="14" t="inlineStr">
        <is>
          <t>CI/CD Pipeline</t>
        </is>
      </c>
      <c r="C4" s="14" t="inlineStr">
        <is>
          <t>customer-portal</t>
        </is>
      </c>
      <c r="D4" s="14" t="inlineStr">
        <is>
          <t>GitHub Actions CI/CD</t>
        </is>
      </c>
      <c r="E4" s="14" t="inlineStr">
        <is>
          <t>DevOps Team</t>
        </is>
      </c>
      <c r="F4" s="14" t="inlineStr">
        <is>
          <t>Write/Contribute</t>
        </is>
      </c>
      <c r="G4" s="14" t="inlineStr">
        <is>
          <t>Deploy Key</t>
        </is>
      </c>
      <c r="H4" s="14" t="inlineStr">
        <is>
          <t>GitHub Secrets</t>
        </is>
      </c>
      <c r="I4" s="14" t="inlineStr">
        <is>
          <t>15.01.2026</t>
        </is>
      </c>
      <c r="J4" s="14" t="inlineStr">
        <is>
          <t>90 days</t>
        </is>
      </c>
      <c r="K4" s="14" t="inlineStr">
        <is>
          <t>15.01.2026</t>
        </is>
      </c>
      <c r="L4" s="14" t="inlineStr">
        <is>
          <t>Active</t>
        </is>
      </c>
      <c r="M4" s="14" t="inlineStr">
        <is>
          <t>Medium</t>
        </is>
      </c>
      <c r="N4" s="14" t="inlineStr">
        <is>
          <t>Automated deployment to production</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14">
    <dataValidation sqref="B4:B53" showDropDown="0" showInputMessage="0" showErrorMessage="0" allowBlank="0" type="list">
      <formula1>"CI/CD Pipeline,Deployment Bot,Monitoring Agent,Integration Service,API Key,Other"</formula1>
    </dataValidation>
    <dataValidation sqref="F4:F53" showDropDown="0" showInputMessage="0" showErrorMessage="0" allowBlank="0" type="list">
      <formula1>"Read,Write/Contribute,Admin"</formula1>
    </dataValidation>
    <dataValidation sqref="G4:G53" showDropDown="0" showInputMessage="0" showErrorMessage="0" allowBlank="0" type="list">
      <formula1>"SSH Key,Personal Access Token,OAuth Token,Deploy Key,API Key,Certificate,Other"</formula1>
    </dataValidation>
    <dataValidation sqref="H4:H53" showDropDown="0" showInputMessage="0" showErrorMessage="0" allowBlank="0" type="list">
      <formula1>"Vault/HSM,CI/CD Secrets,Environment Variable,Key Management Service,Other"</formula1>
    </dataValidation>
    <dataValidation sqref="J4:J54" showDropDown="0" showInputMessage="0" showErrorMessage="0" allowBlank="0" type="list">
      <formula1>"30 days,60 days,90 days,180 days,365 days,On compromise only,N/A"</formula1>
    </dataValidation>
    <dataValidation sqref="L4:L53" showDropDown="0" showInputMessage="0" showErrorMessage="0" allowBlank="0" type="list">
      <formula1>"Active,Disabled,Expired,Pending Review"</formula1>
    </dataValidation>
    <dataValidation sqref="M4:M53" showDropDown="0" showInputMessage="0" showErrorMessage="0" allowBlank="0" type="list">
      <formula1>"Critical,High,Medium,Low"</formula1>
    </dataValidation>
    <dataValidation sqref="B4:B53" showDropDown="0" showInputMessage="0" showErrorMessage="0" allowBlank="0" type="list">
      <formula1>"CI/CD Pipeline,Deployment Bot,Monitoring Agent,Integration Service,API Key,Other"</formula1>
    </dataValidation>
    <dataValidation sqref="F4:F53" showDropDown="0" showInputMessage="0" showErrorMessage="0" allowBlank="0" type="list">
      <formula1>"Read,Write/Contribute,Admin"</formula1>
    </dataValidation>
    <dataValidation sqref="G4:G53" showDropDown="0" showInputMessage="0" showErrorMessage="0" allowBlank="0" type="list">
      <formula1>"SSH Key,Personal Access Token,OAuth Token,Deploy Key,API Key,Certificate,Other"</formula1>
    </dataValidation>
    <dataValidation sqref="H4:H53" showDropDown="0" showInputMessage="0" showErrorMessage="0" allowBlank="0" type="list">
      <formula1>"Vault/HSM,CI/CD Secrets,Environment Variable,Key Management Service,Other"</formula1>
    </dataValidation>
    <dataValidation sqref="J4:J54" showDropDown="0" showInputMessage="0" showErrorMessage="0" allowBlank="0" type="list">
      <formula1>"30 days,60 days,90 days,180 days,365 days,On compromise only,N/A"</formula1>
    </dataValidation>
    <dataValidation sqref="L4:L53" showDropDown="0" showInputMessage="0" showErrorMessage="0" allowBlank="0" type="list">
      <formula1>"Active,Disabled,Expired,Pending Review"</formula1>
    </dataValidation>
    <dataValidation sqref="M4:M53" showDropDown="0" showInputMessage="0" showErrorMessage="0" allowBlank="0"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30" customWidth="1" min="6" max="6"/>
    <col width="15" customWidth="1" min="7" max="7"/>
    <col width="30" customWidth="1" min="8" max="8"/>
    <col width="30" customWidth="1" min="9" max="9"/>
    <col width="30" customWidth="1" min="10" max="10"/>
    <col width="40" customWidth="1" min="11" max="11"/>
    <col width="20" customWidth="1" min="12" max="12"/>
    <col width="18" customWidth="1" min="13" max="13"/>
    <col width="18" customWidth="1" min="14" max="14"/>
    <col width="15" customWidth="1" min="15" max="15"/>
    <col width="18" customWidth="1" min="16" max="16"/>
    <col width="25" customWidth="1" min="17" max="17"/>
    <col width="15" customWidth="1" min="18" max="18"/>
    <col width="30" customWidth="1" min="19" max="19"/>
  </cols>
  <sheetData>
    <row r="1" ht="35" customHeight="1">
      <c r="A1" s="11" t="inlineStr">
        <is>
          <t>GAP ANALYSIS</t>
        </is>
      </c>
    </row>
    <row r="2">
      <c r="A2" s="12" t="inlineStr">
        <is>
          <t>Document identified gaps and remediation plans</t>
        </is>
      </c>
    </row>
    <row r="3">
      <c r="A3" s="13" t="inlineStr">
        <is>
          <t>Gap ID</t>
        </is>
      </c>
      <c r="B3" s="13" t="inlineStr">
        <is>
          <t>Gap Category</t>
        </is>
      </c>
      <c r="C3" s="13" t="inlineStr">
        <is>
          <t>Gap Description</t>
        </is>
      </c>
      <c r="D3" s="13" t="inlineStr">
        <is>
          <t>Policy Requirement</t>
        </is>
      </c>
      <c r="E3" s="13" t="inlineStr">
        <is>
          <t>Current State</t>
        </is>
      </c>
      <c r="F3" s="13" t="inlineStr">
        <is>
          <t>Desired State</t>
        </is>
      </c>
      <c r="G3" s="13" t="inlineStr">
        <is>
          <t>Risk Level</t>
        </is>
      </c>
      <c r="H3" s="13" t="inlineStr">
        <is>
          <t>Impact</t>
        </is>
      </c>
      <c r="I3" s="13" t="inlineStr">
        <is>
          <t>Affected Repositories</t>
        </is>
      </c>
      <c r="J3" s="13" t="inlineStr">
        <is>
          <t>Root Cause</t>
        </is>
      </c>
      <c r="K3" s="13" t="inlineStr">
        <is>
          <t>Remediation Plan</t>
        </is>
      </c>
      <c r="L3" s="13" t="inlineStr">
        <is>
          <t>Responsible Party</t>
        </is>
      </c>
      <c r="M3" s="13" t="inlineStr">
        <is>
          <t>Target Completion Date</t>
        </is>
      </c>
      <c r="N3" s="13" t="inlineStr">
        <is>
          <t>Estimated Effort</t>
        </is>
      </c>
      <c r="O3" s="13" t="inlineStr">
        <is>
          <t>Status</t>
        </is>
      </c>
      <c r="P3" s="13" t="inlineStr">
        <is>
          <t>Actual Completion Date</t>
        </is>
      </c>
      <c r="Q3" s="13" t="inlineStr">
        <is>
          <t>Verification Method</t>
        </is>
      </c>
      <c r="R3" s="13" t="inlineStr">
        <is>
          <t>Verification Date</t>
        </is>
      </c>
      <c r="S3" s="13" t="inlineStr">
        <is>
          <t>Notes</t>
        </is>
      </c>
    </row>
    <row r="4">
      <c r="A4" s="14" t="inlineStr">
        <is>
          <t>GAP-001</t>
        </is>
      </c>
      <c r="B4" s="14" t="inlineStr">
        <is>
          <t>Access Control</t>
        </is>
      </c>
      <c r="C4" s="14" t="inlineStr">
        <is>
          <t>[Example: Branch protection not enabled on all production repositories]</t>
        </is>
      </c>
      <c r="D4" s="14" t="inlineStr">
        <is>
          <t>[Example: REQ-2.4.1-001 - Main branch protection]</t>
        </is>
      </c>
      <c r="E4" s="14" t="inlineStr">
        <is>
          <t>[Example: 15 out of 20 production repos lack branch protection]</t>
        </is>
      </c>
      <c r="F4" s="14" t="inlineStr">
        <is>
          <t>[Example: All production repos have branch protection enabled]</t>
        </is>
      </c>
      <c r="G4" s="14" t="inlineStr">
        <is>
          <t>[HIGH] High</t>
        </is>
      </c>
      <c r="H4" s="14" t="inlineStr">
        <is>
          <t>[Example: Unauthorised direct commits to production code possible]</t>
        </is>
      </c>
      <c r="I4" s="14" t="inlineStr">
        <is>
          <t>[Example: api-gateway, payment-processor, ...]</t>
        </is>
      </c>
      <c r="J4" s="14" t="inlineStr">
        <is>
          <t>[Example: Repositories created before policy implementation]</t>
        </is>
      </c>
      <c r="K4" s="14" t="inlineStr">
        <is>
          <t>[Example: Enable branch protection on all production repositories]</t>
        </is>
      </c>
      <c r="L4" s="14" t="inlineStr">
        <is>
          <t>[Example: Platform Team Lead]</t>
        </is>
      </c>
      <c r="M4" s="14" t="inlineStr">
        <is>
          <t>09.04.2026</t>
        </is>
      </c>
      <c r="N4" s="14" t="inlineStr">
        <is>
          <t>1 week</t>
        </is>
      </c>
      <c r="O4" s="14" t="inlineStr">
        <is>
          <t>[PROG] In Progress</t>
        </is>
      </c>
      <c r="P4" s="14" t="inlineStr"/>
      <c r="Q4" s="14" t="inlineStr"/>
      <c r="R4" s="14" t="inlineStr"/>
      <c r="S4" s="14" t="inlineStr"/>
    </row>
    <row r="5">
      <c r="A5" s="15" t="n"/>
      <c r="B5" s="15" t="n"/>
      <c r="C5" s="15" t="n"/>
      <c r="D5" s="15" t="n"/>
      <c r="E5" s="15" t="n"/>
      <c r="F5" s="15" t="n"/>
      <c r="G5" s="15" t="n"/>
      <c r="H5" s="15" t="n"/>
      <c r="I5" s="15" t="n"/>
      <c r="J5" s="15" t="n"/>
      <c r="K5" s="15" t="n"/>
      <c r="L5" s="15" t="n"/>
      <c r="M5" s="15" t="n"/>
      <c r="N5" s="15" t="n"/>
      <c r="O5" s="15" t="n"/>
      <c r="P5" s="15" t="n"/>
      <c r="Q5" s="15" t="n"/>
      <c r="R5" s="15" t="n"/>
      <c r="S5" s="15" t="n"/>
    </row>
    <row r="6">
      <c r="A6" s="15" t="n"/>
      <c r="B6" s="15" t="n"/>
      <c r="C6" s="15" t="n"/>
      <c r="D6" s="15" t="n"/>
      <c r="E6" s="15" t="n"/>
      <c r="F6" s="15" t="n"/>
      <c r="G6" s="15" t="n"/>
      <c r="H6" s="15" t="n"/>
      <c r="I6" s="15" t="n"/>
      <c r="J6" s="15" t="n"/>
      <c r="K6" s="15" t="n"/>
      <c r="L6" s="15" t="n"/>
      <c r="M6" s="15" t="n"/>
      <c r="N6" s="15" t="n"/>
      <c r="O6" s="15" t="n"/>
      <c r="P6" s="15" t="n"/>
      <c r="Q6" s="15" t="n"/>
      <c r="R6" s="15" t="n"/>
      <c r="S6" s="15" t="n"/>
    </row>
    <row r="7">
      <c r="A7" s="15" t="n"/>
      <c r="B7" s="15" t="n"/>
      <c r="C7" s="15" t="n"/>
      <c r="D7" s="15" t="n"/>
      <c r="E7" s="15" t="n"/>
      <c r="F7" s="15" t="n"/>
      <c r="G7" s="15" t="n"/>
      <c r="H7" s="15" t="n"/>
      <c r="I7" s="15" t="n"/>
      <c r="J7" s="15" t="n"/>
      <c r="K7" s="15" t="n"/>
      <c r="L7" s="15" t="n"/>
      <c r="M7" s="15" t="n"/>
      <c r="N7" s="15" t="n"/>
      <c r="O7" s="15" t="n"/>
      <c r="P7" s="15" t="n"/>
      <c r="Q7" s="15" t="n"/>
      <c r="R7" s="15" t="n"/>
      <c r="S7" s="15" t="n"/>
    </row>
    <row r="8">
      <c r="A8" s="15" t="n"/>
      <c r="B8" s="15" t="n"/>
      <c r="C8" s="15" t="n"/>
      <c r="D8" s="15" t="n"/>
      <c r="E8" s="15" t="n"/>
      <c r="F8" s="15" t="n"/>
      <c r="G8" s="15" t="n"/>
      <c r="H8" s="15" t="n"/>
      <c r="I8" s="15" t="n"/>
      <c r="J8" s="15" t="n"/>
      <c r="K8" s="15" t="n"/>
      <c r="L8" s="15" t="n"/>
      <c r="M8" s="15" t="n"/>
      <c r="N8" s="15" t="n"/>
      <c r="O8" s="15" t="n"/>
      <c r="P8" s="15" t="n"/>
      <c r="Q8" s="15" t="n"/>
      <c r="R8" s="15" t="n"/>
      <c r="S8" s="15" t="n"/>
    </row>
    <row r="9">
      <c r="A9" s="15" t="n"/>
      <c r="B9" s="15" t="n"/>
      <c r="C9" s="15" t="n"/>
      <c r="D9" s="15" t="n"/>
      <c r="E9" s="15" t="n"/>
      <c r="F9" s="15" t="n"/>
      <c r="G9" s="15" t="n"/>
      <c r="H9" s="15" t="n"/>
      <c r="I9" s="15" t="n"/>
      <c r="J9" s="15" t="n"/>
      <c r="K9" s="15" t="n"/>
      <c r="L9" s="15" t="n"/>
      <c r="M9" s="15" t="n"/>
      <c r="N9" s="15" t="n"/>
      <c r="O9" s="15" t="n"/>
      <c r="P9" s="15" t="n"/>
      <c r="Q9" s="15" t="n"/>
      <c r="R9" s="15" t="n"/>
      <c r="S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row>
  </sheetData>
  <mergeCells count="2">
    <mergeCell ref="A2:S2"/>
    <mergeCell ref="A1:S1"/>
  </mergeCells>
  <dataValidations count="4">
    <dataValidation sqref="B4:B53" showDropDown="0" showInputMessage="0" showErrorMessage="0" allowBlank="0" type="list">
      <formula1>"Access Control,Inventory,Reviews,Deprovisioning,Documentation"</formula1>
    </dataValidation>
    <dataValidation sqref="G4:G53" showDropDown="0" showInputMessage="0" showErrorMessage="0" allowBlank="0" type="list">
      <formula1>"[CRIT] Critical,[HIGH] High,[MED] Medium,[LOW] Low"</formula1>
    </dataValidation>
    <dataValidation sqref="N4:N54" showDropDown="0" showInputMessage="0" showErrorMessage="0" allowBlank="0" type="list">
      <formula1>"1-2 hours,1 day,1 week,2-4 weeks,&gt;1 month"</formula1>
    </dataValidation>
    <dataValidation sqref="O4:O54" showDropDown="0" showInputMessage="0" showErrorMessage="0" allowBlank="0" type="list">
      <formula1>"[OPEN] Open,[PROG] In Progress,[DONE] Completed,[DEF] 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4" t="inlineStr">
        <is>
          <t>EV-001</t>
        </is>
      </c>
      <c r="B5" s="14" t="inlineStr">
        <is>
          <t>Repository Access</t>
        </is>
      </c>
      <c r="C5" s="14" t="inlineStr">
        <is>
          <t>Access review log</t>
        </is>
      </c>
      <c r="D5" s="14" t="inlineStr">
        <is>
          <t>Quarterly access review for Q4 2025</t>
        </is>
      </c>
      <c r="E5" s="14" t="inlineStr">
        <is>
          <t>/evidence/q4-2025-access-review.xlsx</t>
        </is>
      </c>
      <c r="F5" s="14" t="inlineStr">
        <is>
          <t>15.01.2026</t>
        </is>
      </c>
      <c r="G5" s="14" t="inlineStr">
        <is>
          <t>Security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14" customWidth="1" min="3" max="3"/>
    <col width="16" customWidth="1" min="4" max="4"/>
    <col width="8" customWidth="1" min="5" max="5"/>
    <col width="10" customWidth="1" min="6" max="6"/>
    <col width="14" customWidth="1" min="7" max="7"/>
  </cols>
  <sheetData>
    <row r="1" ht="35" customHeight="1">
      <c r="A1" s="19" t="inlineStr">
        <is>
          <t>Repository Access Control Assessment — SUMMARY DASHBOARD</t>
        </is>
      </c>
      <c r="B1" s="6" t="n"/>
      <c r="C1" s="6" t="n"/>
      <c r="D1" s="6" t="n"/>
      <c r="E1" s="6" t="n"/>
      <c r="F1" s="6" t="n"/>
      <c r="G1" s="6" t="n"/>
    </row>
    <row r="2">
      <c r="A2" s="20" t="inlineStr">
        <is>
          <t>ISO/IEC 27001:2022 - Control A.8.4: Access to Source Code</t>
        </is>
      </c>
      <c r="B2" s="6" t="n"/>
      <c r="C2" s="6" t="n"/>
      <c r="D2" s="6" t="n"/>
      <c r="E2" s="6" t="n"/>
      <c r="F2" s="6" t="n"/>
      <c r="G2" s="6" t="n"/>
    </row>
    <row r="3">
      <c r="A3" s="21" t="inlineStr">
        <is>
          <t>COMPLIANCE ASSESSMENT SUMMARY</t>
        </is>
      </c>
      <c r="B3" s="6" t="n"/>
      <c r="C3" s="6" t="n"/>
      <c r="D3" s="6" t="n"/>
      <c r="E3" s="6" t="n"/>
      <c r="F3" s="6" t="n"/>
      <c r="G3" s="6" t="n"/>
    </row>
    <row r="4" ht="30" customHeight="1">
      <c r="A4" s="22" t="inlineStr">
        <is>
          <t>Assessment Area</t>
        </is>
      </c>
      <c r="B4" s="22" t="inlineStr">
        <is>
          <t>Questions Answered</t>
        </is>
      </c>
      <c r="C4" s="22" t="inlineStr">
        <is>
          <t>No Gap</t>
        </is>
      </c>
      <c r="D4" s="22" t="inlineStr">
        <is>
          <t>Gap Identified</t>
        </is>
      </c>
      <c r="E4" s="22" t="inlineStr">
        <is>
          <t>N/A</t>
        </is>
      </c>
      <c r="F4" s="22" t="inlineStr">
        <is>
          <t>Target</t>
        </is>
      </c>
      <c r="G4" s="22" t="inlineStr">
        <is>
          <t>Compliance %</t>
        </is>
      </c>
    </row>
    <row r="5" ht="18" customHeight="1">
      <c r="A5" s="23" t="inlineStr">
        <is>
          <t>User Access Appropriateness</t>
        </is>
      </c>
      <c r="B5" s="24">
        <f>COUNTA('User Access Matrix'!A5:A54)</f>
        <v/>
      </c>
      <c r="C5" s="24">
        <f>COUNTIF('User Access Matrix'!O5:O54,"[PASS] Appropriate")</f>
        <v/>
      </c>
      <c r="D5" s="24">
        <f>COUNTIF('User Access Matrix'!O5:O54,"[WARN] Excessive")+COUNTIF('User Access Matrix'!O5:O54,"[FAIL] Orphaned")+COUNTIF('User Access Matrix'!O5:O54,"[DATE] Expired")</f>
        <v/>
      </c>
      <c r="E5" s="24" t="n">
        <v>0</v>
      </c>
      <c r="F5" s="25" t="n">
        <v>0.85</v>
      </c>
      <c r="G5" s="26">
        <f>IFERROR(C5/(C5+D5)*100,0)</f>
        <v/>
      </c>
    </row>
    <row r="6" ht="18" customHeight="1">
      <c r="A6" s="23" t="inlineStr">
        <is>
          <t>Access Authorization Compliance</t>
        </is>
      </c>
      <c r="B6" s="24">
        <f>COUNTA('Access Approval Records'!B5:B54)</f>
        <v/>
      </c>
      <c r="C6" s="24">
        <f>COUNTIF('Access Approval Records'!K5:K54,"[PASS] Approved")</f>
        <v/>
      </c>
      <c r="D6" s="24">
        <f>COUNTIF('Access Approval Records'!K5:K54,"[FAIL] Denied")+COUNTIF('Access Approval Records'!K5:K54,"[WAIT] Pending")</f>
        <v/>
      </c>
      <c r="E6" s="24" t="n">
        <v>0</v>
      </c>
      <c r="F6" s="25" t="n">
        <v>0.9</v>
      </c>
      <c r="G6" s="26">
        <f>IFERROR(C6/(C6+D6)*100,0)</f>
        <v/>
      </c>
    </row>
    <row r="7" ht="18" customHeight="1">
      <c r="A7" s="23" t="inlineStr">
        <is>
          <t>Access Review Compliance</t>
        </is>
      </c>
      <c r="B7" s="24">
        <f>COUNTA('Access Review Log'!A5:A54)</f>
        <v/>
      </c>
      <c r="C7" s="24">
        <f>COUNTIF('Access Review Log'!S5:S54,"[PASS] Compliant")</f>
        <v/>
      </c>
      <c r="D7" s="24">
        <f>COUNTIF('Access Review Log'!S5:S54,"[WARN] Partial")+COUNTIF('Access Review Log'!S5:S54,"[FAIL] Non-Compliant")</f>
        <v/>
      </c>
      <c r="E7" s="24" t="n">
        <v>0</v>
      </c>
      <c r="F7" s="25" t="n">
        <v>0.85</v>
      </c>
      <c r="G7" s="26">
        <f>IFERROR(C7/(C7+D7)*100,0)</f>
        <v/>
      </c>
    </row>
    <row r="8" ht="18" customHeight="1">
      <c r="A8" s="23" t="inlineStr">
        <is>
          <t>Deprovisioning Timeliness</t>
        </is>
      </c>
      <c r="B8" s="24">
        <f>COUNTA('Deprovisioning Log'!A5:A54)</f>
        <v/>
      </c>
      <c r="C8" s="24">
        <f>COUNTIF('Deprovisioning Log'!N5:N54,"[PASS] Yes")</f>
        <v/>
      </c>
      <c r="D8" s="24">
        <f>COUNTIF('Deprovisioning Log'!N5:N54,"[FAIL] No")+COUNTIF('Deprovisioning Log'!N5:N54,"[WARN] Partial")</f>
        <v/>
      </c>
      <c r="E8" s="24" t="n">
        <v>0</v>
      </c>
      <c r="F8" s="25" t="n">
        <v>0.9</v>
      </c>
      <c r="G8" s="26">
        <f>IFERROR(C8/(C8+D8)*100,0)</f>
        <v/>
      </c>
    </row>
    <row r="9" ht="18" customHeight="1">
      <c r="A9" s="23" t="inlineStr">
        <is>
          <t>Repository Security Controls</t>
        </is>
      </c>
      <c r="B9" s="24">
        <f>COUNTA('Repository Inventory'!A5:A54)</f>
        <v/>
      </c>
      <c r="C9" s="24">
        <f>COUNTIFS('Repository Inventory'!Q5:Q54,"[PASS] Yes",'Repository Inventory'!R5:R54,"[PASS] Yes")</f>
        <v/>
      </c>
      <c r="D9" s="24">
        <f>COUNTA('Repository Inventory'!A5:A54)-COUNTIFS('Repository Inventory'!Q5:Q54,"[PASS] Yes",'Repository Inventory'!R5:R54,"[PASS] Yes")</f>
        <v/>
      </c>
      <c r="E9" s="24" t="n">
        <v>0</v>
      </c>
      <c r="F9" s="25" t="n">
        <v>0.8</v>
      </c>
      <c r="G9" s="26">
        <f>IFERROR(C9/(C9+D9)*100,0)</f>
        <v/>
      </c>
    </row>
    <row r="10">
      <c r="A10" s="27" t="inlineStr">
        <is>
          <t>TOTAL</t>
        </is>
      </c>
      <c r="B10" s="28">
        <f>SUM(B5:B9)</f>
        <v/>
      </c>
      <c r="C10" s="28">
        <f>SUM(C5:C9)</f>
        <v/>
      </c>
      <c r="D10" s="28">
        <f>SUM(D5:D9)</f>
        <v/>
      </c>
      <c r="E10" s="28">
        <f>SUM(E5:E9)</f>
        <v/>
      </c>
      <c r="F10" s="28" t="inlineStr">
        <is>
          <t>—</t>
        </is>
      </c>
      <c r="G10" s="29">
        <f>IFERROR(AVERAGE(G5:G9),0)</f>
        <v/>
      </c>
    </row>
    <row r="12">
      <c r="A12" s="21" t="inlineStr">
        <is>
          <t>REPOSITORY ACCESS HEALTH METRICS</t>
        </is>
      </c>
      <c r="B12" s="6" t="n"/>
      <c r="C12" s="6" t="n"/>
      <c r="D12" s="6" t="n"/>
      <c r="E12" s="6" t="n"/>
      <c r="F12" s="6" t="n"/>
      <c r="G12" s="6" t="n"/>
    </row>
    <row r="13">
      <c r="A13" s="30" t="inlineStr">
        <is>
          <t>Metric</t>
        </is>
      </c>
      <c r="B13" s="30" t="inlineStr">
        <is>
          <t>Value</t>
        </is>
      </c>
      <c r="C13" s="30" t="inlineStr">
        <is>
          <t>Target</t>
        </is>
      </c>
    </row>
    <row r="14">
      <c r="A14" s="23" t="inlineStr">
        <is>
          <t>Total Repositories</t>
        </is>
      </c>
      <c r="B14" s="24">
        <f>COUNTA('Repository Inventory'!A5:A54)</f>
        <v/>
      </c>
      <c r="C14" s="24" t="inlineStr">
        <is>
          <t>≥1</t>
        </is>
      </c>
    </row>
    <row r="15">
      <c r="A15" s="23" t="inlineStr">
        <is>
          <t>Repos with Branch Protection</t>
        </is>
      </c>
      <c r="B15" s="24">
        <f>COUNTIF('Repository Inventory'!Q5:Q54,"[PASS] Yes")</f>
        <v/>
      </c>
      <c r="C15" s="24" t="inlineStr">
        <is>
          <t>—</t>
        </is>
      </c>
    </row>
    <row r="16">
      <c r="A16" s="23" t="inlineStr">
        <is>
          <t>Repos with Secret Scanning</t>
        </is>
      </c>
      <c r="B16" s="24">
        <f>COUNTIF('Repository Inventory'!R5:R54,"[PASS] Yes")</f>
        <v/>
      </c>
      <c r="C16" s="24" t="inlineStr">
        <is>
          <t>—</t>
        </is>
      </c>
    </row>
    <row r="17">
      <c r="A17" s="23" t="inlineStr">
        <is>
          <t>Admin Access Count</t>
        </is>
      </c>
      <c r="B17" s="24">
        <f>COUNTIF('User Access Matrix'!H5:H54,"Admin")</f>
        <v/>
      </c>
      <c r="C17" s="24" t="inlineStr">
        <is>
          <t>≤5</t>
        </is>
      </c>
    </row>
    <row r="18">
      <c r="A18" s="23" t="inlineStr">
        <is>
          <t>Contractor Access Count</t>
        </is>
      </c>
      <c r="B18" s="24">
        <f>COUNTIF('User Access Matrix'!D5:D54,"Contractor")</f>
        <v/>
      </c>
      <c r="C18" s="24" t="inlineStr">
        <is>
          <t>—</t>
        </is>
      </c>
    </row>
    <row r="19">
      <c r="A19" s="23" t="inlineStr">
        <is>
          <t>Orphaned Account Count</t>
        </is>
      </c>
      <c r="B19" s="24">
        <f>COUNTIF('User Access Matrix'!O5:O54,"[FAIL] Orphaned")</f>
        <v/>
      </c>
      <c r="C19" s="24" t="inlineStr">
        <is>
          <t>0</t>
        </is>
      </c>
    </row>
    <row r="20">
      <c r="A20" s="23" t="inlineStr">
        <is>
          <t>Pending Access Approvals</t>
        </is>
      </c>
      <c r="B20" s="24">
        <f>COUNTIF('Access Approval Records'!K5:K54,"[WAIT] Pending")</f>
        <v/>
      </c>
      <c r="C20" s="24" t="inlineStr">
        <is>
          <t>0</t>
        </is>
      </c>
    </row>
    <row r="21">
      <c r="A21" s="23" t="inlineStr">
        <is>
          <t>Active Third Party Access Grants</t>
        </is>
      </c>
      <c r="B21" s="24">
        <f>COUNTIF('Third Party Access'!K5:K54,"Active")</f>
        <v/>
      </c>
      <c r="C21" s="24" t="inlineStr">
        <is>
          <t>—</t>
        </is>
      </c>
    </row>
    <row r="22">
      <c r="A22" s="23" t="inlineStr">
        <is>
          <t>Expired Third Party Access</t>
        </is>
      </c>
      <c r="B22" s="24">
        <f>COUNTIF('Third Party Access'!K5:K54,"Expired")</f>
        <v/>
      </c>
      <c r="C22" s="24" t="inlineStr">
        <is>
          <t>0</t>
        </is>
      </c>
    </row>
    <row r="23">
      <c r="A23" s="23" t="inlineStr">
        <is>
          <t>Service Accounts Pending Review</t>
        </is>
      </c>
      <c r="B23" s="24">
        <f>COUNTIF('Service Accounts'!L5:L54,"Pending Review")</f>
        <v/>
      </c>
      <c r="C23" s="24" t="inlineStr">
        <is>
          <t>0</t>
        </is>
      </c>
    </row>
    <row r="24">
      <c r="A24" s="23" t="inlineStr">
        <is>
          <t>Open Remediation Gaps</t>
        </is>
      </c>
      <c r="B24" s="24">
        <f>COUNTIF('Gap Analysis'!O5:O54,"[OPEN] Open")</f>
        <v/>
      </c>
      <c r="C24" s="24" t="inlineStr">
        <is>
          <t>0</t>
        </is>
      </c>
    </row>
    <row r="25">
      <c r="A25" s="23" t="inlineStr">
        <is>
          <t>Unverified Evidence Items</t>
        </is>
      </c>
      <c r="B25" s="24">
        <f>COUNTIF('Evidence Register'!H6:H105,"Not verified")</f>
        <v/>
      </c>
      <c r="C25" s="24" t="inlineStr">
        <is>
          <t>0</t>
        </is>
      </c>
    </row>
    <row r="27">
      <c r="A27" s="31" t="inlineStr">
        <is>
          <t>CRITICAL FINDINGS</t>
        </is>
      </c>
      <c r="B27" s="6" t="n"/>
      <c r="C27" s="6" t="n"/>
      <c r="D27" s="6" t="n"/>
      <c r="E27" s="6" t="n"/>
      <c r="F27" s="6" t="n"/>
      <c r="G27" s="6" t="n"/>
    </row>
    <row r="28">
      <c r="A28" s="30" t="inlineStr">
        <is>
          <t>Critical Finding</t>
        </is>
      </c>
      <c r="B28" s="30" t="inlineStr">
        <is>
          <t>Status</t>
        </is>
      </c>
      <c r="C28" s="30" t="inlineStr">
        <is>
          <t>Severity</t>
        </is>
      </c>
    </row>
    <row r="29">
      <c r="A29" s="32" t="inlineStr">
        <is>
          <t>Orphaned accounts detected</t>
        </is>
      </c>
      <c r="B29" s="32">
        <f>IF(COUNTIF('User Access Matrix'!O5:O54,"[FAIL] Orphaned")&gt;0,"[!] Review Required","[OK]")</f>
        <v/>
      </c>
      <c r="C29" s="32" t="inlineStr">
        <is>
          <t>Critical</t>
        </is>
      </c>
    </row>
    <row r="30">
      <c r="A30" s="32" t="inlineStr">
        <is>
          <t>Excessive access detected</t>
        </is>
      </c>
      <c r="B30" s="32">
        <f>IF(COUNTIF('User Access Matrix'!O5:O54,"[WARN] Excessive")&gt;0,"[!] Review Required","[OK]")</f>
        <v/>
      </c>
      <c r="C30" s="32" t="inlineStr">
        <is>
          <t>Critical</t>
        </is>
      </c>
    </row>
    <row r="31">
      <c r="A31" s="33" t="inlineStr">
        <is>
          <t>Deprovisioning SLA failures</t>
        </is>
      </c>
      <c r="B31" s="33">
        <f>IF(COUNTIF('Deprovisioning Log'!N5:N54,"[FAIL] No")&gt;0,"[!] Review Required","[OK]")</f>
        <v/>
      </c>
      <c r="C31" s="33" t="inlineStr">
        <is>
          <t>High</t>
        </is>
      </c>
    </row>
    <row r="32">
      <c r="A32" s="33" t="inlineStr">
        <is>
          <t>Expired third party access grants</t>
        </is>
      </c>
      <c r="B32" s="33">
        <f>IF(COUNTIF('Third Party Access'!K5:K54,"Expired")&gt;0,"[!] Review Required","[OK]")</f>
        <v/>
      </c>
      <c r="C32" s="33" t="inlineStr">
        <is>
          <t>High</t>
        </is>
      </c>
    </row>
    <row r="33">
      <c r="A33" s="33" t="inlineStr">
        <is>
          <t>Repos missing branch protection</t>
        </is>
      </c>
      <c r="B33" s="33">
        <f>IF(COUNTIF('Repository Inventory'!Q5:Q54,"[FAIL] No")&gt;0,"[!] Review Required","[OK]")</f>
        <v/>
      </c>
      <c r="C33" s="33" t="inlineStr">
        <is>
          <t>High</t>
        </is>
      </c>
    </row>
    <row r="34">
      <c r="A34" s="32" t="inlineStr">
        <is>
          <t>Overall compliance &lt;70%</t>
        </is>
      </c>
      <c r="B34" s="32">
        <f>IF(G10&lt;70,"[!] Below Target","[OK]")</f>
        <v/>
      </c>
      <c r="C34" s="32" t="inlineStr">
        <is>
          <t>Critical</t>
        </is>
      </c>
    </row>
    <row r="35">
      <c r="A35" s="33" t="inlineStr">
        <is>
          <t>Open critical/high severity gaps</t>
        </is>
      </c>
      <c r="B35" s="33">
        <f>IF(COUNTIFS('Gap Analysis'!G5:G54,"[CRIT] Critical",'Gap Analysis'!O5:O54,"[OPEN] Open")+COUNTIFS('Gap Analysis'!G5:G54,"[HIGH] High",'Gap Analysis'!O5:O54,"[OPEN] Open")&gt;0,"[!] Review Required","[OK]")</f>
        <v/>
      </c>
      <c r="C35" s="33" t="inlineStr">
        <is>
          <t>High</t>
        </is>
      </c>
    </row>
  </sheetData>
  <mergeCells count="5">
    <mergeCell ref="A1:G1"/>
    <mergeCell ref="A27:G27"/>
    <mergeCell ref="A3:G3"/>
    <mergeCell ref="A12:G12"/>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3">
      <c r="A3" s="34" t="inlineStr">
        <is>
          <t>ASSESSMENT SUMMARY</t>
        </is>
      </c>
      <c r="B3" s="6" t="n"/>
      <c r="C3" s="6" t="n"/>
      <c r="D3" s="6" t="n"/>
      <c r="E3" s="6" t="n"/>
    </row>
    <row r="4">
      <c r="A4" s="35" t="inlineStr">
        <is>
          <t>Document:</t>
        </is>
      </c>
      <c r="B4" s="6" t="inlineStr">
        <is>
          <t>ISMS-IMP-A.8.4.1 - Repository Access Control Assessment</t>
        </is>
      </c>
      <c r="C4" s="6" t="n"/>
      <c r="D4" s="6" t="n"/>
      <c r="E4" s="6" t="n"/>
    </row>
    <row r="5">
      <c r="A5" s="35" t="inlineStr">
        <is>
          <t>Assessment Period:</t>
        </is>
      </c>
      <c r="B5" s="36" t="inlineStr"/>
      <c r="C5" s="6" t="n"/>
      <c r="D5" s="6" t="n"/>
      <c r="E5" s="6" t="n"/>
    </row>
    <row r="6">
      <c r="A6" s="35" t="inlineStr">
        <is>
          <t>Overall Compliance:</t>
        </is>
      </c>
      <c r="B6" s="37">
        <f>IFERROR('Summary Dashboard'!G10,"")</f>
        <v/>
      </c>
      <c r="C6" s="6" t="n"/>
      <c r="D6" s="6" t="n"/>
      <c r="E6" s="6" t="n"/>
    </row>
    <row r="7">
      <c r="A7" s="35" t="inlineStr">
        <is>
          <t>Assessment Status:</t>
        </is>
      </c>
      <c r="B7" s="36" t="inlineStr"/>
      <c r="C7" s="6" t="n"/>
      <c r="D7" s="6" t="n"/>
      <c r="E7" s="6" t="n"/>
    </row>
    <row r="10">
      <c r="A10" s="34" t="inlineStr">
        <is>
          <t>COMPLETED BY (ASSESSOR)</t>
        </is>
      </c>
      <c r="B10" s="6" t="n"/>
      <c r="C10" s="6" t="n"/>
      <c r="D10" s="6" t="n"/>
      <c r="E10" s="6" t="n"/>
    </row>
    <row r="11">
      <c r="A11" s="35" t="inlineStr">
        <is>
          <t>Name:</t>
        </is>
      </c>
      <c r="B11" s="36" t="n"/>
      <c r="C11" s="6" t="n"/>
      <c r="D11" s="6" t="n"/>
      <c r="E11" s="6" t="n"/>
    </row>
    <row r="12">
      <c r="A12" s="35" t="inlineStr">
        <is>
          <t>Title:</t>
        </is>
      </c>
      <c r="B12" s="36" t="n"/>
      <c r="C12" s="6" t="n"/>
      <c r="D12" s="6" t="n"/>
      <c r="E12" s="6" t="n"/>
    </row>
    <row r="13">
      <c r="A13" s="35" t="inlineStr">
        <is>
          <t>Date:</t>
        </is>
      </c>
      <c r="B13" s="36" t="n"/>
      <c r="C13" s="6" t="n"/>
      <c r="D13" s="6" t="n"/>
      <c r="E13" s="6" t="n"/>
    </row>
    <row r="14">
      <c r="A14" s="35" t="inlineStr">
        <is>
          <t>Signature:</t>
        </is>
      </c>
      <c r="B14" s="36" t="n"/>
      <c r="C14" s="6" t="n"/>
      <c r="D14" s="6" t="n"/>
      <c r="E14" s="6" t="n"/>
    </row>
    <row r="15">
      <c r="A15" s="35" t="inlineStr">
        <is>
          <t>Comments:</t>
        </is>
      </c>
      <c r="B15" s="36" t="n"/>
      <c r="C15" s="6" t="n"/>
      <c r="D15" s="6" t="n"/>
      <c r="E15" s="6" t="n"/>
    </row>
    <row r="17">
      <c r="A17" s="34" t="inlineStr">
        <is>
          <t>REVIEWED BY (INFORMATION SECURITY OFFICER)</t>
        </is>
      </c>
      <c r="B17" s="6" t="n"/>
      <c r="C17" s="6" t="n"/>
      <c r="D17" s="6" t="n"/>
      <c r="E17" s="6" t="n"/>
    </row>
    <row r="18">
      <c r="A18" s="35" t="inlineStr">
        <is>
          <t>Name:</t>
        </is>
      </c>
      <c r="B18" s="36" t="n"/>
      <c r="C18" s="6" t="n"/>
      <c r="D18" s="6" t="n"/>
      <c r="E18" s="6" t="n"/>
    </row>
    <row r="19">
      <c r="A19" s="35" t="inlineStr">
        <is>
          <t>Title:</t>
        </is>
      </c>
      <c r="B19" s="36" t="n"/>
      <c r="C19" s="6" t="n"/>
      <c r="D19" s="6" t="n"/>
      <c r="E19" s="6" t="n"/>
    </row>
    <row r="20">
      <c r="A20" s="35" t="inlineStr">
        <is>
          <t>Date:</t>
        </is>
      </c>
      <c r="B20" s="36" t="n"/>
      <c r="C20" s="6" t="n"/>
      <c r="D20" s="6" t="n"/>
      <c r="E20" s="6" t="n"/>
    </row>
    <row r="21">
      <c r="A21" s="35" t="inlineStr">
        <is>
          <t>Signature:</t>
        </is>
      </c>
      <c r="B21" s="36" t="n"/>
      <c r="C21" s="6" t="n"/>
      <c r="D21" s="6" t="n"/>
      <c r="E21" s="6" t="n"/>
    </row>
    <row r="22">
      <c r="A22" s="35" t="inlineStr">
        <is>
          <t>Comments:</t>
        </is>
      </c>
      <c r="B22" s="36" t="n"/>
      <c r="C22" s="6" t="n"/>
      <c r="D22" s="6" t="n"/>
      <c r="E22" s="6" t="n"/>
    </row>
    <row r="24">
      <c r="A24" s="38" t="inlineStr">
        <is>
          <t>APPROVED BY (CISO)</t>
        </is>
      </c>
      <c r="B24" s="6" t="n"/>
      <c r="C24" s="6" t="n"/>
      <c r="D24" s="6" t="n"/>
      <c r="E24" s="6" t="n"/>
    </row>
    <row r="25">
      <c r="A25" s="35" t="inlineStr">
        <is>
          <t>Name:</t>
        </is>
      </c>
      <c r="B25" s="36" t="n"/>
      <c r="C25" s="6" t="n"/>
      <c r="D25" s="6" t="n"/>
      <c r="E25" s="6" t="n"/>
    </row>
    <row r="26">
      <c r="A26" s="35" t="inlineStr">
        <is>
          <t>Title:</t>
        </is>
      </c>
      <c r="B26" s="36" t="n"/>
      <c r="C26" s="6" t="n"/>
      <c r="D26" s="6" t="n"/>
      <c r="E26" s="6" t="n"/>
    </row>
    <row r="27">
      <c r="A27" s="35" t="inlineStr">
        <is>
          <t>Date:</t>
        </is>
      </c>
      <c r="B27" s="36" t="n"/>
      <c r="C27" s="6" t="n"/>
      <c r="D27" s="6" t="n"/>
      <c r="E27" s="6" t="n"/>
    </row>
    <row r="28">
      <c r="A28" s="35" t="inlineStr">
        <is>
          <t>Signature:</t>
        </is>
      </c>
      <c r="B28" s="36" t="n"/>
      <c r="C28" s="6" t="n"/>
      <c r="D28" s="6" t="n"/>
      <c r="E28" s="6" t="n"/>
    </row>
    <row r="29">
      <c r="A29" s="35" t="inlineStr">
        <is>
          <t>Comments:</t>
        </is>
      </c>
      <c r="B29" s="36" t="n"/>
      <c r="C29" s="6" t="n"/>
      <c r="D29" s="6" t="n"/>
      <c r="E29" s="6" t="n"/>
    </row>
    <row r="31">
      <c r="A31" s="35" t="inlineStr">
        <is>
          <t>FINAL DECISION:</t>
        </is>
      </c>
      <c r="B31" s="36" t="n"/>
      <c r="C31" s="6" t="n"/>
      <c r="D31" s="6" t="n"/>
      <c r="E31" s="6" t="n"/>
    </row>
    <row r="34">
      <c r="A34" s="34" t="inlineStr">
        <is>
          <t>NEXT REVIEW DETAILS</t>
        </is>
      </c>
      <c r="B34" s="6" t="n"/>
      <c r="C34" s="6" t="n"/>
      <c r="D34" s="6" t="n"/>
      <c r="E34" s="6" t="n"/>
    </row>
    <row r="35">
      <c r="A35" s="35" t="inlineStr">
        <is>
          <t>Next Review Date:</t>
        </is>
      </c>
      <c r="B35" s="36" t="n"/>
      <c r="C35" s="6" t="n"/>
      <c r="D35" s="6" t="n"/>
      <c r="E35" s="6" t="n"/>
    </row>
    <row r="36">
      <c r="A36" s="35" t="inlineStr">
        <is>
          <t>Review Responsible:</t>
        </is>
      </c>
      <c r="B36" s="36" t="n"/>
      <c r="C36" s="6" t="n"/>
      <c r="D36" s="6" t="n"/>
      <c r="E36" s="6" t="n"/>
    </row>
    <row r="37">
      <c r="A37" s="35" t="inlineStr">
        <is>
          <t>Special Considerations:</t>
        </is>
      </c>
      <c r="B37" s="3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ISMS-IMP-A.8.4.1 — Repository Access Control Assessment</dc:title>
  <dc:description xmlns:dc="http://purl.org/dc/elements/1.1/">ISMS Implementation Workbook — ISMS-IMP-A.8.4.1</dc:description>
  <dc:subject xmlns:dc="http://purl.org/dc/elements/1.1/">ISO/IEC 27001:2022 — Control A.8.4: Access to Source Code</dc:subject>
  <dcterms:created xmlns:dcterms="http://purl.org/dc/terms/" xmlns:xsi="http://www.w3.org/2001/XMLSchema-instance" xsi:type="dcterms:W3CDTF">2026-03-10T18:49:43Z</dcterms:created>
  <dcterms:modified xmlns:dcterms="http://purl.org/dc/terms/" xmlns:xsi="http://www.w3.org/2001/XMLSchema-instance" xsi:type="dcterms:W3CDTF">2026-03-10T18:49:43Z</dcterms:modified>
</cp:coreProperties>
</file>