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pository Branch Inventory" sheetId="2" state="visible" r:id="rId2"/>
    <sheet xmlns:r="http://schemas.openxmlformats.org/officeDocument/2006/relationships" name="Branch Protection Details" sheetId="3" state="visible" r:id="rId3"/>
    <sheet xmlns:r="http://schemas.openxmlformats.org/officeDocument/2006/relationships" name="Pull Request Configuration" sheetId="4" state="visible" r:id="rId4"/>
    <sheet xmlns:r="http://schemas.openxmlformats.org/officeDocument/2006/relationships" name="Status Check Verification" sheetId="5" state="visible" r:id="rId5"/>
    <sheet xmlns:r="http://schemas.openxmlformats.org/officeDocument/2006/relationships" name="Signed Commits Audit" sheetId="6" state="visible" r:id="rId6"/>
    <sheet xmlns:r="http://schemas.openxmlformats.org/officeDocument/2006/relationships" name="Exception Management"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4">
    <numFmt numFmtId="164" formatCode="0.0&quot;%&quot;"/>
    <numFmt numFmtId="165" formatCode="0&quot;%&quot;"/>
    <numFmt numFmtId="166" formatCode="0.0"/>
    <numFmt numFmtId="167" formatCode="0.0%"/>
  </numFmts>
  <fonts count="11">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i val="1"/>
    </font>
    <font>
      <name val="Calibri"/>
      <i val="1"/>
      <color rgb="00003366"/>
      <sz val="10"/>
    </font>
    <font>
      <name val="Calibri"/>
      <b val="1"/>
      <color rgb="00000000"/>
      <sz val="10"/>
    </font>
    <font>
      <b val="1"/>
      <color rgb="00FFFFFF"/>
      <sz val="11"/>
    </font>
    <font>
      <b val="1"/>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164" fontId="0" fillId="10" borderId="1" applyAlignment="1" pivotButton="0" quotePrefix="0" xfId="0">
      <alignment horizontal="left" vertical="center" wrapText="1"/>
    </xf>
    <xf numFmtId="165" fontId="0" fillId="10" borderId="1" applyAlignment="1" pivotButton="0" quotePrefix="0" xfId="0">
      <alignment horizontal="left" vertical="center" wrapText="1"/>
    </xf>
    <xf numFmtId="0" fontId="1" fillId="8" borderId="0" applyAlignment="1" pivotButton="0" quotePrefix="0" xfId="0">
      <alignment horizontal="center" vertical="center"/>
    </xf>
    <xf numFmtId="0" fontId="6" fillId="0" borderId="0" applyAlignment="1" pivotButton="0" quotePrefix="0" xfId="0">
      <alignment horizontal="left" vertical="center"/>
    </xf>
    <xf numFmtId="0" fontId="5" fillId="8" borderId="1" applyAlignment="1" pivotButton="0" quotePrefix="0" xfId="0">
      <alignment horizontal="center" vertical="center" wrapText="1"/>
    </xf>
    <xf numFmtId="0" fontId="1" fillId="8" borderId="1" applyAlignment="1" pivotButton="0" quotePrefix="0" xfId="0">
      <alignment horizontal="center" vertical="center"/>
    </xf>
    <xf numFmtId="0" fontId="7" fillId="0" borderId="1" applyAlignment="1" pivotButton="0" quotePrefix="0" xfId="0">
      <alignment horizontal="left" vertical="center"/>
    </xf>
    <xf numFmtId="0" fontId="5" fillId="8" borderId="1" applyAlignment="1" pivotButton="0" quotePrefix="0" xfId="0">
      <alignment horizontal="center" vertical="center"/>
    </xf>
    <xf numFmtId="0" fontId="8" fillId="9" borderId="1" applyAlignment="1" pivotButton="0" quotePrefix="0" xfId="0">
      <alignment horizontal="center" vertical="center" wrapText="1"/>
    </xf>
    <xf numFmtId="0" fontId="0" fillId="11" borderId="1" applyAlignment="1" pivotButton="0" quotePrefix="0" xfId="0">
      <alignment horizontal="left" vertical="center"/>
    </xf>
    <xf numFmtId="0" fontId="0" fillId="11" borderId="1" applyAlignment="1" pivotButton="0" quotePrefix="0" xfId="0">
      <alignment horizontal="center" vertical="center"/>
    </xf>
    <xf numFmtId="9" fontId="0" fillId="11" borderId="1" applyAlignment="1" pivotButton="0" quotePrefix="0" xfId="0">
      <alignment horizontal="center" vertical="center"/>
    </xf>
    <xf numFmtId="166" fontId="0" fillId="11" borderId="1" applyAlignment="1" pivotButton="0" quotePrefix="0" xfId="0">
      <alignment horizontal="center" vertical="center"/>
    </xf>
    <xf numFmtId="0" fontId="4" fillId="9" borderId="1" applyAlignment="1" pivotButton="0" quotePrefix="0" xfId="0">
      <alignment horizontal="left" vertical="center"/>
    </xf>
    <xf numFmtId="0" fontId="4" fillId="9" borderId="1" applyAlignment="1" pivotButton="0" quotePrefix="0" xfId="0">
      <alignment horizontal="center" vertical="center"/>
    </xf>
    <xf numFmtId="166" fontId="4" fillId="9" borderId="1" applyAlignment="1" pivotButton="0" quotePrefix="0" xfId="0">
      <alignment horizontal="center" vertical="center"/>
    </xf>
    <xf numFmtId="0" fontId="8" fillId="9" borderId="1" applyAlignment="1" pivotButton="0" quotePrefix="0" xfId="0">
      <alignment horizontal="center" vertical="center"/>
    </xf>
    <xf numFmtId="167" fontId="0" fillId="11" borderId="1" applyAlignment="1" pivotButton="0" quotePrefix="0" xfId="0">
      <alignment horizontal="center" vertical="center"/>
    </xf>
    <xf numFmtId="0" fontId="5" fillId="12" borderId="1" applyAlignment="1" pivotButton="0" quotePrefix="0" xfId="0">
      <alignment horizontal="center" vertical="center"/>
    </xf>
    <xf numFmtId="0" fontId="0" fillId="13" borderId="1" applyAlignment="1" pivotButton="0" quotePrefix="0" xfId="0">
      <alignment horizontal="left" vertical="center"/>
    </xf>
    <xf numFmtId="0" fontId="0" fillId="14" borderId="1" applyAlignment="1" pivotButton="0" quotePrefix="0" xfId="0">
      <alignment horizontal="left" vertical="center"/>
    </xf>
    <xf numFmtId="0" fontId="9" fillId="15" borderId="1" pivotButton="0" quotePrefix="0" xfId="0"/>
    <xf numFmtId="0" fontId="10" fillId="0" borderId="0" pivotButton="0" quotePrefix="0" xfId="0"/>
    <xf numFmtId="0" fontId="0" fillId="11" borderId="1" pivotButton="0" quotePrefix="0" xfId="0"/>
    <xf numFmtId="167" fontId="0" fillId="0" borderId="1" pivotButton="0" quotePrefix="0" xfId="0"/>
    <xf numFmtId="0" fontId="9"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ISMS-IMP-A.8.4.2  -  Branch Protection Assessment
ISO/IEC 27001:2022 - Control A.8.4: Access to Source Code</t>
        </is>
      </c>
    </row>
    <row r="3">
      <c r="A3" s="2" t="inlineStr">
        <is>
          <t>Document Information</t>
        </is>
      </c>
    </row>
    <row r="4">
      <c r="A4" s="3" t="inlineStr">
        <is>
          <t>Document ID</t>
        </is>
      </c>
      <c r="B4" t="inlineStr">
        <is>
          <t>ISMS-IMP-A.8.4.2</t>
        </is>
      </c>
    </row>
    <row r="5">
      <c r="A5" s="3" t="inlineStr">
        <is>
          <t>Workbook Title</t>
        </is>
      </c>
      <c r="B5" t="inlineStr">
        <is>
          <t>Branch Protection Assessment</t>
        </is>
      </c>
    </row>
    <row r="6">
      <c r="A6" s="3" t="inlineStr">
        <is>
          <t>Control Reference</t>
        </is>
      </c>
      <c r="B6" t="inlineStr">
        <is>
          <t>ISO/IEC 27001:2022 - Control A.8.4: Access to Source Code</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Repository Branch Inventory for all branches requiring protection.</t>
        </is>
      </c>
    </row>
    <row r="14">
      <c r="A14" t="inlineStr">
        <is>
          <t>2. Document protection rules in Branch Protection Details.</t>
        </is>
      </c>
    </row>
    <row r="15">
      <c r="A15" t="inlineStr">
        <is>
          <t>3. Assess pull request configuration in Pull Request Configuration.</t>
        </is>
      </c>
    </row>
    <row r="16">
      <c r="A16" t="inlineStr">
        <is>
          <t>4. Verify status checks in Status Check Verification.</t>
        </is>
      </c>
    </row>
    <row r="17">
      <c r="A17" t="inlineStr">
        <is>
          <t>5. Track signed commits in Signed Commits Audit.</t>
        </is>
      </c>
    </row>
    <row r="18">
      <c r="A18" t="inlineStr">
        <is>
          <t>6. Document exceptions in Exception Management.</t>
        </is>
      </c>
    </row>
    <row r="19">
      <c r="A19" t="inlineStr">
        <is>
          <t>7. Review Summary Dashboard for automated metrics.</t>
        </is>
      </c>
    </row>
    <row r="20">
      <c r="A20" t="inlineStr">
        <is>
          <t>8. Identify gaps in Gap Analysis and create remediation plans.</t>
        </is>
      </c>
    </row>
    <row r="21">
      <c r="A21" t="inlineStr">
        <is>
          <t>9. Collect evidence in Evidence Register for audit readiness.</t>
        </is>
      </c>
    </row>
    <row r="22">
      <c r="A22" t="inlineStr">
        <is>
          <t>10. Obtain sign-off in Approval Sign-Off.</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30" customWidth="1" min="1" max="1"/>
    <col width="20" customWidth="1" min="2" max="2"/>
    <col width="25" customWidth="1" min="3" max="3"/>
    <col width="25" customWidth="1" min="4" max="4"/>
    <col width="18" customWidth="1" min="5" max="5"/>
    <col width="20" customWidth="1" min="6" max="6"/>
    <col width="22" customWidth="1" min="7" max="7"/>
    <col width="18" customWidth="1" min="8" max="8"/>
  </cols>
  <sheetData>
    <row r="1" ht="35" customHeight="1">
      <c r="A1" s="11" t="inlineStr">
        <is>
          <t>REPOSITORY BRANCH INVENTORY</t>
        </is>
      </c>
    </row>
    <row r="2">
      <c r="A2" s="12" t="inlineStr">
        <is>
          <t>Document all branches requiring protection</t>
        </is>
      </c>
    </row>
    <row r="3">
      <c r="A3" s="13" t="inlineStr">
        <is>
          <t>Repository Name</t>
        </is>
      </c>
      <c r="B3" s="13" t="inlineStr">
        <is>
          <t>Repository Platform</t>
        </is>
      </c>
      <c r="C3" s="13" t="inlineStr">
        <is>
          <t>Repository Classification</t>
        </is>
      </c>
      <c r="D3" s="13" t="inlineStr">
        <is>
          <t>Branch Name</t>
        </is>
      </c>
      <c r="E3" s="13" t="inlineStr">
        <is>
          <t>Branch Type</t>
        </is>
      </c>
      <c r="F3" s="13" t="inlineStr">
        <is>
          <t>Protection Required</t>
        </is>
      </c>
      <c r="G3" s="13" t="inlineStr">
        <is>
          <t>Protection Configured</t>
        </is>
      </c>
      <c r="H3" s="13" t="inlineStr">
        <is>
          <t>Status</t>
        </is>
      </c>
    </row>
    <row r="4">
      <c r="A4" s="14" t="inlineStr">
        <is>
          <t>[Example: customer-portal]</t>
        </is>
      </c>
      <c r="B4" s="14" t="inlineStr">
        <is>
          <t>GitHub</t>
        </is>
      </c>
      <c r="C4" s="14" t="inlineStr">
        <is>
          <t>Production Code</t>
        </is>
      </c>
      <c r="D4" s="14" t="inlineStr">
        <is>
          <t>main</t>
        </is>
      </c>
      <c r="E4" s="14" t="inlineStr">
        <is>
          <t>Main</t>
        </is>
      </c>
      <c r="F4" s="14" t="inlineStr">
        <is>
          <t>✅ Yes</t>
        </is>
      </c>
      <c r="G4" s="14" t="inlineStr">
        <is>
          <t>✅ Yes</t>
        </is>
      </c>
      <c r="H4" s="14" t="inlineStr">
        <is>
          <t>✅ Compliant</t>
        </is>
      </c>
    </row>
    <row r="5">
      <c r="A5" s="15" t="n"/>
      <c r="B5" s="15" t="n"/>
      <c r="C5" s="15" t="n"/>
      <c r="D5" s="15" t="n"/>
      <c r="E5" s="15" t="n"/>
      <c r="F5" s="15" t="n"/>
      <c r="G5" s="15" t="n"/>
      <c r="H5" s="15"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sheetData>
  <mergeCells count="2">
    <mergeCell ref="A2:H2"/>
    <mergeCell ref="A1:H1"/>
  </mergeCells>
  <dataValidations count="5">
    <dataValidation sqref="B5:B500" showDropDown="0" showInputMessage="0" showErrorMessage="0" allowBlank="0" type="list">
      <formula1>"GitHub,GitLab,Bitbucket,Azure DevOps,Self-Hosted,Other"</formula1>
    </dataValidation>
    <dataValidation sqref="C5:C500" showDropDown="0" showInputMessage="0" showErrorMessage="0" allowBlank="0" type="list">
      <formula1>"Production Code,Internal Tools,Open Source,Archived"</formula1>
    </dataValidation>
    <dataValidation sqref="E5:E500" showDropDown="0" showInputMessage="0" showErrorMessage="0" allowBlank="0" type="list">
      <formula1>"Main,Release,Development,Feature,Hotfix"</formula1>
    </dataValidation>
    <dataValidation sqref="F5:F500 G5:G500" showDropDown="0" showInputMessage="0" showErrorMessage="0" allowBlank="0" type="list">
      <formula1>"✅ Yes,❌ No,⚠️ Partial,➖ N/A"</formula1>
    </dataValidation>
    <dataValidation sqref="H5:H500" showDropDown="0" showInputMessage="0" showErrorMessage="0" allowBlank="0" type="list">
      <formula1>"✅ Compliant,⚠️ Partial,❌ Non-Compliant"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22" customWidth="1" min="3" max="3"/>
    <col width="22" customWidth="1" min="4" max="4"/>
    <col width="18" customWidth="1" min="5" max="5"/>
    <col width="22" customWidth="1" min="6" max="6"/>
    <col width="22" customWidth="1" min="7" max="7"/>
    <col width="22" customWidth="1" min="8" max="8"/>
    <col width="35" customWidth="1" min="9" max="9"/>
    <col width="25" customWidth="1" min="10" max="10"/>
    <col width="18" customWidth="1" min="11" max="11"/>
    <col width="20" customWidth="1" min="12" max="12"/>
    <col width="18" customWidth="1" min="13" max="13"/>
  </cols>
  <sheetData>
    <row r="1" ht="35" customHeight="1">
      <c r="A1" s="11" t="inlineStr">
        <is>
          <t>BRANCH PROTECTION DETAILS</t>
        </is>
      </c>
    </row>
    <row r="2">
      <c r="A2" s="12" t="inlineStr">
        <is>
          <t>Document specific protection rules for each branch</t>
        </is>
      </c>
    </row>
    <row r="3">
      <c r="A3" s="13" t="inlineStr">
        <is>
          <t>Repository Name</t>
        </is>
      </c>
      <c r="B3" s="13" t="inlineStr">
        <is>
          <t>Branch Name</t>
        </is>
      </c>
      <c r="C3" s="13" t="inlineStr">
        <is>
          <t>Direct Commits Blocked</t>
        </is>
      </c>
      <c r="D3" s="13" t="inlineStr">
        <is>
          <t>Pull Request Required</t>
        </is>
      </c>
      <c r="E3" s="13" t="inlineStr">
        <is>
          <t>Required Approvals</t>
        </is>
      </c>
      <c r="F3" s="13" t="inlineStr">
        <is>
          <t>Dismiss Stale Reviews</t>
        </is>
      </c>
      <c r="G3" s="13" t="inlineStr">
        <is>
          <t>Code Owner Review</t>
        </is>
      </c>
      <c r="H3" s="13" t="inlineStr">
        <is>
          <t>Status Checks Required</t>
        </is>
      </c>
      <c r="I3" s="13" t="inlineStr">
        <is>
          <t>Status Check List</t>
        </is>
      </c>
      <c r="J3" s="13" t="inlineStr">
        <is>
          <t>Signed Commits Required</t>
        </is>
      </c>
      <c r="K3" s="13" t="inlineStr">
        <is>
          <t>Linear History</t>
        </is>
      </c>
      <c r="L3" s="13" t="inlineStr">
        <is>
          <t>Compliance Score (%)</t>
        </is>
      </c>
      <c r="M3" s="13" t="inlineStr">
        <is>
          <t>Status</t>
        </is>
      </c>
    </row>
    <row r="4">
      <c r="A4" s="14" t="inlineStr">
        <is>
          <t>[Example: customer-portal]</t>
        </is>
      </c>
      <c r="B4" s="14" t="inlineStr">
        <is>
          <t>main</t>
        </is>
      </c>
      <c r="C4" s="14" t="inlineStr">
        <is>
          <t>✅ Yes</t>
        </is>
      </c>
      <c r="D4" s="14" t="inlineStr">
        <is>
          <t>✅ Yes</t>
        </is>
      </c>
      <c r="E4" s="14" t="inlineStr">
        <is>
          <t>2</t>
        </is>
      </c>
      <c r="F4" s="14" t="inlineStr">
        <is>
          <t>✅ Yes</t>
        </is>
      </c>
      <c r="G4" s="14" t="inlineStr">
        <is>
          <t>✅ Yes</t>
        </is>
      </c>
      <c r="H4" s="14" t="inlineStr">
        <is>
          <t>✅ Yes</t>
        </is>
      </c>
      <c r="I4" s="14" t="inlineStr">
        <is>
          <t>[Example: build, test, security-scan]</t>
        </is>
      </c>
      <c r="J4" s="14" t="inlineStr">
        <is>
          <t>✅ Yes</t>
        </is>
      </c>
      <c r="K4" s="14" t="inlineStr">
        <is>
          <t>✅ Yes</t>
        </is>
      </c>
      <c r="L4" s="16">
        <f>((COUNTIF(C4:K4,"✅ Yes")/9)*100)</f>
        <v/>
      </c>
      <c r="M4" s="14" t="inlineStr">
        <is>
          <t>✅ Compliant</t>
        </is>
      </c>
    </row>
    <row r="5">
      <c r="A5" s="15" t="n"/>
      <c r="B5" s="15" t="n"/>
      <c r="C5" s="15" t="n"/>
      <c r="D5" s="15" t="n"/>
      <c r="E5" s="15" t="n"/>
      <c r="F5" s="15" t="n"/>
      <c r="G5" s="15" t="n"/>
      <c r="H5" s="15" t="n"/>
      <c r="I5" s="15" t="n"/>
      <c r="J5" s="15" t="n"/>
      <c r="K5" s="15" t="n"/>
      <c r="L5" s="15" t="n"/>
      <c r="M5" s="15" t="n"/>
    </row>
    <row r="6">
      <c r="A6" s="15" t="n"/>
      <c r="B6" s="15" t="n"/>
      <c r="C6" s="15" t="n"/>
      <c r="D6" s="15" t="n"/>
      <c r="E6" s="15" t="n"/>
      <c r="F6" s="15" t="n"/>
      <c r="G6" s="15" t="n"/>
      <c r="H6" s="15" t="n"/>
      <c r="I6" s="15" t="n"/>
      <c r="J6" s="15" t="n"/>
      <c r="K6" s="15" t="n"/>
      <c r="L6" s="15" t="n"/>
      <c r="M6" s="15" t="n"/>
    </row>
    <row r="7">
      <c r="A7" s="15" t="n"/>
      <c r="B7" s="15" t="n"/>
      <c r="C7" s="15" t="n"/>
      <c r="D7" s="15" t="n"/>
      <c r="E7" s="15" t="n"/>
      <c r="F7" s="15" t="n"/>
      <c r="G7" s="15" t="n"/>
      <c r="H7" s="15" t="n"/>
      <c r="I7" s="15" t="n"/>
      <c r="J7" s="15" t="n"/>
      <c r="K7" s="15" t="n"/>
      <c r="L7" s="15" t="n"/>
      <c r="M7" s="15" t="n"/>
    </row>
    <row r="8">
      <c r="A8" s="15" t="n"/>
      <c r="B8" s="15" t="n"/>
      <c r="C8" s="15" t="n"/>
      <c r="D8" s="15" t="n"/>
      <c r="E8" s="15" t="n"/>
      <c r="F8" s="15" t="n"/>
      <c r="G8" s="15" t="n"/>
      <c r="H8" s="15" t="n"/>
      <c r="I8" s="15" t="n"/>
      <c r="J8" s="15" t="n"/>
      <c r="K8" s="15" t="n"/>
      <c r="L8" s="15" t="n"/>
      <c r="M8" s="15" t="n"/>
    </row>
    <row r="9">
      <c r="A9" s="15" t="n"/>
      <c r="B9" s="15" t="n"/>
      <c r="C9" s="15" t="n"/>
      <c r="D9" s="15" t="n"/>
      <c r="E9" s="15" t="n"/>
      <c r="F9" s="15" t="n"/>
      <c r="G9" s="15" t="n"/>
      <c r="H9" s="15" t="n"/>
      <c r="I9" s="15" t="n"/>
      <c r="J9" s="15" t="n"/>
      <c r="K9" s="15" t="n"/>
      <c r="L9" s="15" t="n"/>
      <c r="M9" s="15" t="n"/>
    </row>
    <row r="10">
      <c r="A10" s="15" t="n"/>
      <c r="B10" s="15" t="n"/>
      <c r="C10" s="15" t="n"/>
      <c r="D10" s="15" t="n"/>
      <c r="E10" s="15" t="n"/>
      <c r="F10" s="15" t="n"/>
      <c r="G10" s="15" t="n"/>
      <c r="H10" s="15" t="n"/>
      <c r="I10" s="15" t="n"/>
      <c r="J10" s="15" t="n"/>
      <c r="K10" s="15" t="n"/>
      <c r="L10" s="15" t="n"/>
      <c r="M10" s="15" t="n"/>
    </row>
    <row r="11">
      <c r="A11" s="15" t="n"/>
      <c r="B11" s="15" t="n"/>
      <c r="C11" s="15" t="n"/>
      <c r="D11" s="15" t="n"/>
      <c r="E11" s="15" t="n"/>
      <c r="F11" s="15" t="n"/>
      <c r="G11" s="15" t="n"/>
      <c r="H11" s="15" t="n"/>
      <c r="I11" s="15" t="n"/>
      <c r="J11" s="15" t="n"/>
      <c r="K11" s="15" t="n"/>
      <c r="L11" s="15" t="n"/>
      <c r="M11" s="15" t="n"/>
    </row>
    <row r="12">
      <c r="A12" s="15" t="n"/>
      <c r="B12" s="15" t="n"/>
      <c r="C12" s="15" t="n"/>
      <c r="D12" s="15" t="n"/>
      <c r="E12" s="15" t="n"/>
      <c r="F12" s="15" t="n"/>
      <c r="G12" s="15" t="n"/>
      <c r="H12" s="15" t="n"/>
      <c r="I12" s="15" t="n"/>
      <c r="J12" s="15" t="n"/>
      <c r="K12" s="15" t="n"/>
      <c r="L12" s="15" t="n"/>
      <c r="M12" s="15" t="n"/>
    </row>
    <row r="13">
      <c r="A13" s="15" t="n"/>
      <c r="B13" s="15" t="n"/>
      <c r="C13" s="15" t="n"/>
      <c r="D13" s="15" t="n"/>
      <c r="E13" s="15" t="n"/>
      <c r="F13" s="15" t="n"/>
      <c r="G13" s="15" t="n"/>
      <c r="H13" s="15" t="n"/>
      <c r="I13" s="15" t="n"/>
      <c r="J13" s="15" t="n"/>
      <c r="K13" s="15" t="n"/>
      <c r="L13" s="15" t="n"/>
      <c r="M13" s="15" t="n"/>
    </row>
    <row r="14">
      <c r="A14" s="15" t="n"/>
      <c r="B14" s="15" t="n"/>
      <c r="C14" s="15" t="n"/>
      <c r="D14" s="15" t="n"/>
      <c r="E14" s="15" t="n"/>
      <c r="F14" s="15" t="n"/>
      <c r="G14" s="15" t="n"/>
      <c r="H14" s="15" t="n"/>
      <c r="I14" s="15" t="n"/>
      <c r="J14" s="15" t="n"/>
      <c r="K14" s="15" t="n"/>
      <c r="L14" s="15" t="n"/>
      <c r="M14" s="15" t="n"/>
    </row>
    <row r="15">
      <c r="A15" s="15" t="n"/>
      <c r="B15" s="15" t="n"/>
      <c r="C15" s="15" t="n"/>
      <c r="D15" s="15" t="n"/>
      <c r="E15" s="15" t="n"/>
      <c r="F15" s="15" t="n"/>
      <c r="G15" s="15" t="n"/>
      <c r="H15" s="15" t="n"/>
      <c r="I15" s="15" t="n"/>
      <c r="J15" s="15" t="n"/>
      <c r="K15" s="15" t="n"/>
      <c r="L15" s="15" t="n"/>
      <c r="M15" s="15" t="n"/>
    </row>
    <row r="16">
      <c r="A16" s="15" t="n"/>
      <c r="B16" s="15" t="n"/>
      <c r="C16" s="15" t="n"/>
      <c r="D16" s="15" t="n"/>
      <c r="E16" s="15" t="n"/>
      <c r="F16" s="15" t="n"/>
      <c r="G16" s="15" t="n"/>
      <c r="H16" s="15" t="n"/>
      <c r="I16" s="15" t="n"/>
      <c r="J16" s="15" t="n"/>
      <c r="K16" s="15" t="n"/>
      <c r="L16" s="15" t="n"/>
      <c r="M16" s="15" t="n"/>
    </row>
    <row r="17">
      <c r="A17" s="15" t="n"/>
      <c r="B17" s="15" t="n"/>
      <c r="C17" s="15" t="n"/>
      <c r="D17" s="15" t="n"/>
      <c r="E17" s="15" t="n"/>
      <c r="F17" s="15" t="n"/>
      <c r="G17" s="15" t="n"/>
      <c r="H17" s="15" t="n"/>
      <c r="I17" s="15" t="n"/>
      <c r="J17" s="15" t="n"/>
      <c r="K17" s="15" t="n"/>
      <c r="L17" s="15" t="n"/>
      <c r="M17" s="15" t="n"/>
    </row>
    <row r="18">
      <c r="A18" s="15" t="n"/>
      <c r="B18" s="15" t="n"/>
      <c r="C18" s="15" t="n"/>
      <c r="D18" s="15" t="n"/>
      <c r="E18" s="15" t="n"/>
      <c r="F18" s="15" t="n"/>
      <c r="G18" s="15" t="n"/>
      <c r="H18" s="15" t="n"/>
      <c r="I18" s="15" t="n"/>
      <c r="J18" s="15" t="n"/>
      <c r="K18" s="15" t="n"/>
      <c r="L18" s="15" t="n"/>
      <c r="M18" s="15" t="n"/>
    </row>
    <row r="19">
      <c r="A19" s="15" t="n"/>
      <c r="B19" s="15" t="n"/>
      <c r="C19" s="15" t="n"/>
      <c r="D19" s="15" t="n"/>
      <c r="E19" s="15" t="n"/>
      <c r="F19" s="15" t="n"/>
      <c r="G19" s="15" t="n"/>
      <c r="H19" s="15" t="n"/>
      <c r="I19" s="15" t="n"/>
      <c r="J19" s="15" t="n"/>
      <c r="K19" s="15" t="n"/>
      <c r="L19" s="15" t="n"/>
      <c r="M19" s="15" t="n"/>
    </row>
    <row r="20">
      <c r="A20" s="15" t="n"/>
      <c r="B20" s="15" t="n"/>
      <c r="C20" s="15" t="n"/>
      <c r="D20" s="15" t="n"/>
      <c r="E20" s="15" t="n"/>
      <c r="F20" s="15" t="n"/>
      <c r="G20" s="15" t="n"/>
      <c r="H20" s="15" t="n"/>
      <c r="I20" s="15" t="n"/>
      <c r="J20" s="15" t="n"/>
      <c r="K20" s="15" t="n"/>
      <c r="L20" s="15" t="n"/>
      <c r="M20" s="15" t="n"/>
    </row>
    <row r="21">
      <c r="A21" s="15" t="n"/>
      <c r="B21" s="15" t="n"/>
      <c r="C21" s="15" t="n"/>
      <c r="D21" s="15" t="n"/>
      <c r="E21" s="15" t="n"/>
      <c r="F21" s="15" t="n"/>
      <c r="G21" s="15" t="n"/>
      <c r="H21" s="15" t="n"/>
      <c r="I21" s="15" t="n"/>
      <c r="J21" s="15" t="n"/>
      <c r="K21" s="15" t="n"/>
      <c r="L21" s="15" t="n"/>
      <c r="M21" s="15" t="n"/>
    </row>
    <row r="22">
      <c r="A22" s="15" t="n"/>
      <c r="B22" s="15" t="n"/>
      <c r="C22" s="15" t="n"/>
      <c r="D22" s="15" t="n"/>
      <c r="E22" s="15" t="n"/>
      <c r="F22" s="15" t="n"/>
      <c r="G22" s="15" t="n"/>
      <c r="H22" s="15" t="n"/>
      <c r="I22" s="15" t="n"/>
      <c r="J22" s="15" t="n"/>
      <c r="K22" s="15" t="n"/>
      <c r="L22" s="15" t="n"/>
      <c r="M22" s="15" t="n"/>
    </row>
    <row r="23">
      <c r="A23" s="15" t="n"/>
      <c r="B23" s="15" t="n"/>
      <c r="C23" s="15" t="n"/>
      <c r="D23" s="15" t="n"/>
      <c r="E23" s="15" t="n"/>
      <c r="F23" s="15" t="n"/>
      <c r="G23" s="15" t="n"/>
      <c r="H23" s="15" t="n"/>
      <c r="I23" s="15" t="n"/>
      <c r="J23" s="15" t="n"/>
      <c r="K23" s="15" t="n"/>
      <c r="L23" s="15" t="n"/>
      <c r="M23" s="15" t="n"/>
    </row>
    <row r="24">
      <c r="A24" s="15" t="n"/>
      <c r="B24" s="15" t="n"/>
      <c r="C24" s="15" t="n"/>
      <c r="D24" s="15" t="n"/>
      <c r="E24" s="15" t="n"/>
      <c r="F24" s="15" t="n"/>
      <c r="G24" s="15" t="n"/>
      <c r="H24" s="15" t="n"/>
      <c r="I24" s="15" t="n"/>
      <c r="J24" s="15" t="n"/>
      <c r="K24" s="15" t="n"/>
      <c r="L24" s="15" t="n"/>
      <c r="M24" s="15" t="n"/>
    </row>
    <row r="25">
      <c r="A25" s="15" t="n"/>
      <c r="B25" s="15" t="n"/>
      <c r="C25" s="15" t="n"/>
      <c r="D25" s="15" t="n"/>
      <c r="E25" s="15" t="n"/>
      <c r="F25" s="15" t="n"/>
      <c r="G25" s="15" t="n"/>
      <c r="H25" s="15" t="n"/>
      <c r="I25" s="15" t="n"/>
      <c r="J25" s="15" t="n"/>
      <c r="K25" s="15" t="n"/>
      <c r="L25" s="15" t="n"/>
      <c r="M25" s="15" t="n"/>
    </row>
    <row r="26">
      <c r="A26" s="15" t="n"/>
      <c r="B26" s="15" t="n"/>
      <c r="C26" s="15" t="n"/>
      <c r="D26" s="15" t="n"/>
      <c r="E26" s="15" t="n"/>
      <c r="F26" s="15" t="n"/>
      <c r="G26" s="15" t="n"/>
      <c r="H26" s="15" t="n"/>
      <c r="I26" s="15" t="n"/>
      <c r="J26" s="15" t="n"/>
      <c r="K26" s="15" t="n"/>
      <c r="L26" s="15" t="n"/>
      <c r="M26" s="15" t="n"/>
    </row>
    <row r="27">
      <c r="A27" s="15" t="n"/>
      <c r="B27" s="15" t="n"/>
      <c r="C27" s="15" t="n"/>
      <c r="D27" s="15" t="n"/>
      <c r="E27" s="15" t="n"/>
      <c r="F27" s="15" t="n"/>
      <c r="G27" s="15" t="n"/>
      <c r="H27" s="15" t="n"/>
      <c r="I27" s="15" t="n"/>
      <c r="J27" s="15" t="n"/>
      <c r="K27" s="15" t="n"/>
      <c r="L27" s="15" t="n"/>
      <c r="M27" s="15" t="n"/>
    </row>
    <row r="28">
      <c r="A28" s="15" t="n"/>
      <c r="B28" s="15" t="n"/>
      <c r="C28" s="15" t="n"/>
      <c r="D28" s="15" t="n"/>
      <c r="E28" s="15" t="n"/>
      <c r="F28" s="15" t="n"/>
      <c r="G28" s="15" t="n"/>
      <c r="H28" s="15" t="n"/>
      <c r="I28" s="15" t="n"/>
      <c r="J28" s="15" t="n"/>
      <c r="K28" s="15" t="n"/>
      <c r="L28" s="15" t="n"/>
      <c r="M28" s="15" t="n"/>
    </row>
    <row r="29">
      <c r="A29" s="15" t="n"/>
      <c r="B29" s="15" t="n"/>
      <c r="C29" s="15" t="n"/>
      <c r="D29" s="15" t="n"/>
      <c r="E29" s="15" t="n"/>
      <c r="F29" s="15" t="n"/>
      <c r="G29" s="15" t="n"/>
      <c r="H29" s="15" t="n"/>
      <c r="I29" s="15" t="n"/>
      <c r="J29" s="15" t="n"/>
      <c r="K29" s="15" t="n"/>
      <c r="L29" s="15" t="n"/>
      <c r="M29" s="15" t="n"/>
    </row>
    <row r="30">
      <c r="A30" s="15" t="n"/>
      <c r="B30" s="15" t="n"/>
      <c r="C30" s="15" t="n"/>
      <c r="D30" s="15" t="n"/>
      <c r="E30" s="15" t="n"/>
      <c r="F30" s="15" t="n"/>
      <c r="G30" s="15" t="n"/>
      <c r="H30" s="15" t="n"/>
      <c r="I30" s="15" t="n"/>
      <c r="J30" s="15" t="n"/>
      <c r="K30" s="15" t="n"/>
      <c r="L30" s="15" t="n"/>
      <c r="M30" s="15" t="n"/>
    </row>
    <row r="31">
      <c r="A31" s="15" t="n"/>
      <c r="B31" s="15" t="n"/>
      <c r="C31" s="15" t="n"/>
      <c r="D31" s="15" t="n"/>
      <c r="E31" s="15" t="n"/>
      <c r="F31" s="15" t="n"/>
      <c r="G31" s="15" t="n"/>
      <c r="H31" s="15" t="n"/>
      <c r="I31" s="15" t="n"/>
      <c r="J31" s="15" t="n"/>
      <c r="K31" s="15" t="n"/>
      <c r="L31" s="15" t="n"/>
      <c r="M31" s="15" t="n"/>
    </row>
    <row r="32">
      <c r="A32" s="15" t="n"/>
      <c r="B32" s="15" t="n"/>
      <c r="C32" s="15" t="n"/>
      <c r="D32" s="15" t="n"/>
      <c r="E32" s="15" t="n"/>
      <c r="F32" s="15" t="n"/>
      <c r="G32" s="15" t="n"/>
      <c r="H32" s="15" t="n"/>
      <c r="I32" s="15" t="n"/>
      <c r="J32" s="15" t="n"/>
      <c r="K32" s="15" t="n"/>
      <c r="L32" s="15" t="n"/>
      <c r="M32" s="15" t="n"/>
    </row>
    <row r="33">
      <c r="A33" s="15" t="n"/>
      <c r="B33" s="15" t="n"/>
      <c r="C33" s="15" t="n"/>
      <c r="D33" s="15" t="n"/>
      <c r="E33" s="15" t="n"/>
      <c r="F33" s="15" t="n"/>
      <c r="G33" s="15" t="n"/>
      <c r="H33" s="15" t="n"/>
      <c r="I33" s="15" t="n"/>
      <c r="J33" s="15" t="n"/>
      <c r="K33" s="15" t="n"/>
      <c r="L33" s="15" t="n"/>
      <c r="M33" s="15" t="n"/>
    </row>
    <row r="34">
      <c r="A34" s="15" t="n"/>
      <c r="B34" s="15" t="n"/>
      <c r="C34" s="15" t="n"/>
      <c r="D34" s="15" t="n"/>
      <c r="E34" s="15" t="n"/>
      <c r="F34" s="15" t="n"/>
      <c r="G34" s="15" t="n"/>
      <c r="H34" s="15" t="n"/>
      <c r="I34" s="15" t="n"/>
      <c r="J34" s="15" t="n"/>
      <c r="K34" s="15" t="n"/>
      <c r="L34" s="15" t="n"/>
      <c r="M34" s="15" t="n"/>
    </row>
    <row r="35">
      <c r="A35" s="15" t="n"/>
      <c r="B35" s="15" t="n"/>
      <c r="C35" s="15" t="n"/>
      <c r="D35" s="15" t="n"/>
      <c r="E35" s="15" t="n"/>
      <c r="F35" s="15" t="n"/>
      <c r="G35" s="15" t="n"/>
      <c r="H35" s="15" t="n"/>
      <c r="I35" s="15" t="n"/>
      <c r="J35" s="15" t="n"/>
      <c r="K35" s="15" t="n"/>
      <c r="L35" s="15" t="n"/>
      <c r="M35" s="15" t="n"/>
    </row>
    <row r="36">
      <c r="A36" s="15" t="n"/>
      <c r="B36" s="15" t="n"/>
      <c r="C36" s="15" t="n"/>
      <c r="D36" s="15" t="n"/>
      <c r="E36" s="15" t="n"/>
      <c r="F36" s="15" t="n"/>
      <c r="G36" s="15" t="n"/>
      <c r="H36" s="15" t="n"/>
      <c r="I36" s="15" t="n"/>
      <c r="J36" s="15" t="n"/>
      <c r="K36" s="15" t="n"/>
      <c r="L36" s="15" t="n"/>
      <c r="M36" s="15" t="n"/>
    </row>
    <row r="37">
      <c r="A37" s="15" t="n"/>
      <c r="B37" s="15" t="n"/>
      <c r="C37" s="15" t="n"/>
      <c r="D37" s="15" t="n"/>
      <c r="E37" s="15" t="n"/>
      <c r="F37" s="15" t="n"/>
      <c r="G37" s="15" t="n"/>
      <c r="H37" s="15" t="n"/>
      <c r="I37" s="15" t="n"/>
      <c r="J37" s="15" t="n"/>
      <c r="K37" s="15" t="n"/>
      <c r="L37" s="15" t="n"/>
      <c r="M37" s="15" t="n"/>
    </row>
    <row r="38">
      <c r="A38" s="15" t="n"/>
      <c r="B38" s="15" t="n"/>
      <c r="C38" s="15" t="n"/>
      <c r="D38" s="15" t="n"/>
      <c r="E38" s="15" t="n"/>
      <c r="F38" s="15" t="n"/>
      <c r="G38" s="15" t="n"/>
      <c r="H38" s="15" t="n"/>
      <c r="I38" s="15" t="n"/>
      <c r="J38" s="15" t="n"/>
      <c r="K38" s="15" t="n"/>
      <c r="L38" s="15" t="n"/>
      <c r="M38" s="15" t="n"/>
    </row>
    <row r="39">
      <c r="A39" s="15" t="n"/>
      <c r="B39" s="15" t="n"/>
      <c r="C39" s="15" t="n"/>
      <c r="D39" s="15" t="n"/>
      <c r="E39" s="15" t="n"/>
      <c r="F39" s="15" t="n"/>
      <c r="G39" s="15" t="n"/>
      <c r="H39" s="15" t="n"/>
      <c r="I39" s="15" t="n"/>
      <c r="J39" s="15" t="n"/>
      <c r="K39" s="15" t="n"/>
      <c r="L39" s="15" t="n"/>
      <c r="M39" s="15" t="n"/>
    </row>
    <row r="40">
      <c r="A40" s="15" t="n"/>
      <c r="B40" s="15" t="n"/>
      <c r="C40" s="15" t="n"/>
      <c r="D40" s="15" t="n"/>
      <c r="E40" s="15" t="n"/>
      <c r="F40" s="15" t="n"/>
      <c r="G40" s="15" t="n"/>
      <c r="H40" s="15" t="n"/>
      <c r="I40" s="15" t="n"/>
      <c r="J40" s="15" t="n"/>
      <c r="K40" s="15" t="n"/>
      <c r="L40" s="15" t="n"/>
      <c r="M40" s="15" t="n"/>
    </row>
    <row r="41">
      <c r="A41" s="15" t="n"/>
      <c r="B41" s="15" t="n"/>
      <c r="C41" s="15" t="n"/>
      <c r="D41" s="15" t="n"/>
      <c r="E41" s="15" t="n"/>
      <c r="F41" s="15" t="n"/>
      <c r="G41" s="15" t="n"/>
      <c r="H41" s="15" t="n"/>
      <c r="I41" s="15" t="n"/>
      <c r="J41" s="15" t="n"/>
      <c r="K41" s="15" t="n"/>
      <c r="L41" s="15" t="n"/>
      <c r="M41" s="15" t="n"/>
    </row>
    <row r="42">
      <c r="A42" s="15" t="n"/>
      <c r="B42" s="15" t="n"/>
      <c r="C42" s="15" t="n"/>
      <c r="D42" s="15" t="n"/>
      <c r="E42" s="15" t="n"/>
      <c r="F42" s="15" t="n"/>
      <c r="G42" s="15" t="n"/>
      <c r="H42" s="15" t="n"/>
      <c r="I42" s="15" t="n"/>
      <c r="J42" s="15" t="n"/>
      <c r="K42" s="15" t="n"/>
      <c r="L42" s="15" t="n"/>
      <c r="M42" s="15" t="n"/>
    </row>
    <row r="43">
      <c r="A43" s="15" t="n"/>
      <c r="B43" s="15" t="n"/>
      <c r="C43" s="15" t="n"/>
      <c r="D43" s="15" t="n"/>
      <c r="E43" s="15" t="n"/>
      <c r="F43" s="15" t="n"/>
      <c r="G43" s="15" t="n"/>
      <c r="H43" s="15" t="n"/>
      <c r="I43" s="15" t="n"/>
      <c r="J43" s="15" t="n"/>
      <c r="K43" s="15" t="n"/>
      <c r="L43" s="15" t="n"/>
      <c r="M43" s="15" t="n"/>
    </row>
    <row r="44">
      <c r="A44" s="15" t="n"/>
      <c r="B44" s="15" t="n"/>
      <c r="C44" s="15" t="n"/>
      <c r="D44" s="15" t="n"/>
      <c r="E44" s="15" t="n"/>
      <c r="F44" s="15" t="n"/>
      <c r="G44" s="15" t="n"/>
      <c r="H44" s="15" t="n"/>
      <c r="I44" s="15" t="n"/>
      <c r="J44" s="15" t="n"/>
      <c r="K44" s="15" t="n"/>
      <c r="L44" s="15" t="n"/>
      <c r="M44" s="15" t="n"/>
    </row>
    <row r="45">
      <c r="A45" s="15" t="n"/>
      <c r="B45" s="15" t="n"/>
      <c r="C45" s="15" t="n"/>
      <c r="D45" s="15" t="n"/>
      <c r="E45" s="15" t="n"/>
      <c r="F45" s="15" t="n"/>
      <c r="G45" s="15" t="n"/>
      <c r="H45" s="15" t="n"/>
      <c r="I45" s="15" t="n"/>
      <c r="J45" s="15" t="n"/>
      <c r="K45" s="15" t="n"/>
      <c r="L45" s="15" t="n"/>
      <c r="M45" s="15" t="n"/>
    </row>
    <row r="46">
      <c r="A46" s="15" t="n"/>
      <c r="B46" s="15" t="n"/>
      <c r="C46" s="15" t="n"/>
      <c r="D46" s="15" t="n"/>
      <c r="E46" s="15" t="n"/>
      <c r="F46" s="15" t="n"/>
      <c r="G46" s="15" t="n"/>
      <c r="H46" s="15" t="n"/>
      <c r="I46" s="15" t="n"/>
      <c r="J46" s="15" t="n"/>
      <c r="K46" s="15" t="n"/>
      <c r="L46" s="15" t="n"/>
      <c r="M46" s="15" t="n"/>
    </row>
    <row r="47">
      <c r="A47" s="15" t="n"/>
      <c r="B47" s="15" t="n"/>
      <c r="C47" s="15" t="n"/>
      <c r="D47" s="15" t="n"/>
      <c r="E47" s="15" t="n"/>
      <c r="F47" s="15" t="n"/>
      <c r="G47" s="15" t="n"/>
      <c r="H47" s="15" t="n"/>
      <c r="I47" s="15" t="n"/>
      <c r="J47" s="15" t="n"/>
      <c r="K47" s="15" t="n"/>
      <c r="L47" s="15" t="n"/>
      <c r="M47" s="15" t="n"/>
    </row>
    <row r="48">
      <c r="A48" s="15" t="n"/>
      <c r="B48" s="15" t="n"/>
      <c r="C48" s="15" t="n"/>
      <c r="D48" s="15" t="n"/>
      <c r="E48" s="15" t="n"/>
      <c r="F48" s="15" t="n"/>
      <c r="G48" s="15" t="n"/>
      <c r="H48" s="15" t="n"/>
      <c r="I48" s="15" t="n"/>
      <c r="J48" s="15" t="n"/>
      <c r="K48" s="15" t="n"/>
      <c r="L48" s="15" t="n"/>
      <c r="M48" s="15" t="n"/>
    </row>
    <row r="49">
      <c r="A49" s="15" t="n"/>
      <c r="B49" s="15" t="n"/>
      <c r="C49" s="15" t="n"/>
      <c r="D49" s="15" t="n"/>
      <c r="E49" s="15" t="n"/>
      <c r="F49" s="15" t="n"/>
      <c r="G49" s="15" t="n"/>
      <c r="H49" s="15" t="n"/>
      <c r="I49" s="15" t="n"/>
      <c r="J49" s="15" t="n"/>
      <c r="K49" s="15" t="n"/>
      <c r="L49" s="15" t="n"/>
      <c r="M49" s="15" t="n"/>
    </row>
    <row r="50">
      <c r="A50" s="15" t="n"/>
      <c r="B50" s="15" t="n"/>
      <c r="C50" s="15" t="n"/>
      <c r="D50" s="15" t="n"/>
      <c r="E50" s="15" t="n"/>
      <c r="F50" s="15" t="n"/>
      <c r="G50" s="15" t="n"/>
      <c r="H50" s="15" t="n"/>
      <c r="I50" s="15" t="n"/>
      <c r="J50" s="15" t="n"/>
      <c r="K50" s="15" t="n"/>
      <c r="L50" s="15" t="n"/>
      <c r="M50" s="15" t="n"/>
    </row>
    <row r="51">
      <c r="A51" s="15" t="n"/>
      <c r="B51" s="15" t="n"/>
      <c r="C51" s="15" t="n"/>
      <c r="D51" s="15" t="n"/>
      <c r="E51" s="15" t="n"/>
      <c r="F51" s="15" t="n"/>
      <c r="G51" s="15" t="n"/>
      <c r="H51" s="15" t="n"/>
      <c r="I51" s="15" t="n"/>
      <c r="J51" s="15" t="n"/>
      <c r="K51" s="15" t="n"/>
      <c r="L51" s="15" t="n"/>
      <c r="M51" s="15" t="n"/>
    </row>
    <row r="52">
      <c r="A52" s="15" t="n"/>
      <c r="B52" s="15" t="n"/>
      <c r="C52" s="15" t="n"/>
      <c r="D52" s="15" t="n"/>
      <c r="E52" s="15" t="n"/>
      <c r="F52" s="15" t="n"/>
      <c r="G52" s="15" t="n"/>
      <c r="H52" s="15" t="n"/>
      <c r="I52" s="15" t="n"/>
      <c r="J52" s="15" t="n"/>
      <c r="K52" s="15" t="n"/>
      <c r="L52" s="15" t="n"/>
      <c r="M52" s="15" t="n"/>
    </row>
    <row r="53">
      <c r="A53" s="15" t="n"/>
      <c r="B53" s="15" t="n"/>
      <c r="C53" s="15" t="n"/>
      <c r="D53" s="15" t="n"/>
      <c r="E53" s="15" t="n"/>
      <c r="F53" s="15" t="n"/>
      <c r="G53" s="15" t="n"/>
      <c r="H53" s="15" t="n"/>
      <c r="I53" s="15" t="n"/>
      <c r="J53" s="15" t="n"/>
      <c r="K53" s="15" t="n"/>
      <c r="L53" s="15" t="n"/>
      <c r="M53" s="15" t="n"/>
    </row>
    <row r="54">
      <c r="A54" s="15" t="n"/>
      <c r="B54" s="15" t="n"/>
      <c r="C54" s="15" t="n"/>
      <c r="D54" s="15" t="n"/>
      <c r="E54" s="15" t="n"/>
      <c r="F54" s="15" t="n"/>
      <c r="G54" s="15" t="n"/>
      <c r="H54" s="15" t="n"/>
      <c r="I54" s="15" t="n"/>
      <c r="J54" s="15" t="n"/>
      <c r="K54" s="15" t="n"/>
      <c r="L54" s="15" t="n"/>
      <c r="M54" s="15" t="n"/>
    </row>
  </sheetData>
  <mergeCells count="2">
    <mergeCell ref="A2:M2"/>
    <mergeCell ref="A1:M1"/>
  </mergeCells>
  <dataValidations count="2">
    <dataValidation sqref="C5:C500 D5:D500 F5:F500 G5:G500 H5:H500 J5:J500 K5:K500" showDropDown="0" showInputMessage="0" showErrorMessage="0" allowBlank="0" type="list">
      <formula1>"✅ Yes,❌ No,⚠️ Partial,➖ N/A"</formula1>
    </dataValidation>
    <dataValidation sqref="M5:M500" showDropDown="0" showInputMessage="0" showErrorMessage="0" allowBlank="0" type="list">
      <formula1>"✅ Compliant,⚠️ Partial,❌ Non-Compliant"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22" customWidth="1" min="3" max="3"/>
    <col width="25" customWidth="1" min="4" max="4"/>
    <col width="20" customWidth="1" min="5" max="5"/>
    <col width="25" customWidth="1" min="6" max="6"/>
    <col width="25" customWidth="1" min="7" max="7"/>
    <col width="20" customWidth="1" min="8" max="8"/>
  </cols>
  <sheetData>
    <row r="1" ht="35" customHeight="1">
      <c r="A1" s="11" t="inlineStr">
        <is>
          <t>PULL REQUEST CONFIGURATION</t>
        </is>
      </c>
    </row>
    <row r="2">
      <c r="A2" s="12" t="inlineStr">
        <is>
          <t>Assess pull request workflow configuration</t>
        </is>
      </c>
    </row>
    <row r="3">
      <c r="A3" s="13" t="inlineStr">
        <is>
          <t>Repository Name</t>
        </is>
      </c>
      <c r="B3" s="13" t="inlineStr">
        <is>
          <t>Minimum Reviewers</t>
        </is>
      </c>
      <c r="C3" s="13" t="inlineStr">
        <is>
          <t>Code Owner Review</t>
        </is>
      </c>
      <c r="D3" s="13" t="inlineStr">
        <is>
          <t>Dismiss Stale Approvals</t>
        </is>
      </c>
      <c r="E3" s="13" t="inlineStr">
        <is>
          <t>Restrict Dismiss</t>
        </is>
      </c>
      <c r="F3" s="13" t="inlineStr">
        <is>
          <t>Conversation Resolution</t>
        </is>
      </c>
      <c r="G3" s="13" t="inlineStr">
        <is>
          <t>Self-Approval Blocked</t>
        </is>
      </c>
      <c r="H3" s="13" t="inlineStr">
        <is>
          <t>Compliance Status</t>
        </is>
      </c>
    </row>
    <row r="4">
      <c r="A4" s="14" t="inlineStr">
        <is>
          <t>[Example: customer-portal]</t>
        </is>
      </c>
      <c r="B4" s="14" t="inlineStr">
        <is>
          <t>2</t>
        </is>
      </c>
      <c r="C4" s="14" t="inlineStr">
        <is>
          <t>✅ Required</t>
        </is>
      </c>
      <c r="D4" s="14" t="inlineStr">
        <is>
          <t>✅ Yes</t>
        </is>
      </c>
      <c r="E4" s="14" t="inlineStr">
        <is>
          <t>✅ Yes</t>
        </is>
      </c>
      <c r="F4" s="14" t="inlineStr">
        <is>
          <t>✅ Yes</t>
        </is>
      </c>
      <c r="G4" s="14" t="inlineStr">
        <is>
          <t>✅ Yes</t>
        </is>
      </c>
      <c r="H4" s="14" t="inlineStr">
        <is>
          <t>✅ Compliant</t>
        </is>
      </c>
    </row>
    <row r="5">
      <c r="A5" s="15" t="n"/>
      <c r="B5" s="15" t="n"/>
      <c r="C5" s="15" t="n"/>
      <c r="D5" s="15" t="n"/>
      <c r="E5" s="15" t="n"/>
      <c r="F5" s="15" t="n"/>
      <c r="G5" s="15" t="n"/>
      <c r="H5" s="15"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sheetData>
  <mergeCells count="2">
    <mergeCell ref="A2:H2"/>
    <mergeCell ref="A1:H1"/>
  </mergeCells>
  <dataValidations count="3">
    <dataValidation sqref="D5:D500 E5:E500 F5:F500 G5:G500" showDropDown="0" showInputMessage="0" showErrorMessage="0" allowBlank="0" type="list">
      <formula1>"✅ Yes,❌ No,⚠️ Partial,➖ N/A"</formula1>
    </dataValidation>
    <dataValidation sqref="H5:H500" showDropDown="0" showInputMessage="0" showErrorMessage="0" allowBlank="0" type="list">
      <formula1>"✅ Compliant,⚠️ Partial,❌ Non-Compliant"</formula1>
    </dataValidation>
    <dataValidation sqref="C5:C500" showDropDown="0" showInputMessage="0" showErrorMessage="0" allowBlank="0" type="list">
      <formula1>"✅ Required,⚠ Optional,❌ 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30" customWidth="1" min="1" max="1"/>
    <col width="23" customWidth="1" min="2" max="2"/>
    <col width="18" customWidth="1" min="3" max="3"/>
    <col width="18" customWidth="1" min="4" max="4"/>
    <col width="18" customWidth="1" min="5" max="5"/>
    <col width="18" customWidth="1" min="6" max="6"/>
    <col width="22" customWidth="1" min="7" max="7"/>
    <col width="25" customWidth="1" min="8" max="8"/>
    <col width="20" customWidth="1" min="9" max="9"/>
  </cols>
  <sheetData>
    <row r="1" ht="35" customHeight="1">
      <c r="A1" s="11" t="inlineStr">
        <is>
          <t>STATUS CHECK VERIFICATION</t>
        </is>
      </c>
    </row>
    <row r="2">
      <c r="A2" s="12" t="inlineStr">
        <is>
          <t>Document CI/CD status checks</t>
        </is>
      </c>
    </row>
    <row r="3">
      <c r="A3" s="13" t="inlineStr">
        <is>
          <t>Repository Name</t>
        </is>
      </c>
      <c r="B3" s="13" t="inlineStr">
        <is>
          <t>Status Checks Configured</t>
        </is>
      </c>
      <c r="C3" s="13" t="inlineStr">
        <is>
          <t>Build Check</t>
        </is>
      </c>
      <c r="D3" s="13" t="inlineStr">
        <is>
          <t>Test Check</t>
        </is>
      </c>
      <c r="E3" s="13" t="inlineStr">
        <is>
          <t>Lint Check</t>
        </is>
      </c>
      <c r="F3" s="13" t="inlineStr">
        <is>
          <t>Security Check</t>
        </is>
      </c>
      <c r="G3" s="13" t="inlineStr">
        <is>
          <t>All Checks Must Pass</t>
        </is>
      </c>
      <c r="H3" s="13" t="inlineStr">
        <is>
          <t>Up-to-Date Before Merge</t>
        </is>
      </c>
      <c r="I3" s="13" t="inlineStr">
        <is>
          <t>Compliance Status</t>
        </is>
      </c>
    </row>
    <row r="4">
      <c r="A4" s="14" t="inlineStr">
        <is>
          <t>[Example: customer-portal]</t>
        </is>
      </c>
      <c r="B4" s="14" t="inlineStr">
        <is>
          <t>✅ Yes</t>
        </is>
      </c>
      <c r="C4" s="14" t="inlineStr">
        <is>
          <t>✅ Configured</t>
        </is>
      </c>
      <c r="D4" s="14" t="inlineStr">
        <is>
          <t>✅ Configured</t>
        </is>
      </c>
      <c r="E4" s="14" t="inlineStr">
        <is>
          <t>✅ Configured</t>
        </is>
      </c>
      <c r="F4" s="14" t="inlineStr">
        <is>
          <t>✅ Configured</t>
        </is>
      </c>
      <c r="G4" s="14" t="inlineStr">
        <is>
          <t>✅ Yes</t>
        </is>
      </c>
      <c r="H4" s="14" t="inlineStr">
        <is>
          <t>✅ Yes</t>
        </is>
      </c>
      <c r="I4" s="14" t="inlineStr">
        <is>
          <t>✅ Compliant</t>
        </is>
      </c>
    </row>
    <row r="5">
      <c r="A5" s="15" t="n"/>
      <c r="B5" s="15" t="n"/>
      <c r="C5" s="15" t="n"/>
      <c r="D5" s="15" t="n"/>
      <c r="E5" s="15" t="n"/>
      <c r="F5" s="15" t="n"/>
      <c r="G5" s="15" t="n"/>
      <c r="H5" s="15" t="n"/>
      <c r="I5" s="15" t="n"/>
    </row>
    <row r="6">
      <c r="A6" s="15" t="n"/>
      <c r="B6" s="15" t="n"/>
      <c r="C6" s="15" t="n"/>
      <c r="D6" s="15" t="n"/>
      <c r="E6" s="15" t="n"/>
      <c r="F6" s="15" t="n"/>
      <c r="G6" s="15" t="n"/>
      <c r="H6" s="15" t="n"/>
      <c r="I6" s="15" t="n"/>
    </row>
    <row r="7">
      <c r="A7" s="15" t="n"/>
      <c r="B7" s="15" t="n"/>
      <c r="C7" s="15" t="n"/>
      <c r="D7" s="15" t="n"/>
      <c r="E7" s="15" t="n"/>
      <c r="F7" s="15" t="n"/>
      <c r="G7" s="15" t="n"/>
      <c r="H7" s="15" t="n"/>
      <c r="I7" s="15" t="n"/>
    </row>
    <row r="8">
      <c r="A8" s="15" t="n"/>
      <c r="B8" s="15" t="n"/>
      <c r="C8" s="15" t="n"/>
      <c r="D8" s="15" t="n"/>
      <c r="E8" s="15" t="n"/>
      <c r="F8" s="15" t="n"/>
      <c r="G8" s="15" t="n"/>
      <c r="H8" s="15" t="n"/>
      <c r="I8" s="15" t="n"/>
    </row>
    <row r="9">
      <c r="A9" s="15" t="n"/>
      <c r="B9" s="15" t="n"/>
      <c r="C9" s="15" t="n"/>
      <c r="D9" s="15" t="n"/>
      <c r="E9" s="15" t="n"/>
      <c r="F9" s="15" t="n"/>
      <c r="G9" s="15" t="n"/>
      <c r="H9" s="15" t="n"/>
      <c r="I9" s="15" t="n"/>
    </row>
    <row r="10">
      <c r="A10" s="15" t="n"/>
      <c r="B10" s="15" t="n"/>
      <c r="C10" s="15" t="n"/>
      <c r="D10" s="15" t="n"/>
      <c r="E10" s="15" t="n"/>
      <c r="F10" s="15" t="n"/>
      <c r="G10" s="15" t="n"/>
      <c r="H10" s="15" t="n"/>
      <c r="I10" s="15" t="n"/>
    </row>
    <row r="11">
      <c r="A11" s="15" t="n"/>
      <c r="B11" s="15" t="n"/>
      <c r="C11" s="15" t="n"/>
      <c r="D11" s="15" t="n"/>
      <c r="E11" s="15" t="n"/>
      <c r="F11" s="15" t="n"/>
      <c r="G11" s="15" t="n"/>
      <c r="H11" s="15" t="n"/>
      <c r="I11" s="15" t="n"/>
    </row>
    <row r="12">
      <c r="A12" s="15" t="n"/>
      <c r="B12" s="15" t="n"/>
      <c r="C12" s="15" t="n"/>
      <c r="D12" s="15" t="n"/>
      <c r="E12" s="15" t="n"/>
      <c r="F12" s="15" t="n"/>
      <c r="G12" s="15" t="n"/>
      <c r="H12" s="15" t="n"/>
      <c r="I12" s="15" t="n"/>
    </row>
    <row r="13">
      <c r="A13" s="15" t="n"/>
      <c r="B13" s="15" t="n"/>
      <c r="C13" s="15" t="n"/>
      <c r="D13" s="15" t="n"/>
      <c r="E13" s="15" t="n"/>
      <c r="F13" s="15" t="n"/>
      <c r="G13" s="15" t="n"/>
      <c r="H13" s="15" t="n"/>
      <c r="I13" s="15" t="n"/>
    </row>
    <row r="14">
      <c r="A14" s="15" t="n"/>
      <c r="B14" s="15" t="n"/>
      <c r="C14" s="15" t="n"/>
      <c r="D14" s="15" t="n"/>
      <c r="E14" s="15" t="n"/>
      <c r="F14" s="15" t="n"/>
      <c r="G14" s="15" t="n"/>
      <c r="H14" s="15" t="n"/>
      <c r="I14" s="15" t="n"/>
    </row>
    <row r="15">
      <c r="A15" s="15" t="n"/>
      <c r="B15" s="15" t="n"/>
      <c r="C15" s="15" t="n"/>
      <c r="D15" s="15" t="n"/>
      <c r="E15" s="15" t="n"/>
      <c r="F15" s="15" t="n"/>
      <c r="G15" s="15" t="n"/>
      <c r="H15" s="15" t="n"/>
      <c r="I15" s="15" t="n"/>
    </row>
    <row r="16">
      <c r="A16" s="15" t="n"/>
      <c r="B16" s="15" t="n"/>
      <c r="C16" s="15" t="n"/>
      <c r="D16" s="15" t="n"/>
      <c r="E16" s="15" t="n"/>
      <c r="F16" s="15" t="n"/>
      <c r="G16" s="15" t="n"/>
      <c r="H16" s="15" t="n"/>
      <c r="I16" s="15" t="n"/>
    </row>
    <row r="17">
      <c r="A17" s="15" t="n"/>
      <c r="B17" s="15" t="n"/>
      <c r="C17" s="15" t="n"/>
      <c r="D17" s="15" t="n"/>
      <c r="E17" s="15" t="n"/>
      <c r="F17" s="15" t="n"/>
      <c r="G17" s="15" t="n"/>
      <c r="H17" s="15" t="n"/>
      <c r="I17" s="15" t="n"/>
    </row>
    <row r="18">
      <c r="A18" s="15" t="n"/>
      <c r="B18" s="15" t="n"/>
      <c r="C18" s="15" t="n"/>
      <c r="D18" s="15" t="n"/>
      <c r="E18" s="15" t="n"/>
      <c r="F18" s="15" t="n"/>
      <c r="G18" s="15" t="n"/>
      <c r="H18" s="15" t="n"/>
      <c r="I18" s="15" t="n"/>
    </row>
    <row r="19">
      <c r="A19" s="15" t="n"/>
      <c r="B19" s="15" t="n"/>
      <c r="C19" s="15" t="n"/>
      <c r="D19" s="15" t="n"/>
      <c r="E19" s="15" t="n"/>
      <c r="F19" s="15" t="n"/>
      <c r="G19" s="15" t="n"/>
      <c r="H19" s="15" t="n"/>
      <c r="I19" s="15" t="n"/>
    </row>
    <row r="20">
      <c r="A20" s="15" t="n"/>
      <c r="B20" s="15" t="n"/>
      <c r="C20" s="15" t="n"/>
      <c r="D20" s="15" t="n"/>
      <c r="E20" s="15" t="n"/>
      <c r="F20" s="15" t="n"/>
      <c r="G20" s="15" t="n"/>
      <c r="H20" s="15" t="n"/>
      <c r="I20" s="15" t="n"/>
    </row>
    <row r="21">
      <c r="A21" s="15" t="n"/>
      <c r="B21" s="15" t="n"/>
      <c r="C21" s="15" t="n"/>
      <c r="D21" s="15" t="n"/>
      <c r="E21" s="15" t="n"/>
      <c r="F21" s="15" t="n"/>
      <c r="G21" s="15" t="n"/>
      <c r="H21" s="15" t="n"/>
      <c r="I21" s="15" t="n"/>
    </row>
    <row r="22">
      <c r="A22" s="15" t="n"/>
      <c r="B22" s="15" t="n"/>
      <c r="C22" s="15" t="n"/>
      <c r="D22" s="15" t="n"/>
      <c r="E22" s="15" t="n"/>
      <c r="F22" s="15" t="n"/>
      <c r="G22" s="15" t="n"/>
      <c r="H22" s="15" t="n"/>
      <c r="I22" s="15" t="n"/>
    </row>
    <row r="23">
      <c r="A23" s="15" t="n"/>
      <c r="B23" s="15" t="n"/>
      <c r="C23" s="15" t="n"/>
      <c r="D23" s="15" t="n"/>
      <c r="E23" s="15" t="n"/>
      <c r="F23" s="15" t="n"/>
      <c r="G23" s="15" t="n"/>
      <c r="H23" s="15" t="n"/>
      <c r="I23" s="15" t="n"/>
    </row>
    <row r="24">
      <c r="A24" s="15" t="n"/>
      <c r="B24" s="15" t="n"/>
      <c r="C24" s="15" t="n"/>
      <c r="D24" s="15" t="n"/>
      <c r="E24" s="15" t="n"/>
      <c r="F24" s="15" t="n"/>
      <c r="G24" s="15" t="n"/>
      <c r="H24" s="15" t="n"/>
      <c r="I24" s="15" t="n"/>
    </row>
    <row r="25">
      <c r="A25" s="15" t="n"/>
      <c r="B25" s="15" t="n"/>
      <c r="C25" s="15" t="n"/>
      <c r="D25" s="15" t="n"/>
      <c r="E25" s="15" t="n"/>
      <c r="F25" s="15" t="n"/>
      <c r="G25" s="15" t="n"/>
      <c r="H25" s="15" t="n"/>
      <c r="I25" s="15" t="n"/>
    </row>
    <row r="26">
      <c r="A26" s="15" t="n"/>
      <c r="B26" s="15" t="n"/>
      <c r="C26" s="15" t="n"/>
      <c r="D26" s="15" t="n"/>
      <c r="E26" s="15" t="n"/>
      <c r="F26" s="15" t="n"/>
      <c r="G26" s="15" t="n"/>
      <c r="H26" s="15" t="n"/>
      <c r="I26" s="15" t="n"/>
    </row>
    <row r="27">
      <c r="A27" s="15" t="n"/>
      <c r="B27" s="15" t="n"/>
      <c r="C27" s="15" t="n"/>
      <c r="D27" s="15" t="n"/>
      <c r="E27" s="15" t="n"/>
      <c r="F27" s="15" t="n"/>
      <c r="G27" s="15" t="n"/>
      <c r="H27" s="15" t="n"/>
      <c r="I27" s="15" t="n"/>
    </row>
    <row r="28">
      <c r="A28" s="15" t="n"/>
      <c r="B28" s="15" t="n"/>
      <c r="C28" s="15" t="n"/>
      <c r="D28" s="15" t="n"/>
      <c r="E28" s="15" t="n"/>
      <c r="F28" s="15" t="n"/>
      <c r="G28" s="15" t="n"/>
      <c r="H28" s="15" t="n"/>
      <c r="I28" s="15" t="n"/>
    </row>
    <row r="29">
      <c r="A29" s="15" t="n"/>
      <c r="B29" s="15" t="n"/>
      <c r="C29" s="15" t="n"/>
      <c r="D29" s="15" t="n"/>
      <c r="E29" s="15" t="n"/>
      <c r="F29" s="15" t="n"/>
      <c r="G29" s="15" t="n"/>
      <c r="H29" s="15" t="n"/>
      <c r="I29" s="15" t="n"/>
    </row>
    <row r="30">
      <c r="A30" s="15" t="n"/>
      <c r="B30" s="15" t="n"/>
      <c r="C30" s="15" t="n"/>
      <c r="D30" s="15" t="n"/>
      <c r="E30" s="15" t="n"/>
      <c r="F30" s="15" t="n"/>
      <c r="G30" s="15" t="n"/>
      <c r="H30" s="15" t="n"/>
      <c r="I30" s="15" t="n"/>
    </row>
    <row r="31">
      <c r="A31" s="15" t="n"/>
      <c r="B31" s="15" t="n"/>
      <c r="C31" s="15" t="n"/>
      <c r="D31" s="15" t="n"/>
      <c r="E31" s="15" t="n"/>
      <c r="F31" s="15" t="n"/>
      <c r="G31" s="15" t="n"/>
      <c r="H31" s="15" t="n"/>
      <c r="I31" s="15" t="n"/>
    </row>
    <row r="32">
      <c r="A32" s="15" t="n"/>
      <c r="B32" s="15" t="n"/>
      <c r="C32" s="15" t="n"/>
      <c r="D32" s="15" t="n"/>
      <c r="E32" s="15" t="n"/>
      <c r="F32" s="15" t="n"/>
      <c r="G32" s="15" t="n"/>
      <c r="H32" s="15" t="n"/>
      <c r="I32" s="15" t="n"/>
    </row>
    <row r="33">
      <c r="A33" s="15" t="n"/>
      <c r="B33" s="15" t="n"/>
      <c r="C33" s="15" t="n"/>
      <c r="D33" s="15" t="n"/>
      <c r="E33" s="15" t="n"/>
      <c r="F33" s="15" t="n"/>
      <c r="G33" s="15" t="n"/>
      <c r="H33" s="15" t="n"/>
      <c r="I33" s="15" t="n"/>
    </row>
    <row r="34">
      <c r="A34" s="15" t="n"/>
      <c r="B34" s="15" t="n"/>
      <c r="C34" s="15" t="n"/>
      <c r="D34" s="15" t="n"/>
      <c r="E34" s="15" t="n"/>
      <c r="F34" s="15" t="n"/>
      <c r="G34" s="15" t="n"/>
      <c r="H34" s="15" t="n"/>
      <c r="I34" s="15" t="n"/>
    </row>
    <row r="35">
      <c r="A35" s="15" t="n"/>
      <c r="B35" s="15" t="n"/>
      <c r="C35" s="15" t="n"/>
      <c r="D35" s="15" t="n"/>
      <c r="E35" s="15" t="n"/>
      <c r="F35" s="15" t="n"/>
      <c r="G35" s="15" t="n"/>
      <c r="H35" s="15" t="n"/>
      <c r="I35" s="15" t="n"/>
    </row>
    <row r="36">
      <c r="A36" s="15" t="n"/>
      <c r="B36" s="15" t="n"/>
      <c r="C36" s="15" t="n"/>
      <c r="D36" s="15" t="n"/>
      <c r="E36" s="15" t="n"/>
      <c r="F36" s="15" t="n"/>
      <c r="G36" s="15" t="n"/>
      <c r="H36" s="15" t="n"/>
      <c r="I36" s="15" t="n"/>
    </row>
    <row r="37">
      <c r="A37" s="15" t="n"/>
      <c r="B37" s="15" t="n"/>
      <c r="C37" s="15" t="n"/>
      <c r="D37" s="15" t="n"/>
      <c r="E37" s="15" t="n"/>
      <c r="F37" s="15" t="n"/>
      <c r="G37" s="15" t="n"/>
      <c r="H37" s="15" t="n"/>
      <c r="I37" s="15" t="n"/>
    </row>
    <row r="38">
      <c r="A38" s="15" t="n"/>
      <c r="B38" s="15" t="n"/>
      <c r="C38" s="15" t="n"/>
      <c r="D38" s="15" t="n"/>
      <c r="E38" s="15" t="n"/>
      <c r="F38" s="15" t="n"/>
      <c r="G38" s="15" t="n"/>
      <c r="H38" s="15" t="n"/>
      <c r="I38" s="15" t="n"/>
    </row>
    <row r="39">
      <c r="A39" s="15" t="n"/>
      <c r="B39" s="15" t="n"/>
      <c r="C39" s="15" t="n"/>
      <c r="D39" s="15" t="n"/>
      <c r="E39" s="15" t="n"/>
      <c r="F39" s="15" t="n"/>
      <c r="G39" s="15" t="n"/>
      <c r="H39" s="15" t="n"/>
      <c r="I39" s="15" t="n"/>
    </row>
    <row r="40">
      <c r="A40" s="15" t="n"/>
      <c r="B40" s="15" t="n"/>
      <c r="C40" s="15" t="n"/>
      <c r="D40" s="15" t="n"/>
      <c r="E40" s="15" t="n"/>
      <c r="F40" s="15" t="n"/>
      <c r="G40" s="15" t="n"/>
      <c r="H40" s="15" t="n"/>
      <c r="I40" s="15" t="n"/>
    </row>
    <row r="41">
      <c r="A41" s="15" t="n"/>
      <c r="B41" s="15" t="n"/>
      <c r="C41" s="15" t="n"/>
      <c r="D41" s="15" t="n"/>
      <c r="E41" s="15" t="n"/>
      <c r="F41" s="15" t="n"/>
      <c r="G41" s="15" t="n"/>
      <c r="H41" s="15" t="n"/>
      <c r="I41" s="15" t="n"/>
    </row>
    <row r="42">
      <c r="A42" s="15" t="n"/>
      <c r="B42" s="15" t="n"/>
      <c r="C42" s="15" t="n"/>
      <c r="D42" s="15" t="n"/>
      <c r="E42" s="15" t="n"/>
      <c r="F42" s="15" t="n"/>
      <c r="G42" s="15" t="n"/>
      <c r="H42" s="15" t="n"/>
      <c r="I42" s="15" t="n"/>
    </row>
    <row r="43">
      <c r="A43" s="15" t="n"/>
      <c r="B43" s="15" t="n"/>
      <c r="C43" s="15" t="n"/>
      <c r="D43" s="15" t="n"/>
      <c r="E43" s="15" t="n"/>
      <c r="F43" s="15" t="n"/>
      <c r="G43" s="15" t="n"/>
      <c r="H43" s="15" t="n"/>
      <c r="I43" s="15" t="n"/>
    </row>
    <row r="44">
      <c r="A44" s="15" t="n"/>
      <c r="B44" s="15" t="n"/>
      <c r="C44" s="15" t="n"/>
      <c r="D44" s="15" t="n"/>
      <c r="E44" s="15" t="n"/>
      <c r="F44" s="15" t="n"/>
      <c r="G44" s="15" t="n"/>
      <c r="H44" s="15" t="n"/>
      <c r="I44" s="15" t="n"/>
    </row>
    <row r="45">
      <c r="A45" s="15" t="n"/>
      <c r="B45" s="15" t="n"/>
      <c r="C45" s="15" t="n"/>
      <c r="D45" s="15" t="n"/>
      <c r="E45" s="15" t="n"/>
      <c r="F45" s="15" t="n"/>
      <c r="G45" s="15" t="n"/>
      <c r="H45" s="15" t="n"/>
      <c r="I45" s="15" t="n"/>
    </row>
    <row r="46">
      <c r="A46" s="15" t="n"/>
      <c r="B46" s="15" t="n"/>
      <c r="C46" s="15" t="n"/>
      <c r="D46" s="15" t="n"/>
      <c r="E46" s="15" t="n"/>
      <c r="F46" s="15" t="n"/>
      <c r="G46" s="15" t="n"/>
      <c r="H46" s="15" t="n"/>
      <c r="I46" s="15" t="n"/>
    </row>
    <row r="47">
      <c r="A47" s="15" t="n"/>
      <c r="B47" s="15" t="n"/>
      <c r="C47" s="15" t="n"/>
      <c r="D47" s="15" t="n"/>
      <c r="E47" s="15" t="n"/>
      <c r="F47" s="15" t="n"/>
      <c r="G47" s="15" t="n"/>
      <c r="H47" s="15" t="n"/>
      <c r="I47" s="15" t="n"/>
    </row>
    <row r="48">
      <c r="A48" s="15" t="n"/>
      <c r="B48" s="15" t="n"/>
      <c r="C48" s="15" t="n"/>
      <c r="D48" s="15" t="n"/>
      <c r="E48" s="15" t="n"/>
      <c r="F48" s="15" t="n"/>
      <c r="G48" s="15" t="n"/>
      <c r="H48" s="15" t="n"/>
      <c r="I48" s="15" t="n"/>
    </row>
    <row r="49">
      <c r="A49" s="15" t="n"/>
      <c r="B49" s="15" t="n"/>
      <c r="C49" s="15" t="n"/>
      <c r="D49" s="15" t="n"/>
      <c r="E49" s="15" t="n"/>
      <c r="F49" s="15" t="n"/>
      <c r="G49" s="15" t="n"/>
      <c r="H49" s="15" t="n"/>
      <c r="I49" s="15" t="n"/>
    </row>
    <row r="50">
      <c r="A50" s="15" t="n"/>
      <c r="B50" s="15" t="n"/>
      <c r="C50" s="15" t="n"/>
      <c r="D50" s="15" t="n"/>
      <c r="E50" s="15" t="n"/>
      <c r="F50" s="15" t="n"/>
      <c r="G50" s="15" t="n"/>
      <c r="H50" s="15" t="n"/>
      <c r="I50" s="15" t="n"/>
    </row>
    <row r="51">
      <c r="A51" s="15" t="n"/>
      <c r="B51" s="15" t="n"/>
      <c r="C51" s="15" t="n"/>
      <c r="D51" s="15" t="n"/>
      <c r="E51" s="15" t="n"/>
      <c r="F51" s="15" t="n"/>
      <c r="G51" s="15" t="n"/>
      <c r="H51" s="15" t="n"/>
      <c r="I51" s="15" t="n"/>
    </row>
    <row r="52">
      <c r="A52" s="15" t="n"/>
      <c r="B52" s="15" t="n"/>
      <c r="C52" s="15" t="n"/>
      <c r="D52" s="15" t="n"/>
      <c r="E52" s="15" t="n"/>
      <c r="F52" s="15" t="n"/>
      <c r="G52" s="15" t="n"/>
      <c r="H52" s="15" t="n"/>
      <c r="I52" s="15" t="n"/>
    </row>
    <row r="53">
      <c r="A53" s="15" t="n"/>
      <c r="B53" s="15" t="n"/>
      <c r="C53" s="15" t="n"/>
      <c r="D53" s="15" t="n"/>
      <c r="E53" s="15" t="n"/>
      <c r="F53" s="15" t="n"/>
      <c r="G53" s="15" t="n"/>
      <c r="H53" s="15" t="n"/>
      <c r="I53" s="15" t="n"/>
    </row>
    <row r="54">
      <c r="A54" s="15" t="n"/>
      <c r="B54" s="15" t="n"/>
      <c r="C54" s="15" t="n"/>
      <c r="D54" s="15" t="n"/>
      <c r="E54" s="15" t="n"/>
      <c r="F54" s="15" t="n"/>
      <c r="G54" s="15" t="n"/>
      <c r="H54" s="15" t="n"/>
      <c r="I54" s="15" t="n"/>
    </row>
  </sheetData>
  <mergeCells count="2">
    <mergeCell ref="A1:I1"/>
    <mergeCell ref="A2:I2"/>
  </mergeCells>
  <dataValidations count="3">
    <dataValidation sqref="B5:B500 G5:G500 H5:H500" showDropDown="0" showInputMessage="0" showErrorMessage="0" allowBlank="0" type="list">
      <formula1>"✅ Yes,❌ No,⚠️ Partial,➖ N/A"</formula1>
    </dataValidation>
    <dataValidation sqref="I5:I500" showDropDown="0" showInputMessage="0" showErrorMessage="0" allowBlank="0" type="list">
      <formula1>"✅ Compliant,⚠️ Partial,❌ Non-Compliant"</formula1>
    </dataValidation>
    <dataValidation sqref="C5:C500 D5:D500 E5:E500 F5:F500" showDropDown="0" showInputMessage="0" showErrorMessage="0" allowBlank="0" type="list">
      <formula1>"✅ Configured,❌ Missing,➖ 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30" customWidth="1" min="1" max="1"/>
    <col width="25" customWidth="1" min="2" max="2"/>
    <col width="25" customWidth="1" min="3" max="3"/>
    <col width="25" customWidth="1" min="4" max="4"/>
    <col width="25" customWidth="1" min="5" max="5"/>
    <col width="20" customWidth="1" min="6" max="6"/>
  </cols>
  <sheetData>
    <row r="1" ht="35" customHeight="1">
      <c r="A1" s="11" t="inlineStr">
        <is>
          <t>SIGNED COMMITS AUDIT</t>
        </is>
      </c>
    </row>
    <row r="2">
      <c r="A2" s="12" t="inlineStr">
        <is>
          <t>Track signed commit adoption</t>
        </is>
      </c>
    </row>
    <row r="3">
      <c r="A3" s="13" t="inlineStr">
        <is>
          <t>Repository Name</t>
        </is>
      </c>
      <c r="B3" s="13" t="inlineStr">
        <is>
          <t>Signed Commits Required</t>
        </is>
      </c>
      <c r="C3" s="13" t="inlineStr">
        <is>
          <t>% Commits Signed (30 days)</t>
        </is>
      </c>
      <c r="D3" s="13" t="inlineStr">
        <is>
          <t>GPG Infrastructure</t>
        </is>
      </c>
      <c r="E3" s="13" t="inlineStr">
        <is>
          <t>Developer Training</t>
        </is>
      </c>
      <c r="F3" s="13" t="inlineStr">
        <is>
          <t>Compliance Status</t>
        </is>
      </c>
    </row>
    <row r="4">
      <c r="A4" s="14" t="inlineStr">
        <is>
          <t>[Example: customer-portal]</t>
        </is>
      </c>
      <c r="B4" s="14" t="inlineStr">
        <is>
          <t>✅ Yes</t>
        </is>
      </c>
      <c r="C4" s="17" t="inlineStr">
        <is>
          <t>85</t>
        </is>
      </c>
      <c r="D4" s="14" t="inlineStr">
        <is>
          <t>✅ Implemented</t>
        </is>
      </c>
      <c r="E4" s="14" t="inlineStr">
        <is>
          <t>✅ Completed</t>
        </is>
      </c>
      <c r="F4" s="14" t="inlineStr">
        <is>
          <t>✅ Compliant</t>
        </is>
      </c>
    </row>
    <row r="5">
      <c r="A5" s="15" t="n"/>
      <c r="B5" s="15" t="n"/>
      <c r="C5" s="15" t="n"/>
      <c r="D5" s="15" t="n"/>
      <c r="E5" s="15" t="n"/>
      <c r="F5" s="15" t="n"/>
    </row>
    <row r="6">
      <c r="A6" s="15" t="n"/>
      <c r="B6" s="15" t="n"/>
      <c r="C6" s="15" t="n"/>
      <c r="D6" s="15" t="n"/>
      <c r="E6" s="15" t="n"/>
      <c r="F6" s="15" t="n"/>
    </row>
    <row r="7">
      <c r="A7" s="15" t="n"/>
      <c r="B7" s="15" t="n"/>
      <c r="C7" s="15" t="n"/>
      <c r="D7" s="15" t="n"/>
      <c r="E7" s="15" t="n"/>
      <c r="F7" s="15" t="n"/>
    </row>
    <row r="8">
      <c r="A8" s="15" t="n"/>
      <c r="B8" s="15" t="n"/>
      <c r="C8" s="15" t="n"/>
      <c r="D8" s="15" t="n"/>
      <c r="E8" s="15" t="n"/>
      <c r="F8" s="15" t="n"/>
    </row>
    <row r="9">
      <c r="A9" s="15" t="n"/>
      <c r="B9" s="15" t="n"/>
      <c r="C9" s="15" t="n"/>
      <c r="D9" s="15" t="n"/>
      <c r="E9" s="15" t="n"/>
      <c r="F9" s="15" t="n"/>
    </row>
    <row r="10">
      <c r="A10" s="15" t="n"/>
      <c r="B10" s="15" t="n"/>
      <c r="C10" s="15" t="n"/>
      <c r="D10" s="15" t="n"/>
      <c r="E10" s="15" t="n"/>
      <c r="F10" s="15" t="n"/>
    </row>
    <row r="11">
      <c r="A11" s="15" t="n"/>
      <c r="B11" s="15" t="n"/>
      <c r="C11" s="15" t="n"/>
      <c r="D11" s="15" t="n"/>
      <c r="E11" s="15" t="n"/>
      <c r="F11" s="15" t="n"/>
    </row>
    <row r="12">
      <c r="A12" s="15" t="n"/>
      <c r="B12" s="15" t="n"/>
      <c r="C12" s="15" t="n"/>
      <c r="D12" s="15" t="n"/>
      <c r="E12" s="15" t="n"/>
      <c r="F12" s="15" t="n"/>
    </row>
    <row r="13">
      <c r="A13" s="15" t="n"/>
      <c r="B13" s="15" t="n"/>
      <c r="C13" s="15" t="n"/>
      <c r="D13" s="15" t="n"/>
      <c r="E13" s="15" t="n"/>
      <c r="F13" s="15" t="n"/>
    </row>
    <row r="14">
      <c r="A14" s="15" t="n"/>
      <c r="B14" s="15" t="n"/>
      <c r="C14" s="15" t="n"/>
      <c r="D14" s="15" t="n"/>
      <c r="E14" s="15" t="n"/>
      <c r="F14" s="15" t="n"/>
    </row>
    <row r="15">
      <c r="A15" s="15" t="n"/>
      <c r="B15" s="15" t="n"/>
      <c r="C15" s="15" t="n"/>
      <c r="D15" s="15" t="n"/>
      <c r="E15" s="15" t="n"/>
      <c r="F15" s="15" t="n"/>
    </row>
    <row r="16">
      <c r="A16" s="15" t="n"/>
      <c r="B16" s="15" t="n"/>
      <c r="C16" s="15" t="n"/>
      <c r="D16" s="15" t="n"/>
      <c r="E16" s="15" t="n"/>
      <c r="F16" s="15" t="n"/>
    </row>
    <row r="17">
      <c r="A17" s="15" t="n"/>
      <c r="B17" s="15" t="n"/>
      <c r="C17" s="15" t="n"/>
      <c r="D17" s="15" t="n"/>
      <c r="E17" s="15" t="n"/>
      <c r="F17" s="15" t="n"/>
    </row>
    <row r="18">
      <c r="A18" s="15" t="n"/>
      <c r="B18" s="15" t="n"/>
      <c r="C18" s="15" t="n"/>
      <c r="D18" s="15" t="n"/>
      <c r="E18" s="15" t="n"/>
      <c r="F18" s="15" t="n"/>
    </row>
    <row r="19">
      <c r="A19" s="15" t="n"/>
      <c r="B19" s="15" t="n"/>
      <c r="C19" s="15" t="n"/>
      <c r="D19" s="15" t="n"/>
      <c r="E19" s="15" t="n"/>
      <c r="F19" s="15" t="n"/>
    </row>
    <row r="20">
      <c r="A20" s="15" t="n"/>
      <c r="B20" s="15" t="n"/>
      <c r="C20" s="15" t="n"/>
      <c r="D20" s="15" t="n"/>
      <c r="E20" s="15" t="n"/>
      <c r="F20" s="15" t="n"/>
    </row>
    <row r="21">
      <c r="A21" s="15" t="n"/>
      <c r="B21" s="15" t="n"/>
      <c r="C21" s="15" t="n"/>
      <c r="D21" s="15" t="n"/>
      <c r="E21" s="15" t="n"/>
      <c r="F21" s="15" t="n"/>
    </row>
    <row r="22">
      <c r="A22" s="15" t="n"/>
      <c r="B22" s="15" t="n"/>
      <c r="C22" s="15" t="n"/>
      <c r="D22" s="15" t="n"/>
      <c r="E22" s="15" t="n"/>
      <c r="F22" s="15" t="n"/>
    </row>
    <row r="23">
      <c r="A23" s="15" t="n"/>
      <c r="B23" s="15" t="n"/>
      <c r="C23" s="15" t="n"/>
      <c r="D23" s="15" t="n"/>
      <c r="E23" s="15" t="n"/>
      <c r="F23" s="15" t="n"/>
    </row>
    <row r="24">
      <c r="A24" s="15" t="n"/>
      <c r="B24" s="15" t="n"/>
      <c r="C24" s="15" t="n"/>
      <c r="D24" s="15" t="n"/>
      <c r="E24" s="15" t="n"/>
      <c r="F24" s="15" t="n"/>
    </row>
    <row r="25">
      <c r="A25" s="15" t="n"/>
      <c r="B25" s="15" t="n"/>
      <c r="C25" s="15" t="n"/>
      <c r="D25" s="15" t="n"/>
      <c r="E25" s="15" t="n"/>
      <c r="F25" s="15" t="n"/>
    </row>
    <row r="26">
      <c r="A26" s="15" t="n"/>
      <c r="B26" s="15" t="n"/>
      <c r="C26" s="15" t="n"/>
      <c r="D26" s="15" t="n"/>
      <c r="E26" s="15" t="n"/>
      <c r="F26" s="15" t="n"/>
    </row>
    <row r="27">
      <c r="A27" s="15" t="n"/>
      <c r="B27" s="15" t="n"/>
      <c r="C27" s="15" t="n"/>
      <c r="D27" s="15" t="n"/>
      <c r="E27" s="15" t="n"/>
      <c r="F27" s="15" t="n"/>
    </row>
    <row r="28">
      <c r="A28" s="15" t="n"/>
      <c r="B28" s="15" t="n"/>
      <c r="C28" s="15" t="n"/>
      <c r="D28" s="15" t="n"/>
      <c r="E28" s="15" t="n"/>
      <c r="F28" s="15" t="n"/>
    </row>
    <row r="29">
      <c r="A29" s="15" t="n"/>
      <c r="B29" s="15" t="n"/>
      <c r="C29" s="15" t="n"/>
      <c r="D29" s="15" t="n"/>
      <c r="E29" s="15" t="n"/>
      <c r="F29" s="15" t="n"/>
    </row>
    <row r="30">
      <c r="A30" s="15" t="n"/>
      <c r="B30" s="15" t="n"/>
      <c r="C30" s="15" t="n"/>
      <c r="D30" s="15" t="n"/>
      <c r="E30" s="15" t="n"/>
      <c r="F30" s="15" t="n"/>
    </row>
    <row r="31">
      <c r="A31" s="15" t="n"/>
      <c r="B31" s="15" t="n"/>
      <c r="C31" s="15" t="n"/>
      <c r="D31" s="15" t="n"/>
      <c r="E31" s="15" t="n"/>
      <c r="F31" s="15" t="n"/>
    </row>
    <row r="32">
      <c r="A32" s="15" t="n"/>
      <c r="B32" s="15" t="n"/>
      <c r="C32" s="15" t="n"/>
      <c r="D32" s="15" t="n"/>
      <c r="E32" s="15" t="n"/>
      <c r="F32" s="15" t="n"/>
    </row>
    <row r="33">
      <c r="A33" s="15" t="n"/>
      <c r="B33" s="15" t="n"/>
      <c r="C33" s="15" t="n"/>
      <c r="D33" s="15" t="n"/>
      <c r="E33" s="15" t="n"/>
      <c r="F33" s="15" t="n"/>
    </row>
    <row r="34">
      <c r="A34" s="15" t="n"/>
      <c r="B34" s="15" t="n"/>
      <c r="C34" s="15" t="n"/>
      <c r="D34" s="15" t="n"/>
      <c r="E34" s="15" t="n"/>
      <c r="F34" s="15" t="n"/>
    </row>
    <row r="35">
      <c r="A35" s="15" t="n"/>
      <c r="B35" s="15" t="n"/>
      <c r="C35" s="15" t="n"/>
      <c r="D35" s="15" t="n"/>
      <c r="E35" s="15" t="n"/>
      <c r="F35" s="15" t="n"/>
    </row>
    <row r="36">
      <c r="A36" s="15" t="n"/>
      <c r="B36" s="15" t="n"/>
      <c r="C36" s="15" t="n"/>
      <c r="D36" s="15" t="n"/>
      <c r="E36" s="15" t="n"/>
      <c r="F36" s="15" t="n"/>
    </row>
    <row r="37">
      <c r="A37" s="15" t="n"/>
      <c r="B37" s="15" t="n"/>
      <c r="C37" s="15" t="n"/>
      <c r="D37" s="15" t="n"/>
      <c r="E37" s="15" t="n"/>
      <c r="F37" s="15" t="n"/>
    </row>
    <row r="38">
      <c r="A38" s="15" t="n"/>
      <c r="B38" s="15" t="n"/>
      <c r="C38" s="15" t="n"/>
      <c r="D38" s="15" t="n"/>
      <c r="E38" s="15" t="n"/>
      <c r="F38" s="15" t="n"/>
    </row>
    <row r="39">
      <c r="A39" s="15" t="n"/>
      <c r="B39" s="15" t="n"/>
      <c r="C39" s="15" t="n"/>
      <c r="D39" s="15" t="n"/>
      <c r="E39" s="15" t="n"/>
      <c r="F39" s="15" t="n"/>
    </row>
    <row r="40">
      <c r="A40" s="15" t="n"/>
      <c r="B40" s="15" t="n"/>
      <c r="C40" s="15" t="n"/>
      <c r="D40" s="15" t="n"/>
      <c r="E40" s="15" t="n"/>
      <c r="F40" s="15" t="n"/>
    </row>
    <row r="41">
      <c r="A41" s="15" t="n"/>
      <c r="B41" s="15" t="n"/>
      <c r="C41" s="15" t="n"/>
      <c r="D41" s="15" t="n"/>
      <c r="E41" s="15" t="n"/>
      <c r="F41" s="15" t="n"/>
    </row>
    <row r="42">
      <c r="A42" s="15" t="n"/>
      <c r="B42" s="15" t="n"/>
      <c r="C42" s="15" t="n"/>
      <c r="D42" s="15" t="n"/>
      <c r="E42" s="15" t="n"/>
      <c r="F42" s="15" t="n"/>
    </row>
    <row r="43">
      <c r="A43" s="15" t="n"/>
      <c r="B43" s="15" t="n"/>
      <c r="C43" s="15" t="n"/>
      <c r="D43" s="15" t="n"/>
      <c r="E43" s="15" t="n"/>
      <c r="F43" s="15" t="n"/>
    </row>
    <row r="44">
      <c r="A44" s="15" t="n"/>
      <c r="B44" s="15" t="n"/>
      <c r="C44" s="15" t="n"/>
      <c r="D44" s="15" t="n"/>
      <c r="E44" s="15" t="n"/>
      <c r="F44" s="15" t="n"/>
    </row>
    <row r="45">
      <c r="A45" s="15" t="n"/>
      <c r="B45" s="15" t="n"/>
      <c r="C45" s="15" t="n"/>
      <c r="D45" s="15" t="n"/>
      <c r="E45" s="15" t="n"/>
      <c r="F45" s="15" t="n"/>
    </row>
    <row r="46">
      <c r="A46" s="15" t="n"/>
      <c r="B46" s="15" t="n"/>
      <c r="C46" s="15" t="n"/>
      <c r="D46" s="15" t="n"/>
      <c r="E46" s="15" t="n"/>
      <c r="F46" s="15" t="n"/>
    </row>
    <row r="47">
      <c r="A47" s="15" t="n"/>
      <c r="B47" s="15" t="n"/>
      <c r="C47" s="15" t="n"/>
      <c r="D47" s="15" t="n"/>
      <c r="E47" s="15" t="n"/>
      <c r="F47" s="15" t="n"/>
    </row>
    <row r="48">
      <c r="A48" s="15" t="n"/>
      <c r="B48" s="15" t="n"/>
      <c r="C48" s="15" t="n"/>
      <c r="D48" s="15" t="n"/>
      <c r="E48" s="15" t="n"/>
      <c r="F48" s="15" t="n"/>
    </row>
    <row r="49">
      <c r="A49" s="15" t="n"/>
      <c r="B49" s="15" t="n"/>
      <c r="C49" s="15" t="n"/>
      <c r="D49" s="15" t="n"/>
      <c r="E49" s="15" t="n"/>
      <c r="F49" s="15" t="n"/>
    </row>
    <row r="50">
      <c r="A50" s="15" t="n"/>
      <c r="B50" s="15" t="n"/>
      <c r="C50" s="15" t="n"/>
      <c r="D50" s="15" t="n"/>
      <c r="E50" s="15" t="n"/>
      <c r="F50" s="15" t="n"/>
    </row>
    <row r="51">
      <c r="A51" s="15" t="n"/>
      <c r="B51" s="15" t="n"/>
      <c r="C51" s="15" t="n"/>
      <c r="D51" s="15" t="n"/>
      <c r="E51" s="15" t="n"/>
      <c r="F51" s="15" t="n"/>
    </row>
    <row r="52">
      <c r="A52" s="15" t="n"/>
      <c r="B52" s="15" t="n"/>
      <c r="C52" s="15" t="n"/>
      <c r="D52" s="15" t="n"/>
      <c r="E52" s="15" t="n"/>
      <c r="F52" s="15" t="n"/>
    </row>
    <row r="53">
      <c r="A53" s="15" t="n"/>
      <c r="B53" s="15" t="n"/>
      <c r="C53" s="15" t="n"/>
      <c r="D53" s="15" t="n"/>
      <c r="E53" s="15" t="n"/>
      <c r="F53" s="15" t="n"/>
    </row>
    <row r="54">
      <c r="A54" s="15" t="n"/>
      <c r="B54" s="15" t="n"/>
      <c r="C54" s="15" t="n"/>
      <c r="D54" s="15" t="n"/>
      <c r="E54" s="15" t="n"/>
      <c r="F54" s="15" t="n"/>
    </row>
  </sheetData>
  <mergeCells count="2">
    <mergeCell ref="A2:F2"/>
    <mergeCell ref="A1:F1"/>
  </mergeCells>
  <dataValidations count="4">
    <dataValidation sqref="B5:B500" showDropDown="0" showInputMessage="0" showErrorMessage="0" allowBlank="0" type="list">
      <formula1>"✅ Yes,❌ No,⚠️ Partial,➖ N/A"</formula1>
    </dataValidation>
    <dataValidation sqref="F5:F500" showDropDown="0" showInputMessage="0" showErrorMessage="0" allowBlank="0" type="list">
      <formula1>"✅ Compliant,⚠️ Partial,❌ Non-Compliant"</formula1>
    </dataValidation>
    <dataValidation sqref="D5:D500" showDropDown="0" showInputMessage="0" showErrorMessage="0" allowBlank="0" type="list">
      <formula1>"✅ Implemented,⚠️ Partial,❌ Missing,➖ N/A"</formula1>
    </dataValidation>
    <dataValidation sqref="E5:E500" showDropDown="0" showInputMessage="0" showErrorMessage="0" allowBlank="0" type="list">
      <formula1>"✅ Completed,⚠️ In Progress,❌ Not Started"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40" customWidth="1" min="3" max="3"/>
    <col width="25" customWidth="1" min="4" max="4"/>
    <col width="15" customWidth="1" min="5" max="5"/>
    <col width="18" customWidth="1" min="6" max="6"/>
    <col width="15" customWidth="1" min="7" max="7"/>
    <col width="15" customWidth="1" min="8" max="8"/>
  </cols>
  <sheetData>
    <row r="1" ht="35" customHeight="1">
      <c r="A1" s="11" t="inlineStr">
        <is>
          <t>EXCEPTION MANAGEMENT</t>
        </is>
      </c>
    </row>
    <row r="2">
      <c r="A2" s="12" t="inlineStr">
        <is>
          <t>Track branch protection exceptions</t>
        </is>
      </c>
    </row>
    <row r="3">
      <c r="A3" s="13" t="inlineStr">
        <is>
          <t>Exception ID</t>
        </is>
      </c>
      <c r="B3" s="13" t="inlineStr">
        <is>
          <t>Repository/Branch</t>
        </is>
      </c>
      <c r="C3" s="13" t="inlineStr">
        <is>
          <t>Exception Reason</t>
        </is>
      </c>
      <c r="D3" s="13" t="inlineStr">
        <is>
          <t>Granted By</t>
        </is>
      </c>
      <c r="E3" s="13" t="inlineStr">
        <is>
          <t>Grant Date</t>
        </is>
      </c>
      <c r="F3" s="13" t="inlineStr">
        <is>
          <t>Expiration Date</t>
        </is>
      </c>
      <c r="G3" s="13" t="inlineStr">
        <is>
          <t>Review Date</t>
        </is>
      </c>
      <c r="H3" s="13" t="inlineStr">
        <is>
          <t>Status</t>
        </is>
      </c>
    </row>
    <row r="4">
      <c r="A4" s="14" t="inlineStr">
        <is>
          <t>EXC-001</t>
        </is>
      </c>
      <c r="B4" s="14" t="inlineStr">
        <is>
          <t>[Example: legacy-app/main]</t>
        </is>
      </c>
      <c r="C4" s="14" t="inlineStr">
        <is>
          <t>[Example: Repository in decommission process]</t>
        </is>
      </c>
      <c r="D4" s="14" t="inlineStr">
        <is>
          <t>[Example: CISO]</t>
        </is>
      </c>
      <c r="E4" s="14" t="inlineStr">
        <is>
          <t>07.03.2026</t>
        </is>
      </c>
      <c r="F4" s="14" t="inlineStr">
        <is>
          <t>05.06.2026</t>
        </is>
      </c>
      <c r="G4" s="14" t="inlineStr">
        <is>
          <t>06.04.2026</t>
        </is>
      </c>
      <c r="H4" s="14" t="inlineStr">
        <is>
          <t>Active</t>
        </is>
      </c>
    </row>
    <row r="5">
      <c r="A5" s="15" t="n"/>
      <c r="B5" s="15" t="n"/>
      <c r="C5" s="15" t="n"/>
      <c r="D5" s="15" t="n"/>
      <c r="E5" s="15" t="n"/>
      <c r="F5" s="15" t="n"/>
      <c r="G5" s="15" t="n"/>
      <c r="H5" s="15"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sheetData>
  <mergeCells count="2">
    <mergeCell ref="A2:H2"/>
    <mergeCell ref="A1:H1"/>
  </mergeCells>
  <dataValidations count="1">
    <dataValidation sqref="H5:H500" showDropDown="0" showInputMessage="0" showErrorMessage="0" allowBlank="0" type="list">
      <formula1>"Active,Expired,Revoked"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2" customWidth="1" min="1" max="1"/>
    <col width="40" customWidth="1" min="2" max="2"/>
    <col width="30" customWidth="1" min="3" max="3"/>
    <col width="40" customWidth="1" min="4" max="4"/>
    <col width="25" customWidth="1" min="5" max="5"/>
    <col width="18" customWidth="1" min="6" max="6"/>
    <col width="18" customWidth="1" min="7" max="7"/>
    <col width="30" customWidth="1" min="8" max="8"/>
  </cols>
  <sheetData>
    <row r="1" ht="35" customHeight="1">
      <c r="A1" s="11" t="inlineStr">
        <is>
          <t>GAP ANALYSIS</t>
        </is>
      </c>
    </row>
    <row r="2">
      <c r="A2" s="12" t="inlineStr">
        <is>
          <t>Document identified gaps in branch protection and access controls</t>
        </is>
      </c>
    </row>
    <row r="3">
      <c r="A3" s="13" t="inlineStr">
        <is>
          <t>Gap ID</t>
        </is>
      </c>
      <c r="B3" s="13" t="inlineStr">
        <is>
          <t>Gap Description</t>
        </is>
      </c>
      <c r="C3" s="13" t="inlineStr">
        <is>
          <t>Affected Repositories</t>
        </is>
      </c>
      <c r="D3" s="13" t="inlineStr">
        <is>
          <t>Remediation Plan</t>
        </is>
      </c>
      <c r="E3" s="13" t="inlineStr">
        <is>
          <t>Responsible Party</t>
        </is>
      </c>
      <c r="F3" s="13" t="inlineStr">
        <is>
          <t>Target Date</t>
        </is>
      </c>
      <c r="G3" s="13" t="inlineStr">
        <is>
          <t>Status</t>
        </is>
      </c>
      <c r="H3" s="13" t="inlineStr">
        <is>
          <t>Notes</t>
        </is>
      </c>
    </row>
    <row r="4">
      <c r="A4" s="14" t="inlineStr">
        <is>
          <t>GAP-001</t>
        </is>
      </c>
      <c r="B4" s="14" t="inlineStr">
        <is>
          <t>Main branch has no required reviewers</t>
        </is>
      </c>
      <c r="C4" s="14" t="inlineStr">
        <is>
          <t>prod-api, customer-portal</t>
        </is>
      </c>
      <c r="D4" s="14" t="inlineStr">
        <is>
          <t>Enable required reviews (minimum 2 approvals)</t>
        </is>
      </c>
      <c r="E4" s="14" t="inlineStr">
        <is>
          <t>Security Team</t>
        </is>
      </c>
      <c r="F4" s="14" t="inlineStr">
        <is>
          <t>28.02.2026</t>
        </is>
      </c>
      <c r="G4" s="14" t="inlineStr">
        <is>
          <t>Open</t>
        </is>
      </c>
      <c r="H4" s="14" t="inlineStr">
        <is>
          <t>High priority - production repositories</t>
        </is>
      </c>
    </row>
    <row r="5">
      <c r="A5" s="15" t="n"/>
      <c r="B5" s="15" t="n"/>
      <c r="C5" s="15" t="n"/>
      <c r="D5" s="15" t="n"/>
      <c r="E5" s="15" t="n"/>
      <c r="F5" s="15" t="n"/>
      <c r="G5" s="15" t="n"/>
      <c r="H5" s="15"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sheetData>
  <mergeCells count="2">
    <mergeCell ref="A2:H2"/>
    <mergeCell ref="A1:H1"/>
  </mergeCells>
  <dataValidations count="1">
    <dataValidation sqref="G4:G54" showDropDown="0" showInputMessage="0" showErrorMessage="0" allowBlank="1" type="list">
      <formula1>"Open,In Progress,Closed,Deferred"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row>
    <row r="2">
      <c r="A2" s="19" t="inlineStr">
        <is>
          <t>List all evidence files/documents referenced in this assessment (audit traceability).</t>
        </is>
      </c>
    </row>
    <row r="4">
      <c r="A4" s="20" t="inlineStr">
        <is>
          <t>Evidence ID</t>
        </is>
      </c>
      <c r="B4" s="20" t="inlineStr">
        <is>
          <t>Assessment Area</t>
        </is>
      </c>
      <c r="C4" s="20" t="inlineStr">
        <is>
          <t>Evidence Type</t>
        </is>
      </c>
      <c r="D4" s="20" t="inlineStr">
        <is>
          <t>Description</t>
        </is>
      </c>
      <c r="E4" s="20" t="inlineStr">
        <is>
          <t>Location/Path</t>
        </is>
      </c>
      <c r="F4" s="20" t="inlineStr">
        <is>
          <t>Date Collected</t>
        </is>
      </c>
      <c r="G4" s="20" t="inlineStr">
        <is>
          <t>Collected By</t>
        </is>
      </c>
      <c r="H4" s="20" t="inlineStr">
        <is>
          <t>Verification Status</t>
        </is>
      </c>
    </row>
    <row r="5">
      <c r="A5" s="14" t="inlineStr">
        <is>
          <t>EV-001</t>
        </is>
      </c>
      <c r="B5" s="14" t="inlineStr">
        <is>
          <t>Branch Protection</t>
        </is>
      </c>
      <c r="C5" s="14" t="inlineStr">
        <is>
          <t>Configuration file</t>
        </is>
      </c>
      <c r="D5" s="14" t="inlineStr">
        <is>
          <t>Main branch protection rules for prod-api repository</t>
        </is>
      </c>
      <c r="E5" s="14" t="inlineStr">
        <is>
          <t>/evidence/branch-protection-prod-api.json</t>
        </is>
      </c>
      <c r="F5" s="14" t="inlineStr">
        <is>
          <t>15.01.2026</t>
        </is>
      </c>
      <c r="G5" s="14" t="inlineStr">
        <is>
          <t>Security Team</t>
        </is>
      </c>
      <c r="H5" s="14" t="inlineStr">
        <is>
          <t>Verified</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6"/>
  <sheetViews>
    <sheetView showGridLines="0" workbookViewId="0">
      <pane ySplit="3" topLeftCell="A4" activePane="bottomLeft" state="frozen"/>
      <selection pane="bottomLeft" activeCell="A1" sqref="A1"/>
    </sheetView>
  </sheetViews>
  <sheetFormatPr baseColWidth="8" defaultRowHeight="15"/>
  <cols>
    <col width="40" customWidth="1" min="1" max="1"/>
    <col width="20" customWidth="1" min="2" max="2"/>
    <col width="14" customWidth="1" min="3" max="3"/>
    <col width="16" customWidth="1" min="4" max="4"/>
    <col width="8" customWidth="1" min="5" max="5"/>
    <col width="10" customWidth="1" min="6" max="6"/>
    <col width="14" customWidth="1" min="7" max="7"/>
  </cols>
  <sheetData>
    <row r="1" ht="35" customHeight="1">
      <c r="A1" s="21" t="inlineStr">
        <is>
          <t>Branch Protection Assessment — SUMMARY DASHBOARD</t>
        </is>
      </c>
      <c r="B1" s="6" t="n"/>
      <c r="C1" s="6" t="n"/>
      <c r="D1" s="6" t="n"/>
      <c r="E1" s="6" t="n"/>
      <c r="F1" s="6" t="n"/>
      <c r="G1" s="6" t="n"/>
    </row>
    <row r="2">
      <c r="A2" s="22" t="inlineStr">
        <is>
          <t>ISO/IEC 27001:2022 - Control A.8.4: Access to Source Code</t>
        </is>
      </c>
      <c r="B2" s="6" t="n"/>
      <c r="C2" s="6" t="n"/>
      <c r="D2" s="6" t="n"/>
      <c r="E2" s="6" t="n"/>
      <c r="F2" s="6" t="n"/>
      <c r="G2" s="6" t="n"/>
    </row>
    <row r="3">
      <c r="A3" s="23" t="inlineStr">
        <is>
          <t>COMPLIANCE ASSESSMENT SUMMARY</t>
        </is>
      </c>
      <c r="B3" s="6" t="n"/>
      <c r="C3" s="6" t="n"/>
      <c r="D3" s="6" t="n"/>
      <c r="E3" s="6" t="n"/>
      <c r="F3" s="6" t="n"/>
      <c r="G3" s="6" t="n"/>
    </row>
    <row r="4" ht="30" customHeight="1">
      <c r="A4" s="24" t="inlineStr">
        <is>
          <t>Assessment Area</t>
        </is>
      </c>
      <c r="B4" s="24" t="inlineStr">
        <is>
          <t>Questions Answered</t>
        </is>
      </c>
      <c r="C4" s="24" t="inlineStr">
        <is>
          <t>No Gap</t>
        </is>
      </c>
      <c r="D4" s="24" t="inlineStr">
        <is>
          <t>Gap Identified</t>
        </is>
      </c>
      <c r="E4" s="24" t="inlineStr">
        <is>
          <t>N/A</t>
        </is>
      </c>
      <c r="F4" s="24" t="inlineStr">
        <is>
          <t>Target</t>
        </is>
      </c>
      <c r="G4" s="24" t="inlineStr">
        <is>
          <t>Compliance %</t>
        </is>
      </c>
    </row>
    <row r="5" ht="18" customHeight="1">
      <c r="A5" s="25" t="inlineStr">
        <is>
          <t>Branch Inventory &amp; Status</t>
        </is>
      </c>
      <c r="B5" s="26">
        <f>COUNTA('Repository Branch Inventory'!A5:A54)</f>
        <v/>
      </c>
      <c r="C5" s="26">
        <f>COUNTIF('Repository Branch Inventory'!H5:H54,"✅ Compliant")</f>
        <v/>
      </c>
      <c r="D5" s="26">
        <f>COUNTIF('Repository Branch Inventory'!H5:H54,"⚠️ Partial")+COUNTIF('Repository Branch Inventory'!H5:H54,"❌ Non-Compliant")</f>
        <v/>
      </c>
      <c r="E5" s="26" t="n">
        <v>0</v>
      </c>
      <c r="F5" s="27" t="n">
        <v>0.85</v>
      </c>
      <c r="G5" s="28">
        <f>IFERROR(C5/(C5+D5)*100,0)</f>
        <v/>
      </c>
    </row>
    <row r="6" ht="18" customHeight="1">
      <c r="A6" s="25" t="inlineStr">
        <is>
          <t>Branch Protection Configuration</t>
        </is>
      </c>
      <c r="B6" s="26">
        <f>COUNTA('Branch Protection Details'!A5:A54)</f>
        <v/>
      </c>
      <c r="C6" s="26">
        <f>COUNTIF('Branch Protection Details'!M5:M54,"✅ Compliant")</f>
        <v/>
      </c>
      <c r="D6" s="26">
        <f>COUNTIF('Branch Protection Details'!M5:M54,"⚠️ Partial")+COUNTIF('Branch Protection Details'!M5:M54,"❌ Non-Compliant")</f>
        <v/>
      </c>
      <c r="E6" s="26" t="n">
        <v>0</v>
      </c>
      <c r="F6" s="27" t="n">
        <v>0.85</v>
      </c>
      <c r="G6" s="28">
        <f>IFERROR(C6/(C6+D6)*100,0)</f>
        <v/>
      </c>
    </row>
    <row r="7" ht="18" customHeight="1">
      <c r="A7" s="25" t="inlineStr">
        <is>
          <t>Pull Request Controls</t>
        </is>
      </c>
      <c r="B7" s="26">
        <f>COUNTA('Pull Request Configuration'!A5:A54)</f>
        <v/>
      </c>
      <c r="C7" s="26">
        <f>COUNTIF('Pull Request Configuration'!H5:H54,"✅ Compliant")</f>
        <v/>
      </c>
      <c r="D7" s="26">
        <f>COUNTIF('Pull Request Configuration'!H5:H54,"⚠️ Partial")+COUNTIF('Pull Request Configuration'!H5:H54,"❌ Non-Compliant")</f>
        <v/>
      </c>
      <c r="E7" s="26" t="n">
        <v>0</v>
      </c>
      <c r="F7" s="27" t="n">
        <v>0.85</v>
      </c>
      <c r="G7" s="28">
        <f>IFERROR(C7/(C7+D7)*100,0)</f>
        <v/>
      </c>
    </row>
    <row r="8" ht="18" customHeight="1">
      <c r="A8" s="25" t="inlineStr">
        <is>
          <t>Status Check Compliance</t>
        </is>
      </c>
      <c r="B8" s="26">
        <f>COUNTA('Status Check Verification'!A5:A54)</f>
        <v/>
      </c>
      <c r="C8" s="26">
        <f>COUNTIF('Status Check Verification'!I5:I54,"✅ Compliant")</f>
        <v/>
      </c>
      <c r="D8" s="26">
        <f>COUNTIF('Status Check Verification'!I5:I54,"⚠️ Partial")+COUNTIF('Status Check Verification'!I5:I54,"❌ Non-Compliant")</f>
        <v/>
      </c>
      <c r="E8" s="26" t="n">
        <v>0</v>
      </c>
      <c r="F8" s="27" t="n">
        <v>0.9</v>
      </c>
      <c r="G8" s="28">
        <f>IFERROR(C8/(C8+D8)*100,0)</f>
        <v/>
      </c>
    </row>
    <row r="9" ht="18" customHeight="1">
      <c r="A9" s="25" t="inlineStr">
        <is>
          <t>Code Integrity — Signed Commits</t>
        </is>
      </c>
      <c r="B9" s="26">
        <f>COUNTA('Signed Commits Audit'!A5:A54)</f>
        <v/>
      </c>
      <c r="C9" s="26">
        <f>COUNTIF('Signed Commits Audit'!F5:F54,"✅ Compliant")</f>
        <v/>
      </c>
      <c r="D9" s="26">
        <f>COUNTIF('Signed Commits Audit'!F5:F54,"⚠️ Partial")+COUNTIF('Signed Commits Audit'!F5:F54,"❌ Non-Compliant")</f>
        <v/>
      </c>
      <c r="E9" s="26" t="n">
        <v>0</v>
      </c>
      <c r="F9" s="27" t="n">
        <v>0.85</v>
      </c>
      <c r="G9" s="28">
        <f>IFERROR(C9/(C9+D9)*100,0)</f>
        <v/>
      </c>
    </row>
    <row r="10">
      <c r="A10" s="29" t="inlineStr">
        <is>
          <t>TOTAL</t>
        </is>
      </c>
      <c r="B10" s="30">
        <f>SUM(B5:B9)</f>
        <v/>
      </c>
      <c r="C10" s="30">
        <f>SUM(C5:C9)</f>
        <v/>
      </c>
      <c r="D10" s="30">
        <f>SUM(D5:D9)</f>
        <v/>
      </c>
      <c r="E10" s="30">
        <f>SUM(E5:E9)</f>
        <v/>
      </c>
      <c r="F10" s="30" t="inlineStr">
        <is>
          <t>—</t>
        </is>
      </c>
      <c r="G10" s="31">
        <f>IFERROR(AVERAGE(G5:G9),0)</f>
        <v/>
      </c>
    </row>
    <row r="12">
      <c r="A12" s="23" t="inlineStr">
        <is>
          <t>BRANCH PROTECTION HEALTH METRICS</t>
        </is>
      </c>
      <c r="B12" s="6" t="n"/>
      <c r="C12" s="6" t="n"/>
      <c r="D12" s="6" t="n"/>
      <c r="E12" s="6" t="n"/>
      <c r="F12" s="6" t="n"/>
      <c r="G12" s="6" t="n"/>
    </row>
    <row r="13">
      <c r="A13" s="32" t="inlineStr">
        <is>
          <t>Metric</t>
        </is>
      </c>
      <c r="B13" s="32" t="inlineStr">
        <is>
          <t>Value</t>
        </is>
      </c>
      <c r="C13" s="32" t="inlineStr">
        <is>
          <t>Target</t>
        </is>
      </c>
    </row>
    <row r="14">
      <c r="A14" s="25" t="inlineStr">
        <is>
          <t>Total Branches Assessed</t>
        </is>
      </c>
      <c r="B14" s="26">
        <f>COUNTA('Repository Branch Inventory'!A5:A54)</f>
        <v/>
      </c>
      <c r="C14" s="26" t="inlineStr">
        <is>
          <t>≥1</t>
        </is>
      </c>
    </row>
    <row r="15">
      <c r="A15" s="25" t="inlineStr">
        <is>
          <t>Partially Protected Branches</t>
        </is>
      </c>
      <c r="B15" s="26">
        <f>COUNTIF('Repository Branch Inventory'!H5:H54,"⚠️ Partial")</f>
        <v/>
      </c>
      <c r="C15" s="26" t="inlineStr">
        <is>
          <t>0</t>
        </is>
      </c>
    </row>
    <row r="16">
      <c r="A16" s="25" t="inlineStr">
        <is>
          <t>Avg Branch Protection Score (%)</t>
        </is>
      </c>
      <c r="B16" s="33">
        <f>IFERROR(AVERAGE('Branch Protection Details'!L5:L54)/100,0)</f>
        <v/>
      </c>
      <c r="C16" s="26" t="inlineStr">
        <is>
          <t>≥85%</t>
        </is>
      </c>
    </row>
    <row r="17">
      <c r="A17" s="25" t="inlineStr">
        <is>
          <t>Branches Requiring Pull Request</t>
        </is>
      </c>
      <c r="B17" s="26">
        <f>COUNTIF('Branch Protection Details'!D5:D54,"✅ Yes")</f>
        <v/>
      </c>
      <c r="C17" s="26" t="inlineStr">
        <is>
          <t>—</t>
        </is>
      </c>
    </row>
    <row r="18">
      <c r="A18" s="25" t="inlineStr">
        <is>
          <t>Branches with Code Owner Review</t>
        </is>
      </c>
      <c r="B18" s="26">
        <f>COUNTIF('Branch Protection Details'!G5:G54,"✅ Yes")</f>
        <v/>
      </c>
      <c r="C18" s="26" t="inlineStr">
        <is>
          <t>—</t>
        </is>
      </c>
    </row>
    <row r="19">
      <c r="A19" s="25" t="inlineStr">
        <is>
          <t>Repos Missing Security Status Check</t>
        </is>
      </c>
      <c r="B19" s="26">
        <f>COUNTIF('Status Check Verification'!F5:F54,"❌ Missing")</f>
        <v/>
      </c>
      <c r="C19" s="26" t="inlineStr">
        <is>
          <t>0</t>
        </is>
      </c>
    </row>
    <row r="20">
      <c r="A20" s="25" t="inlineStr">
        <is>
          <t>Repos without All Checks Required</t>
        </is>
      </c>
      <c r="B20" s="26">
        <f>COUNTIF('Status Check Verification'!G5:G54,"❌ No")</f>
        <v/>
      </c>
      <c r="C20" s="26" t="inlineStr">
        <is>
          <t>0</t>
        </is>
      </c>
    </row>
    <row r="21">
      <c r="A21" s="25" t="inlineStr">
        <is>
          <t>Repos Allowing Self-Approval</t>
        </is>
      </c>
      <c r="B21" s="26">
        <f>COUNTIF('Pull Request Configuration'!G5:G54,"❌ No")</f>
        <v/>
      </c>
      <c r="C21" s="26" t="inlineStr">
        <is>
          <t>0</t>
        </is>
      </c>
    </row>
    <row r="22">
      <c r="A22" s="25" t="inlineStr">
        <is>
          <t>Avg Signed Commit Rate (%)</t>
        </is>
      </c>
      <c r="B22" s="33">
        <f>IFERROR(AVERAGE('Signed Commits Audit'!C5:C54)/100,0)</f>
        <v/>
      </c>
      <c r="C22" s="26" t="inlineStr">
        <is>
          <t>≥90%</t>
        </is>
      </c>
    </row>
    <row r="23">
      <c r="A23" s="25" t="inlineStr">
        <is>
          <t>Active Policy Exceptions</t>
        </is>
      </c>
      <c r="B23" s="26">
        <f>COUNTIF('Exception Management'!H5:H54,"Active")</f>
        <v/>
      </c>
      <c r="C23" s="26" t="inlineStr">
        <is>
          <t>0</t>
        </is>
      </c>
    </row>
    <row r="24">
      <c r="A24" s="25" t="inlineStr">
        <is>
          <t>Open Remediation Gaps</t>
        </is>
      </c>
      <c r="B24" s="26">
        <f>COUNTIF('Gap Analysis'!G5:G54,"Open")</f>
        <v/>
      </c>
      <c r="C24" s="26" t="inlineStr">
        <is>
          <t>0</t>
        </is>
      </c>
    </row>
    <row r="25">
      <c r="A25" s="25" t="inlineStr">
        <is>
          <t>Unverified Evidence Items</t>
        </is>
      </c>
      <c r="B25" s="26">
        <f>COUNTIF('Evidence Register'!H6:H105,"Not verified")</f>
        <v/>
      </c>
      <c r="C25" s="26" t="inlineStr">
        <is>
          <t>0</t>
        </is>
      </c>
    </row>
    <row r="27">
      <c r="A27" s="34" t="inlineStr">
        <is>
          <t>CRITICAL FINDINGS</t>
        </is>
      </c>
      <c r="B27" s="6" t="n"/>
      <c r="C27" s="6" t="n"/>
      <c r="D27" s="6" t="n"/>
      <c r="E27" s="6" t="n"/>
      <c r="F27" s="6" t="n"/>
      <c r="G27" s="6" t="n"/>
    </row>
    <row r="28">
      <c r="A28" s="32" t="inlineStr">
        <is>
          <t>Critical Finding</t>
        </is>
      </c>
      <c r="B28" s="32" t="inlineStr">
        <is>
          <t>Status</t>
        </is>
      </c>
      <c r="C28" s="32" t="inlineStr">
        <is>
          <t>Severity</t>
        </is>
      </c>
    </row>
    <row r="29">
      <c r="A29" s="35" t="inlineStr">
        <is>
          <t>Direct commits to protected branches allowed</t>
        </is>
      </c>
      <c r="B29" s="35">
        <f>IF(COUNTIF('Branch Protection Details'!C5:C54,"❌ No")&gt;0,"[!] Review Required","[OK]")</f>
        <v/>
      </c>
      <c r="C29" s="35" t="inlineStr">
        <is>
          <t>Critical</t>
        </is>
      </c>
    </row>
    <row r="30">
      <c r="A30" s="35" t="inlineStr">
        <is>
          <t>Pull request not required on protected branches</t>
        </is>
      </c>
      <c r="B30" s="35">
        <f>IF(COUNTIF('Branch Protection Details'!D5:D54,"❌ No")&gt;0,"[!] Review Required","[OK]")</f>
        <v/>
      </c>
      <c r="C30" s="35" t="inlineStr">
        <is>
          <t>Critical</t>
        </is>
      </c>
    </row>
    <row r="31">
      <c r="A31" s="36" t="inlineStr">
        <is>
          <t>Self-approval of pull requests possible</t>
        </is>
      </c>
      <c r="B31" s="36">
        <f>IF(COUNTIF('Pull Request Configuration'!G5:G54,"❌ No")&gt;0,"[!] Review Required","[OK]")</f>
        <v/>
      </c>
      <c r="C31" s="36" t="inlineStr">
        <is>
          <t>High</t>
        </is>
      </c>
    </row>
    <row r="32">
      <c r="A32" s="36" t="inlineStr">
        <is>
          <t>Security status check missing</t>
        </is>
      </c>
      <c r="B32" s="36">
        <f>IF(COUNTIF('Status Check Verification'!F5:F54,"❌ Missing")&gt;0,"[!] Review Required","[OK]")</f>
        <v/>
      </c>
      <c r="C32" s="36" t="inlineStr">
        <is>
          <t>High</t>
        </is>
      </c>
    </row>
    <row r="33">
      <c r="A33" s="36" t="inlineStr">
        <is>
          <t>Active policy exceptions present</t>
        </is>
      </c>
      <c r="B33" s="36">
        <f>IF(COUNTIF('Exception Management'!H5:H54,"Active")&gt;0,"[!] Review Required","[OK]")</f>
        <v/>
      </c>
      <c r="C33" s="36" t="inlineStr">
        <is>
          <t>High</t>
        </is>
      </c>
    </row>
    <row r="34">
      <c r="A34" s="36" t="inlineStr">
        <is>
          <t>Signed commits not enforced</t>
        </is>
      </c>
      <c r="B34" s="36">
        <f>IF(COUNTIF('Signed Commits Audit'!B5:B54,"❌ No")&gt;0,"[!] Review Required","[OK]")</f>
        <v/>
      </c>
      <c r="C34" s="36" t="inlineStr">
        <is>
          <t>High</t>
        </is>
      </c>
    </row>
    <row r="35">
      <c r="A35" s="35" t="inlineStr">
        <is>
          <t>Overall compliance &lt;70%</t>
        </is>
      </c>
      <c r="B35" s="35">
        <f>IF(G10&lt;70,"[!] Below Target","[OK]")</f>
        <v/>
      </c>
      <c r="C35" s="35" t="inlineStr">
        <is>
          <t>Critical</t>
        </is>
      </c>
    </row>
    <row r="36">
      <c r="A36" s="36" t="inlineStr">
        <is>
          <t>Open remediation gaps</t>
        </is>
      </c>
      <c r="B36" s="36">
        <f>IF(COUNTIF('Gap Analysis'!G5:G54,"Open")&gt;0,"[!] Review Required","[OK]")</f>
        <v/>
      </c>
      <c r="C36" s="36" t="inlineStr">
        <is>
          <t>High</t>
        </is>
      </c>
    </row>
  </sheetData>
  <mergeCells count="5">
    <mergeCell ref="A1:G1"/>
    <mergeCell ref="A27:G27"/>
    <mergeCell ref="A3:G3"/>
    <mergeCell ref="A12:G12"/>
    <mergeCell ref="A2:G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1" t="inlineStr">
        <is>
          <t>ASSESSMENT APPROVAL AND SIGN-OFF</t>
        </is>
      </c>
      <c r="B1" s="6" t="n"/>
      <c r="C1" s="6" t="n"/>
      <c r="D1" s="6" t="n"/>
      <c r="E1" s="6" t="n"/>
    </row>
    <row r="3">
      <c r="A3" s="37" t="inlineStr">
        <is>
          <t>ASSESSMENT SUMMARY</t>
        </is>
      </c>
      <c r="B3" s="6" t="n"/>
      <c r="C3" s="6" t="n"/>
      <c r="D3" s="6" t="n"/>
      <c r="E3" s="6" t="n"/>
    </row>
    <row r="4">
      <c r="A4" s="38" t="inlineStr">
        <is>
          <t>Document:</t>
        </is>
      </c>
      <c r="B4" s="6" t="inlineStr">
        <is>
          <t>ISMS-IMP-A.8.4.2 - Branch Protection Assessment</t>
        </is>
      </c>
      <c r="C4" s="6" t="n"/>
      <c r="D4" s="6" t="n"/>
      <c r="E4" s="6" t="n"/>
    </row>
    <row r="5">
      <c r="A5" s="38" t="inlineStr">
        <is>
          <t>Assessment Period:</t>
        </is>
      </c>
      <c r="B5" s="39" t="inlineStr"/>
      <c r="C5" s="6" t="n"/>
      <c r="D5" s="6" t="n"/>
      <c r="E5" s="6" t="n"/>
    </row>
    <row r="6">
      <c r="A6" s="38" t="inlineStr">
        <is>
          <t>Overall Compliance:</t>
        </is>
      </c>
      <c r="B6" s="40">
        <f>IFERROR('Summary Dashboard'!G10,"")</f>
        <v/>
      </c>
      <c r="C6" s="6" t="n"/>
      <c r="D6" s="6" t="n"/>
      <c r="E6" s="6" t="n"/>
    </row>
    <row r="7">
      <c r="A7" s="38" t="inlineStr">
        <is>
          <t>Assessment Status:</t>
        </is>
      </c>
      <c r="B7" s="39" t="inlineStr"/>
      <c r="C7" s="6" t="n"/>
      <c r="D7" s="6" t="n"/>
      <c r="E7" s="6" t="n"/>
    </row>
    <row r="10">
      <c r="A10" s="37" t="inlineStr">
        <is>
          <t>COMPLETED BY (ASSESSOR)</t>
        </is>
      </c>
      <c r="B10" s="6" t="n"/>
      <c r="C10" s="6" t="n"/>
      <c r="D10" s="6" t="n"/>
      <c r="E10" s="6" t="n"/>
    </row>
    <row r="11">
      <c r="A11" s="38" t="inlineStr">
        <is>
          <t>Name:</t>
        </is>
      </c>
      <c r="B11" s="39" t="n"/>
      <c r="C11" s="6" t="n"/>
      <c r="D11" s="6" t="n"/>
      <c r="E11" s="6" t="n"/>
    </row>
    <row r="12">
      <c r="A12" s="38" t="inlineStr">
        <is>
          <t>Title:</t>
        </is>
      </c>
      <c r="B12" s="39" t="n"/>
      <c r="C12" s="6" t="n"/>
      <c r="D12" s="6" t="n"/>
      <c r="E12" s="6" t="n"/>
    </row>
    <row r="13">
      <c r="A13" s="38" t="inlineStr">
        <is>
          <t>Date:</t>
        </is>
      </c>
      <c r="B13" s="39" t="n"/>
      <c r="C13" s="6" t="n"/>
      <c r="D13" s="6" t="n"/>
      <c r="E13" s="6" t="n"/>
    </row>
    <row r="14">
      <c r="A14" s="38" t="inlineStr">
        <is>
          <t>Signature:</t>
        </is>
      </c>
      <c r="B14" s="39" t="n"/>
      <c r="C14" s="6" t="n"/>
      <c r="D14" s="6" t="n"/>
      <c r="E14" s="6" t="n"/>
    </row>
    <row r="15">
      <c r="A15" s="38" t="inlineStr">
        <is>
          <t>Comments:</t>
        </is>
      </c>
      <c r="B15" s="39" t="n"/>
      <c r="C15" s="6" t="n"/>
      <c r="D15" s="6" t="n"/>
      <c r="E15" s="6" t="n"/>
    </row>
    <row r="17">
      <c r="A17" s="37" t="inlineStr">
        <is>
          <t>REVIEWED BY (INFORMATION SECURITY OFFICER)</t>
        </is>
      </c>
      <c r="B17" s="6" t="n"/>
      <c r="C17" s="6" t="n"/>
      <c r="D17" s="6" t="n"/>
      <c r="E17" s="6" t="n"/>
    </row>
    <row r="18">
      <c r="A18" s="38" t="inlineStr">
        <is>
          <t>Name:</t>
        </is>
      </c>
      <c r="B18" s="39" t="n"/>
      <c r="C18" s="6" t="n"/>
      <c r="D18" s="6" t="n"/>
      <c r="E18" s="6" t="n"/>
    </row>
    <row r="19">
      <c r="A19" s="38" t="inlineStr">
        <is>
          <t>Title:</t>
        </is>
      </c>
      <c r="B19" s="39" t="n"/>
      <c r="C19" s="6" t="n"/>
      <c r="D19" s="6" t="n"/>
      <c r="E19" s="6" t="n"/>
    </row>
    <row r="20">
      <c r="A20" s="38" t="inlineStr">
        <is>
          <t>Date:</t>
        </is>
      </c>
      <c r="B20" s="39" t="n"/>
      <c r="C20" s="6" t="n"/>
      <c r="D20" s="6" t="n"/>
      <c r="E20" s="6" t="n"/>
    </row>
    <row r="21">
      <c r="A21" s="38" t="inlineStr">
        <is>
          <t>Signature:</t>
        </is>
      </c>
      <c r="B21" s="39" t="n"/>
      <c r="C21" s="6" t="n"/>
      <c r="D21" s="6" t="n"/>
      <c r="E21" s="6" t="n"/>
    </row>
    <row r="22">
      <c r="A22" s="38" t="inlineStr">
        <is>
          <t>Comments:</t>
        </is>
      </c>
      <c r="B22" s="39" t="n"/>
      <c r="C22" s="6" t="n"/>
      <c r="D22" s="6" t="n"/>
      <c r="E22" s="6" t="n"/>
    </row>
    <row r="24">
      <c r="A24" s="41" t="inlineStr">
        <is>
          <t>APPROVED BY (CISO)</t>
        </is>
      </c>
      <c r="B24" s="6" t="n"/>
      <c r="C24" s="6" t="n"/>
      <c r="D24" s="6" t="n"/>
      <c r="E24" s="6" t="n"/>
    </row>
    <row r="25">
      <c r="A25" s="38" t="inlineStr">
        <is>
          <t>Name:</t>
        </is>
      </c>
      <c r="B25" s="39" t="n"/>
      <c r="C25" s="6" t="n"/>
      <c r="D25" s="6" t="n"/>
      <c r="E25" s="6" t="n"/>
    </row>
    <row r="26">
      <c r="A26" s="38" t="inlineStr">
        <is>
          <t>Title:</t>
        </is>
      </c>
      <c r="B26" s="39" t="n"/>
      <c r="C26" s="6" t="n"/>
      <c r="D26" s="6" t="n"/>
      <c r="E26" s="6" t="n"/>
    </row>
    <row r="27">
      <c r="A27" s="38" t="inlineStr">
        <is>
          <t>Date:</t>
        </is>
      </c>
      <c r="B27" s="39" t="n"/>
      <c r="C27" s="6" t="n"/>
      <c r="D27" s="6" t="n"/>
      <c r="E27" s="6" t="n"/>
    </row>
    <row r="28">
      <c r="A28" s="38" t="inlineStr">
        <is>
          <t>Signature:</t>
        </is>
      </c>
      <c r="B28" s="39" t="n"/>
      <c r="C28" s="6" t="n"/>
      <c r="D28" s="6" t="n"/>
      <c r="E28" s="6" t="n"/>
    </row>
    <row r="29">
      <c r="A29" s="38" t="inlineStr">
        <is>
          <t>Comments:</t>
        </is>
      </c>
      <c r="B29" s="39" t="n"/>
      <c r="C29" s="6" t="n"/>
      <c r="D29" s="6" t="n"/>
      <c r="E29" s="6" t="n"/>
    </row>
    <row r="31">
      <c r="A31" s="38" t="inlineStr">
        <is>
          <t>FINAL DECISION:</t>
        </is>
      </c>
      <c r="B31" s="39" t="n"/>
      <c r="C31" s="6" t="n"/>
      <c r="D31" s="6" t="n"/>
      <c r="E31" s="6" t="n"/>
    </row>
    <row r="34">
      <c r="A34" s="37" t="inlineStr">
        <is>
          <t>NEXT REVIEW DETAILS</t>
        </is>
      </c>
      <c r="B34" s="6" t="n"/>
      <c r="C34" s="6" t="n"/>
      <c r="D34" s="6" t="n"/>
      <c r="E34" s="6" t="n"/>
    </row>
    <row r="35">
      <c r="A35" s="38" t="inlineStr">
        <is>
          <t>Next Review Date:</t>
        </is>
      </c>
      <c r="B35" s="39" t="n"/>
      <c r="C35" s="6" t="n"/>
      <c r="D35" s="6" t="n"/>
      <c r="E35" s="6" t="n"/>
    </row>
    <row r="36">
      <c r="A36" s="38" t="inlineStr">
        <is>
          <t>Review Responsible:</t>
        </is>
      </c>
      <c r="B36" s="39" t="n"/>
      <c r="C36" s="6" t="n"/>
      <c r="D36" s="6" t="n"/>
      <c r="E36" s="6" t="n"/>
    </row>
    <row r="37">
      <c r="A37" s="38" t="inlineStr">
        <is>
          <t>Special Considerations:</t>
        </is>
      </c>
      <c r="B37" s="39" t="n"/>
      <c r="C37" s="6" t="n"/>
      <c r="D37" s="6" t="n"/>
      <c r="E37" s="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ISMS-IMP-A.8.4.2 — Branch Protection Assessment</dc:title>
  <dc:description xmlns:dc="http://purl.org/dc/elements/1.1/">ISMS Implementation Workbook — ISMS-IMP-A.8.4.2</dc:description>
  <dc:subject xmlns:dc="http://purl.org/dc/elements/1.1/">ISO/IEC 27001:2022 — Control A.8.4: Access to Source Code</dc:subject>
  <dcterms:created xmlns:dcterms="http://purl.org/dc/terms/" xmlns:xsi="http://www.w3.org/2001/XMLSchema-instance" xsi:type="dcterms:W3CDTF">2026-03-07T11:28:32Z</dcterms:created>
  <dcterms:modified xmlns:dcterms="http://purl.org/dc/terms/" xmlns:xsi="http://www.w3.org/2001/XMLSchema-instance" xsi:type="dcterms:W3CDTF">2026-03-07T11:28:32Z</dcterms:modified>
</cp:coreProperties>
</file>