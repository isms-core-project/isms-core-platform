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nvironment Inventory" sheetId="2" state="visible" r:id="rId2"/>
    <sheet xmlns:r="http://schemas.openxmlformats.org/officeDocument/2006/relationships" name="Production Environment" sheetId="3" state="visible" r:id="rId3"/>
    <sheet xmlns:r="http://schemas.openxmlformats.org/officeDocument/2006/relationships" name="NonProduction Environments" sheetId="4" state="visible" r:id="rId4"/>
    <sheet xmlns:r="http://schemas.openxmlformats.org/officeDocument/2006/relationships" name="Analytics &amp; Reporting" sheetId="5" state="visible" r:id="rId5"/>
    <sheet xmlns:r="http://schemas.openxmlformats.org/officeDocument/2006/relationships" name="Backup &amp; Archive" sheetId="6" state="visible" r:id="rId6"/>
    <sheet xmlns:r="http://schemas.openxmlformats.org/officeDocument/2006/relationships" name="External Sharing" sheetId="7" state="visible" r:id="rId7"/>
    <sheet xmlns:r="http://schemas.openxmlformats.org/officeDocument/2006/relationships" name="Cloud Environments" sheetId="8" state="visible" r:id="rId8"/>
    <sheet xmlns:r="http://schemas.openxmlformats.org/officeDocument/2006/relationships" name="Data Flow Mapping"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color rgb="00FFFFFF"/>
      <sz val="11"/>
    </font>
    <font>
      <b val="1"/>
      <sz val="11"/>
    </font>
    <font>
      <name val="Calibri"/>
      <b val="1"/>
      <sz val="10"/>
    </font>
    <font>
      <b val="1"/>
      <color rgb="00FFFFFF"/>
      <sz val="14"/>
    </font>
    <font>
      <i val="1"/>
    </font>
    <font>
      <b val="1"/>
      <color rgb="00FFFFFF"/>
    </font>
    <font>
      <name val="Calibri"/>
      <i val="1"/>
      <color rgb="00003366"/>
      <sz val="10"/>
    </font>
    <font>
      <name val="Calibri"/>
      <b val="1"/>
      <color rgb="00FFFFFF"/>
      <sz val="12"/>
    </font>
    <font>
      <name val="Calibri"/>
      <color rgb="00000000"/>
      <sz val="10"/>
    </font>
    <font>
      <name val="Calibri"/>
      <b val="1"/>
      <color rgb="00000000"/>
      <sz val="10"/>
    </font>
    <font>
      <name val="Calibri"/>
      <sz val="10"/>
    </font>
    <font>
      <b val="1"/>
      <color rgb="00FFFFFF"/>
      <sz val="11"/>
    </font>
    <font>
      <b val="1"/>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3" fillId="4" borderId="1" pivotButton="0" quotePrefix="0" xfId="0"/>
    <xf numFmtId="0" fontId="0" fillId="0" borderId="1" pivotButton="0" quotePrefix="0" xfId="0"/>
    <xf numFmtId="0" fontId="0" fillId="0" borderId="1" applyAlignment="1" pivotButton="0" quotePrefix="0" xfId="0">
      <alignment horizontal="left" vertical="center" wrapText="1"/>
    </xf>
    <xf numFmtId="0" fontId="4" fillId="5" borderId="0" applyAlignment="1" pivotButton="0" quotePrefix="0" xfId="0">
      <alignment horizontal="center" vertical="center" wrapText="1"/>
    </xf>
    <xf numFmtId="0" fontId="5" fillId="0" borderId="0" pivotButton="0" quotePrefix="0" xfId="0"/>
    <xf numFmtId="0" fontId="6" fillId="4" borderId="1" applyAlignment="1" pivotButton="0" quotePrefix="0" xfId="0">
      <alignment horizontal="center" vertical="center" wrapText="1"/>
    </xf>
    <xf numFmtId="0" fontId="0" fillId="6" borderId="1" pivotButton="0" quotePrefix="0" xfId="0"/>
    <xf numFmtId="0" fontId="7" fillId="2" borderId="0" applyAlignment="1" pivotButton="0" quotePrefix="0" xfId="0">
      <alignment horizontal="center" vertical="center"/>
    </xf>
    <xf numFmtId="0" fontId="8" fillId="0" borderId="0" applyAlignment="1" pivotButton="0" quotePrefix="0" xfId="0">
      <alignment horizontal="left" vertical="center"/>
    </xf>
    <xf numFmtId="0" fontId="9" fillId="2" borderId="1" pivotButton="0" quotePrefix="0" xfId="0"/>
    <xf numFmtId="0" fontId="0" fillId="3" borderId="1" applyAlignment="1" pivotButton="0" quotePrefix="0" xfId="0">
      <alignment horizontal="left" vertical="center" wrapText="1"/>
    </xf>
    <xf numFmtId="0" fontId="10" fillId="0" borderId="0" applyAlignment="1" pivotButton="0" quotePrefix="0" xfId="0">
      <alignment horizontal="left" vertical="center"/>
    </xf>
    <xf numFmtId="0" fontId="11" fillId="2" borderId="0" applyAlignment="1" pivotButton="0" quotePrefix="0" xfId="0">
      <alignment horizontal="left" vertical="center"/>
    </xf>
    <xf numFmtId="0" fontId="12" fillId="0" borderId="1" applyAlignment="1" pivotButton="0" quotePrefix="0" xfId="0">
      <alignment horizontal="left" vertical="center"/>
    </xf>
    <xf numFmtId="0" fontId="12" fillId="0" borderId="1" applyAlignment="1" pivotButton="0" quotePrefix="0" xfId="0">
      <alignment horizontal="center" vertical="center"/>
    </xf>
    <xf numFmtId="164" fontId="12" fillId="0" borderId="1" applyAlignment="1" pivotButton="0" quotePrefix="0" xfId="0">
      <alignment horizontal="center" vertical="center"/>
    </xf>
    <xf numFmtId="0" fontId="13" fillId="4" borderId="1" applyAlignment="1" pivotButton="0" quotePrefix="0" xfId="0">
      <alignment horizontal="center" vertical="center"/>
    </xf>
    <xf numFmtId="0" fontId="6" fillId="4" borderId="1" applyAlignment="1" pivotButton="0" quotePrefix="0" xfId="0">
      <alignment horizontal="center" vertical="center"/>
    </xf>
    <xf numFmtId="164" fontId="6" fillId="4" borderId="1" applyAlignment="1" pivotButton="0" quotePrefix="0" xfId="0">
      <alignment horizontal="center" vertical="center"/>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1" fillId="7" borderId="0" applyAlignment="1" pivotButton="0" quotePrefix="0" xfId="0">
      <alignment horizontal="left" vertical="center"/>
    </xf>
    <xf numFmtId="0" fontId="14" fillId="3" borderId="1" applyAlignment="1" pivotButton="0" quotePrefix="0" xfId="0">
      <alignment horizontal="left" vertical="center" wrapText="1"/>
    </xf>
    <xf numFmtId="0" fontId="7" fillId="2" borderId="1" applyAlignment="1" pivotButton="0" quotePrefix="0" xfId="0">
      <alignment horizontal="center" vertical="center"/>
    </xf>
    <xf numFmtId="0" fontId="15" fillId="5" borderId="1" pivotButton="0" quotePrefix="0" xfId="0"/>
    <xf numFmtId="0" fontId="16" fillId="0" borderId="0"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ISMS-IMP-A.8.11.3  -  Environment Coverage Assessment
ISO/IEC 27001:2022 - Control A.8.11: Data Masking</t>
        </is>
      </c>
    </row>
    <row r="3">
      <c r="A3" s="2" t="inlineStr">
        <is>
          <t>Document Information</t>
        </is>
      </c>
    </row>
    <row r="4">
      <c r="A4" s="3" t="inlineStr">
        <is>
          <t>Document ID</t>
        </is>
      </c>
      <c r="B4" t="inlineStr">
        <is>
          <t>ISMS-IMP-A.8.11.3</t>
        </is>
      </c>
    </row>
    <row r="5">
      <c r="A5" s="3" t="inlineStr">
        <is>
          <t>Assessment Area</t>
        </is>
      </c>
      <c r="B5" t="inlineStr">
        <is>
          <t>Environment Coverage Assessment</t>
        </is>
      </c>
    </row>
    <row r="6">
      <c r="A6" s="3" t="inlineStr">
        <is>
          <t>Related Policy</t>
        </is>
      </c>
      <c r="B6" t="inlineStr">
        <is>
          <t>ISMS-POL-A.8.11</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2" t="inlineStr">
        <is>
          <t>Instructions</t>
        </is>
      </c>
    </row>
    <row r="14">
      <c r="A14" t="inlineStr">
        <is>
          <t>1. Complete each worksheet tab in sequence (Environment Inventory → Production → Non-Production → etc.)</t>
        </is>
      </c>
    </row>
    <row r="15">
      <c r="A15" t="inlineStr">
        <is>
          <t>2. Fill ALL yellow-highlighted cells with your organisation's specific information</t>
        </is>
      </c>
    </row>
    <row r="16">
      <c r="A16" t="inlineStr">
        <is>
          <t>3. Use dropdown menus where provided (do not type free-form text in dropdown cells)</t>
        </is>
      </c>
    </row>
    <row r="17">
      <c r="A17" t="inlineStr">
        <is>
          <t>4. Document ALL environments in your organisation (include cloud, on-premises, hybrid)</t>
        </is>
      </c>
    </row>
    <row r="18">
      <c r="A18" t="inlineStr">
        <is>
          <t>5. For each environment, specify masking requirement (Mandatory/Conditional/Not Required) per policy S2.3</t>
        </is>
      </c>
    </row>
    <row r="19">
      <c r="A19" t="inlineStr">
        <is>
          <t>6. Verify masking deployment status (Yes/No/Partial/Planned)</t>
        </is>
      </c>
    </row>
    <row r="20">
      <c r="A20" t="inlineStr">
        <is>
          <t>7. Calculate coverage percentage (% of sensitive fields masked)</t>
        </is>
      </c>
    </row>
    <row r="21">
      <c r="A21" t="inlineStr">
        <is>
          <t>8. Link all assessments to Evidence Register with unique Evidence IDs</t>
        </is>
      </c>
    </row>
    <row r="22">
      <c r="A22" t="inlineStr">
        <is>
          <t>9. Complete Gap Analysis sheet to identify remediation needs</t>
        </is>
      </c>
    </row>
    <row r="23">
      <c r="A23" t="inlineStr">
        <is>
          <t>10. Review Summary Dashboard for executive-level compliance status</t>
        </is>
      </c>
    </row>
    <row r="25">
      <c r="A25" s="2" t="inlineStr">
        <is>
          <t>Status Legend</t>
        </is>
      </c>
    </row>
    <row r="26">
      <c r="A26" s="5" t="inlineStr">
        <is>
          <t>Symbol</t>
        </is>
      </c>
      <c r="B26" s="5" t="inlineStr">
        <is>
          <t>Status</t>
        </is>
      </c>
      <c r="C26" s="5" t="inlineStr">
        <is>
          <t>Description</t>
        </is>
      </c>
    </row>
    <row r="27">
      <c r="A27" s="6" t="inlineStr">
        <is>
          <t>✅</t>
        </is>
      </c>
      <c r="B27" s="7" t="inlineStr">
        <is>
          <t>Compliant</t>
        </is>
      </c>
      <c r="C27" s="7" t="inlineStr">
        <is>
          <t>Masking deployed as required — fully compliant</t>
        </is>
      </c>
    </row>
    <row r="28">
      <c r="A28" s="6" t="inlineStr">
        <is>
          <t>⚠</t>
        </is>
      </c>
      <c r="B28" s="7" t="inlineStr">
        <is>
          <t>Partial</t>
        </is>
      </c>
      <c r="C28" s="7" t="inlineStr">
        <is>
          <t>Some masking gaps identified — partially compliant</t>
        </is>
      </c>
    </row>
    <row r="29">
      <c r="A29" s="6" t="inlineStr">
        <is>
          <t>❌</t>
        </is>
      </c>
      <c r="B29" s="7" t="inlineStr">
        <is>
          <t>Non-Compliant</t>
        </is>
      </c>
      <c r="C29" s="7" t="inlineStr">
        <is>
          <t>Masking required but not deployed — remediation needed</t>
        </is>
      </c>
    </row>
    <row r="30">
      <c r="A30" s="6" t="inlineStr">
        <is>
          <t>—</t>
        </is>
      </c>
      <c r="B30" s="7" t="inlineStr">
        <is>
          <t>N/A</t>
        </is>
      </c>
      <c r="C30" s="7" t="inlineStr">
        <is>
          <t>Not applicable to this organisation</t>
        </is>
      </c>
    </row>
    <row r="32">
      <c r="A32" s="2" t="inlineStr">
        <is>
          <t>ACCEPTABLE EVIDENCE (examples)</t>
        </is>
      </c>
    </row>
    <row r="33">
      <c r="A33" t="inlineStr">
        <is>
          <t>✓ Environment inventory reports and architecture diagrams</t>
        </is>
      </c>
    </row>
    <row r="34">
      <c r="A34" t="inlineStr">
        <is>
          <t>✓ Data masking configuration screenshots</t>
        </is>
      </c>
    </row>
    <row r="35">
      <c r="A35" t="inlineStr">
        <is>
          <t>✓ Masking tool deployment evidence and audit logs</t>
        </is>
      </c>
    </row>
    <row r="36">
      <c r="A36" t="inlineStr">
        <is>
          <t>✓ Data flow diagrams with masking checkpoints</t>
        </is>
      </c>
    </row>
    <row r="37">
      <c r="A37" t="inlineStr">
        <is>
          <t>✓ Non-production data refresh procedures with masking steps</t>
        </is>
      </c>
    </row>
    <row r="38">
      <c r="A38" t="inlineStr">
        <is>
          <t>✓ Coverage assessment reports and gap analysis</t>
        </is>
      </c>
    </row>
    <row r="39">
      <c r="A39" t="inlineStr">
        <is>
          <t>✓ Exception approvals with business justification</t>
        </is>
      </c>
    </row>
    <row r="40">
      <c r="A40" t="inlineStr">
        <is>
          <t>✓ Vendor/DPA documentation specifying masking requirements</t>
        </is>
      </c>
    </row>
    <row r="41">
      <c r="A41" t="inlineStr">
        <is>
          <t>✓ Cloud provider security assessment results</t>
        </is>
      </c>
    </row>
    <row r="42">
      <c r="A42" t="inlineStr">
        <is>
          <t>✓ Backup encryption and access control documentation</t>
        </is>
      </c>
    </row>
    <row r="43">
      <c r="A43" t="inlineStr">
        <is>
          <t>✓ Compliance audit reports and remediation evidence</t>
        </is>
      </c>
    </row>
    <row r="44">
      <c r="A44" t="inlineStr">
        <is>
          <t>✓ Change management records for masking deployments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5"/>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s>
  <sheetData>
    <row r="1" ht="35" customHeight="1">
      <c r="A1" s="1" t="inlineStr">
        <is>
          <t>ENVIRONMENT INVENTORY</t>
        </is>
      </c>
    </row>
    <row r="2">
      <c r="A2" s="8" t="inlineStr">
        <is>
          <t>Policy Reference: All information processing environments must be cataloged and classified for masking applicability (ISMS-POL-A.8.11-S2.3 Section 2)</t>
        </is>
      </c>
    </row>
    <row r="3">
      <c r="A3" s="9" t="inlineStr">
        <is>
          <t>Does your organisation maintain a complete inventory of ALL environments where data is processed, stored, or transmitted?</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row>
    <row r="9">
      <c r="A9" s="4" t="n"/>
      <c r="B9" s="4" t="n"/>
      <c r="C9" s="4" t="n"/>
      <c r="D9" s="4" t="n"/>
      <c r="E9" s="4" t="n"/>
      <c r="F9" s="4" t="n"/>
      <c r="G9" s="4" t="n"/>
      <c r="H9" s="4" t="n"/>
      <c r="I9" s="4" t="n"/>
      <c r="J9" s="4" t="n"/>
      <c r="K9" s="4" t="n"/>
      <c r="L9" s="4" t="n"/>
      <c r="M9" s="4" t="n"/>
      <c r="N9" s="4" t="n"/>
      <c r="O9" s="4" t="n"/>
      <c r="P9" s="4" t="n"/>
      <c r="Q9" s="4" t="n"/>
    </row>
    <row r="10">
      <c r="A10" s="4" t="n"/>
      <c r="B10" s="4" t="n"/>
      <c r="C10" s="4" t="n"/>
      <c r="D10" s="4" t="n"/>
      <c r="E10" s="4" t="n"/>
      <c r="F10" s="4" t="n"/>
      <c r="G10" s="4" t="n"/>
      <c r="H10" s="4" t="n"/>
      <c r="I10" s="4" t="n"/>
      <c r="J10" s="4" t="n"/>
      <c r="K10" s="4" t="n"/>
      <c r="L10" s="4" t="n"/>
      <c r="M10" s="4" t="n"/>
      <c r="N10" s="4" t="n"/>
      <c r="O10" s="4" t="n"/>
      <c r="P10" s="4" t="n"/>
      <c r="Q10" s="4" t="n"/>
    </row>
    <row r="11">
      <c r="A11" s="4" t="n"/>
      <c r="B11" s="4" t="n"/>
      <c r="C11" s="4" t="n"/>
      <c r="D11" s="4" t="n"/>
      <c r="E11" s="4" t="n"/>
      <c r="F11" s="4" t="n"/>
      <c r="G11" s="4" t="n"/>
      <c r="H11" s="4" t="n"/>
      <c r="I11" s="4" t="n"/>
      <c r="J11" s="4" t="n"/>
      <c r="K11" s="4" t="n"/>
      <c r="L11" s="4" t="n"/>
      <c r="M11" s="4" t="n"/>
      <c r="N11" s="4" t="n"/>
      <c r="O11" s="4" t="n"/>
      <c r="P11" s="4" t="n"/>
      <c r="Q11" s="4" t="n"/>
    </row>
    <row r="12">
      <c r="A12" s="4" t="n"/>
      <c r="B12" s="4" t="n"/>
      <c r="C12" s="4" t="n"/>
      <c r="D12" s="4" t="n"/>
      <c r="E12" s="4" t="n"/>
      <c r="F12" s="4" t="n"/>
      <c r="G12" s="4" t="n"/>
      <c r="H12" s="4" t="n"/>
      <c r="I12" s="4" t="n"/>
      <c r="J12" s="4" t="n"/>
      <c r="K12" s="4" t="n"/>
      <c r="L12" s="4" t="n"/>
      <c r="M12" s="4" t="n"/>
      <c r="N12" s="4" t="n"/>
      <c r="O12" s="4" t="n"/>
      <c r="P12" s="4" t="n"/>
      <c r="Q12" s="4" t="n"/>
    </row>
    <row r="13">
      <c r="A13" s="4" t="n"/>
      <c r="B13" s="4" t="n"/>
      <c r="C13" s="4" t="n"/>
      <c r="D13" s="4" t="n"/>
      <c r="E13" s="4" t="n"/>
      <c r="F13" s="4" t="n"/>
      <c r="G13" s="4" t="n"/>
      <c r="H13" s="4" t="n"/>
      <c r="I13" s="4" t="n"/>
      <c r="J13" s="4" t="n"/>
      <c r="K13" s="4" t="n"/>
      <c r="L13" s="4" t="n"/>
      <c r="M13" s="4" t="n"/>
      <c r="N13" s="4" t="n"/>
      <c r="O13" s="4" t="n"/>
      <c r="P13" s="4" t="n"/>
      <c r="Q13" s="4" t="n"/>
    </row>
    <row r="14">
      <c r="A14" s="4" t="n"/>
      <c r="B14" s="4" t="n"/>
      <c r="C14" s="4" t="n"/>
      <c r="D14" s="4" t="n"/>
      <c r="E14" s="4" t="n"/>
      <c r="F14" s="4" t="n"/>
      <c r="G14" s="4" t="n"/>
      <c r="H14" s="4" t="n"/>
      <c r="I14" s="4" t="n"/>
      <c r="J14" s="4" t="n"/>
      <c r="K14" s="4" t="n"/>
      <c r="L14" s="4" t="n"/>
      <c r="M14" s="4" t="n"/>
      <c r="N14" s="4" t="n"/>
      <c r="O14" s="4" t="n"/>
      <c r="P14" s="4" t="n"/>
      <c r="Q14" s="4" t="n"/>
    </row>
    <row r="15">
      <c r="A15" s="4" t="n"/>
      <c r="B15" s="4" t="n"/>
      <c r="C15" s="4" t="n"/>
      <c r="D15" s="4" t="n"/>
      <c r="E15" s="4" t="n"/>
      <c r="F15" s="4" t="n"/>
      <c r="G15" s="4" t="n"/>
      <c r="H15" s="4" t="n"/>
      <c r="I15" s="4" t="n"/>
      <c r="J15" s="4" t="n"/>
      <c r="K15" s="4" t="n"/>
      <c r="L15" s="4" t="n"/>
      <c r="M15" s="4" t="n"/>
      <c r="N15" s="4" t="n"/>
      <c r="O15" s="4" t="n"/>
      <c r="P15" s="4" t="n"/>
      <c r="Q15" s="4" t="n"/>
    </row>
    <row r="16">
      <c r="A16" s="4" t="n"/>
      <c r="B16" s="4" t="n"/>
      <c r="C16" s="4" t="n"/>
      <c r="D16" s="4" t="n"/>
      <c r="E16" s="4" t="n"/>
      <c r="F16" s="4" t="n"/>
      <c r="G16" s="4" t="n"/>
      <c r="H16" s="4" t="n"/>
      <c r="I16" s="4" t="n"/>
      <c r="J16" s="4" t="n"/>
      <c r="K16" s="4" t="n"/>
      <c r="L16" s="4" t="n"/>
      <c r="M16" s="4" t="n"/>
      <c r="N16" s="4" t="n"/>
      <c r="O16" s="4" t="n"/>
      <c r="P16" s="4" t="n"/>
      <c r="Q16" s="4" t="n"/>
    </row>
    <row r="17">
      <c r="A17" s="4" t="n"/>
      <c r="B17" s="4" t="n"/>
      <c r="C17" s="4" t="n"/>
      <c r="D17" s="4" t="n"/>
      <c r="E17" s="4" t="n"/>
      <c r="F17" s="4" t="n"/>
      <c r="G17" s="4" t="n"/>
      <c r="H17" s="4" t="n"/>
      <c r="I17" s="4" t="n"/>
      <c r="J17" s="4" t="n"/>
      <c r="K17" s="4" t="n"/>
      <c r="L17" s="4" t="n"/>
      <c r="M17" s="4" t="n"/>
      <c r="N17" s="4" t="n"/>
      <c r="O17" s="4" t="n"/>
      <c r="P17" s="4" t="n"/>
      <c r="Q17" s="4" t="n"/>
    </row>
    <row r="18">
      <c r="A18" s="4" t="n"/>
      <c r="B18" s="4" t="n"/>
      <c r="C18" s="4" t="n"/>
      <c r="D18" s="4" t="n"/>
      <c r="E18" s="4" t="n"/>
      <c r="F18" s="4" t="n"/>
      <c r="G18" s="4" t="n"/>
      <c r="H18" s="4" t="n"/>
      <c r="I18" s="4" t="n"/>
      <c r="J18" s="4" t="n"/>
      <c r="K18" s="4" t="n"/>
      <c r="L18" s="4" t="n"/>
      <c r="M18" s="4" t="n"/>
      <c r="N18" s="4" t="n"/>
      <c r="O18" s="4" t="n"/>
      <c r="P18" s="4" t="n"/>
      <c r="Q18" s="4" t="n"/>
    </row>
    <row r="19">
      <c r="A19" s="4" t="n"/>
      <c r="B19" s="4" t="n"/>
      <c r="C19" s="4" t="n"/>
      <c r="D19" s="4" t="n"/>
      <c r="E19" s="4" t="n"/>
      <c r="F19" s="4" t="n"/>
      <c r="G19" s="4" t="n"/>
      <c r="H19" s="4" t="n"/>
      <c r="I19" s="4" t="n"/>
      <c r="J19" s="4" t="n"/>
      <c r="K19" s="4" t="n"/>
      <c r="L19" s="4" t="n"/>
      <c r="M19" s="4" t="n"/>
      <c r="N19" s="4" t="n"/>
      <c r="O19" s="4" t="n"/>
      <c r="P19" s="4" t="n"/>
      <c r="Q19" s="4" t="n"/>
    </row>
    <row r="20">
      <c r="A20" s="4" t="n"/>
      <c r="B20" s="4" t="n"/>
      <c r="C20" s="4" t="n"/>
      <c r="D20" s="4" t="n"/>
      <c r="E20" s="4" t="n"/>
      <c r="F20" s="4" t="n"/>
      <c r="G20" s="4" t="n"/>
      <c r="H20" s="4" t="n"/>
      <c r="I20" s="4" t="n"/>
      <c r="J20" s="4" t="n"/>
      <c r="K20" s="4" t="n"/>
      <c r="L20" s="4" t="n"/>
      <c r="M20" s="4" t="n"/>
      <c r="N20" s="4" t="n"/>
      <c r="O20" s="4" t="n"/>
      <c r="P20" s="4" t="n"/>
      <c r="Q20" s="4" t="n"/>
    </row>
    <row r="21">
      <c r="A21" s="4" t="n"/>
      <c r="B21" s="4" t="n"/>
      <c r="C21" s="4" t="n"/>
      <c r="D21" s="4" t="n"/>
      <c r="E21" s="4" t="n"/>
      <c r="F21" s="4" t="n"/>
      <c r="G21" s="4" t="n"/>
      <c r="H21" s="4" t="n"/>
      <c r="I21" s="4" t="n"/>
      <c r="J21" s="4" t="n"/>
      <c r="K21" s="4" t="n"/>
      <c r="L21" s="4" t="n"/>
      <c r="M21" s="4" t="n"/>
      <c r="N21" s="4" t="n"/>
      <c r="O21" s="4" t="n"/>
      <c r="P21" s="4" t="n"/>
      <c r="Q21" s="4" t="n"/>
    </row>
    <row r="22">
      <c r="A22" s="4" t="n"/>
      <c r="B22" s="4" t="n"/>
      <c r="C22" s="4" t="n"/>
      <c r="D22" s="4" t="n"/>
      <c r="E22" s="4" t="n"/>
      <c r="F22" s="4" t="n"/>
      <c r="G22" s="4" t="n"/>
      <c r="H22" s="4" t="n"/>
      <c r="I22" s="4" t="n"/>
      <c r="J22" s="4" t="n"/>
      <c r="K22" s="4" t="n"/>
      <c r="L22" s="4" t="n"/>
      <c r="M22" s="4" t="n"/>
      <c r="N22" s="4" t="n"/>
      <c r="O22" s="4" t="n"/>
      <c r="P22" s="4" t="n"/>
      <c r="Q22" s="4" t="n"/>
    </row>
    <row r="23">
      <c r="A23" s="4" t="n"/>
      <c r="B23" s="4" t="n"/>
      <c r="C23" s="4" t="n"/>
      <c r="D23" s="4" t="n"/>
      <c r="E23" s="4" t="n"/>
      <c r="F23" s="4" t="n"/>
      <c r="G23" s="4" t="n"/>
      <c r="H23" s="4" t="n"/>
      <c r="I23" s="4" t="n"/>
      <c r="J23" s="4" t="n"/>
      <c r="K23" s="4" t="n"/>
      <c r="L23" s="4" t="n"/>
      <c r="M23" s="4" t="n"/>
      <c r="N23" s="4" t="n"/>
      <c r="O23" s="4" t="n"/>
      <c r="P23" s="4" t="n"/>
      <c r="Q23" s="4" t="n"/>
    </row>
    <row r="24">
      <c r="A24" s="4" t="n"/>
      <c r="B24" s="4" t="n"/>
      <c r="C24" s="4" t="n"/>
      <c r="D24" s="4" t="n"/>
      <c r="E24" s="4" t="n"/>
      <c r="F24" s="4" t="n"/>
      <c r="G24" s="4" t="n"/>
      <c r="H24" s="4" t="n"/>
      <c r="I24" s="4" t="n"/>
      <c r="J24" s="4" t="n"/>
      <c r="K24" s="4" t="n"/>
      <c r="L24" s="4" t="n"/>
      <c r="M24" s="4" t="n"/>
      <c r="N24" s="4" t="n"/>
      <c r="O24" s="4" t="n"/>
      <c r="P24" s="4" t="n"/>
      <c r="Q24" s="4" t="n"/>
    </row>
    <row r="25">
      <c r="A25" s="4" t="n"/>
      <c r="B25" s="4" t="n"/>
      <c r="C25" s="4" t="n"/>
      <c r="D25" s="4" t="n"/>
      <c r="E25" s="4" t="n"/>
      <c r="F25" s="4" t="n"/>
      <c r="G25" s="4" t="n"/>
      <c r="H25" s="4" t="n"/>
      <c r="I25" s="4" t="n"/>
      <c r="J25" s="4" t="n"/>
      <c r="K25" s="4" t="n"/>
      <c r="L25" s="4" t="n"/>
      <c r="M25" s="4" t="n"/>
      <c r="N25" s="4" t="n"/>
      <c r="O25" s="4" t="n"/>
      <c r="P25" s="4" t="n"/>
      <c r="Q25" s="4" t="n"/>
    </row>
    <row r="26">
      <c r="A26" s="4" t="n"/>
      <c r="B26" s="4" t="n"/>
      <c r="C26" s="4" t="n"/>
      <c r="D26" s="4" t="n"/>
      <c r="E26" s="4" t="n"/>
      <c r="F26" s="4" t="n"/>
      <c r="G26" s="4" t="n"/>
      <c r="H26" s="4" t="n"/>
      <c r="I26" s="4" t="n"/>
      <c r="J26" s="4" t="n"/>
      <c r="K26" s="4" t="n"/>
      <c r="L26" s="4" t="n"/>
      <c r="M26" s="4" t="n"/>
      <c r="N26" s="4" t="n"/>
      <c r="O26" s="4" t="n"/>
      <c r="P26" s="4" t="n"/>
      <c r="Q26" s="4" t="n"/>
    </row>
    <row r="27">
      <c r="A27" s="4" t="n"/>
      <c r="B27" s="4" t="n"/>
      <c r="C27" s="4" t="n"/>
      <c r="D27" s="4" t="n"/>
      <c r="E27" s="4" t="n"/>
      <c r="F27" s="4" t="n"/>
      <c r="G27" s="4" t="n"/>
      <c r="H27" s="4" t="n"/>
      <c r="I27" s="4" t="n"/>
      <c r="J27" s="4" t="n"/>
      <c r="K27" s="4" t="n"/>
      <c r="L27" s="4" t="n"/>
      <c r="M27" s="4" t="n"/>
      <c r="N27" s="4" t="n"/>
      <c r="O27" s="4" t="n"/>
      <c r="P27" s="4" t="n"/>
      <c r="Q27" s="4" t="n"/>
    </row>
    <row r="28">
      <c r="A28" s="4" t="n"/>
      <c r="B28" s="4" t="n"/>
      <c r="C28" s="4" t="n"/>
      <c r="D28" s="4" t="n"/>
      <c r="E28" s="4" t="n"/>
      <c r="F28" s="4" t="n"/>
      <c r="G28" s="4" t="n"/>
      <c r="H28" s="4" t="n"/>
      <c r="I28" s="4" t="n"/>
      <c r="J28" s="4" t="n"/>
      <c r="K28" s="4" t="n"/>
      <c r="L28" s="4" t="n"/>
      <c r="M28" s="4" t="n"/>
      <c r="N28" s="4" t="n"/>
      <c r="O28" s="4" t="n"/>
      <c r="P28" s="4" t="n"/>
      <c r="Q28" s="4" t="n"/>
    </row>
    <row r="29">
      <c r="A29" s="4" t="n"/>
      <c r="B29" s="4" t="n"/>
      <c r="C29" s="4" t="n"/>
      <c r="D29" s="4" t="n"/>
      <c r="E29" s="4" t="n"/>
      <c r="F29" s="4" t="n"/>
      <c r="G29" s="4" t="n"/>
      <c r="H29" s="4" t="n"/>
      <c r="I29" s="4" t="n"/>
      <c r="J29" s="4" t="n"/>
      <c r="K29" s="4" t="n"/>
      <c r="L29" s="4" t="n"/>
      <c r="M29" s="4" t="n"/>
      <c r="N29" s="4" t="n"/>
      <c r="O29" s="4" t="n"/>
      <c r="P29" s="4" t="n"/>
      <c r="Q29" s="4" t="n"/>
    </row>
    <row r="30">
      <c r="A30" s="4" t="n"/>
      <c r="B30" s="4" t="n"/>
      <c r="C30" s="4" t="n"/>
      <c r="D30" s="4" t="n"/>
      <c r="E30" s="4" t="n"/>
      <c r="F30" s="4" t="n"/>
      <c r="G30" s="4" t="n"/>
      <c r="H30" s="4" t="n"/>
      <c r="I30" s="4" t="n"/>
      <c r="J30" s="4" t="n"/>
      <c r="K30" s="4" t="n"/>
      <c r="L30" s="4" t="n"/>
      <c r="M30" s="4" t="n"/>
      <c r="N30" s="4" t="n"/>
      <c r="O30" s="4" t="n"/>
      <c r="P30" s="4" t="n"/>
      <c r="Q30" s="4" t="n"/>
    </row>
    <row r="31">
      <c r="A31" s="4" t="n"/>
      <c r="B31" s="4" t="n"/>
      <c r="C31" s="4" t="n"/>
      <c r="D31" s="4" t="n"/>
      <c r="E31" s="4" t="n"/>
      <c r="F31" s="4" t="n"/>
      <c r="G31" s="4" t="n"/>
      <c r="H31" s="4" t="n"/>
      <c r="I31" s="4" t="n"/>
      <c r="J31" s="4" t="n"/>
      <c r="K31" s="4" t="n"/>
      <c r="L31" s="4" t="n"/>
      <c r="M31" s="4" t="n"/>
      <c r="N31" s="4" t="n"/>
      <c r="O31" s="4" t="n"/>
      <c r="P31" s="4" t="n"/>
      <c r="Q31" s="4" t="n"/>
    </row>
    <row r="32">
      <c r="A32" s="4" t="n"/>
      <c r="B32" s="4" t="n"/>
      <c r="C32" s="4" t="n"/>
      <c r="D32" s="4" t="n"/>
      <c r="E32" s="4" t="n"/>
      <c r="F32" s="4" t="n"/>
      <c r="G32" s="4" t="n"/>
      <c r="H32" s="4" t="n"/>
      <c r="I32" s="4" t="n"/>
      <c r="J32" s="4" t="n"/>
      <c r="K32" s="4" t="n"/>
      <c r="L32" s="4" t="n"/>
      <c r="M32" s="4" t="n"/>
      <c r="N32" s="4" t="n"/>
      <c r="O32" s="4" t="n"/>
      <c r="P32" s="4" t="n"/>
      <c r="Q32" s="4" t="n"/>
    </row>
    <row r="33">
      <c r="A33" s="4" t="n"/>
      <c r="B33" s="4" t="n"/>
      <c r="C33" s="4" t="n"/>
      <c r="D33" s="4" t="n"/>
      <c r="E33" s="4" t="n"/>
      <c r="F33" s="4" t="n"/>
      <c r="G33" s="4" t="n"/>
      <c r="H33" s="4" t="n"/>
      <c r="I33" s="4" t="n"/>
      <c r="J33" s="4" t="n"/>
      <c r="K33" s="4" t="n"/>
      <c r="L33" s="4" t="n"/>
      <c r="M33" s="4" t="n"/>
      <c r="N33" s="4" t="n"/>
      <c r="O33" s="4" t="n"/>
      <c r="P33" s="4" t="n"/>
      <c r="Q33" s="4" t="n"/>
    </row>
    <row r="34">
      <c r="A34" s="4" t="n"/>
      <c r="B34" s="4" t="n"/>
      <c r="C34" s="4" t="n"/>
      <c r="D34" s="4" t="n"/>
      <c r="E34" s="4" t="n"/>
      <c r="F34" s="4" t="n"/>
      <c r="G34" s="4" t="n"/>
      <c r="H34" s="4" t="n"/>
      <c r="I34" s="4" t="n"/>
      <c r="J34" s="4" t="n"/>
      <c r="K34" s="4" t="n"/>
      <c r="L34" s="4" t="n"/>
      <c r="M34" s="4" t="n"/>
      <c r="N34" s="4" t="n"/>
      <c r="O34" s="4" t="n"/>
      <c r="P34" s="4" t="n"/>
      <c r="Q34" s="4" t="n"/>
    </row>
    <row r="35">
      <c r="A35" s="4" t="n"/>
      <c r="B35" s="4" t="n"/>
      <c r="C35" s="4" t="n"/>
      <c r="D35" s="4" t="n"/>
      <c r="E35" s="4" t="n"/>
      <c r="F35" s="4" t="n"/>
      <c r="G35" s="4" t="n"/>
      <c r="H35" s="4" t="n"/>
      <c r="I35" s="4" t="n"/>
      <c r="J35" s="4" t="n"/>
      <c r="K35" s="4" t="n"/>
      <c r="L35" s="4" t="n"/>
      <c r="M35" s="4" t="n"/>
      <c r="N35" s="4" t="n"/>
      <c r="O35" s="4" t="n"/>
      <c r="P35" s="4" t="n"/>
      <c r="Q35" s="4" t="n"/>
    </row>
    <row r="36">
      <c r="A36" s="4" t="n"/>
      <c r="B36" s="4" t="n"/>
      <c r="C36" s="4" t="n"/>
      <c r="D36" s="4" t="n"/>
      <c r="E36" s="4" t="n"/>
      <c r="F36" s="4" t="n"/>
      <c r="G36" s="4" t="n"/>
      <c r="H36" s="4" t="n"/>
      <c r="I36" s="4" t="n"/>
      <c r="J36" s="4" t="n"/>
      <c r="K36" s="4" t="n"/>
      <c r="L36" s="4" t="n"/>
      <c r="M36" s="4" t="n"/>
      <c r="N36" s="4" t="n"/>
      <c r="O36" s="4" t="n"/>
      <c r="P36" s="4" t="n"/>
      <c r="Q36" s="4" t="n"/>
    </row>
    <row r="37">
      <c r="A37" s="4" t="n"/>
      <c r="B37" s="4" t="n"/>
      <c r="C37" s="4" t="n"/>
      <c r="D37" s="4" t="n"/>
      <c r="E37" s="4" t="n"/>
      <c r="F37" s="4" t="n"/>
      <c r="G37" s="4" t="n"/>
      <c r="H37" s="4" t="n"/>
      <c r="I37" s="4" t="n"/>
      <c r="J37" s="4" t="n"/>
      <c r="K37" s="4" t="n"/>
      <c r="L37" s="4" t="n"/>
      <c r="M37" s="4" t="n"/>
      <c r="N37" s="4" t="n"/>
      <c r="O37" s="4" t="n"/>
      <c r="P37" s="4" t="n"/>
      <c r="Q37" s="4" t="n"/>
    </row>
    <row r="38">
      <c r="A38" s="4" t="n"/>
      <c r="B38" s="4" t="n"/>
      <c r="C38" s="4" t="n"/>
      <c r="D38" s="4" t="n"/>
      <c r="E38" s="4" t="n"/>
      <c r="F38" s="4" t="n"/>
      <c r="G38" s="4" t="n"/>
      <c r="H38" s="4" t="n"/>
      <c r="I38" s="4" t="n"/>
      <c r="J38" s="4" t="n"/>
      <c r="K38" s="4" t="n"/>
      <c r="L38" s="4" t="n"/>
      <c r="M38" s="4" t="n"/>
      <c r="N38" s="4" t="n"/>
      <c r="O38" s="4" t="n"/>
      <c r="P38" s="4" t="n"/>
      <c r="Q38" s="4" t="n"/>
    </row>
    <row r="39">
      <c r="A39" s="4" t="n"/>
      <c r="B39" s="4" t="n"/>
      <c r="C39" s="4" t="n"/>
      <c r="D39" s="4" t="n"/>
      <c r="E39" s="4" t="n"/>
      <c r="F39" s="4" t="n"/>
      <c r="G39" s="4" t="n"/>
      <c r="H39" s="4" t="n"/>
      <c r="I39" s="4" t="n"/>
      <c r="J39" s="4" t="n"/>
      <c r="K39" s="4" t="n"/>
      <c r="L39" s="4" t="n"/>
      <c r="M39" s="4" t="n"/>
      <c r="N39" s="4" t="n"/>
      <c r="O39" s="4" t="n"/>
      <c r="P39" s="4" t="n"/>
      <c r="Q39" s="4" t="n"/>
    </row>
    <row r="40">
      <c r="A40" s="4" t="n"/>
      <c r="B40" s="4" t="n"/>
      <c r="C40" s="4" t="n"/>
      <c r="D40" s="4" t="n"/>
      <c r="E40" s="4" t="n"/>
      <c r="F40" s="4" t="n"/>
      <c r="G40" s="4" t="n"/>
      <c r="H40" s="4" t="n"/>
      <c r="I40" s="4" t="n"/>
      <c r="J40" s="4" t="n"/>
      <c r="K40" s="4" t="n"/>
      <c r="L40" s="4" t="n"/>
      <c r="M40" s="4" t="n"/>
      <c r="N40" s="4" t="n"/>
      <c r="O40" s="4" t="n"/>
      <c r="P40" s="4" t="n"/>
      <c r="Q40" s="4" t="n"/>
    </row>
    <row r="41">
      <c r="A41" s="4" t="n"/>
      <c r="B41" s="4" t="n"/>
      <c r="C41" s="4" t="n"/>
      <c r="D41" s="4" t="n"/>
      <c r="E41" s="4" t="n"/>
      <c r="F41" s="4" t="n"/>
      <c r="G41" s="4" t="n"/>
      <c r="H41" s="4" t="n"/>
      <c r="I41" s="4" t="n"/>
      <c r="J41" s="4" t="n"/>
      <c r="K41" s="4" t="n"/>
      <c r="L41" s="4" t="n"/>
      <c r="M41" s="4" t="n"/>
      <c r="N41" s="4" t="n"/>
      <c r="O41" s="4" t="n"/>
      <c r="P41" s="4" t="n"/>
      <c r="Q41" s="4" t="n"/>
    </row>
    <row r="42">
      <c r="A42" s="4" t="n"/>
      <c r="B42" s="4" t="n"/>
      <c r="C42" s="4" t="n"/>
      <c r="D42" s="4" t="n"/>
      <c r="E42" s="4" t="n"/>
      <c r="F42" s="4" t="n"/>
      <c r="G42" s="4" t="n"/>
      <c r="H42" s="4" t="n"/>
      <c r="I42" s="4" t="n"/>
      <c r="J42" s="4" t="n"/>
      <c r="K42" s="4" t="n"/>
      <c r="L42" s="4" t="n"/>
      <c r="M42" s="4" t="n"/>
      <c r="N42" s="4" t="n"/>
      <c r="O42" s="4" t="n"/>
      <c r="P42" s="4" t="n"/>
      <c r="Q42" s="4" t="n"/>
    </row>
    <row r="43">
      <c r="A43" s="4" t="n"/>
      <c r="B43" s="4" t="n"/>
      <c r="C43" s="4" t="n"/>
      <c r="D43" s="4" t="n"/>
      <c r="E43" s="4" t="n"/>
      <c r="F43" s="4" t="n"/>
      <c r="G43" s="4" t="n"/>
      <c r="H43" s="4" t="n"/>
      <c r="I43" s="4" t="n"/>
      <c r="J43" s="4" t="n"/>
      <c r="K43" s="4" t="n"/>
      <c r="L43" s="4" t="n"/>
      <c r="M43" s="4" t="n"/>
      <c r="N43" s="4" t="n"/>
      <c r="O43" s="4" t="n"/>
      <c r="P43" s="4" t="n"/>
      <c r="Q43" s="4" t="n"/>
    </row>
    <row r="44">
      <c r="A44" s="4" t="n"/>
      <c r="B44" s="4" t="n"/>
      <c r="C44" s="4" t="n"/>
      <c r="D44" s="4" t="n"/>
      <c r="E44" s="4" t="n"/>
      <c r="F44" s="4" t="n"/>
      <c r="G44" s="4" t="n"/>
      <c r="H44" s="4" t="n"/>
      <c r="I44" s="4" t="n"/>
      <c r="J44" s="4" t="n"/>
      <c r="K44" s="4" t="n"/>
      <c r="L44" s="4" t="n"/>
      <c r="M44" s="4" t="n"/>
      <c r="N44" s="4" t="n"/>
      <c r="O44" s="4" t="n"/>
      <c r="P44" s="4" t="n"/>
      <c r="Q44" s="4" t="n"/>
    </row>
    <row r="45">
      <c r="A45" s="4" t="n"/>
      <c r="B45" s="4" t="n"/>
      <c r="C45" s="4" t="n"/>
      <c r="D45" s="4" t="n"/>
      <c r="E45" s="4" t="n"/>
      <c r="F45" s="4" t="n"/>
      <c r="G45" s="4" t="n"/>
      <c r="H45" s="4" t="n"/>
      <c r="I45" s="4" t="n"/>
      <c r="J45" s="4" t="n"/>
      <c r="K45" s="4" t="n"/>
      <c r="L45" s="4" t="n"/>
      <c r="M45" s="4" t="n"/>
      <c r="N45" s="4" t="n"/>
      <c r="O45" s="4" t="n"/>
      <c r="P45" s="4" t="n"/>
      <c r="Q45" s="4" t="n"/>
    </row>
    <row r="46">
      <c r="A46" s="4" t="n"/>
      <c r="B46" s="4" t="n"/>
      <c r="C46" s="4" t="n"/>
      <c r="D46" s="4" t="n"/>
      <c r="E46" s="4" t="n"/>
      <c r="F46" s="4" t="n"/>
      <c r="G46" s="4" t="n"/>
      <c r="H46" s="4" t="n"/>
      <c r="I46" s="4" t="n"/>
      <c r="J46" s="4" t="n"/>
      <c r="K46" s="4" t="n"/>
      <c r="L46" s="4" t="n"/>
      <c r="M46" s="4" t="n"/>
      <c r="N46" s="4" t="n"/>
      <c r="O46" s="4" t="n"/>
      <c r="P46" s="4" t="n"/>
      <c r="Q46" s="4" t="n"/>
    </row>
    <row r="47">
      <c r="A47" s="4" t="n"/>
      <c r="B47" s="4" t="n"/>
      <c r="C47" s="4" t="n"/>
      <c r="D47" s="4" t="n"/>
      <c r="E47" s="4" t="n"/>
      <c r="F47" s="4" t="n"/>
      <c r="G47" s="4" t="n"/>
      <c r="H47" s="4" t="n"/>
      <c r="I47" s="4" t="n"/>
      <c r="J47" s="4" t="n"/>
      <c r="K47" s="4" t="n"/>
      <c r="L47" s="4" t="n"/>
      <c r="M47" s="4" t="n"/>
      <c r="N47" s="4" t="n"/>
      <c r="O47" s="4" t="n"/>
      <c r="P47" s="4" t="n"/>
      <c r="Q47" s="4" t="n"/>
    </row>
    <row r="48">
      <c r="A48" s="4" t="n"/>
      <c r="B48" s="4" t="n"/>
      <c r="C48" s="4" t="n"/>
      <c r="D48" s="4" t="n"/>
      <c r="E48" s="4" t="n"/>
      <c r="F48" s="4" t="n"/>
      <c r="G48" s="4" t="n"/>
      <c r="H48" s="4" t="n"/>
      <c r="I48" s="4" t="n"/>
      <c r="J48" s="4" t="n"/>
      <c r="K48" s="4" t="n"/>
      <c r="L48" s="4" t="n"/>
      <c r="M48" s="4" t="n"/>
      <c r="N48" s="4" t="n"/>
      <c r="O48" s="4" t="n"/>
      <c r="P48" s="4" t="n"/>
      <c r="Q48" s="4" t="n"/>
    </row>
    <row r="49">
      <c r="A49" s="4" t="n"/>
      <c r="B49" s="4" t="n"/>
      <c r="C49" s="4" t="n"/>
      <c r="D49" s="4" t="n"/>
      <c r="E49" s="4" t="n"/>
      <c r="F49" s="4" t="n"/>
      <c r="G49" s="4" t="n"/>
      <c r="H49" s="4" t="n"/>
      <c r="I49" s="4" t="n"/>
      <c r="J49" s="4" t="n"/>
      <c r="K49" s="4" t="n"/>
      <c r="L49" s="4" t="n"/>
      <c r="M49" s="4" t="n"/>
      <c r="N49" s="4" t="n"/>
      <c r="O49" s="4" t="n"/>
      <c r="P49" s="4" t="n"/>
      <c r="Q49" s="4" t="n"/>
    </row>
    <row r="50">
      <c r="A50" s="4" t="n"/>
      <c r="B50" s="4" t="n"/>
      <c r="C50" s="4" t="n"/>
      <c r="D50" s="4" t="n"/>
      <c r="E50" s="4" t="n"/>
      <c r="F50" s="4" t="n"/>
      <c r="G50" s="4" t="n"/>
      <c r="H50" s="4" t="n"/>
      <c r="I50" s="4" t="n"/>
      <c r="J50" s="4" t="n"/>
      <c r="K50" s="4" t="n"/>
      <c r="L50" s="4" t="n"/>
      <c r="M50" s="4" t="n"/>
      <c r="N50" s="4" t="n"/>
      <c r="O50" s="4" t="n"/>
      <c r="P50" s="4" t="n"/>
      <c r="Q50" s="4" t="n"/>
    </row>
    <row r="51">
      <c r="A51" s="4" t="n"/>
      <c r="B51" s="4" t="n"/>
      <c r="C51" s="4" t="n"/>
      <c r="D51" s="4" t="n"/>
      <c r="E51" s="4" t="n"/>
      <c r="F51" s="4" t="n"/>
      <c r="G51" s="4" t="n"/>
      <c r="H51" s="4" t="n"/>
      <c r="I51" s="4" t="n"/>
      <c r="J51" s="4" t="n"/>
      <c r="K51" s="4" t="n"/>
      <c r="L51" s="4" t="n"/>
      <c r="M51" s="4" t="n"/>
      <c r="N51" s="4" t="n"/>
      <c r="O51" s="4" t="n"/>
      <c r="P51" s="4" t="n"/>
      <c r="Q51" s="4" t="n"/>
    </row>
    <row r="52">
      <c r="A52" s="4" t="n"/>
      <c r="B52" s="4" t="n"/>
      <c r="C52" s="4" t="n"/>
      <c r="D52" s="4" t="n"/>
      <c r="E52" s="4" t="n"/>
      <c r="F52" s="4" t="n"/>
      <c r="G52" s="4" t="n"/>
      <c r="H52" s="4" t="n"/>
      <c r="I52" s="4" t="n"/>
      <c r="J52" s="4" t="n"/>
      <c r="K52" s="4" t="n"/>
      <c r="L52" s="4" t="n"/>
      <c r="M52" s="4" t="n"/>
      <c r="N52" s="4" t="n"/>
      <c r="O52" s="4" t="n"/>
      <c r="P52" s="4" t="n"/>
      <c r="Q52" s="4" t="n"/>
    </row>
    <row r="53">
      <c r="A53" s="4" t="n"/>
      <c r="B53" s="4" t="n"/>
      <c r="C53" s="4" t="n"/>
      <c r="D53" s="4" t="n"/>
      <c r="E53" s="4" t="n"/>
      <c r="F53" s="4" t="n"/>
      <c r="G53" s="4" t="n"/>
      <c r="H53" s="4" t="n"/>
      <c r="I53" s="4" t="n"/>
      <c r="J53" s="4" t="n"/>
      <c r="K53" s="4" t="n"/>
      <c r="L53" s="4" t="n"/>
      <c r="M53" s="4" t="n"/>
      <c r="N53" s="4" t="n"/>
      <c r="O53" s="4" t="n"/>
      <c r="P53" s="4" t="n"/>
      <c r="Q53" s="4" t="n"/>
    </row>
    <row r="54">
      <c r="A54" s="4" t="n"/>
      <c r="B54" s="4" t="n"/>
      <c r="C54" s="4" t="n"/>
      <c r="D54" s="4" t="n"/>
      <c r="E54" s="4" t="n"/>
      <c r="F54" s="4" t="n"/>
      <c r="G54" s="4" t="n"/>
      <c r="H54" s="4" t="n"/>
      <c r="I54" s="4" t="n"/>
      <c r="J54" s="4" t="n"/>
      <c r="K54" s="4" t="n"/>
      <c r="L54" s="4" t="n"/>
      <c r="M54" s="4" t="n"/>
      <c r="N54" s="4" t="n"/>
      <c r="O54" s="4" t="n"/>
      <c r="P54" s="4" t="n"/>
      <c r="Q54" s="4" t="n"/>
    </row>
    <row r="55">
      <c r="A55" s="4" t="n"/>
      <c r="B55" s="4" t="n"/>
      <c r="C55" s="4" t="n"/>
      <c r="D55" s="4" t="n"/>
      <c r="E55" s="4" t="n"/>
      <c r="F55" s="4" t="n"/>
      <c r="G55" s="4" t="n"/>
      <c r="H55" s="4" t="n"/>
      <c r="I55" s="4" t="n"/>
      <c r="J55" s="4" t="n"/>
      <c r="K55" s="4" t="n"/>
      <c r="L55" s="4" t="n"/>
      <c r="M55" s="4" t="n"/>
      <c r="N55" s="4" t="n"/>
      <c r="O55" s="4" t="n"/>
      <c r="P55" s="4" t="n"/>
      <c r="Q55" s="4" t="n"/>
    </row>
    <row r="56">
      <c r="A56" s="4" t="n"/>
      <c r="B56" s="4" t="n"/>
      <c r="C56" s="4" t="n"/>
      <c r="D56" s="4" t="n"/>
      <c r="E56" s="4" t="n"/>
      <c r="F56" s="4" t="n"/>
      <c r="G56" s="4" t="n"/>
      <c r="H56" s="4" t="n"/>
      <c r="I56" s="4" t="n"/>
      <c r="J56" s="4" t="n"/>
      <c r="K56" s="4" t="n"/>
      <c r="L56" s="4" t="n"/>
      <c r="M56" s="4" t="n"/>
      <c r="N56" s="4" t="n"/>
      <c r="O56" s="4" t="n"/>
      <c r="P56" s="4" t="n"/>
      <c r="Q56" s="4" t="n"/>
    </row>
    <row r="57">
      <c r="A57" s="4" t="n"/>
      <c r="B57" s="4" t="n"/>
      <c r="C57" s="4" t="n"/>
      <c r="D57" s="4" t="n"/>
      <c r="E57" s="4" t="n"/>
      <c r="F57" s="4" t="n"/>
      <c r="G57" s="4" t="n"/>
      <c r="H57" s="4" t="n"/>
      <c r="I57" s="4" t="n"/>
      <c r="J57" s="4" t="n"/>
      <c r="K57" s="4" t="n"/>
      <c r="L57" s="4" t="n"/>
      <c r="M57" s="4" t="n"/>
      <c r="N57" s="4" t="n"/>
      <c r="O57" s="4" t="n"/>
      <c r="P57" s="4" t="n"/>
      <c r="Q57" s="4" t="n"/>
    </row>
    <row r="60">
      <c r="A60" s="9" t="inlineStr">
        <is>
          <t>ENVIRONMENT CHECKLIST</t>
        </is>
      </c>
    </row>
    <row r="61">
      <c r="A61" t="inlineStr">
        <is>
          <t>☐</t>
        </is>
      </c>
      <c r="B61" t="inlineStr">
        <is>
          <t>All production environments documented</t>
        </is>
      </c>
      <c r="C61" s="4" t="n"/>
    </row>
    <row r="62">
      <c r="A62" t="inlineStr">
        <is>
          <t>☐</t>
        </is>
      </c>
      <c r="B62" t="inlineStr">
        <is>
          <t>All non-production environments documented (Dev/Test/UAT/Sandbox)</t>
        </is>
      </c>
      <c r="C62" s="4" t="n"/>
    </row>
    <row r="63">
      <c r="A63" t="inlineStr">
        <is>
          <t>☐</t>
        </is>
      </c>
      <c r="B63" t="inlineStr">
        <is>
          <t>All analytics/reporting environments documented</t>
        </is>
      </c>
      <c r="C63" s="4" t="n"/>
    </row>
    <row r="64">
      <c r="A64" t="inlineStr">
        <is>
          <t>☐</t>
        </is>
      </c>
      <c r="B64" t="inlineStr">
        <is>
          <t>All cloud environments documented (AWS/Azure/GCP/Other)</t>
        </is>
      </c>
      <c r="C64" s="4" t="n"/>
    </row>
    <row r="65">
      <c r="A65" t="inlineStr">
        <is>
          <t>☐</t>
        </is>
      </c>
      <c r="B65" t="inlineStr">
        <is>
          <t>All backup/archive systems documented</t>
        </is>
      </c>
      <c r="C65" s="4" t="n"/>
    </row>
    <row r="66">
      <c r="A66" t="inlineStr">
        <is>
          <t>☐</t>
        </is>
      </c>
      <c r="B66" t="inlineStr">
        <is>
          <t>External data sharing destinations documented</t>
        </is>
      </c>
      <c r="C66" s="4" t="n"/>
    </row>
    <row r="67">
      <c r="A67" t="inlineStr">
        <is>
          <t>☐</t>
        </is>
      </c>
      <c r="B67" t="inlineStr">
        <is>
          <t>Each environment classified (Sensitive/Confidential/Internal/Public)</t>
        </is>
      </c>
      <c r="C67" s="4" t="n"/>
    </row>
    <row r="68">
      <c r="A68" t="inlineStr">
        <is>
          <t>☐</t>
        </is>
      </c>
      <c r="B68" t="inlineStr">
        <is>
          <t>Data sensitivity level assigned per environment</t>
        </is>
      </c>
      <c r="C68" s="4" t="n"/>
    </row>
    <row r="69">
      <c r="A69" t="inlineStr">
        <is>
          <t>☐</t>
        </is>
      </c>
      <c r="B69" t="inlineStr">
        <is>
          <t>Masking requirement determined (Mandatory/Conditional/Not Required)</t>
        </is>
      </c>
      <c r="C69" s="4" t="n"/>
    </row>
    <row r="70">
      <c r="A70" t="inlineStr">
        <is>
          <t>☐</t>
        </is>
      </c>
      <c r="B70" t="inlineStr">
        <is>
          <t>Environment owners assigned</t>
        </is>
      </c>
      <c r="C70" s="4" t="n"/>
    </row>
    <row r="71">
      <c r="A71" t="inlineStr">
        <is>
          <t>☐</t>
        </is>
      </c>
      <c r="B71" t="inlineStr">
        <is>
          <t>Data owners assigned</t>
        </is>
      </c>
      <c r="C71" s="4" t="n"/>
    </row>
    <row r="72">
      <c r="A72" t="inlineStr">
        <is>
          <t>☐</t>
        </is>
      </c>
      <c r="B72" t="inlineStr">
        <is>
          <t>Hosting location documented (On-Prem/Cloud)</t>
        </is>
      </c>
      <c r="C72" s="4" t="n"/>
    </row>
    <row r="73">
      <c r="A73" t="inlineStr">
        <is>
          <t>☐</t>
        </is>
      </c>
      <c r="B73" t="inlineStr">
        <is>
          <t>Environment inventory reviewed in last 6 months</t>
        </is>
      </c>
      <c r="C73" s="4" t="n"/>
    </row>
    <row r="74">
      <c r="A74" t="inlineStr">
        <is>
          <t>☐</t>
        </is>
      </c>
      <c r="B74" t="inlineStr">
        <is>
          <t>New environments added to inventory within 30 days of deployment</t>
        </is>
      </c>
      <c r="C74" s="4" t="n"/>
    </row>
    <row r="75">
      <c r="A75" t="inlineStr">
        <is>
          <t>☐</t>
        </is>
      </c>
      <c r="B75" t="inlineStr">
        <is>
          <t>Decommissioned environments removed from inventory</t>
        </is>
      </c>
      <c r="C75"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8"/>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0" customWidth="1" min="18" max="18"/>
    <col width="25" customWidth="1" min="19" max="19"/>
    <col width="15" customWidth="1" min="20" max="20"/>
    <col width="20" customWidth="1" min="21" max="21"/>
    <col width="30" customWidth="1" min="22" max="22"/>
    <col width="12" customWidth="1" min="23" max="23"/>
    <col width="15" customWidth="1" min="24" max="24"/>
  </cols>
  <sheetData>
    <row r="1" ht="35" customHeight="1">
      <c r="A1" s="1" t="inlineStr">
        <is>
          <t>PRODUCTION ENVIRONMENT ASSESSMENT</t>
        </is>
      </c>
    </row>
    <row r="2">
      <c r="A2" s="8" t="inlineStr">
        <is>
          <t>Policy Reference: Production environments may use Dynamic Data Masking (DDM) for role-based access. All access to unmasked data must be logged. (ISMS-POL-A.8.11-S2.3 Section 3.1)</t>
        </is>
      </c>
    </row>
    <row r="3">
      <c r="A3" s="9" t="inlineStr">
        <is>
          <t>Does your organisation implement role-based masking (DDM) in production environments to restrict access to sensitive data?</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User Role/Group</t>
        </is>
      </c>
      <c r="S6" s="10" t="inlineStr">
        <is>
          <t>Masked Fields</t>
        </is>
      </c>
      <c r="T6" s="10" t="inlineStr">
        <is>
          <t>Unmasked Access Logged?</t>
        </is>
      </c>
      <c r="U6" s="10" t="inlineStr">
        <is>
          <t>Access Control Method</t>
        </is>
      </c>
      <c r="V6" s="10" t="inlineStr">
        <is>
          <t>Exception Justification</t>
        </is>
      </c>
      <c r="W6" s="10" t="inlineStr">
        <is>
          <t>Risk Level</t>
        </is>
      </c>
      <c r="X6" s="10" t="inlineStr">
        <is>
          <t>Remediation Target Date</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PRODUCTION CHECKLIST</t>
        </is>
      </c>
    </row>
    <row r="61">
      <c r="A61" t="inlineStr">
        <is>
          <t>☐</t>
        </is>
      </c>
      <c r="B61" t="inlineStr">
        <is>
          <t>DDM implemented for role-based access in production</t>
        </is>
      </c>
      <c r="C61" s="4" t="n"/>
    </row>
    <row r="62">
      <c r="A62" t="inlineStr">
        <is>
          <t>☐</t>
        </is>
      </c>
      <c r="B62" t="inlineStr">
        <is>
          <t>Customer service representatives see masked customer data</t>
        </is>
      </c>
      <c r="C62" s="4" t="n"/>
    </row>
    <row r="63">
      <c r="A63" t="inlineStr">
        <is>
          <t>☐</t>
        </is>
      </c>
      <c r="B63" t="inlineStr">
        <is>
          <t>Production reports mask data for non-privileged users</t>
        </is>
      </c>
      <c r="C63" s="4" t="n"/>
    </row>
    <row r="64">
      <c r="A64" t="inlineStr">
        <is>
          <t>☐</t>
        </is>
      </c>
      <c r="B64" t="inlineStr">
        <is>
          <t>Audit logs containing sensitive data are masked/encrypted</t>
        </is>
      </c>
      <c r="C64" s="4" t="n"/>
    </row>
    <row r="65">
      <c r="A65" t="inlineStr">
        <is>
          <t>☐</t>
        </is>
      </c>
      <c r="B65" t="inlineStr">
        <is>
          <t>Application outputs (invoices, statements) use partial redaction</t>
        </is>
      </c>
      <c r="C65" s="4" t="n"/>
    </row>
    <row r="66">
      <c r="A66" t="inlineStr">
        <is>
          <t>☐</t>
        </is>
      </c>
      <c r="B66" t="inlineStr">
        <is>
          <t>Production data exports are masked before release</t>
        </is>
      </c>
      <c r="C66" s="4" t="n"/>
    </row>
    <row r="67">
      <c r="A67" t="inlineStr">
        <is>
          <t>☐</t>
        </is>
      </c>
      <c r="B67" t="inlineStr">
        <is>
          <t>All access to unmasked production data is logged</t>
        </is>
      </c>
      <c r="C67" s="4" t="n"/>
    </row>
    <row r="68">
      <c r="A68" t="inlineStr">
        <is>
          <t>☐</t>
        </is>
      </c>
      <c r="B68" t="inlineStr">
        <is>
          <t>Access logs reviewed monthly for anomalies</t>
        </is>
      </c>
      <c r="C68" s="4" t="n"/>
    </row>
    <row r="69">
      <c r="A69" t="inlineStr">
        <is>
          <t>☐</t>
        </is>
      </c>
      <c r="B69" t="inlineStr">
        <is>
          <t>Privileged user access to unmasked data requires justification</t>
        </is>
      </c>
      <c r="C69" s="4" t="n"/>
    </row>
    <row r="70">
      <c r="A70" t="inlineStr">
        <is>
          <t>☐</t>
        </is>
      </c>
      <c r="B70" t="inlineStr">
        <is>
          <t>Masking exceptions documented with business justification</t>
        </is>
      </c>
      <c r="C70" s="4" t="n"/>
    </row>
    <row r="71">
      <c r="A71" t="inlineStr">
        <is>
          <t>☐</t>
        </is>
      </c>
      <c r="B71" t="inlineStr">
        <is>
          <t>Exception approvals obtained from Data Owner and ISO</t>
        </is>
      </c>
      <c r="C71" s="4" t="n"/>
    </row>
    <row r="72">
      <c r="A72" t="inlineStr">
        <is>
          <t>☐</t>
        </is>
      </c>
      <c r="B72" t="inlineStr">
        <is>
          <t>Exceptions reviewed quarterly</t>
        </is>
      </c>
      <c r="C72" s="4" t="n"/>
    </row>
    <row r="73">
      <c r="A73" t="inlineStr">
        <is>
          <t>☐</t>
        </is>
      </c>
      <c r="B73" t="inlineStr">
        <is>
          <t>DDM performance impact assessed (&lt;10% degradation acceptable)</t>
        </is>
      </c>
      <c r="C73" s="4" t="n"/>
    </row>
    <row r="74">
      <c r="A74" t="inlineStr">
        <is>
          <t>☐</t>
        </is>
      </c>
      <c r="B74" t="inlineStr">
        <is>
          <t>DDM rules tested before production deployment</t>
        </is>
      </c>
      <c r="C74" s="4" t="n"/>
    </row>
    <row r="75">
      <c r="A75" t="inlineStr">
        <is>
          <t>☐</t>
        </is>
      </c>
      <c r="B75" t="inlineStr">
        <is>
          <t>DDM bypass mechanisms disabled or strictly controlled</t>
        </is>
      </c>
      <c r="C75" s="4" t="n"/>
    </row>
    <row r="76">
      <c r="A76" t="inlineStr">
        <is>
          <t>☐</t>
        </is>
      </c>
      <c r="B76" t="inlineStr">
        <is>
          <t>Production masking coverage measured and tracked</t>
        </is>
      </c>
      <c r="C76" s="4" t="n"/>
    </row>
    <row r="77">
      <c r="A77" t="inlineStr">
        <is>
          <t>☐</t>
        </is>
      </c>
      <c r="B77" t="inlineStr">
        <is>
          <t>Coverage target: ≥90% of sensitive fields masked for non-privileged users</t>
        </is>
      </c>
      <c r="C77" s="4" t="n"/>
    </row>
    <row r="78">
      <c r="A78" t="inlineStr">
        <is>
          <t>☐</t>
        </is>
      </c>
      <c r="B78" t="inlineStr">
        <is>
          <t>Regulatory reporting requirements accommodate masking</t>
        </is>
      </c>
      <c r="C78"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C76 C77 C78" showDropDown="0" showInputMessage="0" showErrorMessage="0" allowBlank="0" type="list">
      <formula1>"✅ Complete,⚠️ Partial,❌ Missing,N/A"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18" customWidth="1" min="19" max="19"/>
    <col width="18" customWidth="1" min="20" max="20"/>
    <col width="22" customWidth="1" min="21" max="21"/>
    <col width="15" customWidth="1" min="22" max="22"/>
    <col width="15" customWidth="1" min="23" max="23"/>
    <col width="20" customWidth="1" min="24" max="24"/>
  </cols>
  <sheetData>
    <row r="1" ht="35" customHeight="1">
      <c r="A1" s="1" t="inlineStr">
        <is>
          <t>NON-PRODUCTION ENVIRONMENTS ASSESSMENT</t>
        </is>
      </c>
    </row>
    <row r="2">
      <c r="A2" s="8" t="inlineStr">
        <is>
          <t>Policy Reference: ALL sensitive data SHALL be masked before deployment to non-production. NO production data SHALL be copied without masking. (ISMS-POL-A.8.11-S2.3 Section 3.2)</t>
        </is>
      </c>
    </row>
    <row r="3">
      <c r="A3" s="9" t="inlineStr">
        <is>
          <t>Are ALL non-production environments (Dev/Test/UAT/Training/Sandbox/Staging) masked before receiving production data?</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Data Refresh Frequency</t>
        </is>
      </c>
      <c r="S6" s="10" t="inlineStr">
        <is>
          <t>Masking Applied During Refresh?</t>
        </is>
      </c>
      <c r="T6" s="10" t="inlineStr">
        <is>
          <t>Direct Prod Clone Prevented?</t>
        </is>
      </c>
      <c r="U6" s="10" t="inlineStr">
        <is>
          <t>Masking Validation Method</t>
        </is>
      </c>
      <c r="V6" s="10" t="inlineStr">
        <is>
          <t>Last Data Refresh Date</t>
        </is>
      </c>
      <c r="W6" s="10" t="inlineStr">
        <is>
          <t>Next Planned Refresh</t>
        </is>
      </c>
      <c r="X6" s="10" t="inlineStr">
        <is>
          <t>Refresh Process Owner</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NON-PRODUCTION CHECKLIST</t>
        </is>
      </c>
    </row>
    <row r="61">
      <c r="A61" t="inlineStr">
        <is>
          <t>☐</t>
        </is>
      </c>
      <c r="B61" t="inlineStr">
        <is>
          <t>Development environments masked</t>
        </is>
      </c>
      <c r="C61" s="4" t="n"/>
    </row>
    <row r="62">
      <c r="A62" t="inlineStr">
        <is>
          <t>☐</t>
        </is>
      </c>
      <c r="B62" t="inlineStr">
        <is>
          <t>Testing/QA environments masked</t>
        </is>
      </c>
      <c r="C62" s="4" t="n"/>
    </row>
    <row r="63">
      <c r="A63" t="inlineStr">
        <is>
          <t>☐</t>
        </is>
      </c>
      <c r="B63" t="inlineStr">
        <is>
          <t>UAT environments masked</t>
        </is>
      </c>
      <c r="C63" s="4" t="n"/>
    </row>
    <row r="64">
      <c r="A64" t="inlineStr">
        <is>
          <t>☐</t>
        </is>
      </c>
      <c r="B64" t="inlineStr">
        <is>
          <t>Training environments masked</t>
        </is>
      </c>
      <c r="C64" s="4" t="n"/>
    </row>
    <row r="65">
      <c r="A65" t="inlineStr">
        <is>
          <t>☐</t>
        </is>
      </c>
      <c r="B65" t="inlineStr">
        <is>
          <t>Sandbox environments masked</t>
        </is>
      </c>
      <c r="C65" s="4" t="n"/>
    </row>
    <row r="66">
      <c r="A66" t="inlineStr">
        <is>
          <t>☐</t>
        </is>
      </c>
      <c r="B66" t="inlineStr">
        <is>
          <t>Staging environments masked (unless prod-identical required)</t>
        </is>
      </c>
      <c r="C66" s="4" t="n"/>
    </row>
    <row r="67">
      <c r="A67" t="inlineStr">
        <is>
          <t>☐</t>
        </is>
      </c>
      <c r="B67" t="inlineStr">
        <is>
          <t>Static Data Masking (SDM) applied during data refresh</t>
        </is>
      </c>
      <c r="C67" s="4" t="n"/>
    </row>
    <row r="68">
      <c r="A68" t="inlineStr">
        <is>
          <t>☐</t>
        </is>
      </c>
      <c r="B68" t="inlineStr">
        <is>
          <t>Masking applied BEFORE data deployment (not 'later')</t>
        </is>
      </c>
      <c r="C68" s="4" t="n"/>
    </row>
    <row r="69">
      <c r="A69" t="inlineStr">
        <is>
          <t>☐</t>
        </is>
      </c>
      <c r="B69" t="inlineStr">
        <is>
          <t>Direct production database cloning prevented</t>
        </is>
      </c>
      <c r="C69" s="4" t="n"/>
    </row>
    <row r="70">
      <c r="A70" t="inlineStr">
        <is>
          <t>☐</t>
        </is>
      </c>
      <c r="B70" t="inlineStr">
        <is>
          <t>Automated masking integrated into data refresh pipeline</t>
        </is>
      </c>
      <c r="C70" s="4" t="n"/>
    </row>
    <row r="71">
      <c r="A71" t="inlineStr">
        <is>
          <t>☐</t>
        </is>
      </c>
      <c r="B71" t="inlineStr">
        <is>
          <t>Manual data copies prohibited without masking</t>
        </is>
      </c>
      <c r="C71" s="4" t="n"/>
    </row>
    <row r="72">
      <c r="A72" t="inlineStr">
        <is>
          <t>☐</t>
        </is>
      </c>
      <c r="B72" t="inlineStr">
        <is>
          <t>Developer NDA reliance eliminated (NDAs not technical controls)</t>
        </is>
      </c>
      <c r="C72" s="4" t="n"/>
    </row>
    <row r="73">
      <c r="A73" t="inlineStr">
        <is>
          <t>☐</t>
        </is>
      </c>
      <c r="B73" t="inlineStr">
        <is>
          <t>Non-production data refresh process documented</t>
        </is>
      </c>
      <c r="C73" s="4" t="n"/>
    </row>
    <row r="74">
      <c r="A74" t="inlineStr">
        <is>
          <t>☐</t>
        </is>
      </c>
      <c r="B74" t="inlineStr">
        <is>
          <t>Masking validation performed after each refresh</t>
        </is>
      </c>
      <c r="C74" s="4" t="n"/>
    </row>
    <row r="75">
      <c r="A75" t="inlineStr">
        <is>
          <t>☐</t>
        </is>
      </c>
      <c r="B75" t="inlineStr">
        <is>
          <t>Non-production exception count: ___ (Target: 0)</t>
        </is>
      </c>
      <c r="C75" s="4" t="n"/>
    </row>
    <row r="76">
      <c r="A76" t="inlineStr">
        <is>
          <t>☐</t>
        </is>
      </c>
      <c r="B76" t="inlineStr">
        <is>
          <t>Exceptions approved by ISO and Data Owner</t>
        </is>
      </c>
      <c r="C76" s="4" t="n"/>
    </row>
    <row r="77">
      <c r="A77" t="inlineStr">
        <is>
          <t>☐</t>
        </is>
      </c>
      <c r="B77" t="inlineStr">
        <is>
          <t>Compensating controls implemented for exceptions</t>
        </is>
      </c>
      <c r="C77" s="4" t="n"/>
    </row>
    <row r="78">
      <c r="A78" t="inlineStr">
        <is>
          <t>☐</t>
        </is>
      </c>
      <c r="B78" t="inlineStr">
        <is>
          <t>Exception review conducted quarterly</t>
        </is>
      </c>
      <c r="C78" s="4" t="n"/>
    </row>
    <row r="79">
      <c r="A79" t="inlineStr">
        <is>
          <t>☐</t>
        </is>
      </c>
      <c r="B79" t="inlineStr">
        <is>
          <t>Coverage target: 100% of non-prod environments masked</t>
        </is>
      </c>
      <c r="C79" s="4" t="n"/>
    </row>
    <row r="80">
      <c r="A80" t="inlineStr">
        <is>
          <t>☐</t>
        </is>
      </c>
      <c r="B80" t="inlineStr">
        <is>
          <t>Non-compliance escalated to CISO</t>
        </is>
      </c>
      <c r="C80"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C76 C77 C78 C79 C80" showDropDown="0" showInputMessage="0" showErrorMessage="0" allowBlank="0" type="list">
      <formula1>"✅ Complete,⚠️ Partial,❌ Missing,N/A"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5"/>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2" customWidth="1" min="18" max="18"/>
    <col width="18" customWidth="1" min="19" max="19"/>
    <col width="15" customWidth="1" min="20" max="20"/>
    <col width="15" customWidth="1" min="21" max="21"/>
    <col width="15" customWidth="1" min="22" max="22"/>
    <col width="22" customWidth="1" min="23" max="23"/>
    <col width="18" customWidth="1" min="24" max="24"/>
  </cols>
  <sheetData>
    <row r="1" ht="35" customHeight="1">
      <c r="A1" s="1" t="inlineStr">
        <is>
          <t>ANALYTICS &amp; REPORTING ENVIRONMENTS ASSESSMENT</t>
        </is>
      </c>
    </row>
    <row r="2">
      <c r="A2" s="8" t="inlineStr">
        <is>
          <t>Policy Reference: Individual-level PII SHALL be masked or aggregated. Synthetic data SHALL be used for ML/AI training. Re-identification risk SHALL be assessed. (ISMS-POL-A.8.11-S2.3 Section 3.3)</t>
        </is>
      </c>
    </row>
    <row r="3">
      <c r="A3" s="9" t="inlineStr">
        <is>
          <t>Are analytics, BI, data warehouse, and ML/AI environments masked to prevent individual-level data exposure?</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Analytics Platform Type</t>
        </is>
      </c>
      <c r="S6" s="10" t="inlineStr">
        <is>
          <t>Aggregation Level</t>
        </is>
      </c>
      <c r="T6" s="10" t="inlineStr">
        <is>
          <t>Re-ID Risk Assessed?</t>
        </is>
      </c>
      <c r="U6" s="10" t="inlineStr">
        <is>
          <t>Re-ID Risk Level</t>
        </is>
      </c>
      <c r="V6" s="10" t="inlineStr">
        <is>
          <t>Synthetic Data Used?</t>
        </is>
      </c>
      <c r="W6" s="10" t="inlineStr">
        <is>
          <t>Data Export Controls</t>
        </is>
      </c>
      <c r="X6" s="10" t="inlineStr">
        <is>
          <t>Self-Service BI Masking</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ANALYTICS CHECKLIST</t>
        </is>
      </c>
    </row>
    <row r="61">
      <c r="A61" t="inlineStr">
        <is>
          <t>☐</t>
        </is>
      </c>
      <c r="B61" t="inlineStr">
        <is>
          <t>BI tool exports contain masked data</t>
        </is>
      </c>
      <c r="C61" s="4" t="n"/>
    </row>
    <row r="62">
      <c r="A62" t="inlineStr">
        <is>
          <t>☐</t>
        </is>
      </c>
      <c r="B62" t="inlineStr">
        <is>
          <t>Data warehouse ETL includes masking steps</t>
        </is>
      </c>
      <c r="C62" s="4" t="n"/>
    </row>
    <row r="63">
      <c r="A63" t="inlineStr">
        <is>
          <t>☐</t>
        </is>
      </c>
      <c r="B63" t="inlineStr">
        <is>
          <t>Individual-level reports use masked data</t>
        </is>
      </c>
      <c r="C63" s="4" t="n"/>
    </row>
    <row r="64">
      <c r="A64" t="inlineStr">
        <is>
          <t>☐</t>
        </is>
      </c>
      <c r="B64" t="inlineStr">
        <is>
          <t>Aggregated reports assessed for re-identification risk</t>
        </is>
      </c>
      <c r="C64" s="4" t="n"/>
    </row>
    <row r="65">
      <c r="A65" t="inlineStr">
        <is>
          <t>☐</t>
        </is>
      </c>
      <c r="B65" t="inlineStr">
        <is>
          <t>ML/AI training datasets use synthetic or masked data</t>
        </is>
      </c>
      <c r="C65" s="4" t="n"/>
    </row>
    <row r="66">
      <c r="A66" t="inlineStr">
        <is>
          <t>☐</t>
        </is>
      </c>
      <c r="B66" t="inlineStr">
        <is>
          <t>PII removed or anonymised in training data</t>
        </is>
      </c>
      <c r="C66" s="4" t="n"/>
    </row>
    <row r="67">
      <c r="A67" t="inlineStr">
        <is>
          <t>☐</t>
        </is>
      </c>
      <c r="B67" t="inlineStr">
        <is>
          <t>Ad-hoc query exports masked</t>
        </is>
      </c>
      <c r="C67" s="4" t="n"/>
    </row>
    <row r="68">
      <c r="A68" t="inlineStr">
        <is>
          <t>☐</t>
        </is>
      </c>
      <c r="B68" t="inlineStr">
        <is>
          <t>Self-service BI tools enforce masking rules</t>
        </is>
      </c>
      <c r="C68" s="4" t="n"/>
    </row>
    <row r="69">
      <c r="A69" t="inlineStr">
        <is>
          <t>☐</t>
        </is>
      </c>
      <c r="B69" t="inlineStr">
        <is>
          <t>CSV/Excel exports contain masked data</t>
        </is>
      </c>
      <c r="C69" s="4" t="n"/>
    </row>
    <row r="70">
      <c r="A70" t="inlineStr">
        <is>
          <t>☐</t>
        </is>
      </c>
      <c r="B70" t="inlineStr">
        <is>
          <t>Analytics platform integrates masking at data ingestion</t>
        </is>
      </c>
      <c r="C70" s="4" t="n"/>
    </row>
    <row r="71">
      <c r="A71" t="inlineStr">
        <is>
          <t>☐</t>
        </is>
      </c>
      <c r="B71" t="inlineStr">
        <is>
          <t>Data minimisation applied (only export necessary fields)</t>
        </is>
      </c>
      <c r="C71" s="4" t="n"/>
    </row>
    <row r="72">
      <c r="A72" t="inlineStr">
        <is>
          <t>☐</t>
        </is>
      </c>
      <c r="B72" t="inlineStr">
        <is>
          <t>Re-identification risk assessed before data release</t>
        </is>
      </c>
      <c r="C72" s="4" t="n"/>
    </row>
    <row r="73">
      <c r="A73" t="inlineStr">
        <is>
          <t>☐</t>
        </is>
      </c>
      <c r="B73" t="inlineStr">
        <is>
          <t>Historical analytics data masked or aggregated</t>
        </is>
      </c>
      <c r="C73" s="4" t="n"/>
    </row>
    <row r="74">
      <c r="A74" t="inlineStr">
        <is>
          <t>☐</t>
        </is>
      </c>
      <c r="B74" t="inlineStr">
        <is>
          <t>Analytics data retention period documented</t>
        </is>
      </c>
      <c r="C74" s="4" t="n"/>
    </row>
    <row r="75">
      <c r="A75" t="inlineStr">
        <is>
          <t>☐</t>
        </is>
      </c>
      <c r="B75" t="inlineStr">
        <is>
          <t>Analytics environment access logged</t>
        </is>
      </c>
      <c r="C75"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72"/>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15" customWidth="1" min="19" max="19"/>
    <col width="20" customWidth="1" min="20" max="20"/>
    <col width="18" customWidth="1" min="21" max="21"/>
    <col width="22" customWidth="1" min="22" max="22"/>
    <col width="18" customWidth="1" min="23" max="23"/>
    <col width="15" customWidth="1" min="24" max="24"/>
  </cols>
  <sheetData>
    <row r="1" ht="35" customHeight="1">
      <c r="A1" s="1" t="inlineStr">
        <is>
          <t>BACKUP &amp; ARCHIVE ENVIRONMENTS ASSESSMENT</t>
        </is>
      </c>
    </row>
    <row r="2">
      <c r="A2" s="8" t="inlineStr">
        <is>
          <t>Policy Reference: Production backups may contain unmasked data if encrypted. Non-production backups SHALL contain only masked data. (ISMS-POL-A.8.11-S2.3 Section 3.4)</t>
        </is>
      </c>
    </row>
    <row r="3">
      <c r="A3" s="9" t="inlineStr">
        <is>
          <t>Are backup and archive environments encrypted and access-controlled? Are non-production backups masked?</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Backup Type</t>
        </is>
      </c>
      <c r="S6" s="10" t="inlineStr">
        <is>
          <t>Encryption Enabled?</t>
        </is>
      </c>
      <c r="T6" s="10" t="inlineStr">
        <is>
          <t>Encryption Method</t>
        </is>
      </c>
      <c r="U6" s="10" t="inlineStr">
        <is>
          <t>Access Control</t>
        </is>
      </c>
      <c r="V6" s="10" t="inlineStr">
        <is>
          <t>Restoration Process</t>
        </is>
      </c>
      <c r="W6" s="10" t="inlineStr">
        <is>
          <t>Masking on Restore?</t>
        </is>
      </c>
      <c r="X6" s="10" t="inlineStr">
        <is>
          <t>Backup Retention Period</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BACKUP CHECKLIST</t>
        </is>
      </c>
    </row>
    <row r="61">
      <c r="A61" t="inlineStr">
        <is>
          <t>☐</t>
        </is>
      </c>
      <c r="B61" t="inlineStr">
        <is>
          <t>Production backups encrypted at rest</t>
        </is>
      </c>
      <c r="C61" s="4" t="n"/>
    </row>
    <row r="62">
      <c r="A62" t="inlineStr">
        <is>
          <t>☐</t>
        </is>
      </c>
      <c r="B62" t="inlineStr">
        <is>
          <t>Backup encryption uses strong algorithms (AES-256)</t>
        </is>
      </c>
      <c r="C62" s="4" t="n"/>
    </row>
    <row r="63">
      <c r="A63" t="inlineStr">
        <is>
          <t>☐</t>
        </is>
      </c>
      <c r="B63" t="inlineStr">
        <is>
          <t>Backup access restricted to authorised administrators only</t>
        </is>
      </c>
      <c r="C63" s="4" t="n"/>
    </row>
    <row r="64">
      <c r="A64" t="inlineStr">
        <is>
          <t>☐</t>
        </is>
      </c>
      <c r="B64" t="inlineStr">
        <is>
          <t>All backup access logged</t>
        </is>
      </c>
      <c r="C64" s="4" t="n"/>
    </row>
    <row r="65">
      <c r="A65" t="inlineStr">
        <is>
          <t>☐</t>
        </is>
      </c>
      <c r="B65" t="inlineStr">
        <is>
          <t>Non-production backups contain only masked data</t>
        </is>
      </c>
      <c r="C65" s="4" t="n"/>
    </row>
    <row r="66">
      <c r="A66" t="inlineStr">
        <is>
          <t>☐</t>
        </is>
      </c>
      <c r="B66" t="inlineStr">
        <is>
          <t>Backup restoration to non-prod triggers masking process</t>
        </is>
      </c>
      <c r="C66" s="4" t="n"/>
    </row>
    <row r="67">
      <c r="A67" t="inlineStr">
        <is>
          <t>☐</t>
        </is>
      </c>
      <c r="B67" t="inlineStr">
        <is>
          <t>Archive data assessed for masking feasibility</t>
        </is>
      </c>
      <c r="C67" s="4" t="n"/>
    </row>
    <row r="68">
      <c r="A68" t="inlineStr">
        <is>
          <t>☐</t>
        </is>
      </c>
      <c r="B68" t="inlineStr">
        <is>
          <t>If masking compromises compliance, encryption used instead</t>
        </is>
      </c>
      <c r="C68" s="4" t="n"/>
    </row>
    <row r="69">
      <c r="A69" t="inlineStr">
        <is>
          <t>☐</t>
        </is>
      </c>
      <c r="B69" t="inlineStr">
        <is>
          <t>Archive access strictly controlled</t>
        </is>
      </c>
      <c r="C69" s="4" t="n"/>
    </row>
    <row r="70">
      <c r="A70" t="inlineStr">
        <is>
          <t>☐</t>
        </is>
      </c>
      <c r="B70" t="inlineStr">
        <is>
          <t>Backup media stored securely (encrypted, access-controlled)</t>
        </is>
      </c>
      <c r="C70" s="4" t="n"/>
    </row>
    <row r="71">
      <c r="A71" t="inlineStr">
        <is>
          <t>☐</t>
        </is>
      </c>
      <c r="B71" t="inlineStr">
        <is>
          <t>Backup retention policy documented</t>
        </is>
      </c>
      <c r="C71" s="4" t="n"/>
    </row>
    <row r="72">
      <c r="A72" t="inlineStr">
        <is>
          <t>☐</t>
        </is>
      </c>
      <c r="B72" t="inlineStr">
        <is>
          <t>Backup testing includes masking validation</t>
        </is>
      </c>
      <c r="C72"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75"/>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0" customWidth="1" min="18" max="18"/>
    <col width="25" customWidth="1" min="19" max="19"/>
    <col width="15" customWidth="1" min="20" max="20"/>
    <col width="18" customWidth="1" min="21" max="21"/>
    <col width="18" customWidth="1" min="22" max="22"/>
    <col width="15" customWidth="1" min="23" max="23"/>
    <col width="18" customWidth="1" min="24" max="24"/>
  </cols>
  <sheetData>
    <row r="1" ht="35" customHeight="1">
      <c r="A1" s="1" t="inlineStr">
        <is>
          <t>EXTERNAL DATA SHARING ASSESSMENT</t>
        </is>
      </c>
    </row>
    <row r="2">
      <c r="A2" s="8" t="inlineStr">
        <is>
          <t>Policy Reference: ALL data shared externally SHALL be masked unless contractually required. Data Processing Agreements SHALL specify masking. (ISMS-POL-A.8.11-S2.3 Section 3.5)</t>
        </is>
      </c>
    </row>
    <row r="3">
      <c r="A3" s="9" t="inlineStr">
        <is>
          <t>Is data shared with vendors, partners, auditors, or customers masked unless contractually required to be unmasked?</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Recipient Type</t>
        </is>
      </c>
      <c r="S6" s="10" t="inlineStr">
        <is>
          <t>Data Sharing Purpose</t>
        </is>
      </c>
      <c r="T6" s="10" t="inlineStr">
        <is>
          <t>DPA in Place?</t>
        </is>
      </c>
      <c r="U6" s="10" t="inlineStr">
        <is>
          <t>DPA Specifies Masking?</t>
        </is>
      </c>
      <c r="V6" s="10" t="inlineStr">
        <is>
          <t>Contractual Exception?</t>
        </is>
      </c>
      <c r="W6" s="10" t="inlineStr">
        <is>
          <t>Recipient Security Audit Date</t>
        </is>
      </c>
      <c r="X6" s="10" t="inlineStr">
        <is>
          <t>Data Minimization Applied?</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EXTERNAL CHECKLIST</t>
        </is>
      </c>
    </row>
    <row r="61">
      <c r="A61" t="inlineStr">
        <is>
          <t>☐</t>
        </is>
      </c>
      <c r="B61" t="inlineStr">
        <is>
          <t>Vendor data shares masked unless contractually required</t>
        </is>
      </c>
      <c r="C61" s="4" t="n"/>
    </row>
    <row r="62">
      <c r="A62" t="inlineStr">
        <is>
          <t>☐</t>
        </is>
      </c>
      <c r="B62" t="inlineStr">
        <is>
          <t>Data Processing Agreements (DPAs) in place</t>
        </is>
      </c>
      <c r="C62" s="4" t="n"/>
    </row>
    <row r="63">
      <c r="A63" t="inlineStr">
        <is>
          <t>☐</t>
        </is>
      </c>
      <c r="B63" t="inlineStr">
        <is>
          <t>DPAs specify masking requirements</t>
        </is>
      </c>
      <c r="C63" s="4" t="n"/>
    </row>
    <row r="64">
      <c r="A64" t="inlineStr">
        <is>
          <t>☐</t>
        </is>
      </c>
      <c r="B64" t="inlineStr">
        <is>
          <t>Vendor access to unmasked data logged and monitored</t>
        </is>
      </c>
      <c r="C64" s="4" t="n"/>
    </row>
    <row r="65">
      <c r="A65" t="inlineStr">
        <is>
          <t>☐</t>
        </is>
      </c>
      <c r="B65" t="inlineStr">
        <is>
          <t>Vendor environments audited for security controls</t>
        </is>
      </c>
      <c r="C65" s="4" t="n"/>
    </row>
    <row r="66">
      <c r="A66" t="inlineStr">
        <is>
          <t>☐</t>
        </is>
      </c>
      <c r="B66" t="inlineStr">
        <is>
          <t>Customer exports appropriately masked (not their own data)</t>
        </is>
      </c>
      <c r="C66" s="4" t="n"/>
    </row>
    <row r="67">
      <c r="A67" t="inlineStr">
        <is>
          <t>☐</t>
        </is>
      </c>
      <c r="B67" t="inlineStr">
        <is>
          <t>Auditor data samples masked where possible</t>
        </is>
      </c>
      <c r="C67" s="4" t="n"/>
    </row>
    <row r="68">
      <c r="A68" t="inlineStr">
        <is>
          <t>☐</t>
        </is>
      </c>
      <c r="B68" t="inlineStr">
        <is>
          <t>Auditors sign confidentiality agreements</t>
        </is>
      </c>
      <c r="C68" s="4" t="n"/>
    </row>
    <row r="69">
      <c r="A69" t="inlineStr">
        <is>
          <t>☐</t>
        </is>
      </c>
      <c r="B69" t="inlineStr">
        <is>
          <t>Partner data sharing follows minimum necessary principle</t>
        </is>
      </c>
      <c r="C69" s="4" t="n"/>
    </row>
    <row r="70">
      <c r="A70" t="inlineStr">
        <is>
          <t>☐</t>
        </is>
      </c>
      <c r="B70" t="inlineStr">
        <is>
          <t>Data minimisation applied (only share necessary fields)</t>
        </is>
      </c>
      <c r="C70" s="4" t="n"/>
    </row>
    <row r="71">
      <c r="A71" t="inlineStr">
        <is>
          <t>☐</t>
        </is>
      </c>
      <c r="B71" t="inlineStr">
        <is>
          <t>External sharing inventory maintained</t>
        </is>
      </c>
      <c r="C71" s="4" t="n"/>
    </row>
    <row r="72">
      <c r="A72" t="inlineStr">
        <is>
          <t>☐</t>
        </is>
      </c>
      <c r="B72" t="inlineStr">
        <is>
          <t>Re-identification risk assessed before external release</t>
        </is>
      </c>
      <c r="C72" s="4" t="n"/>
    </row>
    <row r="73">
      <c r="A73" t="inlineStr">
        <is>
          <t>☐</t>
        </is>
      </c>
      <c r="B73" t="inlineStr">
        <is>
          <t>External sharing reviewed annually</t>
        </is>
      </c>
      <c r="C73" s="4" t="n"/>
    </row>
    <row r="74">
      <c r="A74" t="inlineStr">
        <is>
          <t>☐</t>
        </is>
      </c>
      <c r="B74" t="inlineStr">
        <is>
          <t>Data retention limits specified in agreements</t>
        </is>
      </c>
      <c r="C74" s="4" t="n"/>
    </row>
    <row r="75">
      <c r="A75" t="inlineStr">
        <is>
          <t>☐</t>
        </is>
      </c>
      <c r="B75" t="inlineStr">
        <is>
          <t>Data deletion verified after contract termination</t>
        </is>
      </c>
      <c r="C75"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72"/>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20" customWidth="1" min="19" max="19"/>
    <col width="18" customWidth="1" min="20" max="20"/>
    <col width="18" customWidth="1" min="21" max="21"/>
    <col width="22" customWidth="1" min="22" max="22"/>
    <col width="18" customWidth="1" min="23" max="23"/>
    <col width="22" customWidth="1" min="24" max="24"/>
  </cols>
  <sheetData>
    <row r="1" ht="35" customHeight="1">
      <c r="A1" s="1" t="inlineStr">
        <is>
          <t>CLOUD ENVIRONMENTS ASSESSMENT</t>
        </is>
      </c>
    </row>
    <row r="2">
      <c r="A2" s="8" t="inlineStr">
        <is>
          <t>Policy Reference: Cloud environments SHALL follow same masking requirements as on-premises. Cloud-hosted non-prod SHALL be masked. (ISMS-POL-A.8.11-S2.3 Section 2.6)</t>
        </is>
      </c>
    </row>
    <row r="3">
      <c r="A3" s="9" t="inlineStr">
        <is>
          <t>Are cloud-hosted environments (AWS/Azure/GCP/Other) masked according to the same requirements as on-premises environments?</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Cloud Provider</t>
        </is>
      </c>
      <c r="S6" s="10" t="inlineStr">
        <is>
          <t>Cloud Service Type</t>
        </is>
      </c>
      <c r="T6" s="10" t="inlineStr">
        <is>
          <t>Region/Geography</t>
        </is>
      </c>
      <c r="U6" s="10" t="inlineStr">
        <is>
          <t>Client-Side Masking?</t>
        </is>
      </c>
      <c r="V6" s="10" t="inlineStr">
        <is>
          <t>Cloud-Native Masking Tool</t>
        </is>
      </c>
      <c r="W6" s="10" t="inlineStr">
        <is>
          <t>Multi-Tenancy Concerns?</t>
        </is>
      </c>
      <c r="X6" s="10" t="inlineStr">
        <is>
          <t>Data Residency Compliance</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CLOUD CHECKLIST</t>
        </is>
      </c>
    </row>
    <row r="61">
      <c r="A61" t="inlineStr">
        <is>
          <t>☐</t>
        </is>
      </c>
      <c r="B61" t="inlineStr">
        <is>
          <t>Cloud environments classified correctly (Prod/Non-Prod/Analytics)</t>
        </is>
      </c>
      <c r="C61" s="4" t="n"/>
    </row>
    <row r="62">
      <c r="A62" t="inlineStr">
        <is>
          <t>☐</t>
        </is>
      </c>
      <c r="B62" t="inlineStr">
        <is>
          <t>Cloud-hosted production follows production masking rules</t>
        </is>
      </c>
      <c r="C62" s="4" t="n"/>
    </row>
    <row r="63">
      <c r="A63" t="inlineStr">
        <is>
          <t>☐</t>
        </is>
      </c>
      <c r="B63" t="inlineStr">
        <is>
          <t>Cloud-hosted non-prod follows non-prod masking rules (mandatory)</t>
        </is>
      </c>
      <c r="C63" s="4" t="n"/>
    </row>
    <row r="64">
      <c r="A64" t="inlineStr">
        <is>
          <t>☐</t>
        </is>
      </c>
      <c r="B64" t="inlineStr">
        <is>
          <t>Cloud analytics follows analytics masking rules</t>
        </is>
      </c>
      <c r="C64" s="4" t="n"/>
    </row>
    <row r="65">
      <c r="A65" t="inlineStr">
        <is>
          <t>☐</t>
        </is>
      </c>
      <c r="B65" t="inlineStr">
        <is>
          <t>Client-side masking applied before cloud upload (where applicable)</t>
        </is>
      </c>
      <c r="C65" s="4" t="n"/>
    </row>
    <row r="66">
      <c r="A66" t="inlineStr">
        <is>
          <t>☐</t>
        </is>
      </c>
      <c r="B66" t="inlineStr">
        <is>
          <t>Cloud provider security controls reviewed</t>
        </is>
      </c>
      <c r="C66" s="4" t="n"/>
    </row>
    <row r="67">
      <c r="A67" t="inlineStr">
        <is>
          <t>☐</t>
        </is>
      </c>
      <c r="B67" t="inlineStr">
        <is>
          <t>Cloud provider SLAs reviewed for data protection</t>
        </is>
      </c>
      <c r="C67" s="4" t="n"/>
    </row>
    <row r="68">
      <c r="A68" t="inlineStr">
        <is>
          <t>☐</t>
        </is>
      </c>
      <c r="B68" t="inlineStr">
        <is>
          <t>Multi-tenancy risks assessed and mitigated</t>
        </is>
      </c>
      <c r="C68" s="4" t="n"/>
    </row>
    <row r="69">
      <c r="A69" t="inlineStr">
        <is>
          <t>☐</t>
        </is>
      </c>
      <c r="B69" t="inlineStr">
        <is>
          <t>Data residency requirements met</t>
        </is>
      </c>
      <c r="C69" s="4" t="n"/>
    </row>
    <row r="70">
      <c r="A70" t="inlineStr">
        <is>
          <t>☐</t>
        </is>
      </c>
      <c r="B70" t="inlineStr">
        <is>
          <t>Cloud encryption enabled (at rest and in transit)</t>
        </is>
      </c>
      <c r="C70" s="4" t="n"/>
    </row>
    <row r="71">
      <c r="A71" t="inlineStr">
        <is>
          <t>☐</t>
        </is>
      </c>
      <c r="B71" t="inlineStr">
        <is>
          <t>Cloud access controls configured (IAM, RBAC)</t>
        </is>
      </c>
      <c r="C71" s="4" t="n"/>
    </row>
    <row r="72">
      <c r="A72" t="inlineStr">
        <is>
          <t>☐</t>
        </is>
      </c>
      <c r="B72" t="inlineStr">
        <is>
          <t>Cloud environment masking tested and validated</t>
        </is>
      </c>
      <c r="C72"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70"/>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20" customWidth="1" min="3" max="3"/>
    <col width="18" customWidth="1" min="4" max="4"/>
    <col width="18" customWidth="1" min="5" max="5"/>
    <col width="20" customWidth="1" min="6" max="6"/>
    <col width="15" customWidth="1" min="7" max="7"/>
    <col width="18" customWidth="1" min="8" max="8"/>
    <col width="22" customWidth="1" min="9" max="9"/>
    <col width="20" customWidth="1" min="10" max="10"/>
    <col width="15" customWidth="1" min="11" max="11"/>
    <col width="20" customWidth="1" min="12" max="12"/>
    <col width="15" customWidth="1" min="13" max="13"/>
    <col width="18" customWidth="1" min="14" max="14"/>
    <col width="18" customWidth="1" min="15" max="15"/>
    <col width="12" customWidth="1" min="16" max="16"/>
    <col width="30" customWidth="1" min="17" max="17"/>
    <col width="15" customWidth="1" min="18" max="18"/>
  </cols>
  <sheetData>
    <row r="1" ht="35" customHeight="1">
      <c r="A1" s="1" t="inlineStr">
        <is>
          <t>DATA FLOW MAPPING &amp; MASKING CHECKPOINTS</t>
        </is>
      </c>
    </row>
    <row r="2">
      <c r="A2" s="8" t="inlineStr">
        <is>
          <t>Policy Reference: Data flows SHALL be documented with masking checkpoints identified at each environment boundary. (ISMS-POL-A.8.11-S2.3 Section 3)</t>
        </is>
      </c>
    </row>
    <row r="3">
      <c r="A3" s="9" t="inlineStr">
        <is>
          <t>Are data flows documented with masking checkpoints identified at each environment boundary?</t>
        </is>
      </c>
      <c r="B3" s="4" t="n"/>
    </row>
    <row r="6">
      <c r="A6" s="10" t="inlineStr">
        <is>
          <t>Data Flow Name</t>
        </is>
      </c>
      <c r="B6" s="10" t="inlineStr">
        <is>
          <t>Source Environment</t>
        </is>
      </c>
      <c r="C6" s="10" t="inlineStr">
        <is>
          <t>Destination Environment</t>
        </is>
      </c>
      <c r="D6" s="10" t="inlineStr">
        <is>
          <t>Data Type</t>
        </is>
      </c>
      <c r="E6" s="10" t="inlineStr">
        <is>
          <t>Masking Checkpoint?</t>
        </is>
      </c>
      <c r="F6" s="10" t="inlineStr">
        <is>
          <t>Masking Technique</t>
        </is>
      </c>
      <c r="G6" s="10" t="inlineStr">
        <is>
          <t>Flow Frequency</t>
        </is>
      </c>
      <c r="H6" s="10" t="inlineStr">
        <is>
          <t>Automated Masking?</t>
        </is>
      </c>
      <c r="I6" s="10" t="inlineStr">
        <is>
          <t>Masking Tool/Script</t>
        </is>
      </c>
      <c r="J6" s="10" t="inlineStr">
        <is>
          <t>Masking Validation</t>
        </is>
      </c>
      <c r="K6" s="10" t="inlineStr">
        <is>
          <t>Last Flow Date</t>
        </is>
      </c>
      <c r="L6" s="10" t="inlineStr">
        <is>
          <t>Flow Owner</t>
        </is>
      </c>
      <c r="M6" s="10" t="inlineStr">
        <is>
          <t>Approval Required?</t>
        </is>
      </c>
      <c r="N6" s="10" t="inlineStr">
        <is>
          <t>Approval Status</t>
        </is>
      </c>
      <c r="O6" s="10" t="inlineStr">
        <is>
          <t>Compliance Status</t>
        </is>
      </c>
      <c r="P6" s="10" t="inlineStr">
        <is>
          <t>Risk Level</t>
        </is>
      </c>
      <c r="Q6" s="10" t="inlineStr">
        <is>
          <t>Notes/Comments</t>
        </is>
      </c>
      <c r="R6" s="10" t="inlineStr">
        <is>
          <t>Evidence ID</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row>
    <row r="9">
      <c r="A9" s="4" t="n"/>
      <c r="B9" s="4" t="n"/>
      <c r="C9" s="4" t="n"/>
      <c r="D9" s="4" t="n"/>
      <c r="E9" s="4" t="n"/>
      <c r="F9" s="4" t="n"/>
      <c r="G9" s="4" t="n"/>
      <c r="H9" s="4" t="n"/>
      <c r="I9" s="4" t="n"/>
      <c r="J9" s="4" t="n"/>
      <c r="K9" s="4" t="n"/>
      <c r="L9" s="4" t="n"/>
      <c r="M9" s="4" t="n"/>
      <c r="N9" s="4" t="n"/>
      <c r="O9" s="4" t="n"/>
      <c r="P9" s="4" t="n"/>
      <c r="Q9" s="4" t="n"/>
      <c r="R9" s="4" t="n"/>
    </row>
    <row r="10">
      <c r="A10" s="4" t="n"/>
      <c r="B10" s="4" t="n"/>
      <c r="C10" s="4" t="n"/>
      <c r="D10" s="4" t="n"/>
      <c r="E10" s="4" t="n"/>
      <c r="F10" s="4" t="n"/>
      <c r="G10" s="4" t="n"/>
      <c r="H10" s="4" t="n"/>
      <c r="I10" s="4" t="n"/>
      <c r="J10" s="4" t="n"/>
      <c r="K10" s="4" t="n"/>
      <c r="L10" s="4" t="n"/>
      <c r="M10" s="4" t="n"/>
      <c r="N10" s="4" t="n"/>
      <c r="O10" s="4" t="n"/>
      <c r="P10" s="4" t="n"/>
      <c r="Q10" s="4" t="n"/>
      <c r="R10" s="4" t="n"/>
    </row>
    <row r="11">
      <c r="A11" s="4" t="n"/>
      <c r="B11" s="4" t="n"/>
      <c r="C11" s="4" t="n"/>
      <c r="D11" s="4" t="n"/>
      <c r="E11" s="4" t="n"/>
      <c r="F11" s="4" t="n"/>
      <c r="G11" s="4" t="n"/>
      <c r="H11" s="4" t="n"/>
      <c r="I11" s="4" t="n"/>
      <c r="J11" s="4" t="n"/>
      <c r="K11" s="4" t="n"/>
      <c r="L11" s="4" t="n"/>
      <c r="M11" s="4" t="n"/>
      <c r="N11" s="4" t="n"/>
      <c r="O11" s="4" t="n"/>
      <c r="P11" s="4" t="n"/>
      <c r="Q11" s="4" t="n"/>
      <c r="R11" s="4" t="n"/>
    </row>
    <row r="12">
      <c r="A12" s="4" t="n"/>
      <c r="B12" s="4" t="n"/>
      <c r="C12" s="4" t="n"/>
      <c r="D12" s="4" t="n"/>
      <c r="E12" s="4" t="n"/>
      <c r="F12" s="4" t="n"/>
      <c r="G12" s="4" t="n"/>
      <c r="H12" s="4" t="n"/>
      <c r="I12" s="4" t="n"/>
      <c r="J12" s="4" t="n"/>
      <c r="K12" s="4" t="n"/>
      <c r="L12" s="4" t="n"/>
      <c r="M12" s="4" t="n"/>
      <c r="N12" s="4" t="n"/>
      <c r="O12" s="4" t="n"/>
      <c r="P12" s="4" t="n"/>
      <c r="Q12" s="4" t="n"/>
      <c r="R12" s="4" t="n"/>
    </row>
    <row r="13">
      <c r="A13" s="4" t="n"/>
      <c r="B13" s="4" t="n"/>
      <c r="C13" s="4" t="n"/>
      <c r="D13" s="4" t="n"/>
      <c r="E13" s="4" t="n"/>
      <c r="F13" s="4" t="n"/>
      <c r="G13" s="4" t="n"/>
      <c r="H13" s="4" t="n"/>
      <c r="I13" s="4" t="n"/>
      <c r="J13" s="4" t="n"/>
      <c r="K13" s="4" t="n"/>
      <c r="L13" s="4" t="n"/>
      <c r="M13" s="4" t="n"/>
      <c r="N13" s="4" t="n"/>
      <c r="O13" s="4" t="n"/>
      <c r="P13" s="4" t="n"/>
      <c r="Q13" s="4" t="n"/>
      <c r="R13" s="4" t="n"/>
    </row>
    <row r="14">
      <c r="A14" s="4" t="n"/>
      <c r="B14" s="4" t="n"/>
      <c r="C14" s="4" t="n"/>
      <c r="D14" s="4" t="n"/>
      <c r="E14" s="4" t="n"/>
      <c r="F14" s="4" t="n"/>
      <c r="G14" s="4" t="n"/>
      <c r="H14" s="4" t="n"/>
      <c r="I14" s="4" t="n"/>
      <c r="J14" s="4" t="n"/>
      <c r="K14" s="4" t="n"/>
      <c r="L14" s="4" t="n"/>
      <c r="M14" s="4" t="n"/>
      <c r="N14" s="4" t="n"/>
      <c r="O14" s="4" t="n"/>
      <c r="P14" s="4" t="n"/>
      <c r="Q14" s="4" t="n"/>
      <c r="R14" s="4" t="n"/>
    </row>
    <row r="15">
      <c r="A15" s="4" t="n"/>
      <c r="B15" s="4" t="n"/>
      <c r="C15" s="4" t="n"/>
      <c r="D15" s="4" t="n"/>
      <c r="E15" s="4" t="n"/>
      <c r="F15" s="4" t="n"/>
      <c r="G15" s="4" t="n"/>
      <c r="H15" s="4" t="n"/>
      <c r="I15" s="4" t="n"/>
      <c r="J15" s="4" t="n"/>
      <c r="K15" s="4" t="n"/>
      <c r="L15" s="4" t="n"/>
      <c r="M15" s="4" t="n"/>
      <c r="N15" s="4" t="n"/>
      <c r="O15" s="4" t="n"/>
      <c r="P15" s="4" t="n"/>
      <c r="Q15" s="4" t="n"/>
      <c r="R15" s="4" t="n"/>
    </row>
    <row r="16">
      <c r="A16" s="4" t="n"/>
      <c r="B16" s="4" t="n"/>
      <c r="C16" s="4" t="n"/>
      <c r="D16" s="4" t="n"/>
      <c r="E16" s="4" t="n"/>
      <c r="F16" s="4" t="n"/>
      <c r="G16" s="4" t="n"/>
      <c r="H16" s="4" t="n"/>
      <c r="I16" s="4" t="n"/>
      <c r="J16" s="4" t="n"/>
      <c r="K16" s="4" t="n"/>
      <c r="L16" s="4" t="n"/>
      <c r="M16" s="4" t="n"/>
      <c r="N16" s="4" t="n"/>
      <c r="O16" s="4" t="n"/>
      <c r="P16" s="4" t="n"/>
      <c r="Q16" s="4" t="n"/>
      <c r="R16" s="4" t="n"/>
    </row>
    <row r="17">
      <c r="A17" s="4" t="n"/>
      <c r="B17" s="4" t="n"/>
      <c r="C17" s="4" t="n"/>
      <c r="D17" s="4" t="n"/>
      <c r="E17" s="4" t="n"/>
      <c r="F17" s="4" t="n"/>
      <c r="G17" s="4" t="n"/>
      <c r="H17" s="4" t="n"/>
      <c r="I17" s="4" t="n"/>
      <c r="J17" s="4" t="n"/>
      <c r="K17" s="4" t="n"/>
      <c r="L17" s="4" t="n"/>
      <c r="M17" s="4" t="n"/>
      <c r="N17" s="4" t="n"/>
      <c r="O17" s="4" t="n"/>
      <c r="P17" s="4" t="n"/>
      <c r="Q17" s="4" t="n"/>
      <c r="R17" s="4" t="n"/>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row r="27">
      <c r="A27" s="4" t="n"/>
      <c r="B27" s="4" t="n"/>
      <c r="C27" s="4" t="n"/>
      <c r="D27" s="4" t="n"/>
      <c r="E27" s="4" t="n"/>
      <c r="F27" s="4" t="n"/>
      <c r="G27" s="4" t="n"/>
      <c r="H27" s="4" t="n"/>
      <c r="I27" s="4" t="n"/>
      <c r="J27" s="4" t="n"/>
      <c r="K27" s="4" t="n"/>
      <c r="L27" s="4" t="n"/>
      <c r="M27" s="4" t="n"/>
      <c r="N27" s="4" t="n"/>
      <c r="O27" s="4" t="n"/>
      <c r="P27" s="4" t="n"/>
      <c r="Q27" s="4" t="n"/>
      <c r="R27" s="4" t="n"/>
    </row>
    <row r="28">
      <c r="A28" s="4" t="n"/>
      <c r="B28" s="4" t="n"/>
      <c r="C28" s="4" t="n"/>
      <c r="D28" s="4" t="n"/>
      <c r="E28" s="4" t="n"/>
      <c r="F28" s="4" t="n"/>
      <c r="G28" s="4" t="n"/>
      <c r="H28" s="4" t="n"/>
      <c r="I28" s="4" t="n"/>
      <c r="J28" s="4" t="n"/>
      <c r="K28" s="4" t="n"/>
      <c r="L28" s="4" t="n"/>
      <c r="M28" s="4" t="n"/>
      <c r="N28" s="4" t="n"/>
      <c r="O28" s="4" t="n"/>
      <c r="P28" s="4" t="n"/>
      <c r="Q28" s="4" t="n"/>
      <c r="R28" s="4" t="n"/>
    </row>
    <row r="29">
      <c r="A29" s="4" t="n"/>
      <c r="B29" s="4" t="n"/>
      <c r="C29" s="4" t="n"/>
      <c r="D29" s="4" t="n"/>
      <c r="E29" s="4" t="n"/>
      <c r="F29" s="4" t="n"/>
      <c r="G29" s="4" t="n"/>
      <c r="H29" s="4" t="n"/>
      <c r="I29" s="4" t="n"/>
      <c r="J29" s="4" t="n"/>
      <c r="K29" s="4" t="n"/>
      <c r="L29" s="4" t="n"/>
      <c r="M29" s="4" t="n"/>
      <c r="N29" s="4" t="n"/>
      <c r="O29" s="4" t="n"/>
      <c r="P29" s="4" t="n"/>
      <c r="Q29" s="4" t="n"/>
      <c r="R29" s="4" t="n"/>
    </row>
    <row r="30">
      <c r="A30" s="4" t="n"/>
      <c r="B30" s="4" t="n"/>
      <c r="C30" s="4" t="n"/>
      <c r="D30" s="4" t="n"/>
      <c r="E30" s="4" t="n"/>
      <c r="F30" s="4" t="n"/>
      <c r="G30" s="4" t="n"/>
      <c r="H30" s="4" t="n"/>
      <c r="I30" s="4" t="n"/>
      <c r="J30" s="4" t="n"/>
      <c r="K30" s="4" t="n"/>
      <c r="L30" s="4" t="n"/>
      <c r="M30" s="4" t="n"/>
      <c r="N30" s="4" t="n"/>
      <c r="O30" s="4" t="n"/>
      <c r="P30" s="4" t="n"/>
      <c r="Q30" s="4" t="n"/>
      <c r="R30" s="4" t="n"/>
    </row>
    <row r="31">
      <c r="A31" s="4" t="n"/>
      <c r="B31" s="4" t="n"/>
      <c r="C31" s="4" t="n"/>
      <c r="D31" s="4" t="n"/>
      <c r="E31" s="4" t="n"/>
      <c r="F31" s="4" t="n"/>
      <c r="G31" s="4" t="n"/>
      <c r="H31" s="4" t="n"/>
      <c r="I31" s="4" t="n"/>
      <c r="J31" s="4" t="n"/>
      <c r="K31" s="4" t="n"/>
      <c r="L31" s="4" t="n"/>
      <c r="M31" s="4" t="n"/>
      <c r="N31" s="4" t="n"/>
      <c r="O31" s="4" t="n"/>
      <c r="P31" s="4" t="n"/>
      <c r="Q31" s="4" t="n"/>
      <c r="R31" s="4" t="n"/>
    </row>
    <row r="32">
      <c r="A32" s="4" t="n"/>
      <c r="B32" s="4" t="n"/>
      <c r="C32" s="4" t="n"/>
      <c r="D32" s="4" t="n"/>
      <c r="E32" s="4" t="n"/>
      <c r="F32" s="4" t="n"/>
      <c r="G32" s="4" t="n"/>
      <c r="H32" s="4" t="n"/>
      <c r="I32" s="4" t="n"/>
      <c r="J32" s="4" t="n"/>
      <c r="K32" s="4" t="n"/>
      <c r="L32" s="4" t="n"/>
      <c r="M32" s="4" t="n"/>
      <c r="N32" s="4" t="n"/>
      <c r="O32" s="4" t="n"/>
      <c r="P32" s="4" t="n"/>
      <c r="Q32" s="4" t="n"/>
      <c r="R32" s="4" t="n"/>
    </row>
    <row r="33">
      <c r="A33" s="4" t="n"/>
      <c r="B33" s="4" t="n"/>
      <c r="C33" s="4" t="n"/>
      <c r="D33" s="4" t="n"/>
      <c r="E33" s="4" t="n"/>
      <c r="F33" s="4" t="n"/>
      <c r="G33" s="4" t="n"/>
      <c r="H33" s="4" t="n"/>
      <c r="I33" s="4" t="n"/>
      <c r="J33" s="4" t="n"/>
      <c r="K33" s="4" t="n"/>
      <c r="L33" s="4" t="n"/>
      <c r="M33" s="4" t="n"/>
      <c r="N33" s="4" t="n"/>
      <c r="O33" s="4" t="n"/>
      <c r="P33" s="4" t="n"/>
      <c r="Q33" s="4" t="n"/>
      <c r="R33" s="4" t="n"/>
    </row>
    <row r="34">
      <c r="A34" s="4" t="n"/>
      <c r="B34" s="4" t="n"/>
      <c r="C34" s="4" t="n"/>
      <c r="D34" s="4" t="n"/>
      <c r="E34" s="4" t="n"/>
      <c r="F34" s="4" t="n"/>
      <c r="G34" s="4" t="n"/>
      <c r="H34" s="4" t="n"/>
      <c r="I34" s="4" t="n"/>
      <c r="J34" s="4" t="n"/>
      <c r="K34" s="4" t="n"/>
      <c r="L34" s="4" t="n"/>
      <c r="M34" s="4" t="n"/>
      <c r="N34" s="4" t="n"/>
      <c r="O34" s="4" t="n"/>
      <c r="P34" s="4" t="n"/>
      <c r="Q34" s="4" t="n"/>
      <c r="R34" s="4" t="n"/>
    </row>
    <row r="35">
      <c r="A35" s="4" t="n"/>
      <c r="B35" s="4" t="n"/>
      <c r="C35" s="4" t="n"/>
      <c r="D35" s="4" t="n"/>
      <c r="E35" s="4" t="n"/>
      <c r="F35" s="4" t="n"/>
      <c r="G35" s="4" t="n"/>
      <c r="H35" s="4" t="n"/>
      <c r="I35" s="4" t="n"/>
      <c r="J35" s="4" t="n"/>
      <c r="K35" s="4" t="n"/>
      <c r="L35" s="4" t="n"/>
      <c r="M35" s="4" t="n"/>
      <c r="N35" s="4" t="n"/>
      <c r="O35" s="4" t="n"/>
      <c r="P35" s="4" t="n"/>
      <c r="Q35" s="4" t="n"/>
      <c r="R35" s="4" t="n"/>
    </row>
    <row r="36">
      <c r="A36" s="4" t="n"/>
      <c r="B36" s="4" t="n"/>
      <c r="C36" s="4" t="n"/>
      <c r="D36" s="4" t="n"/>
      <c r="E36" s="4" t="n"/>
      <c r="F36" s="4" t="n"/>
      <c r="G36" s="4" t="n"/>
      <c r="H36" s="4" t="n"/>
      <c r="I36" s="4" t="n"/>
      <c r="J36" s="4" t="n"/>
      <c r="K36" s="4" t="n"/>
      <c r="L36" s="4" t="n"/>
      <c r="M36" s="4" t="n"/>
      <c r="N36" s="4" t="n"/>
      <c r="O36" s="4" t="n"/>
      <c r="P36" s="4" t="n"/>
      <c r="Q36" s="4" t="n"/>
      <c r="R36" s="4" t="n"/>
    </row>
    <row r="37">
      <c r="A37" s="4" t="n"/>
      <c r="B37" s="4" t="n"/>
      <c r="C37" s="4" t="n"/>
      <c r="D37" s="4" t="n"/>
      <c r="E37" s="4" t="n"/>
      <c r="F37" s="4" t="n"/>
      <c r="G37" s="4" t="n"/>
      <c r="H37" s="4" t="n"/>
      <c r="I37" s="4" t="n"/>
      <c r="J37" s="4" t="n"/>
      <c r="K37" s="4" t="n"/>
      <c r="L37" s="4" t="n"/>
      <c r="M37" s="4" t="n"/>
      <c r="N37" s="4" t="n"/>
      <c r="O37" s="4" t="n"/>
      <c r="P37" s="4" t="n"/>
      <c r="Q37" s="4" t="n"/>
      <c r="R37" s="4" t="n"/>
    </row>
    <row r="38">
      <c r="A38" s="4" t="n"/>
      <c r="B38" s="4" t="n"/>
      <c r="C38" s="4" t="n"/>
      <c r="D38" s="4" t="n"/>
      <c r="E38" s="4" t="n"/>
      <c r="F38" s="4" t="n"/>
      <c r="G38" s="4" t="n"/>
      <c r="H38" s="4" t="n"/>
      <c r="I38" s="4" t="n"/>
      <c r="J38" s="4" t="n"/>
      <c r="K38" s="4" t="n"/>
      <c r="L38" s="4" t="n"/>
      <c r="M38" s="4" t="n"/>
      <c r="N38" s="4" t="n"/>
      <c r="O38" s="4" t="n"/>
      <c r="P38" s="4" t="n"/>
      <c r="Q38" s="4" t="n"/>
      <c r="R38" s="4" t="n"/>
    </row>
    <row r="39">
      <c r="A39" s="4" t="n"/>
      <c r="B39" s="4" t="n"/>
      <c r="C39" s="4" t="n"/>
      <c r="D39" s="4" t="n"/>
      <c r="E39" s="4" t="n"/>
      <c r="F39" s="4" t="n"/>
      <c r="G39" s="4" t="n"/>
      <c r="H39" s="4" t="n"/>
      <c r="I39" s="4" t="n"/>
      <c r="J39" s="4" t="n"/>
      <c r="K39" s="4" t="n"/>
      <c r="L39" s="4" t="n"/>
      <c r="M39" s="4" t="n"/>
      <c r="N39" s="4" t="n"/>
      <c r="O39" s="4" t="n"/>
      <c r="P39" s="4" t="n"/>
      <c r="Q39" s="4" t="n"/>
      <c r="R39" s="4" t="n"/>
    </row>
    <row r="40">
      <c r="A40" s="4" t="n"/>
      <c r="B40" s="4" t="n"/>
      <c r="C40" s="4" t="n"/>
      <c r="D40" s="4" t="n"/>
      <c r="E40" s="4" t="n"/>
      <c r="F40" s="4" t="n"/>
      <c r="G40" s="4" t="n"/>
      <c r="H40" s="4" t="n"/>
      <c r="I40" s="4" t="n"/>
      <c r="J40" s="4" t="n"/>
      <c r="K40" s="4" t="n"/>
      <c r="L40" s="4" t="n"/>
      <c r="M40" s="4" t="n"/>
      <c r="N40" s="4" t="n"/>
      <c r="O40" s="4" t="n"/>
      <c r="P40" s="4" t="n"/>
      <c r="Q40" s="4" t="n"/>
      <c r="R40" s="4" t="n"/>
    </row>
    <row r="41">
      <c r="A41" s="4" t="n"/>
      <c r="B41" s="4" t="n"/>
      <c r="C41" s="4" t="n"/>
      <c r="D41" s="4" t="n"/>
      <c r="E41" s="4" t="n"/>
      <c r="F41" s="4" t="n"/>
      <c r="G41" s="4" t="n"/>
      <c r="H41" s="4" t="n"/>
      <c r="I41" s="4" t="n"/>
      <c r="J41" s="4" t="n"/>
      <c r="K41" s="4" t="n"/>
      <c r="L41" s="4" t="n"/>
      <c r="M41" s="4" t="n"/>
      <c r="N41" s="4" t="n"/>
      <c r="O41" s="4" t="n"/>
      <c r="P41" s="4" t="n"/>
      <c r="Q41" s="4" t="n"/>
      <c r="R41" s="4" t="n"/>
    </row>
    <row r="42">
      <c r="A42" s="4" t="n"/>
      <c r="B42" s="4" t="n"/>
      <c r="C42" s="4" t="n"/>
      <c r="D42" s="4" t="n"/>
      <c r="E42" s="4" t="n"/>
      <c r="F42" s="4" t="n"/>
      <c r="G42" s="4" t="n"/>
      <c r="H42" s="4" t="n"/>
      <c r="I42" s="4" t="n"/>
      <c r="J42" s="4" t="n"/>
      <c r="K42" s="4" t="n"/>
      <c r="L42" s="4" t="n"/>
      <c r="M42" s="4" t="n"/>
      <c r="N42" s="4" t="n"/>
      <c r="O42" s="4" t="n"/>
      <c r="P42" s="4" t="n"/>
      <c r="Q42" s="4" t="n"/>
      <c r="R42" s="4" t="n"/>
    </row>
    <row r="43">
      <c r="A43" s="4" t="n"/>
      <c r="B43" s="4" t="n"/>
      <c r="C43" s="4" t="n"/>
      <c r="D43" s="4" t="n"/>
      <c r="E43" s="4" t="n"/>
      <c r="F43" s="4" t="n"/>
      <c r="G43" s="4" t="n"/>
      <c r="H43" s="4" t="n"/>
      <c r="I43" s="4" t="n"/>
      <c r="J43" s="4" t="n"/>
      <c r="K43" s="4" t="n"/>
      <c r="L43" s="4" t="n"/>
      <c r="M43" s="4" t="n"/>
      <c r="N43" s="4" t="n"/>
      <c r="O43" s="4" t="n"/>
      <c r="P43" s="4" t="n"/>
      <c r="Q43" s="4" t="n"/>
      <c r="R43" s="4" t="n"/>
    </row>
    <row r="44">
      <c r="A44" s="4" t="n"/>
      <c r="B44" s="4" t="n"/>
      <c r="C44" s="4" t="n"/>
      <c r="D44" s="4" t="n"/>
      <c r="E44" s="4" t="n"/>
      <c r="F44" s="4" t="n"/>
      <c r="G44" s="4" t="n"/>
      <c r="H44" s="4" t="n"/>
      <c r="I44" s="4" t="n"/>
      <c r="J44" s="4" t="n"/>
      <c r="K44" s="4" t="n"/>
      <c r="L44" s="4" t="n"/>
      <c r="M44" s="4" t="n"/>
      <c r="N44" s="4" t="n"/>
      <c r="O44" s="4" t="n"/>
      <c r="P44" s="4" t="n"/>
      <c r="Q44" s="4" t="n"/>
      <c r="R44" s="4" t="n"/>
    </row>
    <row r="45">
      <c r="A45" s="4" t="n"/>
      <c r="B45" s="4" t="n"/>
      <c r="C45" s="4" t="n"/>
      <c r="D45" s="4" t="n"/>
      <c r="E45" s="4" t="n"/>
      <c r="F45" s="4" t="n"/>
      <c r="G45" s="4" t="n"/>
      <c r="H45" s="4" t="n"/>
      <c r="I45" s="4" t="n"/>
      <c r="J45" s="4" t="n"/>
      <c r="K45" s="4" t="n"/>
      <c r="L45" s="4" t="n"/>
      <c r="M45" s="4" t="n"/>
      <c r="N45" s="4" t="n"/>
      <c r="O45" s="4" t="n"/>
      <c r="P45" s="4" t="n"/>
      <c r="Q45" s="4" t="n"/>
      <c r="R45" s="4" t="n"/>
    </row>
    <row r="46">
      <c r="A46" s="4" t="n"/>
      <c r="B46" s="4" t="n"/>
      <c r="C46" s="4" t="n"/>
      <c r="D46" s="4" t="n"/>
      <c r="E46" s="4" t="n"/>
      <c r="F46" s="4" t="n"/>
      <c r="G46" s="4" t="n"/>
      <c r="H46" s="4" t="n"/>
      <c r="I46" s="4" t="n"/>
      <c r="J46" s="4" t="n"/>
      <c r="K46" s="4" t="n"/>
      <c r="L46" s="4" t="n"/>
      <c r="M46" s="4" t="n"/>
      <c r="N46" s="4" t="n"/>
      <c r="O46" s="4" t="n"/>
      <c r="P46" s="4" t="n"/>
      <c r="Q46" s="4" t="n"/>
      <c r="R46" s="4" t="n"/>
    </row>
    <row r="47">
      <c r="A47" s="4" t="n"/>
      <c r="B47" s="4" t="n"/>
      <c r="C47" s="4" t="n"/>
      <c r="D47" s="4" t="n"/>
      <c r="E47" s="4" t="n"/>
      <c r="F47" s="4" t="n"/>
      <c r="G47" s="4" t="n"/>
      <c r="H47" s="4" t="n"/>
      <c r="I47" s="4" t="n"/>
      <c r="J47" s="4" t="n"/>
      <c r="K47" s="4" t="n"/>
      <c r="L47" s="4" t="n"/>
      <c r="M47" s="4" t="n"/>
      <c r="N47" s="4" t="n"/>
      <c r="O47" s="4" t="n"/>
      <c r="P47" s="4" t="n"/>
      <c r="Q47" s="4" t="n"/>
      <c r="R47" s="4" t="n"/>
    </row>
    <row r="48">
      <c r="A48" s="4" t="n"/>
      <c r="B48" s="4" t="n"/>
      <c r="C48" s="4" t="n"/>
      <c r="D48" s="4" t="n"/>
      <c r="E48" s="4" t="n"/>
      <c r="F48" s="4" t="n"/>
      <c r="G48" s="4" t="n"/>
      <c r="H48" s="4" t="n"/>
      <c r="I48" s="4" t="n"/>
      <c r="J48" s="4" t="n"/>
      <c r="K48" s="4" t="n"/>
      <c r="L48" s="4" t="n"/>
      <c r="M48" s="4" t="n"/>
      <c r="N48" s="4" t="n"/>
      <c r="O48" s="4" t="n"/>
      <c r="P48" s="4" t="n"/>
      <c r="Q48" s="4" t="n"/>
      <c r="R48" s="4" t="n"/>
    </row>
    <row r="49">
      <c r="A49" s="4" t="n"/>
      <c r="B49" s="4" t="n"/>
      <c r="C49" s="4" t="n"/>
      <c r="D49" s="4" t="n"/>
      <c r="E49" s="4" t="n"/>
      <c r="F49" s="4" t="n"/>
      <c r="G49" s="4" t="n"/>
      <c r="H49" s="4" t="n"/>
      <c r="I49" s="4" t="n"/>
      <c r="J49" s="4" t="n"/>
      <c r="K49" s="4" t="n"/>
      <c r="L49" s="4" t="n"/>
      <c r="M49" s="4" t="n"/>
      <c r="N49" s="4" t="n"/>
      <c r="O49" s="4" t="n"/>
      <c r="P49" s="4" t="n"/>
      <c r="Q49" s="4" t="n"/>
      <c r="R49" s="4" t="n"/>
    </row>
    <row r="50">
      <c r="A50" s="4" t="n"/>
      <c r="B50" s="4" t="n"/>
      <c r="C50" s="4" t="n"/>
      <c r="D50" s="4" t="n"/>
      <c r="E50" s="4" t="n"/>
      <c r="F50" s="4" t="n"/>
      <c r="G50" s="4" t="n"/>
      <c r="H50" s="4" t="n"/>
      <c r="I50" s="4" t="n"/>
      <c r="J50" s="4" t="n"/>
      <c r="K50" s="4" t="n"/>
      <c r="L50" s="4" t="n"/>
      <c r="M50" s="4" t="n"/>
      <c r="N50" s="4" t="n"/>
      <c r="O50" s="4" t="n"/>
      <c r="P50" s="4" t="n"/>
      <c r="Q50" s="4" t="n"/>
      <c r="R50" s="4" t="n"/>
    </row>
    <row r="51">
      <c r="A51" s="4" t="n"/>
      <c r="B51" s="4" t="n"/>
      <c r="C51" s="4" t="n"/>
      <c r="D51" s="4" t="n"/>
      <c r="E51" s="4" t="n"/>
      <c r="F51" s="4" t="n"/>
      <c r="G51" s="4" t="n"/>
      <c r="H51" s="4" t="n"/>
      <c r="I51" s="4" t="n"/>
      <c r="J51" s="4" t="n"/>
      <c r="K51" s="4" t="n"/>
      <c r="L51" s="4" t="n"/>
      <c r="M51" s="4" t="n"/>
      <c r="N51" s="4" t="n"/>
      <c r="O51" s="4" t="n"/>
      <c r="P51" s="4" t="n"/>
      <c r="Q51" s="4" t="n"/>
      <c r="R51" s="4" t="n"/>
    </row>
    <row r="52">
      <c r="A52" s="4" t="n"/>
      <c r="B52" s="4" t="n"/>
      <c r="C52" s="4" t="n"/>
      <c r="D52" s="4" t="n"/>
      <c r="E52" s="4" t="n"/>
      <c r="F52" s="4" t="n"/>
      <c r="G52" s="4" t="n"/>
      <c r="H52" s="4" t="n"/>
      <c r="I52" s="4" t="n"/>
      <c r="J52" s="4" t="n"/>
      <c r="K52" s="4" t="n"/>
      <c r="L52" s="4" t="n"/>
      <c r="M52" s="4" t="n"/>
      <c r="N52" s="4" t="n"/>
      <c r="O52" s="4" t="n"/>
      <c r="P52" s="4" t="n"/>
      <c r="Q52" s="4" t="n"/>
      <c r="R52" s="4" t="n"/>
    </row>
    <row r="53">
      <c r="A53" s="4" t="n"/>
      <c r="B53" s="4" t="n"/>
      <c r="C53" s="4" t="n"/>
      <c r="D53" s="4" t="n"/>
      <c r="E53" s="4" t="n"/>
      <c r="F53" s="4" t="n"/>
      <c r="G53" s="4" t="n"/>
      <c r="H53" s="4" t="n"/>
      <c r="I53" s="4" t="n"/>
      <c r="J53" s="4" t="n"/>
      <c r="K53" s="4" t="n"/>
      <c r="L53" s="4" t="n"/>
      <c r="M53" s="4" t="n"/>
      <c r="N53" s="4" t="n"/>
      <c r="O53" s="4" t="n"/>
      <c r="P53" s="4" t="n"/>
      <c r="Q53" s="4" t="n"/>
      <c r="R53" s="4" t="n"/>
    </row>
    <row r="54">
      <c r="A54" s="4" t="n"/>
      <c r="B54" s="4" t="n"/>
      <c r="C54" s="4" t="n"/>
      <c r="D54" s="4" t="n"/>
      <c r="E54" s="4" t="n"/>
      <c r="F54" s="4" t="n"/>
      <c r="G54" s="4" t="n"/>
      <c r="H54" s="4" t="n"/>
      <c r="I54" s="4" t="n"/>
      <c r="J54" s="4" t="n"/>
      <c r="K54" s="4" t="n"/>
      <c r="L54" s="4" t="n"/>
      <c r="M54" s="4" t="n"/>
      <c r="N54" s="4" t="n"/>
      <c r="O54" s="4" t="n"/>
      <c r="P54" s="4" t="n"/>
      <c r="Q54" s="4" t="n"/>
      <c r="R54" s="4" t="n"/>
    </row>
    <row r="55">
      <c r="A55" s="4" t="n"/>
      <c r="B55" s="4" t="n"/>
      <c r="C55" s="4" t="n"/>
      <c r="D55" s="4" t="n"/>
      <c r="E55" s="4" t="n"/>
      <c r="F55" s="4" t="n"/>
      <c r="G55" s="4" t="n"/>
      <c r="H55" s="4" t="n"/>
      <c r="I55" s="4" t="n"/>
      <c r="J55" s="4" t="n"/>
      <c r="K55" s="4" t="n"/>
      <c r="L55" s="4" t="n"/>
      <c r="M55" s="4" t="n"/>
      <c r="N55" s="4" t="n"/>
      <c r="O55" s="4" t="n"/>
      <c r="P55" s="4" t="n"/>
      <c r="Q55" s="4" t="n"/>
      <c r="R55" s="4" t="n"/>
    </row>
    <row r="56">
      <c r="A56" s="4" t="n"/>
      <c r="B56" s="4" t="n"/>
      <c r="C56" s="4" t="n"/>
      <c r="D56" s="4" t="n"/>
      <c r="E56" s="4" t="n"/>
      <c r="F56" s="4" t="n"/>
      <c r="G56" s="4" t="n"/>
      <c r="H56" s="4" t="n"/>
      <c r="I56" s="4" t="n"/>
      <c r="J56" s="4" t="n"/>
      <c r="K56" s="4" t="n"/>
      <c r="L56" s="4" t="n"/>
      <c r="M56" s="4" t="n"/>
      <c r="N56" s="4" t="n"/>
      <c r="O56" s="4" t="n"/>
      <c r="P56" s="4" t="n"/>
      <c r="Q56" s="4" t="n"/>
      <c r="R56" s="4" t="n"/>
    </row>
    <row r="57">
      <c r="A57" s="4" t="n"/>
      <c r="B57" s="4" t="n"/>
      <c r="C57" s="4" t="n"/>
      <c r="D57" s="4" t="n"/>
      <c r="E57" s="4" t="n"/>
      <c r="F57" s="4" t="n"/>
      <c r="G57" s="4" t="n"/>
      <c r="H57" s="4" t="n"/>
      <c r="I57" s="4" t="n"/>
      <c r="J57" s="4" t="n"/>
      <c r="K57" s="4" t="n"/>
      <c r="L57" s="4" t="n"/>
      <c r="M57" s="4" t="n"/>
      <c r="N57" s="4" t="n"/>
      <c r="O57" s="4" t="n"/>
      <c r="P57" s="4" t="n"/>
      <c r="Q57" s="4" t="n"/>
      <c r="R57" s="4" t="n"/>
    </row>
    <row r="60">
      <c r="A60" s="9" t="inlineStr">
        <is>
          <t>DATA CHECKLIST</t>
        </is>
      </c>
    </row>
    <row r="61">
      <c r="A61" t="inlineStr">
        <is>
          <t>☐</t>
        </is>
      </c>
      <c r="B61" t="inlineStr">
        <is>
          <t>All production → non-production flows documented</t>
        </is>
      </c>
      <c r="C61" s="4" t="n"/>
    </row>
    <row r="62">
      <c r="A62" t="inlineStr">
        <is>
          <t>☐</t>
        </is>
      </c>
      <c r="B62" t="inlineStr">
        <is>
          <t>Masking checkpoints identified at environment boundaries</t>
        </is>
      </c>
      <c r="C62" s="4" t="n"/>
    </row>
    <row r="63">
      <c r="A63" t="inlineStr">
        <is>
          <t>☐</t>
        </is>
      </c>
      <c r="B63" t="inlineStr">
        <is>
          <t>Data refresh processes documented</t>
        </is>
      </c>
      <c r="C63" s="4" t="n"/>
    </row>
    <row r="64">
      <c r="A64" t="inlineStr">
        <is>
          <t>☐</t>
        </is>
      </c>
      <c r="B64" t="inlineStr">
        <is>
          <t>Automated masking integrated into data pipelines</t>
        </is>
      </c>
      <c r="C64" s="4" t="n"/>
    </row>
    <row r="65">
      <c r="A65" t="inlineStr">
        <is>
          <t>☐</t>
        </is>
      </c>
      <c r="B65" t="inlineStr">
        <is>
          <t>Manual data transfers prohibited or strictly controlled</t>
        </is>
      </c>
      <c r="C65" s="4" t="n"/>
    </row>
    <row r="66">
      <c r="A66" t="inlineStr">
        <is>
          <t>☐</t>
        </is>
      </c>
      <c r="B66" t="inlineStr">
        <is>
          <t>End-to-end masking verified for each flow</t>
        </is>
      </c>
      <c r="C66" s="4" t="n"/>
    </row>
    <row r="67">
      <c r="A67" t="inlineStr">
        <is>
          <t>☐</t>
        </is>
      </c>
      <c r="B67" t="inlineStr">
        <is>
          <t>Data flow inventory reviewed quarterly</t>
        </is>
      </c>
      <c r="C67" s="4" t="n"/>
    </row>
    <row r="68">
      <c r="A68" t="inlineStr">
        <is>
          <t>☐</t>
        </is>
      </c>
      <c r="B68" t="inlineStr">
        <is>
          <t>New data flows assessed for masking requirements</t>
        </is>
      </c>
      <c r="C68" s="4" t="n"/>
    </row>
    <row r="69">
      <c r="A69" t="inlineStr">
        <is>
          <t>☐</t>
        </is>
      </c>
      <c r="B69" t="inlineStr">
        <is>
          <t>Data flow exceptions approved by ISO</t>
        </is>
      </c>
      <c r="C69" s="4" t="n"/>
    </row>
    <row r="70">
      <c r="A70" t="inlineStr">
        <is>
          <t>☐</t>
        </is>
      </c>
      <c r="B70" t="inlineStr">
        <is>
          <t>High-risk flows (unmasked external sharing) escalated</t>
        </is>
      </c>
      <c r="C70"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showDropDown="0" showInputMessage="0" showErrorMessage="0" allowBlank="0" type="list">
      <formula1>"✅ Complete,⚠️ Partial,❌ Missing,N/A"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35" customWidth="1" min="3" max="3"/>
    <col width="25" customWidth="1" min="4" max="4"/>
    <col width="25" customWidth="1" min="5" max="5"/>
    <col width="12" customWidth="1" min="6" max="6"/>
    <col width="25" customWidth="1" min="7" max="7"/>
    <col width="35" customWidth="1" min="8" max="8"/>
    <col width="20" customWidth="1" min="9" max="9"/>
    <col width="15" customWidth="1" min="10" max="10"/>
    <col width="15" customWidth="1" min="11" max="11"/>
    <col width="15" customWidth="1" min="12" max="12"/>
  </cols>
  <sheetData>
    <row r="1" ht="35" customHeight="1">
      <c r="A1" s="1" t="inlineStr">
        <is>
          <t>GAP ANALYSIS &amp; REMEDIATION PLAN</t>
        </is>
      </c>
    </row>
    <row r="2">
      <c r="A2" s="8" t="inlineStr">
        <is>
          <t>All coverage gaps must be identified, risk-assessed, and remediated per organisational risk tolerance</t>
        </is>
      </c>
    </row>
    <row r="3">
      <c r="A3" s="10" t="inlineStr">
        <is>
          <t>Gap ID</t>
        </is>
      </c>
      <c r="B3" s="10" t="inlineStr">
        <is>
          <t>Environment/System</t>
        </is>
      </c>
      <c r="C3" s="10" t="inlineStr">
        <is>
          <t>Gap Description</t>
        </is>
      </c>
      <c r="D3" s="10" t="inlineStr">
        <is>
          <t>Current State</t>
        </is>
      </c>
      <c r="E3" s="10" t="inlineStr">
        <is>
          <t>Target State</t>
        </is>
      </c>
      <c r="F3" s="10" t="inlineStr">
        <is>
          <t>Risk Level</t>
        </is>
      </c>
      <c r="G3" s="10" t="inlineStr">
        <is>
          <t>Impact</t>
        </is>
      </c>
      <c r="H3" s="10" t="inlineStr">
        <is>
          <t>Remediation Action</t>
        </is>
      </c>
      <c r="I3" s="10" t="inlineStr">
        <is>
          <t>Owner</t>
        </is>
      </c>
      <c r="J3" s="10" t="inlineStr">
        <is>
          <t>Target Date</t>
        </is>
      </c>
      <c r="K3" s="10" t="inlineStr">
        <is>
          <t>Status</t>
        </is>
      </c>
      <c r="L3" s="10" t="inlineStr">
        <is>
          <t>Evidence ID</t>
        </is>
      </c>
    </row>
    <row r="4">
      <c r="A4" s="11" t="inlineStr">
        <is>
          <t>GAP-001</t>
        </is>
      </c>
      <c r="B4" s="11" t="inlineStr">
        <is>
          <t>Test Environment - App Server 03</t>
        </is>
      </c>
      <c r="C4" s="11" t="inlineStr">
        <is>
          <t>Production data cloned directly to test without masking</t>
        </is>
      </c>
      <c r="D4" s="11" t="inlineStr">
        <is>
          <t>Real customer emails visible in test database</t>
        </is>
      </c>
      <c r="E4" s="11" t="inlineStr">
        <is>
          <t>All PII masked before deployment to test</t>
        </is>
      </c>
      <c r="F4" s="11" t="inlineStr">
        <is>
          <t>High</t>
        </is>
      </c>
      <c r="G4" s="11" t="inlineStr">
        <is>
          <t>Data breach risk if test environment compromised; GDPR/FADP violation</t>
        </is>
      </c>
      <c r="H4" s="11" t="inlineStr">
        <is>
          <t>Implement SDM in data refresh pipeline; automate masking before test deployment</t>
        </is>
      </c>
      <c r="I4" s="11" t="inlineStr">
        <is>
          <t>Data Engineering</t>
        </is>
      </c>
      <c r="J4" s="11" t="inlineStr">
        <is>
          <t>31.03.2026</t>
        </is>
      </c>
      <c r="K4" s="11" t="inlineStr">
        <is>
          <t>In Progress</t>
        </is>
      </c>
      <c r="L4" s="11" t="inlineStr">
        <is>
          <t>EV-001</t>
        </is>
      </c>
    </row>
    <row r="5">
      <c r="A5" s="4" t="n"/>
      <c r="B5" s="4" t="n"/>
      <c r="C5" s="4" t="n"/>
      <c r="D5" s="4" t="n"/>
      <c r="E5" s="4" t="n"/>
      <c r="F5" s="4" t="n"/>
      <c r="G5" s="4" t="n"/>
      <c r="H5" s="4" t="n"/>
      <c r="I5" s="4" t="n"/>
      <c r="J5" s="4" t="n"/>
      <c r="K5" s="4" t="n"/>
      <c r="L5" s="4" t="n"/>
    </row>
    <row r="6">
      <c r="A6" s="4" t="n"/>
      <c r="B6" s="4" t="n"/>
      <c r="C6" s="4" t="n"/>
      <c r="D6" s="4" t="n"/>
      <c r="E6" s="4" t="n"/>
      <c r="F6" s="4" t="n"/>
      <c r="G6" s="4" t="n"/>
      <c r="H6" s="4" t="n"/>
      <c r="I6" s="4" t="n"/>
      <c r="J6" s="4" t="n"/>
      <c r="K6" s="4" t="n"/>
      <c r="L6" s="4" t="n"/>
    </row>
    <row r="7">
      <c r="A7" s="4" t="n"/>
      <c r="B7" s="4" t="n"/>
      <c r="C7" s="4" t="n"/>
      <c r="D7" s="4" t="n"/>
      <c r="E7" s="4" t="n"/>
      <c r="F7" s="4" t="n"/>
      <c r="G7" s="4" t="n"/>
      <c r="H7" s="4" t="n"/>
      <c r="I7" s="4" t="n"/>
      <c r="J7" s="4" t="n"/>
      <c r="K7" s="4" t="n"/>
      <c r="L7" s="4" t="n"/>
    </row>
    <row r="8">
      <c r="A8" s="4" t="n"/>
      <c r="B8" s="4" t="n"/>
      <c r="C8" s="4" t="n"/>
      <c r="D8" s="4" t="n"/>
      <c r="E8" s="4" t="n"/>
      <c r="F8" s="4" t="n"/>
      <c r="G8" s="4" t="n"/>
      <c r="H8" s="4" t="n"/>
      <c r="I8" s="4" t="n"/>
      <c r="J8" s="4" t="n"/>
      <c r="K8" s="4" t="n"/>
      <c r="L8" s="4" t="n"/>
    </row>
    <row r="9">
      <c r="A9" s="4" t="n"/>
      <c r="B9" s="4" t="n"/>
      <c r="C9" s="4" t="n"/>
      <c r="D9" s="4" t="n"/>
      <c r="E9" s="4" t="n"/>
      <c r="F9" s="4" t="n"/>
      <c r="G9" s="4" t="n"/>
      <c r="H9" s="4" t="n"/>
      <c r="I9" s="4" t="n"/>
      <c r="J9" s="4" t="n"/>
      <c r="K9" s="4" t="n"/>
      <c r="L9" s="4" t="n"/>
    </row>
    <row r="10">
      <c r="A10" s="4" t="n"/>
      <c r="B10" s="4" t="n"/>
      <c r="C10" s="4" t="n"/>
      <c r="D10" s="4" t="n"/>
      <c r="E10" s="4" t="n"/>
      <c r="F10" s="4" t="n"/>
      <c r="G10" s="4" t="n"/>
      <c r="H10" s="4" t="n"/>
      <c r="I10" s="4" t="n"/>
      <c r="J10" s="4" t="n"/>
      <c r="K10" s="4" t="n"/>
      <c r="L10" s="4" t="n"/>
    </row>
    <row r="11">
      <c r="A11" s="4" t="n"/>
      <c r="B11" s="4" t="n"/>
      <c r="C11" s="4" t="n"/>
      <c r="D11" s="4" t="n"/>
      <c r="E11" s="4" t="n"/>
      <c r="F11" s="4" t="n"/>
      <c r="G11" s="4" t="n"/>
      <c r="H11" s="4" t="n"/>
      <c r="I11" s="4" t="n"/>
      <c r="J11" s="4" t="n"/>
      <c r="K11" s="4" t="n"/>
      <c r="L11" s="4" t="n"/>
    </row>
    <row r="12">
      <c r="A12" s="4" t="n"/>
      <c r="B12" s="4" t="n"/>
      <c r="C12" s="4" t="n"/>
      <c r="D12" s="4" t="n"/>
      <c r="E12" s="4" t="n"/>
      <c r="F12" s="4" t="n"/>
      <c r="G12" s="4" t="n"/>
      <c r="H12" s="4" t="n"/>
      <c r="I12" s="4" t="n"/>
      <c r="J12" s="4" t="n"/>
      <c r="K12" s="4" t="n"/>
      <c r="L12" s="4" t="n"/>
    </row>
    <row r="13">
      <c r="A13" s="4" t="n"/>
      <c r="B13" s="4" t="n"/>
      <c r="C13" s="4" t="n"/>
      <c r="D13" s="4" t="n"/>
      <c r="E13" s="4" t="n"/>
      <c r="F13" s="4" t="n"/>
      <c r="G13" s="4" t="n"/>
      <c r="H13" s="4" t="n"/>
      <c r="I13" s="4" t="n"/>
      <c r="J13" s="4" t="n"/>
      <c r="K13" s="4" t="n"/>
      <c r="L13" s="4" t="n"/>
    </row>
    <row r="14">
      <c r="A14" s="4" t="n"/>
      <c r="B14" s="4" t="n"/>
      <c r="C14" s="4" t="n"/>
      <c r="D14" s="4" t="n"/>
      <c r="E14" s="4" t="n"/>
      <c r="F14" s="4" t="n"/>
      <c r="G14" s="4" t="n"/>
      <c r="H14" s="4" t="n"/>
      <c r="I14" s="4" t="n"/>
      <c r="J14" s="4" t="n"/>
      <c r="K14" s="4" t="n"/>
      <c r="L14" s="4" t="n"/>
    </row>
    <row r="15">
      <c r="A15" s="4" t="n"/>
      <c r="B15" s="4" t="n"/>
      <c r="C15" s="4" t="n"/>
      <c r="D15" s="4" t="n"/>
      <c r="E15" s="4" t="n"/>
      <c r="F15" s="4" t="n"/>
      <c r="G15" s="4" t="n"/>
      <c r="H15" s="4" t="n"/>
      <c r="I15" s="4" t="n"/>
      <c r="J15" s="4" t="n"/>
      <c r="K15" s="4" t="n"/>
      <c r="L15" s="4" t="n"/>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c r="A28" s="4" t="n"/>
      <c r="B28" s="4" t="n"/>
      <c r="C28" s="4" t="n"/>
      <c r="D28" s="4" t="n"/>
      <c r="E28" s="4" t="n"/>
      <c r="F28" s="4" t="n"/>
      <c r="G28" s="4" t="n"/>
      <c r="H28" s="4" t="n"/>
      <c r="I28" s="4" t="n"/>
      <c r="J28" s="4" t="n"/>
      <c r="K28" s="4" t="n"/>
      <c r="L28" s="4" t="n"/>
    </row>
    <row r="29">
      <c r="A29" s="4" t="n"/>
      <c r="B29" s="4" t="n"/>
      <c r="C29" s="4" t="n"/>
      <c r="D29" s="4" t="n"/>
      <c r="E29" s="4" t="n"/>
      <c r="F29" s="4" t="n"/>
      <c r="G29" s="4" t="n"/>
      <c r="H29" s="4" t="n"/>
      <c r="I29" s="4" t="n"/>
      <c r="J29" s="4" t="n"/>
      <c r="K29" s="4" t="n"/>
      <c r="L29" s="4" t="n"/>
    </row>
    <row r="30">
      <c r="A30" s="4" t="n"/>
      <c r="B30" s="4" t="n"/>
      <c r="C30" s="4" t="n"/>
      <c r="D30" s="4" t="n"/>
      <c r="E30" s="4" t="n"/>
      <c r="F30" s="4" t="n"/>
      <c r="G30" s="4" t="n"/>
      <c r="H30" s="4" t="n"/>
      <c r="I30" s="4" t="n"/>
      <c r="J30" s="4" t="n"/>
      <c r="K30" s="4" t="n"/>
      <c r="L30" s="4" t="n"/>
    </row>
    <row r="31">
      <c r="A31" s="4" t="n"/>
      <c r="B31" s="4" t="n"/>
      <c r="C31" s="4" t="n"/>
      <c r="D31" s="4" t="n"/>
      <c r="E31" s="4" t="n"/>
      <c r="F31" s="4" t="n"/>
      <c r="G31" s="4" t="n"/>
      <c r="H31" s="4" t="n"/>
      <c r="I31" s="4" t="n"/>
      <c r="J31" s="4" t="n"/>
      <c r="K31" s="4" t="n"/>
      <c r="L31" s="4" t="n"/>
    </row>
    <row r="32">
      <c r="A32" s="4" t="n"/>
      <c r="B32" s="4" t="n"/>
      <c r="C32" s="4" t="n"/>
      <c r="D32" s="4" t="n"/>
      <c r="E32" s="4" t="n"/>
      <c r="F32" s="4" t="n"/>
      <c r="G32" s="4" t="n"/>
      <c r="H32" s="4" t="n"/>
      <c r="I32" s="4" t="n"/>
      <c r="J32" s="4" t="n"/>
      <c r="K32" s="4" t="n"/>
      <c r="L32" s="4" t="n"/>
    </row>
    <row r="33">
      <c r="A33" s="4" t="n"/>
      <c r="B33" s="4" t="n"/>
      <c r="C33" s="4" t="n"/>
      <c r="D33" s="4" t="n"/>
      <c r="E33" s="4" t="n"/>
      <c r="F33" s="4" t="n"/>
      <c r="G33" s="4" t="n"/>
      <c r="H33" s="4" t="n"/>
      <c r="I33" s="4" t="n"/>
      <c r="J33" s="4" t="n"/>
      <c r="K33" s="4" t="n"/>
      <c r="L33" s="4" t="n"/>
    </row>
    <row r="34">
      <c r="A34" s="4" t="n"/>
      <c r="B34" s="4" t="n"/>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row r="50">
      <c r="A50" s="4" t="n"/>
      <c r="B50" s="4" t="n"/>
      <c r="C50" s="4" t="n"/>
      <c r="D50" s="4" t="n"/>
      <c r="E50" s="4" t="n"/>
      <c r="F50" s="4" t="n"/>
      <c r="G50" s="4" t="n"/>
      <c r="H50" s="4" t="n"/>
      <c r="I50" s="4" t="n"/>
      <c r="J50" s="4" t="n"/>
      <c r="K50" s="4" t="n"/>
      <c r="L50" s="4" t="n"/>
    </row>
    <row r="51">
      <c r="A51" s="4" t="n"/>
      <c r="B51" s="4" t="n"/>
      <c r="C51" s="4" t="n"/>
      <c r="D51" s="4" t="n"/>
      <c r="E51" s="4" t="n"/>
      <c r="F51" s="4" t="n"/>
      <c r="G51" s="4" t="n"/>
      <c r="H51" s="4" t="n"/>
      <c r="I51" s="4" t="n"/>
      <c r="J51" s="4" t="n"/>
      <c r="K51" s="4" t="n"/>
      <c r="L51" s="4" t="n"/>
    </row>
    <row r="52">
      <c r="A52" s="4" t="n"/>
      <c r="B52" s="4" t="n"/>
      <c r="C52" s="4" t="n"/>
      <c r="D52" s="4" t="n"/>
      <c r="E52" s="4" t="n"/>
      <c r="F52" s="4" t="n"/>
      <c r="G52" s="4" t="n"/>
      <c r="H52" s="4" t="n"/>
      <c r="I52" s="4" t="n"/>
      <c r="J52" s="4" t="n"/>
      <c r="K52" s="4" t="n"/>
      <c r="L52" s="4" t="n"/>
    </row>
    <row r="53">
      <c r="A53" s="4" t="n"/>
      <c r="B53" s="4" t="n"/>
      <c r="C53" s="4" t="n"/>
      <c r="D53" s="4" t="n"/>
      <c r="E53" s="4" t="n"/>
      <c r="F53" s="4" t="n"/>
      <c r="G53" s="4" t="n"/>
      <c r="H53" s="4" t="n"/>
      <c r="I53" s="4" t="n"/>
      <c r="J53" s="4" t="n"/>
      <c r="K53" s="4" t="n"/>
      <c r="L53" s="4" t="n"/>
    </row>
    <row r="54">
      <c r="A54" s="4" t="n"/>
      <c r="B54" s="4" t="n"/>
      <c r="C54" s="4" t="n"/>
      <c r="D54" s="4" t="n"/>
      <c r="E54" s="4" t="n"/>
      <c r="F54" s="4" t="n"/>
      <c r="G54" s="4" t="n"/>
      <c r="H54" s="4" t="n"/>
      <c r="I54" s="4" t="n"/>
      <c r="J54" s="4" t="n"/>
      <c r="K54" s="4" t="n"/>
      <c r="L54" s="4" t="n"/>
    </row>
  </sheetData>
  <mergeCells count="2">
    <mergeCell ref="A2:L2"/>
    <mergeCell ref="A1:L1"/>
  </mergeCells>
  <dataValidations count="2">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"High,Medium,Low"</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"Not Started,In Progress,Completed,Blocked"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15" customWidth="1" min="5" max="5"/>
    <col width="20" customWidth="1" min="6" max="6"/>
    <col width="15" customWidth="1" min="7" max="7"/>
    <col width="30" customWidth="1" min="8" max="8"/>
  </cols>
  <sheetData>
    <row r="1" ht="35" customHeight="1">
      <c r="A1" s="12" t="inlineStr">
        <is>
          <t>EVIDENCE REGISTER</t>
        </is>
      </c>
    </row>
    <row r="2">
      <c r="A2" s="13" t="inlineStr">
        <is>
          <t>List all evidence files/documents referenced in this assessment (audit traceability).</t>
        </is>
      </c>
    </row>
    <row r="4">
      <c r="A4" s="14" t="inlineStr">
        <is>
          <t>Evidence ID</t>
        </is>
      </c>
      <c r="B4" s="14" t="inlineStr">
        <is>
          <t>Category</t>
        </is>
      </c>
      <c r="C4" s="14" t="inlineStr">
        <is>
          <t>Description</t>
        </is>
      </c>
      <c r="D4" s="14" t="inlineStr">
        <is>
          <t>Source/Location</t>
        </is>
      </c>
      <c r="E4" s="14" t="inlineStr">
        <is>
          <t>Date Collected</t>
        </is>
      </c>
      <c r="F4" s="14" t="inlineStr">
        <is>
          <t>Collected By</t>
        </is>
      </c>
      <c r="G4" s="14" t="inlineStr">
        <is>
          <t>Status</t>
        </is>
      </c>
      <c r="H4" s="14" t="inlineStr">
        <is>
          <t>Notes</t>
        </is>
      </c>
    </row>
    <row r="5">
      <c r="A5" s="15" t="inlineStr">
        <is>
          <t>EV-001</t>
        </is>
      </c>
      <c r="B5" s="15" t="inlineStr">
        <is>
          <t>Architecture diagram</t>
        </is>
      </c>
      <c r="C5" s="15" t="inlineStr">
        <is>
          <t>Environment separation diagram showing dev/test/prod isolation</t>
        </is>
      </c>
      <c r="D5" s="15" t="inlineStr">
        <is>
          <t>/evidence/environment-architecture-diagram.pdf</t>
        </is>
      </c>
      <c r="E5" s="15" t="inlineStr">
        <is>
          <t>15.01.2026</t>
        </is>
      </c>
      <c r="F5" s="15" t="inlineStr">
        <is>
          <t>Security Team</t>
        </is>
      </c>
      <c r="G5" s="15" t="inlineStr">
        <is>
          <t>Verified</t>
        </is>
      </c>
      <c r="H5" s="15" t="inlineStr">
        <is>
          <t>Annual architecture review Q1 2026</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sheetData>
  <mergeCells count="2">
    <mergeCell ref="A2:H2"/>
    <mergeCell ref="A1:H1"/>
  </mergeCells>
  <dataValidations count="2">
    <dataValidation sqref="B5:B104" showDropDown="0" showInputMessage="0" showErrorMessage="0" allowBlank="1" type="list">
      <formula1>"Configuration file,Screenshot,Architecture diagram,Documentation,Audit log,Compliance report,Data flow map,Masking evidence,Other"</formula1>
    </dataValidation>
    <dataValidation sqref="G5:G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1" t="inlineStr">
        <is>
          <t>Environment Coverage Assessment — SUMMARY DASHBOARD</t>
        </is>
      </c>
    </row>
    <row r="2">
      <c r="A2" s="16" t="inlineStr">
        <is>
          <t>Summary Dashboard  |  Environment Coverage Assessment  |  Generated: 01.03.2026</t>
        </is>
      </c>
    </row>
    <row r="4">
      <c r="A4" s="17" t="inlineStr">
        <is>
          <t>TABLE 1 – COMPLIANCE ASSESSMENT SUMMARY</t>
        </is>
      </c>
    </row>
    <row r="5">
      <c r="A5" s="10" t="inlineStr">
        <is>
          <t>Assessment Area</t>
        </is>
      </c>
      <c r="B5" s="10" t="inlineStr">
        <is>
          <t>Total Items</t>
        </is>
      </c>
      <c r="C5" s="10" t="inlineStr">
        <is>
          <t>Compliant</t>
        </is>
      </c>
      <c r="D5" s="10" t="inlineStr">
        <is>
          <t>Partial</t>
        </is>
      </c>
      <c r="E5" s="10" t="inlineStr">
        <is>
          <t>Non-Compliant</t>
        </is>
      </c>
      <c r="F5" s="10" t="inlineStr">
        <is>
          <t>N/A</t>
        </is>
      </c>
      <c r="G5" s="10" t="inlineStr">
        <is>
          <t>Compliance %</t>
        </is>
      </c>
    </row>
    <row r="6">
      <c r="A6" s="18" t="inlineStr">
        <is>
          <t>Environment Inventory</t>
        </is>
      </c>
      <c r="B6" s="19">
        <f>C6+D6+E6+F6</f>
        <v/>
      </c>
      <c r="C6" s="19">
        <f>COUNTIF('Environment Inventory'!O8:O100,"✅ Compliant")</f>
        <v/>
      </c>
      <c r="D6" s="19">
        <f>COUNTIF('Environment Inventory'!O8:O100,"⚠️ Partial")</f>
        <v/>
      </c>
      <c r="E6" s="19">
        <f>COUNTIF('Environment Inventory'!O8:O100,"❌ Non-Compliant")</f>
        <v/>
      </c>
      <c r="F6" s="19">
        <f>COUNTIF('Environment Inventory'!O8:O100,"N/A")</f>
        <v/>
      </c>
      <c r="G6" s="20">
        <f>IF((B6-F6)=0,0,C6/(B6-F6))</f>
        <v/>
      </c>
    </row>
    <row r="7">
      <c r="A7" s="18" t="inlineStr">
        <is>
          <t>Production Environment</t>
        </is>
      </c>
      <c r="B7" s="19">
        <f>C7+D7+E7+F7</f>
        <v/>
      </c>
      <c r="C7" s="19">
        <f>COUNTIF('Production Environment'!O8:O100,"✅ Compliant")</f>
        <v/>
      </c>
      <c r="D7" s="19">
        <f>COUNTIF('Production Environment'!O8:O100,"⚠️ Partial")</f>
        <v/>
      </c>
      <c r="E7" s="19">
        <f>COUNTIF('Production Environment'!O8:O100,"❌ Non-Compliant")</f>
        <v/>
      </c>
      <c r="F7" s="19">
        <f>COUNTIF('Production Environment'!O8:O100,"N/A")</f>
        <v/>
      </c>
      <c r="G7" s="20">
        <f>IF((B7-F7)=0,0,C7/(B7-F7))</f>
        <v/>
      </c>
    </row>
    <row r="8">
      <c r="A8" s="18" t="inlineStr">
        <is>
          <t>Non-Production Environments</t>
        </is>
      </c>
      <c r="B8" s="19">
        <f>C8+D8+E8+F8</f>
        <v/>
      </c>
      <c r="C8" s="19">
        <f>COUNTIF('NonProduction Environments'!O8:O100,"✅ Compliant")</f>
        <v/>
      </c>
      <c r="D8" s="19">
        <f>COUNTIF('NonProduction Environments'!O8:O100,"⚠️ Partial")</f>
        <v/>
      </c>
      <c r="E8" s="19">
        <f>COUNTIF('NonProduction Environments'!O8:O100,"❌ Non-Compliant")</f>
        <v/>
      </c>
      <c r="F8" s="19">
        <f>COUNTIF('NonProduction Environments'!O8:O100,"N/A")</f>
        <v/>
      </c>
      <c r="G8" s="20">
        <f>IF((B8-F8)=0,0,C8/(B8-F8))</f>
        <v/>
      </c>
    </row>
    <row r="9">
      <c r="A9" s="18" t="inlineStr">
        <is>
          <t>Analytics &amp; Reporting</t>
        </is>
      </c>
      <c r="B9" s="19">
        <f>C9+D9+E9+F9</f>
        <v/>
      </c>
      <c r="C9" s="19">
        <f>COUNTIF('Analytics &amp; Reporting'!O8:O100,"✅ Compliant")</f>
        <v/>
      </c>
      <c r="D9" s="19">
        <f>COUNTIF('Analytics &amp; Reporting'!O8:O100,"⚠️ Partial")</f>
        <v/>
      </c>
      <c r="E9" s="19">
        <f>COUNTIF('Analytics &amp; Reporting'!O8:O100,"❌ Non-Compliant")</f>
        <v/>
      </c>
      <c r="F9" s="19">
        <f>COUNTIF('Analytics &amp; Reporting'!O8:O100,"N/A")</f>
        <v/>
      </c>
      <c r="G9" s="20">
        <f>IF((B9-F9)=0,0,C9/(B9-F9))</f>
        <v/>
      </c>
    </row>
    <row r="10">
      <c r="A10" s="18" t="inlineStr">
        <is>
          <t>Backup &amp; Archive</t>
        </is>
      </c>
      <c r="B10" s="19">
        <f>C10+D10+E10+F10</f>
        <v/>
      </c>
      <c r="C10" s="19">
        <f>COUNTIF('Backup &amp; Archive'!O8:O100,"✅ Compliant")</f>
        <v/>
      </c>
      <c r="D10" s="19">
        <f>COUNTIF('Backup &amp; Archive'!O8:O100,"⚠️ Partial")</f>
        <v/>
      </c>
      <c r="E10" s="19">
        <f>COUNTIF('Backup &amp; Archive'!O8:O100,"❌ Non-Compliant")</f>
        <v/>
      </c>
      <c r="F10" s="19">
        <f>COUNTIF('Backup &amp; Archive'!O8:O100,"N/A")</f>
        <v/>
      </c>
      <c r="G10" s="20">
        <f>IF((B10-F10)=0,0,C10/(B10-F10))</f>
        <v/>
      </c>
    </row>
    <row r="11">
      <c r="A11" s="18" t="inlineStr">
        <is>
          <t>External Sharing</t>
        </is>
      </c>
      <c r="B11" s="19">
        <f>C11+D11+E11+F11</f>
        <v/>
      </c>
      <c r="C11" s="19">
        <f>COUNTIF('External Sharing'!O8:O100,"✅ Compliant")</f>
        <v/>
      </c>
      <c r="D11" s="19">
        <f>COUNTIF('External Sharing'!O8:O100,"⚠️ Partial")</f>
        <v/>
      </c>
      <c r="E11" s="19">
        <f>COUNTIF('External Sharing'!O8:O100,"❌ Non-Compliant")</f>
        <v/>
      </c>
      <c r="F11" s="19">
        <f>COUNTIF('External Sharing'!O8:O100,"N/A")</f>
        <v/>
      </c>
      <c r="G11" s="20">
        <f>IF((B11-F11)=0,0,C11/(B11-F11))</f>
        <v/>
      </c>
    </row>
    <row r="12">
      <c r="A12" s="18" t="inlineStr">
        <is>
          <t>Cloud Environments</t>
        </is>
      </c>
      <c r="B12" s="19">
        <f>C12+D12+E12+F12</f>
        <v/>
      </c>
      <c r="C12" s="19">
        <f>COUNTIF('Cloud Environments'!O8:O100,"✅ Compliant")</f>
        <v/>
      </c>
      <c r="D12" s="19">
        <f>COUNTIF('Cloud Environments'!O8:O100,"⚠️ Partial")</f>
        <v/>
      </c>
      <c r="E12" s="19">
        <f>COUNTIF('Cloud Environments'!O8:O100,"❌ Non-Compliant")</f>
        <v/>
      </c>
      <c r="F12" s="19">
        <f>COUNTIF('Cloud Environments'!O8:O100,"N/A")</f>
        <v/>
      </c>
      <c r="G12" s="20">
        <f>IF((B12-F12)=0,0,C12/(B12-F12))</f>
        <v/>
      </c>
    </row>
    <row r="13">
      <c r="A13" s="18" t="inlineStr">
        <is>
          <t>Gap Analysis</t>
        </is>
      </c>
      <c r="B13" s="19">
        <f>C13+D13+E13+F13</f>
        <v/>
      </c>
      <c r="C13" s="19">
        <f>COUNTIF('Gap Analysis'!K5:K100,"Completed")</f>
        <v/>
      </c>
      <c r="D13" s="19">
        <f>COUNTIF('Gap Analysis'!K5:K100,"In Progress")</f>
        <v/>
      </c>
      <c r="E13" s="19">
        <f>COUNTIF('Gap Analysis'!K5:K100,"Not Started")+COUNTIF('Gap Analysis'!K5:K100,"Blocked")</f>
        <v/>
      </c>
      <c r="F13" s="19">
        <f>0</f>
        <v/>
      </c>
      <c r="G13" s="20">
        <f>IF((B13-F13)=0,0,C13/(B13-F13))</f>
        <v/>
      </c>
    </row>
    <row r="14">
      <c r="A14" s="21" t="inlineStr">
        <is>
          <t>TOTAL</t>
        </is>
      </c>
      <c r="B14" s="22">
        <f>SUM(B6:B13)</f>
        <v/>
      </c>
      <c r="C14" s="22">
        <f>SUM(C6:C13)</f>
        <v/>
      </c>
      <c r="D14" s="22">
        <f>SUM(D6:D13)</f>
        <v/>
      </c>
      <c r="E14" s="22">
        <f>SUM(E6:E13)</f>
        <v/>
      </c>
      <c r="F14" s="22">
        <f>SUM(F6:F13)</f>
        <v/>
      </c>
      <c r="G14" s="23">
        <f>IF((B14-F14)=0,0,C14/(B14-F14))</f>
        <v/>
      </c>
    </row>
    <row r="16">
      <c r="A16" s="17" t="inlineStr">
        <is>
          <t>TABLE 2 – KEY METRICS</t>
        </is>
      </c>
    </row>
    <row r="17">
      <c r="A17" s="10" t="inlineStr">
        <is>
          <t>Metric</t>
        </is>
      </c>
      <c r="B17" s="10" t="inlineStr">
        <is>
          <t>Value</t>
        </is>
      </c>
      <c r="C17" s="10" t="inlineStr">
        <is>
          <t>Target</t>
        </is>
      </c>
    </row>
    <row r="18">
      <c r="A18" s="24" t="inlineStr">
        <is>
          <t>Non-Production Masking Coverage (%)</t>
        </is>
      </c>
      <c r="B18" s="25">
        <f>IF(COUNTA('NonProduction Environments'!O8:O100)=0,"N/A",TEXT(COUNTIF('NonProduction Environments'!O8:O100,"✅ Compliant")/COUNTA('NonProduction Environments'!O8:O100),"0.0%"))</f>
        <v/>
      </c>
      <c r="C18" s="25" t="inlineStr">
        <is>
          <t>100%</t>
        </is>
      </c>
    </row>
    <row r="19">
      <c r="A19" s="24" t="inlineStr">
        <is>
          <t>Production DDM Coverage (%)</t>
        </is>
      </c>
      <c r="B19" s="25">
        <f>IF(COUNTA('Production Environment'!O8:O100)=0,"N/A",TEXT(COUNTIF('Production Environment'!O8:O100,"✅ Compliant")/COUNTA('Production Environment'!O8:O100),"0.0%"))</f>
        <v/>
      </c>
      <c r="C19" s="25" t="inlineStr">
        <is>
          <t>&gt;=90%</t>
        </is>
      </c>
    </row>
    <row r="20">
      <c r="A20" s="24" t="inlineStr">
        <is>
          <t>Analytics Masking Coverage (%)</t>
        </is>
      </c>
      <c r="B20" s="25">
        <f>IF(COUNTA('Analytics &amp; Reporting'!O8:O100)=0,"N/A",TEXT(COUNTIF('Analytics &amp; Reporting'!O8:O100,"✅ Compliant")/COUNTA('Analytics &amp; Reporting'!O8:O100),"0.0%"))</f>
        <v/>
      </c>
      <c r="C20" s="25" t="inlineStr">
        <is>
          <t>100%</t>
        </is>
      </c>
    </row>
    <row r="21">
      <c r="A21" s="24" t="inlineStr">
        <is>
          <t>External Sharing Masking Coverage (%)</t>
        </is>
      </c>
      <c r="B21" s="25">
        <f>IF(COUNTA('External Sharing'!O8:O100)=0,"N/A",TEXT(COUNTIF('External Sharing'!O8:O100,"✅ Compliant")/COUNTA('External Sharing'!O8:O100),"0.0%"))</f>
        <v/>
      </c>
      <c r="C21" s="25" t="inlineStr">
        <is>
          <t>100%</t>
        </is>
      </c>
    </row>
    <row r="22">
      <c r="A22" s="24" t="inlineStr">
        <is>
          <t>Open Critical Gaps (Count)</t>
        </is>
      </c>
      <c r="B22" s="25">
        <f>COUNTIF('Gap Analysis'!K5:K100,"Not Started")+COUNTIF('Gap Analysis'!K5:K100,"Blocked")</f>
        <v/>
      </c>
      <c r="C22" s="25" t="inlineStr">
        <is>
          <t>0</t>
        </is>
      </c>
    </row>
    <row r="23">
      <c r="A23" s="24" t="inlineStr">
        <is>
          <t>Cloud Environment Compliance (%)</t>
        </is>
      </c>
      <c r="B23" s="25">
        <f>IF(COUNTA('Cloud Environments'!O8:O100)=0,"N/A",TEXT(COUNTIF('Cloud Environments'!O8:O100,"✅ Compliant")/COUNTA('Cloud Environments'!O8:O100),"0.0%"))</f>
        <v/>
      </c>
      <c r="C23" s="25" t="inlineStr">
        <is>
          <t>100%</t>
        </is>
      </c>
    </row>
    <row r="25">
      <c r="A25" s="26" t="inlineStr">
        <is>
          <t>TABLE 3 – KEY FINDINGS &amp; RECOMMENDATIONS</t>
        </is>
      </c>
    </row>
    <row r="26">
      <c r="A26" s="10" t="inlineStr">
        <is>
          <t>#</t>
        </is>
      </c>
      <c r="B26" s="10" t="inlineStr">
        <is>
          <t>Finding</t>
        </is>
      </c>
      <c r="C26" s="10" t="inlineStr">
        <is>
          <t>Impact</t>
        </is>
      </c>
      <c r="D26" s="10" t="inlineStr">
        <is>
          <t>Recommendation</t>
        </is>
      </c>
      <c r="E26" s="10" t="inlineStr">
        <is>
          <t>Priority</t>
        </is>
      </c>
      <c r="F26" s="10" t="inlineStr">
        <is>
          <t>Status</t>
        </is>
      </c>
      <c r="G26" s="10" t="inlineStr">
        <is>
          <t>Notes</t>
        </is>
      </c>
    </row>
    <row r="27">
      <c r="A27" s="27" t="inlineStr">
        <is>
          <t>1</t>
        </is>
      </c>
      <c r="B27" s="27" t="inlineStr">
        <is>
          <t>Non-production environments not consistently masked before data refresh</t>
        </is>
      </c>
      <c r="C27" s="27" t="inlineStr">
        <is>
          <t>Critical — GDPR/FADP violation if production data visible in test/UAT</t>
        </is>
      </c>
      <c r="D27" s="27" t="inlineStr">
        <is>
          <t>Integrate Static Data Masking (SDM) into all data refresh pipelines; enforce before environment provisioning</t>
        </is>
      </c>
      <c r="E27" s="27" t="inlineStr">
        <is>
          <t>P1</t>
        </is>
      </c>
      <c r="F27" s="27" t="inlineStr">
        <is>
          <t>Open</t>
        </is>
      </c>
      <c r="G27" s="27" t="inlineStr"/>
    </row>
    <row r="28">
      <c r="A28" s="27" t="inlineStr">
        <is>
          <t>2</t>
        </is>
      </c>
      <c r="B28" s="27" t="inlineStr">
        <is>
          <t>Production DDM not fully deployed for all customer-facing roles</t>
        </is>
      </c>
      <c r="C28" s="27" t="inlineStr">
        <is>
          <t>High — CSRs and support staff may view unmasked sensitive data</t>
        </is>
      </c>
      <c r="D28" s="27" t="inlineStr">
        <is>
          <t>Deploy DDM rules for all non-privileged roles; log all access to unmasked data</t>
        </is>
      </c>
      <c r="E28" s="27" t="inlineStr">
        <is>
          <t>P1</t>
        </is>
      </c>
      <c r="F28" s="27" t="inlineStr">
        <is>
          <t>In Progress</t>
        </is>
      </c>
      <c r="G28" s="27" t="inlineStr"/>
    </row>
    <row r="29">
      <c r="A29" s="27" t="inlineStr">
        <is>
          <t>3</t>
        </is>
      </c>
      <c r="B29" s="27" t="inlineStr">
        <is>
          <t>External data sharing lacking DPA masking clauses for some vendors</t>
        </is>
      </c>
      <c r="C29" s="27" t="inlineStr">
        <is>
          <t>High — contractual gap means vendors may retain unmasked sensitive data</t>
        </is>
      </c>
      <c r="D29" s="27" t="inlineStr">
        <is>
          <t>Audit all DPAs; amend to include explicit masking requirements; verify vendor compliance</t>
        </is>
      </c>
      <c r="E29" s="27" t="inlineStr">
        <is>
          <t>P2</t>
        </is>
      </c>
      <c r="F29" s="27" t="inlineStr">
        <is>
          <t>Open</t>
        </is>
      </c>
      <c r="G29" s="27" t="inlineStr"/>
    </row>
    <row r="30">
      <c r="A30" s="27" t="inlineStr">
        <is>
          <t>4</t>
        </is>
      </c>
      <c r="B30" s="27" t="inlineStr">
        <is>
          <t>Cloud environments not all mapped to correct masking classification</t>
        </is>
      </c>
      <c r="C30" s="27" t="inlineStr">
        <is>
          <t>Medium — cloud non-prod environments may be provisioned with unmasked data</t>
        </is>
      </c>
      <c r="D30" s="27" t="inlineStr">
        <is>
          <t>Apply same classification and masking rules to cloud as on-premises; validate quarterly</t>
        </is>
      </c>
      <c r="E30" s="27" t="inlineStr">
        <is>
          <t>P2</t>
        </is>
      </c>
      <c r="F30" s="27" t="inlineStr">
        <is>
          <t>Open</t>
        </is>
      </c>
      <c r="G30" s="27" t="inlineStr"/>
    </row>
  </sheetData>
  <mergeCells count="5">
    <mergeCell ref="A1:G1"/>
    <mergeCell ref="A4:G4"/>
    <mergeCell ref="A16:G16"/>
    <mergeCell ref="A2:G2"/>
    <mergeCell ref="A25:G2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8" t="inlineStr">
        <is>
          <t>ASSESSMENT APPROVAL AND SIGN-OFF</t>
        </is>
      </c>
    </row>
    <row r="3">
      <c r="A3" s="29" t="inlineStr">
        <is>
          <t>ASSESSMENT SUMMARY</t>
        </is>
      </c>
    </row>
    <row r="4">
      <c r="A4" s="30" t="inlineStr">
        <is>
          <t>Document:</t>
        </is>
      </c>
      <c r="B4" s="6" t="inlineStr">
        <is>
          <t>ISMS-IMP-A.8.11.3 - Environment Coverage Assessment</t>
        </is>
      </c>
    </row>
    <row r="5">
      <c r="A5" s="30" t="inlineStr">
        <is>
          <t>Assessment Period:</t>
        </is>
      </c>
      <c r="B5" s="4" t="inlineStr"/>
    </row>
    <row r="6">
      <c r="A6" s="30" t="inlineStr">
        <is>
          <t>Overall Compliance:</t>
        </is>
      </c>
      <c r="B6" s="31">
        <f>IFERROR(AVERAGE('Summary Dashboard'!G6:G13),"")</f>
        <v/>
      </c>
    </row>
    <row r="7">
      <c r="A7" s="30" t="inlineStr">
        <is>
          <t>Assessment Status:</t>
        </is>
      </c>
      <c r="B7" s="4" t="inlineStr"/>
    </row>
    <row r="10">
      <c r="A10" s="29" t="inlineStr">
        <is>
          <t>PREPARED BY (ASSESSOR)</t>
        </is>
      </c>
    </row>
    <row r="11">
      <c r="A11" s="30" t="inlineStr">
        <is>
          <t>Name:</t>
        </is>
      </c>
      <c r="B11" s="4" t="n"/>
    </row>
    <row r="12">
      <c r="A12" s="30" t="inlineStr">
        <is>
          <t>Title:</t>
        </is>
      </c>
      <c r="B12" s="4" t="n"/>
    </row>
    <row r="13">
      <c r="A13" s="30" t="inlineStr">
        <is>
          <t>Date:</t>
        </is>
      </c>
      <c r="B13" s="4" t="n"/>
    </row>
    <row r="14">
      <c r="A14" s="30" t="inlineStr">
        <is>
          <t>Signature:</t>
        </is>
      </c>
      <c r="B14" s="4" t="n"/>
    </row>
    <row r="15">
      <c r="A15" s="30" t="inlineStr">
        <is>
          <t>Comments:</t>
        </is>
      </c>
      <c r="B15" s="4" t="n"/>
    </row>
    <row r="17">
      <c r="A17" s="29" t="inlineStr">
        <is>
          <t>REVIEWED BY (ISO)</t>
        </is>
      </c>
    </row>
    <row r="18">
      <c r="A18" s="30" t="inlineStr">
        <is>
          <t>Name:</t>
        </is>
      </c>
      <c r="B18" s="4" t="n"/>
    </row>
    <row r="19">
      <c r="A19" s="30" t="inlineStr">
        <is>
          <t>Title:</t>
        </is>
      </c>
      <c r="B19" s="4" t="n"/>
    </row>
    <row r="20">
      <c r="A20" s="30" t="inlineStr">
        <is>
          <t>Date:</t>
        </is>
      </c>
      <c r="B20" s="4" t="n"/>
    </row>
    <row r="21">
      <c r="A21" s="30" t="inlineStr">
        <is>
          <t>Signature:</t>
        </is>
      </c>
      <c r="B21" s="4" t="n"/>
    </row>
    <row r="22">
      <c r="A22" s="30" t="inlineStr">
        <is>
          <t>Comments:</t>
        </is>
      </c>
      <c r="B22" s="4" t="n"/>
    </row>
    <row r="24">
      <c r="A24" s="29" t="inlineStr">
        <is>
          <t>APPROVED BY (CISO)</t>
        </is>
      </c>
    </row>
    <row r="25">
      <c r="A25" s="30" t="inlineStr">
        <is>
          <t>Name:</t>
        </is>
      </c>
      <c r="B25" s="4" t="n"/>
    </row>
    <row r="26">
      <c r="A26" s="30" t="inlineStr">
        <is>
          <t>Title:</t>
        </is>
      </c>
      <c r="B26" s="4" t="n"/>
    </row>
    <row r="27">
      <c r="A27" s="30" t="inlineStr">
        <is>
          <t>Date:</t>
        </is>
      </c>
      <c r="B27" s="4" t="n"/>
    </row>
    <row r="28">
      <c r="A28" s="30" t="inlineStr">
        <is>
          <t>Signature:</t>
        </is>
      </c>
      <c r="B28" s="4" t="n"/>
    </row>
    <row r="29">
      <c r="A29" s="30" t="inlineStr">
        <is>
          <t>Comments:</t>
        </is>
      </c>
      <c r="B29" s="4" t="n"/>
    </row>
    <row r="31">
      <c r="A31" s="30" t="inlineStr">
        <is>
          <t>FINAL ASSESSMENT DECISION:</t>
        </is>
      </c>
      <c r="B31" s="4" t="n"/>
    </row>
    <row r="34">
      <c r="A34" s="29" t="inlineStr">
        <is>
          <t>NEXT REVIEW DETAILS</t>
        </is>
      </c>
    </row>
    <row r="35">
      <c r="A35" s="30" t="inlineStr">
        <is>
          <t>Next Review Date:</t>
        </is>
      </c>
      <c r="B35" s="4" t="n"/>
    </row>
    <row r="36">
      <c r="A36" s="30" t="inlineStr">
        <is>
          <t>Review Responsible:</t>
        </is>
      </c>
      <c r="B36" s="4" t="n"/>
    </row>
    <row r="37">
      <c r="A37" s="30"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ISMS-IMP-A.8.11.3 — Environment Coverage Assessment</dc:title>
  <dc:description xmlns:dc="http://purl.org/dc/elements/1.1/">ISMS Implementation Workbook — ISMS-IMP-A.8.11.3</dc:description>
  <dc:subject xmlns:dc="http://purl.org/dc/elements/1.1/">ISO/IEC 27001:2022 — Control A.8.11: Data Masking</dc:subject>
  <dcterms:created xmlns:dcterms="http://purl.org/dc/terms/" xmlns:xsi="http://www.w3.org/2001/XMLSchema-instance" xsi:type="dcterms:W3CDTF">2026-03-01T10:49:14Z</dcterms:created>
  <dcterms:modified xmlns:dcterms="http://purl.org/dc/terms/" xmlns:xsi="http://www.w3.org/2001/XMLSchema-instance" xsi:type="dcterms:W3CDTF">2026-03-01T10:49:14Z</dcterms:modified>
</cp:coreProperties>
</file>