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Executive_Summary" sheetId="2" state="visible" r:id="rId2"/>
    <sheet xmlns:r="http://schemas.openxmlformats.org/officeDocument/2006/relationships" name="Domain_1_Summary" sheetId="3" state="visible" r:id="rId3"/>
    <sheet xmlns:r="http://schemas.openxmlformats.org/officeDocument/2006/relationships" name="Domain_2_Summary" sheetId="4" state="visible" r:id="rId4"/>
    <sheet xmlns:r="http://schemas.openxmlformats.org/officeDocument/2006/relationships" name="Domain_3_Summary" sheetId="5" state="visible" r:id="rId5"/>
    <sheet xmlns:r="http://schemas.openxmlformats.org/officeDocument/2006/relationships" name="Domain_4_Summary" sheetId="6" state="visible" r:id="rId6"/>
    <sheet xmlns:r="http://schemas.openxmlformats.org/officeDocument/2006/relationships" name="Consolidated_Gap_Analysis" sheetId="7" state="visible" r:id="rId7"/>
    <sheet xmlns:r="http://schemas.openxmlformats.org/officeDocument/2006/relationships" name="Risk_Register" sheetId="8" state="visible" r:id="rId8"/>
    <sheet xmlns:r="http://schemas.openxmlformats.org/officeDocument/2006/relationships" name="Remediation_Roadmap" sheetId="9" state="visible" r:id="rId9"/>
    <sheet xmlns:r="http://schemas.openxmlformats.org/officeDocument/2006/relationships" name="Evidence_Master_Index" sheetId="10" state="visible" r:id="rId10"/>
    <sheet xmlns:r="http://schemas.openxmlformats.org/officeDocument/2006/relationships" name="KPI_Dashboard" sheetId="11" state="visible" r:id="rId11"/>
    <sheet xmlns:r="http://schemas.openxmlformats.org/officeDocument/2006/relationships" name="CISO_DPO_Approval" sheetId="12" state="visible" r:id="rId12"/>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Calibri"/>
      <b val="1"/>
      <color rgb="00FFFFFF"/>
      <sz val="14"/>
    </font>
    <font>
      <name val="Calibri"/>
      <b val="1"/>
      <color rgb="00FFFFFF"/>
      <sz val="11"/>
    </font>
    <font>
      <b val="1"/>
      <sz val="10"/>
    </font>
    <font>
      <i val="1"/>
      <color rgb="000000FF"/>
    </font>
    <font>
      <b val="1"/>
      <color rgb="00003366"/>
      <sz val="10"/>
    </font>
    <font>
      <name val="Calibri"/>
      <color rgb="000000FF"/>
      <sz val="9"/>
    </font>
    <font>
      <b val="1"/>
    </font>
    <font>
      <b val="1"/>
      <color rgb="00003366"/>
    </font>
    <font>
      <name val="Calibri"/>
      <sz val="9"/>
    </font>
    <font>
      <b val="1"/>
      <color rgb="00FF0000"/>
      <sz val="12"/>
    </font>
    <font>
      <name val="Calibri"/>
      <b val="1"/>
      <color rgb="00000000"/>
      <sz val="10"/>
    </font>
    <font>
      <sz val="10"/>
    </font>
    <font>
      <i val="1"/>
      <color rgb="000000FF"/>
      <sz val="9"/>
    </font>
    <font>
      <b val="1"/>
      <sz val="11"/>
    </font>
    <font>
      <b val="1"/>
      <color rgb="000000FF"/>
      <sz val="10"/>
    </font>
    <font>
      <b val="1"/>
      <sz val="9"/>
    </font>
    <font>
      <sz val="9"/>
    </font>
    <font>
      <b val="1"/>
      <color rgb="009C0006"/>
      <sz val="10"/>
    </font>
    <font>
      <i val="1"/>
      <color rgb="00666666"/>
      <sz val="8"/>
    </font>
    <font>
      <b val="1"/>
      <i val="1"/>
      <color rgb="000000FF"/>
      <sz val="9"/>
    </font>
    <font>
      <b val="1"/>
      <i val="1"/>
      <color rgb="000000FF"/>
    </font>
    <font>
      <b val="1"/>
      <color rgb="00003366"/>
      <sz val="11"/>
    </font>
    <font>
      <b val="1"/>
      <color rgb="000000FF"/>
      <sz val="11"/>
    </font>
  </fonts>
  <fills count="11">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E7E6E6"/>
        <bgColor rgb="00E7E6E6"/>
      </patternFill>
    </fill>
    <fill>
      <patternFill patternType="solid">
        <fgColor rgb="00D9D9D9"/>
        <bgColor rgb="00D9D9D9"/>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2" applyAlignment="1" pivotButton="0" quotePrefix="0" xfId="0">
      <alignment horizontal="left" vertical="center" wrapText="1"/>
    </xf>
    <xf numFmtId="0" fontId="3" fillId="0" borderId="0" pivotButton="0" quotePrefix="0" xfId="0"/>
    <xf numFmtId="0" fontId="0" fillId="4" borderId="1"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5" borderId="0" pivotButton="0" quotePrefix="0" xfId="0"/>
    <xf numFmtId="0" fontId="9" fillId="6" borderId="0" pivotButton="0" quotePrefix="0" xfId="0"/>
    <xf numFmtId="0" fontId="9" fillId="7" borderId="0" pivotButton="0" quotePrefix="0" xfId="0"/>
    <xf numFmtId="0" fontId="9" fillId="8" borderId="0" pivotButton="0" quotePrefix="0" xfId="0"/>
    <xf numFmtId="0" fontId="9" fillId="4" borderId="0" pivotButton="0" quotePrefix="0" xfId="0"/>
    <xf numFmtId="0" fontId="9" fillId="9" borderId="0" pivotButton="0" quotePrefix="0" xfId="0"/>
    <xf numFmtId="0" fontId="11" fillId="8" borderId="1" applyAlignment="1" pivotButton="0" quotePrefix="0" xfId="0">
      <alignment horizontal="left" vertical="center" wrapText="1"/>
    </xf>
    <xf numFmtId="0" fontId="11" fillId="10" borderId="1" applyAlignment="1" pivotButton="0" quotePrefix="0" xfId="0">
      <alignment horizontal="center" vertical="center" wrapText="1"/>
    </xf>
    <xf numFmtId="0" fontId="12" fillId="0" borderId="0" pivotButton="0" quotePrefix="0" xfId="0"/>
    <xf numFmtId="0" fontId="13" fillId="0" borderId="0" pivotButton="0" quotePrefix="0" xfId="0"/>
    <xf numFmtId="0" fontId="0" fillId="4" borderId="0" pivotButton="0" quotePrefix="0" xfId="0"/>
    <xf numFmtId="0" fontId="14" fillId="0" borderId="0" pivotButton="0" quotePrefix="0" xfId="0"/>
    <xf numFmtId="0" fontId="15" fillId="0" borderId="0" pivotButton="0" quotePrefix="0" xfId="0"/>
    <xf numFmtId="0" fontId="16" fillId="7" borderId="0" pivotButton="0" quotePrefix="0" xfId="0"/>
    <xf numFmtId="0" fontId="17" fillId="0" borderId="0" pivotButton="0" quotePrefix="0" xfId="0"/>
    <xf numFmtId="0" fontId="16" fillId="6" borderId="0" pivotButton="0" quotePrefix="0" xfId="0"/>
    <xf numFmtId="0" fontId="16" fillId="0" borderId="0" pivotButton="0" quotePrefix="0" xfId="0"/>
    <xf numFmtId="0" fontId="3" fillId="9" borderId="0" pivotButton="0" quotePrefix="0" xfId="0"/>
    <xf numFmtId="0" fontId="18" fillId="0" borderId="0" pivotButton="0" quotePrefix="0" xfId="0"/>
    <xf numFmtId="0" fontId="19" fillId="0" borderId="0" pivotButton="0" quotePrefix="0" xfId="0"/>
    <xf numFmtId="0" fontId="20" fillId="0" borderId="0" pivotButton="0" quotePrefix="0" xfId="0"/>
    <xf numFmtId="0" fontId="0" fillId="6" borderId="0" pivotButton="0" quotePrefix="0" xfId="0"/>
    <xf numFmtId="0" fontId="0" fillId="7" borderId="0" pivotButton="0" quotePrefix="0" xfId="0"/>
    <xf numFmtId="0" fontId="21" fillId="0" borderId="0" pivotButton="0" quotePrefix="0" xfId="0"/>
    <xf numFmtId="0" fontId="4" fillId="7" borderId="0" pivotButton="0" quotePrefix="0" xfId="0"/>
    <xf numFmtId="0" fontId="4" fillId="6" borderId="0" pivotButton="0" quotePrefix="0" xfId="0"/>
    <xf numFmtId="0" fontId="4" fillId="8" borderId="0" pivotButton="0" quotePrefix="0" xfId="0"/>
    <xf numFmtId="0" fontId="0" fillId="8" borderId="0" pivotButton="0" quotePrefix="0" xfId="0"/>
    <xf numFmtId="0" fontId="22" fillId="0" borderId="0" pivotButton="0" quotePrefix="0" xfId="0"/>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0"/>
  <sheetViews>
    <sheetView workbookViewId="0">
      <pane ySplit="2" topLeftCell="A3" activePane="bottomLeft" state="frozen"/>
      <selection pane="bottomLeft" activeCell="A1" sqref="A1"/>
    </sheetView>
  </sheetViews>
  <sheetFormatPr baseColWidth="8" defaultRowHeight="15"/>
  <cols>
    <col width="20" customWidth="1" min="1" max="1"/>
    <col width="30" customWidth="1" min="2" max="2"/>
    <col width="15" customWidth="1" min="3" max="3"/>
    <col width="15" customWidth="1" min="4" max="4"/>
    <col width="15" customWidth="1" min="5" max="5"/>
    <col width="15" customWidth="1" min="6" max="6"/>
    <col width="15" customWidth="1" min="7" max="7"/>
    <col width="15" customWidth="1" min="8" max="8"/>
  </cols>
  <sheetData>
    <row r="1" ht="40" customHeight="1">
      <c r="A1" s="1" t="inlineStr">
        <is>
          <t>ISMS Control A.8.11.5 - Master Compliance Dashboard</t>
        </is>
      </c>
    </row>
    <row r="2" ht="30" customHeight="1">
      <c r="A2" s="2" t="inlineStr">
        <is>
          <t>ISO/IEC 27001:2022 - Data Masking Policy Compliance Overview - Systems Engineering Approach</t>
        </is>
      </c>
    </row>
    <row r="4">
      <c r="A4" s="3" t="inlineStr">
        <is>
          <t>DOCUMENT INFORMATION</t>
        </is>
      </c>
    </row>
    <row r="5">
      <c r="A5" s="4" t="inlineStr">
        <is>
          <t>Document ID:</t>
        </is>
      </c>
      <c r="B5" t="inlineStr">
        <is>
          <t>ISMS-IMP-A.8.11.5</t>
        </is>
      </c>
    </row>
    <row r="6">
      <c r="A6" s="4" t="inlineStr">
        <is>
          <t>Document Type:</t>
        </is>
      </c>
      <c r="B6" t="inlineStr">
        <is>
          <t>Master Compliance Dashboard</t>
        </is>
      </c>
    </row>
    <row r="7">
      <c r="A7" s="4" t="inlineStr">
        <is>
          <t>Assessment Area:</t>
        </is>
      </c>
      <c r="B7" t="inlineStr">
        <is>
          <t>Data Masking - Consolidated View</t>
        </is>
      </c>
    </row>
    <row r="8">
      <c r="A8" s="4" t="inlineStr">
        <is>
          <t>Related Policies:</t>
        </is>
      </c>
      <c r="B8" t="inlineStr">
        <is>
          <t>All ISMS-POL-A.8.11-S2.x</t>
        </is>
      </c>
    </row>
    <row r="9">
      <c r="A9" s="4" t="inlineStr">
        <is>
          <t>Version:</t>
        </is>
      </c>
      <c r="B9" t="inlineStr">
        <is>
          <t>1.0</t>
        </is>
      </c>
    </row>
    <row r="10">
      <c r="A10" s="4" t="inlineStr">
        <is>
          <t>Dashboard Date:</t>
        </is>
      </c>
      <c r="B10" s="5" t="inlineStr">
        <is>
          <t>[USER INPUT]</t>
        </is>
      </c>
    </row>
    <row r="11">
      <c r="A11" s="4" t="inlineStr">
        <is>
          <t>Prepared By:</t>
        </is>
      </c>
      <c r="B11" s="5" t="inlineStr">
        <is>
          <t>[USER INPUT]</t>
        </is>
      </c>
    </row>
    <row r="12">
      <c r="A12" s="4" t="inlineStr">
        <is>
          <t>Organization:</t>
        </is>
      </c>
      <c r="B12" s="5" t="inlineStr">
        <is>
          <t>[USER INPUT]</t>
        </is>
      </c>
    </row>
    <row r="13">
      <c r="A13" s="4" t="inlineStr">
        <is>
          <t>Review Cycle:</t>
        </is>
      </c>
      <c r="B13" t="inlineStr">
        <is>
          <t>Quarterly</t>
        </is>
      </c>
    </row>
    <row r="14">
      <c r="A14" s="4" t="inlineStr">
        <is>
          <t>Last Updated:</t>
        </is>
      </c>
      <c r="B14" s="6">
        <f>TODAY()</f>
        <v/>
      </c>
    </row>
    <row r="17">
      <c r="A17" s="3" t="inlineStr">
        <is>
          <t>SYSTEMS ENGINEERING WORKFLOW</t>
        </is>
      </c>
    </row>
    <row r="18">
      <c r="A18" s="4" t="inlineStr">
        <is>
          <t>This dashboard follows a Systems Engineering approach with automated data integration:</t>
        </is>
      </c>
    </row>
    <row r="20">
      <c r="A20" s="7" t="inlineStr">
        <is>
          <t>Step 1: Complete Assessments</t>
        </is>
      </c>
      <c r="B20" t="inlineStr">
        <is>
          <t>Generate all 4 domain workbooks (with dated filenames)</t>
        </is>
      </c>
    </row>
    <row r="21">
      <c r="A21" t="inlineStr"/>
      <c r="B21" t="inlineStr">
        <is>
          <t xml:space="preserve">  • ISMS-IMP-A.8.11.1 - Data Inventory &amp; Classification</t>
        </is>
      </c>
    </row>
    <row r="22">
      <c r="A22" t="inlineStr"/>
      <c r="B22" t="inlineStr">
        <is>
          <t xml:space="preserve">  • ISMS-IMP-A.8.11.2 - Masking Technique Selection</t>
        </is>
      </c>
    </row>
    <row r="23">
      <c r="A23" t="inlineStr"/>
      <c r="B23" t="inlineStr">
        <is>
          <t xml:space="preserve">  • ISMS-IMP-A.8.11.3 - Environment Coverage Assessment</t>
        </is>
      </c>
    </row>
    <row r="24">
      <c r="A24" t="inlineStr"/>
      <c r="B24" t="inlineStr">
        <is>
          <t xml:space="preserve">  • ISMS-IMP-A.8.11.4 - Testing &amp; Validation Framework</t>
        </is>
      </c>
    </row>
    <row r="25">
      <c r="A25" t="inlineStr"/>
      <c r="B25" t="inlineStr"/>
    </row>
    <row r="26">
      <c r="A26" s="7" t="inlineStr">
        <is>
          <t>Step 2: Normalize Files</t>
        </is>
      </c>
      <c r="B26" t="inlineStr">
        <is>
          <t>Run normalization script to create standardized filenames:</t>
        </is>
      </c>
    </row>
    <row r="27">
      <c r="A27" t="inlineStr"/>
      <c r="B27" t="inlineStr">
        <is>
          <t xml:space="preserve">  $ python3 normalize_assessment_files_a811.py</t>
        </is>
      </c>
    </row>
    <row r="28">
      <c r="A28" t="inlineStr"/>
      <c r="B28" t="inlineStr">
        <is>
          <t xml:space="preserve">  Creates: Dashboard_Sources/ folder</t>
        </is>
      </c>
    </row>
    <row r="29">
      <c r="A29" t="inlineStr"/>
      <c r="B29" t="inlineStr">
        <is>
          <t xml:space="preserve">  Output files:</t>
        </is>
      </c>
    </row>
    <row r="30">
      <c r="A30" t="inlineStr"/>
      <c r="B30" t="inlineStr">
        <is>
          <t xml:space="preserve">    → ISMS-IMP-A.8.11.1.xlsx (Data Inventory)</t>
        </is>
      </c>
    </row>
    <row r="31">
      <c r="A31" t="inlineStr"/>
      <c r="B31" t="inlineStr">
        <is>
          <t xml:space="preserve">    → ISMS-IMP-A.8.11.2.xlsx (Masking Techniques)</t>
        </is>
      </c>
    </row>
    <row r="32">
      <c r="A32" t="inlineStr"/>
      <c r="B32" t="inlineStr">
        <is>
          <t xml:space="preserve">    → ISMS-IMP-A.8.11.3.xlsx (Environment Coverage)</t>
        </is>
      </c>
    </row>
    <row r="33">
      <c r="A33" t="inlineStr"/>
      <c r="B33" t="inlineStr">
        <is>
          <t xml:space="preserve">    → ISMS-IMP-A.8.11.4.xlsx (Testing &amp; Validation)</t>
        </is>
      </c>
    </row>
    <row r="34">
      <c r="A34" t="inlineStr"/>
      <c r="B34" t="inlineStr">
        <is>
          <t xml:space="preserve">    → normalization_manifest_a811.txt (audit trail)</t>
        </is>
      </c>
    </row>
    <row r="35">
      <c r="A35" t="inlineStr"/>
      <c r="B35" t="inlineStr"/>
    </row>
    <row r="36">
      <c r="A36" s="7" t="inlineStr">
        <is>
          <t>Step 3: Generate Dashboard</t>
        </is>
      </c>
      <c r="B36" t="inlineStr">
        <is>
          <t>Run this script to create the master dashboard:</t>
        </is>
      </c>
    </row>
    <row r="37">
      <c r="A37" t="inlineStr"/>
      <c r="B37" t="inlineStr">
        <is>
          <t xml:space="preserve">  $ python3 generate_a811_5_compliance_dashboard.py</t>
        </is>
      </c>
    </row>
    <row r="38">
      <c r="A38" t="inlineStr"/>
      <c r="B38" t="inlineStr"/>
    </row>
    <row r="39">
      <c r="A39" s="7" t="inlineStr">
        <is>
          <t>Step 4: Deploy Dashboard</t>
        </is>
      </c>
      <c r="B39" t="inlineStr">
        <is>
          <t>Place generated dashboard in Dashboard_Sources/ folder:</t>
        </is>
      </c>
    </row>
    <row r="40">
      <c r="A40" t="inlineStr"/>
      <c r="B40" t="inlineStr">
        <is>
          <t xml:space="preserve">  $ mv ISMS-IMP-A.8.11.5_Compliance_Dashboard_*.xlsx Dashboard_Sources/</t>
        </is>
      </c>
    </row>
    <row r="41">
      <c r="A41" t="inlineStr"/>
      <c r="B41" t="inlineStr"/>
    </row>
    <row r="42">
      <c r="A42" s="7" t="inlineStr">
        <is>
          <t>Step 5: Update Links</t>
        </is>
      </c>
      <c r="B42" t="inlineStr">
        <is>
          <t>Open dashboard in Excel/LibreOffice:</t>
        </is>
      </c>
    </row>
    <row r="43">
      <c r="A43" t="inlineStr"/>
      <c r="B43" t="inlineStr">
        <is>
          <t xml:space="preserve">  1. Open Dashboard_Sources/ISMS-IMP-A.8.11.5_Compliance_Dashboard_*.xlsx</t>
        </is>
      </c>
    </row>
    <row r="44">
      <c r="A44" t="inlineStr"/>
      <c r="B44" t="inlineStr">
        <is>
          <t xml:space="preserve">  2. When prompted 'Update Links?' → Click 'Yes' or 'Update'</t>
        </is>
      </c>
    </row>
    <row r="45">
      <c r="A45" t="inlineStr"/>
      <c r="B45" t="inlineStr">
        <is>
          <t xml:space="preserve">  3. Dashboard auto-populates with data from normalized files</t>
        </is>
      </c>
    </row>
    <row r="46">
      <c r="A46" t="inlineStr"/>
      <c r="B46" t="inlineStr">
        <is>
          <t xml:space="preserve">  4. Verify no #REF! errors (indicates source files are present)</t>
        </is>
      </c>
    </row>
    <row r="49">
      <c r="A49" s="3" t="inlineStr">
        <is>
          <t>EXTERNAL WORKBOOK ARCHITECTURE</t>
        </is>
      </c>
    </row>
    <row r="50">
      <c r="A50" s="4" t="inlineStr">
        <is>
          <t>This dashboard uses EXTERNAL FORMULAS to link to normalized source files:</t>
        </is>
      </c>
    </row>
    <row r="52">
      <c r="A52" s="4" t="inlineStr">
        <is>
          <t>Formula Pattern:</t>
        </is>
      </c>
      <c r="B52" s="8">
        <f>[ISMS-IMP-A.8.11.X.xlsx]Summary_Dashboard!$CELL$REF</f>
        <v/>
      </c>
    </row>
    <row r="53">
      <c r="A53" s="4" t="inlineStr">
        <is>
          <t>Example:</t>
        </is>
      </c>
      <c r="B53" s="8">
        <f>[ISMS-IMP-A.8.11.1.xlsx]Summary_Dashboard!$B$5</f>
        <v/>
      </c>
    </row>
    <row r="54">
      <c r="A54" t="inlineStr"/>
      <c r="B54" t="inlineStr"/>
    </row>
    <row r="55">
      <c r="A55" s="4" t="inlineStr">
        <is>
          <t>Key Features:</t>
        </is>
      </c>
      <c r="B55" t="inlineStr"/>
    </row>
    <row r="56">
      <c r="A56" t="inlineStr"/>
      <c r="B56" t="inlineStr">
        <is>
          <t>✓ NO manual Find &amp; Replace required</t>
        </is>
      </c>
    </row>
    <row r="57">
      <c r="A57" t="inlineStr"/>
      <c r="B57" t="inlineStr">
        <is>
          <t>✓ Normalized filenames are HARDCODED in formulas</t>
        </is>
      </c>
    </row>
    <row r="58">
      <c r="A58" t="inlineStr"/>
      <c r="B58" t="inlineStr">
        <is>
          <t>✓ Excel/LibreOffice handles linking automatically</t>
        </is>
      </c>
    </row>
    <row r="59">
      <c r="A59" t="inlineStr"/>
      <c r="B59" t="inlineStr">
        <is>
          <t>✓ Data updates when source files change</t>
        </is>
      </c>
    </row>
    <row r="60">
      <c r="A60" t="inlineStr"/>
      <c r="B60" t="inlineStr">
        <is>
          <t>✓ Audit trail via normalization manifest</t>
        </is>
      </c>
    </row>
    <row r="61">
      <c r="A61" t="inlineStr"/>
      <c r="B61" t="inlineStr"/>
    </row>
    <row r="62">
      <c r="A62" s="4" t="inlineStr">
        <is>
          <t>Total External Links:</t>
        </is>
      </c>
      <c r="B62" t="inlineStr">
        <is>
          <t>100+ formula references to source workbooks</t>
        </is>
      </c>
    </row>
    <row r="63">
      <c r="A63" s="4" t="inlineStr">
        <is>
          <t>Link Targets:</t>
        </is>
      </c>
      <c r="B63" t="inlineStr">
        <is>
          <t>Summary_Dashboard sheet in each domain workbook</t>
        </is>
      </c>
    </row>
    <row r="66">
      <c r="A66" s="3" t="inlineStr">
        <is>
          <t>HOW TO USE THIS DASHBOARD</t>
        </is>
      </c>
    </row>
    <row r="67">
      <c r="A67" t="inlineStr">
        <is>
          <t>1. Prerequisites Complete: Ensure all 4 domain workbooks are finalized and normalized</t>
        </is>
      </c>
    </row>
    <row r="68">
      <c r="A68" t="inlineStr">
        <is>
          <t>2. Executive Summary: Review one-page CISO/Board view with key compliance metrics</t>
        </is>
      </c>
    </row>
    <row r="69">
      <c r="A69" t="inlineStr">
        <is>
          <t>3. Domain Summaries: Check detailed rollups from each assessment domain (1-4)</t>
        </is>
      </c>
    </row>
    <row r="70">
      <c r="A70" t="inlineStr">
        <is>
          <t>4. Consolidated Gaps: Review all gaps across domains with risk levels and remediation</t>
        </is>
      </c>
    </row>
    <row r="71">
      <c r="A71" t="inlineStr">
        <is>
          <t>5. Risk Register: Examine masking-related risks with likelihood/impact scores</t>
        </is>
      </c>
    </row>
    <row r="72">
      <c r="A72" t="inlineStr">
        <is>
          <t>6. Remediation Roadmap: Prioritize action items with owners and target dates</t>
        </is>
      </c>
    </row>
    <row r="73">
      <c r="A73" t="inlineStr">
        <is>
          <t>7. KPI Dashboard: Monitor 23 key metrics with targets and traffic lights</t>
        </is>
      </c>
    </row>
    <row r="74">
      <c r="A74" t="inlineStr">
        <is>
          <t>8. Evidence Index: Access centralized evidence trail for audit purposes</t>
        </is>
      </c>
    </row>
    <row r="75">
      <c r="A75" t="inlineStr">
        <is>
          <t>9. CISO/DPO Approval: Obtain executive sign-off (ISO, CISO, DPO, CIO, Board)</t>
        </is>
      </c>
    </row>
    <row r="76">
      <c r="A76" t="inlineStr">
        <is>
          <t>10. Quarterly Updates: Refresh dashboard after major changes or per review cycle</t>
        </is>
      </c>
    </row>
    <row r="79">
      <c r="A79" s="3" t="inlineStr">
        <is>
          <t>DASHBOARD STRUCTURE (12 SHEETS)</t>
        </is>
      </c>
    </row>
    <row r="80">
      <c r="A80" s="9" t="inlineStr">
        <is>
          <t>Sheet 1</t>
        </is>
      </c>
      <c r="B80" s="10" t="inlineStr">
        <is>
          <t>Instructions_Legend</t>
        </is>
      </c>
      <c r="C80" t="inlineStr">
        <is>
          <t>This sheet - workflow and usage guide</t>
        </is>
      </c>
    </row>
    <row r="81">
      <c r="A81" s="9" t="inlineStr">
        <is>
          <t>Sheet 2</t>
        </is>
      </c>
      <c r="B81" s="10" t="inlineStr">
        <is>
          <t>Executive_Summary</t>
        </is>
      </c>
      <c r="C81" t="inlineStr">
        <is>
          <t>One-page CISO/Board overview with key metrics</t>
        </is>
      </c>
    </row>
    <row r="82">
      <c r="A82" s="9" t="inlineStr">
        <is>
          <t>Sheet 3</t>
        </is>
      </c>
      <c r="B82" s="10" t="inlineStr">
        <is>
          <t>Domain_1_Summary</t>
        </is>
      </c>
      <c r="C82" t="inlineStr">
        <is>
          <t>Data Inventory &amp; Classification rollup</t>
        </is>
      </c>
    </row>
    <row r="83">
      <c r="A83" s="9" t="inlineStr">
        <is>
          <t>Sheet 4</t>
        </is>
      </c>
      <c r="B83" s="10" t="inlineStr">
        <is>
          <t>Domain_2_Summary</t>
        </is>
      </c>
      <c r="C83" t="inlineStr">
        <is>
          <t>Masking Technique Selection rollup</t>
        </is>
      </c>
    </row>
    <row r="84">
      <c r="A84" s="9" t="inlineStr">
        <is>
          <t>Sheet 5</t>
        </is>
      </c>
      <c r="B84" s="10" t="inlineStr">
        <is>
          <t>Domain_3_Summary</t>
        </is>
      </c>
      <c r="C84" t="inlineStr">
        <is>
          <t>Environment Coverage Assessment rollup</t>
        </is>
      </c>
    </row>
    <row r="85">
      <c r="A85" s="9" t="inlineStr">
        <is>
          <t>Sheet 6</t>
        </is>
      </c>
      <c r="B85" s="10" t="inlineStr">
        <is>
          <t>Domain_4_Summary</t>
        </is>
      </c>
      <c r="C85" t="inlineStr">
        <is>
          <t>Testing &amp; Validation Framework rollup</t>
        </is>
      </c>
    </row>
    <row r="86">
      <c r="A86" s="9" t="inlineStr">
        <is>
          <t>Sheet 7</t>
        </is>
      </c>
      <c r="B86" s="10" t="inlineStr">
        <is>
          <t>Consolidated_Gap_Analysis</t>
        </is>
      </c>
      <c r="C86" t="inlineStr">
        <is>
          <t>All gaps from all domains (50 entries)</t>
        </is>
      </c>
    </row>
    <row r="87">
      <c r="A87" s="9" t="inlineStr">
        <is>
          <t>Sheet 8</t>
        </is>
      </c>
      <c r="B87" s="10" t="inlineStr">
        <is>
          <t>Risk_Register</t>
        </is>
      </c>
      <c r="C87" t="inlineStr">
        <is>
          <t>Masking-related risks (40 entries: 20 pre-filled)</t>
        </is>
      </c>
    </row>
    <row r="88">
      <c r="A88" s="9" t="inlineStr">
        <is>
          <t>Sheet 9</t>
        </is>
      </c>
      <c r="B88" s="10" t="inlineStr">
        <is>
          <t>Remediation_Roadmap</t>
        </is>
      </c>
      <c r="C88" t="inlineStr">
        <is>
          <t>Prioritized action plan (50 items)</t>
        </is>
      </c>
    </row>
    <row r="89">
      <c r="A89" s="9" t="inlineStr">
        <is>
          <t>Sheet 10</t>
        </is>
      </c>
      <c r="B89" s="10" t="inlineStr">
        <is>
          <t>Evidence_Master_Index</t>
        </is>
      </c>
      <c r="C89" t="inlineStr">
        <is>
          <t>Centralized evidence trail (100 entries)</t>
        </is>
      </c>
    </row>
    <row r="90">
      <c r="A90" s="9" t="inlineStr">
        <is>
          <t>Sheet 11</t>
        </is>
      </c>
      <c r="B90" s="10" t="inlineStr">
        <is>
          <t>KPI_Dashboard</t>
        </is>
      </c>
      <c r="C90" t="inlineStr">
        <is>
          <t>23 key metrics with targets and trends</t>
        </is>
      </c>
    </row>
    <row r="91">
      <c r="A91" s="9" t="inlineStr">
        <is>
          <t>Sheet 12</t>
        </is>
      </c>
      <c r="B91" s="10" t="inlineStr">
        <is>
          <t>CISO_DPO_Approval</t>
        </is>
      </c>
      <c r="C91" t="inlineStr">
        <is>
          <t>Multi-level executive approval workflow</t>
        </is>
      </c>
    </row>
    <row r="94">
      <c r="A94" s="3" t="inlineStr">
        <is>
          <t>COLOR LEGEND &amp; STATUS INDICATORS</t>
        </is>
      </c>
    </row>
    <row r="95">
      <c r="A95" t="inlineStr">
        <is>
          <t>🟩 Green</t>
        </is>
      </c>
      <c r="B95" s="9" t="inlineStr">
        <is>
          <t>Compliant (≥90% of target)</t>
        </is>
      </c>
      <c r="C95" s="11" t="inlineStr">
        <is>
          <t>Fill: C6EFCE</t>
        </is>
      </c>
    </row>
    <row r="96">
      <c r="A96" t="inlineStr">
        <is>
          <t>🟨 Yellow</t>
        </is>
      </c>
      <c r="B96" s="9" t="inlineStr">
        <is>
          <t>Partial compliance (70-89% of target)</t>
        </is>
      </c>
      <c r="C96" s="12" t="inlineStr">
        <is>
          <t>Fill: FFEB9C</t>
        </is>
      </c>
    </row>
    <row r="97">
      <c r="A97" t="inlineStr">
        <is>
          <t>🟥 Red</t>
        </is>
      </c>
      <c r="B97" s="9" t="inlineStr">
        <is>
          <t>Non-compliant (&lt;70% of target)</t>
        </is>
      </c>
      <c r="C97" s="13" t="inlineStr">
        <is>
          <t>Fill: FFC7CE</t>
        </is>
      </c>
    </row>
    <row r="98">
      <c r="A98" t="inlineStr">
        <is>
          <t>🟦 Blue</t>
        </is>
      </c>
      <c r="B98" s="9" t="inlineStr">
        <is>
          <t>Planned (remediation in progress)</t>
        </is>
      </c>
      <c r="C98" s="14" t="inlineStr">
        <is>
          <t>Fill: B4C7E7</t>
        </is>
      </c>
    </row>
    <row r="99">
      <c r="A99" t="inlineStr">
        <is>
          <t>🟨 Light Yellow</t>
        </is>
      </c>
      <c r="B99" s="9" t="inlineStr">
        <is>
          <t>USER INPUT REQUIRED</t>
        </is>
      </c>
      <c r="C99" s="15" t="inlineStr">
        <is>
          <t>Fill: FFFFCC</t>
        </is>
      </c>
    </row>
    <row r="100">
      <c r="A100" t="inlineStr">
        <is>
          <t>⚪ Light Gray</t>
        </is>
      </c>
      <c r="B100" s="9" t="inlineStr">
        <is>
          <t>Auto-calculated / Formula cell</t>
        </is>
      </c>
      <c r="C100" s="16" t="inlineStr">
        <is>
          <t>Fill: E7E6E6</t>
        </is>
      </c>
    </row>
    <row r="103">
      <c r="A103" s="17" t="inlineStr">
        <is>
          <t>⚠️  IMPORTANT NOTES</t>
        </is>
      </c>
    </row>
    <row r="104">
      <c r="A104" t="inlineStr">
        <is>
          <t>• Place dashboard in SAME directory as normalized source files (Dashboard_Sources/)</t>
        </is>
      </c>
    </row>
    <row r="105">
      <c r="A105" t="inlineStr">
        <is>
          <t>• External links are relative - do NOT move files after opening dashboard</t>
        </is>
      </c>
    </row>
    <row r="106">
      <c r="A106" t="inlineStr">
        <is>
          <t>• Dashboard will show #REF! errors if source files are missing or incorrectly named</t>
        </is>
      </c>
    </row>
    <row r="107">
      <c r="A107" t="inlineStr">
        <is>
          <t>• Use 'Edit Links' in Excel to verify/update link status if needed</t>
        </is>
      </c>
    </row>
    <row r="108">
      <c r="A108" t="inlineStr">
        <is>
          <t>• Review normalization manifest for file lineage and audit trail</t>
        </is>
      </c>
    </row>
    <row r="109">
      <c r="A109" t="inlineStr">
        <is>
          <t>• Target: ≥90% overall compliance score for certification readiness</t>
        </is>
      </c>
    </row>
    <row r="110">
      <c r="A110" t="inlineStr">
        <is>
          <t>• Update dashboard quarterly or after major assessment changes</t>
        </is>
      </c>
    </row>
  </sheetData>
  <mergeCells count="85">
    <mergeCell ref="C85:H85"/>
    <mergeCell ref="B40:H40"/>
    <mergeCell ref="B55:H55"/>
    <mergeCell ref="B24:H24"/>
    <mergeCell ref="A49:H49"/>
    <mergeCell ref="B33:H33"/>
    <mergeCell ref="A110:H110"/>
    <mergeCell ref="C95:E95"/>
    <mergeCell ref="B32:H32"/>
    <mergeCell ref="B26:H26"/>
    <mergeCell ref="B41:H41"/>
    <mergeCell ref="A69:H69"/>
    <mergeCell ref="B35:H35"/>
    <mergeCell ref="A66:H66"/>
    <mergeCell ref="B25:H25"/>
    <mergeCell ref="A75:H75"/>
    <mergeCell ref="A50:H50"/>
    <mergeCell ref="C81:H81"/>
    <mergeCell ref="B27:H27"/>
    <mergeCell ref="B58:H58"/>
    <mergeCell ref="B52:H52"/>
    <mergeCell ref="A104:H104"/>
    <mergeCell ref="C87:H87"/>
    <mergeCell ref="B42:H42"/>
    <mergeCell ref="B60:H60"/>
    <mergeCell ref="A106:H106"/>
    <mergeCell ref="C89:H89"/>
    <mergeCell ref="B44:H44"/>
    <mergeCell ref="B53:H53"/>
    <mergeCell ref="B29:H29"/>
    <mergeCell ref="C88:H88"/>
    <mergeCell ref="B37:H37"/>
    <mergeCell ref="A67:H67"/>
    <mergeCell ref="C99:E99"/>
    <mergeCell ref="A73:H73"/>
    <mergeCell ref="A107:H107"/>
    <mergeCell ref="B54:H54"/>
    <mergeCell ref="A108:H108"/>
    <mergeCell ref="A18:H18"/>
    <mergeCell ref="B56:H56"/>
    <mergeCell ref="A2:H2"/>
    <mergeCell ref="B43:H43"/>
    <mergeCell ref="C83:H83"/>
    <mergeCell ref="B57:H57"/>
    <mergeCell ref="A72:H72"/>
    <mergeCell ref="B34:H34"/>
    <mergeCell ref="B28:H28"/>
    <mergeCell ref="B30:H30"/>
    <mergeCell ref="A79:H79"/>
    <mergeCell ref="B20:H20"/>
    <mergeCell ref="C90:H90"/>
    <mergeCell ref="B45:H45"/>
    <mergeCell ref="A70:H70"/>
    <mergeCell ref="B62:H62"/>
    <mergeCell ref="B59:H59"/>
    <mergeCell ref="C82:H82"/>
    <mergeCell ref="B31:H31"/>
    <mergeCell ref="B46:H46"/>
    <mergeCell ref="A74:H74"/>
    <mergeCell ref="B21:H21"/>
    <mergeCell ref="A71:H71"/>
    <mergeCell ref="B39:H39"/>
    <mergeCell ref="C96:E96"/>
    <mergeCell ref="A76:H76"/>
    <mergeCell ref="C86:H86"/>
    <mergeCell ref="B23:H23"/>
    <mergeCell ref="A17:H17"/>
    <mergeCell ref="C98:E98"/>
    <mergeCell ref="A109:H109"/>
    <mergeCell ref="A68:H68"/>
    <mergeCell ref="C84:H84"/>
    <mergeCell ref="C80:H80"/>
    <mergeCell ref="A1:H1"/>
    <mergeCell ref="A94:H94"/>
    <mergeCell ref="A103:H103"/>
    <mergeCell ref="B63:H63"/>
    <mergeCell ref="B36:H36"/>
    <mergeCell ref="C91:H91"/>
    <mergeCell ref="B22:H22"/>
    <mergeCell ref="A105:H105"/>
    <mergeCell ref="B61:H61"/>
    <mergeCell ref="A4:H4"/>
    <mergeCell ref="C97:E97"/>
    <mergeCell ref="B38:H38"/>
    <mergeCell ref="C100:E10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2" customWidth="1" min="3" max="3"/>
    <col width="12" customWidth="1" min="4" max="4"/>
    <col width="15" customWidth="1" min="5" max="5"/>
    <col width="15" customWidth="1" min="6" max="6"/>
    <col width="15" customWidth="1" min="7" max="7"/>
    <col width="12" customWidth="1" min="8" max="8"/>
  </cols>
  <sheetData>
    <row r="1" ht="40" customHeight="1">
      <c r="A1" s="1" t="inlineStr">
        <is>
          <t>EXECUTIVE SUMMARY - DATA MASKING COMPLIANCE</t>
        </is>
      </c>
    </row>
    <row r="2" ht="30" customHeight="1">
      <c r="A2" s="2" t="inlineStr">
        <is>
          <t>One-Page Overview for CISO, DPO, and Board - Consolidated View of All Domains</t>
        </is>
      </c>
    </row>
    <row r="4">
      <c r="A4" s="3" t="inlineStr">
        <is>
          <t>OVERALL COMPLIANCE SCORECARD</t>
        </is>
      </c>
    </row>
    <row r="5">
      <c r="A5" s="18" t="inlineStr">
        <is>
          <t>Metric</t>
        </is>
      </c>
      <c r="B5" s="18" t="inlineStr">
        <is>
          <t>Value</t>
        </is>
      </c>
      <c r="C5" s="18" t="inlineStr">
        <is>
          <t>Target</t>
        </is>
      </c>
      <c r="D5" s="18" t="inlineStr">
        <is>
          <t>Status</t>
        </is>
      </c>
      <c r="E5" s="18" t="inlineStr">
        <is>
          <t>Trend</t>
        </is>
      </c>
    </row>
    <row r="6">
      <c r="A6" s="19" t="inlineStr">
        <is>
          <t>Overall Compliance Score</t>
        </is>
      </c>
      <c r="B6" s="20">
        <f>AVERAGE(B7:B12)</f>
        <v/>
      </c>
      <c r="C6" s="4" t="inlineStr">
        <is>
          <t>≥90%</t>
        </is>
      </c>
      <c r="D6" s="21" t="n"/>
      <c r="E6" s="21" t="n"/>
    </row>
    <row r="7">
      <c r="A7" s="19" t="inlineStr">
        <is>
          <t>Data Inventory Coverage</t>
        </is>
      </c>
      <c r="B7" s="20">
        <f>[ISMS-IMP-A.8.11.1.xlsx]Summary_Dashboard!$B$7</f>
        <v/>
      </c>
      <c r="C7" s="4" t="inlineStr">
        <is>
          <t>100%</t>
        </is>
      </c>
      <c r="D7" s="21" t="n"/>
      <c r="E7" s="21" t="n"/>
    </row>
    <row r="8">
      <c r="A8" s="19" t="inlineStr">
        <is>
          <t>Sensitive Fields Classified</t>
        </is>
      </c>
      <c r="B8" s="20">
        <f>[ISMS-IMP-A.8.11.1.xlsx]Summary_Dashboard!$B$6</f>
        <v/>
      </c>
      <c r="C8" s="4" t="inlineStr">
        <is>
          <t>100%</t>
        </is>
      </c>
      <c r="D8" s="21" t="n"/>
      <c r="E8" s="21" t="n"/>
    </row>
    <row r="9">
      <c r="A9" s="19" t="inlineStr">
        <is>
          <t>Masking Technique Deployment</t>
        </is>
      </c>
      <c r="B9" s="20">
        <f>[ISMS-IMP-A.8.11.2.xlsx]Summary_Dashboard!$B$6</f>
        <v/>
      </c>
      <c r="C9" s="4" t="inlineStr">
        <is>
          <t>≥90%</t>
        </is>
      </c>
      <c r="D9" s="21" t="n"/>
      <c r="E9" s="21" t="n"/>
    </row>
    <row r="10">
      <c r="A10" s="19" t="inlineStr">
        <is>
          <t>Non-Production Masking Coverage</t>
        </is>
      </c>
      <c r="B10" s="20">
        <f>[ISMS-IMP-A.8.11.3.xlsx]Summary_Dashboard!$B$7</f>
        <v/>
      </c>
      <c r="C10" s="4" t="inlineStr">
        <is>
          <t>100%</t>
        </is>
      </c>
      <c r="D10" s="21" t="n"/>
      <c r="E10" s="21" t="n"/>
    </row>
    <row r="11">
      <c r="A11" s="19" t="inlineStr">
        <is>
          <t>Production DDM Coverage</t>
        </is>
      </c>
      <c r="B11" s="20">
        <f>[ISMS-IMP-A.8.11.3.xlsx]Summary_Dashboard!$B$10</f>
        <v/>
      </c>
      <c r="C11" s="4" t="inlineStr">
        <is>
          <t>≥90%</t>
        </is>
      </c>
      <c r="D11" s="21" t="n"/>
      <c r="E11" s="21" t="n"/>
    </row>
    <row r="12">
      <c r="A12" s="19" t="inlineStr">
        <is>
          <t>Testing Pass Rate</t>
        </is>
      </c>
      <c r="B12" s="20">
        <f>[ISMS-IMP-A.8.11.4.xlsx]Summary_Dashboard!$B$8</f>
        <v/>
      </c>
      <c r="C12" s="4" t="inlineStr">
        <is>
          <t>≥95%</t>
        </is>
      </c>
      <c r="D12" s="21" t="n"/>
      <c r="E12" s="21" t="n"/>
    </row>
    <row r="13">
      <c r="A13" s="19" t="inlineStr">
        <is>
          <t>Re-Identification Risk</t>
        </is>
      </c>
      <c r="B13" s="20">
        <f>[ISMS-IMP-A.8.11.4.xlsx]Summary_Dashboard!$B$12</f>
        <v/>
      </c>
      <c r="C13" s="4" t="inlineStr">
        <is>
          <t>0%</t>
        </is>
      </c>
      <c r="D13" s="21" t="n"/>
      <c r="E13" s="21" t="n"/>
    </row>
    <row r="14">
      <c r="A14" s="19" t="inlineStr">
        <is>
          <t>Data Utility Score</t>
        </is>
      </c>
      <c r="B14" s="20">
        <f>[ISMS-IMP-A.8.11.4.xlsx]Summary_Dashboard!$B$13</f>
        <v/>
      </c>
      <c r="C14" s="4" t="inlineStr">
        <is>
          <t>≥95%</t>
        </is>
      </c>
      <c r="D14" s="21" t="n"/>
      <c r="E14" s="21" t="n"/>
    </row>
    <row r="15">
      <c r="A15" s="19" t="inlineStr">
        <is>
          <t>Performance Impact</t>
        </is>
      </c>
      <c r="B15" s="20">
        <f>[ISMS-IMP-A.8.11.4.xlsx]Summary_Dashboard!$B$14</f>
        <v/>
      </c>
      <c r="C15" s="4" t="inlineStr">
        <is>
          <t>&lt;10%</t>
        </is>
      </c>
      <c r="D15" s="21" t="n"/>
      <c r="E15" s="21" t="n"/>
    </row>
    <row r="17">
      <c r="A17" s="3" t="inlineStr">
        <is>
          <t>DOMAIN QUICK STATS</t>
        </is>
      </c>
    </row>
    <row r="18">
      <c r="A18" s="18" t="inlineStr">
        <is>
          <t>Domain</t>
        </is>
      </c>
      <c r="B18" s="18" t="inlineStr">
        <is>
          <t>Total Items</t>
        </is>
      </c>
      <c r="C18" s="18" t="inlineStr">
        <is>
          <t>Compliant</t>
        </is>
      </c>
      <c r="D18" s="18" t="inlineStr">
        <is>
          <t>Partial</t>
        </is>
      </c>
      <c r="E18" s="18" t="inlineStr">
        <is>
          <t>Non-Compliant</t>
        </is>
      </c>
      <c r="F18" s="18" t="inlineStr">
        <is>
          <t>Coverage %</t>
        </is>
      </c>
    </row>
    <row r="19">
      <c r="A19" s="4" t="inlineStr">
        <is>
          <t>1. Data Inventory</t>
        </is>
      </c>
      <c r="B19" s="20">
        <f>[ISMS-IMP-A.8.11.1.xlsx]Summary_Dashboard!$B$5</f>
        <v/>
      </c>
      <c r="C19" s="20">
        <f>[ISMS-IMP-A.8.11.1.xlsx]Summary_Dashboard!$C$10</f>
        <v/>
      </c>
      <c r="D19" s="20">
        <f>[ISMS-IMP-A.8.11.1.xlsx]Summary_Dashboard!$D$10</f>
        <v/>
      </c>
      <c r="E19" s="20">
        <f>[ISMS-IMP-A.8.11.1.xlsx]Summary_Dashboard!$E$10</f>
        <v/>
      </c>
      <c r="F19" s="20">
        <f>C19/B19</f>
        <v/>
      </c>
    </row>
    <row r="20">
      <c r="A20" s="4" t="inlineStr">
        <is>
          <t>2. Masking Techniques</t>
        </is>
      </c>
      <c r="B20" s="20">
        <f>[ISMS-IMP-A.8.11.2.xlsx]Summary_Dashboard!$B$5</f>
        <v/>
      </c>
      <c r="C20" s="20">
        <f>[ISMS-IMP-A.8.11.2.xlsx]Summary_Dashboard!$C$10</f>
        <v/>
      </c>
      <c r="D20" s="20">
        <f>[ISMS-IMP-A.8.11.2.xlsx]Summary_Dashboard!$D$10</f>
        <v/>
      </c>
      <c r="E20" s="20">
        <f>[ISMS-IMP-A.8.11.2.xlsx]Summary_Dashboard!$E$10</f>
        <v/>
      </c>
      <c r="F20" s="20">
        <f>C20/B20</f>
        <v/>
      </c>
    </row>
    <row r="21">
      <c r="A21" s="4" t="inlineStr">
        <is>
          <t>3. Environment Coverage</t>
        </is>
      </c>
      <c r="B21" s="20">
        <f>[ISMS-IMP-A.8.11.3.xlsx]Summary_Dashboard!$B$5</f>
        <v/>
      </c>
      <c r="C21" s="20">
        <f>[ISMS-IMP-A.8.11.3.xlsx]Summary_Dashboard!$C$10</f>
        <v/>
      </c>
      <c r="D21" s="20">
        <f>[ISMS-IMP-A.8.11.3.xlsx]Summary_Dashboard!$D$10</f>
        <v/>
      </c>
      <c r="E21" s="20">
        <f>[ISMS-IMP-A.8.11.3.xlsx]Summary_Dashboard!$E$10</f>
        <v/>
      </c>
      <c r="F21" s="20">
        <f>C21/B21</f>
        <v/>
      </c>
    </row>
    <row r="22">
      <c r="A22" s="4" t="inlineStr">
        <is>
          <t>4. Testing &amp; Validation</t>
        </is>
      </c>
      <c r="B22" s="20">
        <f>[ISMS-IMP-A.8.11.4.xlsx]Summary_Dashboard!$B$5</f>
        <v/>
      </c>
      <c r="C22" s="20">
        <f>[ISMS-IMP-A.8.11.4.xlsx]Summary_Dashboard!$C$10</f>
        <v/>
      </c>
      <c r="D22" s="20">
        <f>[ISMS-IMP-A.8.11.4.xlsx]Summary_Dashboard!$D$10</f>
        <v/>
      </c>
      <c r="E22" s="20">
        <f>[ISMS-IMP-A.8.11.4.xlsx]Summary_Dashboard!$E$10</f>
        <v/>
      </c>
      <c r="F22" s="20">
        <f>C22/B22</f>
        <v/>
      </c>
    </row>
    <row r="23">
      <c r="A23" s="22" t="inlineStr">
        <is>
          <t>TOTAL</t>
        </is>
      </c>
      <c r="B23" s="23">
        <f>SUM(B19:B22)</f>
        <v/>
      </c>
      <c r="C23" s="23">
        <f>SUM(C19:C22)</f>
        <v/>
      </c>
      <c r="D23" s="23">
        <f>SUM(D19:D22)</f>
        <v/>
      </c>
      <c r="E23" s="23">
        <f>SUM(E19:E22)</f>
        <v/>
      </c>
      <c r="F23" s="23">
        <f>AVERAGE(F19:F22)</f>
        <v/>
      </c>
    </row>
    <row r="25">
      <c r="A25" s="3" t="inlineStr">
        <is>
          <t>CRITICAL GAPS (TOP 10) - IMMEDIATE ATTENTION REQUIRED</t>
        </is>
      </c>
    </row>
    <row r="26">
      <c r="A26" s="18" t="inlineStr">
        <is>
          <t>Priority</t>
        </is>
      </c>
      <c r="B26" s="18" t="inlineStr">
        <is>
          <t>Gap Description</t>
        </is>
      </c>
      <c r="C26" s="18" t="inlineStr">
        <is>
          <t>Domain</t>
        </is>
      </c>
      <c r="D26" s="18" t="inlineStr">
        <is>
          <t>Risk Level</t>
        </is>
      </c>
      <c r="E26" s="18" t="inlineStr">
        <is>
          <t>Owner</t>
        </is>
      </c>
      <c r="F26" s="18" t="inlineStr">
        <is>
          <t>Target Date</t>
        </is>
      </c>
      <c r="G26" s="18" t="inlineStr">
        <is>
          <t>Status</t>
        </is>
      </c>
    </row>
    <row r="27">
      <c r="A27" s="24" t="inlineStr">
        <is>
          <t>P0-Critical</t>
        </is>
      </c>
      <c r="B27" s="25" t="inlineStr">
        <is>
          <t>Unmasked PII in UAT environment</t>
        </is>
      </c>
      <c r="C27" s="25" t="inlineStr">
        <is>
          <t>Domain 3</t>
        </is>
      </c>
      <c r="D27" s="24" t="inlineStr">
        <is>
          <t>Critical</t>
        </is>
      </c>
      <c r="E27" s="21" t="inlineStr">
        <is>
          <t>[ASSIGN]</t>
        </is>
      </c>
      <c r="F27" s="21" t="inlineStr">
        <is>
          <t>[DATE]</t>
        </is>
      </c>
      <c r="G27" s="25" t="inlineStr">
        <is>
          <t>Open</t>
        </is>
      </c>
    </row>
    <row r="28">
      <c r="A28" s="24" t="inlineStr">
        <is>
          <t>P0-Critical</t>
        </is>
      </c>
      <c r="B28" s="25" t="inlineStr">
        <is>
          <t>Production data copied to dev without masking</t>
        </is>
      </c>
      <c r="C28" s="25" t="inlineStr">
        <is>
          <t>Domain 3</t>
        </is>
      </c>
      <c r="D28" s="24" t="inlineStr">
        <is>
          <t>Critical</t>
        </is>
      </c>
      <c r="E28" s="21" t="inlineStr">
        <is>
          <t>[ASSIGN]</t>
        </is>
      </c>
      <c r="F28" s="21" t="inlineStr">
        <is>
          <t>[DATE]</t>
        </is>
      </c>
      <c r="G28" s="25" t="inlineStr">
        <is>
          <t>Open</t>
        </is>
      </c>
    </row>
    <row r="29">
      <c r="A29" s="26" t="inlineStr">
        <is>
          <t>P1-High</t>
        </is>
      </c>
      <c r="B29" s="25" t="inlineStr">
        <is>
          <t>Credit card numbers not masked in test DB</t>
        </is>
      </c>
      <c r="C29" s="25" t="inlineStr">
        <is>
          <t>Domain 1</t>
        </is>
      </c>
      <c r="D29" s="26" t="inlineStr">
        <is>
          <t>High</t>
        </is>
      </c>
      <c r="E29" s="21" t="inlineStr">
        <is>
          <t>[ASSIGN]</t>
        </is>
      </c>
      <c r="F29" s="21" t="inlineStr">
        <is>
          <t>[DATE]</t>
        </is>
      </c>
      <c r="G29" s="25" t="inlineStr">
        <is>
          <t>Open</t>
        </is>
      </c>
    </row>
    <row r="30">
      <c r="A30" s="26" t="inlineStr">
        <is>
          <t>P1-High</t>
        </is>
      </c>
      <c r="B30" s="25" t="inlineStr">
        <is>
          <t>Re-identification possible via join attacks</t>
        </is>
      </c>
      <c r="C30" s="25" t="inlineStr">
        <is>
          <t>Domain 4</t>
        </is>
      </c>
      <c r="D30" s="26" t="inlineStr">
        <is>
          <t>High</t>
        </is>
      </c>
      <c r="E30" s="21" t="inlineStr">
        <is>
          <t>[ASSIGN]</t>
        </is>
      </c>
      <c r="F30" s="21" t="inlineStr">
        <is>
          <t>[DATE]</t>
        </is>
      </c>
      <c r="G30" s="25" t="inlineStr">
        <is>
          <t>Open</t>
        </is>
      </c>
    </row>
    <row r="31">
      <c r="A31" s="26" t="inlineStr">
        <is>
          <t>P1-High</t>
        </is>
      </c>
      <c r="B31" s="25" t="inlineStr">
        <is>
          <t>Backup tapes contain unmasked sensitive data</t>
        </is>
      </c>
      <c r="C31" s="25" t="inlineStr">
        <is>
          <t>Domain 3</t>
        </is>
      </c>
      <c r="D31" s="26" t="inlineStr">
        <is>
          <t>High</t>
        </is>
      </c>
      <c r="E31" s="21" t="inlineStr">
        <is>
          <t>[ASSIGN]</t>
        </is>
      </c>
      <c r="F31" s="21" t="inlineStr">
        <is>
          <t>[DATE]</t>
        </is>
      </c>
      <c r="G31" s="25" t="inlineStr">
        <is>
          <t>Open</t>
        </is>
      </c>
    </row>
    <row r="32">
      <c r="A32" s="27" t="inlineStr">
        <is>
          <t>P2-Medium</t>
        </is>
      </c>
      <c r="B32" s="25" t="inlineStr">
        <is>
          <t>Incomplete data inventory for cloud systems</t>
        </is>
      </c>
      <c r="C32" s="25" t="inlineStr">
        <is>
          <t>Domain 1</t>
        </is>
      </c>
      <c r="D32" s="27" t="inlineStr">
        <is>
          <t>Medium</t>
        </is>
      </c>
      <c r="E32" s="21" t="inlineStr">
        <is>
          <t>[ASSIGN]</t>
        </is>
      </c>
      <c r="F32" s="21" t="inlineStr">
        <is>
          <t>[DATE]</t>
        </is>
      </c>
      <c r="G32" s="25" t="inlineStr">
        <is>
          <t>In Progress</t>
        </is>
      </c>
    </row>
    <row r="33">
      <c r="A33" s="27" t="inlineStr">
        <is>
          <t>P2-Medium</t>
        </is>
      </c>
      <c r="B33" s="25" t="inlineStr">
        <is>
          <t>DDM not implemented in production API</t>
        </is>
      </c>
      <c r="C33" s="25" t="inlineStr">
        <is>
          <t>Domain 2</t>
        </is>
      </c>
      <c r="D33" s="27" t="inlineStr">
        <is>
          <t>Medium</t>
        </is>
      </c>
      <c r="E33" s="21" t="inlineStr">
        <is>
          <t>[ASSIGN]</t>
        </is>
      </c>
      <c r="F33" s="21" t="inlineStr">
        <is>
          <t>[DATE]</t>
        </is>
      </c>
      <c r="G33" s="25" t="inlineStr">
        <is>
          <t>Planned</t>
        </is>
      </c>
    </row>
    <row r="34">
      <c r="A34" s="27" t="inlineStr">
        <is>
          <t>P2-Medium</t>
        </is>
      </c>
      <c r="B34" s="25" t="inlineStr">
        <is>
          <t>Testing coverage &lt;95% for masking functions</t>
        </is>
      </c>
      <c r="C34" s="25" t="inlineStr">
        <is>
          <t>Domain 4</t>
        </is>
      </c>
      <c r="D34" s="27" t="inlineStr">
        <is>
          <t>Medium</t>
        </is>
      </c>
      <c r="E34" s="21" t="inlineStr">
        <is>
          <t>[ASSIGN]</t>
        </is>
      </c>
      <c r="F34" s="21" t="inlineStr">
        <is>
          <t>[DATE]</t>
        </is>
      </c>
      <c r="G34" s="25" t="inlineStr">
        <is>
          <t>In Progress</t>
        </is>
      </c>
    </row>
    <row r="35">
      <c r="A35" s="27" t="inlineStr">
        <is>
          <t>P3-Low</t>
        </is>
      </c>
      <c r="B35" s="25" t="inlineStr">
        <is>
          <t>Data owner assignment incomplete (15% missing)</t>
        </is>
      </c>
      <c r="C35" s="25" t="inlineStr">
        <is>
          <t>Domain 1</t>
        </is>
      </c>
      <c r="D35" s="27" t="inlineStr">
        <is>
          <t>Low</t>
        </is>
      </c>
      <c r="E35" s="21" t="inlineStr">
        <is>
          <t>[ASSIGN]</t>
        </is>
      </c>
      <c r="F35" s="21" t="inlineStr">
        <is>
          <t>[DATE]</t>
        </is>
      </c>
      <c r="G35" s="25" t="inlineStr">
        <is>
          <t>Planned</t>
        </is>
      </c>
    </row>
    <row r="36">
      <c r="A36" s="27" t="inlineStr">
        <is>
          <t>P3-Low</t>
        </is>
      </c>
      <c r="B36" s="25" t="inlineStr">
        <is>
          <t>Evidence documentation gaps for 3 systems</t>
        </is>
      </c>
      <c r="C36" s="25" t="inlineStr">
        <is>
          <t>Domain 1</t>
        </is>
      </c>
      <c r="D36" s="27" t="inlineStr">
        <is>
          <t>Low</t>
        </is>
      </c>
      <c r="E36" s="21" t="inlineStr">
        <is>
          <t>[ASSIGN]</t>
        </is>
      </c>
      <c r="F36" s="21" t="inlineStr">
        <is>
          <t>[DATE]</t>
        </is>
      </c>
      <c r="G36" s="25" t="inlineStr">
        <is>
          <t>Planned</t>
        </is>
      </c>
    </row>
    <row r="38">
      <c r="A38" s="3" t="inlineStr">
        <is>
          <t>RISK SUMMARY BY CATEGORY</t>
        </is>
      </c>
    </row>
    <row r="39">
      <c r="A39" s="18" t="inlineStr">
        <is>
          <t>Risk Category</t>
        </is>
      </c>
      <c r="B39" s="18" t="inlineStr">
        <is>
          <t>Critical</t>
        </is>
      </c>
      <c r="C39" s="18" t="inlineStr">
        <is>
          <t>High</t>
        </is>
      </c>
      <c r="D39" s="18" t="inlineStr">
        <is>
          <t>Medium</t>
        </is>
      </c>
      <c r="E39" s="18" t="inlineStr">
        <is>
          <t>Low</t>
        </is>
      </c>
      <c r="F39" s="18" t="inlineStr">
        <is>
          <t>Total</t>
        </is>
      </c>
      <c r="G39" s="18" t="inlineStr">
        <is>
          <t>Mitigation Status</t>
        </is>
      </c>
    </row>
    <row r="40">
      <c r="A40" s="19" t="inlineStr">
        <is>
          <t>Unmasked Environments</t>
        </is>
      </c>
      <c r="B40" s="20">
        <f>COUNTIFS(Risk_Register!$B:$B,"Data Leakage",Risk_Register!$G:$G,"Critical")</f>
        <v/>
      </c>
      <c r="C40" s="21" t="n"/>
      <c r="D40" s="21" t="n"/>
      <c r="E40" s="21" t="n"/>
      <c r="F40" s="21" t="n"/>
      <c r="G40" s="21" t="n"/>
    </row>
    <row r="41">
      <c r="A41" s="19" t="inlineStr">
        <is>
          <t>Re-Identification Risk</t>
        </is>
      </c>
      <c r="B41" s="20">
        <f>COUNTIFS(Risk_Register!$B:$B,"Re-identification",Risk_Register!$G:$G,"Critical")</f>
        <v/>
      </c>
      <c r="C41" s="21" t="n"/>
      <c r="D41" s="21" t="n"/>
      <c r="E41" s="21" t="n"/>
      <c r="F41" s="21" t="n"/>
      <c r="G41" s="21" t="n"/>
    </row>
    <row r="42">
      <c r="A42" s="19" t="inlineStr">
        <is>
          <t>Schema Drift (Unmasked Fields)</t>
        </is>
      </c>
      <c r="B42" s="20">
        <f>COUNTIFS(Risk_Register!$B:$B,"Incomplete Coverage",Risk_Register!$G:$G,"High")</f>
        <v/>
      </c>
      <c r="C42" s="21" t="n"/>
      <c r="D42" s="21" t="n"/>
      <c r="E42" s="21" t="n"/>
      <c r="F42" s="21" t="n"/>
      <c r="G42" s="21" t="n"/>
    </row>
    <row r="43">
      <c r="A43" s="19" t="inlineStr">
        <is>
          <t>Performance Impact</t>
        </is>
      </c>
      <c r="B43" s="20">
        <f>COUNTIFS(Risk_Register!$B:$B,"Performance Impact",Risk_Register!$G:$G,"Medium")</f>
        <v/>
      </c>
      <c r="C43" s="21" t="n"/>
      <c r="D43" s="21" t="n"/>
      <c r="E43" s="21" t="n"/>
      <c r="F43" s="21" t="n"/>
      <c r="G43" s="21" t="n"/>
    </row>
    <row r="44">
      <c r="A44" s="19" t="inlineStr">
        <is>
          <t>Compliance Violations</t>
        </is>
      </c>
      <c r="B44" s="20">
        <f>COUNTIFS(Risk_Register!$B:$B,"Compliance Violation",Risk_Register!$G:$G,"Critical")</f>
        <v/>
      </c>
      <c r="C44" s="21" t="n"/>
      <c r="D44" s="21" t="n"/>
      <c r="E44" s="21" t="n"/>
      <c r="F44" s="21" t="n"/>
      <c r="G44" s="21" t="n"/>
    </row>
    <row r="45">
      <c r="A45" s="22" t="inlineStr">
        <is>
          <t>TOTAL RISKS</t>
        </is>
      </c>
      <c r="B45" s="28" t="n"/>
      <c r="C45" s="28" t="n"/>
      <c r="D45" s="28" t="n"/>
      <c r="E45" s="28" t="n"/>
      <c r="F45" s="28" t="n"/>
      <c r="G45" s="28" t="n"/>
    </row>
    <row r="47">
      <c r="A47" s="3" t="inlineStr">
        <is>
          <t>EXECUTIVE RECOMMENDATIONS - KEY ACTIONS REQUIRED</t>
        </is>
      </c>
    </row>
    <row r="48">
      <c r="A48" s="29" t="inlineStr">
        <is>
          <t>1. IMMEDIATE ACTIONS (Within 30 Days):</t>
        </is>
      </c>
    </row>
    <row r="49">
      <c r="A49" t="inlineStr"/>
      <c r="B49" t="inlineStr">
        <is>
          <t>• Remediate P0-Critical gaps (unmasked UAT/dev environments)</t>
        </is>
      </c>
    </row>
    <row r="50">
      <c r="A50" t="inlineStr"/>
      <c r="B50" t="inlineStr">
        <is>
          <t>• Implement emergency controls for production data leakage</t>
        </is>
      </c>
    </row>
    <row r="51">
      <c r="A51" t="inlineStr"/>
      <c r="B51" t="inlineStr">
        <is>
          <t>• Complete data inventory for all cloud systems</t>
        </is>
      </c>
    </row>
    <row r="52">
      <c r="A52" t="inlineStr"/>
      <c r="B52" t="inlineStr">
        <is>
          <t>• Address re-identification risks in test environments</t>
        </is>
      </c>
    </row>
    <row r="53">
      <c r="A53" t="inlineStr"/>
      <c r="B53" t="inlineStr"/>
    </row>
    <row r="54">
      <c r="A54" s="29" t="inlineStr">
        <is>
          <t>2. SHORT-TERM ACTIONS (31-90 Days):</t>
        </is>
      </c>
    </row>
    <row r="55">
      <c r="A55" t="inlineStr"/>
      <c r="B55" t="inlineStr">
        <is>
          <t>• Deploy masking techniques for all P1-High gaps</t>
        </is>
      </c>
    </row>
    <row r="56">
      <c r="A56" t="inlineStr"/>
      <c r="B56" t="inlineStr">
        <is>
          <t>• Implement DDM for production environments (≥90% coverage)</t>
        </is>
      </c>
    </row>
    <row r="57">
      <c r="A57" t="inlineStr"/>
      <c r="B57" t="inlineStr">
        <is>
          <t>• Complete testing validation to achieve ≥95% pass rate</t>
        </is>
      </c>
    </row>
    <row r="58">
      <c r="A58" t="inlineStr"/>
      <c r="B58" t="inlineStr">
        <is>
          <t>• Address backup/archive encryption gaps</t>
        </is>
      </c>
    </row>
    <row r="59">
      <c r="A59" t="inlineStr"/>
      <c r="B59" t="inlineStr"/>
    </row>
    <row r="60">
      <c r="A60" s="29" t="inlineStr">
        <is>
          <t>3. MEDIUM-TERM ACTIONS (91-180 Days):</t>
        </is>
      </c>
    </row>
    <row r="61">
      <c r="A61" t="inlineStr"/>
      <c r="B61" t="inlineStr">
        <is>
          <t>• Achieve 100% data owner assignment</t>
        </is>
      </c>
    </row>
    <row r="62">
      <c r="A62" t="inlineStr"/>
      <c r="B62" t="inlineStr">
        <is>
          <t>• Complete evidence documentation for all systems</t>
        </is>
      </c>
    </row>
    <row r="63">
      <c r="A63" t="inlineStr"/>
      <c r="B63" t="inlineStr">
        <is>
          <t>• Implement automated schema drift detection</t>
        </is>
      </c>
    </row>
    <row r="64">
      <c r="A64" t="inlineStr"/>
      <c r="B64" t="inlineStr">
        <is>
          <t>• Conduct quarterly compliance reviews</t>
        </is>
      </c>
    </row>
    <row r="65">
      <c r="A65" t="inlineStr"/>
      <c r="B65" t="inlineStr"/>
    </row>
    <row r="66">
      <c r="A66" s="29" t="inlineStr">
        <is>
          <t>4. CISO DECISION POINTS:</t>
        </is>
      </c>
    </row>
    <row r="67">
      <c r="A67" t="inlineStr"/>
      <c r="B67" t="inlineStr">
        <is>
          <t>• Accept residual risk for [specify scenarios]?</t>
        </is>
      </c>
    </row>
    <row r="68">
      <c r="A68" t="inlineStr"/>
      <c r="B68" t="inlineStr">
        <is>
          <t>• Approve remediation budget of [amount]?</t>
        </is>
      </c>
    </row>
    <row r="69">
      <c r="A69" t="inlineStr"/>
      <c r="B69" t="inlineStr">
        <is>
          <t>• Escalate critical gaps to Board?</t>
        </is>
      </c>
    </row>
    <row r="70">
      <c r="A70" t="inlineStr"/>
      <c r="B70" t="inlineStr">
        <is>
          <t>• Delay production deployments until masking complete?</t>
        </is>
      </c>
    </row>
    <row r="72">
      <c r="A72" s="3" t="inlineStr">
        <is>
          <t>COMPLIANCE CERTIFICATION READINESS</t>
        </is>
      </c>
    </row>
    <row r="73">
      <c r="A73" s="18" t="inlineStr">
        <is>
          <t>Certification Area</t>
        </is>
      </c>
      <c r="B73" s="18" t="inlineStr">
        <is>
          <t>Current Status</t>
        </is>
      </c>
      <c r="C73" s="18" t="inlineStr">
        <is>
          <t>Target</t>
        </is>
      </c>
      <c r="D73" s="18" t="inlineStr">
        <is>
          <t>Gap</t>
        </is>
      </c>
      <c r="E73" s="18" t="inlineStr">
        <is>
          <t>Readiness</t>
        </is>
      </c>
    </row>
    <row r="74">
      <c r="A74" s="19" t="inlineStr">
        <is>
          <t>ISO/IEC 27001:2022 Control A.8.11</t>
        </is>
      </c>
      <c r="B74" s="21" t="n"/>
      <c r="C74" s="4" t="inlineStr">
        <is>
          <t>100%</t>
        </is>
      </c>
      <c r="D74" s="20">
        <f>C74-B74</f>
        <v/>
      </c>
      <c r="E74" s="21" t="n"/>
    </row>
    <row r="75">
      <c r="A75" s="19" t="inlineStr">
        <is>
          <t>GDPR Art. 32 (Security Measures)</t>
        </is>
      </c>
      <c r="B75" s="21" t="n"/>
      <c r="C75" s="4" t="inlineStr">
        <is>
          <t>100%</t>
        </is>
      </c>
      <c r="D75" s="20">
        <f>C75-B75</f>
        <v/>
      </c>
      <c r="E75" s="21" t="n"/>
    </row>
    <row r="76">
      <c r="A76" s="19" t="inlineStr">
        <is>
          <t>Swiss FADP Art. 8 (Data Security)</t>
        </is>
      </c>
      <c r="B76" s="21" t="n"/>
      <c r="C76" s="4" t="inlineStr">
        <is>
          <t>100%</t>
        </is>
      </c>
      <c r="D76" s="20">
        <f>C76-B76</f>
        <v/>
      </c>
      <c r="E76" s="21" t="n"/>
    </row>
    <row r="77">
      <c r="A77" s="19" t="inlineStr">
        <is>
          <t>NIST 800-53 SC-28 (Protection at Rest)</t>
        </is>
      </c>
      <c r="B77" s="21" t="n"/>
      <c r="C77" s="4" t="inlineStr">
        <is>
          <t>≥90%</t>
        </is>
      </c>
      <c r="D77" s="20">
        <f>C77-B77</f>
        <v/>
      </c>
      <c r="E77" s="21" t="n"/>
    </row>
    <row r="78">
      <c r="A78" s="19" t="inlineStr">
        <is>
          <t>SOC 2 Type II (Confidentiality)</t>
        </is>
      </c>
      <c r="B78" s="21" t="n"/>
      <c r="C78" s="4" t="inlineStr">
        <is>
          <t>100%</t>
        </is>
      </c>
      <c r="D78" s="20">
        <f>C78-B78</f>
        <v/>
      </c>
      <c r="E78" s="21" t="n"/>
    </row>
  </sheetData>
  <mergeCells count="31">
    <mergeCell ref="A48:H48"/>
    <mergeCell ref="B49:H49"/>
    <mergeCell ref="B65:H65"/>
    <mergeCell ref="B68:H68"/>
    <mergeCell ref="B55:H55"/>
    <mergeCell ref="A60:H60"/>
    <mergeCell ref="B64:H64"/>
    <mergeCell ref="A1:H1"/>
    <mergeCell ref="B51:H51"/>
    <mergeCell ref="B63:H63"/>
    <mergeCell ref="B50:H50"/>
    <mergeCell ref="A25:H25"/>
    <mergeCell ref="A54:H54"/>
    <mergeCell ref="B62:H62"/>
    <mergeCell ref="A66:H66"/>
    <mergeCell ref="B59:H59"/>
    <mergeCell ref="B58:H58"/>
    <mergeCell ref="B56:H56"/>
    <mergeCell ref="B52:H52"/>
    <mergeCell ref="A2:H2"/>
    <mergeCell ref="B70:H70"/>
    <mergeCell ref="A47:H47"/>
    <mergeCell ref="B67:H67"/>
    <mergeCell ref="A17:H17"/>
    <mergeCell ref="B61:H61"/>
    <mergeCell ref="A4:H4"/>
    <mergeCell ref="B57:H57"/>
    <mergeCell ref="A38:H38"/>
    <mergeCell ref="B53:H53"/>
    <mergeCell ref="A72:H72"/>
    <mergeCell ref="B69:H6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workbookViewId="0">
      <pane ySplit="5" topLeftCell="A6" activePane="bottomLeft" state="frozen"/>
      <selection pane="bottomLeft" activeCell="A1" sqref="A1"/>
    </sheetView>
  </sheetViews>
  <sheetFormatPr baseColWidth="8" defaultRowHeight="15"/>
  <cols>
    <col width="28" customWidth="1" min="1" max="1"/>
    <col width="20" customWidth="1" min="2" max="2"/>
    <col width="25" customWidth="1" min="3" max="3"/>
    <col width="15" customWidth="1" min="4" max="4"/>
    <col width="15" customWidth="1" min="5" max="5"/>
    <col width="20" customWidth="1" min="6" max="6"/>
  </cols>
  <sheetData>
    <row r="1" ht="40" customHeight="1">
      <c r="A1" s="1" t="inlineStr">
        <is>
          <t>DOMAIN 1 SUMMARY - DATA INVENTORY &amp; CLASSIFICATION</t>
        </is>
      </c>
    </row>
    <row r="2" ht="25" customHeight="1">
      <c r="A2" s="2" t="inlineStr">
        <is>
          <t>Data Source: [ISMS-IMP-A.8.11.1.xlsx]Summary_Dashboard (Normalized File)</t>
        </is>
      </c>
    </row>
    <row r="4">
      <c r="A4" s="3" t="inlineStr">
        <is>
          <t>SUMMARY METRICS FROM SOURCE WORKBOOK</t>
        </is>
      </c>
    </row>
    <row r="5">
      <c r="A5" s="18" t="inlineStr">
        <is>
          <t>Metric</t>
        </is>
      </c>
      <c r="B5" s="18" t="inlineStr">
        <is>
          <t>Value</t>
        </is>
      </c>
      <c r="C5" s="18" t="inlineStr">
        <is>
          <t>Formula Reference</t>
        </is>
      </c>
      <c r="D5" s="18" t="inlineStr">
        <is>
          <t>Target</t>
        </is>
      </c>
      <c r="E5" s="18" t="inlineStr">
        <is>
          <t>Status</t>
        </is>
      </c>
    </row>
    <row r="6">
      <c r="A6" s="19" t="inlineStr">
        <is>
          <t>Metric 1</t>
        </is>
      </c>
      <c r="B6" s="20">
        <f>[ISMS-IMP-A.8.11.1.xlsx]Summary_Dashboard!$B$5</f>
        <v/>
      </c>
      <c r="C6" s="30" t="inlineStr">
        <is>
          <t>Summary_Dashboard!B5</t>
        </is>
      </c>
      <c r="D6" s="21" t="n"/>
      <c r="E6" s="21" t="n"/>
    </row>
    <row r="7">
      <c r="A7" s="19" t="inlineStr">
        <is>
          <t>Metric 2</t>
        </is>
      </c>
      <c r="B7" s="20">
        <f>[ISMS-IMP-A.8.11.1.xlsx]Summary_Dashboard!$B$6</f>
        <v/>
      </c>
      <c r="C7" s="30" t="inlineStr">
        <is>
          <t>Summary_Dashboard!B6</t>
        </is>
      </c>
      <c r="D7" s="21" t="n"/>
      <c r="E7" s="21" t="n"/>
    </row>
    <row r="8">
      <c r="A8" s="19" t="inlineStr">
        <is>
          <t>Metric 3</t>
        </is>
      </c>
      <c r="B8" s="20">
        <f>[ISMS-IMP-A.8.11.1.xlsx]Summary_Dashboard!$B$7</f>
        <v/>
      </c>
      <c r="C8" s="30" t="inlineStr">
        <is>
          <t>Summary_Dashboard!B7</t>
        </is>
      </c>
      <c r="D8" s="21" t="n"/>
      <c r="E8" s="21" t="n"/>
    </row>
    <row r="9">
      <c r="A9" s="19" t="inlineStr">
        <is>
          <t>Metric 4</t>
        </is>
      </c>
      <c r="B9" s="20">
        <f>[ISMS-IMP-A.8.11.1.xlsx]Summary_Dashboard!$B$8</f>
        <v/>
      </c>
      <c r="C9" s="30" t="inlineStr">
        <is>
          <t>Summary_Dashboard!B8</t>
        </is>
      </c>
      <c r="D9" s="21" t="n"/>
      <c r="E9" s="21" t="n"/>
    </row>
    <row r="10">
      <c r="A10" s="19" t="inlineStr">
        <is>
          <t>Metric 5</t>
        </is>
      </c>
      <c r="B10" s="20">
        <f>[ISMS-IMP-A.8.11.1.xlsx]Summary_Dashboard!$B$9</f>
        <v/>
      </c>
      <c r="C10" s="30" t="inlineStr">
        <is>
          <t>Summary_Dashboard!B9</t>
        </is>
      </c>
      <c r="D10" s="21" t="n"/>
      <c r="E10" s="21" t="n"/>
    </row>
    <row r="11">
      <c r="A11" s="19" t="inlineStr">
        <is>
          <t>Metric 6</t>
        </is>
      </c>
      <c r="B11" s="20">
        <f>[ISMS-IMP-A.8.11.1.xlsx]Summary_Dashboard!$B$10</f>
        <v/>
      </c>
      <c r="C11" s="30" t="inlineStr">
        <is>
          <t>Summary_Dashboard!B10</t>
        </is>
      </c>
      <c r="D11" s="21" t="n"/>
      <c r="E11" s="21" t="n"/>
    </row>
    <row r="12">
      <c r="A12" s="19" t="inlineStr">
        <is>
          <t>Metric 7</t>
        </is>
      </c>
      <c r="B12" s="20">
        <f>[ISMS-IMP-A.8.11.1.xlsx]Summary_Dashboard!$B$11</f>
        <v/>
      </c>
      <c r="C12" s="30" t="inlineStr">
        <is>
          <t>Summary_Dashboard!B11</t>
        </is>
      </c>
      <c r="D12" s="21" t="n"/>
      <c r="E12" s="21" t="n"/>
    </row>
    <row r="13">
      <c r="A13" s="19" t="inlineStr">
        <is>
          <t>Metric 8</t>
        </is>
      </c>
      <c r="B13" s="20">
        <f>[ISMS-IMP-A.8.11.1.xlsx]Summary_Dashboard!$B$12</f>
        <v/>
      </c>
      <c r="C13" s="30" t="inlineStr">
        <is>
          <t>Summary_Dashboard!B12</t>
        </is>
      </c>
      <c r="D13" s="21" t="n"/>
      <c r="E13" s="21" t="n"/>
    </row>
    <row r="14">
      <c r="A14" s="19" t="inlineStr">
        <is>
          <t>Metric 9</t>
        </is>
      </c>
      <c r="B14" s="20">
        <f>[ISMS-IMP-A.8.11.1.xlsx]Summary_Dashboard!$B$13</f>
        <v/>
      </c>
      <c r="C14" s="30" t="inlineStr">
        <is>
          <t>Summary_Dashboard!B13</t>
        </is>
      </c>
      <c r="D14" s="21" t="n"/>
      <c r="E14" s="21" t="n"/>
    </row>
    <row r="15">
      <c r="A15" s="19" t="inlineStr">
        <is>
          <t>Metric 10</t>
        </is>
      </c>
      <c r="B15" s="20">
        <f>[ISMS-IMP-A.8.11.1.xlsx]Summary_Dashboard!$B$14</f>
        <v/>
      </c>
      <c r="C15" s="30" t="inlineStr">
        <is>
          <t>Summary_Dashboard!B14</t>
        </is>
      </c>
      <c r="D15" s="21" t="n"/>
      <c r="E15" s="21" t="n"/>
    </row>
    <row r="16">
      <c r="A16" s="19" t="inlineStr">
        <is>
          <t>Metric 11</t>
        </is>
      </c>
      <c r="B16" s="20">
        <f>[ISMS-IMP-A.8.11.1.xlsx]Summary_Dashboard!$B$15</f>
        <v/>
      </c>
      <c r="C16" s="30" t="inlineStr">
        <is>
          <t>Summary_Dashboard!B15</t>
        </is>
      </c>
      <c r="D16" s="21" t="n"/>
      <c r="E16" s="21" t="n"/>
    </row>
    <row r="17">
      <c r="A17" s="19" t="inlineStr">
        <is>
          <t>Metric 12</t>
        </is>
      </c>
      <c r="B17" s="20">
        <f>[ISMS-IMP-A.8.11.1.xlsx]Summary_Dashboard!$B$16</f>
        <v/>
      </c>
      <c r="C17" s="30" t="inlineStr">
        <is>
          <t>Summary_Dashboard!B16</t>
        </is>
      </c>
      <c r="D17" s="21" t="n"/>
      <c r="E17" s="21" t="n"/>
    </row>
    <row r="18">
      <c r="A18" s="19" t="inlineStr">
        <is>
          <t>Metric 13</t>
        </is>
      </c>
      <c r="B18" s="20">
        <f>[ISMS-IMP-A.8.11.1.xlsx]Summary_Dashboard!$B$17</f>
        <v/>
      </c>
      <c r="C18" s="30" t="inlineStr">
        <is>
          <t>Summary_Dashboard!B17</t>
        </is>
      </c>
      <c r="D18" s="21" t="n"/>
      <c r="E18" s="21" t="n"/>
    </row>
    <row r="19">
      <c r="A19" s="19" t="inlineStr">
        <is>
          <t>Metric 14</t>
        </is>
      </c>
      <c r="B19" s="20">
        <f>[ISMS-IMP-A.8.11.1.xlsx]Summary_Dashboard!$B$18</f>
        <v/>
      </c>
      <c r="C19" s="30" t="inlineStr">
        <is>
          <t>Summary_Dashboard!B18</t>
        </is>
      </c>
      <c r="D19" s="21" t="n"/>
      <c r="E19" s="21" t="n"/>
    </row>
    <row r="20">
      <c r="A20" s="19" t="inlineStr">
        <is>
          <t>Metric 15</t>
        </is>
      </c>
      <c r="B20" s="20">
        <f>[ISMS-IMP-A.8.11.1.xlsx]Summary_Dashboard!$B$19</f>
        <v/>
      </c>
      <c r="C20" s="30" t="inlineStr">
        <is>
          <t>Summary_Dashboard!B19</t>
        </is>
      </c>
      <c r="D20" s="21" t="n"/>
      <c r="E20" s="21" t="n"/>
    </row>
    <row r="22">
      <c r="A22" s="3" t="inlineStr">
        <is>
          <t>COMPLIANCE STATUS BREAKDOWN</t>
        </is>
      </c>
    </row>
    <row r="23">
      <c r="A23" s="18" t="inlineStr">
        <is>
          <t>Status Category</t>
        </is>
      </c>
      <c r="B23" s="18" t="inlineStr">
        <is>
          <t>Count</t>
        </is>
      </c>
      <c r="C23" s="18" t="inlineStr">
        <is>
          <t>Percentage</t>
        </is>
      </c>
      <c r="D23" s="18" t="inlineStr">
        <is>
          <t>Trend</t>
        </is>
      </c>
      <c r="E23" s="18" t="inlineStr">
        <is>
          <t>Notes</t>
        </is>
      </c>
    </row>
    <row r="24">
      <c r="A24" s="19" t="inlineStr">
        <is>
          <t>Compliant (Green)</t>
        </is>
      </c>
      <c r="B24" s="20">
        <f>[ISMS-IMP-A.8.11.1.xlsx]Summary_Dashboard!$C$10</f>
        <v/>
      </c>
      <c r="C24" s="20">
        <f>B24/B28</f>
        <v/>
      </c>
      <c r="D24" s="21" t="n"/>
      <c r="E24" s="21" t="n"/>
    </row>
    <row r="25">
      <c r="A25" s="19" t="inlineStr">
        <is>
          <t>Partial (Yellow)</t>
        </is>
      </c>
      <c r="B25" s="20">
        <f>[ISMS-IMP-A.8.11.1.xlsx]Summary_Dashboard!$D$10</f>
        <v/>
      </c>
      <c r="C25" s="20">
        <f>B24/B27</f>
        <v/>
      </c>
      <c r="D25" s="21" t="n"/>
      <c r="E25" s="21" t="n"/>
    </row>
    <row r="26">
      <c r="A26" s="19" t="inlineStr">
        <is>
          <t>Non-Compliant (Red)</t>
        </is>
      </c>
      <c r="B26" s="20">
        <f>[ISMS-IMP-A.8.11.1.xlsx]Summary_Dashboard!$E$10</f>
        <v/>
      </c>
      <c r="C26" s="20">
        <f>B24/B26</f>
        <v/>
      </c>
      <c r="D26" s="21" t="n"/>
      <c r="E26" s="21" t="n"/>
    </row>
    <row r="27">
      <c r="A27" s="19" t="inlineStr">
        <is>
          <t>Planned (Blue)</t>
        </is>
      </c>
      <c r="B27" s="20">
        <f>[ISMS-IMP-A.8.11.1.xlsx]Summary_Dashboard!$F$10</f>
        <v/>
      </c>
      <c r="C27" s="20">
        <f>B24/B25</f>
        <v/>
      </c>
      <c r="D27" s="21" t="n"/>
      <c r="E27" s="21" t="n"/>
    </row>
    <row r="28">
      <c r="A28" s="4" t="inlineStr">
        <is>
          <t>TOTAL</t>
        </is>
      </c>
      <c r="B28" s="31">
        <f>SUM(B24:B27)</f>
        <v/>
      </c>
      <c r="C28" s="31" t="inlineStr">
        <is>
          <t>100%</t>
        </is>
      </c>
    </row>
    <row r="30">
      <c r="A30" s="3" t="inlineStr">
        <is>
          <t>KEY FINDINGS (MANUAL ENTRY)</t>
        </is>
      </c>
    </row>
    <row r="31">
      <c r="A31" s="4" t="inlineStr">
        <is>
          <t>Finding 1:</t>
        </is>
      </c>
      <c r="B31" s="21" t="n"/>
    </row>
    <row r="32">
      <c r="A32" s="4" t="inlineStr">
        <is>
          <t>Finding 2:</t>
        </is>
      </c>
      <c r="B32" s="21" t="n"/>
    </row>
    <row r="33">
      <c r="A33" s="4" t="inlineStr">
        <is>
          <t>Finding 3:</t>
        </is>
      </c>
      <c r="B33" s="21" t="n"/>
    </row>
    <row r="34">
      <c r="A34" s="4" t="inlineStr">
        <is>
          <t>Finding 4:</t>
        </is>
      </c>
      <c r="B34" s="21" t="n"/>
    </row>
    <row r="35">
      <c r="A35" s="4" t="inlineStr">
        <is>
          <t>Finding 5:</t>
        </is>
      </c>
      <c r="B35" s="21" t="n"/>
    </row>
    <row r="37">
      <c r="A37" s="3" t="inlineStr">
        <is>
          <t>GAPS &amp; RISKS IDENTIFIED IN DOMAIN 1</t>
        </is>
      </c>
    </row>
    <row r="38">
      <c r="A38" s="18" t="inlineStr">
        <is>
          <t>Severity</t>
        </is>
      </c>
      <c r="B38" s="18" t="inlineStr">
        <is>
          <t>Count</t>
        </is>
      </c>
      <c r="C38" s="18" t="inlineStr">
        <is>
          <t>% of Total</t>
        </is>
      </c>
      <c r="D38" s="18" t="inlineStr">
        <is>
          <t>Action Required</t>
        </is>
      </c>
    </row>
    <row r="39">
      <c r="A39" s="4" t="inlineStr">
        <is>
          <t>Critical</t>
        </is>
      </c>
      <c r="B39" s="20">
        <f>COUNTIFS(Consolidated_Gap_Analysis!$B:$B,"Domain 1",Consolidated_Gap_Analysis!$G:$G,"Critical")</f>
        <v/>
      </c>
      <c r="C39" s="21" t="n"/>
      <c r="D39" s="21" t="n"/>
    </row>
    <row r="40">
      <c r="A40" s="4" t="inlineStr">
        <is>
          <t>High</t>
        </is>
      </c>
      <c r="B40" s="20">
        <f>COUNTIFS(Consolidated_Gap_Analysis!$B:$B,"Domain 1",Consolidated_Gap_Analysis!$G:$G,"High")</f>
        <v/>
      </c>
      <c r="C40" s="21" t="n"/>
      <c r="D40" s="21" t="n"/>
    </row>
    <row r="41">
      <c r="A41" s="4" t="inlineStr">
        <is>
          <t>Medium</t>
        </is>
      </c>
      <c r="B41" s="20">
        <f>COUNTIFS(Consolidated_Gap_Analysis!$B:$B,"Domain 1",Consolidated_Gap_Analysis!$G:$G,"Medium")</f>
        <v/>
      </c>
      <c r="C41" s="21" t="n"/>
      <c r="D41" s="21" t="n"/>
    </row>
    <row r="42">
      <c r="A42" s="4" t="inlineStr">
        <is>
          <t>Low</t>
        </is>
      </c>
      <c r="B42" s="20">
        <f>COUNTIFS(Consolidated_Gap_Analysis!$B:$B,"Domain 1",Consolidated_Gap_Analysis!$G:$G,"Low")</f>
        <v/>
      </c>
      <c r="C42" s="21" t="n"/>
      <c r="D42" s="21" t="n"/>
    </row>
  </sheetData>
  <mergeCells count="11">
    <mergeCell ref="A2:F2"/>
    <mergeCell ref="B34:F34"/>
    <mergeCell ref="B33:F33"/>
    <mergeCell ref="A1:F1"/>
    <mergeCell ref="A37:F37"/>
    <mergeCell ref="A22:F22"/>
    <mergeCell ref="B31:F31"/>
    <mergeCell ref="A4:F4"/>
    <mergeCell ref="B32:F32"/>
    <mergeCell ref="A30:F30"/>
    <mergeCell ref="B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pane ySplit="5" topLeftCell="A6" activePane="bottomLeft" state="frozen"/>
      <selection pane="bottomLeft" activeCell="A1" sqref="A1"/>
    </sheetView>
  </sheetViews>
  <sheetFormatPr baseColWidth="8" defaultRowHeight="15"/>
  <cols>
    <col width="28" customWidth="1" min="1" max="1"/>
    <col width="20" customWidth="1" min="2" max="2"/>
    <col width="25" customWidth="1" min="3" max="3"/>
    <col width="15" customWidth="1" min="4" max="4"/>
    <col width="15" customWidth="1" min="5" max="5"/>
    <col width="20" customWidth="1" min="6" max="6"/>
  </cols>
  <sheetData>
    <row r="1" ht="40" customHeight="1">
      <c r="A1" s="1" t="inlineStr">
        <is>
          <t>DOMAIN 2 SUMMARY - MASKING TECHNIQUE SELECTION</t>
        </is>
      </c>
    </row>
    <row r="2" ht="25" customHeight="1">
      <c r="A2" s="2" t="inlineStr">
        <is>
          <t>Data Source: [ISMS-IMP-A.8.11.2.xlsx]Summary_Dashboard (Normalized File)</t>
        </is>
      </c>
    </row>
    <row r="4">
      <c r="A4" s="3" t="inlineStr">
        <is>
          <t>SUMMARY METRICS FROM SOURCE WORKBOOK</t>
        </is>
      </c>
    </row>
    <row r="5">
      <c r="A5" s="18" t="inlineStr">
        <is>
          <t>Metric</t>
        </is>
      </c>
      <c r="B5" s="18" t="inlineStr">
        <is>
          <t>Value</t>
        </is>
      </c>
      <c r="C5" s="18" t="inlineStr">
        <is>
          <t>Formula Reference</t>
        </is>
      </c>
      <c r="D5" s="18" t="inlineStr">
        <is>
          <t>Target</t>
        </is>
      </c>
      <c r="E5" s="18" t="inlineStr">
        <is>
          <t>Status</t>
        </is>
      </c>
    </row>
    <row r="6">
      <c r="A6" s="19" t="inlineStr">
        <is>
          <t>Metric 1</t>
        </is>
      </c>
      <c r="B6" s="20">
        <f>[ISMS-IMP-A.8.11.2.xlsx]Summary_Dashboard!$B$5</f>
        <v/>
      </c>
      <c r="C6" s="30" t="inlineStr">
        <is>
          <t>Summary_Dashboard!B5</t>
        </is>
      </c>
      <c r="D6" s="21" t="n"/>
      <c r="E6" s="21" t="n"/>
    </row>
    <row r="7">
      <c r="A7" s="19" t="inlineStr">
        <is>
          <t>Metric 2</t>
        </is>
      </c>
      <c r="B7" s="20">
        <f>[ISMS-IMP-A.8.11.2.xlsx]Summary_Dashboard!$B$6</f>
        <v/>
      </c>
      <c r="C7" s="30" t="inlineStr">
        <is>
          <t>Summary_Dashboard!B6</t>
        </is>
      </c>
      <c r="D7" s="21" t="n"/>
      <c r="E7" s="21" t="n"/>
    </row>
    <row r="8">
      <c r="A8" s="19" t="inlineStr">
        <is>
          <t>Metric 3</t>
        </is>
      </c>
      <c r="B8" s="20">
        <f>[ISMS-IMP-A.8.11.2.xlsx]Summary_Dashboard!$B$7</f>
        <v/>
      </c>
      <c r="C8" s="30" t="inlineStr">
        <is>
          <t>Summary_Dashboard!B7</t>
        </is>
      </c>
      <c r="D8" s="21" t="n"/>
      <c r="E8" s="21" t="n"/>
    </row>
    <row r="9">
      <c r="A9" s="19" t="inlineStr">
        <is>
          <t>Metric 4</t>
        </is>
      </c>
      <c r="B9" s="20">
        <f>[ISMS-IMP-A.8.11.2.xlsx]Summary_Dashboard!$B$8</f>
        <v/>
      </c>
      <c r="C9" s="30" t="inlineStr">
        <is>
          <t>Summary_Dashboard!B8</t>
        </is>
      </c>
      <c r="D9" s="21" t="n"/>
      <c r="E9" s="21" t="n"/>
    </row>
    <row r="10">
      <c r="A10" s="19" t="inlineStr">
        <is>
          <t>Metric 5</t>
        </is>
      </c>
      <c r="B10" s="20">
        <f>[ISMS-IMP-A.8.11.2.xlsx]Summary_Dashboard!$B$9</f>
        <v/>
      </c>
      <c r="C10" s="30" t="inlineStr">
        <is>
          <t>Summary_Dashboard!B9</t>
        </is>
      </c>
      <c r="D10" s="21" t="n"/>
      <c r="E10" s="21" t="n"/>
    </row>
    <row r="11">
      <c r="A11" s="19" t="inlineStr">
        <is>
          <t>Metric 6</t>
        </is>
      </c>
      <c r="B11" s="20">
        <f>[ISMS-IMP-A.8.11.2.xlsx]Summary_Dashboard!$B$10</f>
        <v/>
      </c>
      <c r="C11" s="30" t="inlineStr">
        <is>
          <t>Summary_Dashboard!B10</t>
        </is>
      </c>
      <c r="D11" s="21" t="n"/>
      <c r="E11" s="21" t="n"/>
    </row>
    <row r="12">
      <c r="A12" s="19" t="inlineStr">
        <is>
          <t>Metric 7</t>
        </is>
      </c>
      <c r="B12" s="20">
        <f>[ISMS-IMP-A.8.11.2.xlsx]Summary_Dashboard!$B$11</f>
        <v/>
      </c>
      <c r="C12" s="30" t="inlineStr">
        <is>
          <t>Summary_Dashboard!B11</t>
        </is>
      </c>
      <c r="D12" s="21" t="n"/>
      <c r="E12" s="21" t="n"/>
    </row>
    <row r="13">
      <c r="A13" s="19" t="inlineStr">
        <is>
          <t>Metric 8</t>
        </is>
      </c>
      <c r="B13" s="20">
        <f>[ISMS-IMP-A.8.11.2.xlsx]Summary_Dashboard!$B$12</f>
        <v/>
      </c>
      <c r="C13" s="30" t="inlineStr">
        <is>
          <t>Summary_Dashboard!B12</t>
        </is>
      </c>
      <c r="D13" s="21" t="n"/>
      <c r="E13" s="21" t="n"/>
    </row>
    <row r="14">
      <c r="A14" s="19" t="inlineStr">
        <is>
          <t>Metric 9</t>
        </is>
      </c>
      <c r="B14" s="20">
        <f>[ISMS-IMP-A.8.11.2.xlsx]Summary_Dashboard!$B$13</f>
        <v/>
      </c>
      <c r="C14" s="30" t="inlineStr">
        <is>
          <t>Summary_Dashboard!B13</t>
        </is>
      </c>
      <c r="D14" s="21" t="n"/>
      <c r="E14" s="21" t="n"/>
    </row>
    <row r="15">
      <c r="A15" s="19" t="inlineStr">
        <is>
          <t>Metric 10</t>
        </is>
      </c>
      <c r="B15" s="20">
        <f>[ISMS-IMP-A.8.11.2.xlsx]Summary_Dashboard!$B$14</f>
        <v/>
      </c>
      <c r="C15" s="30" t="inlineStr">
        <is>
          <t>Summary_Dashboard!B14</t>
        </is>
      </c>
      <c r="D15" s="21" t="n"/>
      <c r="E15" s="21" t="n"/>
    </row>
    <row r="16">
      <c r="A16" s="19" t="inlineStr">
        <is>
          <t>Metric 11</t>
        </is>
      </c>
      <c r="B16" s="20">
        <f>[ISMS-IMP-A.8.11.2.xlsx]Summary_Dashboard!$B$15</f>
        <v/>
      </c>
      <c r="C16" s="30" t="inlineStr">
        <is>
          <t>Summary_Dashboard!B15</t>
        </is>
      </c>
      <c r="D16" s="21" t="n"/>
      <c r="E16" s="21" t="n"/>
    </row>
    <row r="17">
      <c r="A17" s="19" t="inlineStr">
        <is>
          <t>Metric 12</t>
        </is>
      </c>
      <c r="B17" s="20">
        <f>[ISMS-IMP-A.8.11.2.xlsx]Summary_Dashboard!$B$16</f>
        <v/>
      </c>
      <c r="C17" s="30" t="inlineStr">
        <is>
          <t>Summary_Dashboard!B16</t>
        </is>
      </c>
      <c r="D17" s="21" t="n"/>
      <c r="E17" s="21" t="n"/>
    </row>
    <row r="18">
      <c r="A18" s="19" t="inlineStr">
        <is>
          <t>Metric 13</t>
        </is>
      </c>
      <c r="B18" s="20">
        <f>[ISMS-IMP-A.8.11.2.xlsx]Summary_Dashboard!$B$17</f>
        <v/>
      </c>
      <c r="C18" s="30" t="inlineStr">
        <is>
          <t>Summary_Dashboard!B17</t>
        </is>
      </c>
      <c r="D18" s="21" t="n"/>
      <c r="E18" s="21" t="n"/>
    </row>
    <row r="19">
      <c r="A19" s="19" t="inlineStr">
        <is>
          <t>Metric 14</t>
        </is>
      </c>
      <c r="B19" s="20">
        <f>[ISMS-IMP-A.8.11.2.xlsx]Summary_Dashboard!$B$18</f>
        <v/>
      </c>
      <c r="C19" s="30" t="inlineStr">
        <is>
          <t>Summary_Dashboard!B18</t>
        </is>
      </c>
      <c r="D19" s="21" t="n"/>
      <c r="E19" s="21" t="n"/>
    </row>
    <row r="20">
      <c r="A20" s="19" t="inlineStr">
        <is>
          <t>Metric 15</t>
        </is>
      </c>
      <c r="B20" s="20">
        <f>[ISMS-IMP-A.8.11.2.xlsx]Summary_Dashboard!$B$19</f>
        <v/>
      </c>
      <c r="C20" s="30" t="inlineStr">
        <is>
          <t>Summary_Dashboard!B19</t>
        </is>
      </c>
      <c r="D20" s="21" t="n"/>
      <c r="E20" s="21" t="n"/>
    </row>
    <row r="22">
      <c r="A22" s="3" t="inlineStr">
        <is>
          <t>COMPLIANCE STATUS BREAKDOWN</t>
        </is>
      </c>
    </row>
    <row r="23">
      <c r="A23" s="18" t="inlineStr">
        <is>
          <t>Status Category</t>
        </is>
      </c>
      <c r="B23" s="18" t="inlineStr">
        <is>
          <t>Count</t>
        </is>
      </c>
      <c r="C23" s="18" t="inlineStr">
        <is>
          <t>Percentage</t>
        </is>
      </c>
      <c r="D23" s="18" t="inlineStr">
        <is>
          <t>Trend</t>
        </is>
      </c>
      <c r="E23" s="18" t="inlineStr">
        <is>
          <t>Notes</t>
        </is>
      </c>
    </row>
    <row r="24">
      <c r="A24" s="19" t="inlineStr">
        <is>
          <t>Compliant (Green)</t>
        </is>
      </c>
      <c r="B24" s="20">
        <f>[ISMS-IMP-A.8.11.2.xlsx]Summary_Dashboard!$C$10</f>
        <v/>
      </c>
      <c r="C24" s="20">
        <f>B24/B28</f>
        <v/>
      </c>
      <c r="D24" s="21" t="n"/>
      <c r="E24" s="21" t="n"/>
    </row>
    <row r="25">
      <c r="A25" s="19" t="inlineStr">
        <is>
          <t>Partial (Yellow)</t>
        </is>
      </c>
      <c r="B25" s="20">
        <f>[ISMS-IMP-A.8.11.2.xlsx]Summary_Dashboard!$D$10</f>
        <v/>
      </c>
      <c r="C25" s="20">
        <f>B24/B27</f>
        <v/>
      </c>
      <c r="D25" s="21" t="n"/>
      <c r="E25" s="21" t="n"/>
    </row>
    <row r="26">
      <c r="A26" s="19" t="inlineStr">
        <is>
          <t>Non-Compliant (Red)</t>
        </is>
      </c>
      <c r="B26" s="20">
        <f>[ISMS-IMP-A.8.11.2.xlsx]Summary_Dashboard!$E$10</f>
        <v/>
      </c>
      <c r="C26" s="20">
        <f>B24/B26</f>
        <v/>
      </c>
      <c r="D26" s="21" t="n"/>
      <c r="E26" s="21" t="n"/>
    </row>
    <row r="27">
      <c r="A27" s="19" t="inlineStr">
        <is>
          <t>Planned (Blue)</t>
        </is>
      </c>
      <c r="B27" s="20">
        <f>[ISMS-IMP-A.8.11.2.xlsx]Summary_Dashboard!$F$10</f>
        <v/>
      </c>
      <c r="C27" s="20">
        <f>B24/B25</f>
        <v/>
      </c>
      <c r="D27" s="21" t="n"/>
      <c r="E27" s="21" t="n"/>
    </row>
    <row r="28">
      <c r="A28" s="4" t="inlineStr">
        <is>
          <t>TOTAL</t>
        </is>
      </c>
      <c r="B28" s="31">
        <f>SUM(B24:B27)</f>
        <v/>
      </c>
      <c r="C28" s="31" t="inlineStr">
        <is>
          <t>100%</t>
        </is>
      </c>
    </row>
    <row r="30">
      <c r="A30" s="3" t="inlineStr">
        <is>
          <t>KEY FINDINGS (MANUAL ENTRY)</t>
        </is>
      </c>
    </row>
    <row r="31">
      <c r="A31" s="4" t="inlineStr">
        <is>
          <t>Finding 1:</t>
        </is>
      </c>
      <c r="B31" s="21" t="n"/>
    </row>
    <row r="32">
      <c r="A32" s="4" t="inlineStr">
        <is>
          <t>Finding 2:</t>
        </is>
      </c>
      <c r="B32" s="21" t="n"/>
    </row>
    <row r="33">
      <c r="A33" s="4" t="inlineStr">
        <is>
          <t>Finding 3:</t>
        </is>
      </c>
      <c r="B33" s="21" t="n"/>
    </row>
    <row r="34">
      <c r="A34" s="4" t="inlineStr">
        <is>
          <t>Finding 4:</t>
        </is>
      </c>
      <c r="B34" s="21" t="n"/>
    </row>
    <row r="35">
      <c r="A35" s="4" t="inlineStr">
        <is>
          <t>Finding 5:</t>
        </is>
      </c>
      <c r="B35" s="21" t="n"/>
    </row>
    <row r="37">
      <c r="A37" s="3" t="inlineStr">
        <is>
          <t>GAPS &amp; RISKS IDENTIFIED IN DOMAIN 2</t>
        </is>
      </c>
    </row>
    <row r="38">
      <c r="A38" s="18" t="inlineStr">
        <is>
          <t>Severity</t>
        </is>
      </c>
      <c r="B38" s="18" t="inlineStr">
        <is>
          <t>Count</t>
        </is>
      </c>
      <c r="C38" s="18" t="inlineStr">
        <is>
          <t>% of Total</t>
        </is>
      </c>
      <c r="D38" s="18" t="inlineStr">
        <is>
          <t>Action Required</t>
        </is>
      </c>
    </row>
    <row r="39">
      <c r="A39" s="4" t="inlineStr">
        <is>
          <t>Critical</t>
        </is>
      </c>
      <c r="B39" s="20">
        <f>COUNTIFS(Consolidated_Gap_Analysis!$B:$B,"Domain 2",Consolidated_Gap_Analysis!$G:$G,"Critical")</f>
        <v/>
      </c>
      <c r="C39" s="21" t="n"/>
      <c r="D39" s="21" t="n"/>
    </row>
    <row r="40">
      <c r="A40" s="4" t="inlineStr">
        <is>
          <t>High</t>
        </is>
      </c>
      <c r="B40" s="20">
        <f>COUNTIFS(Consolidated_Gap_Analysis!$B:$B,"Domain 2",Consolidated_Gap_Analysis!$G:$G,"High")</f>
        <v/>
      </c>
      <c r="C40" s="21" t="n"/>
      <c r="D40" s="21" t="n"/>
    </row>
    <row r="41">
      <c r="A41" s="4" t="inlineStr">
        <is>
          <t>Medium</t>
        </is>
      </c>
      <c r="B41" s="20">
        <f>COUNTIFS(Consolidated_Gap_Analysis!$B:$B,"Domain 2",Consolidated_Gap_Analysis!$G:$G,"Medium")</f>
        <v/>
      </c>
      <c r="C41" s="21" t="n"/>
      <c r="D41" s="21" t="n"/>
    </row>
    <row r="42">
      <c r="A42" s="4" t="inlineStr">
        <is>
          <t>Low</t>
        </is>
      </c>
      <c r="B42" s="20">
        <f>COUNTIFS(Consolidated_Gap_Analysis!$B:$B,"Domain 2",Consolidated_Gap_Analysis!$G:$G,"Low")</f>
        <v/>
      </c>
      <c r="C42" s="21" t="n"/>
      <c r="D42" s="21" t="n"/>
    </row>
  </sheetData>
  <mergeCells count="11">
    <mergeCell ref="A2:F2"/>
    <mergeCell ref="B34:F34"/>
    <mergeCell ref="B33:F33"/>
    <mergeCell ref="A1:F1"/>
    <mergeCell ref="A37:F37"/>
    <mergeCell ref="A22:F22"/>
    <mergeCell ref="B31:F31"/>
    <mergeCell ref="A4:F4"/>
    <mergeCell ref="B32:F32"/>
    <mergeCell ref="A30:F30"/>
    <mergeCell ref="B35:F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pane ySplit="5" topLeftCell="A6" activePane="bottomLeft" state="frozen"/>
      <selection pane="bottomLeft" activeCell="A1" sqref="A1"/>
    </sheetView>
  </sheetViews>
  <sheetFormatPr baseColWidth="8" defaultRowHeight="15"/>
  <cols>
    <col width="28" customWidth="1" min="1" max="1"/>
    <col width="20" customWidth="1" min="2" max="2"/>
    <col width="25" customWidth="1" min="3" max="3"/>
    <col width="15" customWidth="1" min="4" max="4"/>
    <col width="15" customWidth="1" min="5" max="5"/>
    <col width="20" customWidth="1" min="6" max="6"/>
  </cols>
  <sheetData>
    <row r="1" ht="40" customHeight="1">
      <c r="A1" s="1" t="inlineStr">
        <is>
          <t>DOMAIN 3 SUMMARY - ENVIRONMENT COVERAGE</t>
        </is>
      </c>
    </row>
    <row r="2" ht="25" customHeight="1">
      <c r="A2" s="2" t="inlineStr">
        <is>
          <t>Data Source: [ISMS-IMP-A.8.11.3.xlsx]Summary_Dashboard (Normalized File)</t>
        </is>
      </c>
    </row>
    <row r="4">
      <c r="A4" s="3" t="inlineStr">
        <is>
          <t>SUMMARY METRICS FROM SOURCE WORKBOOK</t>
        </is>
      </c>
    </row>
    <row r="5">
      <c r="A5" s="18" t="inlineStr">
        <is>
          <t>Metric</t>
        </is>
      </c>
      <c r="B5" s="18" t="inlineStr">
        <is>
          <t>Value</t>
        </is>
      </c>
      <c r="C5" s="18" t="inlineStr">
        <is>
          <t>Formula Reference</t>
        </is>
      </c>
      <c r="D5" s="18" t="inlineStr">
        <is>
          <t>Target</t>
        </is>
      </c>
      <c r="E5" s="18" t="inlineStr">
        <is>
          <t>Status</t>
        </is>
      </c>
    </row>
    <row r="6">
      <c r="A6" s="19" t="inlineStr">
        <is>
          <t>Metric 1</t>
        </is>
      </c>
      <c r="B6" s="20">
        <f>[ISMS-IMP-A.8.11.3.xlsx]Summary_Dashboard!$B$5</f>
        <v/>
      </c>
      <c r="C6" s="30" t="inlineStr">
        <is>
          <t>Summary_Dashboard!B5</t>
        </is>
      </c>
      <c r="D6" s="21" t="n"/>
      <c r="E6" s="21" t="n"/>
    </row>
    <row r="7">
      <c r="A7" s="19" t="inlineStr">
        <is>
          <t>Metric 2</t>
        </is>
      </c>
      <c r="B7" s="20">
        <f>[ISMS-IMP-A.8.11.3.xlsx]Summary_Dashboard!$B$6</f>
        <v/>
      </c>
      <c r="C7" s="30" t="inlineStr">
        <is>
          <t>Summary_Dashboard!B6</t>
        </is>
      </c>
      <c r="D7" s="21" t="n"/>
      <c r="E7" s="21" t="n"/>
    </row>
    <row r="8">
      <c r="A8" s="19" t="inlineStr">
        <is>
          <t>Metric 3</t>
        </is>
      </c>
      <c r="B8" s="20">
        <f>[ISMS-IMP-A.8.11.3.xlsx]Summary_Dashboard!$B$7</f>
        <v/>
      </c>
      <c r="C8" s="30" t="inlineStr">
        <is>
          <t>Summary_Dashboard!B7</t>
        </is>
      </c>
      <c r="D8" s="21" t="n"/>
      <c r="E8" s="21" t="n"/>
    </row>
    <row r="9">
      <c r="A9" s="19" t="inlineStr">
        <is>
          <t>Metric 4</t>
        </is>
      </c>
      <c r="B9" s="20">
        <f>[ISMS-IMP-A.8.11.3.xlsx]Summary_Dashboard!$B$8</f>
        <v/>
      </c>
      <c r="C9" s="30" t="inlineStr">
        <is>
          <t>Summary_Dashboard!B8</t>
        </is>
      </c>
      <c r="D9" s="21" t="n"/>
      <c r="E9" s="21" t="n"/>
    </row>
    <row r="10">
      <c r="A10" s="19" t="inlineStr">
        <is>
          <t>Metric 5</t>
        </is>
      </c>
      <c r="B10" s="20">
        <f>[ISMS-IMP-A.8.11.3.xlsx]Summary_Dashboard!$B$9</f>
        <v/>
      </c>
      <c r="C10" s="30" t="inlineStr">
        <is>
          <t>Summary_Dashboard!B9</t>
        </is>
      </c>
      <c r="D10" s="21" t="n"/>
      <c r="E10" s="21" t="n"/>
    </row>
    <row r="11">
      <c r="A11" s="19" t="inlineStr">
        <is>
          <t>Metric 6</t>
        </is>
      </c>
      <c r="B11" s="20">
        <f>[ISMS-IMP-A.8.11.3.xlsx]Summary_Dashboard!$B$10</f>
        <v/>
      </c>
      <c r="C11" s="30" t="inlineStr">
        <is>
          <t>Summary_Dashboard!B10</t>
        </is>
      </c>
      <c r="D11" s="21" t="n"/>
      <c r="E11" s="21" t="n"/>
    </row>
    <row r="12">
      <c r="A12" s="19" t="inlineStr">
        <is>
          <t>Metric 7</t>
        </is>
      </c>
      <c r="B12" s="20">
        <f>[ISMS-IMP-A.8.11.3.xlsx]Summary_Dashboard!$B$11</f>
        <v/>
      </c>
      <c r="C12" s="30" t="inlineStr">
        <is>
          <t>Summary_Dashboard!B11</t>
        </is>
      </c>
      <c r="D12" s="21" t="n"/>
      <c r="E12" s="21" t="n"/>
    </row>
    <row r="13">
      <c r="A13" s="19" t="inlineStr">
        <is>
          <t>Metric 8</t>
        </is>
      </c>
      <c r="B13" s="20">
        <f>[ISMS-IMP-A.8.11.3.xlsx]Summary_Dashboard!$B$12</f>
        <v/>
      </c>
      <c r="C13" s="30" t="inlineStr">
        <is>
          <t>Summary_Dashboard!B12</t>
        </is>
      </c>
      <c r="D13" s="21" t="n"/>
      <c r="E13" s="21" t="n"/>
    </row>
    <row r="14">
      <c r="A14" s="19" t="inlineStr">
        <is>
          <t>Metric 9</t>
        </is>
      </c>
      <c r="B14" s="20">
        <f>[ISMS-IMP-A.8.11.3.xlsx]Summary_Dashboard!$B$13</f>
        <v/>
      </c>
      <c r="C14" s="30" t="inlineStr">
        <is>
          <t>Summary_Dashboard!B13</t>
        </is>
      </c>
      <c r="D14" s="21" t="n"/>
      <c r="E14" s="21" t="n"/>
    </row>
    <row r="15">
      <c r="A15" s="19" t="inlineStr">
        <is>
          <t>Metric 10</t>
        </is>
      </c>
      <c r="B15" s="20">
        <f>[ISMS-IMP-A.8.11.3.xlsx]Summary_Dashboard!$B$14</f>
        <v/>
      </c>
      <c r="C15" s="30" t="inlineStr">
        <is>
          <t>Summary_Dashboard!B14</t>
        </is>
      </c>
      <c r="D15" s="21" t="n"/>
      <c r="E15" s="21" t="n"/>
    </row>
    <row r="16">
      <c r="A16" s="19" t="inlineStr">
        <is>
          <t>Metric 11</t>
        </is>
      </c>
      <c r="B16" s="20">
        <f>[ISMS-IMP-A.8.11.3.xlsx]Summary_Dashboard!$B$15</f>
        <v/>
      </c>
      <c r="C16" s="30" t="inlineStr">
        <is>
          <t>Summary_Dashboard!B15</t>
        </is>
      </c>
      <c r="D16" s="21" t="n"/>
      <c r="E16" s="21" t="n"/>
    </row>
    <row r="17">
      <c r="A17" s="19" t="inlineStr">
        <is>
          <t>Metric 12</t>
        </is>
      </c>
      <c r="B17" s="20">
        <f>[ISMS-IMP-A.8.11.3.xlsx]Summary_Dashboard!$B$16</f>
        <v/>
      </c>
      <c r="C17" s="30" t="inlineStr">
        <is>
          <t>Summary_Dashboard!B16</t>
        </is>
      </c>
      <c r="D17" s="21" t="n"/>
      <c r="E17" s="21" t="n"/>
    </row>
    <row r="18">
      <c r="A18" s="19" t="inlineStr">
        <is>
          <t>Metric 13</t>
        </is>
      </c>
      <c r="B18" s="20">
        <f>[ISMS-IMP-A.8.11.3.xlsx]Summary_Dashboard!$B$17</f>
        <v/>
      </c>
      <c r="C18" s="30" t="inlineStr">
        <is>
          <t>Summary_Dashboard!B17</t>
        </is>
      </c>
      <c r="D18" s="21" t="n"/>
      <c r="E18" s="21" t="n"/>
    </row>
    <row r="19">
      <c r="A19" s="19" t="inlineStr">
        <is>
          <t>Metric 14</t>
        </is>
      </c>
      <c r="B19" s="20">
        <f>[ISMS-IMP-A.8.11.3.xlsx]Summary_Dashboard!$B$18</f>
        <v/>
      </c>
      <c r="C19" s="30" t="inlineStr">
        <is>
          <t>Summary_Dashboard!B18</t>
        </is>
      </c>
      <c r="D19" s="21" t="n"/>
      <c r="E19" s="21" t="n"/>
    </row>
    <row r="20">
      <c r="A20" s="19" t="inlineStr">
        <is>
          <t>Metric 15</t>
        </is>
      </c>
      <c r="B20" s="20">
        <f>[ISMS-IMP-A.8.11.3.xlsx]Summary_Dashboard!$B$19</f>
        <v/>
      </c>
      <c r="C20" s="30" t="inlineStr">
        <is>
          <t>Summary_Dashboard!B19</t>
        </is>
      </c>
      <c r="D20" s="21" t="n"/>
      <c r="E20" s="21" t="n"/>
    </row>
    <row r="22">
      <c r="A22" s="3" t="inlineStr">
        <is>
          <t>COMPLIANCE STATUS BREAKDOWN</t>
        </is>
      </c>
    </row>
    <row r="23">
      <c r="A23" s="18" t="inlineStr">
        <is>
          <t>Status Category</t>
        </is>
      </c>
      <c r="B23" s="18" t="inlineStr">
        <is>
          <t>Count</t>
        </is>
      </c>
      <c r="C23" s="18" t="inlineStr">
        <is>
          <t>Percentage</t>
        </is>
      </c>
      <c r="D23" s="18" t="inlineStr">
        <is>
          <t>Trend</t>
        </is>
      </c>
      <c r="E23" s="18" t="inlineStr">
        <is>
          <t>Notes</t>
        </is>
      </c>
    </row>
    <row r="24">
      <c r="A24" s="19" t="inlineStr">
        <is>
          <t>Compliant (Green)</t>
        </is>
      </c>
      <c r="B24" s="20">
        <f>[ISMS-IMP-A.8.11.3.xlsx]Summary_Dashboard!$C$10</f>
        <v/>
      </c>
      <c r="C24" s="20">
        <f>B24/B28</f>
        <v/>
      </c>
      <c r="D24" s="21" t="n"/>
      <c r="E24" s="21" t="n"/>
    </row>
    <row r="25">
      <c r="A25" s="19" t="inlineStr">
        <is>
          <t>Partial (Yellow)</t>
        </is>
      </c>
      <c r="B25" s="20">
        <f>[ISMS-IMP-A.8.11.3.xlsx]Summary_Dashboard!$D$10</f>
        <v/>
      </c>
      <c r="C25" s="20">
        <f>B24/B27</f>
        <v/>
      </c>
      <c r="D25" s="21" t="n"/>
      <c r="E25" s="21" t="n"/>
    </row>
    <row r="26">
      <c r="A26" s="19" t="inlineStr">
        <is>
          <t>Non-Compliant (Red)</t>
        </is>
      </c>
      <c r="B26" s="20">
        <f>[ISMS-IMP-A.8.11.3.xlsx]Summary_Dashboard!$E$10</f>
        <v/>
      </c>
      <c r="C26" s="20">
        <f>B24/B26</f>
        <v/>
      </c>
      <c r="D26" s="21" t="n"/>
      <c r="E26" s="21" t="n"/>
    </row>
    <row r="27">
      <c r="A27" s="19" t="inlineStr">
        <is>
          <t>Planned (Blue)</t>
        </is>
      </c>
      <c r="B27" s="20">
        <f>[ISMS-IMP-A.8.11.3.xlsx]Summary_Dashboard!$F$10</f>
        <v/>
      </c>
      <c r="C27" s="20">
        <f>B24/B25</f>
        <v/>
      </c>
      <c r="D27" s="21" t="n"/>
      <c r="E27" s="21" t="n"/>
    </row>
    <row r="28">
      <c r="A28" s="4" t="inlineStr">
        <is>
          <t>TOTAL</t>
        </is>
      </c>
      <c r="B28" s="31">
        <f>SUM(B24:B27)</f>
        <v/>
      </c>
      <c r="C28" s="31" t="inlineStr">
        <is>
          <t>100%</t>
        </is>
      </c>
    </row>
    <row r="30">
      <c r="A30" s="3" t="inlineStr">
        <is>
          <t>KEY FINDINGS (MANUAL ENTRY)</t>
        </is>
      </c>
    </row>
    <row r="31">
      <c r="A31" s="4" t="inlineStr">
        <is>
          <t>Finding 1:</t>
        </is>
      </c>
      <c r="B31" s="21" t="n"/>
    </row>
    <row r="32">
      <c r="A32" s="4" t="inlineStr">
        <is>
          <t>Finding 2:</t>
        </is>
      </c>
      <c r="B32" s="21" t="n"/>
    </row>
    <row r="33">
      <c r="A33" s="4" t="inlineStr">
        <is>
          <t>Finding 3:</t>
        </is>
      </c>
      <c r="B33" s="21" t="n"/>
    </row>
    <row r="34">
      <c r="A34" s="4" t="inlineStr">
        <is>
          <t>Finding 4:</t>
        </is>
      </c>
      <c r="B34" s="21" t="n"/>
    </row>
    <row r="35">
      <c r="A35" s="4" t="inlineStr">
        <is>
          <t>Finding 5:</t>
        </is>
      </c>
      <c r="B35" s="21" t="n"/>
    </row>
    <row r="37">
      <c r="A37" s="3" t="inlineStr">
        <is>
          <t>GAPS &amp; RISKS IDENTIFIED IN DOMAIN 3</t>
        </is>
      </c>
    </row>
    <row r="38">
      <c r="A38" s="18" t="inlineStr">
        <is>
          <t>Severity</t>
        </is>
      </c>
      <c r="B38" s="18" t="inlineStr">
        <is>
          <t>Count</t>
        </is>
      </c>
      <c r="C38" s="18" t="inlineStr">
        <is>
          <t>% of Total</t>
        </is>
      </c>
      <c r="D38" s="18" t="inlineStr">
        <is>
          <t>Action Required</t>
        </is>
      </c>
    </row>
    <row r="39">
      <c r="A39" s="4" t="inlineStr">
        <is>
          <t>Critical</t>
        </is>
      </c>
      <c r="B39" s="20">
        <f>COUNTIFS(Consolidated_Gap_Analysis!$B:$B,"Domain 3",Consolidated_Gap_Analysis!$G:$G,"Critical")</f>
        <v/>
      </c>
      <c r="C39" s="21" t="n"/>
      <c r="D39" s="21" t="n"/>
    </row>
    <row r="40">
      <c r="A40" s="4" t="inlineStr">
        <is>
          <t>High</t>
        </is>
      </c>
      <c r="B40" s="20">
        <f>COUNTIFS(Consolidated_Gap_Analysis!$B:$B,"Domain 3",Consolidated_Gap_Analysis!$G:$G,"High")</f>
        <v/>
      </c>
      <c r="C40" s="21" t="n"/>
      <c r="D40" s="21" t="n"/>
    </row>
    <row r="41">
      <c r="A41" s="4" t="inlineStr">
        <is>
          <t>Medium</t>
        </is>
      </c>
      <c r="B41" s="20">
        <f>COUNTIFS(Consolidated_Gap_Analysis!$B:$B,"Domain 3",Consolidated_Gap_Analysis!$G:$G,"Medium")</f>
        <v/>
      </c>
      <c r="C41" s="21" t="n"/>
      <c r="D41" s="21" t="n"/>
    </row>
    <row r="42">
      <c r="A42" s="4" t="inlineStr">
        <is>
          <t>Low</t>
        </is>
      </c>
      <c r="B42" s="20">
        <f>COUNTIFS(Consolidated_Gap_Analysis!$B:$B,"Domain 3",Consolidated_Gap_Analysis!$G:$G,"Low")</f>
        <v/>
      </c>
      <c r="C42" s="21" t="n"/>
      <c r="D42" s="21" t="n"/>
    </row>
  </sheetData>
  <mergeCells count="11">
    <mergeCell ref="A2:F2"/>
    <mergeCell ref="B34:F34"/>
    <mergeCell ref="B33:F33"/>
    <mergeCell ref="A1:F1"/>
    <mergeCell ref="A37:F37"/>
    <mergeCell ref="A22:F22"/>
    <mergeCell ref="B31:F31"/>
    <mergeCell ref="A4:F4"/>
    <mergeCell ref="B32:F32"/>
    <mergeCell ref="A30:F30"/>
    <mergeCell ref="B35:F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2"/>
  <sheetViews>
    <sheetView workbookViewId="0">
      <pane ySplit="5" topLeftCell="A6" activePane="bottomLeft" state="frozen"/>
      <selection pane="bottomLeft" activeCell="A1" sqref="A1"/>
    </sheetView>
  </sheetViews>
  <sheetFormatPr baseColWidth="8" defaultRowHeight="15"/>
  <cols>
    <col width="28" customWidth="1" min="1" max="1"/>
    <col width="20" customWidth="1" min="2" max="2"/>
    <col width="25" customWidth="1" min="3" max="3"/>
    <col width="15" customWidth="1" min="4" max="4"/>
    <col width="15" customWidth="1" min="5" max="5"/>
    <col width="20" customWidth="1" min="6" max="6"/>
  </cols>
  <sheetData>
    <row r="1" ht="40" customHeight="1">
      <c r="A1" s="1" t="inlineStr">
        <is>
          <t>DOMAIN 4 SUMMARY - TESTING &amp; VALIDATION</t>
        </is>
      </c>
    </row>
    <row r="2" ht="25" customHeight="1">
      <c r="A2" s="2" t="inlineStr">
        <is>
          <t>Data Source: [ISMS-IMP-A.8.11.4.xlsx]Summary_Dashboard (Normalized File)</t>
        </is>
      </c>
    </row>
    <row r="4">
      <c r="A4" s="3" t="inlineStr">
        <is>
          <t>SUMMARY METRICS FROM SOURCE WORKBOOK</t>
        </is>
      </c>
    </row>
    <row r="5">
      <c r="A5" s="18" t="inlineStr">
        <is>
          <t>Metric</t>
        </is>
      </c>
      <c r="B5" s="18" t="inlineStr">
        <is>
          <t>Value</t>
        </is>
      </c>
      <c r="C5" s="18" t="inlineStr">
        <is>
          <t>Formula Reference</t>
        </is>
      </c>
      <c r="D5" s="18" t="inlineStr">
        <is>
          <t>Target</t>
        </is>
      </c>
      <c r="E5" s="18" t="inlineStr">
        <is>
          <t>Status</t>
        </is>
      </c>
    </row>
    <row r="6">
      <c r="A6" s="19" t="inlineStr">
        <is>
          <t>Metric 1</t>
        </is>
      </c>
      <c r="B6" s="20">
        <f>[ISMS-IMP-A.8.11.4.xlsx]Summary_Dashboard!$B$5</f>
        <v/>
      </c>
      <c r="C6" s="30" t="inlineStr">
        <is>
          <t>Summary_Dashboard!B5</t>
        </is>
      </c>
      <c r="D6" s="21" t="n"/>
      <c r="E6" s="21" t="n"/>
    </row>
    <row r="7">
      <c r="A7" s="19" t="inlineStr">
        <is>
          <t>Metric 2</t>
        </is>
      </c>
      <c r="B7" s="20">
        <f>[ISMS-IMP-A.8.11.4.xlsx]Summary_Dashboard!$B$6</f>
        <v/>
      </c>
      <c r="C7" s="30" t="inlineStr">
        <is>
          <t>Summary_Dashboard!B6</t>
        </is>
      </c>
      <c r="D7" s="21" t="n"/>
      <c r="E7" s="21" t="n"/>
    </row>
    <row r="8">
      <c r="A8" s="19" t="inlineStr">
        <is>
          <t>Metric 3</t>
        </is>
      </c>
      <c r="B8" s="20">
        <f>[ISMS-IMP-A.8.11.4.xlsx]Summary_Dashboard!$B$7</f>
        <v/>
      </c>
      <c r="C8" s="30" t="inlineStr">
        <is>
          <t>Summary_Dashboard!B7</t>
        </is>
      </c>
      <c r="D8" s="21" t="n"/>
      <c r="E8" s="21" t="n"/>
    </row>
    <row r="9">
      <c r="A9" s="19" t="inlineStr">
        <is>
          <t>Metric 4</t>
        </is>
      </c>
      <c r="B9" s="20">
        <f>[ISMS-IMP-A.8.11.4.xlsx]Summary_Dashboard!$B$8</f>
        <v/>
      </c>
      <c r="C9" s="30" t="inlineStr">
        <is>
          <t>Summary_Dashboard!B8</t>
        </is>
      </c>
      <c r="D9" s="21" t="n"/>
      <c r="E9" s="21" t="n"/>
    </row>
    <row r="10">
      <c r="A10" s="19" t="inlineStr">
        <is>
          <t>Metric 5</t>
        </is>
      </c>
      <c r="B10" s="20">
        <f>[ISMS-IMP-A.8.11.4.xlsx]Summary_Dashboard!$B$9</f>
        <v/>
      </c>
      <c r="C10" s="30" t="inlineStr">
        <is>
          <t>Summary_Dashboard!B9</t>
        </is>
      </c>
      <c r="D10" s="21" t="n"/>
      <c r="E10" s="21" t="n"/>
    </row>
    <row r="11">
      <c r="A11" s="19" t="inlineStr">
        <is>
          <t>Metric 6</t>
        </is>
      </c>
      <c r="B11" s="20">
        <f>[ISMS-IMP-A.8.11.4.xlsx]Summary_Dashboard!$B$10</f>
        <v/>
      </c>
      <c r="C11" s="30" t="inlineStr">
        <is>
          <t>Summary_Dashboard!B10</t>
        </is>
      </c>
      <c r="D11" s="21" t="n"/>
      <c r="E11" s="21" t="n"/>
    </row>
    <row r="12">
      <c r="A12" s="19" t="inlineStr">
        <is>
          <t>Metric 7</t>
        </is>
      </c>
      <c r="B12" s="20">
        <f>[ISMS-IMP-A.8.11.4.xlsx]Summary_Dashboard!$B$11</f>
        <v/>
      </c>
      <c r="C12" s="30" t="inlineStr">
        <is>
          <t>Summary_Dashboard!B11</t>
        </is>
      </c>
      <c r="D12" s="21" t="n"/>
      <c r="E12" s="21" t="n"/>
    </row>
    <row r="13">
      <c r="A13" s="19" t="inlineStr">
        <is>
          <t>Metric 8</t>
        </is>
      </c>
      <c r="B13" s="20">
        <f>[ISMS-IMP-A.8.11.4.xlsx]Summary_Dashboard!$B$12</f>
        <v/>
      </c>
      <c r="C13" s="30" t="inlineStr">
        <is>
          <t>Summary_Dashboard!B12</t>
        </is>
      </c>
      <c r="D13" s="21" t="n"/>
      <c r="E13" s="21" t="n"/>
    </row>
    <row r="14">
      <c r="A14" s="19" t="inlineStr">
        <is>
          <t>Metric 9</t>
        </is>
      </c>
      <c r="B14" s="20">
        <f>[ISMS-IMP-A.8.11.4.xlsx]Summary_Dashboard!$B$13</f>
        <v/>
      </c>
      <c r="C14" s="30" t="inlineStr">
        <is>
          <t>Summary_Dashboard!B13</t>
        </is>
      </c>
      <c r="D14" s="21" t="n"/>
      <c r="E14" s="21" t="n"/>
    </row>
    <row r="15">
      <c r="A15" s="19" t="inlineStr">
        <is>
          <t>Metric 10</t>
        </is>
      </c>
      <c r="B15" s="20">
        <f>[ISMS-IMP-A.8.11.4.xlsx]Summary_Dashboard!$B$14</f>
        <v/>
      </c>
      <c r="C15" s="30" t="inlineStr">
        <is>
          <t>Summary_Dashboard!B14</t>
        </is>
      </c>
      <c r="D15" s="21" t="n"/>
      <c r="E15" s="21" t="n"/>
    </row>
    <row r="16">
      <c r="A16" s="19" t="inlineStr">
        <is>
          <t>Metric 11</t>
        </is>
      </c>
      <c r="B16" s="20">
        <f>[ISMS-IMP-A.8.11.4.xlsx]Summary_Dashboard!$B$15</f>
        <v/>
      </c>
      <c r="C16" s="30" t="inlineStr">
        <is>
          <t>Summary_Dashboard!B15</t>
        </is>
      </c>
      <c r="D16" s="21" t="n"/>
      <c r="E16" s="21" t="n"/>
    </row>
    <row r="17">
      <c r="A17" s="19" t="inlineStr">
        <is>
          <t>Metric 12</t>
        </is>
      </c>
      <c r="B17" s="20">
        <f>[ISMS-IMP-A.8.11.4.xlsx]Summary_Dashboard!$B$16</f>
        <v/>
      </c>
      <c r="C17" s="30" t="inlineStr">
        <is>
          <t>Summary_Dashboard!B16</t>
        </is>
      </c>
      <c r="D17" s="21" t="n"/>
      <c r="E17" s="21" t="n"/>
    </row>
    <row r="18">
      <c r="A18" s="19" t="inlineStr">
        <is>
          <t>Metric 13</t>
        </is>
      </c>
      <c r="B18" s="20">
        <f>[ISMS-IMP-A.8.11.4.xlsx]Summary_Dashboard!$B$17</f>
        <v/>
      </c>
      <c r="C18" s="30" t="inlineStr">
        <is>
          <t>Summary_Dashboard!B17</t>
        </is>
      </c>
      <c r="D18" s="21" t="n"/>
      <c r="E18" s="21" t="n"/>
    </row>
    <row r="19">
      <c r="A19" s="19" t="inlineStr">
        <is>
          <t>Metric 14</t>
        </is>
      </c>
      <c r="B19" s="20">
        <f>[ISMS-IMP-A.8.11.4.xlsx]Summary_Dashboard!$B$18</f>
        <v/>
      </c>
      <c r="C19" s="30" t="inlineStr">
        <is>
          <t>Summary_Dashboard!B18</t>
        </is>
      </c>
      <c r="D19" s="21" t="n"/>
      <c r="E19" s="21" t="n"/>
    </row>
    <row r="20">
      <c r="A20" s="19" t="inlineStr">
        <is>
          <t>Metric 15</t>
        </is>
      </c>
      <c r="B20" s="20">
        <f>[ISMS-IMP-A.8.11.4.xlsx]Summary_Dashboard!$B$19</f>
        <v/>
      </c>
      <c r="C20" s="30" t="inlineStr">
        <is>
          <t>Summary_Dashboard!B19</t>
        </is>
      </c>
      <c r="D20" s="21" t="n"/>
      <c r="E20" s="21" t="n"/>
    </row>
    <row r="22">
      <c r="A22" s="3" t="inlineStr">
        <is>
          <t>COMPLIANCE STATUS BREAKDOWN</t>
        </is>
      </c>
    </row>
    <row r="23">
      <c r="A23" s="18" t="inlineStr">
        <is>
          <t>Status Category</t>
        </is>
      </c>
      <c r="B23" s="18" t="inlineStr">
        <is>
          <t>Count</t>
        </is>
      </c>
      <c r="C23" s="18" t="inlineStr">
        <is>
          <t>Percentage</t>
        </is>
      </c>
      <c r="D23" s="18" t="inlineStr">
        <is>
          <t>Trend</t>
        </is>
      </c>
      <c r="E23" s="18" t="inlineStr">
        <is>
          <t>Notes</t>
        </is>
      </c>
    </row>
    <row r="24">
      <c r="A24" s="19" t="inlineStr">
        <is>
          <t>Compliant (Green)</t>
        </is>
      </c>
      <c r="B24" s="20">
        <f>[ISMS-IMP-A.8.11.4.xlsx]Summary_Dashboard!$C$10</f>
        <v/>
      </c>
      <c r="C24" s="20">
        <f>B24/B28</f>
        <v/>
      </c>
      <c r="D24" s="21" t="n"/>
      <c r="E24" s="21" t="n"/>
    </row>
    <row r="25">
      <c r="A25" s="19" t="inlineStr">
        <is>
          <t>Partial (Yellow)</t>
        </is>
      </c>
      <c r="B25" s="20">
        <f>[ISMS-IMP-A.8.11.4.xlsx]Summary_Dashboard!$D$10</f>
        <v/>
      </c>
      <c r="C25" s="20">
        <f>B24/B27</f>
        <v/>
      </c>
      <c r="D25" s="21" t="n"/>
      <c r="E25" s="21" t="n"/>
    </row>
    <row r="26">
      <c r="A26" s="19" t="inlineStr">
        <is>
          <t>Non-Compliant (Red)</t>
        </is>
      </c>
      <c r="B26" s="20">
        <f>[ISMS-IMP-A.8.11.4.xlsx]Summary_Dashboard!$E$10</f>
        <v/>
      </c>
      <c r="C26" s="20">
        <f>B24/B26</f>
        <v/>
      </c>
      <c r="D26" s="21" t="n"/>
      <c r="E26" s="21" t="n"/>
    </row>
    <row r="27">
      <c r="A27" s="19" t="inlineStr">
        <is>
          <t>Planned (Blue)</t>
        </is>
      </c>
      <c r="B27" s="20">
        <f>[ISMS-IMP-A.8.11.4.xlsx]Summary_Dashboard!$F$10</f>
        <v/>
      </c>
      <c r="C27" s="20">
        <f>B24/B25</f>
        <v/>
      </c>
      <c r="D27" s="21" t="n"/>
      <c r="E27" s="21" t="n"/>
    </row>
    <row r="28">
      <c r="A28" s="4" t="inlineStr">
        <is>
          <t>TOTAL</t>
        </is>
      </c>
      <c r="B28" s="31">
        <f>SUM(B24:B27)</f>
        <v/>
      </c>
      <c r="C28" s="31" t="inlineStr">
        <is>
          <t>100%</t>
        </is>
      </c>
    </row>
    <row r="30">
      <c r="A30" s="3" t="inlineStr">
        <is>
          <t>KEY FINDINGS (MANUAL ENTRY)</t>
        </is>
      </c>
    </row>
    <row r="31">
      <c r="A31" s="4" t="inlineStr">
        <is>
          <t>Finding 1:</t>
        </is>
      </c>
      <c r="B31" s="21" t="n"/>
    </row>
    <row r="32">
      <c r="A32" s="4" t="inlineStr">
        <is>
          <t>Finding 2:</t>
        </is>
      </c>
      <c r="B32" s="21" t="n"/>
    </row>
    <row r="33">
      <c r="A33" s="4" t="inlineStr">
        <is>
          <t>Finding 3:</t>
        </is>
      </c>
      <c r="B33" s="21" t="n"/>
    </row>
    <row r="34">
      <c r="A34" s="4" t="inlineStr">
        <is>
          <t>Finding 4:</t>
        </is>
      </c>
      <c r="B34" s="21" t="n"/>
    </row>
    <row r="35">
      <c r="A35" s="4" t="inlineStr">
        <is>
          <t>Finding 5:</t>
        </is>
      </c>
      <c r="B35" s="21" t="n"/>
    </row>
    <row r="37">
      <c r="A37" s="3" t="inlineStr">
        <is>
          <t>GAPS &amp; RISKS IDENTIFIED IN DOMAIN 4</t>
        </is>
      </c>
    </row>
    <row r="38">
      <c r="A38" s="18" t="inlineStr">
        <is>
          <t>Severity</t>
        </is>
      </c>
      <c r="B38" s="18" t="inlineStr">
        <is>
          <t>Count</t>
        </is>
      </c>
      <c r="C38" s="18" t="inlineStr">
        <is>
          <t>% of Total</t>
        </is>
      </c>
      <c r="D38" s="18" t="inlineStr">
        <is>
          <t>Action Required</t>
        </is>
      </c>
    </row>
    <row r="39">
      <c r="A39" s="4" t="inlineStr">
        <is>
          <t>Critical</t>
        </is>
      </c>
      <c r="B39" s="20">
        <f>COUNTIFS(Consolidated_Gap_Analysis!$B:$B,"Domain 4",Consolidated_Gap_Analysis!$G:$G,"Critical")</f>
        <v/>
      </c>
      <c r="C39" s="21" t="n"/>
      <c r="D39" s="21" t="n"/>
    </row>
    <row r="40">
      <c r="A40" s="4" t="inlineStr">
        <is>
          <t>High</t>
        </is>
      </c>
      <c r="B40" s="20">
        <f>COUNTIFS(Consolidated_Gap_Analysis!$B:$B,"Domain 4",Consolidated_Gap_Analysis!$G:$G,"High")</f>
        <v/>
      </c>
      <c r="C40" s="21" t="n"/>
      <c r="D40" s="21" t="n"/>
    </row>
    <row r="41">
      <c r="A41" s="4" t="inlineStr">
        <is>
          <t>Medium</t>
        </is>
      </c>
      <c r="B41" s="20">
        <f>COUNTIFS(Consolidated_Gap_Analysis!$B:$B,"Domain 4",Consolidated_Gap_Analysis!$G:$G,"Medium")</f>
        <v/>
      </c>
      <c r="C41" s="21" t="n"/>
      <c r="D41" s="21" t="n"/>
    </row>
    <row r="42">
      <c r="A42" s="4" t="inlineStr">
        <is>
          <t>Low</t>
        </is>
      </c>
      <c r="B42" s="20">
        <f>COUNTIFS(Consolidated_Gap_Analysis!$B:$B,"Domain 4",Consolidated_Gap_Analysis!$G:$G,"Low")</f>
        <v/>
      </c>
      <c r="C42" s="21" t="n"/>
      <c r="D42" s="21" t="n"/>
    </row>
  </sheetData>
  <mergeCells count="11">
    <mergeCell ref="A2:F2"/>
    <mergeCell ref="B34:F34"/>
    <mergeCell ref="B33:F33"/>
    <mergeCell ref="A1:F1"/>
    <mergeCell ref="A37:F37"/>
    <mergeCell ref="A22:F22"/>
    <mergeCell ref="B31:F31"/>
    <mergeCell ref="A4:F4"/>
    <mergeCell ref="B32:F32"/>
    <mergeCell ref="A30:F30"/>
    <mergeCell ref="B35:F3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4"/>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20" customWidth="1" min="3" max="3"/>
    <col width="40" customWidth="1" min="4" max="4"/>
    <col width="30" customWidth="1" min="5" max="5"/>
    <col width="30" customWidth="1" min="6" max="6"/>
    <col width="12" customWidth="1" min="7" max="7"/>
    <col width="35" customWidth="1" min="8" max="8"/>
    <col width="40" customWidth="1" min="9" max="9"/>
    <col width="20" customWidth="1" min="10" max="10"/>
    <col width="15" customWidth="1" min="11" max="11"/>
    <col width="15" customWidth="1" min="12" max="12"/>
    <col width="25" customWidth="1" min="13" max="13"/>
    <col width="15" customWidth="1" min="14" max="14"/>
  </cols>
  <sheetData>
    <row r="1" ht="40" customHeight="1">
      <c r="A1" s="1" t="inlineStr">
        <is>
          <t>CONSOLIDATED GAP ANALYSIS - ALL DOMAINS</t>
        </is>
      </c>
    </row>
    <row r="2" ht="25" customHeight="1">
      <c r="A2" s="2" t="inlineStr">
        <is>
          <t>Aggregate gaps from all four domain assessments (50 entries)</t>
        </is>
      </c>
    </row>
    <row r="3">
      <c r="A3" s="18" t="inlineStr">
        <is>
          <t>Gap ID</t>
        </is>
      </c>
      <c r="B3" s="18" t="inlineStr">
        <is>
          <t>Domain</t>
        </is>
      </c>
      <c r="C3" s="18" t="inlineStr">
        <is>
          <t>Gap Category</t>
        </is>
      </c>
      <c r="D3" s="18" t="inlineStr">
        <is>
          <t>Gap Description</t>
        </is>
      </c>
      <c r="E3" s="18" t="inlineStr">
        <is>
          <t>Current State</t>
        </is>
      </c>
      <c r="F3" s="18" t="inlineStr">
        <is>
          <t>Target State</t>
        </is>
      </c>
      <c r="G3" s="18" t="inlineStr">
        <is>
          <t>Risk Level</t>
        </is>
      </c>
      <c r="H3" s="18" t="inlineStr">
        <is>
          <t>Business Impact</t>
        </is>
      </c>
      <c r="I3" s="18" t="inlineStr">
        <is>
          <t>Remediation Action</t>
        </is>
      </c>
      <c r="J3" s="18" t="inlineStr">
        <is>
          <t>Owner</t>
        </is>
      </c>
      <c r="K3" s="18" t="inlineStr">
        <is>
          <t>Target Date</t>
        </is>
      </c>
      <c r="L3" s="18" t="inlineStr">
        <is>
          <t>Status</t>
        </is>
      </c>
      <c r="M3" s="18" t="inlineStr">
        <is>
          <t>Dependencies</t>
        </is>
      </c>
      <c r="N3" s="18" t="inlineStr">
        <is>
          <t>Evidence ID</t>
        </is>
      </c>
    </row>
    <row r="5">
      <c r="A5" t="inlineStr">
        <is>
          <t>G-811-001</t>
        </is>
      </c>
      <c r="B5" t="inlineStr">
        <is>
          <t>Domain 1</t>
        </is>
      </c>
      <c r="C5" t="inlineStr">
        <is>
          <t>Data Inventory</t>
        </is>
      </c>
      <c r="D5" t="inlineStr">
        <is>
          <t>Cloud system inventory incomplete - AWS RDS instances not catalogued</t>
        </is>
      </c>
      <c r="E5" t="inlineStr">
        <is>
          <t>Manual tracking</t>
        </is>
      </c>
      <c r="F5" t="inlineStr">
        <is>
          <t>Automated discovery</t>
        </is>
      </c>
      <c r="G5" s="32" t="inlineStr">
        <is>
          <t>High</t>
        </is>
      </c>
      <c r="H5" s="5" t="n"/>
      <c r="I5" s="5" t="n"/>
      <c r="J5" s="5" t="n"/>
      <c r="K5" s="5" t="n"/>
      <c r="L5" s="5" t="n"/>
      <c r="M5" s="5" t="n"/>
      <c r="N5" s="5" t="n"/>
    </row>
    <row r="6">
      <c r="A6" t="inlineStr">
        <is>
          <t>G-811-002</t>
        </is>
      </c>
      <c r="B6" t="inlineStr">
        <is>
          <t>Domain 1</t>
        </is>
      </c>
      <c r="C6" t="inlineStr">
        <is>
          <t>Classification</t>
        </is>
      </c>
      <c r="D6" t="inlineStr">
        <is>
          <t>Credit card fields missing classification tags in 3 databases</t>
        </is>
      </c>
      <c r="E6" t="inlineStr">
        <is>
          <t>Unclassified</t>
        </is>
      </c>
      <c r="F6" t="inlineStr">
        <is>
          <t>CAT-FIN tagged</t>
        </is>
      </c>
      <c r="G6" s="33" t="inlineStr">
        <is>
          <t>Critical</t>
        </is>
      </c>
      <c r="H6" s="5" t="n"/>
      <c r="I6" s="5" t="n"/>
      <c r="J6" s="5" t="n"/>
      <c r="K6" s="5" t="n"/>
      <c r="L6" s="5" t="n"/>
      <c r="M6" s="5" t="n"/>
      <c r="N6" s="5" t="n"/>
    </row>
    <row r="7">
      <c r="A7" t="inlineStr">
        <is>
          <t>G-811-003</t>
        </is>
      </c>
      <c r="B7" t="inlineStr">
        <is>
          <t>Domain 1</t>
        </is>
      </c>
      <c r="C7" t="inlineStr">
        <is>
          <t>Data Ownership</t>
        </is>
      </c>
      <c r="D7" t="inlineStr">
        <is>
          <t>15% of sensitive fields lack assigned data owners</t>
        </is>
      </c>
      <c r="E7" t="inlineStr">
        <is>
          <t>No owner</t>
        </is>
      </c>
      <c r="F7" t="inlineStr">
        <is>
          <t>Owner assigned</t>
        </is>
      </c>
      <c r="G7" t="inlineStr">
        <is>
          <t>Medium</t>
        </is>
      </c>
      <c r="H7" s="5" t="n"/>
      <c r="I7" s="5" t="n"/>
      <c r="J7" s="5" t="n"/>
      <c r="K7" s="5" t="n"/>
      <c r="L7" s="5" t="n"/>
      <c r="M7" s="5" t="n"/>
      <c r="N7" s="5" t="n"/>
    </row>
    <row r="8">
      <c r="A8" t="inlineStr">
        <is>
          <t>G-811-004</t>
        </is>
      </c>
      <c r="B8" t="inlineStr">
        <is>
          <t>Domain 2</t>
        </is>
      </c>
      <c r="C8" t="inlineStr">
        <is>
          <t>Technique Selection</t>
        </is>
      </c>
      <c r="D8" t="inlineStr">
        <is>
          <t>Tokenization not implemented for payment card data</t>
        </is>
      </c>
      <c r="E8" t="inlineStr">
        <is>
          <t>Clear text</t>
        </is>
      </c>
      <c r="F8" t="inlineStr">
        <is>
          <t>Tokenized</t>
        </is>
      </c>
      <c r="G8" s="33" t="inlineStr">
        <is>
          <t>Critical</t>
        </is>
      </c>
      <c r="H8" s="5" t="n"/>
      <c r="I8" s="5" t="n"/>
      <c r="J8" s="5" t="n"/>
      <c r="K8" s="5" t="n"/>
      <c r="L8" s="5" t="n"/>
      <c r="M8" s="5" t="n"/>
      <c r="N8" s="5" t="n"/>
    </row>
    <row r="9">
      <c r="A9" t="inlineStr">
        <is>
          <t>G-811-005</t>
        </is>
      </c>
      <c r="B9" t="inlineStr">
        <is>
          <t>Domain 2</t>
        </is>
      </c>
      <c r="C9" t="inlineStr">
        <is>
          <t>Algorithm Strength</t>
        </is>
      </c>
      <c r="D9" t="inlineStr">
        <is>
          <t>MD5 hashing used instead of SHA-256 in legacy system</t>
        </is>
      </c>
      <c r="E9" t="inlineStr">
        <is>
          <t>Weak hashing</t>
        </is>
      </c>
      <c r="F9" t="inlineStr">
        <is>
          <t>SHA-256+</t>
        </is>
      </c>
      <c r="G9" s="32" t="inlineStr">
        <is>
          <t>High</t>
        </is>
      </c>
      <c r="H9" s="5" t="n"/>
      <c r="I9" s="5" t="n"/>
      <c r="J9" s="5" t="n"/>
      <c r="K9" s="5" t="n"/>
      <c r="L9" s="5" t="n"/>
      <c r="M9" s="5" t="n"/>
      <c r="N9" s="5" t="n"/>
    </row>
    <row r="10">
      <c r="A10" t="inlineStr">
        <is>
          <t>G-811-006</t>
        </is>
      </c>
      <c r="B10" t="inlineStr">
        <is>
          <t>Domain 3</t>
        </is>
      </c>
      <c r="C10" t="inlineStr">
        <is>
          <t>Non-Prod Masking</t>
        </is>
      </c>
      <c r="D10" t="inlineStr">
        <is>
          <t>UAT environment contains unmasked production PII</t>
        </is>
      </c>
      <c r="E10" t="inlineStr">
        <is>
          <t>Production copy</t>
        </is>
      </c>
      <c r="F10" t="inlineStr">
        <is>
          <t>Fully masked</t>
        </is>
      </c>
      <c r="G10" s="33" t="inlineStr">
        <is>
          <t>Critical</t>
        </is>
      </c>
      <c r="H10" s="5" t="n"/>
      <c r="I10" s="5" t="n"/>
      <c r="J10" s="5" t="n"/>
      <c r="K10" s="5" t="n"/>
      <c r="L10" s="5" t="n"/>
      <c r="M10" s="5" t="n"/>
      <c r="N10" s="5" t="n"/>
    </row>
    <row r="11">
      <c r="A11" t="inlineStr">
        <is>
          <t>G-811-007</t>
        </is>
      </c>
      <c r="B11" t="inlineStr">
        <is>
          <t>Domain 3</t>
        </is>
      </c>
      <c r="C11" t="inlineStr">
        <is>
          <t>Development Env</t>
        </is>
      </c>
      <c r="D11" t="inlineStr">
        <is>
          <t>Dev database refreshed weekly with unmasked data</t>
        </is>
      </c>
      <c r="E11" t="inlineStr">
        <is>
          <t>Production copy</t>
        </is>
      </c>
      <c r="F11" t="inlineStr">
        <is>
          <t>Masked refresh</t>
        </is>
      </c>
      <c r="G11" s="33" t="inlineStr">
        <is>
          <t>Critical</t>
        </is>
      </c>
      <c r="H11" s="5" t="n"/>
      <c r="I11" s="5" t="n"/>
      <c r="J11" s="5" t="n"/>
      <c r="K11" s="5" t="n"/>
      <c r="L11" s="5" t="n"/>
      <c r="M11" s="5" t="n"/>
      <c r="N11" s="5" t="n"/>
    </row>
    <row r="12">
      <c r="A12" t="inlineStr">
        <is>
          <t>G-811-008</t>
        </is>
      </c>
      <c r="B12" t="inlineStr">
        <is>
          <t>Domain 3</t>
        </is>
      </c>
      <c r="C12" t="inlineStr">
        <is>
          <t>DDM Implementation</t>
        </is>
      </c>
      <c r="D12" t="inlineStr">
        <is>
          <t>Production API endpoints expose unmasked SSN</t>
        </is>
      </c>
      <c r="E12" t="inlineStr">
        <is>
          <t>Clear text API</t>
        </is>
      </c>
      <c r="F12" t="inlineStr">
        <is>
          <t>DDM enabled</t>
        </is>
      </c>
      <c r="G12" s="33" t="inlineStr">
        <is>
          <t>Critical</t>
        </is>
      </c>
      <c r="H12" s="5" t="n"/>
      <c r="I12" s="5" t="n"/>
      <c r="J12" s="5" t="n"/>
      <c r="K12" s="5" t="n"/>
      <c r="L12" s="5" t="n"/>
      <c r="M12" s="5" t="n"/>
      <c r="N12" s="5" t="n"/>
    </row>
    <row r="13">
      <c r="A13" t="inlineStr">
        <is>
          <t>G-811-009</t>
        </is>
      </c>
      <c r="B13" t="inlineStr">
        <is>
          <t>Domain 3</t>
        </is>
      </c>
      <c r="C13" t="inlineStr">
        <is>
          <t>Backup Encryption</t>
        </is>
      </c>
      <c r="D13" t="inlineStr">
        <is>
          <t>Weekly backups not encrypted at rest</t>
        </is>
      </c>
      <c r="E13" t="inlineStr">
        <is>
          <t>Unencrypted</t>
        </is>
      </c>
      <c r="F13" t="inlineStr">
        <is>
          <t>AES-256 encrypted</t>
        </is>
      </c>
      <c r="G13" s="32" t="inlineStr">
        <is>
          <t>High</t>
        </is>
      </c>
      <c r="H13" s="5" t="n"/>
      <c r="I13" s="5" t="n"/>
      <c r="J13" s="5" t="n"/>
      <c r="K13" s="5" t="n"/>
      <c r="L13" s="5" t="n"/>
      <c r="M13" s="5" t="n"/>
      <c r="N13" s="5" t="n"/>
    </row>
    <row r="14">
      <c r="A14" t="inlineStr">
        <is>
          <t>G-811-010</t>
        </is>
      </c>
      <c r="B14" t="inlineStr">
        <is>
          <t>Domain 4</t>
        </is>
      </c>
      <c r="C14" t="inlineStr">
        <is>
          <t>Testing Coverage</t>
        </is>
      </c>
      <c r="D14" t="inlineStr">
        <is>
          <t>Only 70% of masking functions have automated tests</t>
        </is>
      </c>
      <c r="E14" t="inlineStr">
        <is>
          <t>70% coverage</t>
        </is>
      </c>
      <c r="F14" t="inlineStr">
        <is>
          <t>≥95% coverage</t>
        </is>
      </c>
      <c r="G14" t="inlineStr">
        <is>
          <t>Medium</t>
        </is>
      </c>
      <c r="H14" s="5" t="n"/>
      <c r="I14" s="5" t="n"/>
      <c r="J14" s="5" t="n"/>
      <c r="K14" s="5" t="n"/>
      <c r="L14" s="5" t="n"/>
      <c r="M14" s="5" t="n"/>
      <c r="N14" s="5" t="n"/>
    </row>
    <row r="15">
      <c r="A15" t="inlineStr">
        <is>
          <t>G-811-011</t>
        </is>
      </c>
      <c r="B15" t="inlineStr">
        <is>
          <t>Domain 4</t>
        </is>
      </c>
      <c r="C15" t="inlineStr">
        <is>
          <t>Re-ID Testing</t>
        </is>
      </c>
      <c r="D15" t="inlineStr">
        <is>
          <t>Re-identification risk not tested via join attacks</t>
        </is>
      </c>
      <c r="E15" t="inlineStr">
        <is>
          <t>Not tested</t>
        </is>
      </c>
      <c r="F15" t="inlineStr">
        <is>
          <t>Tested quarterly</t>
        </is>
      </c>
      <c r="G15" s="32" t="inlineStr">
        <is>
          <t>High</t>
        </is>
      </c>
      <c r="H15" s="5" t="n"/>
      <c r="I15" s="5" t="n"/>
      <c r="J15" s="5" t="n"/>
      <c r="K15" s="5" t="n"/>
      <c r="L15" s="5" t="n"/>
      <c r="M15" s="5" t="n"/>
      <c r="N15" s="5" t="n"/>
    </row>
    <row r="16">
      <c r="A16" t="inlineStr">
        <is>
          <t>G-811-012</t>
        </is>
      </c>
      <c r="B16" t="inlineStr">
        <is>
          <t>Domain 4</t>
        </is>
      </c>
      <c r="C16" t="inlineStr">
        <is>
          <t>Performance Testing</t>
        </is>
      </c>
      <c r="D16" t="inlineStr">
        <is>
          <t>Masking impact on query performance not measured</t>
        </is>
      </c>
      <c r="E16" t="inlineStr">
        <is>
          <t>Unknown impact</t>
        </is>
      </c>
      <c r="F16" t="inlineStr">
        <is>
          <t>Measured &lt;10%</t>
        </is>
      </c>
      <c r="G16" t="inlineStr">
        <is>
          <t>Medium</t>
        </is>
      </c>
      <c r="H16" s="5" t="n"/>
      <c r="I16" s="5" t="n"/>
      <c r="J16" s="5" t="n"/>
      <c r="K16" s="5" t="n"/>
      <c r="L16" s="5" t="n"/>
      <c r="M16" s="5" t="n"/>
      <c r="N16" s="5" t="n"/>
    </row>
    <row r="17">
      <c r="A17" t="inlineStr">
        <is>
          <t>G-811-013</t>
        </is>
      </c>
      <c r="B17" t="inlineStr">
        <is>
          <t>Domain 1</t>
        </is>
      </c>
      <c r="C17" t="inlineStr">
        <is>
          <t>Schema Drift</t>
        </is>
      </c>
      <c r="D17" t="inlineStr">
        <is>
          <t>No automated detection for new sensitive fields</t>
        </is>
      </c>
      <c r="E17" t="inlineStr">
        <is>
          <t>Manual checks</t>
        </is>
      </c>
      <c r="F17" t="inlineStr">
        <is>
          <t>Automated detection</t>
        </is>
      </c>
      <c r="G17" s="32" t="inlineStr">
        <is>
          <t>High</t>
        </is>
      </c>
      <c r="H17" s="5" t="n"/>
      <c r="I17" s="5" t="n"/>
      <c r="J17" s="5" t="n"/>
      <c r="K17" s="5" t="n"/>
      <c r="L17" s="5" t="n"/>
      <c r="M17" s="5" t="n"/>
      <c r="N17" s="5" t="n"/>
    </row>
    <row r="18">
      <c r="A18" t="inlineStr">
        <is>
          <t>G-811-014</t>
        </is>
      </c>
      <c r="B18" t="inlineStr">
        <is>
          <t>Domain 2</t>
        </is>
      </c>
      <c r="C18" t="inlineStr">
        <is>
          <t>Key Management</t>
        </is>
      </c>
      <c r="D18" t="inlineStr">
        <is>
          <t>Masking keys stored in application config files</t>
        </is>
      </c>
      <c r="E18" t="inlineStr">
        <is>
          <t>Plaintext config</t>
        </is>
      </c>
      <c r="F18" t="inlineStr">
        <is>
          <t>HSM/KMS storage</t>
        </is>
      </c>
      <c r="G18" s="33" t="inlineStr">
        <is>
          <t>Critical</t>
        </is>
      </c>
      <c r="H18" s="5" t="n"/>
      <c r="I18" s="5" t="n"/>
      <c r="J18" s="5" t="n"/>
      <c r="K18" s="5" t="n"/>
      <c r="L18" s="5" t="n"/>
      <c r="M18" s="5" t="n"/>
      <c r="N18" s="5" t="n"/>
    </row>
    <row r="19">
      <c r="A19" t="inlineStr">
        <is>
          <t>G-811-015</t>
        </is>
      </c>
      <c r="B19" t="inlineStr">
        <is>
          <t>Domain 3</t>
        </is>
      </c>
      <c r="C19" t="inlineStr">
        <is>
          <t>Cloud Environments</t>
        </is>
      </c>
      <c r="D19" t="inlineStr">
        <is>
          <t>Azure DevOps pipelines use unmasked test data</t>
        </is>
      </c>
      <c r="E19" t="inlineStr">
        <is>
          <t>Unmasked</t>
        </is>
      </c>
      <c r="F19" t="inlineStr">
        <is>
          <t>Masked test data</t>
        </is>
      </c>
      <c r="G19" s="32" t="inlineStr">
        <is>
          <t>High</t>
        </is>
      </c>
      <c r="H19" s="5" t="n"/>
      <c r="I19" s="5" t="n"/>
      <c r="J19" s="5" t="n"/>
      <c r="K19" s="5" t="n"/>
      <c r="L19" s="5" t="n"/>
      <c r="M19" s="5" t="n"/>
      <c r="N19" s="5" t="n"/>
    </row>
    <row r="20">
      <c r="A20" t="inlineStr">
        <is>
          <t>G-811-016</t>
        </is>
      </c>
      <c r="B20" t="inlineStr">
        <is>
          <t>Domain 3</t>
        </is>
      </c>
      <c r="C20" t="inlineStr">
        <is>
          <t>Third-Party Access</t>
        </is>
      </c>
      <c r="D20" t="inlineStr">
        <is>
          <t>Vendor receives unmasked customer PII for support</t>
        </is>
      </c>
      <c r="E20" t="inlineStr">
        <is>
          <t>Full access</t>
        </is>
      </c>
      <c r="F20" t="inlineStr">
        <is>
          <t>Masked views</t>
        </is>
      </c>
      <c r="G20" s="32" t="inlineStr">
        <is>
          <t>High</t>
        </is>
      </c>
      <c r="H20" s="5" t="n"/>
      <c r="I20" s="5" t="n"/>
      <c r="J20" s="5" t="n"/>
      <c r="K20" s="5" t="n"/>
      <c r="L20" s="5" t="n"/>
      <c r="M20" s="5" t="n"/>
      <c r="N20" s="5" t="n"/>
    </row>
    <row r="21">
      <c r="A21" t="inlineStr">
        <is>
          <t>G-811-017</t>
        </is>
      </c>
      <c r="B21" t="inlineStr">
        <is>
          <t>Domain 4</t>
        </is>
      </c>
      <c r="C21" t="inlineStr">
        <is>
          <t>Data Utility</t>
        </is>
      </c>
      <c r="D21" t="inlineStr">
        <is>
          <t>Over-masking reduces analytics accuracy by 25%</t>
        </is>
      </c>
      <c r="E21" t="inlineStr">
        <is>
          <t>25% degradation</t>
        </is>
      </c>
      <c r="F21" t="inlineStr">
        <is>
          <t>&lt;5% degradation</t>
        </is>
      </c>
      <c r="G21" t="inlineStr">
        <is>
          <t>Medium</t>
        </is>
      </c>
      <c r="H21" s="5" t="n"/>
      <c r="I21" s="5" t="n"/>
      <c r="J21" s="5" t="n"/>
      <c r="K21" s="5" t="n"/>
      <c r="L21" s="5" t="n"/>
      <c r="M21" s="5" t="n"/>
      <c r="N21" s="5" t="n"/>
    </row>
    <row r="22">
      <c r="A22" t="inlineStr">
        <is>
          <t>G-811-018</t>
        </is>
      </c>
      <c r="B22" t="inlineStr">
        <is>
          <t>Domain 1</t>
        </is>
      </c>
      <c r="C22" t="inlineStr">
        <is>
          <t>Regulatory Mapping</t>
        </is>
      </c>
      <c r="D22" t="inlineStr">
        <is>
          <t>GDPR Art. 32 mapping incomplete for 5 systems</t>
        </is>
      </c>
      <c r="E22" t="inlineStr">
        <is>
          <t>Partial mapping</t>
        </is>
      </c>
      <c r="F22" t="inlineStr">
        <is>
          <t>Complete mapping</t>
        </is>
      </c>
      <c r="G22" t="inlineStr">
        <is>
          <t>Medium</t>
        </is>
      </c>
      <c r="H22" s="5" t="n"/>
      <c r="I22" s="5" t="n"/>
      <c r="J22" s="5" t="n"/>
      <c r="K22" s="5" t="n"/>
      <c r="L22" s="5" t="n"/>
      <c r="M22" s="5" t="n"/>
      <c r="N22" s="5" t="n"/>
    </row>
    <row r="23">
      <c r="A23" t="inlineStr">
        <is>
          <t>G-811-019</t>
        </is>
      </c>
      <c r="B23" t="inlineStr">
        <is>
          <t>Domain 2</t>
        </is>
      </c>
      <c r="C23" t="inlineStr">
        <is>
          <t>Format Preservation</t>
        </is>
      </c>
      <c r="D23" t="inlineStr">
        <is>
          <t>Masked phone numbers don't preserve format</t>
        </is>
      </c>
      <c r="E23" t="inlineStr">
        <is>
          <t>Random data</t>
        </is>
      </c>
      <c r="F23" t="inlineStr">
        <is>
          <t>Format preserved</t>
        </is>
      </c>
      <c r="G23" t="inlineStr">
        <is>
          <t>Low</t>
        </is>
      </c>
      <c r="H23" s="5" t="n"/>
      <c r="I23" s="5" t="n"/>
      <c r="J23" s="5" t="n"/>
      <c r="K23" s="5" t="n"/>
      <c r="L23" s="5" t="n"/>
      <c r="M23" s="5" t="n"/>
      <c r="N23" s="5" t="n"/>
    </row>
    <row r="24">
      <c r="A24" t="inlineStr">
        <is>
          <t>G-811-020</t>
        </is>
      </c>
      <c r="B24" t="inlineStr">
        <is>
          <t>Domain 4</t>
        </is>
      </c>
      <c r="C24" t="inlineStr">
        <is>
          <t>Evidence Documentation</t>
        </is>
      </c>
      <c r="D24" t="inlineStr">
        <is>
          <t>Test results not retained per 2-year policy</t>
        </is>
      </c>
      <c r="E24" t="inlineStr">
        <is>
          <t>Ad-hoc retention</t>
        </is>
      </c>
      <c r="F24" t="inlineStr">
        <is>
          <t>Policy compliant</t>
        </is>
      </c>
      <c r="G24" t="inlineStr">
        <is>
          <t>Medium</t>
        </is>
      </c>
      <c r="H24" s="5" t="n"/>
      <c r="I24" s="5" t="n"/>
      <c r="J24" s="5" t="n"/>
      <c r="K24" s="5" t="n"/>
      <c r="L24" s="5" t="n"/>
      <c r="M24" s="5" t="n"/>
      <c r="N24" s="5" t="n"/>
    </row>
    <row r="25">
      <c r="A25" s="5" t="n"/>
      <c r="B25" s="5" t="n"/>
      <c r="C25" s="5" t="n"/>
      <c r="D25" s="5" t="n"/>
      <c r="E25" s="5" t="n"/>
      <c r="F25" s="5" t="n"/>
      <c r="G25" s="5" t="n"/>
      <c r="H25" s="5" t="n"/>
      <c r="I25" s="5" t="n"/>
      <c r="J25" s="5" t="n"/>
      <c r="K25" s="5" t="n"/>
      <c r="L25" s="5" t="n"/>
      <c r="M25" s="5" t="n"/>
      <c r="N25" s="5" t="n"/>
    </row>
    <row r="26">
      <c r="A26" s="5" t="n"/>
      <c r="B26" s="5" t="n"/>
      <c r="C26" s="5" t="n"/>
      <c r="D26" s="5" t="n"/>
      <c r="E26" s="5" t="n"/>
      <c r="F26" s="5" t="n"/>
      <c r="G26" s="5" t="n"/>
      <c r="H26" s="5" t="n"/>
      <c r="I26" s="5" t="n"/>
      <c r="J26" s="5" t="n"/>
      <c r="K26" s="5" t="n"/>
      <c r="L26" s="5" t="n"/>
      <c r="M26" s="5" t="n"/>
      <c r="N26" s="5" t="n"/>
    </row>
    <row r="27">
      <c r="A27" s="5" t="n"/>
      <c r="B27" s="5" t="n"/>
      <c r="C27" s="5" t="n"/>
      <c r="D27" s="5" t="n"/>
      <c r="E27" s="5" t="n"/>
      <c r="F27" s="5" t="n"/>
      <c r="G27" s="5" t="n"/>
      <c r="H27" s="5" t="n"/>
      <c r="I27" s="5" t="n"/>
      <c r="J27" s="5" t="n"/>
      <c r="K27" s="5" t="n"/>
      <c r="L27" s="5" t="n"/>
      <c r="M27" s="5" t="n"/>
      <c r="N27" s="5" t="n"/>
    </row>
    <row r="28">
      <c r="A28" s="5" t="n"/>
      <c r="B28" s="5" t="n"/>
      <c r="C28" s="5" t="n"/>
      <c r="D28" s="5" t="n"/>
      <c r="E28" s="5" t="n"/>
      <c r="F28" s="5" t="n"/>
      <c r="G28" s="5" t="n"/>
      <c r="H28" s="5" t="n"/>
      <c r="I28" s="5" t="n"/>
      <c r="J28" s="5" t="n"/>
      <c r="K28" s="5" t="n"/>
      <c r="L28" s="5" t="n"/>
      <c r="M28" s="5" t="n"/>
      <c r="N28" s="5" t="n"/>
    </row>
    <row r="29">
      <c r="A29" s="5" t="n"/>
      <c r="B29" s="5" t="n"/>
      <c r="C29" s="5" t="n"/>
      <c r="D29" s="5" t="n"/>
      <c r="E29" s="5" t="n"/>
      <c r="F29" s="5" t="n"/>
      <c r="G29" s="5" t="n"/>
      <c r="H29" s="5" t="n"/>
      <c r="I29" s="5" t="n"/>
      <c r="J29" s="5" t="n"/>
      <c r="K29" s="5" t="n"/>
      <c r="L29" s="5" t="n"/>
      <c r="M29" s="5" t="n"/>
      <c r="N29" s="5" t="n"/>
    </row>
    <row r="30">
      <c r="A30" s="5" t="n"/>
      <c r="B30" s="5" t="n"/>
      <c r="C30" s="5" t="n"/>
      <c r="D30" s="5" t="n"/>
      <c r="E30" s="5" t="n"/>
      <c r="F30" s="5" t="n"/>
      <c r="G30" s="5" t="n"/>
      <c r="H30" s="5" t="n"/>
      <c r="I30" s="5" t="n"/>
      <c r="J30" s="5" t="n"/>
      <c r="K30" s="5" t="n"/>
      <c r="L30" s="5" t="n"/>
      <c r="M30" s="5" t="n"/>
      <c r="N30" s="5" t="n"/>
    </row>
    <row r="31">
      <c r="A31" s="5" t="n"/>
      <c r="B31" s="5" t="n"/>
      <c r="C31" s="5" t="n"/>
      <c r="D31" s="5" t="n"/>
      <c r="E31" s="5" t="n"/>
      <c r="F31" s="5" t="n"/>
      <c r="G31" s="5" t="n"/>
      <c r="H31" s="5" t="n"/>
      <c r="I31" s="5" t="n"/>
      <c r="J31" s="5" t="n"/>
      <c r="K31" s="5" t="n"/>
      <c r="L31" s="5" t="n"/>
      <c r="M31" s="5" t="n"/>
      <c r="N31" s="5" t="n"/>
    </row>
    <row r="32">
      <c r="A32" s="5" t="n"/>
      <c r="B32" s="5" t="n"/>
      <c r="C32" s="5" t="n"/>
      <c r="D32" s="5" t="n"/>
      <c r="E32" s="5" t="n"/>
      <c r="F32" s="5" t="n"/>
      <c r="G32" s="5" t="n"/>
      <c r="H32" s="5" t="n"/>
      <c r="I32" s="5" t="n"/>
      <c r="J32" s="5" t="n"/>
      <c r="K32" s="5" t="n"/>
      <c r="L32" s="5" t="n"/>
      <c r="M32" s="5" t="n"/>
      <c r="N32" s="5" t="n"/>
    </row>
    <row r="33">
      <c r="A33" s="5" t="n"/>
      <c r="B33" s="5" t="n"/>
      <c r="C33" s="5" t="n"/>
      <c r="D33" s="5" t="n"/>
      <c r="E33" s="5" t="n"/>
      <c r="F33" s="5" t="n"/>
      <c r="G33" s="5" t="n"/>
      <c r="H33" s="5" t="n"/>
      <c r="I33" s="5" t="n"/>
      <c r="J33" s="5" t="n"/>
      <c r="K33" s="5" t="n"/>
      <c r="L33" s="5" t="n"/>
      <c r="M33" s="5" t="n"/>
      <c r="N33" s="5" t="n"/>
    </row>
    <row r="34">
      <c r="A34" s="5" t="n"/>
      <c r="B34" s="5" t="n"/>
      <c r="C34" s="5" t="n"/>
      <c r="D34" s="5" t="n"/>
      <c r="E34" s="5" t="n"/>
      <c r="F34" s="5" t="n"/>
      <c r="G34" s="5" t="n"/>
      <c r="H34" s="5" t="n"/>
      <c r="I34" s="5" t="n"/>
      <c r="J34" s="5" t="n"/>
      <c r="K34" s="5" t="n"/>
      <c r="L34" s="5" t="n"/>
      <c r="M34" s="5" t="n"/>
      <c r="N34" s="5" t="n"/>
    </row>
    <row r="35">
      <c r="A35" s="5" t="n"/>
      <c r="B35" s="5" t="n"/>
      <c r="C35" s="5" t="n"/>
      <c r="D35" s="5" t="n"/>
      <c r="E35" s="5" t="n"/>
      <c r="F35" s="5" t="n"/>
      <c r="G35" s="5" t="n"/>
      <c r="H35" s="5" t="n"/>
      <c r="I35" s="5" t="n"/>
      <c r="J35" s="5" t="n"/>
      <c r="K35" s="5" t="n"/>
      <c r="L35" s="5" t="n"/>
      <c r="M35" s="5" t="n"/>
      <c r="N35" s="5" t="n"/>
    </row>
    <row r="36">
      <c r="A36" s="5" t="n"/>
      <c r="B36" s="5" t="n"/>
      <c r="C36" s="5" t="n"/>
      <c r="D36" s="5" t="n"/>
      <c r="E36" s="5" t="n"/>
      <c r="F36" s="5" t="n"/>
      <c r="G36" s="5" t="n"/>
      <c r="H36" s="5" t="n"/>
      <c r="I36" s="5" t="n"/>
      <c r="J36" s="5" t="n"/>
      <c r="K36" s="5" t="n"/>
      <c r="L36" s="5" t="n"/>
      <c r="M36" s="5" t="n"/>
      <c r="N36" s="5" t="n"/>
    </row>
    <row r="37">
      <c r="A37" s="5" t="n"/>
      <c r="B37" s="5" t="n"/>
      <c r="C37" s="5" t="n"/>
      <c r="D37" s="5" t="n"/>
      <c r="E37" s="5" t="n"/>
      <c r="F37" s="5" t="n"/>
      <c r="G37" s="5" t="n"/>
      <c r="H37" s="5" t="n"/>
      <c r="I37" s="5" t="n"/>
      <c r="J37" s="5" t="n"/>
      <c r="K37" s="5" t="n"/>
      <c r="L37" s="5" t="n"/>
      <c r="M37" s="5" t="n"/>
      <c r="N37" s="5" t="n"/>
    </row>
    <row r="38">
      <c r="A38" s="5" t="n"/>
      <c r="B38" s="5" t="n"/>
      <c r="C38" s="5" t="n"/>
      <c r="D38" s="5" t="n"/>
      <c r="E38" s="5" t="n"/>
      <c r="F38" s="5" t="n"/>
      <c r="G38" s="5" t="n"/>
      <c r="H38" s="5" t="n"/>
      <c r="I38" s="5" t="n"/>
      <c r="J38" s="5" t="n"/>
      <c r="K38" s="5" t="n"/>
      <c r="L38" s="5" t="n"/>
      <c r="M38" s="5" t="n"/>
      <c r="N38" s="5" t="n"/>
    </row>
    <row r="39">
      <c r="A39" s="5" t="n"/>
      <c r="B39" s="5" t="n"/>
      <c r="C39" s="5" t="n"/>
      <c r="D39" s="5" t="n"/>
      <c r="E39" s="5" t="n"/>
      <c r="F39" s="5" t="n"/>
      <c r="G39" s="5" t="n"/>
      <c r="H39" s="5" t="n"/>
      <c r="I39" s="5" t="n"/>
      <c r="J39" s="5" t="n"/>
      <c r="K39" s="5" t="n"/>
      <c r="L39" s="5" t="n"/>
      <c r="M39" s="5" t="n"/>
      <c r="N39" s="5" t="n"/>
    </row>
    <row r="40">
      <c r="A40" s="5" t="n"/>
      <c r="B40" s="5" t="n"/>
      <c r="C40" s="5" t="n"/>
      <c r="D40" s="5" t="n"/>
      <c r="E40" s="5" t="n"/>
      <c r="F40" s="5" t="n"/>
      <c r="G40" s="5" t="n"/>
      <c r="H40" s="5" t="n"/>
      <c r="I40" s="5" t="n"/>
      <c r="J40" s="5" t="n"/>
      <c r="K40" s="5" t="n"/>
      <c r="L40" s="5" t="n"/>
      <c r="M40" s="5" t="n"/>
      <c r="N40" s="5" t="n"/>
    </row>
    <row r="41">
      <c r="A41" s="5" t="n"/>
      <c r="B41" s="5" t="n"/>
      <c r="C41" s="5" t="n"/>
      <c r="D41" s="5" t="n"/>
      <c r="E41" s="5" t="n"/>
      <c r="F41" s="5" t="n"/>
      <c r="G41" s="5" t="n"/>
      <c r="H41" s="5" t="n"/>
      <c r="I41" s="5" t="n"/>
      <c r="J41" s="5" t="n"/>
      <c r="K41" s="5" t="n"/>
      <c r="L41" s="5" t="n"/>
      <c r="M41" s="5" t="n"/>
      <c r="N41" s="5" t="n"/>
    </row>
    <row r="42">
      <c r="A42" s="5" t="n"/>
      <c r="B42" s="5" t="n"/>
      <c r="C42" s="5" t="n"/>
      <c r="D42" s="5" t="n"/>
      <c r="E42" s="5" t="n"/>
      <c r="F42" s="5" t="n"/>
      <c r="G42" s="5" t="n"/>
      <c r="H42" s="5" t="n"/>
      <c r="I42" s="5" t="n"/>
      <c r="J42" s="5" t="n"/>
      <c r="K42" s="5" t="n"/>
      <c r="L42" s="5" t="n"/>
      <c r="M42" s="5" t="n"/>
      <c r="N42" s="5" t="n"/>
    </row>
    <row r="43">
      <c r="A43" s="5" t="n"/>
      <c r="B43" s="5" t="n"/>
      <c r="C43" s="5" t="n"/>
      <c r="D43" s="5" t="n"/>
      <c r="E43" s="5" t="n"/>
      <c r="F43" s="5" t="n"/>
      <c r="G43" s="5" t="n"/>
      <c r="H43" s="5" t="n"/>
      <c r="I43" s="5" t="n"/>
      <c r="J43" s="5" t="n"/>
      <c r="K43" s="5" t="n"/>
      <c r="L43" s="5" t="n"/>
      <c r="M43" s="5" t="n"/>
      <c r="N43" s="5" t="n"/>
    </row>
    <row r="44">
      <c r="A44" s="5" t="n"/>
      <c r="B44" s="5" t="n"/>
      <c r="C44" s="5" t="n"/>
      <c r="D44" s="5" t="n"/>
      <c r="E44" s="5" t="n"/>
      <c r="F44" s="5" t="n"/>
      <c r="G44" s="5" t="n"/>
      <c r="H44" s="5" t="n"/>
      <c r="I44" s="5" t="n"/>
      <c r="J44" s="5" t="n"/>
      <c r="K44" s="5" t="n"/>
      <c r="L44" s="5" t="n"/>
      <c r="M44" s="5" t="n"/>
      <c r="N44" s="5" t="n"/>
    </row>
    <row r="45">
      <c r="A45" s="5" t="n"/>
      <c r="B45" s="5" t="n"/>
      <c r="C45" s="5" t="n"/>
      <c r="D45" s="5" t="n"/>
      <c r="E45" s="5" t="n"/>
      <c r="F45" s="5" t="n"/>
      <c r="G45" s="5" t="n"/>
      <c r="H45" s="5" t="n"/>
      <c r="I45" s="5" t="n"/>
      <c r="J45" s="5" t="n"/>
      <c r="K45" s="5" t="n"/>
      <c r="L45" s="5" t="n"/>
      <c r="M45" s="5" t="n"/>
      <c r="N45" s="5" t="n"/>
    </row>
    <row r="46">
      <c r="A46" s="5" t="n"/>
      <c r="B46" s="5" t="n"/>
      <c r="C46" s="5" t="n"/>
      <c r="D46" s="5" t="n"/>
      <c r="E46" s="5" t="n"/>
      <c r="F46" s="5" t="n"/>
      <c r="G46" s="5" t="n"/>
      <c r="H46" s="5" t="n"/>
      <c r="I46" s="5" t="n"/>
      <c r="J46" s="5" t="n"/>
      <c r="K46" s="5" t="n"/>
      <c r="L46" s="5" t="n"/>
      <c r="M46" s="5" t="n"/>
      <c r="N46" s="5" t="n"/>
    </row>
    <row r="47">
      <c r="A47" s="5" t="n"/>
      <c r="B47" s="5" t="n"/>
      <c r="C47" s="5" t="n"/>
      <c r="D47" s="5" t="n"/>
      <c r="E47" s="5" t="n"/>
      <c r="F47" s="5" t="n"/>
      <c r="G47" s="5" t="n"/>
      <c r="H47" s="5" t="n"/>
      <c r="I47" s="5" t="n"/>
      <c r="J47" s="5" t="n"/>
      <c r="K47" s="5" t="n"/>
      <c r="L47" s="5" t="n"/>
      <c r="M47" s="5" t="n"/>
      <c r="N47" s="5" t="n"/>
    </row>
    <row r="48">
      <c r="A48" s="5" t="n"/>
      <c r="B48" s="5" t="n"/>
      <c r="C48" s="5" t="n"/>
      <c r="D48" s="5" t="n"/>
      <c r="E48" s="5" t="n"/>
      <c r="F48" s="5" t="n"/>
      <c r="G48" s="5" t="n"/>
      <c r="H48" s="5" t="n"/>
      <c r="I48" s="5" t="n"/>
      <c r="J48" s="5" t="n"/>
      <c r="K48" s="5" t="n"/>
      <c r="L48" s="5" t="n"/>
      <c r="M48" s="5" t="n"/>
      <c r="N48" s="5" t="n"/>
    </row>
    <row r="49">
      <c r="A49" s="5" t="n"/>
      <c r="B49" s="5" t="n"/>
      <c r="C49" s="5" t="n"/>
      <c r="D49" s="5" t="n"/>
      <c r="E49" s="5" t="n"/>
      <c r="F49" s="5" t="n"/>
      <c r="G49" s="5" t="n"/>
      <c r="H49" s="5" t="n"/>
      <c r="I49" s="5" t="n"/>
      <c r="J49" s="5" t="n"/>
      <c r="K49" s="5" t="n"/>
      <c r="L49" s="5" t="n"/>
      <c r="M49" s="5" t="n"/>
      <c r="N49" s="5" t="n"/>
    </row>
    <row r="50">
      <c r="A50" s="5" t="n"/>
      <c r="B50" s="5" t="n"/>
      <c r="C50" s="5" t="n"/>
      <c r="D50" s="5" t="n"/>
      <c r="E50" s="5" t="n"/>
      <c r="F50" s="5" t="n"/>
      <c r="G50" s="5" t="n"/>
      <c r="H50" s="5" t="n"/>
      <c r="I50" s="5" t="n"/>
      <c r="J50" s="5" t="n"/>
      <c r="K50" s="5" t="n"/>
      <c r="L50" s="5" t="n"/>
      <c r="M50" s="5" t="n"/>
      <c r="N50" s="5" t="n"/>
    </row>
    <row r="51">
      <c r="A51" s="5" t="n"/>
      <c r="B51" s="5" t="n"/>
      <c r="C51" s="5" t="n"/>
      <c r="D51" s="5" t="n"/>
      <c r="E51" s="5" t="n"/>
      <c r="F51" s="5" t="n"/>
      <c r="G51" s="5" t="n"/>
      <c r="H51" s="5" t="n"/>
      <c r="I51" s="5" t="n"/>
      <c r="J51" s="5" t="n"/>
      <c r="K51" s="5" t="n"/>
      <c r="L51" s="5" t="n"/>
      <c r="M51" s="5" t="n"/>
      <c r="N51" s="5" t="n"/>
    </row>
    <row r="52">
      <c r="A52" s="5" t="n"/>
      <c r="B52" s="5" t="n"/>
      <c r="C52" s="5" t="n"/>
      <c r="D52" s="5" t="n"/>
      <c r="E52" s="5" t="n"/>
      <c r="F52" s="5" t="n"/>
      <c r="G52" s="5" t="n"/>
      <c r="H52" s="5" t="n"/>
      <c r="I52" s="5" t="n"/>
      <c r="J52" s="5" t="n"/>
      <c r="K52" s="5" t="n"/>
      <c r="L52" s="5" t="n"/>
      <c r="M52" s="5" t="n"/>
      <c r="N52" s="5" t="n"/>
    </row>
    <row r="53">
      <c r="A53" s="5" t="n"/>
      <c r="B53" s="5" t="n"/>
      <c r="C53" s="5" t="n"/>
      <c r="D53" s="5" t="n"/>
      <c r="E53" s="5" t="n"/>
      <c r="F53" s="5" t="n"/>
      <c r="G53" s="5" t="n"/>
      <c r="H53" s="5" t="n"/>
      <c r="I53" s="5" t="n"/>
      <c r="J53" s="5" t="n"/>
      <c r="K53" s="5" t="n"/>
      <c r="L53" s="5" t="n"/>
      <c r="M53" s="5" t="n"/>
      <c r="N53" s="5" t="n"/>
    </row>
    <row r="54">
      <c r="A54" s="5" t="n"/>
      <c r="B54" s="5" t="n"/>
      <c r="C54" s="5" t="n"/>
      <c r="D54" s="5" t="n"/>
      <c r="E54" s="5" t="n"/>
      <c r="F54" s="5" t="n"/>
      <c r="G54" s="5" t="n"/>
      <c r="H54" s="5" t="n"/>
      <c r="I54" s="5" t="n"/>
      <c r="J54" s="5" t="n"/>
      <c r="K54" s="5" t="n"/>
      <c r="L54" s="5" t="n"/>
      <c r="M54" s="5" t="n"/>
      <c r="N54" s="5" t="n"/>
    </row>
  </sheetData>
  <mergeCells count="2">
    <mergeCell ref="A2:N2"/>
    <mergeCell ref="A1:N1"/>
  </mergeCells>
  <dataValidations count="2">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"Critical,High,Medium,Low"</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"Open,In Progress,Remediated,Accepted,Closed"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4"/>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45" customWidth="1" min="3" max="3"/>
    <col width="15" customWidth="1" min="4" max="4"/>
    <col width="14" customWidth="1" min="5" max="5"/>
    <col width="13" customWidth="1" min="6" max="6"/>
    <col width="12" customWidth="1" min="7" max="7"/>
    <col width="12" customWidth="1" min="8" max="8"/>
    <col width="45" customWidth="1" min="9" max="9"/>
    <col width="20" customWidth="1" min="10" max="10"/>
    <col width="15" customWidth="1" min="11" max="11"/>
    <col width="15" customWidth="1" min="12" max="12"/>
    <col width="15" customWidth="1" min="13" max="13"/>
    <col width="14" customWidth="1" min="14" max="14"/>
    <col width="30" customWidth="1" min="15" max="15"/>
  </cols>
  <sheetData>
    <row r="1" ht="40" customHeight="1">
      <c r="A1" s="1" t="inlineStr">
        <is>
          <t>MASKING RISK REGISTER - COMPREHENSIVE</t>
        </is>
      </c>
    </row>
    <row r="2" ht="25" customHeight="1">
      <c r="A2" s="2" t="inlineStr">
        <is>
          <t>Data masking risks with likelihood, impact, risk scores, and mitigation strategies (40 entries)</t>
        </is>
      </c>
    </row>
    <row r="3">
      <c r="A3" s="18" t="inlineStr">
        <is>
          <t>Risk ID</t>
        </is>
      </c>
      <c r="B3" s="18" t="inlineStr">
        <is>
          <t>Risk Category</t>
        </is>
      </c>
      <c r="C3" s="18" t="inlineStr">
        <is>
          <t>Risk Description</t>
        </is>
      </c>
      <c r="D3" s="18" t="inlineStr">
        <is>
          <t>Affected Domain</t>
        </is>
      </c>
      <c r="E3" s="18" t="inlineStr">
        <is>
          <t>Likelihood (1-5)</t>
        </is>
      </c>
      <c r="F3" s="18" t="inlineStr">
        <is>
          <t>Impact (1-5)</t>
        </is>
      </c>
      <c r="G3" s="18" t="inlineStr">
        <is>
          <t>Risk Score</t>
        </is>
      </c>
      <c r="H3" s="18" t="inlineStr">
        <is>
          <t>Risk Level</t>
        </is>
      </c>
      <c r="I3" s="18" t="inlineStr">
        <is>
          <t>Mitigation Strategy</t>
        </is>
      </c>
      <c r="J3" s="18" t="inlineStr">
        <is>
          <t>Owner</t>
        </is>
      </c>
      <c r="K3" s="18" t="inlineStr">
        <is>
          <t>Target Date</t>
        </is>
      </c>
      <c r="L3" s="18" t="inlineStr">
        <is>
          <t>Status</t>
        </is>
      </c>
      <c r="M3" s="18" t="inlineStr">
        <is>
          <t>Residual Risk</t>
        </is>
      </c>
      <c r="N3" s="18" t="inlineStr">
        <is>
          <t>Residual Score</t>
        </is>
      </c>
      <c r="O3" s="18" t="inlineStr">
        <is>
          <t>Notes</t>
        </is>
      </c>
    </row>
    <row r="5">
      <c r="A5" t="inlineStr">
        <is>
          <t>R-811-001</t>
        </is>
      </c>
      <c r="B5" t="inlineStr">
        <is>
          <t>Data Leakage</t>
        </is>
      </c>
      <c r="C5" t="inlineStr">
        <is>
          <t>Unmasked sensitive data exposed in non-production environments (UAT, QA, Dev)</t>
        </is>
      </c>
      <c r="D5" t="inlineStr">
        <is>
          <t>Domain 3</t>
        </is>
      </c>
      <c r="E5" t="n">
        <v>4</v>
      </c>
      <c r="F5" t="n">
        <v>5</v>
      </c>
      <c r="G5" s="34">
        <f>E5*F5</f>
        <v/>
      </c>
      <c r="H5" s="35">
        <f>IF(G5&gt;=15,"Critical",IF(G5&gt;=10,"High",IF(G5&gt;=5,"Medium","Low")))</f>
        <v/>
      </c>
      <c r="I5" t="inlineStr">
        <is>
          <t>Implement comprehensive environment-level masking with automated validation</t>
        </is>
      </c>
      <c r="J5" s="5" t="n"/>
      <c r="K5" s="5" t="n"/>
      <c r="L5" s="5" t="n"/>
      <c r="M5" s="5" t="n"/>
      <c r="N5" s="5" t="n"/>
      <c r="O5" s="5" t="n"/>
    </row>
    <row r="6">
      <c r="A6" t="inlineStr">
        <is>
          <t>R-811-002</t>
        </is>
      </c>
      <c r="B6" t="inlineStr">
        <is>
          <t>Re-identification</t>
        </is>
      </c>
      <c r="C6" t="inlineStr">
        <is>
          <t>Ability to reverse-engineer masked data to original values via join attacks or inference</t>
        </is>
      </c>
      <c r="D6" t="inlineStr">
        <is>
          <t>Domain 4</t>
        </is>
      </c>
      <c r="E6" t="n">
        <v>3</v>
      </c>
      <c r="F6" t="n">
        <v>5</v>
      </c>
      <c r="G6" s="34">
        <f>E6*F6</f>
        <v/>
      </c>
      <c r="H6" s="35">
        <f>IF(G6&gt;=15,"Critical",IF(G6&gt;=10,"High",IF(G6&gt;=5,"Medium","Low")))</f>
        <v/>
      </c>
      <c r="I6" t="inlineStr">
        <is>
          <t>Implement k-anonymity testing, suppress quasi-identifiers, validate via penetration testing</t>
        </is>
      </c>
      <c r="J6" s="5" t="n"/>
      <c r="K6" s="5" t="n"/>
      <c r="L6" s="5" t="n"/>
      <c r="M6" s="5" t="n"/>
      <c r="N6" s="5" t="n"/>
      <c r="O6" s="5" t="n"/>
    </row>
    <row r="7">
      <c r="A7" t="inlineStr">
        <is>
          <t>R-811-003</t>
        </is>
      </c>
      <c r="B7" t="inlineStr">
        <is>
          <t>Data Utility Loss</t>
        </is>
      </c>
      <c r="C7" t="inlineStr">
        <is>
          <t>Over-masking reduces data usefulness for testing, analytics, and business operations</t>
        </is>
      </c>
      <c r="D7" t="inlineStr">
        <is>
          <t>Domain 2</t>
        </is>
      </c>
      <c r="E7" t="n">
        <v>3</v>
      </c>
      <c r="F7" t="n">
        <v>4</v>
      </c>
      <c r="G7" s="34">
        <f>E7*F7</f>
        <v/>
      </c>
      <c r="H7" s="36">
        <f>IF(G7&gt;=15,"Critical",IF(G7&gt;=10,"High",IF(G7&gt;=5,"Medium","Low")))</f>
        <v/>
      </c>
      <c r="I7" t="inlineStr">
        <is>
          <t>Balance masking strength with utility requirements, implement format-preserving techniques</t>
        </is>
      </c>
      <c r="J7" s="5" t="n"/>
      <c r="K7" s="5" t="n"/>
      <c r="L7" s="5" t="n"/>
      <c r="M7" s="5" t="n"/>
      <c r="N7" s="5" t="n"/>
      <c r="O7" s="5" t="n"/>
    </row>
    <row r="8">
      <c r="A8" t="inlineStr">
        <is>
          <t>R-811-004</t>
        </is>
      </c>
      <c r="B8" t="inlineStr">
        <is>
          <t>Compliance Violation</t>
        </is>
      </c>
      <c r="C8" t="inlineStr">
        <is>
          <t>Failure to mask data violates GDPR Art. 32, FADP Art. 8, or contractual obligations</t>
        </is>
      </c>
      <c r="D8" t="inlineStr">
        <is>
          <t>All Domains</t>
        </is>
      </c>
      <c r="E8" t="n">
        <v>3</v>
      </c>
      <c r="F8" t="n">
        <v>5</v>
      </c>
      <c r="G8" s="34">
        <f>E8*F8</f>
        <v/>
      </c>
      <c r="H8" s="35">
        <f>IF(G8&gt;=15,"Critical",IF(G8&gt;=10,"High",IF(G8&gt;=5,"Medium","Low")))</f>
        <v/>
      </c>
      <c r="I8" t="inlineStr">
        <is>
          <t>Map regulatory requirements to masking controls, document compliance evidence</t>
        </is>
      </c>
      <c r="J8" s="5" t="n"/>
      <c r="K8" s="5" t="n"/>
      <c r="L8" s="5" t="n"/>
      <c r="M8" s="5" t="n"/>
      <c r="N8" s="5" t="n"/>
      <c r="O8" s="5" t="n"/>
    </row>
    <row r="9">
      <c r="A9" t="inlineStr">
        <is>
          <t>R-811-005</t>
        </is>
      </c>
      <c r="B9" t="inlineStr">
        <is>
          <t>Performance Impact</t>
        </is>
      </c>
      <c r="C9" t="inlineStr">
        <is>
          <t>Masking operations degrade system performance beyond acceptable thresholds (&gt;10%)</t>
        </is>
      </c>
      <c r="D9" t="inlineStr">
        <is>
          <t>Domain 4</t>
        </is>
      </c>
      <c r="E9" t="n">
        <v>2</v>
      </c>
      <c r="F9" t="n">
        <v>3</v>
      </c>
      <c r="G9" s="34">
        <f>E9*F9</f>
        <v/>
      </c>
      <c r="H9" s="37">
        <f>IF(G9&gt;=15,"Critical",IF(G9&gt;=10,"High",IF(G9&gt;=5,"Medium","Low")))</f>
        <v/>
      </c>
      <c r="I9" t="inlineStr">
        <is>
          <t>Benchmark performance, optimize algorithms, implement caching where appropriate</t>
        </is>
      </c>
      <c r="J9" s="5" t="n"/>
      <c r="K9" s="5" t="n"/>
      <c r="L9" s="5" t="n"/>
      <c r="M9" s="5" t="n"/>
      <c r="N9" s="5" t="n"/>
      <c r="O9" s="5" t="n"/>
    </row>
    <row r="10">
      <c r="A10" t="inlineStr">
        <is>
          <t>R-811-006</t>
        </is>
      </c>
      <c r="B10" t="inlineStr">
        <is>
          <t>Key Management</t>
        </is>
      </c>
      <c r="C10" t="inlineStr">
        <is>
          <t>Loss, compromise, or unauthorized access to masking keys or algorithms</t>
        </is>
      </c>
      <c r="D10" t="inlineStr">
        <is>
          <t>Domain 2</t>
        </is>
      </c>
      <c r="E10" t="n">
        <v>2</v>
      </c>
      <c r="F10" t="n">
        <v>5</v>
      </c>
      <c r="G10" s="34">
        <f>E10*F10</f>
        <v/>
      </c>
      <c r="H10" s="36">
        <f>IF(G10&gt;=15,"Critical",IF(G10&gt;=10,"High",IF(G10&gt;=5,"Medium","Low")))</f>
        <v/>
      </c>
      <c r="I10" t="inlineStr">
        <is>
          <t>Implement HSM/KMS for key storage, rotate keys regularly, enforce access controls</t>
        </is>
      </c>
      <c r="J10" s="5" t="n"/>
      <c r="K10" s="5" t="n"/>
      <c r="L10" s="5" t="n"/>
      <c r="M10" s="5" t="n"/>
      <c r="N10" s="5" t="n"/>
      <c r="O10" s="5" t="n"/>
    </row>
    <row r="11">
      <c r="A11" t="inlineStr">
        <is>
          <t>R-811-007</t>
        </is>
      </c>
      <c r="B11" t="inlineStr">
        <is>
          <t>Process Bypass</t>
        </is>
      </c>
      <c r="C11" t="inlineStr">
        <is>
          <t>Data extraction methods circumvent masking controls (direct DB access, exports)</t>
        </is>
      </c>
      <c r="D11" t="inlineStr">
        <is>
          <t>Domain 3</t>
        </is>
      </c>
      <c r="E11" t="n">
        <v>3</v>
      </c>
      <c r="F11" t="n">
        <v>4</v>
      </c>
      <c r="G11" s="34">
        <f>E11*F11</f>
        <v/>
      </c>
      <c r="H11" s="36">
        <f>IF(G11&gt;=15,"Critical",IF(G11&gt;=10,"High",IF(G11&gt;=5,"Medium","Low")))</f>
        <v/>
      </c>
      <c r="I11" t="inlineStr">
        <is>
          <t>Enforce access controls at all layers, monitor data extraction, implement audit logging</t>
        </is>
      </c>
      <c r="J11" s="5" t="n"/>
      <c r="K11" s="5" t="n"/>
      <c r="L11" s="5" t="n"/>
      <c r="M11" s="5" t="n"/>
      <c r="N11" s="5" t="n"/>
      <c r="O11" s="5" t="n"/>
    </row>
    <row r="12">
      <c r="A12" t="inlineStr">
        <is>
          <t>R-811-008</t>
        </is>
      </c>
      <c r="B12" t="inlineStr">
        <is>
          <t>Incomplete Coverage</t>
        </is>
      </c>
      <c r="C12" t="inlineStr">
        <is>
          <t>Sensitive data exists in unmapped/unmasked locations (shadow IT, cloud, archives)</t>
        </is>
      </c>
      <c r="D12" t="inlineStr">
        <is>
          <t>Domain 1</t>
        </is>
      </c>
      <c r="E12" t="n">
        <v>4</v>
      </c>
      <c r="F12" t="n">
        <v>4</v>
      </c>
      <c r="G12" s="34">
        <f>E12*F12</f>
        <v/>
      </c>
      <c r="H12" s="35">
        <f>IF(G12&gt;=15,"Critical",IF(G12&gt;=10,"High",IF(G12&gt;=5,"Medium","Low")))</f>
        <v/>
      </c>
      <c r="I12" t="inlineStr">
        <is>
          <t>Conduct comprehensive data discovery, implement automated detection, quarterly audits</t>
        </is>
      </c>
      <c r="J12" s="5" t="n"/>
      <c r="K12" s="5" t="n"/>
      <c r="L12" s="5" t="n"/>
      <c r="M12" s="5" t="n"/>
      <c r="N12" s="5" t="n"/>
      <c r="O12" s="5" t="n"/>
    </row>
    <row r="13">
      <c r="A13" t="inlineStr">
        <is>
          <t>R-811-009</t>
        </is>
      </c>
      <c r="B13" t="inlineStr">
        <is>
          <t>Third-Party Access</t>
        </is>
      </c>
      <c r="C13" t="inlineStr">
        <is>
          <t>Vendors, partners, or contractors receive unmasked sensitive data</t>
        </is>
      </c>
      <c r="D13" t="inlineStr">
        <is>
          <t>Domain 3</t>
        </is>
      </c>
      <c r="E13" t="n">
        <v>3</v>
      </c>
      <c r="F13" t="n">
        <v>4</v>
      </c>
      <c r="G13" s="34">
        <f>E13*F13</f>
        <v/>
      </c>
      <c r="H13" s="36">
        <f>IF(G13&gt;=15,"Critical",IF(G13&gt;=10,"High",IF(G13&gt;=5,"Medium","Low")))</f>
        <v/>
      </c>
      <c r="I13" t="inlineStr">
        <is>
          <t>Implement masked views for external access, contractual data protection clauses</t>
        </is>
      </c>
      <c r="J13" s="5" t="n"/>
      <c r="K13" s="5" t="n"/>
      <c r="L13" s="5" t="n"/>
      <c r="M13" s="5" t="n"/>
      <c r="N13" s="5" t="n"/>
      <c r="O13" s="5" t="n"/>
    </row>
    <row r="14">
      <c r="A14" t="inlineStr">
        <is>
          <t>R-811-010</t>
        </is>
      </c>
      <c r="B14" t="inlineStr">
        <is>
          <t>Audit Failure</t>
        </is>
      </c>
      <c r="C14" t="inlineStr">
        <is>
          <t>Insufficient evidence for regulatory audits (testing, validation, gap remediation)</t>
        </is>
      </c>
      <c r="D14" t="inlineStr">
        <is>
          <t>Domain 4</t>
        </is>
      </c>
      <c r="E14" t="n">
        <v>2</v>
      </c>
      <c r="F14" t="n">
        <v>3</v>
      </c>
      <c r="G14" s="34">
        <f>E14*F14</f>
        <v/>
      </c>
      <c r="H14" s="37">
        <f>IF(G14&gt;=15,"Critical",IF(G14&gt;=10,"High",IF(G14&gt;=5,"Medium","Low")))</f>
        <v/>
      </c>
      <c r="I14" t="inlineStr">
        <is>
          <t>Maintain comprehensive evidence register, document all testing, quarterly reviews</t>
        </is>
      </c>
      <c r="J14" s="5" t="n"/>
      <c r="K14" s="5" t="n"/>
      <c r="L14" s="5" t="n"/>
      <c r="M14" s="5" t="n"/>
      <c r="N14" s="5" t="n"/>
      <c r="O14" s="5" t="n"/>
    </row>
    <row r="15">
      <c r="A15" t="inlineStr">
        <is>
          <t>R-811-011</t>
        </is>
      </c>
      <c r="B15" t="inlineStr">
        <is>
          <t>Schema Drift</t>
        </is>
      </c>
      <c r="C15" t="inlineStr">
        <is>
          <t>New sensitive fields added to production without corresponding masking rules</t>
        </is>
      </c>
      <c r="D15" t="inlineStr">
        <is>
          <t>Domain 1</t>
        </is>
      </c>
      <c r="E15" t="n">
        <v>4</v>
      </c>
      <c r="F15" t="n">
        <v>4</v>
      </c>
      <c r="G15" s="34">
        <f>E15*F15</f>
        <v/>
      </c>
      <c r="H15" s="35">
        <f>IF(G15&gt;=15,"Critical",IF(G15&gt;=10,"High",IF(G15&gt;=5,"Medium","Low")))</f>
        <v/>
      </c>
      <c r="I15" t="inlineStr">
        <is>
          <t>Implement automated schema change detection, mandatory security review for DB changes</t>
        </is>
      </c>
      <c r="J15" s="5" t="n"/>
      <c r="K15" s="5" t="n"/>
      <c r="L15" s="5" t="n"/>
      <c r="M15" s="5" t="n"/>
      <c r="N15" s="5" t="n"/>
      <c r="O15" s="5" t="n"/>
    </row>
    <row r="16">
      <c r="A16" t="inlineStr">
        <is>
          <t>R-811-012</t>
        </is>
      </c>
      <c r="B16" t="inlineStr">
        <is>
          <t>Backup Exposure</t>
        </is>
      </c>
      <c r="C16" t="inlineStr">
        <is>
          <t>Unencrypted or unmasked backups/archives expose sensitive data</t>
        </is>
      </c>
      <c r="D16" t="inlineStr">
        <is>
          <t>Domain 3</t>
        </is>
      </c>
      <c r="E16" t="n">
        <v>3</v>
      </c>
      <c r="F16" t="n">
        <v>5</v>
      </c>
      <c r="G16" s="34">
        <f>E16*F16</f>
        <v/>
      </c>
      <c r="H16" s="35">
        <f>IF(G16&gt;=15,"Critical",IF(G16&gt;=10,"High",IF(G16&gt;=5,"Medium","Low")))</f>
        <v/>
      </c>
      <c r="I16" t="inlineStr">
        <is>
          <t>Encrypt all backups at rest, apply masking to long-term archives, test recovery procedures</t>
        </is>
      </c>
      <c r="J16" s="5" t="n"/>
      <c r="K16" s="5" t="n"/>
      <c r="L16" s="5" t="n"/>
      <c r="M16" s="5" t="n"/>
      <c r="N16" s="5" t="n"/>
      <c r="O16" s="5" t="n"/>
    </row>
    <row r="17">
      <c r="A17" t="inlineStr">
        <is>
          <t>R-811-013</t>
        </is>
      </c>
      <c r="B17" t="inlineStr">
        <is>
          <t>Production DDM Failure</t>
        </is>
      </c>
      <c r="C17" t="inlineStr">
        <is>
          <t>Dynamic Data Masking in production fails or is bypassed</t>
        </is>
      </c>
      <c r="D17" t="inlineStr">
        <is>
          <t>Domain 3</t>
        </is>
      </c>
      <c r="E17" t="n">
        <v>2</v>
      </c>
      <c r="F17" t="n">
        <v>5</v>
      </c>
      <c r="G17" s="34">
        <f>E17*F17</f>
        <v/>
      </c>
      <c r="H17" s="36">
        <f>IF(G17&gt;=15,"Critical",IF(G17&gt;=10,"High",IF(G17&gt;=5,"Medium","Low")))</f>
        <v/>
      </c>
      <c r="I17" t="inlineStr">
        <is>
          <t>Implement redundant DDM controls, monitoring/alerting, failsafe deny-by-default</t>
        </is>
      </c>
      <c r="J17" s="5" t="n"/>
      <c r="K17" s="5" t="n"/>
      <c r="L17" s="5" t="n"/>
      <c r="M17" s="5" t="n"/>
      <c r="N17" s="5" t="n"/>
      <c r="O17" s="5" t="n"/>
    </row>
    <row r="18">
      <c r="A18" t="inlineStr">
        <is>
          <t>R-811-014</t>
        </is>
      </c>
      <c r="B18" t="inlineStr">
        <is>
          <t>Cloud Misconfiguration</t>
        </is>
      </c>
      <c r="C18" t="inlineStr">
        <is>
          <t>Cloud storage, databases, or services misconfigured exposing unmasked data</t>
        </is>
      </c>
      <c r="D18" t="inlineStr">
        <is>
          <t>Domain 3</t>
        </is>
      </c>
      <c r="E18" t="n">
        <v>3</v>
      </c>
      <c r="F18" t="n">
        <v>4</v>
      </c>
      <c r="G18" s="34">
        <f>E18*F18</f>
        <v/>
      </c>
      <c r="H18" s="36">
        <f>IF(G18&gt;=15,"Critical",IF(G18&gt;=10,"High",IF(G18&gt;=5,"Medium","Low")))</f>
        <v/>
      </c>
      <c r="I18" t="inlineStr">
        <is>
          <t>Implement cloud security posture management, automated compliance scanning</t>
        </is>
      </c>
      <c r="J18" s="5" t="n"/>
      <c r="K18" s="5" t="n"/>
      <c r="L18" s="5" t="n"/>
      <c r="M18" s="5" t="n"/>
      <c r="N18" s="5" t="n"/>
      <c r="O18" s="5" t="n"/>
    </row>
    <row r="19">
      <c r="A19" t="inlineStr">
        <is>
          <t>R-811-015</t>
        </is>
      </c>
      <c r="B19" t="inlineStr">
        <is>
          <t>Format Inconsistency</t>
        </is>
      </c>
      <c r="C19" t="inlineStr">
        <is>
          <t>Masked data doesn't preserve format causing application errors or data quality issues</t>
        </is>
      </c>
      <c r="D19" t="inlineStr">
        <is>
          <t>Domain 2</t>
        </is>
      </c>
      <c r="E19" t="n">
        <v>3</v>
      </c>
      <c r="F19" t="n">
        <v>3</v>
      </c>
      <c r="G19" s="34">
        <f>E19*F19</f>
        <v/>
      </c>
      <c r="H19" s="37">
        <f>IF(G19&gt;=15,"Critical",IF(G19&gt;=10,"High",IF(G19&gt;=5,"Medium","Low")))</f>
        <v/>
      </c>
      <c r="I19" t="inlineStr">
        <is>
          <t>Implement format-preserving encryption/masking, validate with application teams</t>
        </is>
      </c>
      <c r="J19" s="5" t="n"/>
      <c r="K19" s="5" t="n"/>
      <c r="L19" s="5" t="n"/>
      <c r="M19" s="5" t="n"/>
      <c r="N19" s="5" t="n"/>
      <c r="O19" s="5" t="n"/>
    </row>
    <row r="20">
      <c r="A20" t="inlineStr">
        <is>
          <t>R-811-016</t>
        </is>
      </c>
      <c r="B20" t="inlineStr">
        <is>
          <t>Tokenization Key Loss</t>
        </is>
      </c>
      <c r="C20" t="inlineStr">
        <is>
          <t>Loss of tokenization mapping renders data unrecoverable when needed</t>
        </is>
      </c>
      <c r="D20" t="inlineStr">
        <is>
          <t>Domain 2</t>
        </is>
      </c>
      <c r="E20" t="n">
        <v>1</v>
      </c>
      <c r="F20" t="n">
        <v>5</v>
      </c>
      <c r="G20" s="34">
        <f>E20*F20</f>
        <v/>
      </c>
      <c r="H20" s="37">
        <f>IF(G20&gt;=15,"Critical",IF(G20&gt;=10,"High",IF(G20&gt;=5,"Medium","Low")))</f>
        <v/>
      </c>
      <c r="I20" t="inlineStr">
        <is>
          <t>Implement redundant token vaults, regular backups, disaster recovery procedures</t>
        </is>
      </c>
      <c r="J20" s="5" t="n"/>
      <c r="K20" s="5" t="n"/>
      <c r="L20" s="5" t="n"/>
      <c r="M20" s="5" t="n"/>
      <c r="N20" s="5" t="n"/>
      <c r="O20" s="5" t="n"/>
    </row>
    <row r="21">
      <c r="A21" t="inlineStr">
        <is>
          <t>R-811-017</t>
        </is>
      </c>
      <c r="B21" t="inlineStr">
        <is>
          <t>Legacy System Gap</t>
        </is>
      </c>
      <c r="C21" t="inlineStr">
        <is>
          <t>Legacy systems cannot support masking due to technical limitations</t>
        </is>
      </c>
      <c r="D21" t="inlineStr">
        <is>
          <t>Domain 2</t>
        </is>
      </c>
      <c r="E21" t="n">
        <v>3</v>
      </c>
      <c r="F21" t="n">
        <v>4</v>
      </c>
      <c r="G21" s="34">
        <f>E21*F21</f>
        <v/>
      </c>
      <c r="H21" s="36">
        <f>IF(G21&gt;=15,"Critical",IF(G21&gt;=10,"High",IF(G21&gt;=5,"Medium","Low")))</f>
        <v/>
      </c>
      <c r="I21" t="inlineStr">
        <is>
          <t>Implement compensating controls, consider modernization roadmap, document risk acceptance</t>
        </is>
      </c>
      <c r="J21" s="5" t="n"/>
      <c r="K21" s="5" t="n"/>
      <c r="L21" s="5" t="n"/>
      <c r="M21" s="5" t="n"/>
      <c r="N21" s="5" t="n"/>
      <c r="O21" s="5" t="n"/>
    </row>
    <row r="22">
      <c r="A22" t="inlineStr">
        <is>
          <t>R-811-018</t>
        </is>
      </c>
      <c r="B22" t="inlineStr">
        <is>
          <t>Cross-Environment Leakage</t>
        </is>
      </c>
      <c r="C22" t="inlineStr">
        <is>
          <t>Masked data from one environment mixed with unmasked data from another</t>
        </is>
      </c>
      <c r="D22" t="inlineStr">
        <is>
          <t>Domain 3</t>
        </is>
      </c>
      <c r="E22" t="n">
        <v>2</v>
      </c>
      <c r="F22" t="n">
        <v>4</v>
      </c>
      <c r="G22" s="34">
        <f>E22*F22</f>
        <v/>
      </c>
      <c r="H22" s="37">
        <f>IF(G22&gt;=15,"Critical",IF(G22&gt;=10,"High",IF(G22&gt;=5,"Medium","Low")))</f>
        <v/>
      </c>
      <c r="I22" t="inlineStr">
        <is>
          <t>Strict environment isolation, clear labeling, automated validation checks</t>
        </is>
      </c>
      <c r="J22" s="5" t="n"/>
      <c r="K22" s="5" t="n"/>
      <c r="L22" s="5" t="n"/>
      <c r="M22" s="5" t="n"/>
      <c r="N22" s="5" t="n"/>
      <c r="O22" s="5" t="n"/>
    </row>
    <row r="23">
      <c r="A23" t="inlineStr">
        <is>
          <t>R-811-019</t>
        </is>
      </c>
      <c r="B23" t="inlineStr">
        <is>
          <t>Insider Threat</t>
        </is>
      </c>
      <c r="C23" t="inlineStr">
        <is>
          <t>Privileged users with direct database access bypass masking controls</t>
        </is>
      </c>
      <c r="D23" t="inlineStr">
        <is>
          <t>Domain 3</t>
        </is>
      </c>
      <c r="E23" t="n">
        <v>2</v>
      </c>
      <c r="F23" t="n">
        <v>5</v>
      </c>
      <c r="G23" s="34">
        <f>E23*F23</f>
        <v/>
      </c>
      <c r="H23" s="36">
        <f>IF(G23&gt;=15,"Critical",IF(G23&gt;=10,"High",IF(G23&gt;=5,"Medium","Low")))</f>
        <v/>
      </c>
      <c r="I23" t="inlineStr">
        <is>
          <t>Implement privileged access management, monitor database activity, enforce least privilege</t>
        </is>
      </c>
      <c r="J23" s="5" t="n"/>
      <c r="K23" s="5" t="n"/>
      <c r="L23" s="5" t="n"/>
      <c r="M23" s="5" t="n"/>
      <c r="N23" s="5" t="n"/>
      <c r="O23" s="5" t="n"/>
    </row>
    <row r="24">
      <c r="A24" t="inlineStr">
        <is>
          <t>R-811-020</t>
        </is>
      </c>
      <c r="B24" t="inlineStr">
        <is>
          <t>Test Data Aging</t>
        </is>
      </c>
      <c r="C24" t="inlineStr">
        <is>
          <t>Test datasets become stale, teams revert to using production data</t>
        </is>
      </c>
      <c r="D24" t="inlineStr">
        <is>
          <t>Domain 3</t>
        </is>
      </c>
      <c r="E24" t="n">
        <v>3</v>
      </c>
      <c r="F24" t="n">
        <v>3</v>
      </c>
      <c r="G24" s="34">
        <f>E24*F24</f>
        <v/>
      </c>
      <c r="H24" s="37">
        <f>IF(G24&gt;=15,"Critical",IF(G24&gt;=10,"High",IF(G24&gt;=5,"Medium","Low")))</f>
        <v/>
      </c>
      <c r="I24" t="inlineStr">
        <is>
          <t>Automated test data refresh procedures, synthetic data generation, policy enforcement</t>
        </is>
      </c>
      <c r="J24" s="5" t="n"/>
      <c r="K24" s="5" t="n"/>
      <c r="L24" s="5" t="n"/>
      <c r="M24" s="5" t="n"/>
      <c r="N24" s="5" t="n"/>
      <c r="O24" s="5" t="n"/>
    </row>
    <row r="25">
      <c r="A25" s="5" t="n"/>
      <c r="B25" s="5" t="n"/>
      <c r="C25" s="5" t="n"/>
      <c r="D25" s="5" t="n"/>
      <c r="E25" s="5" t="n"/>
      <c r="F25" s="5" t="n"/>
      <c r="G25" s="6">
        <f>IF(AND(E25&lt;&gt;"",F25&lt;&gt;""),E25*F25,"")</f>
        <v/>
      </c>
      <c r="H25" s="6">
        <f>IF(G25="","",IF(G25&gt;=15,"Critical",IF(G25&gt;=10,"High",IF(G25&gt;=5,"Medium","Low"))))</f>
        <v/>
      </c>
      <c r="I25" s="5" t="n"/>
      <c r="J25" s="5" t="n"/>
      <c r="K25" s="5" t="n"/>
      <c r="L25" s="5" t="n"/>
      <c r="M25" s="5" t="n"/>
      <c r="N25" s="5" t="n"/>
      <c r="O25" s="5" t="n"/>
    </row>
    <row r="26">
      <c r="A26" s="5" t="n"/>
      <c r="B26" s="5" t="n"/>
      <c r="C26" s="5" t="n"/>
      <c r="D26" s="5" t="n"/>
      <c r="E26" s="5" t="n"/>
      <c r="F26" s="5" t="n"/>
      <c r="G26" s="6">
        <f>IF(AND(E26&lt;&gt;"",F26&lt;&gt;""),E26*F26,"")</f>
        <v/>
      </c>
      <c r="H26" s="6">
        <f>IF(G26="","",IF(G26&gt;=15,"Critical",IF(G26&gt;=10,"High",IF(G26&gt;=5,"Medium","Low"))))</f>
        <v/>
      </c>
      <c r="I26" s="5" t="n"/>
      <c r="J26" s="5" t="n"/>
      <c r="K26" s="5" t="n"/>
      <c r="L26" s="5" t="n"/>
      <c r="M26" s="5" t="n"/>
      <c r="N26" s="5" t="n"/>
      <c r="O26" s="5" t="n"/>
    </row>
    <row r="27">
      <c r="A27" s="5" t="n"/>
      <c r="B27" s="5" t="n"/>
      <c r="C27" s="5" t="n"/>
      <c r="D27" s="5" t="n"/>
      <c r="E27" s="5" t="n"/>
      <c r="F27" s="5" t="n"/>
      <c r="G27" s="6">
        <f>IF(AND(E27&lt;&gt;"",F27&lt;&gt;""),E27*F27,"")</f>
        <v/>
      </c>
      <c r="H27" s="6">
        <f>IF(G27="","",IF(G27&gt;=15,"Critical",IF(G27&gt;=10,"High",IF(G27&gt;=5,"Medium","Low"))))</f>
        <v/>
      </c>
      <c r="I27" s="5" t="n"/>
      <c r="J27" s="5" t="n"/>
      <c r="K27" s="5" t="n"/>
      <c r="L27" s="5" t="n"/>
      <c r="M27" s="5" t="n"/>
      <c r="N27" s="5" t="n"/>
      <c r="O27" s="5" t="n"/>
    </row>
    <row r="28">
      <c r="A28" s="5" t="n"/>
      <c r="B28" s="5" t="n"/>
      <c r="C28" s="5" t="n"/>
      <c r="D28" s="5" t="n"/>
      <c r="E28" s="5" t="n"/>
      <c r="F28" s="5" t="n"/>
      <c r="G28" s="6">
        <f>IF(AND(E28&lt;&gt;"",F28&lt;&gt;""),E28*F28,"")</f>
        <v/>
      </c>
      <c r="H28" s="6">
        <f>IF(G28="","",IF(G28&gt;=15,"Critical",IF(G28&gt;=10,"High",IF(G28&gt;=5,"Medium","Low"))))</f>
        <v/>
      </c>
      <c r="I28" s="5" t="n"/>
      <c r="J28" s="5" t="n"/>
      <c r="K28" s="5" t="n"/>
      <c r="L28" s="5" t="n"/>
      <c r="M28" s="5" t="n"/>
      <c r="N28" s="5" t="n"/>
      <c r="O28" s="5" t="n"/>
    </row>
    <row r="29">
      <c r="A29" s="5" t="n"/>
      <c r="B29" s="5" t="n"/>
      <c r="C29" s="5" t="n"/>
      <c r="D29" s="5" t="n"/>
      <c r="E29" s="5" t="n"/>
      <c r="F29" s="5" t="n"/>
      <c r="G29" s="6">
        <f>IF(AND(E29&lt;&gt;"",F29&lt;&gt;""),E29*F29,"")</f>
        <v/>
      </c>
      <c r="H29" s="6">
        <f>IF(G29="","",IF(G29&gt;=15,"Critical",IF(G29&gt;=10,"High",IF(G29&gt;=5,"Medium","Low"))))</f>
        <v/>
      </c>
      <c r="I29" s="5" t="n"/>
      <c r="J29" s="5" t="n"/>
      <c r="K29" s="5" t="n"/>
      <c r="L29" s="5" t="n"/>
      <c r="M29" s="5" t="n"/>
      <c r="N29" s="5" t="n"/>
      <c r="O29" s="5" t="n"/>
    </row>
    <row r="30">
      <c r="A30" s="5" t="n"/>
      <c r="B30" s="5" t="n"/>
      <c r="C30" s="5" t="n"/>
      <c r="D30" s="5" t="n"/>
      <c r="E30" s="5" t="n"/>
      <c r="F30" s="5" t="n"/>
      <c r="G30" s="6">
        <f>IF(AND(E30&lt;&gt;"",F30&lt;&gt;""),E30*F30,"")</f>
        <v/>
      </c>
      <c r="H30" s="6">
        <f>IF(G30="","",IF(G30&gt;=15,"Critical",IF(G30&gt;=10,"High",IF(G30&gt;=5,"Medium","Low"))))</f>
        <v/>
      </c>
      <c r="I30" s="5" t="n"/>
      <c r="J30" s="5" t="n"/>
      <c r="K30" s="5" t="n"/>
      <c r="L30" s="5" t="n"/>
      <c r="M30" s="5" t="n"/>
      <c r="N30" s="5" t="n"/>
      <c r="O30" s="5" t="n"/>
    </row>
    <row r="31">
      <c r="A31" s="5" t="n"/>
      <c r="B31" s="5" t="n"/>
      <c r="C31" s="5" t="n"/>
      <c r="D31" s="5" t="n"/>
      <c r="E31" s="5" t="n"/>
      <c r="F31" s="5" t="n"/>
      <c r="G31" s="6">
        <f>IF(AND(E31&lt;&gt;"",F31&lt;&gt;""),E31*F31,"")</f>
        <v/>
      </c>
      <c r="H31" s="6">
        <f>IF(G31="","",IF(G31&gt;=15,"Critical",IF(G31&gt;=10,"High",IF(G31&gt;=5,"Medium","Low"))))</f>
        <v/>
      </c>
      <c r="I31" s="5" t="n"/>
      <c r="J31" s="5" t="n"/>
      <c r="K31" s="5" t="n"/>
      <c r="L31" s="5" t="n"/>
      <c r="M31" s="5" t="n"/>
      <c r="N31" s="5" t="n"/>
      <c r="O31" s="5" t="n"/>
    </row>
    <row r="32">
      <c r="A32" s="5" t="n"/>
      <c r="B32" s="5" t="n"/>
      <c r="C32" s="5" t="n"/>
      <c r="D32" s="5" t="n"/>
      <c r="E32" s="5" t="n"/>
      <c r="F32" s="5" t="n"/>
      <c r="G32" s="6">
        <f>IF(AND(E32&lt;&gt;"",F32&lt;&gt;""),E32*F32,"")</f>
        <v/>
      </c>
      <c r="H32" s="6">
        <f>IF(G32="","",IF(G32&gt;=15,"Critical",IF(G32&gt;=10,"High",IF(G32&gt;=5,"Medium","Low"))))</f>
        <v/>
      </c>
      <c r="I32" s="5" t="n"/>
      <c r="J32" s="5" t="n"/>
      <c r="K32" s="5" t="n"/>
      <c r="L32" s="5" t="n"/>
      <c r="M32" s="5" t="n"/>
      <c r="N32" s="5" t="n"/>
      <c r="O32" s="5" t="n"/>
    </row>
    <row r="33">
      <c r="A33" s="5" t="n"/>
      <c r="B33" s="5" t="n"/>
      <c r="C33" s="5" t="n"/>
      <c r="D33" s="5" t="n"/>
      <c r="E33" s="5" t="n"/>
      <c r="F33" s="5" t="n"/>
      <c r="G33" s="6">
        <f>IF(AND(E33&lt;&gt;"",F33&lt;&gt;""),E33*F33,"")</f>
        <v/>
      </c>
      <c r="H33" s="6">
        <f>IF(G33="","",IF(G33&gt;=15,"Critical",IF(G33&gt;=10,"High",IF(G33&gt;=5,"Medium","Low"))))</f>
        <v/>
      </c>
      <c r="I33" s="5" t="n"/>
      <c r="J33" s="5" t="n"/>
      <c r="K33" s="5" t="n"/>
      <c r="L33" s="5" t="n"/>
      <c r="M33" s="5" t="n"/>
      <c r="N33" s="5" t="n"/>
      <c r="O33" s="5" t="n"/>
    </row>
    <row r="34">
      <c r="A34" s="5" t="n"/>
      <c r="B34" s="5" t="n"/>
      <c r="C34" s="5" t="n"/>
      <c r="D34" s="5" t="n"/>
      <c r="E34" s="5" t="n"/>
      <c r="F34" s="5" t="n"/>
      <c r="G34" s="6">
        <f>IF(AND(E34&lt;&gt;"",F34&lt;&gt;""),E34*F34,"")</f>
        <v/>
      </c>
      <c r="H34" s="6">
        <f>IF(G34="","",IF(G34&gt;=15,"Critical",IF(G34&gt;=10,"High",IF(G34&gt;=5,"Medium","Low"))))</f>
        <v/>
      </c>
      <c r="I34" s="5" t="n"/>
      <c r="J34" s="5" t="n"/>
      <c r="K34" s="5" t="n"/>
      <c r="L34" s="5" t="n"/>
      <c r="M34" s="5" t="n"/>
      <c r="N34" s="5" t="n"/>
      <c r="O34" s="5" t="n"/>
    </row>
    <row r="35">
      <c r="A35" s="5" t="n"/>
      <c r="B35" s="5" t="n"/>
      <c r="C35" s="5" t="n"/>
      <c r="D35" s="5" t="n"/>
      <c r="E35" s="5" t="n"/>
      <c r="F35" s="5" t="n"/>
      <c r="G35" s="6">
        <f>IF(AND(E35&lt;&gt;"",F35&lt;&gt;""),E35*F35,"")</f>
        <v/>
      </c>
      <c r="H35" s="6">
        <f>IF(G35="","",IF(G35&gt;=15,"Critical",IF(G35&gt;=10,"High",IF(G35&gt;=5,"Medium","Low"))))</f>
        <v/>
      </c>
      <c r="I35" s="5" t="n"/>
      <c r="J35" s="5" t="n"/>
      <c r="K35" s="5" t="n"/>
      <c r="L35" s="5" t="n"/>
      <c r="M35" s="5" t="n"/>
      <c r="N35" s="5" t="n"/>
      <c r="O35" s="5" t="n"/>
    </row>
    <row r="36">
      <c r="A36" s="5" t="n"/>
      <c r="B36" s="5" t="n"/>
      <c r="C36" s="5" t="n"/>
      <c r="D36" s="5" t="n"/>
      <c r="E36" s="5" t="n"/>
      <c r="F36" s="5" t="n"/>
      <c r="G36" s="6">
        <f>IF(AND(E36&lt;&gt;"",F36&lt;&gt;""),E36*F36,"")</f>
        <v/>
      </c>
      <c r="H36" s="6">
        <f>IF(G36="","",IF(G36&gt;=15,"Critical",IF(G36&gt;=10,"High",IF(G36&gt;=5,"Medium","Low"))))</f>
        <v/>
      </c>
      <c r="I36" s="5" t="n"/>
      <c r="J36" s="5" t="n"/>
      <c r="K36" s="5" t="n"/>
      <c r="L36" s="5" t="n"/>
      <c r="M36" s="5" t="n"/>
      <c r="N36" s="5" t="n"/>
      <c r="O36" s="5" t="n"/>
    </row>
    <row r="37">
      <c r="A37" s="5" t="n"/>
      <c r="B37" s="5" t="n"/>
      <c r="C37" s="5" t="n"/>
      <c r="D37" s="5" t="n"/>
      <c r="E37" s="5" t="n"/>
      <c r="F37" s="5" t="n"/>
      <c r="G37" s="6">
        <f>IF(AND(E37&lt;&gt;"",F37&lt;&gt;""),E37*F37,"")</f>
        <v/>
      </c>
      <c r="H37" s="6">
        <f>IF(G37="","",IF(G37&gt;=15,"Critical",IF(G37&gt;=10,"High",IF(G37&gt;=5,"Medium","Low"))))</f>
        <v/>
      </c>
      <c r="I37" s="5" t="n"/>
      <c r="J37" s="5" t="n"/>
      <c r="K37" s="5" t="n"/>
      <c r="L37" s="5" t="n"/>
      <c r="M37" s="5" t="n"/>
      <c r="N37" s="5" t="n"/>
      <c r="O37" s="5" t="n"/>
    </row>
    <row r="38">
      <c r="A38" s="5" t="n"/>
      <c r="B38" s="5" t="n"/>
      <c r="C38" s="5" t="n"/>
      <c r="D38" s="5" t="n"/>
      <c r="E38" s="5" t="n"/>
      <c r="F38" s="5" t="n"/>
      <c r="G38" s="6">
        <f>IF(AND(E38&lt;&gt;"",F38&lt;&gt;""),E38*F38,"")</f>
        <v/>
      </c>
      <c r="H38" s="6">
        <f>IF(G38="","",IF(G38&gt;=15,"Critical",IF(G38&gt;=10,"High",IF(G38&gt;=5,"Medium","Low"))))</f>
        <v/>
      </c>
      <c r="I38" s="5" t="n"/>
      <c r="J38" s="5" t="n"/>
      <c r="K38" s="5" t="n"/>
      <c r="L38" s="5" t="n"/>
      <c r="M38" s="5" t="n"/>
      <c r="N38" s="5" t="n"/>
      <c r="O38" s="5" t="n"/>
    </row>
    <row r="39">
      <c r="A39" s="5" t="n"/>
      <c r="B39" s="5" t="n"/>
      <c r="C39" s="5" t="n"/>
      <c r="D39" s="5" t="n"/>
      <c r="E39" s="5" t="n"/>
      <c r="F39" s="5" t="n"/>
      <c r="G39" s="6">
        <f>IF(AND(E39&lt;&gt;"",F39&lt;&gt;""),E39*F39,"")</f>
        <v/>
      </c>
      <c r="H39" s="6">
        <f>IF(G39="","",IF(G39&gt;=15,"Critical",IF(G39&gt;=10,"High",IF(G39&gt;=5,"Medium","Low"))))</f>
        <v/>
      </c>
      <c r="I39" s="5" t="n"/>
      <c r="J39" s="5" t="n"/>
      <c r="K39" s="5" t="n"/>
      <c r="L39" s="5" t="n"/>
      <c r="M39" s="5" t="n"/>
      <c r="N39" s="5" t="n"/>
      <c r="O39" s="5" t="n"/>
    </row>
    <row r="40">
      <c r="A40" s="5" t="n"/>
      <c r="B40" s="5" t="n"/>
      <c r="C40" s="5" t="n"/>
      <c r="D40" s="5" t="n"/>
      <c r="E40" s="5" t="n"/>
      <c r="F40" s="5" t="n"/>
      <c r="G40" s="6">
        <f>IF(AND(E40&lt;&gt;"",F40&lt;&gt;""),E40*F40,"")</f>
        <v/>
      </c>
      <c r="H40" s="6">
        <f>IF(G40="","",IF(G40&gt;=15,"Critical",IF(G40&gt;=10,"High",IF(G40&gt;=5,"Medium","Low"))))</f>
        <v/>
      </c>
      <c r="I40" s="5" t="n"/>
      <c r="J40" s="5" t="n"/>
      <c r="K40" s="5" t="n"/>
      <c r="L40" s="5" t="n"/>
      <c r="M40" s="5" t="n"/>
      <c r="N40" s="5" t="n"/>
      <c r="O40" s="5" t="n"/>
    </row>
    <row r="41">
      <c r="A41" s="5" t="n"/>
      <c r="B41" s="5" t="n"/>
      <c r="C41" s="5" t="n"/>
      <c r="D41" s="5" t="n"/>
      <c r="E41" s="5" t="n"/>
      <c r="F41" s="5" t="n"/>
      <c r="G41" s="6">
        <f>IF(AND(E41&lt;&gt;"",F41&lt;&gt;""),E41*F41,"")</f>
        <v/>
      </c>
      <c r="H41" s="6">
        <f>IF(G41="","",IF(G41&gt;=15,"Critical",IF(G41&gt;=10,"High",IF(G41&gt;=5,"Medium","Low"))))</f>
        <v/>
      </c>
      <c r="I41" s="5" t="n"/>
      <c r="J41" s="5" t="n"/>
      <c r="K41" s="5" t="n"/>
      <c r="L41" s="5" t="n"/>
      <c r="M41" s="5" t="n"/>
      <c r="N41" s="5" t="n"/>
      <c r="O41" s="5" t="n"/>
    </row>
    <row r="42">
      <c r="A42" s="5" t="n"/>
      <c r="B42" s="5" t="n"/>
      <c r="C42" s="5" t="n"/>
      <c r="D42" s="5" t="n"/>
      <c r="E42" s="5" t="n"/>
      <c r="F42" s="5" t="n"/>
      <c r="G42" s="6">
        <f>IF(AND(E42&lt;&gt;"",F42&lt;&gt;""),E42*F42,"")</f>
        <v/>
      </c>
      <c r="H42" s="6">
        <f>IF(G42="","",IF(G42&gt;=15,"Critical",IF(G42&gt;=10,"High",IF(G42&gt;=5,"Medium","Low"))))</f>
        <v/>
      </c>
      <c r="I42" s="5" t="n"/>
      <c r="J42" s="5" t="n"/>
      <c r="K42" s="5" t="n"/>
      <c r="L42" s="5" t="n"/>
      <c r="M42" s="5" t="n"/>
      <c r="N42" s="5" t="n"/>
      <c r="O42" s="5" t="n"/>
    </row>
    <row r="43">
      <c r="A43" s="5" t="n"/>
      <c r="B43" s="5" t="n"/>
      <c r="C43" s="5" t="n"/>
      <c r="D43" s="5" t="n"/>
      <c r="E43" s="5" t="n"/>
      <c r="F43" s="5" t="n"/>
      <c r="G43" s="6">
        <f>IF(AND(E43&lt;&gt;"",F43&lt;&gt;""),E43*F43,"")</f>
        <v/>
      </c>
      <c r="H43" s="6">
        <f>IF(G43="","",IF(G43&gt;=15,"Critical",IF(G43&gt;=10,"High",IF(G43&gt;=5,"Medium","Low"))))</f>
        <v/>
      </c>
      <c r="I43" s="5" t="n"/>
      <c r="J43" s="5" t="n"/>
      <c r="K43" s="5" t="n"/>
      <c r="L43" s="5" t="n"/>
      <c r="M43" s="5" t="n"/>
      <c r="N43" s="5" t="n"/>
      <c r="O43" s="5" t="n"/>
    </row>
    <row r="44">
      <c r="A44" s="5" t="n"/>
      <c r="B44" s="5" t="n"/>
      <c r="C44" s="5" t="n"/>
      <c r="D44" s="5" t="n"/>
      <c r="E44" s="5" t="n"/>
      <c r="F44" s="5" t="n"/>
      <c r="G44" s="6">
        <f>IF(AND(E44&lt;&gt;"",F44&lt;&gt;""),E44*F44,"")</f>
        <v/>
      </c>
      <c r="H44" s="6">
        <f>IF(G44="","",IF(G44&gt;=15,"Critical",IF(G44&gt;=10,"High",IF(G44&gt;=5,"Medium","Low"))))</f>
        <v/>
      </c>
      <c r="I44" s="5" t="n"/>
      <c r="J44" s="5" t="n"/>
      <c r="K44" s="5" t="n"/>
      <c r="L44" s="5" t="n"/>
      <c r="M44" s="5" t="n"/>
      <c r="N44" s="5" t="n"/>
      <c r="O44" s="5" t="n"/>
    </row>
  </sheetData>
  <mergeCells count="2">
    <mergeCell ref="A1:O1"/>
    <mergeCell ref="A2:O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4"/>
  <sheetViews>
    <sheetView workbookViewId="0">
      <pane ySplit="3" topLeftCell="A4" activePane="bottomLeft" state="frozen"/>
      <selection pane="bottomLeft" activeCell="A1" sqref="A1"/>
    </sheetView>
  </sheetViews>
  <sheetFormatPr baseColWidth="8" defaultRowHeight="15"/>
  <cols>
    <col width="12" customWidth="1" min="1" max="1"/>
    <col width="14" customWidth="1" min="2" max="2"/>
    <col width="45" customWidth="1" min="3" max="3"/>
    <col width="18" customWidth="1" min="4" max="4"/>
    <col width="12" customWidth="1" min="5" max="5"/>
    <col width="20" customWidth="1" min="6" max="6"/>
    <col width="15" customWidth="1" min="7" max="7"/>
    <col width="15" customWidth="1" min="8" max="8"/>
    <col width="16" customWidth="1" min="9" max="9"/>
    <col width="12" customWidth="1" min="10" max="10"/>
    <col width="12" customWidth="1" min="11" max="11"/>
    <col width="30" customWidth="1" min="12" max="12"/>
    <col width="35" customWidth="1" min="13" max="13"/>
    <col width="30" customWidth="1" min="14" max="14"/>
  </cols>
  <sheetData>
    <row r="1" ht="40" customHeight="1">
      <c r="A1" s="1" t="inlineStr">
        <is>
          <t>REMEDIATION ROADMAP - PRIORITIZED ACTION PLAN</t>
        </is>
      </c>
    </row>
    <row r="2" ht="25" customHeight="1">
      <c r="A2" s="2" t="inlineStr">
        <is>
          <t>Prioritized action plan for closing gaps and mitigating risks (50 action items)</t>
        </is>
      </c>
    </row>
    <row r="3">
      <c r="A3" s="18" t="inlineStr">
        <is>
          <t>Action ID</t>
        </is>
      </c>
      <c r="B3" s="18" t="inlineStr">
        <is>
          <t>Priority</t>
        </is>
      </c>
      <c r="C3" s="18" t="inlineStr">
        <is>
          <t>Action Description</t>
        </is>
      </c>
      <c r="D3" s="18" t="inlineStr">
        <is>
          <t>Related Gap/Risk</t>
        </is>
      </c>
      <c r="E3" s="18" t="inlineStr">
        <is>
          <t>Domain</t>
        </is>
      </c>
      <c r="F3" s="18" t="inlineStr">
        <is>
          <t>Owner</t>
        </is>
      </c>
      <c r="G3" s="18" t="inlineStr">
        <is>
          <t>Start Date</t>
        </is>
      </c>
      <c r="H3" s="18" t="inlineStr">
        <is>
          <t>Target Date</t>
        </is>
      </c>
      <c r="I3" s="18" t="inlineStr">
        <is>
          <t>Status</t>
        </is>
      </c>
      <c r="J3" s="18" t="inlineStr">
        <is>
          <t>% Complete</t>
        </is>
      </c>
      <c r="K3" s="18" t="inlineStr">
        <is>
          <t>Effort (Days)</t>
        </is>
      </c>
      <c r="L3" s="18" t="inlineStr">
        <is>
          <t>Dependencies</t>
        </is>
      </c>
      <c r="M3" s="18" t="inlineStr">
        <is>
          <t>Success Criteria</t>
        </is>
      </c>
      <c r="N3" s="18" t="inlineStr">
        <is>
          <t>Notes</t>
        </is>
      </c>
    </row>
    <row r="5">
      <c r="A5" t="inlineStr">
        <is>
          <t>A-811-001</t>
        </is>
      </c>
      <c r="B5" s="33" t="inlineStr">
        <is>
          <t>P0-Critical</t>
        </is>
      </c>
      <c r="C5" t="inlineStr">
        <is>
          <t>Implement static masking for all UAT environments</t>
        </is>
      </c>
      <c r="D5" t="inlineStr">
        <is>
          <t>G-811-006</t>
        </is>
      </c>
      <c r="E5" t="inlineStr">
        <is>
          <t>Domain 3</t>
        </is>
      </c>
      <c r="F5" s="5" t="n"/>
      <c r="G5" s="5" t="n"/>
      <c r="H5" s="5" t="n"/>
      <c r="I5" s="5" t="n"/>
      <c r="J5" s="5" t="n"/>
      <c r="K5" t="n">
        <v>30</v>
      </c>
      <c r="L5" s="5" t="n"/>
      <c r="M5" s="5" t="n"/>
      <c r="N5" s="5" t="n"/>
    </row>
    <row r="6">
      <c r="A6" t="inlineStr">
        <is>
          <t>A-811-002</t>
        </is>
      </c>
      <c r="B6" s="33" t="inlineStr">
        <is>
          <t>P0-Critical</t>
        </is>
      </c>
      <c r="C6" t="inlineStr">
        <is>
          <t>Deploy DDM for production API endpoints exposing PII</t>
        </is>
      </c>
      <c r="D6" t="inlineStr">
        <is>
          <t>G-811-008</t>
        </is>
      </c>
      <c r="E6" t="inlineStr">
        <is>
          <t>Domain 3</t>
        </is>
      </c>
      <c r="F6" s="5" t="n"/>
      <c r="G6" s="5" t="n"/>
      <c r="H6" s="5" t="n"/>
      <c r="I6" s="5" t="n"/>
      <c r="J6" s="5" t="n"/>
      <c r="K6" t="n">
        <v>45</v>
      </c>
      <c r="L6" s="5" t="n"/>
      <c r="M6" s="5" t="n"/>
      <c r="N6" s="5" t="n"/>
    </row>
    <row r="7">
      <c r="A7" t="inlineStr">
        <is>
          <t>A-811-003</t>
        </is>
      </c>
      <c r="B7" s="33" t="inlineStr">
        <is>
          <t>P0-Critical</t>
        </is>
      </c>
      <c r="C7" t="inlineStr">
        <is>
          <t>Migrate masking keys from config files to HSM/KMS</t>
        </is>
      </c>
      <c r="D7" t="inlineStr">
        <is>
          <t>G-811-014</t>
        </is>
      </c>
      <c r="E7" t="inlineStr">
        <is>
          <t>Domain 2</t>
        </is>
      </c>
      <c r="F7" s="5" t="n"/>
      <c r="G7" s="5" t="n"/>
      <c r="H7" s="5" t="n"/>
      <c r="I7" s="5" t="n"/>
      <c r="J7" s="5" t="n"/>
      <c r="K7" t="n">
        <v>20</v>
      </c>
      <c r="L7" s="5" t="n"/>
      <c r="M7" s="5" t="n"/>
      <c r="N7" s="5" t="n"/>
    </row>
    <row r="8">
      <c r="A8" t="inlineStr">
        <is>
          <t>A-811-004</t>
        </is>
      </c>
      <c r="B8" s="32" t="inlineStr">
        <is>
          <t>P1-High</t>
        </is>
      </c>
      <c r="C8" t="inlineStr">
        <is>
          <t>Complete cloud system inventory (AWS, Azure, GCP)</t>
        </is>
      </c>
      <c r="D8" t="inlineStr">
        <is>
          <t>G-811-001</t>
        </is>
      </c>
      <c r="E8" t="inlineStr">
        <is>
          <t>Domain 1</t>
        </is>
      </c>
      <c r="F8" s="5" t="n"/>
      <c r="G8" s="5" t="n"/>
      <c r="H8" s="5" t="n"/>
      <c r="I8" s="5" t="n"/>
      <c r="J8" s="5" t="n"/>
      <c r="K8" t="n">
        <v>15</v>
      </c>
      <c r="L8" s="5" t="n"/>
      <c r="M8" s="5" t="n"/>
      <c r="N8" s="5" t="n"/>
    </row>
    <row r="9">
      <c r="A9" t="inlineStr">
        <is>
          <t>A-811-005</t>
        </is>
      </c>
      <c r="B9" s="32" t="inlineStr">
        <is>
          <t>P1-High</t>
        </is>
      </c>
      <c r="C9" t="inlineStr">
        <is>
          <t>Implement tokenization for payment card data</t>
        </is>
      </c>
      <c r="D9" t="inlineStr">
        <is>
          <t>G-811-004</t>
        </is>
      </c>
      <c r="E9" t="inlineStr">
        <is>
          <t>Domain 2</t>
        </is>
      </c>
      <c r="F9" s="5" t="n"/>
      <c r="G9" s="5" t="n"/>
      <c r="H9" s="5" t="n"/>
      <c r="I9" s="5" t="n"/>
      <c r="J9" s="5" t="n"/>
      <c r="K9" t="n">
        <v>60</v>
      </c>
      <c r="L9" s="5" t="n"/>
      <c r="M9" s="5" t="n"/>
      <c r="N9" s="5" t="n"/>
    </row>
    <row r="10">
      <c r="A10" t="inlineStr">
        <is>
          <t>A-811-006</t>
        </is>
      </c>
      <c r="B10" s="32" t="inlineStr">
        <is>
          <t>P1-High</t>
        </is>
      </c>
      <c r="C10" t="inlineStr">
        <is>
          <t>Encrypt all backup tapes and archives at rest</t>
        </is>
      </c>
      <c r="D10" t="inlineStr">
        <is>
          <t>G-811-009</t>
        </is>
      </c>
      <c r="E10" t="inlineStr">
        <is>
          <t>Domain 3</t>
        </is>
      </c>
      <c r="F10" s="5" t="n"/>
      <c r="G10" s="5" t="n"/>
      <c r="H10" s="5" t="n"/>
      <c r="I10" s="5" t="n"/>
      <c r="J10" s="5" t="n"/>
      <c r="K10" t="n">
        <v>30</v>
      </c>
      <c r="L10" s="5" t="n"/>
      <c r="M10" s="5" t="n"/>
      <c r="N10" s="5" t="n"/>
    </row>
    <row r="11">
      <c r="A11" t="inlineStr">
        <is>
          <t>A-811-007</t>
        </is>
      </c>
      <c r="B11" s="32" t="inlineStr">
        <is>
          <t>P1-High</t>
        </is>
      </c>
      <c r="C11" t="inlineStr">
        <is>
          <t>Implement automated schema drift detection</t>
        </is>
      </c>
      <c r="D11" t="inlineStr">
        <is>
          <t>G-811-013</t>
        </is>
      </c>
      <c r="E11" t="inlineStr">
        <is>
          <t>Domain 1</t>
        </is>
      </c>
      <c r="F11" s="5" t="n"/>
      <c r="G11" s="5" t="n"/>
      <c r="H11" s="5" t="n"/>
      <c r="I11" s="5" t="n"/>
      <c r="J11" s="5" t="n"/>
      <c r="K11" t="n">
        <v>45</v>
      </c>
      <c r="L11" s="5" t="n"/>
      <c r="M11" s="5" t="n"/>
      <c r="N11" s="5" t="n"/>
    </row>
    <row r="12">
      <c r="A12" t="inlineStr">
        <is>
          <t>A-811-008</t>
        </is>
      </c>
      <c r="B12" s="32" t="inlineStr">
        <is>
          <t>P1-High</t>
        </is>
      </c>
      <c r="C12" t="inlineStr">
        <is>
          <t>Mask vendor access views to customer PII</t>
        </is>
      </c>
      <c r="D12" t="inlineStr">
        <is>
          <t>G-811-016</t>
        </is>
      </c>
      <c r="E12" t="inlineStr">
        <is>
          <t>Domain 3</t>
        </is>
      </c>
      <c r="F12" s="5" t="n"/>
      <c r="G12" s="5" t="n"/>
      <c r="H12" s="5" t="n"/>
      <c r="I12" s="5" t="n"/>
      <c r="J12" s="5" t="n"/>
      <c r="K12" t="n">
        <v>30</v>
      </c>
      <c r="L12" s="5" t="n"/>
      <c r="M12" s="5" t="n"/>
      <c r="N12" s="5" t="n"/>
    </row>
    <row r="13">
      <c r="A13" t="inlineStr">
        <is>
          <t>A-811-009</t>
        </is>
      </c>
      <c r="B13" s="38" t="inlineStr">
        <is>
          <t>P2-Medium</t>
        </is>
      </c>
      <c r="C13" t="inlineStr">
        <is>
          <t>Classify credit card fields in 3 remaining databases</t>
        </is>
      </c>
      <c r="D13" t="inlineStr">
        <is>
          <t>G-811-002</t>
        </is>
      </c>
      <c r="E13" t="inlineStr">
        <is>
          <t>Domain 1</t>
        </is>
      </c>
      <c r="F13" s="5" t="n"/>
      <c r="G13" s="5" t="n"/>
      <c r="H13" s="5" t="n"/>
      <c r="I13" s="5" t="n"/>
      <c r="J13" s="5" t="n"/>
      <c r="K13" t="n">
        <v>10</v>
      </c>
      <c r="L13" s="5" t="n"/>
      <c r="M13" s="5" t="n"/>
      <c r="N13" s="5" t="n"/>
    </row>
    <row r="14">
      <c r="A14" t="inlineStr">
        <is>
          <t>A-811-010</t>
        </is>
      </c>
      <c r="B14" s="38" t="inlineStr">
        <is>
          <t>P2-Medium</t>
        </is>
      </c>
      <c r="C14" t="inlineStr">
        <is>
          <t>Assign data owners for 15% unassigned sensitive fields</t>
        </is>
      </c>
      <c r="D14" t="inlineStr">
        <is>
          <t>G-811-003</t>
        </is>
      </c>
      <c r="E14" t="inlineStr">
        <is>
          <t>Domain 1</t>
        </is>
      </c>
      <c r="F14" s="5" t="n"/>
      <c r="G14" s="5" t="n"/>
      <c r="H14" s="5" t="n"/>
      <c r="I14" s="5" t="n"/>
      <c r="J14" s="5" t="n"/>
      <c r="K14" t="n">
        <v>20</v>
      </c>
      <c r="L14" s="5" t="n"/>
      <c r="M14" s="5" t="n"/>
      <c r="N14" s="5" t="n"/>
    </row>
    <row r="15">
      <c r="A15" t="inlineStr">
        <is>
          <t>A-811-011</t>
        </is>
      </c>
      <c r="B15" s="38" t="inlineStr">
        <is>
          <t>P2-Medium</t>
        </is>
      </c>
      <c r="C15" t="inlineStr">
        <is>
          <t>Upgrade MD5 hashing to SHA-256 in legacy system</t>
        </is>
      </c>
      <c r="D15" t="inlineStr">
        <is>
          <t>G-811-005</t>
        </is>
      </c>
      <c r="E15" t="inlineStr">
        <is>
          <t>Domain 2</t>
        </is>
      </c>
      <c r="F15" s="5" t="n"/>
      <c r="G15" s="5" t="n"/>
      <c r="H15" s="5" t="n"/>
      <c r="I15" s="5" t="n"/>
      <c r="J15" s="5" t="n"/>
      <c r="K15" t="n">
        <v>40</v>
      </c>
      <c r="L15" s="5" t="n"/>
      <c r="M15" s="5" t="n"/>
      <c r="N15" s="5" t="n"/>
    </row>
    <row r="16">
      <c r="A16" t="inlineStr">
        <is>
          <t>A-811-012</t>
        </is>
      </c>
      <c r="B16" s="38" t="inlineStr">
        <is>
          <t>P2-Medium</t>
        </is>
      </c>
      <c r="C16" t="inlineStr">
        <is>
          <t>Implement masked data refresh for development DB</t>
        </is>
      </c>
      <c r="D16" t="inlineStr">
        <is>
          <t>G-811-007</t>
        </is>
      </c>
      <c r="E16" t="inlineStr">
        <is>
          <t>Domain 3</t>
        </is>
      </c>
      <c r="F16" s="5" t="n"/>
      <c r="G16" s="5" t="n"/>
      <c r="H16" s="5" t="n"/>
      <c r="I16" s="5" t="n"/>
      <c r="J16" s="5" t="n"/>
      <c r="K16" t="n">
        <v>25</v>
      </c>
      <c r="L16" s="5" t="n"/>
      <c r="M16" s="5" t="n"/>
      <c r="N16" s="5" t="n"/>
    </row>
    <row r="17">
      <c r="A17" t="inlineStr">
        <is>
          <t>A-811-013</t>
        </is>
      </c>
      <c r="B17" s="38" t="inlineStr">
        <is>
          <t>P2-Medium</t>
        </is>
      </c>
      <c r="C17" t="inlineStr">
        <is>
          <t>Increase automated test coverage to ≥95%</t>
        </is>
      </c>
      <c r="D17" t="inlineStr">
        <is>
          <t>G-811-010</t>
        </is>
      </c>
      <c r="E17" t="inlineStr">
        <is>
          <t>Domain 4</t>
        </is>
      </c>
      <c r="F17" s="5" t="n"/>
      <c r="G17" s="5" t="n"/>
      <c r="H17" s="5" t="n"/>
      <c r="I17" s="5" t="n"/>
      <c r="J17" s="5" t="n"/>
      <c r="K17" t="n">
        <v>60</v>
      </c>
      <c r="L17" s="5" t="n"/>
      <c r="M17" s="5" t="n"/>
      <c r="N17" s="5" t="n"/>
    </row>
    <row r="18">
      <c r="A18" t="inlineStr">
        <is>
          <t>A-811-014</t>
        </is>
      </c>
      <c r="B18" s="38" t="inlineStr">
        <is>
          <t>P2-Medium</t>
        </is>
      </c>
      <c r="C18" t="inlineStr">
        <is>
          <t>Implement re-identification testing via join attacks</t>
        </is>
      </c>
      <c r="D18" t="inlineStr">
        <is>
          <t>G-811-011</t>
        </is>
      </c>
      <c r="E18" t="inlineStr">
        <is>
          <t>Domain 4</t>
        </is>
      </c>
      <c r="F18" s="5" t="n"/>
      <c r="G18" s="5" t="n"/>
      <c r="H18" s="5" t="n"/>
      <c r="I18" s="5" t="n"/>
      <c r="J18" s="5" t="n"/>
      <c r="K18" t="n">
        <v>30</v>
      </c>
      <c r="L18" s="5" t="n"/>
      <c r="M18" s="5" t="n"/>
      <c r="N18" s="5" t="n"/>
    </row>
    <row r="19">
      <c r="A19" t="inlineStr">
        <is>
          <t>A-811-015</t>
        </is>
      </c>
      <c r="B19" s="38" t="inlineStr">
        <is>
          <t>P2-Medium</t>
        </is>
      </c>
      <c r="C19" t="inlineStr">
        <is>
          <t>Benchmark and optimize masking performance</t>
        </is>
      </c>
      <c r="D19" t="inlineStr">
        <is>
          <t>G-811-012</t>
        </is>
      </c>
      <c r="E19" t="inlineStr">
        <is>
          <t>Domain 4</t>
        </is>
      </c>
      <c r="F19" s="5" t="n"/>
      <c r="G19" s="5" t="n"/>
      <c r="H19" s="5" t="n"/>
      <c r="I19" s="5" t="n"/>
      <c r="J19" s="5" t="n"/>
      <c r="K19" t="n">
        <v>20</v>
      </c>
      <c r="L19" s="5" t="n"/>
      <c r="M19" s="5" t="n"/>
      <c r="N19" s="5" t="n"/>
    </row>
    <row r="20">
      <c r="A20" t="inlineStr">
        <is>
          <t>A-811-016</t>
        </is>
      </c>
      <c r="B20" s="38" t="inlineStr">
        <is>
          <t>P2-Medium</t>
        </is>
      </c>
      <c r="C20" t="inlineStr">
        <is>
          <t>Implement format-preserving masking for phone numbers</t>
        </is>
      </c>
      <c r="D20" t="inlineStr">
        <is>
          <t>G-811-019</t>
        </is>
      </c>
      <c r="E20" t="inlineStr">
        <is>
          <t>Domain 2</t>
        </is>
      </c>
      <c r="F20" s="5" t="n"/>
      <c r="G20" s="5" t="n"/>
      <c r="H20" s="5" t="n"/>
      <c r="I20" s="5" t="n"/>
      <c r="J20" s="5" t="n"/>
      <c r="K20" t="n">
        <v>15</v>
      </c>
      <c r="L20" s="5" t="n"/>
      <c r="M20" s="5" t="n"/>
      <c r="N20" s="5" t="n"/>
    </row>
    <row r="21">
      <c r="A21" t="inlineStr">
        <is>
          <t>A-811-017</t>
        </is>
      </c>
      <c r="B21" s="38" t="inlineStr">
        <is>
          <t>P2-Medium</t>
        </is>
      </c>
      <c r="C21" t="inlineStr">
        <is>
          <t>Complete GDPR Art. 32 mapping for 5 systems</t>
        </is>
      </c>
      <c r="D21" t="inlineStr">
        <is>
          <t>G-811-018</t>
        </is>
      </c>
      <c r="E21" t="inlineStr">
        <is>
          <t>Domain 1</t>
        </is>
      </c>
      <c r="F21" s="5" t="n"/>
      <c r="G21" s="5" t="n"/>
      <c r="H21" s="5" t="n"/>
      <c r="I21" s="5" t="n"/>
      <c r="J21" s="5" t="n"/>
      <c r="K21" t="n">
        <v>10</v>
      </c>
      <c r="L21" s="5" t="n"/>
      <c r="M21" s="5" t="n"/>
      <c r="N21" s="5" t="n"/>
    </row>
    <row r="22">
      <c r="A22" t="inlineStr">
        <is>
          <t>A-811-018</t>
        </is>
      </c>
      <c r="B22" t="inlineStr">
        <is>
          <t>P3-Low</t>
        </is>
      </c>
      <c r="C22" t="inlineStr">
        <is>
          <t>Mask Azure DevOps test data pipelines</t>
        </is>
      </c>
      <c r="D22" t="inlineStr">
        <is>
          <t>G-811-015</t>
        </is>
      </c>
      <c r="E22" t="inlineStr">
        <is>
          <t>Domain 3</t>
        </is>
      </c>
      <c r="F22" s="5" t="n"/>
      <c r="G22" s="5" t="n"/>
      <c r="H22" s="5" t="n"/>
      <c r="I22" s="5" t="n"/>
      <c r="J22" s="5" t="n"/>
      <c r="K22" t="n">
        <v>15</v>
      </c>
      <c r="L22" s="5" t="n"/>
      <c r="M22" s="5" t="n"/>
      <c r="N22" s="5" t="n"/>
    </row>
    <row r="23">
      <c r="A23" t="inlineStr">
        <is>
          <t>A-811-019</t>
        </is>
      </c>
      <c r="B23" t="inlineStr">
        <is>
          <t>P3-Low</t>
        </is>
      </c>
      <c r="C23" t="inlineStr">
        <is>
          <t>Implement 2-year evidence retention policy</t>
        </is>
      </c>
      <c r="D23" t="inlineStr">
        <is>
          <t>G-811-020</t>
        </is>
      </c>
      <c r="E23" t="inlineStr">
        <is>
          <t>Domain 4</t>
        </is>
      </c>
      <c r="F23" s="5" t="n"/>
      <c r="G23" s="5" t="n"/>
      <c r="H23" s="5" t="n"/>
      <c r="I23" s="5" t="n"/>
      <c r="J23" s="5" t="n"/>
      <c r="K23" t="n">
        <v>10</v>
      </c>
      <c r="L23" s="5" t="n"/>
      <c r="M23" s="5" t="n"/>
      <c r="N23" s="5" t="n"/>
    </row>
    <row r="24">
      <c r="A24" t="inlineStr">
        <is>
          <t>A-811-020</t>
        </is>
      </c>
      <c r="B24" t="inlineStr">
        <is>
          <t>P3-Low</t>
        </is>
      </c>
      <c r="C24" t="inlineStr">
        <is>
          <t>Reduce over-masking to improve analytics utility</t>
        </is>
      </c>
      <c r="D24" t="inlineStr">
        <is>
          <t>G-811-017</t>
        </is>
      </c>
      <c r="E24" t="inlineStr">
        <is>
          <t>Domain 2</t>
        </is>
      </c>
      <c r="F24" s="5" t="n"/>
      <c r="G24" s="5" t="n"/>
      <c r="H24" s="5" t="n"/>
      <c r="I24" s="5" t="n"/>
      <c r="J24" s="5" t="n"/>
      <c r="K24" t="n">
        <v>30</v>
      </c>
      <c r="L24" s="5" t="n"/>
      <c r="M24" s="5" t="n"/>
      <c r="N24" s="5" t="n"/>
    </row>
    <row r="25">
      <c r="A25" t="inlineStr">
        <is>
          <t>A-811-021</t>
        </is>
      </c>
      <c r="B25" s="32" t="inlineStr">
        <is>
          <t>P1-High</t>
        </is>
      </c>
      <c r="C25" t="inlineStr">
        <is>
          <t>Deploy automated masking validation checks</t>
        </is>
      </c>
      <c r="D25" t="inlineStr">
        <is>
          <t>R-811-008</t>
        </is>
      </c>
      <c r="E25" t="inlineStr">
        <is>
          <t>Domain 3</t>
        </is>
      </c>
      <c r="F25" s="5" t="n"/>
      <c r="G25" s="5" t="n"/>
      <c r="H25" s="5" t="n"/>
      <c r="I25" s="5" t="n"/>
      <c r="J25" s="5" t="n"/>
      <c r="K25" t="n">
        <v>20</v>
      </c>
      <c r="L25" s="5" t="n"/>
      <c r="M25" s="5" t="n"/>
      <c r="N25" s="5" t="n"/>
    </row>
    <row r="26">
      <c r="A26" t="inlineStr">
        <is>
          <t>A-811-022</t>
        </is>
      </c>
      <c r="B26" s="32" t="inlineStr">
        <is>
          <t>P1-High</t>
        </is>
      </c>
      <c r="C26" t="inlineStr">
        <is>
          <t>Implement cloud security posture management</t>
        </is>
      </c>
      <c r="D26" t="inlineStr">
        <is>
          <t>R-811-014</t>
        </is>
      </c>
      <c r="E26" t="inlineStr">
        <is>
          <t>Domain 3</t>
        </is>
      </c>
      <c r="F26" s="5" t="n"/>
      <c r="G26" s="5" t="n"/>
      <c r="H26" s="5" t="n"/>
      <c r="I26" s="5" t="n"/>
      <c r="J26" s="5" t="n"/>
      <c r="K26" t="n">
        <v>30</v>
      </c>
      <c r="L26" s="5" t="n"/>
      <c r="M26" s="5" t="n"/>
      <c r="N26" s="5" t="n"/>
    </row>
    <row r="27">
      <c r="A27" t="inlineStr">
        <is>
          <t>A-811-023</t>
        </is>
      </c>
      <c r="B27" s="38" t="inlineStr">
        <is>
          <t>P2-Medium</t>
        </is>
      </c>
      <c r="C27" t="inlineStr">
        <is>
          <t>Establish privileged access management for DBAs</t>
        </is>
      </c>
      <c r="D27" t="inlineStr">
        <is>
          <t>R-811-019</t>
        </is>
      </c>
      <c r="E27" t="inlineStr">
        <is>
          <t>Domain 3</t>
        </is>
      </c>
      <c r="F27" s="5" t="n"/>
      <c r="G27" s="5" t="n"/>
      <c r="H27" s="5" t="n"/>
      <c r="I27" s="5" t="n"/>
      <c r="J27" s="5" t="n"/>
      <c r="K27" t="n">
        <v>45</v>
      </c>
      <c r="L27" s="5" t="n"/>
      <c r="M27" s="5" t="n"/>
      <c r="N27" s="5" t="n"/>
    </row>
    <row r="28">
      <c r="A28" t="inlineStr">
        <is>
          <t>A-811-024</t>
        </is>
      </c>
      <c r="B28" s="38" t="inlineStr">
        <is>
          <t>P2-Medium</t>
        </is>
      </c>
      <c r="C28" t="inlineStr">
        <is>
          <t>Implement synthetic test data generation</t>
        </is>
      </c>
      <c r="D28" t="inlineStr">
        <is>
          <t>R-811-020</t>
        </is>
      </c>
      <c r="E28" t="inlineStr">
        <is>
          <t>Domain 3</t>
        </is>
      </c>
      <c r="F28" s="5" t="n"/>
      <c r="G28" s="5" t="n"/>
      <c r="H28" s="5" t="n"/>
      <c r="I28" s="5" t="n"/>
      <c r="J28" s="5" t="n"/>
      <c r="K28" t="n">
        <v>60</v>
      </c>
      <c r="L28" s="5" t="n"/>
      <c r="M28" s="5" t="n"/>
      <c r="N28" s="5" t="n"/>
    </row>
    <row r="29">
      <c r="A29" t="inlineStr">
        <is>
          <t>A-811-025</t>
        </is>
      </c>
      <c r="B29" s="38" t="inlineStr">
        <is>
          <t>P2-Medium</t>
        </is>
      </c>
      <c r="C29" t="inlineStr">
        <is>
          <t>Create disaster recovery procedures for token vault</t>
        </is>
      </c>
      <c r="D29" t="inlineStr">
        <is>
          <t>R-811-016</t>
        </is>
      </c>
      <c r="E29" t="inlineStr">
        <is>
          <t>Domain 2</t>
        </is>
      </c>
      <c r="F29" s="5" t="n"/>
      <c r="G29" s="5" t="n"/>
      <c r="H29" s="5" t="n"/>
      <c r="I29" s="5" t="n"/>
      <c r="J29" s="5" t="n"/>
      <c r="K29" t="n">
        <v>20</v>
      </c>
      <c r="L29" s="5" t="n"/>
      <c r="M29" s="5" t="n"/>
      <c r="N29" s="5" t="n"/>
    </row>
    <row r="30">
      <c r="A30" s="5" t="n"/>
      <c r="B30" s="5" t="n"/>
      <c r="C30" s="5" t="n"/>
      <c r="D30" s="5" t="n"/>
      <c r="E30" s="5" t="n"/>
      <c r="F30" s="5" t="n"/>
      <c r="G30" s="5" t="n"/>
      <c r="H30" s="5" t="n"/>
      <c r="I30" s="5" t="n"/>
      <c r="J30" s="5" t="n"/>
      <c r="K30" s="5" t="n"/>
      <c r="L30" s="5" t="n"/>
      <c r="M30" s="5" t="n"/>
      <c r="N30" s="5" t="n"/>
    </row>
    <row r="31">
      <c r="A31" s="5" t="n"/>
      <c r="B31" s="5" t="n"/>
      <c r="C31" s="5" t="n"/>
      <c r="D31" s="5" t="n"/>
      <c r="E31" s="5" t="n"/>
      <c r="F31" s="5" t="n"/>
      <c r="G31" s="5" t="n"/>
      <c r="H31" s="5" t="n"/>
      <c r="I31" s="5" t="n"/>
      <c r="J31" s="5" t="n"/>
      <c r="K31" s="5" t="n"/>
      <c r="L31" s="5" t="n"/>
      <c r="M31" s="5" t="n"/>
      <c r="N31" s="5" t="n"/>
    </row>
    <row r="32">
      <c r="A32" s="5" t="n"/>
      <c r="B32" s="5" t="n"/>
      <c r="C32" s="5" t="n"/>
      <c r="D32" s="5" t="n"/>
      <c r="E32" s="5" t="n"/>
      <c r="F32" s="5" t="n"/>
      <c r="G32" s="5" t="n"/>
      <c r="H32" s="5" t="n"/>
      <c r="I32" s="5" t="n"/>
      <c r="J32" s="5" t="n"/>
      <c r="K32" s="5" t="n"/>
      <c r="L32" s="5" t="n"/>
      <c r="M32" s="5" t="n"/>
      <c r="N32" s="5" t="n"/>
    </row>
    <row r="33">
      <c r="A33" s="5" t="n"/>
      <c r="B33" s="5" t="n"/>
      <c r="C33" s="5" t="n"/>
      <c r="D33" s="5" t="n"/>
      <c r="E33" s="5" t="n"/>
      <c r="F33" s="5" t="n"/>
      <c r="G33" s="5" t="n"/>
      <c r="H33" s="5" t="n"/>
      <c r="I33" s="5" t="n"/>
      <c r="J33" s="5" t="n"/>
      <c r="K33" s="5" t="n"/>
      <c r="L33" s="5" t="n"/>
      <c r="M33" s="5" t="n"/>
      <c r="N33" s="5" t="n"/>
    </row>
    <row r="34">
      <c r="A34" s="5" t="n"/>
      <c r="B34" s="5" t="n"/>
      <c r="C34" s="5" t="n"/>
      <c r="D34" s="5" t="n"/>
      <c r="E34" s="5" t="n"/>
      <c r="F34" s="5" t="n"/>
      <c r="G34" s="5" t="n"/>
      <c r="H34" s="5" t="n"/>
      <c r="I34" s="5" t="n"/>
      <c r="J34" s="5" t="n"/>
      <c r="K34" s="5" t="n"/>
      <c r="L34" s="5" t="n"/>
      <c r="M34" s="5" t="n"/>
      <c r="N34" s="5" t="n"/>
    </row>
    <row r="35">
      <c r="A35" s="5" t="n"/>
      <c r="B35" s="5" t="n"/>
      <c r="C35" s="5" t="n"/>
      <c r="D35" s="5" t="n"/>
      <c r="E35" s="5" t="n"/>
      <c r="F35" s="5" t="n"/>
      <c r="G35" s="5" t="n"/>
      <c r="H35" s="5" t="n"/>
      <c r="I35" s="5" t="n"/>
      <c r="J35" s="5" t="n"/>
      <c r="K35" s="5" t="n"/>
      <c r="L35" s="5" t="n"/>
      <c r="M35" s="5" t="n"/>
      <c r="N35" s="5" t="n"/>
    </row>
    <row r="36">
      <c r="A36" s="5" t="n"/>
      <c r="B36" s="5" t="n"/>
      <c r="C36" s="5" t="n"/>
      <c r="D36" s="5" t="n"/>
      <c r="E36" s="5" t="n"/>
      <c r="F36" s="5" t="n"/>
      <c r="G36" s="5" t="n"/>
      <c r="H36" s="5" t="n"/>
      <c r="I36" s="5" t="n"/>
      <c r="J36" s="5" t="n"/>
      <c r="K36" s="5" t="n"/>
      <c r="L36" s="5" t="n"/>
      <c r="M36" s="5" t="n"/>
      <c r="N36" s="5" t="n"/>
    </row>
    <row r="37">
      <c r="A37" s="5" t="n"/>
      <c r="B37" s="5" t="n"/>
      <c r="C37" s="5" t="n"/>
      <c r="D37" s="5" t="n"/>
      <c r="E37" s="5" t="n"/>
      <c r="F37" s="5" t="n"/>
      <c r="G37" s="5" t="n"/>
      <c r="H37" s="5" t="n"/>
      <c r="I37" s="5" t="n"/>
      <c r="J37" s="5" t="n"/>
      <c r="K37" s="5" t="n"/>
      <c r="L37" s="5" t="n"/>
      <c r="M37" s="5" t="n"/>
      <c r="N37" s="5" t="n"/>
    </row>
    <row r="38">
      <c r="A38" s="5" t="n"/>
      <c r="B38" s="5" t="n"/>
      <c r="C38" s="5" t="n"/>
      <c r="D38" s="5" t="n"/>
      <c r="E38" s="5" t="n"/>
      <c r="F38" s="5" t="n"/>
      <c r="G38" s="5" t="n"/>
      <c r="H38" s="5" t="n"/>
      <c r="I38" s="5" t="n"/>
      <c r="J38" s="5" t="n"/>
      <c r="K38" s="5" t="n"/>
      <c r="L38" s="5" t="n"/>
      <c r="M38" s="5" t="n"/>
      <c r="N38" s="5" t="n"/>
    </row>
    <row r="39">
      <c r="A39" s="5" t="n"/>
      <c r="B39" s="5" t="n"/>
      <c r="C39" s="5" t="n"/>
      <c r="D39" s="5" t="n"/>
      <c r="E39" s="5" t="n"/>
      <c r="F39" s="5" t="n"/>
      <c r="G39" s="5" t="n"/>
      <c r="H39" s="5" t="n"/>
      <c r="I39" s="5" t="n"/>
      <c r="J39" s="5" t="n"/>
      <c r="K39" s="5" t="n"/>
      <c r="L39" s="5" t="n"/>
      <c r="M39" s="5" t="n"/>
      <c r="N39" s="5" t="n"/>
    </row>
    <row r="40">
      <c r="A40" s="5" t="n"/>
      <c r="B40" s="5" t="n"/>
      <c r="C40" s="5" t="n"/>
      <c r="D40" s="5" t="n"/>
      <c r="E40" s="5" t="n"/>
      <c r="F40" s="5" t="n"/>
      <c r="G40" s="5" t="n"/>
      <c r="H40" s="5" t="n"/>
      <c r="I40" s="5" t="n"/>
      <c r="J40" s="5" t="n"/>
      <c r="K40" s="5" t="n"/>
      <c r="L40" s="5" t="n"/>
      <c r="M40" s="5" t="n"/>
      <c r="N40" s="5" t="n"/>
    </row>
    <row r="41">
      <c r="A41" s="5" t="n"/>
      <c r="B41" s="5" t="n"/>
      <c r="C41" s="5" t="n"/>
      <c r="D41" s="5" t="n"/>
      <c r="E41" s="5" t="n"/>
      <c r="F41" s="5" t="n"/>
      <c r="G41" s="5" t="n"/>
      <c r="H41" s="5" t="n"/>
      <c r="I41" s="5" t="n"/>
      <c r="J41" s="5" t="n"/>
      <c r="K41" s="5" t="n"/>
      <c r="L41" s="5" t="n"/>
      <c r="M41" s="5" t="n"/>
      <c r="N41" s="5" t="n"/>
    </row>
    <row r="42">
      <c r="A42" s="5" t="n"/>
      <c r="B42" s="5" t="n"/>
      <c r="C42" s="5" t="n"/>
      <c r="D42" s="5" t="n"/>
      <c r="E42" s="5" t="n"/>
      <c r="F42" s="5" t="n"/>
      <c r="G42" s="5" t="n"/>
      <c r="H42" s="5" t="n"/>
      <c r="I42" s="5" t="n"/>
      <c r="J42" s="5" t="n"/>
      <c r="K42" s="5" t="n"/>
      <c r="L42" s="5" t="n"/>
      <c r="M42" s="5" t="n"/>
      <c r="N42" s="5" t="n"/>
    </row>
    <row r="43">
      <c r="A43" s="5" t="n"/>
      <c r="B43" s="5" t="n"/>
      <c r="C43" s="5" t="n"/>
      <c r="D43" s="5" t="n"/>
      <c r="E43" s="5" t="n"/>
      <c r="F43" s="5" t="n"/>
      <c r="G43" s="5" t="n"/>
      <c r="H43" s="5" t="n"/>
      <c r="I43" s="5" t="n"/>
      <c r="J43" s="5" t="n"/>
      <c r="K43" s="5" t="n"/>
      <c r="L43" s="5" t="n"/>
      <c r="M43" s="5" t="n"/>
      <c r="N43" s="5" t="n"/>
    </row>
    <row r="44">
      <c r="A44" s="5" t="n"/>
      <c r="B44" s="5" t="n"/>
      <c r="C44" s="5" t="n"/>
      <c r="D44" s="5" t="n"/>
      <c r="E44" s="5" t="n"/>
      <c r="F44" s="5" t="n"/>
      <c r="G44" s="5" t="n"/>
      <c r="H44" s="5" t="n"/>
      <c r="I44" s="5" t="n"/>
      <c r="J44" s="5" t="n"/>
      <c r="K44" s="5" t="n"/>
      <c r="L44" s="5" t="n"/>
      <c r="M44" s="5" t="n"/>
      <c r="N44" s="5" t="n"/>
    </row>
    <row r="45">
      <c r="A45" s="5" t="n"/>
      <c r="B45" s="5" t="n"/>
      <c r="C45" s="5" t="n"/>
      <c r="D45" s="5" t="n"/>
      <c r="E45" s="5" t="n"/>
      <c r="F45" s="5" t="n"/>
      <c r="G45" s="5" t="n"/>
      <c r="H45" s="5" t="n"/>
      <c r="I45" s="5" t="n"/>
      <c r="J45" s="5" t="n"/>
      <c r="K45" s="5" t="n"/>
      <c r="L45" s="5" t="n"/>
      <c r="M45" s="5" t="n"/>
      <c r="N45" s="5" t="n"/>
    </row>
    <row r="46">
      <c r="A46" s="5" t="n"/>
      <c r="B46" s="5" t="n"/>
      <c r="C46" s="5" t="n"/>
      <c r="D46" s="5" t="n"/>
      <c r="E46" s="5" t="n"/>
      <c r="F46" s="5" t="n"/>
      <c r="G46" s="5" t="n"/>
      <c r="H46" s="5" t="n"/>
      <c r="I46" s="5" t="n"/>
      <c r="J46" s="5" t="n"/>
      <c r="K46" s="5" t="n"/>
      <c r="L46" s="5" t="n"/>
      <c r="M46" s="5" t="n"/>
      <c r="N46" s="5" t="n"/>
    </row>
    <row r="47">
      <c r="A47" s="5" t="n"/>
      <c r="B47" s="5" t="n"/>
      <c r="C47" s="5" t="n"/>
      <c r="D47" s="5" t="n"/>
      <c r="E47" s="5" t="n"/>
      <c r="F47" s="5" t="n"/>
      <c r="G47" s="5" t="n"/>
      <c r="H47" s="5" t="n"/>
      <c r="I47" s="5" t="n"/>
      <c r="J47" s="5" t="n"/>
      <c r="K47" s="5" t="n"/>
      <c r="L47" s="5" t="n"/>
      <c r="M47" s="5" t="n"/>
      <c r="N47" s="5" t="n"/>
    </row>
    <row r="48">
      <c r="A48" s="5" t="n"/>
      <c r="B48" s="5" t="n"/>
      <c r="C48" s="5" t="n"/>
      <c r="D48" s="5" t="n"/>
      <c r="E48" s="5" t="n"/>
      <c r="F48" s="5" t="n"/>
      <c r="G48" s="5" t="n"/>
      <c r="H48" s="5" t="n"/>
      <c r="I48" s="5" t="n"/>
      <c r="J48" s="5" t="n"/>
      <c r="K48" s="5" t="n"/>
      <c r="L48" s="5" t="n"/>
      <c r="M48" s="5" t="n"/>
      <c r="N48" s="5" t="n"/>
    </row>
    <row r="49">
      <c r="A49" s="5" t="n"/>
      <c r="B49" s="5" t="n"/>
      <c r="C49" s="5" t="n"/>
      <c r="D49" s="5" t="n"/>
      <c r="E49" s="5" t="n"/>
      <c r="F49" s="5" t="n"/>
      <c r="G49" s="5" t="n"/>
      <c r="H49" s="5" t="n"/>
      <c r="I49" s="5" t="n"/>
      <c r="J49" s="5" t="n"/>
      <c r="K49" s="5" t="n"/>
      <c r="L49" s="5" t="n"/>
      <c r="M49" s="5" t="n"/>
      <c r="N49" s="5" t="n"/>
    </row>
    <row r="50">
      <c r="A50" s="5" t="n"/>
      <c r="B50" s="5" t="n"/>
      <c r="C50" s="5" t="n"/>
      <c r="D50" s="5" t="n"/>
      <c r="E50" s="5" t="n"/>
      <c r="F50" s="5" t="n"/>
      <c r="G50" s="5" t="n"/>
      <c r="H50" s="5" t="n"/>
      <c r="I50" s="5" t="n"/>
      <c r="J50" s="5" t="n"/>
      <c r="K50" s="5" t="n"/>
      <c r="L50" s="5" t="n"/>
      <c r="M50" s="5" t="n"/>
      <c r="N50" s="5" t="n"/>
    </row>
    <row r="51">
      <c r="A51" s="5" t="n"/>
      <c r="B51" s="5" t="n"/>
      <c r="C51" s="5" t="n"/>
      <c r="D51" s="5" t="n"/>
      <c r="E51" s="5" t="n"/>
      <c r="F51" s="5" t="n"/>
      <c r="G51" s="5" t="n"/>
      <c r="H51" s="5" t="n"/>
      <c r="I51" s="5" t="n"/>
      <c r="J51" s="5" t="n"/>
      <c r="K51" s="5" t="n"/>
      <c r="L51" s="5" t="n"/>
      <c r="M51" s="5" t="n"/>
      <c r="N51" s="5" t="n"/>
    </row>
    <row r="52">
      <c r="A52" s="5" t="n"/>
      <c r="B52" s="5" t="n"/>
      <c r="C52" s="5" t="n"/>
      <c r="D52" s="5" t="n"/>
      <c r="E52" s="5" t="n"/>
      <c r="F52" s="5" t="n"/>
      <c r="G52" s="5" t="n"/>
      <c r="H52" s="5" t="n"/>
      <c r="I52" s="5" t="n"/>
      <c r="J52" s="5" t="n"/>
      <c r="K52" s="5" t="n"/>
      <c r="L52" s="5" t="n"/>
      <c r="M52" s="5" t="n"/>
      <c r="N52" s="5" t="n"/>
    </row>
    <row r="53">
      <c r="A53" s="5" t="n"/>
      <c r="B53" s="5" t="n"/>
      <c r="C53" s="5" t="n"/>
      <c r="D53" s="5" t="n"/>
      <c r="E53" s="5" t="n"/>
      <c r="F53" s="5" t="n"/>
      <c r="G53" s="5" t="n"/>
      <c r="H53" s="5" t="n"/>
      <c r="I53" s="5" t="n"/>
      <c r="J53" s="5" t="n"/>
      <c r="K53" s="5" t="n"/>
      <c r="L53" s="5" t="n"/>
      <c r="M53" s="5" t="n"/>
      <c r="N53" s="5" t="n"/>
    </row>
    <row r="54">
      <c r="A54" s="5" t="n"/>
      <c r="B54" s="5" t="n"/>
      <c r="C54" s="5" t="n"/>
      <c r="D54" s="5" t="n"/>
      <c r="E54" s="5" t="n"/>
      <c r="F54" s="5" t="n"/>
      <c r="G54" s="5" t="n"/>
      <c r="H54" s="5" t="n"/>
      <c r="I54" s="5" t="n"/>
      <c r="J54" s="5" t="n"/>
      <c r="K54" s="5" t="n"/>
      <c r="L54" s="5" t="n"/>
      <c r="M54" s="5" t="n"/>
      <c r="N54" s="5" t="n"/>
    </row>
  </sheetData>
  <mergeCells count="2">
    <mergeCell ref="A2:N2"/>
    <mergeCell ref="A1:N1"/>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0" type="list">
      <formula1>"P0-Critical,P1-High,P2-Medium,P3-Low"</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"Not Started,In Progress,Completed,Blocked,Cancelled"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22" customWidth="1" min="3" max="3"/>
    <col width="40" customWidth="1" min="4" max="4"/>
    <col width="25" customWidth="1" min="5" max="5"/>
    <col width="35" customWidth="1" min="6" max="6"/>
    <col width="15" customWidth="1" min="7" max="7"/>
    <col width="20" customWidth="1" min="8" max="8"/>
    <col width="18" customWidth="1" min="9" max="9"/>
    <col width="30" customWidth="1" min="10" max="10"/>
  </cols>
  <sheetData>
    <row r="1" ht="40" customHeight="1">
      <c r="A1" s="1" t="inlineStr">
        <is>
          <t>EVIDENCE MASTER INDEX - ALL DOMAINS</t>
        </is>
      </c>
    </row>
    <row r="2" ht="25" customHeight="1">
      <c r="A2" s="2" t="inlineStr">
        <is>
          <t>Centralized audit trail for all compliance evidence across all domains (100 entries)</t>
        </is>
      </c>
    </row>
    <row r="3">
      <c r="A3" s="18" t="inlineStr">
        <is>
          <t>Evidence ID</t>
        </is>
      </c>
      <c r="B3" s="18" t="inlineStr">
        <is>
          <t>Domain</t>
        </is>
      </c>
      <c r="C3" s="18" t="inlineStr">
        <is>
          <t>Evidence Type</t>
        </is>
      </c>
      <c r="D3" s="18" t="inlineStr">
        <is>
          <t>Description</t>
        </is>
      </c>
      <c r="E3" s="18" t="inlineStr">
        <is>
          <t>Related Assessment</t>
        </is>
      </c>
      <c r="F3" s="18" t="inlineStr">
        <is>
          <t>Document Name/Link</t>
        </is>
      </c>
      <c r="G3" s="18" t="inlineStr">
        <is>
          <t>Date Created</t>
        </is>
      </c>
      <c r="H3" s="18" t="inlineStr">
        <is>
          <t>Owner</t>
        </is>
      </c>
      <c r="I3" s="18" t="inlineStr">
        <is>
          <t>Retention Period</t>
        </is>
      </c>
      <c r="J3" s="18" t="inlineStr">
        <is>
          <t>Location</t>
        </is>
      </c>
    </row>
    <row r="5">
      <c r="A5" s="5" t="n"/>
      <c r="B5" s="5" t="n"/>
      <c r="C5" s="5" t="n"/>
      <c r="D5" s="5" t="n"/>
      <c r="E5" s="5" t="n"/>
      <c r="F5" s="5" t="n"/>
      <c r="G5" s="5" t="n"/>
      <c r="H5" s="5" t="n"/>
      <c r="I5" s="5" t="n"/>
      <c r="J5" s="5" t="n"/>
    </row>
    <row r="6">
      <c r="A6" s="5" t="n"/>
      <c r="B6" s="5" t="n"/>
      <c r="C6" s="5" t="n"/>
      <c r="D6" s="5" t="n"/>
      <c r="E6" s="5" t="n"/>
      <c r="F6" s="5" t="n"/>
      <c r="G6" s="5" t="n"/>
      <c r="H6" s="5" t="n"/>
      <c r="I6" s="5" t="n"/>
      <c r="J6" s="5" t="n"/>
    </row>
    <row r="7">
      <c r="A7" s="5" t="n"/>
      <c r="B7" s="5" t="n"/>
      <c r="C7" s="5" t="n"/>
      <c r="D7" s="5" t="n"/>
      <c r="E7" s="5" t="n"/>
      <c r="F7" s="5" t="n"/>
      <c r="G7" s="5" t="n"/>
      <c r="H7" s="5" t="n"/>
      <c r="I7" s="5" t="n"/>
      <c r="J7" s="5" t="n"/>
    </row>
    <row r="8">
      <c r="A8" s="5" t="n"/>
      <c r="B8" s="5" t="n"/>
      <c r="C8" s="5" t="n"/>
      <c r="D8" s="5" t="n"/>
      <c r="E8" s="5" t="n"/>
      <c r="F8" s="5" t="n"/>
      <c r="G8" s="5" t="n"/>
      <c r="H8" s="5" t="n"/>
      <c r="I8" s="5" t="n"/>
      <c r="J8" s="5" t="n"/>
    </row>
    <row r="9">
      <c r="A9" s="5" t="n"/>
      <c r="B9" s="5" t="n"/>
      <c r="C9" s="5" t="n"/>
      <c r="D9" s="5" t="n"/>
      <c r="E9" s="5" t="n"/>
      <c r="F9" s="5" t="n"/>
      <c r="G9" s="5" t="n"/>
      <c r="H9" s="5" t="n"/>
      <c r="I9" s="5" t="n"/>
      <c r="J9" s="5" t="n"/>
    </row>
    <row r="10">
      <c r="A10" s="5" t="n"/>
      <c r="B10" s="5" t="n"/>
      <c r="C10" s="5" t="n"/>
      <c r="D10" s="5" t="n"/>
      <c r="E10" s="5" t="n"/>
      <c r="F10" s="5" t="n"/>
      <c r="G10" s="5" t="n"/>
      <c r="H10" s="5" t="n"/>
      <c r="I10" s="5" t="n"/>
      <c r="J10" s="5" t="n"/>
    </row>
    <row r="11">
      <c r="A11" s="5" t="n"/>
      <c r="B11" s="5" t="n"/>
      <c r="C11" s="5" t="n"/>
      <c r="D11" s="5" t="n"/>
      <c r="E11" s="5" t="n"/>
      <c r="F11" s="5" t="n"/>
      <c r="G11" s="5" t="n"/>
      <c r="H11" s="5" t="n"/>
      <c r="I11" s="5" t="n"/>
      <c r="J11" s="5" t="n"/>
    </row>
    <row r="12">
      <c r="A12" s="5" t="n"/>
      <c r="B12" s="5" t="n"/>
      <c r="C12" s="5" t="n"/>
      <c r="D12" s="5" t="n"/>
      <c r="E12" s="5" t="n"/>
      <c r="F12" s="5" t="n"/>
      <c r="G12" s="5" t="n"/>
      <c r="H12" s="5" t="n"/>
      <c r="I12" s="5" t="n"/>
      <c r="J12" s="5" t="n"/>
    </row>
    <row r="13">
      <c r="A13" s="5" t="n"/>
      <c r="B13" s="5" t="n"/>
      <c r="C13" s="5" t="n"/>
      <c r="D13" s="5" t="n"/>
      <c r="E13" s="5" t="n"/>
      <c r="F13" s="5" t="n"/>
      <c r="G13" s="5" t="n"/>
      <c r="H13" s="5" t="n"/>
      <c r="I13" s="5" t="n"/>
      <c r="J13" s="5" t="n"/>
    </row>
    <row r="14">
      <c r="A14" s="5" t="n"/>
      <c r="B14" s="5" t="n"/>
      <c r="C14" s="5" t="n"/>
      <c r="D14" s="5" t="n"/>
      <c r="E14" s="5" t="n"/>
      <c r="F14" s="5" t="n"/>
      <c r="G14" s="5" t="n"/>
      <c r="H14" s="5" t="n"/>
      <c r="I14" s="5" t="n"/>
      <c r="J14" s="5" t="n"/>
    </row>
    <row r="15">
      <c r="A15" s="5" t="n"/>
      <c r="B15" s="5" t="n"/>
      <c r="C15" s="5" t="n"/>
      <c r="D15" s="5" t="n"/>
      <c r="E15" s="5" t="n"/>
      <c r="F15" s="5" t="n"/>
      <c r="G15" s="5" t="n"/>
      <c r="H15" s="5" t="n"/>
      <c r="I15" s="5" t="n"/>
      <c r="J15" s="5" t="n"/>
    </row>
    <row r="16">
      <c r="A16" s="5" t="n"/>
      <c r="B16" s="5" t="n"/>
      <c r="C16" s="5" t="n"/>
      <c r="D16" s="5" t="n"/>
      <c r="E16" s="5" t="n"/>
      <c r="F16" s="5" t="n"/>
      <c r="G16" s="5" t="n"/>
      <c r="H16" s="5" t="n"/>
      <c r="I16" s="5" t="n"/>
      <c r="J16" s="5" t="n"/>
    </row>
    <row r="17">
      <c r="A17" s="5" t="n"/>
      <c r="B17" s="5" t="n"/>
      <c r="C17" s="5" t="n"/>
      <c r="D17" s="5" t="n"/>
      <c r="E17" s="5" t="n"/>
      <c r="F17" s="5" t="n"/>
      <c r="G17" s="5" t="n"/>
      <c r="H17" s="5" t="n"/>
      <c r="I17" s="5" t="n"/>
      <c r="J17" s="5" t="n"/>
    </row>
    <row r="18">
      <c r="A18" s="5" t="n"/>
      <c r="B18" s="5" t="n"/>
      <c r="C18" s="5" t="n"/>
      <c r="D18" s="5" t="n"/>
      <c r="E18" s="5" t="n"/>
      <c r="F18" s="5" t="n"/>
      <c r="G18" s="5" t="n"/>
      <c r="H18" s="5" t="n"/>
      <c r="I18" s="5" t="n"/>
      <c r="J18" s="5" t="n"/>
    </row>
    <row r="19">
      <c r="A19" s="5" t="n"/>
      <c r="B19" s="5" t="n"/>
      <c r="C19" s="5" t="n"/>
      <c r="D19" s="5" t="n"/>
      <c r="E19" s="5" t="n"/>
      <c r="F19" s="5" t="n"/>
      <c r="G19" s="5" t="n"/>
      <c r="H19" s="5" t="n"/>
      <c r="I19" s="5" t="n"/>
      <c r="J19" s="5" t="n"/>
    </row>
    <row r="20">
      <c r="A20" s="5" t="n"/>
      <c r="B20" s="5" t="n"/>
      <c r="C20" s="5" t="n"/>
      <c r="D20" s="5" t="n"/>
      <c r="E20" s="5" t="n"/>
      <c r="F20" s="5" t="n"/>
      <c r="G20" s="5" t="n"/>
      <c r="H20" s="5" t="n"/>
      <c r="I20" s="5" t="n"/>
      <c r="J20" s="5" t="n"/>
    </row>
    <row r="21">
      <c r="A21" s="5" t="n"/>
      <c r="B21" s="5" t="n"/>
      <c r="C21" s="5" t="n"/>
      <c r="D21" s="5" t="n"/>
      <c r="E21" s="5" t="n"/>
      <c r="F21" s="5" t="n"/>
      <c r="G21" s="5" t="n"/>
      <c r="H21" s="5" t="n"/>
      <c r="I21" s="5" t="n"/>
      <c r="J21" s="5" t="n"/>
    </row>
    <row r="22">
      <c r="A22" s="5" t="n"/>
      <c r="B22" s="5" t="n"/>
      <c r="C22" s="5" t="n"/>
      <c r="D22" s="5" t="n"/>
      <c r="E22" s="5" t="n"/>
      <c r="F22" s="5" t="n"/>
      <c r="G22" s="5" t="n"/>
      <c r="H22" s="5" t="n"/>
      <c r="I22" s="5" t="n"/>
      <c r="J22" s="5" t="n"/>
    </row>
    <row r="23">
      <c r="A23" s="5" t="n"/>
      <c r="B23" s="5" t="n"/>
      <c r="C23" s="5" t="n"/>
      <c r="D23" s="5" t="n"/>
      <c r="E23" s="5" t="n"/>
      <c r="F23" s="5" t="n"/>
      <c r="G23" s="5" t="n"/>
      <c r="H23" s="5" t="n"/>
      <c r="I23" s="5" t="n"/>
      <c r="J23" s="5" t="n"/>
    </row>
    <row r="24">
      <c r="A24" s="5" t="n"/>
      <c r="B24" s="5" t="n"/>
      <c r="C24" s="5" t="n"/>
      <c r="D24" s="5" t="n"/>
      <c r="E24" s="5" t="n"/>
      <c r="F24" s="5" t="n"/>
      <c r="G24" s="5" t="n"/>
      <c r="H24" s="5" t="n"/>
      <c r="I24" s="5" t="n"/>
      <c r="J24" s="5" t="n"/>
    </row>
    <row r="25">
      <c r="A25" s="5" t="n"/>
      <c r="B25" s="5" t="n"/>
      <c r="C25" s="5" t="n"/>
      <c r="D25" s="5" t="n"/>
      <c r="E25" s="5" t="n"/>
      <c r="F25" s="5" t="n"/>
      <c r="G25" s="5" t="n"/>
      <c r="H25" s="5" t="n"/>
      <c r="I25" s="5" t="n"/>
      <c r="J25" s="5" t="n"/>
    </row>
    <row r="26">
      <c r="A26" s="5" t="n"/>
      <c r="B26" s="5" t="n"/>
      <c r="C26" s="5" t="n"/>
      <c r="D26" s="5" t="n"/>
      <c r="E26" s="5" t="n"/>
      <c r="F26" s="5" t="n"/>
      <c r="G26" s="5" t="n"/>
      <c r="H26" s="5" t="n"/>
      <c r="I26" s="5" t="n"/>
      <c r="J26" s="5" t="n"/>
    </row>
    <row r="27">
      <c r="A27" s="5" t="n"/>
      <c r="B27" s="5" t="n"/>
      <c r="C27" s="5" t="n"/>
      <c r="D27" s="5" t="n"/>
      <c r="E27" s="5" t="n"/>
      <c r="F27" s="5" t="n"/>
      <c r="G27" s="5" t="n"/>
      <c r="H27" s="5" t="n"/>
      <c r="I27" s="5" t="n"/>
      <c r="J27" s="5" t="n"/>
    </row>
    <row r="28">
      <c r="A28" s="5" t="n"/>
      <c r="B28" s="5" t="n"/>
      <c r="C28" s="5" t="n"/>
      <c r="D28" s="5" t="n"/>
      <c r="E28" s="5" t="n"/>
      <c r="F28" s="5" t="n"/>
      <c r="G28" s="5" t="n"/>
      <c r="H28" s="5" t="n"/>
      <c r="I28" s="5" t="n"/>
      <c r="J28" s="5" t="n"/>
    </row>
    <row r="29">
      <c r="A29" s="5" t="n"/>
      <c r="B29" s="5" t="n"/>
      <c r="C29" s="5" t="n"/>
      <c r="D29" s="5" t="n"/>
      <c r="E29" s="5" t="n"/>
      <c r="F29" s="5" t="n"/>
      <c r="G29" s="5" t="n"/>
      <c r="H29" s="5" t="n"/>
      <c r="I29" s="5" t="n"/>
      <c r="J29" s="5" t="n"/>
    </row>
    <row r="30">
      <c r="A30" s="5" t="n"/>
      <c r="B30" s="5" t="n"/>
      <c r="C30" s="5" t="n"/>
      <c r="D30" s="5" t="n"/>
      <c r="E30" s="5" t="n"/>
      <c r="F30" s="5" t="n"/>
      <c r="G30" s="5" t="n"/>
      <c r="H30" s="5" t="n"/>
      <c r="I30" s="5" t="n"/>
      <c r="J30" s="5" t="n"/>
    </row>
    <row r="31">
      <c r="A31" s="5" t="n"/>
      <c r="B31" s="5" t="n"/>
      <c r="C31" s="5" t="n"/>
      <c r="D31" s="5" t="n"/>
      <c r="E31" s="5" t="n"/>
      <c r="F31" s="5" t="n"/>
      <c r="G31" s="5" t="n"/>
      <c r="H31" s="5" t="n"/>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5">
      <c r="A35" s="5" t="n"/>
      <c r="B35" s="5" t="n"/>
      <c r="C35" s="5" t="n"/>
      <c r="D35" s="5" t="n"/>
      <c r="E35" s="5" t="n"/>
      <c r="F35" s="5" t="n"/>
      <c r="G35" s="5" t="n"/>
      <c r="H35" s="5" t="n"/>
      <c r="I35" s="5" t="n"/>
      <c r="J35" s="5" t="n"/>
    </row>
    <row r="36">
      <c r="A36" s="5" t="n"/>
      <c r="B36" s="5" t="n"/>
      <c r="C36" s="5" t="n"/>
      <c r="D36" s="5" t="n"/>
      <c r="E36" s="5" t="n"/>
      <c r="F36" s="5" t="n"/>
      <c r="G36" s="5" t="n"/>
      <c r="H36" s="5" t="n"/>
      <c r="I36" s="5" t="n"/>
      <c r="J36" s="5" t="n"/>
    </row>
    <row r="37">
      <c r="A37" s="5" t="n"/>
      <c r="B37" s="5" t="n"/>
      <c r="C37" s="5" t="n"/>
      <c r="D37" s="5" t="n"/>
      <c r="E37" s="5" t="n"/>
      <c r="F37" s="5" t="n"/>
      <c r="G37" s="5" t="n"/>
      <c r="H37" s="5" t="n"/>
      <c r="I37" s="5" t="n"/>
      <c r="J37" s="5" t="n"/>
    </row>
    <row r="38">
      <c r="A38" s="5" t="n"/>
      <c r="B38" s="5" t="n"/>
      <c r="C38" s="5" t="n"/>
      <c r="D38" s="5" t="n"/>
      <c r="E38" s="5" t="n"/>
      <c r="F38" s="5" t="n"/>
      <c r="G38" s="5" t="n"/>
      <c r="H38" s="5" t="n"/>
      <c r="I38" s="5" t="n"/>
      <c r="J38" s="5" t="n"/>
    </row>
    <row r="39">
      <c r="A39" s="5" t="n"/>
      <c r="B39" s="5" t="n"/>
      <c r="C39" s="5" t="n"/>
      <c r="D39" s="5" t="n"/>
      <c r="E39" s="5" t="n"/>
      <c r="F39" s="5" t="n"/>
      <c r="G39" s="5" t="n"/>
      <c r="H39" s="5" t="n"/>
      <c r="I39" s="5" t="n"/>
      <c r="J39" s="5" t="n"/>
    </row>
    <row r="40">
      <c r="A40" s="5" t="n"/>
      <c r="B40" s="5" t="n"/>
      <c r="C40" s="5" t="n"/>
      <c r="D40" s="5" t="n"/>
      <c r="E40" s="5" t="n"/>
      <c r="F40" s="5" t="n"/>
      <c r="G40" s="5" t="n"/>
      <c r="H40" s="5" t="n"/>
      <c r="I40" s="5" t="n"/>
      <c r="J40" s="5" t="n"/>
    </row>
    <row r="41">
      <c r="A41" s="5" t="n"/>
      <c r="B41" s="5" t="n"/>
      <c r="C41" s="5" t="n"/>
      <c r="D41" s="5" t="n"/>
      <c r="E41" s="5" t="n"/>
      <c r="F41" s="5" t="n"/>
      <c r="G41" s="5" t="n"/>
      <c r="H41" s="5" t="n"/>
      <c r="I41" s="5" t="n"/>
      <c r="J41" s="5" t="n"/>
    </row>
    <row r="42">
      <c r="A42" s="5" t="n"/>
      <c r="B42" s="5" t="n"/>
      <c r="C42" s="5" t="n"/>
      <c r="D42" s="5" t="n"/>
      <c r="E42" s="5" t="n"/>
      <c r="F42" s="5" t="n"/>
      <c r="G42" s="5" t="n"/>
      <c r="H42" s="5" t="n"/>
      <c r="I42" s="5" t="n"/>
      <c r="J42" s="5" t="n"/>
    </row>
    <row r="43">
      <c r="A43" s="5" t="n"/>
      <c r="B43" s="5" t="n"/>
      <c r="C43" s="5" t="n"/>
      <c r="D43" s="5" t="n"/>
      <c r="E43" s="5" t="n"/>
      <c r="F43" s="5" t="n"/>
      <c r="G43" s="5" t="n"/>
      <c r="H43" s="5" t="n"/>
      <c r="I43" s="5" t="n"/>
      <c r="J43" s="5" t="n"/>
    </row>
    <row r="44">
      <c r="A44" s="5" t="n"/>
      <c r="B44" s="5" t="n"/>
      <c r="C44" s="5" t="n"/>
      <c r="D44" s="5" t="n"/>
      <c r="E44" s="5" t="n"/>
      <c r="F44" s="5" t="n"/>
      <c r="G44" s="5" t="n"/>
      <c r="H44" s="5" t="n"/>
      <c r="I44" s="5" t="n"/>
      <c r="J44" s="5" t="n"/>
    </row>
    <row r="45">
      <c r="A45" s="5" t="n"/>
      <c r="B45" s="5" t="n"/>
      <c r="C45" s="5" t="n"/>
      <c r="D45" s="5" t="n"/>
      <c r="E45" s="5" t="n"/>
      <c r="F45" s="5" t="n"/>
      <c r="G45" s="5" t="n"/>
      <c r="H45" s="5" t="n"/>
      <c r="I45" s="5" t="n"/>
      <c r="J45" s="5" t="n"/>
    </row>
    <row r="46">
      <c r="A46" s="5" t="n"/>
      <c r="B46" s="5" t="n"/>
      <c r="C46" s="5" t="n"/>
      <c r="D46" s="5" t="n"/>
      <c r="E46" s="5" t="n"/>
      <c r="F46" s="5" t="n"/>
      <c r="G46" s="5" t="n"/>
      <c r="H46" s="5" t="n"/>
      <c r="I46" s="5" t="n"/>
      <c r="J46" s="5" t="n"/>
    </row>
    <row r="47">
      <c r="A47" s="5" t="n"/>
      <c r="B47" s="5" t="n"/>
      <c r="C47" s="5" t="n"/>
      <c r="D47" s="5" t="n"/>
      <c r="E47" s="5" t="n"/>
      <c r="F47" s="5" t="n"/>
      <c r="G47" s="5" t="n"/>
      <c r="H47" s="5" t="n"/>
      <c r="I47" s="5" t="n"/>
      <c r="J47" s="5" t="n"/>
    </row>
    <row r="48">
      <c r="A48" s="5" t="n"/>
      <c r="B48" s="5" t="n"/>
      <c r="C48" s="5" t="n"/>
      <c r="D48" s="5" t="n"/>
      <c r="E48" s="5" t="n"/>
      <c r="F48" s="5" t="n"/>
      <c r="G48" s="5" t="n"/>
      <c r="H48" s="5" t="n"/>
      <c r="I48" s="5" t="n"/>
      <c r="J48" s="5" t="n"/>
    </row>
    <row r="49">
      <c r="A49" s="5" t="n"/>
      <c r="B49" s="5" t="n"/>
      <c r="C49" s="5" t="n"/>
      <c r="D49" s="5" t="n"/>
      <c r="E49" s="5" t="n"/>
      <c r="F49" s="5" t="n"/>
      <c r="G49" s="5" t="n"/>
      <c r="H49" s="5" t="n"/>
      <c r="I49" s="5" t="n"/>
      <c r="J49" s="5" t="n"/>
    </row>
    <row r="50">
      <c r="A50" s="5" t="n"/>
      <c r="B50" s="5" t="n"/>
      <c r="C50" s="5" t="n"/>
      <c r="D50" s="5" t="n"/>
      <c r="E50" s="5" t="n"/>
      <c r="F50" s="5" t="n"/>
      <c r="G50" s="5" t="n"/>
      <c r="H50" s="5" t="n"/>
      <c r="I50" s="5" t="n"/>
      <c r="J50" s="5" t="n"/>
    </row>
    <row r="51">
      <c r="A51" s="5" t="n"/>
      <c r="B51" s="5" t="n"/>
      <c r="C51" s="5" t="n"/>
      <c r="D51" s="5" t="n"/>
      <c r="E51" s="5" t="n"/>
      <c r="F51" s="5" t="n"/>
      <c r="G51" s="5" t="n"/>
      <c r="H51" s="5" t="n"/>
      <c r="I51" s="5" t="n"/>
      <c r="J51" s="5" t="n"/>
    </row>
    <row r="52">
      <c r="A52" s="5" t="n"/>
      <c r="B52" s="5" t="n"/>
      <c r="C52" s="5" t="n"/>
      <c r="D52" s="5" t="n"/>
      <c r="E52" s="5" t="n"/>
      <c r="F52" s="5" t="n"/>
      <c r="G52" s="5" t="n"/>
      <c r="H52" s="5" t="n"/>
      <c r="I52" s="5" t="n"/>
      <c r="J52" s="5" t="n"/>
    </row>
    <row r="53">
      <c r="A53" s="5" t="n"/>
      <c r="B53" s="5" t="n"/>
      <c r="C53" s="5" t="n"/>
      <c r="D53" s="5" t="n"/>
      <c r="E53" s="5" t="n"/>
      <c r="F53" s="5" t="n"/>
      <c r="G53" s="5" t="n"/>
      <c r="H53" s="5" t="n"/>
      <c r="I53" s="5" t="n"/>
      <c r="J53" s="5" t="n"/>
    </row>
    <row r="54">
      <c r="A54" s="5" t="n"/>
      <c r="B54" s="5" t="n"/>
      <c r="C54" s="5" t="n"/>
      <c r="D54" s="5" t="n"/>
      <c r="E54" s="5" t="n"/>
      <c r="F54" s="5" t="n"/>
      <c r="G54" s="5" t="n"/>
      <c r="H54" s="5" t="n"/>
      <c r="I54" s="5" t="n"/>
      <c r="J54" s="5" t="n"/>
    </row>
    <row r="55">
      <c r="A55" s="5" t="n"/>
      <c r="B55" s="5" t="n"/>
      <c r="C55" s="5" t="n"/>
      <c r="D55" s="5" t="n"/>
      <c r="E55" s="5" t="n"/>
      <c r="F55" s="5" t="n"/>
      <c r="G55" s="5" t="n"/>
      <c r="H55" s="5" t="n"/>
      <c r="I55" s="5" t="n"/>
      <c r="J55" s="5" t="n"/>
    </row>
    <row r="56">
      <c r="A56" s="5" t="n"/>
      <c r="B56" s="5" t="n"/>
      <c r="C56" s="5" t="n"/>
      <c r="D56" s="5" t="n"/>
      <c r="E56" s="5" t="n"/>
      <c r="F56" s="5" t="n"/>
      <c r="G56" s="5" t="n"/>
      <c r="H56" s="5" t="n"/>
      <c r="I56" s="5" t="n"/>
      <c r="J56" s="5" t="n"/>
    </row>
    <row r="57">
      <c r="A57" s="5" t="n"/>
      <c r="B57" s="5" t="n"/>
      <c r="C57" s="5" t="n"/>
      <c r="D57" s="5" t="n"/>
      <c r="E57" s="5" t="n"/>
      <c r="F57" s="5" t="n"/>
      <c r="G57" s="5" t="n"/>
      <c r="H57" s="5" t="n"/>
      <c r="I57" s="5" t="n"/>
      <c r="J57" s="5" t="n"/>
    </row>
    <row r="58">
      <c r="A58" s="5" t="n"/>
      <c r="B58" s="5" t="n"/>
      <c r="C58" s="5" t="n"/>
      <c r="D58" s="5" t="n"/>
      <c r="E58" s="5" t="n"/>
      <c r="F58" s="5" t="n"/>
      <c r="G58" s="5" t="n"/>
      <c r="H58" s="5" t="n"/>
      <c r="I58" s="5" t="n"/>
      <c r="J58" s="5" t="n"/>
    </row>
    <row r="59">
      <c r="A59" s="5" t="n"/>
      <c r="B59" s="5" t="n"/>
      <c r="C59" s="5" t="n"/>
      <c r="D59" s="5" t="n"/>
      <c r="E59" s="5" t="n"/>
      <c r="F59" s="5" t="n"/>
      <c r="G59" s="5" t="n"/>
      <c r="H59" s="5" t="n"/>
      <c r="I59" s="5" t="n"/>
      <c r="J59" s="5" t="n"/>
    </row>
    <row r="60">
      <c r="A60" s="5" t="n"/>
      <c r="B60" s="5" t="n"/>
      <c r="C60" s="5" t="n"/>
      <c r="D60" s="5" t="n"/>
      <c r="E60" s="5" t="n"/>
      <c r="F60" s="5" t="n"/>
      <c r="G60" s="5" t="n"/>
      <c r="H60" s="5" t="n"/>
      <c r="I60" s="5" t="n"/>
      <c r="J60" s="5" t="n"/>
    </row>
    <row r="61">
      <c r="A61" s="5" t="n"/>
      <c r="B61" s="5" t="n"/>
      <c r="C61" s="5" t="n"/>
      <c r="D61" s="5" t="n"/>
      <c r="E61" s="5" t="n"/>
      <c r="F61" s="5" t="n"/>
      <c r="G61" s="5" t="n"/>
      <c r="H61" s="5" t="n"/>
      <c r="I61" s="5" t="n"/>
      <c r="J61" s="5" t="n"/>
    </row>
    <row r="62">
      <c r="A62" s="5" t="n"/>
      <c r="B62" s="5" t="n"/>
      <c r="C62" s="5" t="n"/>
      <c r="D62" s="5" t="n"/>
      <c r="E62" s="5" t="n"/>
      <c r="F62" s="5" t="n"/>
      <c r="G62" s="5" t="n"/>
      <c r="H62" s="5" t="n"/>
      <c r="I62" s="5" t="n"/>
      <c r="J62" s="5" t="n"/>
    </row>
    <row r="63">
      <c r="A63" s="5" t="n"/>
      <c r="B63" s="5" t="n"/>
      <c r="C63" s="5" t="n"/>
      <c r="D63" s="5" t="n"/>
      <c r="E63" s="5" t="n"/>
      <c r="F63" s="5" t="n"/>
      <c r="G63" s="5" t="n"/>
      <c r="H63" s="5" t="n"/>
      <c r="I63" s="5" t="n"/>
      <c r="J63" s="5" t="n"/>
    </row>
    <row r="64">
      <c r="A64" s="5" t="n"/>
      <c r="B64" s="5" t="n"/>
      <c r="C64" s="5" t="n"/>
      <c r="D64" s="5" t="n"/>
      <c r="E64" s="5" t="n"/>
      <c r="F64" s="5" t="n"/>
      <c r="G64" s="5" t="n"/>
      <c r="H64" s="5" t="n"/>
      <c r="I64" s="5" t="n"/>
      <c r="J64" s="5" t="n"/>
    </row>
    <row r="65">
      <c r="A65" s="5" t="n"/>
      <c r="B65" s="5" t="n"/>
      <c r="C65" s="5" t="n"/>
      <c r="D65" s="5" t="n"/>
      <c r="E65" s="5" t="n"/>
      <c r="F65" s="5" t="n"/>
      <c r="G65" s="5" t="n"/>
      <c r="H65" s="5" t="n"/>
      <c r="I65" s="5" t="n"/>
      <c r="J65" s="5" t="n"/>
    </row>
    <row r="66">
      <c r="A66" s="5" t="n"/>
      <c r="B66" s="5" t="n"/>
      <c r="C66" s="5" t="n"/>
      <c r="D66" s="5" t="n"/>
      <c r="E66" s="5" t="n"/>
      <c r="F66" s="5" t="n"/>
      <c r="G66" s="5" t="n"/>
      <c r="H66" s="5" t="n"/>
      <c r="I66" s="5" t="n"/>
      <c r="J66" s="5" t="n"/>
    </row>
    <row r="67">
      <c r="A67" s="5" t="n"/>
      <c r="B67" s="5" t="n"/>
      <c r="C67" s="5" t="n"/>
      <c r="D67" s="5" t="n"/>
      <c r="E67" s="5" t="n"/>
      <c r="F67" s="5" t="n"/>
      <c r="G67" s="5" t="n"/>
      <c r="H67" s="5" t="n"/>
      <c r="I67" s="5" t="n"/>
      <c r="J67" s="5" t="n"/>
    </row>
    <row r="68">
      <c r="A68" s="5" t="n"/>
      <c r="B68" s="5" t="n"/>
      <c r="C68" s="5" t="n"/>
      <c r="D68" s="5" t="n"/>
      <c r="E68" s="5" t="n"/>
      <c r="F68" s="5" t="n"/>
      <c r="G68" s="5" t="n"/>
      <c r="H68" s="5" t="n"/>
      <c r="I68" s="5" t="n"/>
      <c r="J68" s="5" t="n"/>
    </row>
    <row r="69">
      <c r="A69" s="5" t="n"/>
      <c r="B69" s="5" t="n"/>
      <c r="C69" s="5" t="n"/>
      <c r="D69" s="5" t="n"/>
      <c r="E69" s="5" t="n"/>
      <c r="F69" s="5" t="n"/>
      <c r="G69" s="5" t="n"/>
      <c r="H69" s="5" t="n"/>
      <c r="I69" s="5" t="n"/>
      <c r="J69" s="5" t="n"/>
    </row>
    <row r="70">
      <c r="A70" s="5" t="n"/>
      <c r="B70" s="5" t="n"/>
      <c r="C70" s="5" t="n"/>
      <c r="D70" s="5" t="n"/>
      <c r="E70" s="5" t="n"/>
      <c r="F70" s="5" t="n"/>
      <c r="G70" s="5" t="n"/>
      <c r="H70" s="5" t="n"/>
      <c r="I70" s="5" t="n"/>
      <c r="J70" s="5" t="n"/>
    </row>
    <row r="71">
      <c r="A71" s="5" t="n"/>
      <c r="B71" s="5" t="n"/>
      <c r="C71" s="5" t="n"/>
      <c r="D71" s="5" t="n"/>
      <c r="E71" s="5" t="n"/>
      <c r="F71" s="5" t="n"/>
      <c r="G71" s="5" t="n"/>
      <c r="H71" s="5" t="n"/>
      <c r="I71" s="5" t="n"/>
      <c r="J71" s="5" t="n"/>
    </row>
    <row r="72">
      <c r="A72" s="5" t="n"/>
      <c r="B72" s="5" t="n"/>
      <c r="C72" s="5" t="n"/>
      <c r="D72" s="5" t="n"/>
      <c r="E72" s="5" t="n"/>
      <c r="F72" s="5" t="n"/>
      <c r="G72" s="5" t="n"/>
      <c r="H72" s="5" t="n"/>
      <c r="I72" s="5" t="n"/>
      <c r="J72" s="5" t="n"/>
    </row>
    <row r="73">
      <c r="A73" s="5" t="n"/>
      <c r="B73" s="5" t="n"/>
      <c r="C73" s="5" t="n"/>
      <c r="D73" s="5" t="n"/>
      <c r="E73" s="5" t="n"/>
      <c r="F73" s="5" t="n"/>
      <c r="G73" s="5" t="n"/>
      <c r="H73" s="5" t="n"/>
      <c r="I73" s="5" t="n"/>
      <c r="J73" s="5" t="n"/>
    </row>
    <row r="74">
      <c r="A74" s="5" t="n"/>
      <c r="B74" s="5" t="n"/>
      <c r="C74" s="5" t="n"/>
      <c r="D74" s="5" t="n"/>
      <c r="E74" s="5" t="n"/>
      <c r="F74" s="5" t="n"/>
      <c r="G74" s="5" t="n"/>
      <c r="H74" s="5" t="n"/>
      <c r="I74" s="5" t="n"/>
      <c r="J74" s="5" t="n"/>
    </row>
    <row r="75">
      <c r="A75" s="5" t="n"/>
      <c r="B75" s="5" t="n"/>
      <c r="C75" s="5" t="n"/>
      <c r="D75" s="5" t="n"/>
      <c r="E75" s="5" t="n"/>
      <c r="F75" s="5" t="n"/>
      <c r="G75" s="5" t="n"/>
      <c r="H75" s="5" t="n"/>
      <c r="I75" s="5" t="n"/>
      <c r="J75" s="5" t="n"/>
    </row>
    <row r="76">
      <c r="A76" s="5" t="n"/>
      <c r="B76" s="5" t="n"/>
      <c r="C76" s="5" t="n"/>
      <c r="D76" s="5" t="n"/>
      <c r="E76" s="5" t="n"/>
      <c r="F76" s="5" t="n"/>
      <c r="G76" s="5" t="n"/>
      <c r="H76" s="5" t="n"/>
      <c r="I76" s="5" t="n"/>
      <c r="J76" s="5" t="n"/>
    </row>
    <row r="77">
      <c r="A77" s="5" t="n"/>
      <c r="B77" s="5" t="n"/>
      <c r="C77" s="5" t="n"/>
      <c r="D77" s="5" t="n"/>
      <c r="E77" s="5" t="n"/>
      <c r="F77" s="5" t="n"/>
      <c r="G77" s="5" t="n"/>
      <c r="H77" s="5" t="n"/>
      <c r="I77" s="5" t="n"/>
      <c r="J77" s="5" t="n"/>
    </row>
    <row r="78">
      <c r="A78" s="5" t="n"/>
      <c r="B78" s="5" t="n"/>
      <c r="C78" s="5" t="n"/>
      <c r="D78" s="5" t="n"/>
      <c r="E78" s="5" t="n"/>
      <c r="F78" s="5" t="n"/>
      <c r="G78" s="5" t="n"/>
      <c r="H78" s="5" t="n"/>
      <c r="I78" s="5" t="n"/>
      <c r="J78" s="5" t="n"/>
    </row>
    <row r="79">
      <c r="A79" s="5" t="n"/>
      <c r="B79" s="5" t="n"/>
      <c r="C79" s="5" t="n"/>
      <c r="D79" s="5" t="n"/>
      <c r="E79" s="5" t="n"/>
      <c r="F79" s="5" t="n"/>
      <c r="G79" s="5" t="n"/>
      <c r="H79" s="5" t="n"/>
      <c r="I79" s="5" t="n"/>
      <c r="J79" s="5" t="n"/>
    </row>
    <row r="80">
      <c r="A80" s="5" t="n"/>
      <c r="B80" s="5" t="n"/>
      <c r="C80" s="5" t="n"/>
      <c r="D80" s="5" t="n"/>
      <c r="E80" s="5" t="n"/>
      <c r="F80" s="5" t="n"/>
      <c r="G80" s="5" t="n"/>
      <c r="H80" s="5" t="n"/>
      <c r="I80" s="5" t="n"/>
      <c r="J80" s="5" t="n"/>
    </row>
    <row r="81">
      <c r="A81" s="5" t="n"/>
      <c r="B81" s="5" t="n"/>
      <c r="C81" s="5" t="n"/>
      <c r="D81" s="5" t="n"/>
      <c r="E81" s="5" t="n"/>
      <c r="F81" s="5" t="n"/>
      <c r="G81" s="5" t="n"/>
      <c r="H81" s="5" t="n"/>
      <c r="I81" s="5" t="n"/>
      <c r="J81" s="5" t="n"/>
    </row>
    <row r="82">
      <c r="A82" s="5" t="n"/>
      <c r="B82" s="5" t="n"/>
      <c r="C82" s="5" t="n"/>
      <c r="D82" s="5" t="n"/>
      <c r="E82" s="5" t="n"/>
      <c r="F82" s="5" t="n"/>
      <c r="G82" s="5" t="n"/>
      <c r="H82" s="5" t="n"/>
      <c r="I82" s="5" t="n"/>
      <c r="J82" s="5" t="n"/>
    </row>
    <row r="83">
      <c r="A83" s="5" t="n"/>
      <c r="B83" s="5" t="n"/>
      <c r="C83" s="5" t="n"/>
      <c r="D83" s="5" t="n"/>
      <c r="E83" s="5" t="n"/>
      <c r="F83" s="5" t="n"/>
      <c r="G83" s="5" t="n"/>
      <c r="H83" s="5" t="n"/>
      <c r="I83" s="5" t="n"/>
      <c r="J83" s="5" t="n"/>
    </row>
    <row r="84">
      <c r="A84" s="5" t="n"/>
      <c r="B84" s="5" t="n"/>
      <c r="C84" s="5" t="n"/>
      <c r="D84" s="5" t="n"/>
      <c r="E84" s="5" t="n"/>
      <c r="F84" s="5" t="n"/>
      <c r="G84" s="5" t="n"/>
      <c r="H84" s="5" t="n"/>
      <c r="I84" s="5" t="n"/>
      <c r="J84" s="5" t="n"/>
    </row>
    <row r="85">
      <c r="A85" s="5" t="n"/>
      <c r="B85" s="5" t="n"/>
      <c r="C85" s="5" t="n"/>
      <c r="D85" s="5" t="n"/>
      <c r="E85" s="5" t="n"/>
      <c r="F85" s="5" t="n"/>
      <c r="G85" s="5" t="n"/>
      <c r="H85" s="5" t="n"/>
      <c r="I85" s="5" t="n"/>
      <c r="J85" s="5" t="n"/>
    </row>
    <row r="86">
      <c r="A86" s="5" t="n"/>
      <c r="B86" s="5" t="n"/>
      <c r="C86" s="5" t="n"/>
      <c r="D86" s="5" t="n"/>
      <c r="E86" s="5" t="n"/>
      <c r="F86" s="5" t="n"/>
      <c r="G86" s="5" t="n"/>
      <c r="H86" s="5" t="n"/>
      <c r="I86" s="5" t="n"/>
      <c r="J86" s="5" t="n"/>
    </row>
    <row r="87">
      <c r="A87" s="5" t="n"/>
      <c r="B87" s="5" t="n"/>
      <c r="C87" s="5" t="n"/>
      <c r="D87" s="5" t="n"/>
      <c r="E87" s="5" t="n"/>
      <c r="F87" s="5" t="n"/>
      <c r="G87" s="5" t="n"/>
      <c r="H87" s="5" t="n"/>
      <c r="I87" s="5" t="n"/>
      <c r="J87" s="5" t="n"/>
    </row>
    <row r="88">
      <c r="A88" s="5" t="n"/>
      <c r="B88" s="5" t="n"/>
      <c r="C88" s="5" t="n"/>
      <c r="D88" s="5" t="n"/>
      <c r="E88" s="5" t="n"/>
      <c r="F88" s="5" t="n"/>
      <c r="G88" s="5" t="n"/>
      <c r="H88" s="5" t="n"/>
      <c r="I88" s="5" t="n"/>
      <c r="J88" s="5" t="n"/>
    </row>
    <row r="89">
      <c r="A89" s="5" t="n"/>
      <c r="B89" s="5" t="n"/>
      <c r="C89" s="5" t="n"/>
      <c r="D89" s="5" t="n"/>
      <c r="E89" s="5" t="n"/>
      <c r="F89" s="5" t="n"/>
      <c r="G89" s="5" t="n"/>
      <c r="H89" s="5" t="n"/>
      <c r="I89" s="5" t="n"/>
      <c r="J89" s="5" t="n"/>
    </row>
    <row r="90">
      <c r="A90" s="5" t="n"/>
      <c r="B90" s="5" t="n"/>
      <c r="C90" s="5" t="n"/>
      <c r="D90" s="5" t="n"/>
      <c r="E90" s="5" t="n"/>
      <c r="F90" s="5" t="n"/>
      <c r="G90" s="5" t="n"/>
      <c r="H90" s="5" t="n"/>
      <c r="I90" s="5" t="n"/>
      <c r="J90" s="5" t="n"/>
    </row>
    <row r="91">
      <c r="A91" s="5" t="n"/>
      <c r="B91" s="5" t="n"/>
      <c r="C91" s="5" t="n"/>
      <c r="D91" s="5" t="n"/>
      <c r="E91" s="5" t="n"/>
      <c r="F91" s="5" t="n"/>
      <c r="G91" s="5" t="n"/>
      <c r="H91" s="5" t="n"/>
      <c r="I91" s="5" t="n"/>
      <c r="J91" s="5" t="n"/>
    </row>
    <row r="92">
      <c r="A92" s="5" t="n"/>
      <c r="B92" s="5" t="n"/>
      <c r="C92" s="5" t="n"/>
      <c r="D92" s="5" t="n"/>
      <c r="E92" s="5" t="n"/>
      <c r="F92" s="5" t="n"/>
      <c r="G92" s="5" t="n"/>
      <c r="H92" s="5" t="n"/>
      <c r="I92" s="5" t="n"/>
      <c r="J92" s="5" t="n"/>
    </row>
    <row r="93">
      <c r="A93" s="5" t="n"/>
      <c r="B93" s="5" t="n"/>
      <c r="C93" s="5" t="n"/>
      <c r="D93" s="5" t="n"/>
      <c r="E93" s="5" t="n"/>
      <c r="F93" s="5" t="n"/>
      <c r="G93" s="5" t="n"/>
      <c r="H93" s="5" t="n"/>
      <c r="I93" s="5" t="n"/>
      <c r="J93" s="5" t="n"/>
    </row>
    <row r="94">
      <c r="A94" s="5" t="n"/>
      <c r="B94" s="5" t="n"/>
      <c r="C94" s="5" t="n"/>
      <c r="D94" s="5" t="n"/>
      <c r="E94" s="5" t="n"/>
      <c r="F94" s="5" t="n"/>
      <c r="G94" s="5" t="n"/>
      <c r="H94" s="5" t="n"/>
      <c r="I94" s="5" t="n"/>
      <c r="J94" s="5" t="n"/>
    </row>
    <row r="95">
      <c r="A95" s="5" t="n"/>
      <c r="B95" s="5" t="n"/>
      <c r="C95" s="5" t="n"/>
      <c r="D95" s="5" t="n"/>
      <c r="E95" s="5" t="n"/>
      <c r="F95" s="5" t="n"/>
      <c r="G95" s="5" t="n"/>
      <c r="H95" s="5" t="n"/>
      <c r="I95" s="5" t="n"/>
      <c r="J95" s="5" t="n"/>
    </row>
    <row r="96">
      <c r="A96" s="5" t="n"/>
      <c r="B96" s="5" t="n"/>
      <c r="C96" s="5" t="n"/>
      <c r="D96" s="5" t="n"/>
      <c r="E96" s="5" t="n"/>
      <c r="F96" s="5" t="n"/>
      <c r="G96" s="5" t="n"/>
      <c r="H96" s="5" t="n"/>
      <c r="I96" s="5" t="n"/>
      <c r="J96" s="5" t="n"/>
    </row>
    <row r="97">
      <c r="A97" s="5" t="n"/>
      <c r="B97" s="5" t="n"/>
      <c r="C97" s="5" t="n"/>
      <c r="D97" s="5" t="n"/>
      <c r="E97" s="5" t="n"/>
      <c r="F97" s="5" t="n"/>
      <c r="G97" s="5" t="n"/>
      <c r="H97" s="5" t="n"/>
      <c r="I97" s="5" t="n"/>
      <c r="J97" s="5" t="n"/>
    </row>
    <row r="98">
      <c r="A98" s="5" t="n"/>
      <c r="B98" s="5" t="n"/>
      <c r="C98" s="5" t="n"/>
      <c r="D98" s="5" t="n"/>
      <c r="E98" s="5" t="n"/>
      <c r="F98" s="5" t="n"/>
      <c r="G98" s="5" t="n"/>
      <c r="H98" s="5" t="n"/>
      <c r="I98" s="5" t="n"/>
      <c r="J98" s="5" t="n"/>
    </row>
    <row r="99">
      <c r="A99" s="5" t="n"/>
      <c r="B99" s="5" t="n"/>
      <c r="C99" s="5" t="n"/>
      <c r="D99" s="5" t="n"/>
      <c r="E99" s="5" t="n"/>
      <c r="F99" s="5" t="n"/>
      <c r="G99" s="5" t="n"/>
      <c r="H99" s="5" t="n"/>
      <c r="I99" s="5" t="n"/>
      <c r="J99" s="5" t="n"/>
    </row>
    <row r="100">
      <c r="A100" s="5" t="n"/>
      <c r="B100" s="5" t="n"/>
      <c r="C100" s="5" t="n"/>
      <c r="D100" s="5" t="n"/>
      <c r="E100" s="5" t="n"/>
      <c r="F100" s="5" t="n"/>
      <c r="G100" s="5" t="n"/>
      <c r="H100" s="5" t="n"/>
      <c r="I100" s="5" t="n"/>
      <c r="J100" s="5" t="n"/>
    </row>
    <row r="101">
      <c r="A101" s="5" t="n"/>
      <c r="B101" s="5" t="n"/>
      <c r="C101" s="5" t="n"/>
      <c r="D101" s="5" t="n"/>
      <c r="E101" s="5" t="n"/>
      <c r="F101" s="5" t="n"/>
      <c r="G101" s="5" t="n"/>
      <c r="H101" s="5" t="n"/>
      <c r="I101" s="5" t="n"/>
      <c r="J101" s="5" t="n"/>
    </row>
    <row r="102">
      <c r="A102" s="5" t="n"/>
      <c r="B102" s="5" t="n"/>
      <c r="C102" s="5" t="n"/>
      <c r="D102" s="5" t="n"/>
      <c r="E102" s="5" t="n"/>
      <c r="F102" s="5" t="n"/>
      <c r="G102" s="5" t="n"/>
      <c r="H102" s="5" t="n"/>
      <c r="I102" s="5" t="n"/>
      <c r="J102" s="5" t="n"/>
    </row>
    <row r="103">
      <c r="A103" s="5" t="n"/>
      <c r="B103" s="5" t="n"/>
      <c r="C103" s="5" t="n"/>
      <c r="D103" s="5" t="n"/>
      <c r="E103" s="5" t="n"/>
      <c r="F103" s="5" t="n"/>
      <c r="G103" s="5" t="n"/>
      <c r="H103" s="5" t="n"/>
      <c r="I103" s="5" t="n"/>
      <c r="J103" s="5" t="n"/>
    </row>
    <row r="104">
      <c r="A104" s="5" t="n"/>
      <c r="B104" s="5" t="n"/>
      <c r="C104" s="5" t="n"/>
      <c r="D104" s="5" t="n"/>
      <c r="E104" s="5" t="n"/>
      <c r="F104" s="5" t="n"/>
      <c r="G104" s="5" t="n"/>
      <c r="H104" s="5" t="n"/>
      <c r="I104" s="5" t="n"/>
      <c r="J104" s="5" t="n"/>
    </row>
  </sheetData>
  <mergeCells count="2">
    <mergeCell ref="A1:J1"/>
    <mergeCell ref="A2:J2"/>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"Policy,Procedure,Configuration,Test Results,Audit Report,Meeting Minutes,Email,Screenshots,Log Files,Diagram,Training Material,Other"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5"/>
  <sheetViews>
    <sheetView workbookViewId="0">
      <pane ySplit="5" topLeftCell="A6" activePane="bottomLeft" state="frozen"/>
      <selection pane="bottomLeft" activeCell="A1" sqref="A1"/>
    </sheetView>
  </sheetViews>
  <sheetFormatPr baseColWidth="8" defaultRowHeight="15"/>
  <cols>
    <col width="38" customWidth="1" min="1" max="1"/>
    <col width="20" customWidth="1" min="2" max="2"/>
    <col width="15" customWidth="1" min="3" max="3"/>
    <col width="15" customWidth="1" min="4" max="4"/>
    <col width="15" customWidth="1" min="5" max="5"/>
    <col width="25" customWidth="1" min="6" max="6"/>
  </cols>
  <sheetData>
    <row r="1" ht="40" customHeight="1">
      <c r="A1" s="1" t="inlineStr">
        <is>
          <t>KEY PERFORMANCE INDICATORS - DATA MASKING COMPLIANCE</t>
        </is>
      </c>
    </row>
    <row r="2" ht="25" customHeight="1">
      <c r="A2" s="2" t="inlineStr">
        <is>
          <t>Strategic metrics for executive oversight - 23 KPIs with targets and trends</t>
        </is>
      </c>
    </row>
    <row r="4">
      <c r="A4" s="3" t="inlineStr">
        <is>
          <t>STRATEGIC KPIs (11 Metrics)</t>
        </is>
      </c>
    </row>
    <row r="5">
      <c r="A5" s="18" t="inlineStr">
        <is>
          <t>KPI</t>
        </is>
      </c>
      <c r="B5" s="18" t="inlineStr">
        <is>
          <t>Current Value</t>
        </is>
      </c>
      <c r="C5" s="18" t="inlineStr">
        <is>
          <t>Target</t>
        </is>
      </c>
      <c r="D5" s="18" t="inlineStr">
        <is>
          <t>Status</t>
        </is>
      </c>
      <c r="E5" s="18" t="inlineStr">
        <is>
          <t>Trend</t>
        </is>
      </c>
      <c r="F5" s="18" t="inlineStr">
        <is>
          <t>Notes</t>
        </is>
      </c>
    </row>
    <row r="6">
      <c r="A6" s="19" t="inlineStr">
        <is>
          <t>Overall Compliance Score</t>
        </is>
      </c>
      <c r="B6" s="20">
        <f>Executive_Summary!B6</f>
        <v/>
      </c>
      <c r="C6" s="4" t="inlineStr">
        <is>
          <t>≥90%</t>
        </is>
      </c>
      <c r="D6" s="21" t="n"/>
      <c r="E6" s="21" t="n"/>
      <c r="F6" s="21" t="n"/>
    </row>
    <row r="7">
      <c r="A7" s="19" t="inlineStr">
        <is>
          <t>Data Inventory Coverage</t>
        </is>
      </c>
      <c r="B7" s="20">
        <f>[ISMS-IMP-A.8.11.1.xlsx]Summary_Dashboard!$B$7</f>
        <v/>
      </c>
      <c r="C7" s="4" t="inlineStr">
        <is>
          <t>100%</t>
        </is>
      </c>
      <c r="D7" s="21" t="n"/>
      <c r="E7" s="21" t="n"/>
      <c r="F7" s="21" t="n"/>
    </row>
    <row r="8">
      <c r="A8" s="19" t="inlineStr">
        <is>
          <t>Sensitive Fields Classified</t>
        </is>
      </c>
      <c r="B8" s="20">
        <f>[ISMS-IMP-A.8.11.1.xlsx]Summary_Dashboard!$B$6</f>
        <v/>
      </c>
      <c r="C8" s="4" t="inlineStr">
        <is>
          <t>100%</t>
        </is>
      </c>
      <c r="D8" s="21" t="n"/>
      <c r="E8" s="21" t="n"/>
      <c r="F8" s="21" t="n"/>
    </row>
    <row r="9">
      <c r="A9" s="19" t="inlineStr">
        <is>
          <t>Masking Technique Deployment</t>
        </is>
      </c>
      <c r="B9" s="20">
        <f>[ISMS-IMP-A.8.11.2.xlsx]Summary_Dashboard!$B$6</f>
        <v/>
      </c>
      <c r="C9" s="4" t="inlineStr">
        <is>
          <t>≥90%</t>
        </is>
      </c>
      <c r="D9" s="21" t="n"/>
      <c r="E9" s="21" t="n"/>
      <c r="F9" s="21" t="n"/>
    </row>
    <row r="10">
      <c r="A10" s="19" t="inlineStr">
        <is>
          <t>Non-Production Masking Coverage</t>
        </is>
      </c>
      <c r="B10" s="20">
        <f>[ISMS-IMP-A.8.11.3.xlsx]Summary_Dashboard!$B$7</f>
        <v/>
      </c>
      <c r="C10" s="4" t="inlineStr">
        <is>
          <t>100%</t>
        </is>
      </c>
      <c r="D10" s="21" t="n"/>
      <c r="E10" s="21" t="n"/>
      <c r="F10" s="21" t="n"/>
    </row>
    <row r="11">
      <c r="A11" s="19" t="inlineStr">
        <is>
          <t>Production DDM Coverage</t>
        </is>
      </c>
      <c r="B11" s="20">
        <f>[ISMS-IMP-A.8.11.3.xlsx]Summary_Dashboard!$B$10</f>
        <v/>
      </c>
      <c r="C11" s="4" t="inlineStr">
        <is>
          <t>≥90%</t>
        </is>
      </c>
      <c r="D11" s="21" t="n"/>
      <c r="E11" s="21" t="n"/>
      <c r="F11" s="21" t="n"/>
    </row>
    <row r="12">
      <c r="A12" s="19" t="inlineStr">
        <is>
          <t>Environment Coverage</t>
        </is>
      </c>
      <c r="B12" s="20">
        <f>[ISMS-IMP-A.8.11.3.xlsx]Summary_Dashboard!$B$6</f>
        <v/>
      </c>
      <c r="C12" s="4" t="inlineStr">
        <is>
          <t>100%</t>
        </is>
      </c>
      <c r="D12" s="21" t="n"/>
      <c r="E12" s="21" t="n"/>
      <c r="F12" s="21" t="n"/>
    </row>
    <row r="13">
      <c r="A13" s="19" t="inlineStr">
        <is>
          <t>Testing Pass Rate</t>
        </is>
      </c>
      <c r="B13" s="20">
        <f>[ISMS-IMP-A.8.11.4.xlsx]Summary_Dashboard!$B$8</f>
        <v/>
      </c>
      <c r="C13" s="4" t="inlineStr">
        <is>
          <t>≥95%</t>
        </is>
      </c>
      <c r="D13" s="21" t="n"/>
      <c r="E13" s="21" t="n"/>
      <c r="F13" s="21" t="n"/>
    </row>
    <row r="14">
      <c r="A14" s="19" t="inlineStr">
        <is>
          <t>Re-Identification Risk</t>
        </is>
      </c>
      <c r="B14" s="20">
        <f>[ISMS-IMP-A.8.11.4.xlsx]Summary_Dashboard!$B$12</f>
        <v/>
      </c>
      <c r="C14" s="4" t="inlineStr">
        <is>
          <t>0%</t>
        </is>
      </c>
      <c r="D14" s="21" t="n"/>
      <c r="E14" s="21" t="n"/>
      <c r="F14" s="21" t="n"/>
    </row>
    <row r="15">
      <c r="A15" s="19" t="inlineStr">
        <is>
          <t>Data Utility Score</t>
        </is>
      </c>
      <c r="B15" s="20">
        <f>[ISMS-IMP-A.8.11.4.xlsx]Summary_Dashboard!$B$13</f>
        <v/>
      </c>
      <c r="C15" s="4" t="inlineStr">
        <is>
          <t>≥95%</t>
        </is>
      </c>
      <c r="D15" s="21" t="n"/>
      <c r="E15" s="21" t="n"/>
      <c r="F15" s="21" t="n"/>
    </row>
    <row r="16">
      <c r="A16" s="19" t="inlineStr">
        <is>
          <t>Performance Impact</t>
        </is>
      </c>
      <c r="B16" s="20">
        <f>[ISMS-IMP-A.8.11.4.xlsx]Summary_Dashboard!$B$14</f>
        <v/>
      </c>
      <c r="C16" s="4" t="inlineStr">
        <is>
          <t>&lt;10%</t>
        </is>
      </c>
      <c r="D16" s="21" t="n"/>
      <c r="E16" s="21" t="n"/>
      <c r="F16" s="21" t="n"/>
    </row>
    <row r="18">
      <c r="A18" s="3" t="inlineStr">
        <is>
          <t>OPERATIONAL KPIs (12 Metrics)</t>
        </is>
      </c>
    </row>
    <row r="19">
      <c r="A19" s="18" t="inlineStr">
        <is>
          <t>KPI</t>
        </is>
      </c>
      <c r="B19" s="18" t="inlineStr">
        <is>
          <t>Current Value</t>
        </is>
      </c>
      <c r="C19" s="18" t="inlineStr">
        <is>
          <t>Target</t>
        </is>
      </c>
      <c r="D19" s="18" t="inlineStr">
        <is>
          <t>Status</t>
        </is>
      </c>
      <c r="E19" s="18" t="inlineStr">
        <is>
          <t>Notes</t>
        </is>
      </c>
    </row>
    <row r="20">
      <c r="A20" s="19" t="inlineStr">
        <is>
          <t>Exception Count (Total)</t>
        </is>
      </c>
      <c r="B20" s="20">
        <f>COUNTIFS(Domain_3_Summary!$L:$L,"Approved Exception")</f>
        <v/>
      </c>
      <c r="C20" s="4" t="inlineStr">
        <is>
          <t>≤5% of envs</t>
        </is>
      </c>
      <c r="D20" s="21" t="n"/>
      <c r="E20" s="21" t="n"/>
    </row>
    <row r="21">
      <c r="A21" s="19" t="inlineStr">
        <is>
          <t>High-Risk Gaps</t>
        </is>
      </c>
      <c r="B21" s="20">
        <f>COUNTIF(Consolidated_Gap_Analysis!$G:$G,"High")</f>
        <v/>
      </c>
      <c r="C21" s="4" t="inlineStr">
        <is>
          <t>0</t>
        </is>
      </c>
      <c r="D21" s="21" t="n"/>
      <c r="E21" s="21" t="n"/>
    </row>
    <row r="22">
      <c r="A22" s="19" t="inlineStr">
        <is>
          <t>Critical-Risk Gaps</t>
        </is>
      </c>
      <c r="B22" s="20">
        <f>COUNTIF(Consolidated_Gap_Analysis!$G:$G,"Critical")</f>
        <v/>
      </c>
      <c r="C22" s="4" t="inlineStr">
        <is>
          <t>0</t>
        </is>
      </c>
      <c r="D22" s="21" t="n"/>
      <c r="E22" s="21" t="n"/>
    </row>
    <row r="23">
      <c r="A23" s="19" t="inlineStr">
        <is>
          <t>Gaps Remediated %</t>
        </is>
      </c>
      <c r="B23" s="20">
        <f>COUNTIF(Consolidated_Gap_Analysis!$L:$L,"Closed")/COUNTA(Consolidated_Gap_Analysis!$A:$A)*100</f>
        <v/>
      </c>
      <c r="C23" s="4" t="inlineStr">
        <is>
          <t>100%</t>
        </is>
      </c>
      <c r="D23" s="21" t="n"/>
      <c r="E23" s="21" t="n"/>
    </row>
    <row r="24">
      <c r="A24" s="19" t="inlineStr">
        <is>
          <t>Average Remediation Time (days)</t>
        </is>
      </c>
      <c r="B24" s="20" t="inlineStr">
        <is>
          <t>[Manual calculation]</t>
        </is>
      </c>
      <c r="C24" s="4" t="inlineStr">
        <is>
          <t>≤90</t>
        </is>
      </c>
      <c r="D24" s="21" t="n"/>
      <c r="E24" s="21" t="n"/>
    </row>
    <row r="25">
      <c r="A25" s="19" t="inlineStr">
        <is>
          <t>Schema Drift Detection Rate</t>
        </is>
      </c>
      <c r="B25" s="20">
        <f>[ISMS-IMP-A.8.11.4.xlsx]Summary_Dashboard!$B$15</f>
        <v/>
      </c>
      <c r="C25" s="4" t="inlineStr">
        <is>
          <t>100%</t>
        </is>
      </c>
      <c r="D25" s="21" t="n"/>
      <c r="E25" s="21" t="n"/>
    </row>
    <row r="26">
      <c r="A26" s="19" t="inlineStr">
        <is>
          <t>Failed Tests Remediated</t>
        </is>
      </c>
      <c r="B26" s="20">
        <f>COUNTIF(Domain_4_Summary!$L:$L,"Remediated")/COUNTA(Domain_4_Summary!$L:$L)*100</f>
        <v/>
      </c>
      <c r="C26" s="4" t="inlineStr">
        <is>
          <t>100%</t>
        </is>
      </c>
      <c r="D26" s="21" t="n"/>
      <c r="E26" s="21" t="n"/>
    </row>
    <row r="27">
      <c r="A27" s="19" t="inlineStr">
        <is>
          <t>Evidence Documentation Rate</t>
        </is>
      </c>
      <c r="B27" s="20">
        <f>COUNTA(Evidence_Master_Index!$A:$A)/100*100</f>
        <v/>
      </c>
      <c r="C27" s="4" t="inlineStr">
        <is>
          <t>100%</t>
        </is>
      </c>
      <c r="D27" s="21" t="n"/>
      <c r="E27" s="21" t="n"/>
    </row>
    <row r="28">
      <c r="A28" s="19" t="inlineStr">
        <is>
          <t>External Sharing Masked</t>
        </is>
      </c>
      <c r="B28" s="20">
        <f>[ISMS-IMP-A.8.11.3.xlsx]Summary_Dashboard!$B$20</f>
        <v/>
      </c>
      <c r="C28" s="4" t="inlineStr">
        <is>
          <t>100%</t>
        </is>
      </c>
      <c r="D28" s="21" t="n"/>
      <c r="E28" s="21" t="n"/>
    </row>
    <row r="29">
      <c r="A29" s="19" t="inlineStr">
        <is>
          <t>Cloud Environment Compliance</t>
        </is>
      </c>
      <c r="B29" s="20">
        <f>[ISMS-IMP-A.8.11.3.xlsx]Summary_Dashboard!$B$25</f>
        <v/>
      </c>
      <c r="C29" s="4" t="inlineStr">
        <is>
          <t>100%</t>
        </is>
      </c>
      <c r="D29" s="21" t="n"/>
      <c r="E29" s="21" t="n"/>
    </row>
    <row r="30">
      <c r="A30" s="19" t="inlineStr">
        <is>
          <t>Backup Encryption Rate</t>
        </is>
      </c>
      <c r="B30" s="20">
        <f>[ISMS-IMP-A.8.11.3.xlsx]Summary_Dashboard!$B$30</f>
        <v/>
      </c>
      <c r="C30" s="4" t="inlineStr">
        <is>
          <t>100%</t>
        </is>
      </c>
      <c r="D30" s="21" t="n"/>
      <c r="E30" s="21" t="n"/>
    </row>
    <row r="31">
      <c r="A31" s="19" t="inlineStr">
        <is>
          <t>Data Owner Assignment</t>
        </is>
      </c>
      <c r="B31" s="20">
        <f>[ISMS-IMP-A.8.11.1.xlsx]Summary_Dashboard!$B$10</f>
        <v/>
      </c>
      <c r="C31" s="4" t="inlineStr">
        <is>
          <t>100%</t>
        </is>
      </c>
      <c r="D31" s="21" t="n"/>
      <c r="E31" s="21" t="n"/>
    </row>
    <row r="33">
      <c r="A33" s="3" t="inlineStr">
        <is>
          <t>WEIGHTED COMPLIANCE SCORE CALCULATION</t>
        </is>
      </c>
    </row>
    <row r="34">
      <c r="A34" s="18" t="inlineStr">
        <is>
          <t>Component</t>
        </is>
      </c>
      <c r="B34" s="18" t="inlineStr">
        <is>
          <t>Weight</t>
        </is>
      </c>
      <c r="C34" s="18" t="inlineStr">
        <is>
          <t>Score</t>
        </is>
      </c>
      <c r="D34" s="18" t="inlineStr">
        <is>
          <t>Weighted Score</t>
        </is>
      </c>
      <c r="E34" s="18" t="inlineStr">
        <is>
          <t>Notes</t>
        </is>
      </c>
    </row>
    <row r="35">
      <c r="A35" s="19" t="inlineStr">
        <is>
          <t>Data Inventory &amp; Classification</t>
        </is>
      </c>
      <c r="B35" s="4" t="inlineStr">
        <is>
          <t>20%</t>
        </is>
      </c>
      <c r="C35" s="20">
        <f>[ISMS-IMP-A.8.11.1.xlsx]Summary_Dashboard!$B$40</f>
        <v/>
      </c>
      <c r="D35" s="31">
        <f>C35*0.20</f>
        <v/>
      </c>
      <c r="E35" s="21" t="n"/>
    </row>
    <row r="36">
      <c r="A36" s="19" t="inlineStr">
        <is>
          <t>Masking Technique Deployment</t>
        </is>
      </c>
      <c r="B36" s="4" t="inlineStr">
        <is>
          <t>20%</t>
        </is>
      </c>
      <c r="C36" s="20">
        <f>[ISMS-IMP-A.8.11.2.xlsx]Summary_Dashboard!$B$40</f>
        <v/>
      </c>
      <c r="D36" s="31">
        <f>C36*0.20</f>
        <v/>
      </c>
      <c r="E36" s="21" t="n"/>
    </row>
    <row r="37">
      <c r="A37" s="19" t="inlineStr">
        <is>
          <t>Environment Coverage</t>
        </is>
      </c>
      <c r="B37" s="4" t="inlineStr">
        <is>
          <t>25%</t>
        </is>
      </c>
      <c r="C37" s="20">
        <f>[ISMS-IMP-A.8.11.3.xlsx]Summary_Dashboard!$B$40</f>
        <v/>
      </c>
      <c r="D37" s="31">
        <f>C37*0.25</f>
        <v/>
      </c>
      <c r="E37" s="21" t="n"/>
    </row>
    <row r="38">
      <c r="A38" s="19" t="inlineStr">
        <is>
          <t>Testing &amp; Validation</t>
        </is>
      </c>
      <c r="B38" s="4" t="inlineStr">
        <is>
          <t>25%</t>
        </is>
      </c>
      <c r="C38" s="20">
        <f>[ISMS-IMP-A.8.11.4.xlsx]Summary_Dashboard!$B$40</f>
        <v/>
      </c>
      <c r="D38" s="31">
        <f>C38*0.25</f>
        <v/>
      </c>
      <c r="E38" s="21" t="n"/>
    </row>
    <row r="39">
      <c r="A39" s="19" t="inlineStr">
        <is>
          <t>Evidence &amp; Documentation</t>
        </is>
      </c>
      <c r="B39" s="4" t="inlineStr">
        <is>
          <t>10%</t>
        </is>
      </c>
      <c r="C39" s="20">
        <f>COUNTA(Evidence_Master_Index!$A:$A)/100*100</f>
        <v/>
      </c>
      <c r="D39" s="31">
        <f>C39*0.10</f>
        <v/>
      </c>
      <c r="E39" s="21" t="n"/>
    </row>
    <row r="40">
      <c r="A40" s="39" t="inlineStr">
        <is>
          <t>TOTAL COMPLIANCE SCORE</t>
        </is>
      </c>
      <c r="B40" s="22" t="inlineStr">
        <is>
          <t>100%</t>
        </is>
      </c>
      <c r="D40" s="40">
        <f>SUM(D35:D39)</f>
        <v/>
      </c>
    </row>
    <row r="42">
      <c r="A42" s="4" t="inlineStr">
        <is>
          <t>Score Interpretation:</t>
        </is>
      </c>
    </row>
    <row r="43">
      <c r="A43" t="inlineStr">
        <is>
          <t>90-100% = Excellent (Green) - Certification ready</t>
        </is>
      </c>
    </row>
    <row r="44">
      <c r="A44" t="inlineStr">
        <is>
          <t>70-89% = Acceptable with gaps (Yellow) - Remediation required</t>
        </is>
      </c>
    </row>
    <row r="45">
      <c r="A45" t="inlineStr">
        <is>
          <t>&lt;70% = Significant gaps (Red) - Immediate action required</t>
        </is>
      </c>
    </row>
  </sheetData>
  <mergeCells count="5">
    <mergeCell ref="A2:F2"/>
    <mergeCell ref="A33:F33"/>
    <mergeCell ref="A1:F1"/>
    <mergeCell ref="A18:F18"/>
    <mergeCell ref="A4:F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5"/>
  <sheetViews>
    <sheetView workbookViewId="0">
      <pane ySplit="3" topLeftCell="A4" activePane="bottomLeft" state="frozen"/>
      <selection pane="bottomLeft" activeCell="A1" sqref="A1"/>
    </sheetView>
  </sheetViews>
  <sheetFormatPr baseColWidth="8" defaultRowHeight="15"/>
  <cols>
    <col width="28" customWidth="1" min="1" max="1"/>
    <col width="30" customWidth="1" min="2" max="2"/>
    <col width="20" customWidth="1" min="3" max="3"/>
    <col width="20" customWidth="1" min="4" max="4"/>
    <col width="20" customWidth="1" min="5" max="5"/>
  </cols>
  <sheetData>
    <row r="1" ht="40" customHeight="1">
      <c r="A1" s="1" t="inlineStr">
        <is>
          <t>EXECUTIVE APPROVAL SIGN-OFF</t>
        </is>
      </c>
    </row>
    <row r="2" ht="25" customHeight="1">
      <c r="A2" s="2" t="inlineStr">
        <is>
          <t>Multi-level approval workflow for compliance certification (ISO, CISO, DPO, CIO, Board)</t>
        </is>
      </c>
    </row>
    <row r="4">
      <c r="A4" s="3" t="inlineStr">
        <is>
          <t>1. INFORMATION SECURITY OFFICER (ISO)</t>
        </is>
      </c>
    </row>
    <row r="5">
      <c r="A5" s="4" t="inlineStr">
        <is>
          <t>Name:</t>
        </is>
      </c>
      <c r="B5" s="21" t="inlineStr"/>
    </row>
    <row r="6">
      <c r="A6" s="4" t="inlineStr">
        <is>
          <t>Title:</t>
        </is>
      </c>
      <c r="B6" t="inlineStr">
        <is>
          <t>Information Security Officer</t>
        </is>
      </c>
    </row>
    <row r="7">
      <c r="A7" s="4" t="inlineStr">
        <is>
          <t>Review Date:</t>
        </is>
      </c>
      <c r="B7" s="21" t="inlineStr"/>
    </row>
    <row r="8">
      <c r="A8" s="4" t="inlineStr">
        <is>
          <t>Recommendation:</t>
        </is>
      </c>
      <c r="B8" s="21" t="inlineStr">
        <is>
          <t>☐ Approve  ☐ Approve with Conditions  ☐ Reject</t>
        </is>
      </c>
    </row>
    <row r="9">
      <c r="A9" s="4" t="inlineStr">
        <is>
          <t>Conditions/Comments:</t>
        </is>
      </c>
      <c r="B9" s="21" t="inlineStr"/>
    </row>
    <row r="10">
      <c r="A10" s="4" t="inlineStr">
        <is>
          <t>Signature:</t>
        </is>
      </c>
      <c r="B10" t="inlineStr">
        <is>
          <t>_________________________________</t>
        </is>
      </c>
    </row>
    <row r="12">
      <c r="A12" s="3" t="inlineStr">
        <is>
          <t>2. CHIEF INFORMATION SECURITY OFFICER (CISO)</t>
        </is>
      </c>
    </row>
    <row r="13">
      <c r="A13" s="4" t="inlineStr">
        <is>
          <t>Name:</t>
        </is>
      </c>
      <c r="B13" s="21" t="inlineStr"/>
    </row>
    <row r="14">
      <c r="A14" s="4" t="inlineStr">
        <is>
          <t>Title:</t>
        </is>
      </c>
      <c r="B14" t="inlineStr">
        <is>
          <t>Chief Information Security Officer</t>
        </is>
      </c>
    </row>
    <row r="15">
      <c r="A15" s="4" t="inlineStr">
        <is>
          <t>Review Date:</t>
        </is>
      </c>
      <c r="B15" s="21" t="inlineStr"/>
    </row>
    <row r="16">
      <c r="A16" s="4" t="inlineStr">
        <is>
          <t>Decision:</t>
        </is>
      </c>
      <c r="B16" s="21" t="inlineStr">
        <is>
          <t>☐ Approved  ☐ Approved with Conditions  ☐ Rejected</t>
        </is>
      </c>
    </row>
    <row r="17">
      <c r="A17" s="4" t="inlineStr">
        <is>
          <t>Executive Comments:</t>
        </is>
      </c>
      <c r="B17" s="21" t="inlineStr"/>
    </row>
    <row r="18">
      <c r="A18" s="4" t="inlineStr">
        <is>
          <t>Budget Approval:</t>
        </is>
      </c>
      <c r="B18" s="21" t="inlineStr">
        <is>
          <t>☐ Approved  ☐ Pending  ☐ Denied</t>
        </is>
      </c>
    </row>
    <row r="19">
      <c r="A19" s="4" t="inlineStr">
        <is>
          <t>Signature:</t>
        </is>
      </c>
      <c r="B19" t="inlineStr">
        <is>
          <t>_________________________________</t>
        </is>
      </c>
    </row>
    <row r="21">
      <c r="A21" s="3" t="inlineStr">
        <is>
          <t>3. DATA PROTECTION OFFICER (DPO)</t>
        </is>
      </c>
    </row>
    <row r="22">
      <c r="A22" s="4" t="inlineStr">
        <is>
          <t>Name:</t>
        </is>
      </c>
      <c r="B22" s="21" t="inlineStr"/>
    </row>
    <row r="23">
      <c r="A23" s="4" t="inlineStr">
        <is>
          <t>Title:</t>
        </is>
      </c>
      <c r="B23" t="inlineStr">
        <is>
          <t>Data Protection Officer</t>
        </is>
      </c>
    </row>
    <row r="24">
      <c r="A24" s="4" t="inlineStr">
        <is>
          <t>Review Date:</t>
        </is>
      </c>
      <c r="B24" s="21" t="inlineStr"/>
    </row>
    <row r="25">
      <c r="A25" s="4" t="inlineStr">
        <is>
          <t>Privacy Assessment:</t>
        </is>
      </c>
      <c r="B25" s="21" t="inlineStr">
        <is>
          <t>☐ GDPR Compliant  ☐ FADP Compliant  ☐ Issues Identified</t>
        </is>
      </c>
    </row>
    <row r="26">
      <c r="A26" s="4" t="inlineStr">
        <is>
          <t>Data Protection Impact:</t>
        </is>
      </c>
      <c r="B26" s="21" t="inlineStr">
        <is>
          <t>☐ Low  ☐ Medium  ☐ High</t>
        </is>
      </c>
    </row>
    <row r="27">
      <c r="A27" s="4" t="inlineStr">
        <is>
          <t>Privacy Comments:</t>
        </is>
      </c>
      <c r="B27" s="21" t="inlineStr"/>
    </row>
    <row r="28">
      <c r="A28" s="4" t="inlineStr">
        <is>
          <t>Signature:</t>
        </is>
      </c>
      <c r="B28" t="inlineStr">
        <is>
          <t>_________________________________</t>
        </is>
      </c>
    </row>
    <row r="30">
      <c r="A30" s="3" t="inlineStr">
        <is>
          <t>4. CHIEF INFORMATION OFFICER (CIO)</t>
        </is>
      </c>
    </row>
    <row r="31">
      <c r="A31" s="4" t="inlineStr">
        <is>
          <t>Name:</t>
        </is>
      </c>
      <c r="B31" s="21" t="inlineStr"/>
    </row>
    <row r="32">
      <c r="A32" s="4" t="inlineStr">
        <is>
          <t>Title:</t>
        </is>
      </c>
      <c r="B32" t="inlineStr">
        <is>
          <t>Chief Information Officer</t>
        </is>
      </c>
    </row>
    <row r="33">
      <c r="A33" s="4" t="inlineStr">
        <is>
          <t>Review Date:</t>
        </is>
      </c>
      <c r="B33" s="21" t="inlineStr"/>
    </row>
    <row r="34">
      <c r="A34" s="4" t="inlineStr">
        <is>
          <t>Decision:</t>
        </is>
      </c>
      <c r="B34" s="21" t="inlineStr">
        <is>
          <t>☐ Approved  ☐ Approved with Conditions  ☐ Rejected</t>
        </is>
      </c>
    </row>
    <row r="35">
      <c r="A35" s="4" t="inlineStr">
        <is>
          <t>Operational Impact:</t>
        </is>
      </c>
      <c r="B35" s="21" t="inlineStr"/>
    </row>
    <row r="36">
      <c r="A36" s="4" t="inlineStr">
        <is>
          <t>Comments:</t>
        </is>
      </c>
      <c r="B36" s="21" t="inlineStr"/>
    </row>
    <row r="37">
      <c r="A37" s="4" t="inlineStr">
        <is>
          <t>Signature:</t>
        </is>
      </c>
      <c r="B37" t="inlineStr">
        <is>
          <t>_________________________________</t>
        </is>
      </c>
    </row>
    <row r="39">
      <c r="A39" s="3" t="inlineStr">
        <is>
          <t>5. EXECUTIVE MANAGEMENT / BOARD (If Required)</t>
        </is>
      </c>
    </row>
    <row r="40">
      <c r="A40" s="4" t="inlineStr">
        <is>
          <t>Name:</t>
        </is>
      </c>
      <c r="B40" s="21" t="inlineStr"/>
    </row>
    <row r="41">
      <c r="A41" s="4" t="inlineStr">
        <is>
          <t>Title:</t>
        </is>
      </c>
      <c r="B41" s="21" t="inlineStr"/>
    </row>
    <row r="42">
      <c r="A42" s="4" t="inlineStr">
        <is>
          <t>Review Date:</t>
        </is>
      </c>
      <c r="B42" s="21" t="inlineStr"/>
    </row>
    <row r="43">
      <c r="A43" s="4" t="inlineStr">
        <is>
          <t>Decision:</t>
        </is>
      </c>
      <c r="B43" s="21" t="inlineStr">
        <is>
          <t>☐ Approved  ☐ Approved with Conditions  ☐ Rejected</t>
        </is>
      </c>
    </row>
    <row r="44">
      <c r="A44" s="4" t="inlineStr">
        <is>
          <t>Strategic Alignment:</t>
        </is>
      </c>
      <c r="B44" s="21" t="inlineStr"/>
    </row>
    <row r="45">
      <c r="A45" s="4" t="inlineStr">
        <is>
          <t>Budget Approval:</t>
        </is>
      </c>
      <c r="B45" s="21" t="inlineStr">
        <is>
          <t>☐ Approved  ☐ Pending  ☐ Denied</t>
        </is>
      </c>
    </row>
    <row r="46">
      <c r="A46" s="4" t="inlineStr">
        <is>
          <t>Comments:</t>
        </is>
      </c>
      <c r="B46" s="21" t="inlineStr"/>
    </row>
    <row r="47">
      <c r="A47" s="4" t="inlineStr">
        <is>
          <t>Signature:</t>
        </is>
      </c>
      <c r="B47" t="inlineStr">
        <is>
          <t>_________________________________</t>
        </is>
      </c>
    </row>
    <row r="50">
      <c r="A50" s="3" t="inlineStr">
        <is>
          <t>OVERALL APPROVAL STATUS</t>
        </is>
      </c>
    </row>
    <row r="51">
      <c r="A51" s="4" t="inlineStr">
        <is>
          <t>Final Status:</t>
        </is>
      </c>
      <c r="B51" s="21" t="inlineStr">
        <is>
          <t>☐ Approved  ☐ Conditionally Approved  ☐ Rejected  ☐ Pending</t>
        </is>
      </c>
    </row>
    <row r="52">
      <c r="A52" s="4" t="inlineStr">
        <is>
          <t>Effective Date:</t>
        </is>
      </c>
      <c r="B52" s="21" t="inlineStr"/>
    </row>
    <row r="53">
      <c r="A53" s="4" t="inlineStr">
        <is>
          <t>Next Review Date:</t>
        </is>
      </c>
      <c r="B53" s="21" t="inlineStr">
        <is>
          <t>[+12 months from effective date]</t>
        </is>
      </c>
    </row>
    <row r="54">
      <c r="A54" s="4" t="inlineStr">
        <is>
          <t>Review Responsible:</t>
        </is>
      </c>
      <c r="B54" t="inlineStr">
        <is>
          <t>CISO + DPO</t>
        </is>
      </c>
    </row>
    <row r="55">
      <c r="A55" s="4" t="inlineStr">
        <is>
          <t>Special Conditions:</t>
        </is>
      </c>
      <c r="B55" s="21" t="inlineStr"/>
    </row>
  </sheetData>
  <mergeCells count="48">
    <mergeCell ref="A30:E30"/>
    <mergeCell ref="A39:E39"/>
    <mergeCell ref="B40:E40"/>
    <mergeCell ref="B9:E9"/>
    <mergeCell ref="B37:E37"/>
    <mergeCell ref="B6:E6"/>
    <mergeCell ref="B15:E15"/>
    <mergeCell ref="B33:E33"/>
    <mergeCell ref="A1:E1"/>
    <mergeCell ref="B55:E55"/>
    <mergeCell ref="B24:E24"/>
    <mergeCell ref="B5:E5"/>
    <mergeCell ref="B51:E51"/>
    <mergeCell ref="B36:E36"/>
    <mergeCell ref="B32:E32"/>
    <mergeCell ref="B45:E45"/>
    <mergeCell ref="B26:E26"/>
    <mergeCell ref="B41:E41"/>
    <mergeCell ref="B35:E35"/>
    <mergeCell ref="B16:E16"/>
    <mergeCell ref="B54:E54"/>
    <mergeCell ref="B7:E7"/>
    <mergeCell ref="B25:E25"/>
    <mergeCell ref="B47:E47"/>
    <mergeCell ref="B46:E46"/>
    <mergeCell ref="B22:E22"/>
    <mergeCell ref="A21:E21"/>
    <mergeCell ref="B31:E31"/>
    <mergeCell ref="A12:E12"/>
    <mergeCell ref="B18:E18"/>
    <mergeCell ref="B27:E27"/>
    <mergeCell ref="A50:E50"/>
    <mergeCell ref="A2:E2"/>
    <mergeCell ref="B43:E43"/>
    <mergeCell ref="B52:E52"/>
    <mergeCell ref="B42:E42"/>
    <mergeCell ref="B14:E14"/>
    <mergeCell ref="B17:E17"/>
    <mergeCell ref="B23:E23"/>
    <mergeCell ref="A4:E4"/>
    <mergeCell ref="B8:E8"/>
    <mergeCell ref="B53:E53"/>
    <mergeCell ref="B13:E13"/>
    <mergeCell ref="B44:E44"/>
    <mergeCell ref="B19:E19"/>
    <mergeCell ref="B34:E34"/>
    <mergeCell ref="B10:E10"/>
    <mergeCell ref="B28:E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2026-02-08T11:26:06Z</dcterms:created>
  <dcterms:modified xmlns:dcterms="http://purl.org/dc/terms/" xmlns:xsi="http://www.w3.org/2001/XMLSchema-instance" xsi:type="dcterms:W3CDTF">2026-02-08T11:26:07Z</dcterms:modified>
</cp:coreProperties>
</file>