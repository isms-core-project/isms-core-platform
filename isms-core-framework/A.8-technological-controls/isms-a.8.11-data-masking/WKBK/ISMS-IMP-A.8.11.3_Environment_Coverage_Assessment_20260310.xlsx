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nvironment Inventory" sheetId="2" state="visible" r:id="rId2"/>
    <sheet xmlns:r="http://schemas.openxmlformats.org/officeDocument/2006/relationships" name="Production Environment" sheetId="3" state="visible" r:id="rId3"/>
    <sheet xmlns:r="http://schemas.openxmlformats.org/officeDocument/2006/relationships" name="NonProduction Environments" sheetId="4" state="visible" r:id="rId4"/>
    <sheet xmlns:r="http://schemas.openxmlformats.org/officeDocument/2006/relationships" name="Analytics &amp; Reporting" sheetId="5" state="visible" r:id="rId5"/>
    <sheet xmlns:r="http://schemas.openxmlformats.org/officeDocument/2006/relationships" name="Backup &amp; Archive" sheetId="6" state="visible" r:id="rId6"/>
    <sheet xmlns:r="http://schemas.openxmlformats.org/officeDocument/2006/relationships" name="External Sharing" sheetId="7" state="visible" r:id="rId7"/>
    <sheet xmlns:r="http://schemas.openxmlformats.org/officeDocument/2006/relationships" name="Cloud Environments" sheetId="8" state="visible" r:id="rId8"/>
    <sheet xmlns:r="http://schemas.openxmlformats.org/officeDocument/2006/relationships" name="Data Flow Mapping" sheetId="9" state="visible" r:id="rId9"/>
    <sheet xmlns:r="http://schemas.openxmlformats.org/officeDocument/2006/relationships" name="Gap Analysis" sheetId="10" state="visible" r:id="rId10"/>
    <sheet xmlns:r="http://schemas.openxmlformats.org/officeDocument/2006/relationships" name="Evidence Register" sheetId="11" state="visible" r:id="rId11"/>
    <sheet xmlns:r="http://schemas.openxmlformats.org/officeDocument/2006/relationships" name="Summary Dashboard" sheetId="12" state="visible" r:id="rId12"/>
    <sheet xmlns:r="http://schemas.openxmlformats.org/officeDocument/2006/relationships" name="Approval Sign-Off" sheetId="13" state="visible" r:id="rId13"/>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color rgb="00FFFFFF"/>
      <sz val="11"/>
    </font>
    <font>
      <b val="1"/>
      <sz val="11"/>
    </font>
    <font>
      <name val="Calibri"/>
      <b val="1"/>
      <sz val="10"/>
    </font>
    <font>
      <b val="1"/>
      <color rgb="00FFFFFF"/>
      <sz val="14"/>
    </font>
    <font>
      <i val="1"/>
    </font>
    <font>
      <b val="1"/>
      <color rgb="00FFFFFF"/>
    </font>
    <font>
      <name val="Calibri"/>
      <i val="1"/>
      <color rgb="00003366"/>
      <sz val="10"/>
    </font>
    <font>
      <name val="Calibri"/>
      <b val="1"/>
      <color rgb="00FFFFFF"/>
      <sz val="12"/>
    </font>
    <font>
      <name val="Calibri"/>
      <color rgb="00000000"/>
      <sz val="10"/>
    </font>
    <font>
      <name val="Calibri"/>
      <b val="1"/>
      <color rgb="00000000"/>
      <sz val="10"/>
    </font>
    <font>
      <name val="Calibri"/>
      <sz val="10"/>
    </font>
    <font>
      <b val="1"/>
      <color rgb="00FFFFFF"/>
      <sz val="11"/>
    </font>
    <font>
      <b val="1"/>
    </font>
  </fonts>
  <fills count="8">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4472C4"/>
        <bgColor rgb="004472C4"/>
      </patternFill>
    </fill>
    <fill>
      <patternFill patternType="solid">
        <fgColor rgb="00F2F2F2"/>
        <bgColor rgb="00F2F2F2"/>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3" fillId="4" borderId="1" pivotButton="0" quotePrefix="0" xfId="0"/>
    <xf numFmtId="0" fontId="0" fillId="0" borderId="1" pivotButton="0" quotePrefix="0" xfId="0"/>
    <xf numFmtId="0" fontId="0" fillId="0" borderId="1" applyAlignment="1" pivotButton="0" quotePrefix="0" xfId="0">
      <alignment horizontal="left" vertical="center" wrapText="1"/>
    </xf>
    <xf numFmtId="0" fontId="4" fillId="5" borderId="0" applyAlignment="1" pivotButton="0" quotePrefix="0" xfId="0">
      <alignment horizontal="center" vertical="center" wrapText="1"/>
    </xf>
    <xf numFmtId="0" fontId="5" fillId="0" borderId="0" pivotButton="0" quotePrefix="0" xfId="0"/>
    <xf numFmtId="0" fontId="6" fillId="4" borderId="1" applyAlignment="1" pivotButton="0" quotePrefix="0" xfId="0">
      <alignment horizontal="center" vertical="center" wrapText="1"/>
    </xf>
    <xf numFmtId="0" fontId="0" fillId="6" borderId="1" pivotButton="0" quotePrefix="0" xfId="0"/>
    <xf numFmtId="0" fontId="7" fillId="2" borderId="0" applyAlignment="1" pivotButton="0" quotePrefix="0" xfId="0">
      <alignment horizontal="center" vertical="center"/>
    </xf>
    <xf numFmtId="0" fontId="8" fillId="0" borderId="0" applyAlignment="1" pivotButton="0" quotePrefix="0" xfId="0">
      <alignment horizontal="left" vertical="center"/>
    </xf>
    <xf numFmtId="0" fontId="9" fillId="2" borderId="1" pivotButton="0" quotePrefix="0" xfId="0"/>
    <xf numFmtId="0" fontId="0" fillId="3" borderId="1" applyAlignment="1" pivotButton="0" quotePrefix="0" xfId="0">
      <alignment horizontal="left" vertical="center" wrapText="1"/>
    </xf>
    <xf numFmtId="0" fontId="10" fillId="0" borderId="0" applyAlignment="1" pivotButton="0" quotePrefix="0" xfId="0">
      <alignment horizontal="left" vertical="center"/>
    </xf>
    <xf numFmtId="0" fontId="11" fillId="2" borderId="0" applyAlignment="1" pivotButton="0" quotePrefix="0" xfId="0">
      <alignment horizontal="left" vertical="center"/>
    </xf>
    <xf numFmtId="0" fontId="12" fillId="0" borderId="1" applyAlignment="1" pivotButton="0" quotePrefix="0" xfId="0">
      <alignment horizontal="left" vertical="center"/>
    </xf>
    <xf numFmtId="0" fontId="12" fillId="0" borderId="1" applyAlignment="1" pivotButton="0" quotePrefix="0" xfId="0">
      <alignment horizontal="center" vertical="center"/>
    </xf>
    <xf numFmtId="164" fontId="12" fillId="0" borderId="1" applyAlignment="1" pivotButton="0" quotePrefix="0" xfId="0">
      <alignment horizontal="center" vertical="center"/>
    </xf>
    <xf numFmtId="0" fontId="13" fillId="4" borderId="1" applyAlignment="1" pivotButton="0" quotePrefix="0" xfId="0">
      <alignment horizontal="center" vertical="center"/>
    </xf>
    <xf numFmtId="0" fontId="6" fillId="4" borderId="1" applyAlignment="1" pivotButton="0" quotePrefix="0" xfId="0">
      <alignment horizontal="center" vertical="center"/>
    </xf>
    <xf numFmtId="164" fontId="6" fillId="4" borderId="1" applyAlignment="1" pivotButton="0" quotePrefix="0" xfId="0">
      <alignment horizontal="center" vertical="center"/>
    </xf>
    <xf numFmtId="0" fontId="14" fillId="0" borderId="1" applyAlignment="1" pivotButton="0" quotePrefix="0" xfId="0">
      <alignment horizontal="left" vertical="center"/>
    </xf>
    <xf numFmtId="0" fontId="14" fillId="0" borderId="1" applyAlignment="1" pivotButton="0" quotePrefix="0" xfId="0">
      <alignment horizontal="center" vertical="center"/>
    </xf>
    <xf numFmtId="0" fontId="11" fillId="7" borderId="0" applyAlignment="1" pivotButton="0" quotePrefix="0" xfId="0">
      <alignment horizontal="left" vertical="center"/>
    </xf>
    <xf numFmtId="0" fontId="14" fillId="3" borderId="1" applyAlignment="1" pivotButton="0" quotePrefix="0" xfId="0">
      <alignment horizontal="left" vertical="center" wrapText="1"/>
    </xf>
    <xf numFmtId="0" fontId="7" fillId="2" borderId="1" applyAlignment="1" pivotButton="0" quotePrefix="0" xfId="0">
      <alignment horizontal="center" vertical="center"/>
    </xf>
    <xf numFmtId="0" fontId="15" fillId="5" borderId="1" pivotButton="0" quotePrefix="0" xfId="0"/>
    <xf numFmtId="0" fontId="16" fillId="0" borderId="0" pivotButton="0" quotePrefix="0" xfId="0"/>
    <xf numFmtId="16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ISMS-IMP-A.8.11.3  -  Environment Coverage Assessment
ISO/IEC 27001:2022 - Control A.8.11: Data Masking</t>
        </is>
      </c>
    </row>
    <row r="3">
      <c r="A3" s="2" t="inlineStr">
        <is>
          <t>Document Information</t>
        </is>
      </c>
    </row>
    <row r="4">
      <c r="A4" s="3" t="inlineStr">
        <is>
          <t>Document ID</t>
        </is>
      </c>
      <c r="B4" t="inlineStr">
        <is>
          <t>ISMS-IMP-A.8.11.3</t>
        </is>
      </c>
    </row>
    <row r="5">
      <c r="A5" s="3" t="inlineStr">
        <is>
          <t>Assessment Area</t>
        </is>
      </c>
      <c r="B5" t="inlineStr">
        <is>
          <t>Environment Coverage Assessment</t>
        </is>
      </c>
    </row>
    <row r="6">
      <c r="A6" s="3" t="inlineStr">
        <is>
          <t>Related Policy</t>
        </is>
      </c>
      <c r="B6" t="inlineStr">
        <is>
          <t>ISMS-POL-A.8.11</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t>
        </is>
      </c>
    </row>
    <row r="13">
      <c r="A13" s="2" t="inlineStr">
        <is>
          <t>Instructions</t>
        </is>
      </c>
    </row>
    <row r="14">
      <c r="A14" t="inlineStr">
        <is>
          <t>1. Complete each worksheet tab in sequence (Environment Inventory → Production → Non-Production → etc.)</t>
        </is>
      </c>
    </row>
    <row r="15">
      <c r="A15" t="inlineStr">
        <is>
          <t>2. Fill ALL yellow-highlighted cells with your organisation's specific information</t>
        </is>
      </c>
    </row>
    <row r="16">
      <c r="A16" t="inlineStr">
        <is>
          <t>3. Use dropdown menus where provided (do not type free-form text in dropdown cells)</t>
        </is>
      </c>
    </row>
    <row r="17">
      <c r="A17" t="inlineStr">
        <is>
          <t>4. Document ALL environments in your organisation (include cloud, on-premises, hybrid)</t>
        </is>
      </c>
    </row>
    <row r="18">
      <c r="A18" t="inlineStr">
        <is>
          <t>5. For each environment, specify masking requirement (Mandatory/Conditional/Not Required) per policy S2.3</t>
        </is>
      </c>
    </row>
    <row r="19">
      <c r="A19" t="inlineStr">
        <is>
          <t>6. Verify masking deployment status (Yes/No/Partial/Planned)</t>
        </is>
      </c>
    </row>
    <row r="20">
      <c r="A20" t="inlineStr">
        <is>
          <t>7. Calculate coverage percentage (% of sensitive fields masked)</t>
        </is>
      </c>
    </row>
    <row r="21">
      <c r="A21" t="inlineStr">
        <is>
          <t>8. Link all assessments to Evidence Register with unique Evidence IDs</t>
        </is>
      </c>
    </row>
    <row r="22">
      <c r="A22" t="inlineStr">
        <is>
          <t>9. Complete Gap Analysis sheet to identify remediation needs</t>
        </is>
      </c>
    </row>
    <row r="23">
      <c r="A23" t="inlineStr">
        <is>
          <t>10. Review Summary Dashboard for executive-level compliance status</t>
        </is>
      </c>
    </row>
    <row r="25">
      <c r="A25" s="2" t="inlineStr">
        <is>
          <t>Status Legend</t>
        </is>
      </c>
    </row>
    <row r="26">
      <c r="A26" s="5" t="inlineStr">
        <is>
          <t>Symbol</t>
        </is>
      </c>
      <c r="B26" s="5" t="inlineStr">
        <is>
          <t>Status</t>
        </is>
      </c>
      <c r="C26" s="5" t="inlineStr">
        <is>
          <t>Description</t>
        </is>
      </c>
    </row>
    <row r="27">
      <c r="A27" s="6" t="inlineStr">
        <is>
          <t>✅</t>
        </is>
      </c>
      <c r="B27" s="7" t="inlineStr">
        <is>
          <t>Compliant</t>
        </is>
      </c>
      <c r="C27" s="7" t="inlineStr">
        <is>
          <t>Masking deployed as required — fully compliant</t>
        </is>
      </c>
    </row>
    <row r="28">
      <c r="A28" s="6" t="inlineStr">
        <is>
          <t>⚠</t>
        </is>
      </c>
      <c r="B28" s="7" t="inlineStr">
        <is>
          <t>Partial</t>
        </is>
      </c>
      <c r="C28" s="7" t="inlineStr">
        <is>
          <t>Some masking gaps identified — partially compliant</t>
        </is>
      </c>
    </row>
    <row r="29">
      <c r="A29" s="6" t="inlineStr">
        <is>
          <t>❌</t>
        </is>
      </c>
      <c r="B29" s="7" t="inlineStr">
        <is>
          <t>Non-Compliant</t>
        </is>
      </c>
      <c r="C29" s="7" t="inlineStr">
        <is>
          <t>Masking required but not deployed — remediation needed</t>
        </is>
      </c>
    </row>
    <row r="30">
      <c r="A30" s="6" t="inlineStr">
        <is>
          <t>—</t>
        </is>
      </c>
      <c r="B30" s="7" t="inlineStr">
        <is>
          <t>N/A</t>
        </is>
      </c>
      <c r="C30" s="7" t="inlineStr">
        <is>
          <t>Not applicable to this organisation</t>
        </is>
      </c>
    </row>
    <row r="32">
      <c r="A32" s="2" t="inlineStr">
        <is>
          <t>ACCEPTABLE EVIDENCE (examples)</t>
        </is>
      </c>
    </row>
    <row r="33">
      <c r="A33" t="inlineStr">
        <is>
          <t>✓ Environment inventory reports and architecture diagrams</t>
        </is>
      </c>
    </row>
    <row r="34">
      <c r="A34" t="inlineStr">
        <is>
          <t>✓ Data masking configuration screenshots</t>
        </is>
      </c>
    </row>
    <row r="35">
      <c r="A35" t="inlineStr">
        <is>
          <t>✓ Masking tool deployment evidence and audit logs</t>
        </is>
      </c>
    </row>
    <row r="36">
      <c r="A36" t="inlineStr">
        <is>
          <t>✓ Data flow diagrams with masking checkpoints</t>
        </is>
      </c>
    </row>
    <row r="37">
      <c r="A37" t="inlineStr">
        <is>
          <t>✓ Non-production data refresh procedures with masking steps</t>
        </is>
      </c>
    </row>
    <row r="38">
      <c r="A38" t="inlineStr">
        <is>
          <t>✓ Coverage assessment reports and gap analysis</t>
        </is>
      </c>
    </row>
    <row r="39">
      <c r="A39" t="inlineStr">
        <is>
          <t>✓ Exception approvals with business justification</t>
        </is>
      </c>
    </row>
    <row r="40">
      <c r="A40" t="inlineStr">
        <is>
          <t>✓ Vendor/DPA documentation specifying masking requirements</t>
        </is>
      </c>
    </row>
    <row r="41">
      <c r="A41" t="inlineStr">
        <is>
          <t>✓ Cloud provider security assessment results</t>
        </is>
      </c>
    </row>
    <row r="42">
      <c r="A42" t="inlineStr">
        <is>
          <t>✓ Backup encryption and access control documentation</t>
        </is>
      </c>
    </row>
    <row r="43">
      <c r="A43" t="inlineStr">
        <is>
          <t>✓ Compliance audit reports and remediation evidence</t>
        </is>
      </c>
    </row>
    <row r="44">
      <c r="A44" t="inlineStr">
        <is>
          <t>✓ Change management records for masking deployments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75"/>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s>
  <sheetData>
    <row r="1" ht="35" customHeight="1">
      <c r="A1" s="1" t="inlineStr">
        <is>
          <t>ENVIRONMENT INVENTORY</t>
        </is>
      </c>
    </row>
    <row r="2">
      <c r="A2" s="8" t="inlineStr">
        <is>
          <t>Policy Reference: All information processing environments must be cataloged and classified for masking applicability (ISMS-POL-A.8.11-S2.3 Section 2)</t>
        </is>
      </c>
    </row>
    <row r="3">
      <c r="A3" s="9" t="inlineStr">
        <is>
          <t>Does your organisation maintain a complete inventory of ALL environments where data is processed, stored, or transmitted?</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row>
    <row r="9">
      <c r="A9" s="4" t="n"/>
      <c r="B9" s="4" t="n"/>
      <c r="C9" s="4" t="n"/>
      <c r="D9" s="4" t="n"/>
      <c r="E9" s="4" t="n"/>
      <c r="F9" s="4" t="n"/>
      <c r="G9" s="4" t="n"/>
      <c r="H9" s="4" t="n"/>
      <c r="I9" s="4" t="n"/>
      <c r="J9" s="4" t="n"/>
      <c r="K9" s="4" t="n"/>
      <c r="L9" s="4" t="n"/>
      <c r="M9" s="4" t="n"/>
      <c r="N9" s="4" t="n"/>
      <c r="O9" s="4" t="n"/>
      <c r="P9" s="4" t="n"/>
      <c r="Q9" s="4" t="n"/>
    </row>
    <row r="10">
      <c r="A10" s="4" t="n"/>
      <c r="B10" s="4" t="n"/>
      <c r="C10" s="4" t="n"/>
      <c r="D10" s="4" t="n"/>
      <c r="E10" s="4" t="n"/>
      <c r="F10" s="4" t="n"/>
      <c r="G10" s="4" t="n"/>
      <c r="H10" s="4" t="n"/>
      <c r="I10" s="4" t="n"/>
      <c r="J10" s="4" t="n"/>
      <c r="K10" s="4" t="n"/>
      <c r="L10" s="4" t="n"/>
      <c r="M10" s="4" t="n"/>
      <c r="N10" s="4" t="n"/>
      <c r="O10" s="4" t="n"/>
      <c r="P10" s="4" t="n"/>
      <c r="Q10" s="4" t="n"/>
    </row>
    <row r="11">
      <c r="A11" s="4" t="n"/>
      <c r="B11" s="4" t="n"/>
      <c r="C11" s="4" t="n"/>
      <c r="D11" s="4" t="n"/>
      <c r="E11" s="4" t="n"/>
      <c r="F11" s="4" t="n"/>
      <c r="G11" s="4" t="n"/>
      <c r="H11" s="4" t="n"/>
      <c r="I11" s="4" t="n"/>
      <c r="J11" s="4" t="n"/>
      <c r="K11" s="4" t="n"/>
      <c r="L11" s="4" t="n"/>
      <c r="M11" s="4" t="n"/>
      <c r="N11" s="4" t="n"/>
      <c r="O11" s="4" t="n"/>
      <c r="P11" s="4" t="n"/>
      <c r="Q11" s="4" t="n"/>
    </row>
    <row r="12">
      <c r="A12" s="4" t="n"/>
      <c r="B12" s="4" t="n"/>
      <c r="C12" s="4" t="n"/>
      <c r="D12" s="4" t="n"/>
      <c r="E12" s="4" t="n"/>
      <c r="F12" s="4" t="n"/>
      <c r="G12" s="4" t="n"/>
      <c r="H12" s="4" t="n"/>
      <c r="I12" s="4" t="n"/>
      <c r="J12" s="4" t="n"/>
      <c r="K12" s="4" t="n"/>
      <c r="L12" s="4" t="n"/>
      <c r="M12" s="4" t="n"/>
      <c r="N12" s="4" t="n"/>
      <c r="O12" s="4" t="n"/>
      <c r="P12" s="4" t="n"/>
      <c r="Q12" s="4" t="n"/>
    </row>
    <row r="13">
      <c r="A13" s="4" t="n"/>
      <c r="B13" s="4" t="n"/>
      <c r="C13" s="4" t="n"/>
      <c r="D13" s="4" t="n"/>
      <c r="E13" s="4" t="n"/>
      <c r="F13" s="4" t="n"/>
      <c r="G13" s="4" t="n"/>
      <c r="H13" s="4" t="n"/>
      <c r="I13" s="4" t="n"/>
      <c r="J13" s="4" t="n"/>
      <c r="K13" s="4" t="n"/>
      <c r="L13" s="4" t="n"/>
      <c r="M13" s="4" t="n"/>
      <c r="N13" s="4" t="n"/>
      <c r="O13" s="4" t="n"/>
      <c r="P13" s="4" t="n"/>
      <c r="Q13" s="4" t="n"/>
    </row>
    <row r="14">
      <c r="A14" s="4" t="n"/>
      <c r="B14" s="4" t="n"/>
      <c r="C14" s="4" t="n"/>
      <c r="D14" s="4" t="n"/>
      <c r="E14" s="4" t="n"/>
      <c r="F14" s="4" t="n"/>
      <c r="G14" s="4" t="n"/>
      <c r="H14" s="4" t="n"/>
      <c r="I14" s="4" t="n"/>
      <c r="J14" s="4" t="n"/>
      <c r="K14" s="4" t="n"/>
      <c r="L14" s="4" t="n"/>
      <c r="M14" s="4" t="n"/>
      <c r="N14" s="4" t="n"/>
      <c r="O14" s="4" t="n"/>
      <c r="P14" s="4" t="n"/>
      <c r="Q14" s="4" t="n"/>
    </row>
    <row r="15">
      <c r="A15" s="4" t="n"/>
      <c r="B15" s="4" t="n"/>
      <c r="C15" s="4" t="n"/>
      <c r="D15" s="4" t="n"/>
      <c r="E15" s="4" t="n"/>
      <c r="F15" s="4" t="n"/>
      <c r="G15" s="4" t="n"/>
      <c r="H15" s="4" t="n"/>
      <c r="I15" s="4" t="n"/>
      <c r="J15" s="4" t="n"/>
      <c r="K15" s="4" t="n"/>
      <c r="L15" s="4" t="n"/>
      <c r="M15" s="4" t="n"/>
      <c r="N15" s="4" t="n"/>
      <c r="O15" s="4" t="n"/>
      <c r="P15" s="4" t="n"/>
      <c r="Q15" s="4" t="n"/>
    </row>
    <row r="16">
      <c r="A16" s="4" t="n"/>
      <c r="B16" s="4" t="n"/>
      <c r="C16" s="4" t="n"/>
      <c r="D16" s="4" t="n"/>
      <c r="E16" s="4" t="n"/>
      <c r="F16" s="4" t="n"/>
      <c r="G16" s="4" t="n"/>
      <c r="H16" s="4" t="n"/>
      <c r="I16" s="4" t="n"/>
      <c r="J16" s="4" t="n"/>
      <c r="K16" s="4" t="n"/>
      <c r="L16" s="4" t="n"/>
      <c r="M16" s="4" t="n"/>
      <c r="N16" s="4" t="n"/>
      <c r="O16" s="4" t="n"/>
      <c r="P16" s="4" t="n"/>
      <c r="Q16" s="4" t="n"/>
    </row>
    <row r="17">
      <c r="A17" s="4" t="n"/>
      <c r="B17" s="4" t="n"/>
      <c r="C17" s="4" t="n"/>
      <c r="D17" s="4" t="n"/>
      <c r="E17" s="4" t="n"/>
      <c r="F17" s="4" t="n"/>
      <c r="G17" s="4" t="n"/>
      <c r="H17" s="4" t="n"/>
      <c r="I17" s="4" t="n"/>
      <c r="J17" s="4" t="n"/>
      <c r="K17" s="4" t="n"/>
      <c r="L17" s="4" t="n"/>
      <c r="M17" s="4" t="n"/>
      <c r="N17" s="4" t="n"/>
      <c r="O17" s="4" t="n"/>
      <c r="P17" s="4" t="n"/>
      <c r="Q17" s="4" t="n"/>
    </row>
    <row r="18">
      <c r="A18" s="4" t="n"/>
      <c r="B18" s="4" t="n"/>
      <c r="C18" s="4" t="n"/>
      <c r="D18" s="4" t="n"/>
      <c r="E18" s="4" t="n"/>
      <c r="F18" s="4" t="n"/>
      <c r="G18" s="4" t="n"/>
      <c r="H18" s="4" t="n"/>
      <c r="I18" s="4" t="n"/>
      <c r="J18" s="4" t="n"/>
      <c r="K18" s="4" t="n"/>
      <c r="L18" s="4" t="n"/>
      <c r="M18" s="4" t="n"/>
      <c r="N18" s="4" t="n"/>
      <c r="O18" s="4" t="n"/>
      <c r="P18" s="4" t="n"/>
      <c r="Q18" s="4" t="n"/>
    </row>
    <row r="19">
      <c r="A19" s="4" t="n"/>
      <c r="B19" s="4" t="n"/>
      <c r="C19" s="4" t="n"/>
      <c r="D19" s="4" t="n"/>
      <c r="E19" s="4" t="n"/>
      <c r="F19" s="4" t="n"/>
      <c r="G19" s="4" t="n"/>
      <c r="H19" s="4" t="n"/>
      <c r="I19" s="4" t="n"/>
      <c r="J19" s="4" t="n"/>
      <c r="K19" s="4" t="n"/>
      <c r="L19" s="4" t="n"/>
      <c r="M19" s="4" t="n"/>
      <c r="N19" s="4" t="n"/>
      <c r="O19" s="4" t="n"/>
      <c r="P19" s="4" t="n"/>
      <c r="Q19" s="4" t="n"/>
    </row>
    <row r="20">
      <c r="A20" s="4" t="n"/>
      <c r="B20" s="4" t="n"/>
      <c r="C20" s="4" t="n"/>
      <c r="D20" s="4" t="n"/>
      <c r="E20" s="4" t="n"/>
      <c r="F20" s="4" t="n"/>
      <c r="G20" s="4" t="n"/>
      <c r="H20" s="4" t="n"/>
      <c r="I20" s="4" t="n"/>
      <c r="J20" s="4" t="n"/>
      <c r="K20" s="4" t="n"/>
      <c r="L20" s="4" t="n"/>
      <c r="M20" s="4" t="n"/>
      <c r="N20" s="4" t="n"/>
      <c r="O20" s="4" t="n"/>
      <c r="P20" s="4" t="n"/>
      <c r="Q20" s="4" t="n"/>
    </row>
    <row r="21">
      <c r="A21" s="4" t="n"/>
      <c r="B21" s="4" t="n"/>
      <c r="C21" s="4" t="n"/>
      <c r="D21" s="4" t="n"/>
      <c r="E21" s="4" t="n"/>
      <c r="F21" s="4" t="n"/>
      <c r="G21" s="4" t="n"/>
      <c r="H21" s="4" t="n"/>
      <c r="I21" s="4" t="n"/>
      <c r="J21" s="4" t="n"/>
      <c r="K21" s="4" t="n"/>
      <c r="L21" s="4" t="n"/>
      <c r="M21" s="4" t="n"/>
      <c r="N21" s="4" t="n"/>
      <c r="O21" s="4" t="n"/>
      <c r="P21" s="4" t="n"/>
      <c r="Q21" s="4" t="n"/>
    </row>
    <row r="22">
      <c r="A22" s="4" t="n"/>
      <c r="B22" s="4" t="n"/>
      <c r="C22" s="4" t="n"/>
      <c r="D22" s="4" t="n"/>
      <c r="E22" s="4" t="n"/>
      <c r="F22" s="4" t="n"/>
      <c r="G22" s="4" t="n"/>
      <c r="H22" s="4" t="n"/>
      <c r="I22" s="4" t="n"/>
      <c r="J22" s="4" t="n"/>
      <c r="K22" s="4" t="n"/>
      <c r="L22" s="4" t="n"/>
      <c r="M22" s="4" t="n"/>
      <c r="N22" s="4" t="n"/>
      <c r="O22" s="4" t="n"/>
      <c r="P22" s="4" t="n"/>
      <c r="Q22" s="4" t="n"/>
    </row>
    <row r="23">
      <c r="A23" s="4" t="n"/>
      <c r="B23" s="4" t="n"/>
      <c r="C23" s="4" t="n"/>
      <c r="D23" s="4" t="n"/>
      <c r="E23" s="4" t="n"/>
      <c r="F23" s="4" t="n"/>
      <c r="G23" s="4" t="n"/>
      <c r="H23" s="4" t="n"/>
      <c r="I23" s="4" t="n"/>
      <c r="J23" s="4" t="n"/>
      <c r="K23" s="4" t="n"/>
      <c r="L23" s="4" t="n"/>
      <c r="M23" s="4" t="n"/>
      <c r="N23" s="4" t="n"/>
      <c r="O23" s="4" t="n"/>
      <c r="P23" s="4" t="n"/>
      <c r="Q23" s="4" t="n"/>
    </row>
    <row r="24">
      <c r="A24" s="4" t="n"/>
      <c r="B24" s="4" t="n"/>
      <c r="C24" s="4" t="n"/>
      <c r="D24" s="4" t="n"/>
      <c r="E24" s="4" t="n"/>
      <c r="F24" s="4" t="n"/>
      <c r="G24" s="4" t="n"/>
      <c r="H24" s="4" t="n"/>
      <c r="I24" s="4" t="n"/>
      <c r="J24" s="4" t="n"/>
      <c r="K24" s="4" t="n"/>
      <c r="L24" s="4" t="n"/>
      <c r="M24" s="4" t="n"/>
      <c r="N24" s="4" t="n"/>
      <c r="O24" s="4" t="n"/>
      <c r="P24" s="4" t="n"/>
      <c r="Q24" s="4" t="n"/>
    </row>
    <row r="25">
      <c r="A25" s="4" t="n"/>
      <c r="B25" s="4" t="n"/>
      <c r="C25" s="4" t="n"/>
      <c r="D25" s="4" t="n"/>
      <c r="E25" s="4" t="n"/>
      <c r="F25" s="4" t="n"/>
      <c r="G25" s="4" t="n"/>
      <c r="H25" s="4" t="n"/>
      <c r="I25" s="4" t="n"/>
      <c r="J25" s="4" t="n"/>
      <c r="K25" s="4" t="n"/>
      <c r="L25" s="4" t="n"/>
      <c r="M25" s="4" t="n"/>
      <c r="N25" s="4" t="n"/>
      <c r="O25" s="4" t="n"/>
      <c r="P25" s="4" t="n"/>
      <c r="Q25" s="4" t="n"/>
    </row>
    <row r="26">
      <c r="A26" s="4" t="n"/>
      <c r="B26" s="4" t="n"/>
      <c r="C26" s="4" t="n"/>
      <c r="D26" s="4" t="n"/>
      <c r="E26" s="4" t="n"/>
      <c r="F26" s="4" t="n"/>
      <c r="G26" s="4" t="n"/>
      <c r="H26" s="4" t="n"/>
      <c r="I26" s="4" t="n"/>
      <c r="J26" s="4" t="n"/>
      <c r="K26" s="4" t="n"/>
      <c r="L26" s="4" t="n"/>
      <c r="M26" s="4" t="n"/>
      <c r="N26" s="4" t="n"/>
      <c r="O26" s="4" t="n"/>
      <c r="P26" s="4" t="n"/>
      <c r="Q26" s="4" t="n"/>
    </row>
    <row r="27">
      <c r="A27" s="4" t="n"/>
      <c r="B27" s="4" t="n"/>
      <c r="C27" s="4" t="n"/>
      <c r="D27" s="4" t="n"/>
      <c r="E27" s="4" t="n"/>
      <c r="F27" s="4" t="n"/>
      <c r="G27" s="4" t="n"/>
      <c r="H27" s="4" t="n"/>
      <c r="I27" s="4" t="n"/>
      <c r="J27" s="4" t="n"/>
      <c r="K27" s="4" t="n"/>
      <c r="L27" s="4" t="n"/>
      <c r="M27" s="4" t="n"/>
      <c r="N27" s="4" t="n"/>
      <c r="O27" s="4" t="n"/>
      <c r="P27" s="4" t="n"/>
      <c r="Q27" s="4" t="n"/>
    </row>
    <row r="28">
      <c r="A28" s="4" t="n"/>
      <c r="B28" s="4" t="n"/>
      <c r="C28" s="4" t="n"/>
      <c r="D28" s="4" t="n"/>
      <c r="E28" s="4" t="n"/>
      <c r="F28" s="4" t="n"/>
      <c r="G28" s="4" t="n"/>
      <c r="H28" s="4" t="n"/>
      <c r="I28" s="4" t="n"/>
      <c r="J28" s="4" t="n"/>
      <c r="K28" s="4" t="n"/>
      <c r="L28" s="4" t="n"/>
      <c r="M28" s="4" t="n"/>
      <c r="N28" s="4" t="n"/>
      <c r="O28" s="4" t="n"/>
      <c r="P28" s="4" t="n"/>
      <c r="Q28" s="4" t="n"/>
    </row>
    <row r="29">
      <c r="A29" s="4" t="n"/>
      <c r="B29" s="4" t="n"/>
      <c r="C29" s="4" t="n"/>
      <c r="D29" s="4" t="n"/>
      <c r="E29" s="4" t="n"/>
      <c r="F29" s="4" t="n"/>
      <c r="G29" s="4" t="n"/>
      <c r="H29" s="4" t="n"/>
      <c r="I29" s="4" t="n"/>
      <c r="J29" s="4" t="n"/>
      <c r="K29" s="4" t="n"/>
      <c r="L29" s="4" t="n"/>
      <c r="M29" s="4" t="n"/>
      <c r="N29" s="4" t="n"/>
      <c r="O29" s="4" t="n"/>
      <c r="P29" s="4" t="n"/>
      <c r="Q29" s="4" t="n"/>
    </row>
    <row r="30">
      <c r="A30" s="4" t="n"/>
      <c r="B30" s="4" t="n"/>
      <c r="C30" s="4" t="n"/>
      <c r="D30" s="4" t="n"/>
      <c r="E30" s="4" t="n"/>
      <c r="F30" s="4" t="n"/>
      <c r="G30" s="4" t="n"/>
      <c r="H30" s="4" t="n"/>
      <c r="I30" s="4" t="n"/>
      <c r="J30" s="4" t="n"/>
      <c r="K30" s="4" t="n"/>
      <c r="L30" s="4" t="n"/>
      <c r="M30" s="4" t="n"/>
      <c r="N30" s="4" t="n"/>
      <c r="O30" s="4" t="n"/>
      <c r="P30" s="4" t="n"/>
      <c r="Q30" s="4" t="n"/>
    </row>
    <row r="31">
      <c r="A31" s="4" t="n"/>
      <c r="B31" s="4" t="n"/>
      <c r="C31" s="4" t="n"/>
      <c r="D31" s="4" t="n"/>
      <c r="E31" s="4" t="n"/>
      <c r="F31" s="4" t="n"/>
      <c r="G31" s="4" t="n"/>
      <c r="H31" s="4" t="n"/>
      <c r="I31" s="4" t="n"/>
      <c r="J31" s="4" t="n"/>
      <c r="K31" s="4" t="n"/>
      <c r="L31" s="4" t="n"/>
      <c r="M31" s="4" t="n"/>
      <c r="N31" s="4" t="n"/>
      <c r="O31" s="4" t="n"/>
      <c r="P31" s="4" t="n"/>
      <c r="Q31" s="4" t="n"/>
    </row>
    <row r="32">
      <c r="A32" s="4" t="n"/>
      <c r="B32" s="4" t="n"/>
      <c r="C32" s="4" t="n"/>
      <c r="D32" s="4" t="n"/>
      <c r="E32" s="4" t="n"/>
      <c r="F32" s="4" t="n"/>
      <c r="G32" s="4" t="n"/>
      <c r="H32" s="4" t="n"/>
      <c r="I32" s="4" t="n"/>
      <c r="J32" s="4" t="n"/>
      <c r="K32" s="4" t="n"/>
      <c r="L32" s="4" t="n"/>
      <c r="M32" s="4" t="n"/>
      <c r="N32" s="4" t="n"/>
      <c r="O32" s="4" t="n"/>
      <c r="P32" s="4" t="n"/>
      <c r="Q32" s="4" t="n"/>
    </row>
    <row r="33">
      <c r="A33" s="4" t="n"/>
      <c r="B33" s="4" t="n"/>
      <c r="C33" s="4" t="n"/>
      <c r="D33" s="4" t="n"/>
      <c r="E33" s="4" t="n"/>
      <c r="F33" s="4" t="n"/>
      <c r="G33" s="4" t="n"/>
      <c r="H33" s="4" t="n"/>
      <c r="I33" s="4" t="n"/>
      <c r="J33" s="4" t="n"/>
      <c r="K33" s="4" t="n"/>
      <c r="L33" s="4" t="n"/>
      <c r="M33" s="4" t="n"/>
      <c r="N33" s="4" t="n"/>
      <c r="O33" s="4" t="n"/>
      <c r="P33" s="4" t="n"/>
      <c r="Q33" s="4" t="n"/>
    </row>
    <row r="34">
      <c r="A34" s="4" t="n"/>
      <c r="B34" s="4" t="n"/>
      <c r="C34" s="4" t="n"/>
      <c r="D34" s="4" t="n"/>
      <c r="E34" s="4" t="n"/>
      <c r="F34" s="4" t="n"/>
      <c r="G34" s="4" t="n"/>
      <c r="H34" s="4" t="n"/>
      <c r="I34" s="4" t="n"/>
      <c r="J34" s="4" t="n"/>
      <c r="K34" s="4" t="n"/>
      <c r="L34" s="4" t="n"/>
      <c r="M34" s="4" t="n"/>
      <c r="N34" s="4" t="n"/>
      <c r="O34" s="4" t="n"/>
      <c r="P34" s="4" t="n"/>
      <c r="Q34" s="4" t="n"/>
    </row>
    <row r="35">
      <c r="A35" s="4" t="n"/>
      <c r="B35" s="4" t="n"/>
      <c r="C35" s="4" t="n"/>
      <c r="D35" s="4" t="n"/>
      <c r="E35" s="4" t="n"/>
      <c r="F35" s="4" t="n"/>
      <c r="G35" s="4" t="n"/>
      <c r="H35" s="4" t="n"/>
      <c r="I35" s="4" t="n"/>
      <c r="J35" s="4" t="n"/>
      <c r="K35" s="4" t="n"/>
      <c r="L35" s="4" t="n"/>
      <c r="M35" s="4" t="n"/>
      <c r="N35" s="4" t="n"/>
      <c r="O35" s="4" t="n"/>
      <c r="P35" s="4" t="n"/>
      <c r="Q35" s="4" t="n"/>
    </row>
    <row r="36">
      <c r="A36" s="4" t="n"/>
      <c r="B36" s="4" t="n"/>
      <c r="C36" s="4" t="n"/>
      <c r="D36" s="4" t="n"/>
      <c r="E36" s="4" t="n"/>
      <c r="F36" s="4" t="n"/>
      <c r="G36" s="4" t="n"/>
      <c r="H36" s="4" t="n"/>
      <c r="I36" s="4" t="n"/>
      <c r="J36" s="4" t="n"/>
      <c r="K36" s="4" t="n"/>
      <c r="L36" s="4" t="n"/>
      <c r="M36" s="4" t="n"/>
      <c r="N36" s="4" t="n"/>
      <c r="O36" s="4" t="n"/>
      <c r="P36" s="4" t="n"/>
      <c r="Q36" s="4" t="n"/>
    </row>
    <row r="37">
      <c r="A37" s="4" t="n"/>
      <c r="B37" s="4" t="n"/>
      <c r="C37" s="4" t="n"/>
      <c r="D37" s="4" t="n"/>
      <c r="E37" s="4" t="n"/>
      <c r="F37" s="4" t="n"/>
      <c r="G37" s="4" t="n"/>
      <c r="H37" s="4" t="n"/>
      <c r="I37" s="4" t="n"/>
      <c r="J37" s="4" t="n"/>
      <c r="K37" s="4" t="n"/>
      <c r="L37" s="4" t="n"/>
      <c r="M37" s="4" t="n"/>
      <c r="N37" s="4" t="n"/>
      <c r="O37" s="4" t="n"/>
      <c r="P37" s="4" t="n"/>
      <c r="Q37" s="4" t="n"/>
    </row>
    <row r="38">
      <c r="A38" s="4" t="n"/>
      <c r="B38" s="4" t="n"/>
      <c r="C38" s="4" t="n"/>
      <c r="D38" s="4" t="n"/>
      <c r="E38" s="4" t="n"/>
      <c r="F38" s="4" t="n"/>
      <c r="G38" s="4" t="n"/>
      <c r="H38" s="4" t="n"/>
      <c r="I38" s="4" t="n"/>
      <c r="J38" s="4" t="n"/>
      <c r="K38" s="4" t="n"/>
      <c r="L38" s="4" t="n"/>
      <c r="M38" s="4" t="n"/>
      <c r="N38" s="4" t="n"/>
      <c r="O38" s="4" t="n"/>
      <c r="P38" s="4" t="n"/>
      <c r="Q38" s="4" t="n"/>
    </row>
    <row r="39">
      <c r="A39" s="4" t="n"/>
      <c r="B39" s="4" t="n"/>
      <c r="C39" s="4" t="n"/>
      <c r="D39" s="4" t="n"/>
      <c r="E39" s="4" t="n"/>
      <c r="F39" s="4" t="n"/>
      <c r="G39" s="4" t="n"/>
      <c r="H39" s="4" t="n"/>
      <c r="I39" s="4" t="n"/>
      <c r="J39" s="4" t="n"/>
      <c r="K39" s="4" t="n"/>
      <c r="L39" s="4" t="n"/>
      <c r="M39" s="4" t="n"/>
      <c r="N39" s="4" t="n"/>
      <c r="O39" s="4" t="n"/>
      <c r="P39" s="4" t="n"/>
      <c r="Q39" s="4" t="n"/>
    </row>
    <row r="40">
      <c r="A40" s="4" t="n"/>
      <c r="B40" s="4" t="n"/>
      <c r="C40" s="4" t="n"/>
      <c r="D40" s="4" t="n"/>
      <c r="E40" s="4" t="n"/>
      <c r="F40" s="4" t="n"/>
      <c r="G40" s="4" t="n"/>
      <c r="H40" s="4" t="n"/>
      <c r="I40" s="4" t="n"/>
      <c r="J40" s="4" t="n"/>
      <c r="K40" s="4" t="n"/>
      <c r="L40" s="4" t="n"/>
      <c r="M40" s="4" t="n"/>
      <c r="N40" s="4" t="n"/>
      <c r="O40" s="4" t="n"/>
      <c r="P40" s="4" t="n"/>
      <c r="Q40" s="4" t="n"/>
    </row>
    <row r="41">
      <c r="A41" s="4" t="n"/>
      <c r="B41" s="4" t="n"/>
      <c r="C41" s="4" t="n"/>
      <c r="D41" s="4" t="n"/>
      <c r="E41" s="4" t="n"/>
      <c r="F41" s="4" t="n"/>
      <c r="G41" s="4" t="n"/>
      <c r="H41" s="4" t="n"/>
      <c r="I41" s="4" t="n"/>
      <c r="J41" s="4" t="n"/>
      <c r="K41" s="4" t="n"/>
      <c r="L41" s="4" t="n"/>
      <c r="M41" s="4" t="n"/>
      <c r="N41" s="4" t="n"/>
      <c r="O41" s="4" t="n"/>
      <c r="P41" s="4" t="n"/>
      <c r="Q41" s="4" t="n"/>
    </row>
    <row r="42">
      <c r="A42" s="4" t="n"/>
      <c r="B42" s="4" t="n"/>
      <c r="C42" s="4" t="n"/>
      <c r="D42" s="4" t="n"/>
      <c r="E42" s="4" t="n"/>
      <c r="F42" s="4" t="n"/>
      <c r="G42" s="4" t="n"/>
      <c r="H42" s="4" t="n"/>
      <c r="I42" s="4" t="n"/>
      <c r="J42" s="4" t="n"/>
      <c r="K42" s="4" t="n"/>
      <c r="L42" s="4" t="n"/>
      <c r="M42" s="4" t="n"/>
      <c r="N42" s="4" t="n"/>
      <c r="O42" s="4" t="n"/>
      <c r="P42" s="4" t="n"/>
      <c r="Q42" s="4" t="n"/>
    </row>
    <row r="43">
      <c r="A43" s="4" t="n"/>
      <c r="B43" s="4" t="n"/>
      <c r="C43" s="4" t="n"/>
      <c r="D43" s="4" t="n"/>
      <c r="E43" s="4" t="n"/>
      <c r="F43" s="4" t="n"/>
      <c r="G43" s="4" t="n"/>
      <c r="H43" s="4" t="n"/>
      <c r="I43" s="4" t="n"/>
      <c r="J43" s="4" t="n"/>
      <c r="K43" s="4" t="n"/>
      <c r="L43" s="4" t="n"/>
      <c r="M43" s="4" t="n"/>
      <c r="N43" s="4" t="n"/>
      <c r="O43" s="4" t="n"/>
      <c r="P43" s="4" t="n"/>
      <c r="Q43" s="4" t="n"/>
    </row>
    <row r="44">
      <c r="A44" s="4" t="n"/>
      <c r="B44" s="4" t="n"/>
      <c r="C44" s="4" t="n"/>
      <c r="D44" s="4" t="n"/>
      <c r="E44" s="4" t="n"/>
      <c r="F44" s="4" t="n"/>
      <c r="G44" s="4" t="n"/>
      <c r="H44" s="4" t="n"/>
      <c r="I44" s="4" t="n"/>
      <c r="J44" s="4" t="n"/>
      <c r="K44" s="4" t="n"/>
      <c r="L44" s="4" t="n"/>
      <c r="M44" s="4" t="n"/>
      <c r="N44" s="4" t="n"/>
      <c r="O44" s="4" t="n"/>
      <c r="P44" s="4" t="n"/>
      <c r="Q44" s="4" t="n"/>
    </row>
    <row r="45">
      <c r="A45" s="4" t="n"/>
      <c r="B45" s="4" t="n"/>
      <c r="C45" s="4" t="n"/>
      <c r="D45" s="4" t="n"/>
      <c r="E45" s="4" t="n"/>
      <c r="F45" s="4" t="n"/>
      <c r="G45" s="4" t="n"/>
      <c r="H45" s="4" t="n"/>
      <c r="I45" s="4" t="n"/>
      <c r="J45" s="4" t="n"/>
      <c r="K45" s="4" t="n"/>
      <c r="L45" s="4" t="n"/>
      <c r="M45" s="4" t="n"/>
      <c r="N45" s="4" t="n"/>
      <c r="O45" s="4" t="n"/>
      <c r="P45" s="4" t="n"/>
      <c r="Q45" s="4" t="n"/>
    </row>
    <row r="46">
      <c r="A46" s="4" t="n"/>
      <c r="B46" s="4" t="n"/>
      <c r="C46" s="4" t="n"/>
      <c r="D46" s="4" t="n"/>
      <c r="E46" s="4" t="n"/>
      <c r="F46" s="4" t="n"/>
      <c r="G46" s="4" t="n"/>
      <c r="H46" s="4" t="n"/>
      <c r="I46" s="4" t="n"/>
      <c r="J46" s="4" t="n"/>
      <c r="K46" s="4" t="n"/>
      <c r="L46" s="4" t="n"/>
      <c r="M46" s="4" t="n"/>
      <c r="N46" s="4" t="n"/>
      <c r="O46" s="4" t="n"/>
      <c r="P46" s="4" t="n"/>
      <c r="Q46" s="4" t="n"/>
    </row>
    <row r="47">
      <c r="A47" s="4" t="n"/>
      <c r="B47" s="4" t="n"/>
      <c r="C47" s="4" t="n"/>
      <c r="D47" s="4" t="n"/>
      <c r="E47" s="4" t="n"/>
      <c r="F47" s="4" t="n"/>
      <c r="G47" s="4" t="n"/>
      <c r="H47" s="4" t="n"/>
      <c r="I47" s="4" t="n"/>
      <c r="J47" s="4" t="n"/>
      <c r="K47" s="4" t="n"/>
      <c r="L47" s="4" t="n"/>
      <c r="M47" s="4" t="n"/>
      <c r="N47" s="4" t="n"/>
      <c r="O47" s="4" t="n"/>
      <c r="P47" s="4" t="n"/>
      <c r="Q47" s="4" t="n"/>
    </row>
    <row r="48">
      <c r="A48" s="4" t="n"/>
      <c r="B48" s="4" t="n"/>
      <c r="C48" s="4" t="n"/>
      <c r="D48" s="4" t="n"/>
      <c r="E48" s="4" t="n"/>
      <c r="F48" s="4" t="n"/>
      <c r="G48" s="4" t="n"/>
      <c r="H48" s="4" t="n"/>
      <c r="I48" s="4" t="n"/>
      <c r="J48" s="4" t="n"/>
      <c r="K48" s="4" t="n"/>
      <c r="L48" s="4" t="n"/>
      <c r="M48" s="4" t="n"/>
      <c r="N48" s="4" t="n"/>
      <c r="O48" s="4" t="n"/>
      <c r="P48" s="4" t="n"/>
      <c r="Q48" s="4" t="n"/>
    </row>
    <row r="49">
      <c r="A49" s="4" t="n"/>
      <c r="B49" s="4" t="n"/>
      <c r="C49" s="4" t="n"/>
      <c r="D49" s="4" t="n"/>
      <c r="E49" s="4" t="n"/>
      <c r="F49" s="4" t="n"/>
      <c r="G49" s="4" t="n"/>
      <c r="H49" s="4" t="n"/>
      <c r="I49" s="4" t="n"/>
      <c r="J49" s="4" t="n"/>
      <c r="K49" s="4" t="n"/>
      <c r="L49" s="4" t="n"/>
      <c r="M49" s="4" t="n"/>
      <c r="N49" s="4" t="n"/>
      <c r="O49" s="4" t="n"/>
      <c r="P49" s="4" t="n"/>
      <c r="Q49" s="4" t="n"/>
    </row>
    <row r="50">
      <c r="A50" s="4" t="n"/>
      <c r="B50" s="4" t="n"/>
      <c r="C50" s="4" t="n"/>
      <c r="D50" s="4" t="n"/>
      <c r="E50" s="4" t="n"/>
      <c r="F50" s="4" t="n"/>
      <c r="G50" s="4" t="n"/>
      <c r="H50" s="4" t="n"/>
      <c r="I50" s="4" t="n"/>
      <c r="J50" s="4" t="n"/>
      <c r="K50" s="4" t="n"/>
      <c r="L50" s="4" t="n"/>
      <c r="M50" s="4" t="n"/>
      <c r="N50" s="4" t="n"/>
      <c r="O50" s="4" t="n"/>
      <c r="P50" s="4" t="n"/>
      <c r="Q50" s="4" t="n"/>
    </row>
    <row r="51">
      <c r="A51" s="4" t="n"/>
      <c r="B51" s="4" t="n"/>
      <c r="C51" s="4" t="n"/>
      <c r="D51" s="4" t="n"/>
      <c r="E51" s="4" t="n"/>
      <c r="F51" s="4" t="n"/>
      <c r="G51" s="4" t="n"/>
      <c r="H51" s="4" t="n"/>
      <c r="I51" s="4" t="n"/>
      <c r="J51" s="4" t="n"/>
      <c r="K51" s="4" t="n"/>
      <c r="L51" s="4" t="n"/>
      <c r="M51" s="4" t="n"/>
      <c r="N51" s="4" t="n"/>
      <c r="O51" s="4" t="n"/>
      <c r="P51" s="4" t="n"/>
      <c r="Q51" s="4" t="n"/>
    </row>
    <row r="52">
      <c r="A52" s="4" t="n"/>
      <c r="B52" s="4" t="n"/>
      <c r="C52" s="4" t="n"/>
      <c r="D52" s="4" t="n"/>
      <c r="E52" s="4" t="n"/>
      <c r="F52" s="4" t="n"/>
      <c r="G52" s="4" t="n"/>
      <c r="H52" s="4" t="n"/>
      <c r="I52" s="4" t="n"/>
      <c r="J52" s="4" t="n"/>
      <c r="K52" s="4" t="n"/>
      <c r="L52" s="4" t="n"/>
      <c r="M52" s="4" t="n"/>
      <c r="N52" s="4" t="n"/>
      <c r="O52" s="4" t="n"/>
      <c r="P52" s="4" t="n"/>
      <c r="Q52" s="4" t="n"/>
    </row>
    <row r="53">
      <c r="A53" s="4" t="n"/>
      <c r="B53" s="4" t="n"/>
      <c r="C53" s="4" t="n"/>
      <c r="D53" s="4" t="n"/>
      <c r="E53" s="4" t="n"/>
      <c r="F53" s="4" t="n"/>
      <c r="G53" s="4" t="n"/>
      <c r="H53" s="4" t="n"/>
      <c r="I53" s="4" t="n"/>
      <c r="J53" s="4" t="n"/>
      <c r="K53" s="4" t="n"/>
      <c r="L53" s="4" t="n"/>
      <c r="M53" s="4" t="n"/>
      <c r="N53" s="4" t="n"/>
      <c r="O53" s="4" t="n"/>
      <c r="P53" s="4" t="n"/>
      <c r="Q53" s="4" t="n"/>
    </row>
    <row r="54">
      <c r="A54" s="4" t="n"/>
      <c r="B54" s="4" t="n"/>
      <c r="C54" s="4" t="n"/>
      <c r="D54" s="4" t="n"/>
      <c r="E54" s="4" t="n"/>
      <c r="F54" s="4" t="n"/>
      <c r="G54" s="4" t="n"/>
      <c r="H54" s="4" t="n"/>
      <c r="I54" s="4" t="n"/>
      <c r="J54" s="4" t="n"/>
      <c r="K54" s="4" t="n"/>
      <c r="L54" s="4" t="n"/>
      <c r="M54" s="4" t="n"/>
      <c r="N54" s="4" t="n"/>
      <c r="O54" s="4" t="n"/>
      <c r="P54" s="4" t="n"/>
      <c r="Q54" s="4" t="n"/>
    </row>
    <row r="55">
      <c r="A55" s="4" t="n"/>
      <c r="B55" s="4" t="n"/>
      <c r="C55" s="4" t="n"/>
      <c r="D55" s="4" t="n"/>
      <c r="E55" s="4" t="n"/>
      <c r="F55" s="4" t="n"/>
      <c r="G55" s="4" t="n"/>
      <c r="H55" s="4" t="n"/>
      <c r="I55" s="4" t="n"/>
      <c r="J55" s="4" t="n"/>
      <c r="K55" s="4" t="n"/>
      <c r="L55" s="4" t="n"/>
      <c r="M55" s="4" t="n"/>
      <c r="N55" s="4" t="n"/>
      <c r="O55" s="4" t="n"/>
      <c r="P55" s="4" t="n"/>
      <c r="Q55" s="4" t="n"/>
    </row>
    <row r="56">
      <c r="A56" s="4" t="n"/>
      <c r="B56" s="4" t="n"/>
      <c r="C56" s="4" t="n"/>
      <c r="D56" s="4" t="n"/>
      <c r="E56" s="4" t="n"/>
      <c r="F56" s="4" t="n"/>
      <c r="G56" s="4" t="n"/>
      <c r="H56" s="4" t="n"/>
      <c r="I56" s="4" t="n"/>
      <c r="J56" s="4" t="n"/>
      <c r="K56" s="4" t="n"/>
      <c r="L56" s="4" t="n"/>
      <c r="M56" s="4" t="n"/>
      <c r="N56" s="4" t="n"/>
      <c r="O56" s="4" t="n"/>
      <c r="P56" s="4" t="n"/>
      <c r="Q56" s="4" t="n"/>
    </row>
    <row r="57">
      <c r="A57" s="4" t="n"/>
      <c r="B57" s="4" t="n"/>
      <c r="C57" s="4" t="n"/>
      <c r="D57" s="4" t="n"/>
      <c r="E57" s="4" t="n"/>
      <c r="F57" s="4" t="n"/>
      <c r="G57" s="4" t="n"/>
      <c r="H57" s="4" t="n"/>
      <c r="I57" s="4" t="n"/>
      <c r="J57" s="4" t="n"/>
      <c r="K57" s="4" t="n"/>
      <c r="L57" s="4" t="n"/>
      <c r="M57" s="4" t="n"/>
      <c r="N57" s="4" t="n"/>
      <c r="O57" s="4" t="n"/>
      <c r="P57" s="4" t="n"/>
      <c r="Q57" s="4" t="n"/>
    </row>
    <row r="60">
      <c r="A60" s="9" t="inlineStr">
        <is>
          <t>ENVIRONMENT CHECKLIST</t>
        </is>
      </c>
    </row>
    <row r="61">
      <c r="A61" t="inlineStr">
        <is>
          <t>☐</t>
        </is>
      </c>
      <c r="B61" t="inlineStr">
        <is>
          <t>All production environments documented</t>
        </is>
      </c>
      <c r="C61" s="4" t="n"/>
    </row>
    <row r="62">
      <c r="A62" t="inlineStr">
        <is>
          <t>☐</t>
        </is>
      </c>
      <c r="B62" t="inlineStr">
        <is>
          <t>All non-production environments documented (Dev/Test/UAT/Sandbox)</t>
        </is>
      </c>
      <c r="C62" s="4" t="n"/>
    </row>
    <row r="63">
      <c r="A63" t="inlineStr">
        <is>
          <t>☐</t>
        </is>
      </c>
      <c r="B63" t="inlineStr">
        <is>
          <t>All analytics/reporting environments documented</t>
        </is>
      </c>
      <c r="C63" s="4" t="n"/>
    </row>
    <row r="64">
      <c r="A64" t="inlineStr">
        <is>
          <t>☐</t>
        </is>
      </c>
      <c r="B64" t="inlineStr">
        <is>
          <t>All cloud environments documented (AWS/Azure/GCP/Other)</t>
        </is>
      </c>
      <c r="C64" s="4" t="n"/>
    </row>
    <row r="65">
      <c r="A65" t="inlineStr">
        <is>
          <t>☐</t>
        </is>
      </c>
      <c r="B65" t="inlineStr">
        <is>
          <t>All backup/archive systems documented</t>
        </is>
      </c>
      <c r="C65" s="4" t="n"/>
    </row>
    <row r="66">
      <c r="A66" t="inlineStr">
        <is>
          <t>☐</t>
        </is>
      </c>
      <c r="B66" t="inlineStr">
        <is>
          <t>External data sharing destinations documented</t>
        </is>
      </c>
      <c r="C66" s="4" t="n"/>
    </row>
    <row r="67">
      <c r="A67" t="inlineStr">
        <is>
          <t>☐</t>
        </is>
      </c>
      <c r="B67" t="inlineStr">
        <is>
          <t>Each environment classified (Sensitive/Confidential/Internal/Public)</t>
        </is>
      </c>
      <c r="C67" s="4" t="n"/>
    </row>
    <row r="68">
      <c r="A68" t="inlineStr">
        <is>
          <t>☐</t>
        </is>
      </c>
      <c r="B68" t="inlineStr">
        <is>
          <t>Data sensitivity level assigned per environment</t>
        </is>
      </c>
      <c r="C68" s="4" t="n"/>
    </row>
    <row r="69">
      <c r="A69" t="inlineStr">
        <is>
          <t>☐</t>
        </is>
      </c>
      <c r="B69" t="inlineStr">
        <is>
          <t>Masking requirement determined (Mandatory/Conditional/Not Required)</t>
        </is>
      </c>
      <c r="C69" s="4" t="n"/>
    </row>
    <row r="70">
      <c r="A70" t="inlineStr">
        <is>
          <t>☐</t>
        </is>
      </c>
      <c r="B70" t="inlineStr">
        <is>
          <t>Environment owners assigned</t>
        </is>
      </c>
      <c r="C70" s="4" t="n"/>
    </row>
    <row r="71">
      <c r="A71" t="inlineStr">
        <is>
          <t>☐</t>
        </is>
      </c>
      <c r="B71" t="inlineStr">
        <is>
          <t>Data owners assigned</t>
        </is>
      </c>
      <c r="C71" s="4" t="n"/>
    </row>
    <row r="72">
      <c r="A72" t="inlineStr">
        <is>
          <t>☐</t>
        </is>
      </c>
      <c r="B72" t="inlineStr">
        <is>
          <t>Hosting location documented (On-Prem/Cloud)</t>
        </is>
      </c>
      <c r="C72" s="4" t="n"/>
    </row>
    <row r="73">
      <c r="A73" t="inlineStr">
        <is>
          <t>☐</t>
        </is>
      </c>
      <c r="B73" t="inlineStr">
        <is>
          <t>Environment inventory reviewed in last 6 months</t>
        </is>
      </c>
      <c r="C73" s="4" t="n"/>
    </row>
    <row r="74">
      <c r="A74" t="inlineStr">
        <is>
          <t>☐</t>
        </is>
      </c>
      <c r="B74" t="inlineStr">
        <is>
          <t>New environments added to inventory within 30 days of deployment</t>
        </is>
      </c>
      <c r="C74" s="4" t="n"/>
    </row>
    <row r="75">
      <c r="A75" t="inlineStr">
        <is>
          <t>☐</t>
        </is>
      </c>
      <c r="B75" t="inlineStr">
        <is>
          <t>Decommissioned environments removed from inventory</t>
        </is>
      </c>
      <c r="C75"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C73 C74 C75" showDropDown="0" showInputMessage="0" showErrorMessage="0" allowBlank="0" type="list">
      <formula1>"✅ Complete,⚠️ Partial,❌ Missing,N/A"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78"/>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20" customWidth="1" min="18" max="18"/>
    <col width="25" customWidth="1" min="19" max="19"/>
    <col width="15" customWidth="1" min="20" max="20"/>
    <col width="20" customWidth="1" min="21" max="21"/>
    <col width="30" customWidth="1" min="22" max="22"/>
    <col width="12" customWidth="1" min="23" max="23"/>
    <col width="15" customWidth="1" min="24" max="24"/>
  </cols>
  <sheetData>
    <row r="1" ht="35" customHeight="1">
      <c r="A1" s="1" t="inlineStr">
        <is>
          <t>PRODUCTION ENVIRONMENT ASSESSMENT</t>
        </is>
      </c>
    </row>
    <row r="2">
      <c r="A2" s="8" t="inlineStr">
        <is>
          <t>Policy Reference: Production environments may use Dynamic Data Masking (DDM) for role-based access. All access to unmasked data must be logged. (ISMS-POL-A.8.11-S2.3 Section 3.1)</t>
        </is>
      </c>
    </row>
    <row r="3">
      <c r="A3" s="9" t="inlineStr">
        <is>
          <t>Does your organisation implement role-based masking (DDM) in production environments to restrict access to sensitive data?</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User Role/Group</t>
        </is>
      </c>
      <c r="S6" s="10" t="inlineStr">
        <is>
          <t>Masked Fields</t>
        </is>
      </c>
      <c r="T6" s="10" t="inlineStr">
        <is>
          <t>Unmasked Access Logged?</t>
        </is>
      </c>
      <c r="U6" s="10" t="inlineStr">
        <is>
          <t>Access Control Method</t>
        </is>
      </c>
      <c r="V6" s="10" t="inlineStr">
        <is>
          <t>Exception Justification</t>
        </is>
      </c>
      <c r="W6" s="10" t="inlineStr">
        <is>
          <t>Risk Level</t>
        </is>
      </c>
      <c r="X6" s="10" t="inlineStr">
        <is>
          <t>Remediation Target Date</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PRODUCTION CHECKLIST</t>
        </is>
      </c>
    </row>
    <row r="61">
      <c r="A61" t="inlineStr">
        <is>
          <t>☐</t>
        </is>
      </c>
      <c r="B61" t="inlineStr">
        <is>
          <t>DDM implemented for role-based access in production</t>
        </is>
      </c>
      <c r="C61" s="4" t="n"/>
    </row>
    <row r="62">
      <c r="A62" t="inlineStr">
        <is>
          <t>☐</t>
        </is>
      </c>
      <c r="B62" t="inlineStr">
        <is>
          <t>Customer service representatives see masked customer data</t>
        </is>
      </c>
      <c r="C62" s="4" t="n"/>
    </row>
    <row r="63">
      <c r="A63" t="inlineStr">
        <is>
          <t>☐</t>
        </is>
      </c>
      <c r="B63" t="inlineStr">
        <is>
          <t>Production reports mask data for non-privileged users</t>
        </is>
      </c>
      <c r="C63" s="4" t="n"/>
    </row>
    <row r="64">
      <c r="A64" t="inlineStr">
        <is>
          <t>☐</t>
        </is>
      </c>
      <c r="B64" t="inlineStr">
        <is>
          <t>Audit logs containing sensitive data are masked/encrypted</t>
        </is>
      </c>
      <c r="C64" s="4" t="n"/>
    </row>
    <row r="65">
      <c r="A65" t="inlineStr">
        <is>
          <t>☐</t>
        </is>
      </c>
      <c r="B65" t="inlineStr">
        <is>
          <t>Application outputs (invoices, statements) use partial redaction</t>
        </is>
      </c>
      <c r="C65" s="4" t="n"/>
    </row>
    <row r="66">
      <c r="A66" t="inlineStr">
        <is>
          <t>☐</t>
        </is>
      </c>
      <c r="B66" t="inlineStr">
        <is>
          <t>Production data exports are masked before release</t>
        </is>
      </c>
      <c r="C66" s="4" t="n"/>
    </row>
    <row r="67">
      <c r="A67" t="inlineStr">
        <is>
          <t>☐</t>
        </is>
      </c>
      <c r="B67" t="inlineStr">
        <is>
          <t>All access to unmasked production data is logged</t>
        </is>
      </c>
      <c r="C67" s="4" t="n"/>
    </row>
    <row r="68">
      <c r="A68" t="inlineStr">
        <is>
          <t>☐</t>
        </is>
      </c>
      <c r="B68" t="inlineStr">
        <is>
          <t>Access logs reviewed monthly for anomalies</t>
        </is>
      </c>
      <c r="C68" s="4" t="n"/>
    </row>
    <row r="69">
      <c r="A69" t="inlineStr">
        <is>
          <t>☐</t>
        </is>
      </c>
      <c r="B69" t="inlineStr">
        <is>
          <t>Privileged user access to unmasked data requires justification</t>
        </is>
      </c>
      <c r="C69" s="4" t="n"/>
    </row>
    <row r="70">
      <c r="A70" t="inlineStr">
        <is>
          <t>☐</t>
        </is>
      </c>
      <c r="B70" t="inlineStr">
        <is>
          <t>Masking exceptions documented with business justification</t>
        </is>
      </c>
      <c r="C70" s="4" t="n"/>
    </row>
    <row r="71">
      <c r="A71" t="inlineStr">
        <is>
          <t>☐</t>
        </is>
      </c>
      <c r="B71" t="inlineStr">
        <is>
          <t>Exception approvals obtained from Data Owner and ISO</t>
        </is>
      </c>
      <c r="C71" s="4" t="n"/>
    </row>
    <row r="72">
      <c r="A72" t="inlineStr">
        <is>
          <t>☐</t>
        </is>
      </c>
      <c r="B72" t="inlineStr">
        <is>
          <t>Exceptions reviewed quarterly</t>
        </is>
      </c>
      <c r="C72" s="4" t="n"/>
    </row>
    <row r="73">
      <c r="A73" t="inlineStr">
        <is>
          <t>☐</t>
        </is>
      </c>
      <c r="B73" t="inlineStr">
        <is>
          <t>DDM performance impact assessed (&lt;10% degradation acceptable)</t>
        </is>
      </c>
      <c r="C73" s="4" t="n"/>
    </row>
    <row r="74">
      <c r="A74" t="inlineStr">
        <is>
          <t>☐</t>
        </is>
      </c>
      <c r="B74" t="inlineStr">
        <is>
          <t>DDM rules tested before production deployment</t>
        </is>
      </c>
      <c r="C74" s="4" t="n"/>
    </row>
    <row r="75">
      <c r="A75" t="inlineStr">
        <is>
          <t>☐</t>
        </is>
      </c>
      <c r="B75" t="inlineStr">
        <is>
          <t>DDM bypass mechanisms disabled or strictly controlled</t>
        </is>
      </c>
      <c r="C75" s="4" t="n"/>
    </row>
    <row r="76">
      <c r="A76" t="inlineStr">
        <is>
          <t>☐</t>
        </is>
      </c>
      <c r="B76" t="inlineStr">
        <is>
          <t>Production masking coverage measured and tracked</t>
        </is>
      </c>
      <c r="C76" s="4" t="n"/>
    </row>
    <row r="77">
      <c r="A77" t="inlineStr">
        <is>
          <t>☐</t>
        </is>
      </c>
      <c r="B77" t="inlineStr">
        <is>
          <t>Coverage target: ≥90% of sensitive fields masked for non-privileged users</t>
        </is>
      </c>
      <c r="C77" s="4" t="n"/>
    </row>
    <row r="78">
      <c r="A78" t="inlineStr">
        <is>
          <t>☐</t>
        </is>
      </c>
      <c r="B78" t="inlineStr">
        <is>
          <t>Regulatory reporting requirements accommodate masking</t>
        </is>
      </c>
      <c r="C78"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C73 C74 C75 C76 C77 C78" showDropDown="0" showInputMessage="0" showErrorMessage="0" allowBlank="0" type="list">
      <formula1>"✅ Complete,⚠️ Partial,❌ Missing,N/A"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80"/>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18" customWidth="1" min="18" max="18"/>
    <col width="18" customWidth="1" min="19" max="19"/>
    <col width="18" customWidth="1" min="20" max="20"/>
    <col width="22" customWidth="1" min="21" max="21"/>
    <col width="15" customWidth="1" min="22" max="22"/>
    <col width="15" customWidth="1" min="23" max="23"/>
    <col width="20" customWidth="1" min="24" max="24"/>
  </cols>
  <sheetData>
    <row r="1" ht="35" customHeight="1">
      <c r="A1" s="1" t="inlineStr">
        <is>
          <t>NON-PRODUCTION ENVIRONMENTS ASSESSMENT</t>
        </is>
      </c>
    </row>
    <row r="2">
      <c r="A2" s="8" t="inlineStr">
        <is>
          <t>Policy Reference: ALL sensitive data SHALL be masked before deployment to non-production. NO production data SHALL be copied without masking. (ISMS-POL-A.8.11-S2.3 Section 3.2)</t>
        </is>
      </c>
    </row>
    <row r="3">
      <c r="A3" s="9" t="inlineStr">
        <is>
          <t>Are ALL non-production environments (Dev/Test/UAT/Training/Sandbox/Staging) masked before receiving production data?</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Data Refresh Frequency</t>
        </is>
      </c>
      <c r="S6" s="10" t="inlineStr">
        <is>
          <t>Masking Applied During Refresh?</t>
        </is>
      </c>
      <c r="T6" s="10" t="inlineStr">
        <is>
          <t>Direct Prod Clone Prevented?</t>
        </is>
      </c>
      <c r="U6" s="10" t="inlineStr">
        <is>
          <t>Masking Validation Method</t>
        </is>
      </c>
      <c r="V6" s="10" t="inlineStr">
        <is>
          <t>Last Data Refresh Date</t>
        </is>
      </c>
      <c r="W6" s="10" t="inlineStr">
        <is>
          <t>Next Planned Refresh</t>
        </is>
      </c>
      <c r="X6" s="10" t="inlineStr">
        <is>
          <t>Refresh Process Owner</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NON-PRODUCTION CHECKLIST</t>
        </is>
      </c>
    </row>
    <row r="61">
      <c r="A61" t="inlineStr">
        <is>
          <t>☐</t>
        </is>
      </c>
      <c r="B61" t="inlineStr">
        <is>
          <t>Development environments masked</t>
        </is>
      </c>
      <c r="C61" s="4" t="n"/>
    </row>
    <row r="62">
      <c r="A62" t="inlineStr">
        <is>
          <t>☐</t>
        </is>
      </c>
      <c r="B62" t="inlineStr">
        <is>
          <t>Testing/QA environments masked</t>
        </is>
      </c>
      <c r="C62" s="4" t="n"/>
    </row>
    <row r="63">
      <c r="A63" t="inlineStr">
        <is>
          <t>☐</t>
        </is>
      </c>
      <c r="B63" t="inlineStr">
        <is>
          <t>UAT environments masked</t>
        </is>
      </c>
      <c r="C63" s="4" t="n"/>
    </row>
    <row r="64">
      <c r="A64" t="inlineStr">
        <is>
          <t>☐</t>
        </is>
      </c>
      <c r="B64" t="inlineStr">
        <is>
          <t>Training environments masked</t>
        </is>
      </c>
      <c r="C64" s="4" t="n"/>
    </row>
    <row r="65">
      <c r="A65" t="inlineStr">
        <is>
          <t>☐</t>
        </is>
      </c>
      <c r="B65" t="inlineStr">
        <is>
          <t>Sandbox environments masked</t>
        </is>
      </c>
      <c r="C65" s="4" t="n"/>
    </row>
    <row r="66">
      <c r="A66" t="inlineStr">
        <is>
          <t>☐</t>
        </is>
      </c>
      <c r="B66" t="inlineStr">
        <is>
          <t>Staging environments masked (unless prod-identical required)</t>
        </is>
      </c>
      <c r="C66" s="4" t="n"/>
    </row>
    <row r="67">
      <c r="A67" t="inlineStr">
        <is>
          <t>☐</t>
        </is>
      </c>
      <c r="B67" t="inlineStr">
        <is>
          <t>Static Data Masking (SDM) applied during data refresh</t>
        </is>
      </c>
      <c r="C67" s="4" t="n"/>
    </row>
    <row r="68">
      <c r="A68" t="inlineStr">
        <is>
          <t>☐</t>
        </is>
      </c>
      <c r="B68" t="inlineStr">
        <is>
          <t>Masking applied BEFORE data deployment (not 'later')</t>
        </is>
      </c>
      <c r="C68" s="4" t="n"/>
    </row>
    <row r="69">
      <c r="A69" t="inlineStr">
        <is>
          <t>☐</t>
        </is>
      </c>
      <c r="B69" t="inlineStr">
        <is>
          <t>Direct production database cloning prevented</t>
        </is>
      </c>
      <c r="C69" s="4" t="n"/>
    </row>
    <row r="70">
      <c r="A70" t="inlineStr">
        <is>
          <t>☐</t>
        </is>
      </c>
      <c r="B70" t="inlineStr">
        <is>
          <t>Automated masking integrated into data refresh pipeline</t>
        </is>
      </c>
      <c r="C70" s="4" t="n"/>
    </row>
    <row r="71">
      <c r="A71" t="inlineStr">
        <is>
          <t>☐</t>
        </is>
      </c>
      <c r="B71" t="inlineStr">
        <is>
          <t>Manual data copies prohibited without masking</t>
        </is>
      </c>
      <c r="C71" s="4" t="n"/>
    </row>
    <row r="72">
      <c r="A72" t="inlineStr">
        <is>
          <t>☐</t>
        </is>
      </c>
      <c r="B72" t="inlineStr">
        <is>
          <t>Developer NDA reliance eliminated (NDAs not technical controls)</t>
        </is>
      </c>
      <c r="C72" s="4" t="n"/>
    </row>
    <row r="73">
      <c r="A73" t="inlineStr">
        <is>
          <t>☐</t>
        </is>
      </c>
      <c r="B73" t="inlineStr">
        <is>
          <t>Non-production data refresh process documented</t>
        </is>
      </c>
      <c r="C73" s="4" t="n"/>
    </row>
    <row r="74">
      <c r="A74" t="inlineStr">
        <is>
          <t>☐</t>
        </is>
      </c>
      <c r="B74" t="inlineStr">
        <is>
          <t>Masking validation performed after each refresh</t>
        </is>
      </c>
      <c r="C74" s="4" t="n"/>
    </row>
    <row r="75">
      <c r="A75" t="inlineStr">
        <is>
          <t>☐</t>
        </is>
      </c>
      <c r="B75" t="inlineStr">
        <is>
          <t>Non-production exception count: ___ (Target: 0)</t>
        </is>
      </c>
      <c r="C75" s="4" t="n"/>
    </row>
    <row r="76">
      <c r="A76" t="inlineStr">
        <is>
          <t>☐</t>
        </is>
      </c>
      <c r="B76" t="inlineStr">
        <is>
          <t>Exceptions approved by ISO and Data Owner</t>
        </is>
      </c>
      <c r="C76" s="4" t="n"/>
    </row>
    <row r="77">
      <c r="A77" t="inlineStr">
        <is>
          <t>☐</t>
        </is>
      </c>
      <c r="B77" t="inlineStr">
        <is>
          <t>Compensating controls implemented for exceptions</t>
        </is>
      </c>
      <c r="C77" s="4" t="n"/>
    </row>
    <row r="78">
      <c r="A78" t="inlineStr">
        <is>
          <t>☐</t>
        </is>
      </c>
      <c r="B78" t="inlineStr">
        <is>
          <t>Exception review conducted quarterly</t>
        </is>
      </c>
      <c r="C78" s="4" t="n"/>
    </row>
    <row r="79">
      <c r="A79" t="inlineStr">
        <is>
          <t>☐</t>
        </is>
      </c>
      <c r="B79" t="inlineStr">
        <is>
          <t>Coverage target: 100% of non-prod environments masked</t>
        </is>
      </c>
      <c r="C79" s="4" t="n"/>
    </row>
    <row r="80">
      <c r="A80" t="inlineStr">
        <is>
          <t>☐</t>
        </is>
      </c>
      <c r="B80" t="inlineStr">
        <is>
          <t>Non-compliance escalated to CISO</t>
        </is>
      </c>
      <c r="C80"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C73 C74 C75 C76 C77 C78 C79 C80" showDropDown="0" showInputMessage="0" showErrorMessage="0" allowBlank="0" type="list">
      <formula1>"✅ Complete,⚠️ Partial,❌ Missing,N/A"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75"/>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22" customWidth="1" min="18" max="18"/>
    <col width="18" customWidth="1" min="19" max="19"/>
    <col width="15" customWidth="1" min="20" max="20"/>
    <col width="15" customWidth="1" min="21" max="21"/>
    <col width="15" customWidth="1" min="22" max="22"/>
    <col width="22" customWidth="1" min="23" max="23"/>
    <col width="18" customWidth="1" min="24" max="24"/>
  </cols>
  <sheetData>
    <row r="1" ht="35" customHeight="1">
      <c r="A1" s="1" t="inlineStr">
        <is>
          <t>ANALYTICS &amp; REPORTING ENVIRONMENTS ASSESSMENT</t>
        </is>
      </c>
    </row>
    <row r="2">
      <c r="A2" s="8" t="inlineStr">
        <is>
          <t>Policy Reference: Individual-level PII SHALL be masked or aggregated. Synthetic data SHALL be used for ML/AI training. Re-identification risk SHALL be assessed. (ISMS-POL-A.8.11-S2.3 Section 3.3)</t>
        </is>
      </c>
    </row>
    <row r="3">
      <c r="A3" s="9" t="inlineStr">
        <is>
          <t>Are analytics, BI, data warehouse, and ML/AI environments masked to prevent individual-level data exposure?</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Analytics Platform Type</t>
        </is>
      </c>
      <c r="S6" s="10" t="inlineStr">
        <is>
          <t>Aggregation Level</t>
        </is>
      </c>
      <c r="T6" s="10" t="inlineStr">
        <is>
          <t>Re-ID Risk Assessed?</t>
        </is>
      </c>
      <c r="U6" s="10" t="inlineStr">
        <is>
          <t>Re-ID Risk Level</t>
        </is>
      </c>
      <c r="V6" s="10" t="inlineStr">
        <is>
          <t>Synthetic Data Used?</t>
        </is>
      </c>
      <c r="W6" s="10" t="inlineStr">
        <is>
          <t>Data Export Controls</t>
        </is>
      </c>
      <c r="X6" s="10" t="inlineStr">
        <is>
          <t>Self-Service BI Masking</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ANALYTICS CHECKLIST</t>
        </is>
      </c>
    </row>
    <row r="61">
      <c r="A61" t="inlineStr">
        <is>
          <t>☐</t>
        </is>
      </c>
      <c r="B61" t="inlineStr">
        <is>
          <t>BI tool exports contain masked data</t>
        </is>
      </c>
      <c r="C61" s="4" t="n"/>
    </row>
    <row r="62">
      <c r="A62" t="inlineStr">
        <is>
          <t>☐</t>
        </is>
      </c>
      <c r="B62" t="inlineStr">
        <is>
          <t>Data warehouse ETL includes masking steps</t>
        </is>
      </c>
      <c r="C62" s="4" t="n"/>
    </row>
    <row r="63">
      <c r="A63" t="inlineStr">
        <is>
          <t>☐</t>
        </is>
      </c>
      <c r="B63" t="inlineStr">
        <is>
          <t>Individual-level reports use masked data</t>
        </is>
      </c>
      <c r="C63" s="4" t="n"/>
    </row>
    <row r="64">
      <c r="A64" t="inlineStr">
        <is>
          <t>☐</t>
        </is>
      </c>
      <c r="B64" t="inlineStr">
        <is>
          <t>Aggregated reports assessed for re-identification risk</t>
        </is>
      </c>
      <c r="C64" s="4" t="n"/>
    </row>
    <row r="65">
      <c r="A65" t="inlineStr">
        <is>
          <t>☐</t>
        </is>
      </c>
      <c r="B65" t="inlineStr">
        <is>
          <t>ML/AI training datasets use synthetic or masked data</t>
        </is>
      </c>
      <c r="C65" s="4" t="n"/>
    </row>
    <row r="66">
      <c r="A66" t="inlineStr">
        <is>
          <t>☐</t>
        </is>
      </c>
      <c r="B66" t="inlineStr">
        <is>
          <t>PII removed or anonymised in training data</t>
        </is>
      </c>
      <c r="C66" s="4" t="n"/>
    </row>
    <row r="67">
      <c r="A67" t="inlineStr">
        <is>
          <t>☐</t>
        </is>
      </c>
      <c r="B67" t="inlineStr">
        <is>
          <t>Ad-hoc query exports masked</t>
        </is>
      </c>
      <c r="C67" s="4" t="n"/>
    </row>
    <row r="68">
      <c r="A68" t="inlineStr">
        <is>
          <t>☐</t>
        </is>
      </c>
      <c r="B68" t="inlineStr">
        <is>
          <t>Self-service BI tools enforce masking rules</t>
        </is>
      </c>
      <c r="C68" s="4" t="n"/>
    </row>
    <row r="69">
      <c r="A69" t="inlineStr">
        <is>
          <t>☐</t>
        </is>
      </c>
      <c r="B69" t="inlineStr">
        <is>
          <t>CSV/Excel exports contain masked data</t>
        </is>
      </c>
      <c r="C69" s="4" t="n"/>
    </row>
    <row r="70">
      <c r="A70" t="inlineStr">
        <is>
          <t>☐</t>
        </is>
      </c>
      <c r="B70" t="inlineStr">
        <is>
          <t>Analytics platform integrates masking at data ingestion</t>
        </is>
      </c>
      <c r="C70" s="4" t="n"/>
    </row>
    <row r="71">
      <c r="A71" t="inlineStr">
        <is>
          <t>☐</t>
        </is>
      </c>
      <c r="B71" t="inlineStr">
        <is>
          <t>Data minimisation applied (only export necessary fields)</t>
        </is>
      </c>
      <c r="C71" s="4" t="n"/>
    </row>
    <row r="72">
      <c r="A72" t="inlineStr">
        <is>
          <t>☐</t>
        </is>
      </c>
      <c r="B72" t="inlineStr">
        <is>
          <t>Re-identification risk assessed before data release</t>
        </is>
      </c>
      <c r="C72" s="4" t="n"/>
    </row>
    <row r="73">
      <c r="A73" t="inlineStr">
        <is>
          <t>☐</t>
        </is>
      </c>
      <c r="B73" t="inlineStr">
        <is>
          <t>Historical analytics data masked or aggregated</t>
        </is>
      </c>
      <c r="C73" s="4" t="n"/>
    </row>
    <row r="74">
      <c r="A74" t="inlineStr">
        <is>
          <t>☐</t>
        </is>
      </c>
      <c r="B74" t="inlineStr">
        <is>
          <t>Analytics data retention period documented</t>
        </is>
      </c>
      <c r="C74" s="4" t="n"/>
    </row>
    <row r="75">
      <c r="A75" t="inlineStr">
        <is>
          <t>☐</t>
        </is>
      </c>
      <c r="B75" t="inlineStr">
        <is>
          <t>Analytics environment access logged</t>
        </is>
      </c>
      <c r="C75"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C73 C74 C75" showDropDown="0" showInputMessage="0" showErrorMessage="0" allowBlank="0" type="list">
      <formula1>"✅ Complete,⚠️ Partial,❌ Missing,N/A"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72"/>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18" customWidth="1" min="18" max="18"/>
    <col width="15" customWidth="1" min="19" max="19"/>
    <col width="20" customWidth="1" min="20" max="20"/>
    <col width="18" customWidth="1" min="21" max="21"/>
    <col width="22" customWidth="1" min="22" max="22"/>
    <col width="18" customWidth="1" min="23" max="23"/>
    <col width="15" customWidth="1" min="24" max="24"/>
  </cols>
  <sheetData>
    <row r="1" ht="35" customHeight="1">
      <c r="A1" s="1" t="inlineStr">
        <is>
          <t>BACKUP &amp; ARCHIVE ENVIRONMENTS ASSESSMENT</t>
        </is>
      </c>
    </row>
    <row r="2">
      <c r="A2" s="8" t="inlineStr">
        <is>
          <t>Policy Reference: Production backups may contain unmasked data if encrypted. Non-production backups SHALL contain only masked data. (ISMS-POL-A.8.11-S2.3 Section 3.4)</t>
        </is>
      </c>
    </row>
    <row r="3">
      <c r="A3" s="9" t="inlineStr">
        <is>
          <t>Are backup and archive environments encrypted and access-controlled? Are non-production backups masked?</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Backup Type</t>
        </is>
      </c>
      <c r="S6" s="10" t="inlineStr">
        <is>
          <t>Encryption Enabled?</t>
        </is>
      </c>
      <c r="T6" s="10" t="inlineStr">
        <is>
          <t>Encryption Method</t>
        </is>
      </c>
      <c r="U6" s="10" t="inlineStr">
        <is>
          <t>Access Control</t>
        </is>
      </c>
      <c r="V6" s="10" t="inlineStr">
        <is>
          <t>Restoration Process</t>
        </is>
      </c>
      <c r="W6" s="10" t="inlineStr">
        <is>
          <t>Masking on Restore?</t>
        </is>
      </c>
      <c r="X6" s="10" t="inlineStr">
        <is>
          <t>Backup Retention Period</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BACKUP CHECKLIST</t>
        </is>
      </c>
    </row>
    <row r="61">
      <c r="A61" t="inlineStr">
        <is>
          <t>☐</t>
        </is>
      </c>
      <c r="B61" t="inlineStr">
        <is>
          <t>Production backups encrypted at rest</t>
        </is>
      </c>
      <c r="C61" s="4" t="n"/>
    </row>
    <row r="62">
      <c r="A62" t="inlineStr">
        <is>
          <t>☐</t>
        </is>
      </c>
      <c r="B62" t="inlineStr">
        <is>
          <t>Backup encryption uses strong algorithms (AES-256)</t>
        </is>
      </c>
      <c r="C62" s="4" t="n"/>
    </row>
    <row r="63">
      <c r="A63" t="inlineStr">
        <is>
          <t>☐</t>
        </is>
      </c>
      <c r="B63" t="inlineStr">
        <is>
          <t>Backup access restricted to authorised administrators only</t>
        </is>
      </c>
      <c r="C63" s="4" t="n"/>
    </row>
    <row r="64">
      <c r="A64" t="inlineStr">
        <is>
          <t>☐</t>
        </is>
      </c>
      <c r="B64" t="inlineStr">
        <is>
          <t>All backup access logged</t>
        </is>
      </c>
      <c r="C64" s="4" t="n"/>
    </row>
    <row r="65">
      <c r="A65" t="inlineStr">
        <is>
          <t>☐</t>
        </is>
      </c>
      <c r="B65" t="inlineStr">
        <is>
          <t>Non-production backups contain only masked data</t>
        </is>
      </c>
      <c r="C65" s="4" t="n"/>
    </row>
    <row r="66">
      <c r="A66" t="inlineStr">
        <is>
          <t>☐</t>
        </is>
      </c>
      <c r="B66" t="inlineStr">
        <is>
          <t>Backup restoration to non-prod triggers masking process</t>
        </is>
      </c>
      <c r="C66" s="4" t="n"/>
    </row>
    <row r="67">
      <c r="A67" t="inlineStr">
        <is>
          <t>☐</t>
        </is>
      </c>
      <c r="B67" t="inlineStr">
        <is>
          <t>Archive data assessed for masking feasibility</t>
        </is>
      </c>
      <c r="C67" s="4" t="n"/>
    </row>
    <row r="68">
      <c r="A68" t="inlineStr">
        <is>
          <t>☐</t>
        </is>
      </c>
      <c r="B68" t="inlineStr">
        <is>
          <t>If masking compromises compliance, encryption used instead</t>
        </is>
      </c>
      <c r="C68" s="4" t="n"/>
    </row>
    <row r="69">
      <c r="A69" t="inlineStr">
        <is>
          <t>☐</t>
        </is>
      </c>
      <c r="B69" t="inlineStr">
        <is>
          <t>Archive access strictly controlled</t>
        </is>
      </c>
      <c r="C69" s="4" t="n"/>
    </row>
    <row r="70">
      <c r="A70" t="inlineStr">
        <is>
          <t>☐</t>
        </is>
      </c>
      <c r="B70" t="inlineStr">
        <is>
          <t>Backup media stored securely (encrypted, access-controlled)</t>
        </is>
      </c>
      <c r="C70" s="4" t="n"/>
    </row>
    <row r="71">
      <c r="A71" t="inlineStr">
        <is>
          <t>☐</t>
        </is>
      </c>
      <c r="B71" t="inlineStr">
        <is>
          <t>Backup retention policy documented</t>
        </is>
      </c>
      <c r="C71" s="4" t="n"/>
    </row>
    <row r="72">
      <c r="A72" t="inlineStr">
        <is>
          <t>☐</t>
        </is>
      </c>
      <c r="B72" t="inlineStr">
        <is>
          <t>Backup testing includes masking validation</t>
        </is>
      </c>
      <c r="C72"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75"/>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20" customWidth="1" min="18" max="18"/>
    <col width="25" customWidth="1" min="19" max="19"/>
    <col width="15" customWidth="1" min="20" max="20"/>
    <col width="18" customWidth="1" min="21" max="21"/>
    <col width="18" customWidth="1" min="22" max="22"/>
    <col width="15" customWidth="1" min="23" max="23"/>
    <col width="18" customWidth="1" min="24" max="24"/>
  </cols>
  <sheetData>
    <row r="1" ht="35" customHeight="1">
      <c r="A1" s="1" t="inlineStr">
        <is>
          <t>EXTERNAL DATA SHARING ASSESSMENT</t>
        </is>
      </c>
    </row>
    <row r="2">
      <c r="A2" s="8" t="inlineStr">
        <is>
          <t>Policy Reference: ALL data shared externally SHALL be masked unless contractually required. Data Processing Agreements SHALL specify masking. (ISMS-POL-A.8.11-S2.3 Section 3.5)</t>
        </is>
      </c>
    </row>
    <row r="3">
      <c r="A3" s="9" t="inlineStr">
        <is>
          <t>Is data shared with vendors, partners, auditors, or customers masked unless contractually required to be unmasked?</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Recipient Type</t>
        </is>
      </c>
      <c r="S6" s="10" t="inlineStr">
        <is>
          <t>Data Sharing Purpose</t>
        </is>
      </c>
      <c r="T6" s="10" t="inlineStr">
        <is>
          <t>DPA in Place?</t>
        </is>
      </c>
      <c r="U6" s="10" t="inlineStr">
        <is>
          <t>DPA Specifies Masking?</t>
        </is>
      </c>
      <c r="V6" s="10" t="inlineStr">
        <is>
          <t>Contractual Exception?</t>
        </is>
      </c>
      <c r="W6" s="10" t="inlineStr">
        <is>
          <t>Recipient Security Audit Date</t>
        </is>
      </c>
      <c r="X6" s="10" t="inlineStr">
        <is>
          <t>Data Minimization Applied?</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EXTERNAL CHECKLIST</t>
        </is>
      </c>
    </row>
    <row r="61">
      <c r="A61" t="inlineStr">
        <is>
          <t>☐</t>
        </is>
      </c>
      <c r="B61" t="inlineStr">
        <is>
          <t>Vendor data shares masked unless contractually required</t>
        </is>
      </c>
      <c r="C61" s="4" t="n"/>
    </row>
    <row r="62">
      <c r="A62" t="inlineStr">
        <is>
          <t>☐</t>
        </is>
      </c>
      <c r="B62" t="inlineStr">
        <is>
          <t>Data Processing Agreements (DPAs) in place</t>
        </is>
      </c>
      <c r="C62" s="4" t="n"/>
    </row>
    <row r="63">
      <c r="A63" t="inlineStr">
        <is>
          <t>☐</t>
        </is>
      </c>
      <c r="B63" t="inlineStr">
        <is>
          <t>DPAs specify masking requirements</t>
        </is>
      </c>
      <c r="C63" s="4" t="n"/>
    </row>
    <row r="64">
      <c r="A64" t="inlineStr">
        <is>
          <t>☐</t>
        </is>
      </c>
      <c r="B64" t="inlineStr">
        <is>
          <t>Vendor access to unmasked data logged and monitored</t>
        </is>
      </c>
      <c r="C64" s="4" t="n"/>
    </row>
    <row r="65">
      <c r="A65" t="inlineStr">
        <is>
          <t>☐</t>
        </is>
      </c>
      <c r="B65" t="inlineStr">
        <is>
          <t>Vendor environments audited for security controls</t>
        </is>
      </c>
      <c r="C65" s="4" t="n"/>
    </row>
    <row r="66">
      <c r="A66" t="inlineStr">
        <is>
          <t>☐</t>
        </is>
      </c>
      <c r="B66" t="inlineStr">
        <is>
          <t>Customer exports appropriately masked (not their own data)</t>
        </is>
      </c>
      <c r="C66" s="4" t="n"/>
    </row>
    <row r="67">
      <c r="A67" t="inlineStr">
        <is>
          <t>☐</t>
        </is>
      </c>
      <c r="B67" t="inlineStr">
        <is>
          <t>Auditor data samples masked where possible</t>
        </is>
      </c>
      <c r="C67" s="4" t="n"/>
    </row>
    <row r="68">
      <c r="A68" t="inlineStr">
        <is>
          <t>☐</t>
        </is>
      </c>
      <c r="B68" t="inlineStr">
        <is>
          <t>Auditors sign confidentiality agreements</t>
        </is>
      </c>
      <c r="C68" s="4" t="n"/>
    </row>
    <row r="69">
      <c r="A69" t="inlineStr">
        <is>
          <t>☐</t>
        </is>
      </c>
      <c r="B69" t="inlineStr">
        <is>
          <t>Partner data sharing follows minimum necessary principle</t>
        </is>
      </c>
      <c r="C69" s="4" t="n"/>
    </row>
    <row r="70">
      <c r="A70" t="inlineStr">
        <is>
          <t>☐</t>
        </is>
      </c>
      <c r="B70" t="inlineStr">
        <is>
          <t>Data minimisation applied (only share necessary fields)</t>
        </is>
      </c>
      <c r="C70" s="4" t="n"/>
    </row>
    <row r="71">
      <c r="A71" t="inlineStr">
        <is>
          <t>☐</t>
        </is>
      </c>
      <c r="B71" t="inlineStr">
        <is>
          <t>External sharing inventory maintained</t>
        </is>
      </c>
      <c r="C71" s="4" t="n"/>
    </row>
    <row r="72">
      <c r="A72" t="inlineStr">
        <is>
          <t>☐</t>
        </is>
      </c>
      <c r="B72" t="inlineStr">
        <is>
          <t>Re-identification risk assessed before external release</t>
        </is>
      </c>
      <c r="C72" s="4" t="n"/>
    </row>
    <row r="73">
      <c r="A73" t="inlineStr">
        <is>
          <t>☐</t>
        </is>
      </c>
      <c r="B73" t="inlineStr">
        <is>
          <t>External sharing reviewed annually</t>
        </is>
      </c>
      <c r="C73" s="4" t="n"/>
    </row>
    <row r="74">
      <c r="A74" t="inlineStr">
        <is>
          <t>☐</t>
        </is>
      </c>
      <c r="B74" t="inlineStr">
        <is>
          <t>Data retention limits specified in agreements</t>
        </is>
      </c>
      <c r="C74" s="4" t="n"/>
    </row>
    <row r="75">
      <c r="A75" t="inlineStr">
        <is>
          <t>☐</t>
        </is>
      </c>
      <c r="B75" t="inlineStr">
        <is>
          <t>Data deletion verified after contract termination</t>
        </is>
      </c>
      <c r="C75"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C73 C74 C75" showDropDown="0" showInputMessage="0" showErrorMessage="0" allowBlank="0" type="list">
      <formula1>"✅ Complete,⚠️ Partial,❌ Missing,N/A"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72"/>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18" customWidth="1" min="3" max="3"/>
    <col width="18" customWidth="1" min="4" max="4"/>
    <col width="18" customWidth="1" min="5" max="5"/>
    <col width="18" customWidth="1" min="6" max="6"/>
    <col width="18" customWidth="1" min="7" max="7"/>
    <col width="20" customWidth="1" min="8" max="8"/>
    <col width="22" customWidth="1" min="9" max="9"/>
    <col width="12" customWidth="1" min="10" max="10"/>
    <col width="15" customWidth="1" min="11" max="11"/>
    <col width="20" customWidth="1" min="12" max="12"/>
    <col width="20" customWidth="1" min="13" max="13"/>
    <col width="15" customWidth="1" min="14" max="14"/>
    <col width="18" customWidth="1" min="15" max="15"/>
    <col width="30" customWidth="1" min="16" max="16"/>
    <col width="15" customWidth="1" min="17" max="17"/>
    <col width="18" customWidth="1" min="18" max="18"/>
    <col width="20" customWidth="1" min="19" max="19"/>
    <col width="18" customWidth="1" min="20" max="20"/>
    <col width="18" customWidth="1" min="21" max="21"/>
    <col width="22" customWidth="1" min="22" max="22"/>
    <col width="18" customWidth="1" min="23" max="23"/>
    <col width="22" customWidth="1" min="24" max="24"/>
  </cols>
  <sheetData>
    <row r="1" ht="35" customHeight="1">
      <c r="A1" s="1" t="inlineStr">
        <is>
          <t>CLOUD ENVIRONMENTS ASSESSMENT</t>
        </is>
      </c>
    </row>
    <row r="2">
      <c r="A2" s="8" t="inlineStr">
        <is>
          <t>Policy Reference: Cloud environments SHALL follow same masking requirements as on-premises. Cloud-hosted non-prod SHALL be masked. (ISMS-POL-A.8.11-S2.3 Section 2.6)</t>
        </is>
      </c>
    </row>
    <row r="3">
      <c r="A3" s="9" t="inlineStr">
        <is>
          <t>Are cloud-hosted environments (AWS/Azure/GCP/Other) masked according to the same requirements as on-premises environments?</t>
        </is>
      </c>
      <c r="B3" s="4" t="n"/>
    </row>
    <row r="6">
      <c r="A6" s="10" t="inlineStr">
        <is>
          <t>Environment Name</t>
        </is>
      </c>
      <c r="B6" s="10" t="inlineStr">
        <is>
          <t>Environment Type</t>
        </is>
      </c>
      <c r="C6" s="10" t="inlineStr">
        <is>
          <t>Classification</t>
        </is>
      </c>
      <c r="D6" s="10" t="inlineStr">
        <is>
          <t>Hosting Location</t>
        </is>
      </c>
      <c r="E6" s="10" t="inlineStr">
        <is>
          <t>Data Sensitivity</t>
        </is>
      </c>
      <c r="F6" s="10" t="inlineStr">
        <is>
          <t>Masking Required?</t>
        </is>
      </c>
      <c r="G6" s="10" t="inlineStr">
        <is>
          <t>Masking Deployed?</t>
        </is>
      </c>
      <c r="H6" s="10" t="inlineStr">
        <is>
          <t>Masking Technique</t>
        </is>
      </c>
      <c r="I6" s="10" t="inlineStr">
        <is>
          <t>Masking Tool/Solution</t>
        </is>
      </c>
      <c r="J6" s="10" t="inlineStr">
        <is>
          <t>Coverage %</t>
        </is>
      </c>
      <c r="K6" s="10" t="inlineStr">
        <is>
          <t>Last Verified Date</t>
        </is>
      </c>
      <c r="L6" s="10" t="inlineStr">
        <is>
          <t>Environment Owner</t>
        </is>
      </c>
      <c r="M6" s="10" t="inlineStr">
        <is>
          <t>Data Owner</t>
        </is>
      </c>
      <c r="N6" s="10" t="inlineStr">
        <is>
          <t>Exception Approved?</t>
        </is>
      </c>
      <c r="O6" s="10" t="inlineStr">
        <is>
          <t>Compliance Status</t>
        </is>
      </c>
      <c r="P6" s="10" t="inlineStr">
        <is>
          <t>Notes/Comments</t>
        </is>
      </c>
      <c r="Q6" s="10" t="inlineStr">
        <is>
          <t>Evidence ID</t>
        </is>
      </c>
      <c r="R6" s="10" t="inlineStr">
        <is>
          <t>Cloud Provider</t>
        </is>
      </c>
      <c r="S6" s="10" t="inlineStr">
        <is>
          <t>Cloud Service Type</t>
        </is>
      </c>
      <c r="T6" s="10" t="inlineStr">
        <is>
          <t>Region/Geography</t>
        </is>
      </c>
      <c r="U6" s="10" t="inlineStr">
        <is>
          <t>Client-Side Masking?</t>
        </is>
      </c>
      <c r="V6" s="10" t="inlineStr">
        <is>
          <t>Cloud-Native Masking Tool</t>
        </is>
      </c>
      <c r="W6" s="10" t="inlineStr">
        <is>
          <t>Multi-Tenancy Concerns?</t>
        </is>
      </c>
      <c r="X6" s="10" t="inlineStr">
        <is>
          <t>Data Residency Compliance</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row>
    <row r="60">
      <c r="A60" s="9" t="inlineStr">
        <is>
          <t>CLOUD CHECKLIST</t>
        </is>
      </c>
    </row>
    <row r="61">
      <c r="A61" t="inlineStr">
        <is>
          <t>☐</t>
        </is>
      </c>
      <c r="B61" t="inlineStr">
        <is>
          <t>Cloud environments classified correctly (Prod/Non-Prod/Analytics)</t>
        </is>
      </c>
      <c r="C61" s="4" t="n"/>
    </row>
    <row r="62">
      <c r="A62" t="inlineStr">
        <is>
          <t>☐</t>
        </is>
      </c>
      <c r="B62" t="inlineStr">
        <is>
          <t>Cloud-hosted production follows production masking rules</t>
        </is>
      </c>
      <c r="C62" s="4" t="n"/>
    </row>
    <row r="63">
      <c r="A63" t="inlineStr">
        <is>
          <t>☐</t>
        </is>
      </c>
      <c r="B63" t="inlineStr">
        <is>
          <t>Cloud-hosted non-prod follows non-prod masking rules (mandatory)</t>
        </is>
      </c>
      <c r="C63" s="4" t="n"/>
    </row>
    <row r="64">
      <c r="A64" t="inlineStr">
        <is>
          <t>☐</t>
        </is>
      </c>
      <c r="B64" t="inlineStr">
        <is>
          <t>Cloud analytics follows analytics masking rules</t>
        </is>
      </c>
      <c r="C64" s="4" t="n"/>
    </row>
    <row r="65">
      <c r="A65" t="inlineStr">
        <is>
          <t>☐</t>
        </is>
      </c>
      <c r="B65" t="inlineStr">
        <is>
          <t>Client-side masking applied before cloud upload (where applicable)</t>
        </is>
      </c>
      <c r="C65" s="4" t="n"/>
    </row>
    <row r="66">
      <c r="A66" t="inlineStr">
        <is>
          <t>☐</t>
        </is>
      </c>
      <c r="B66" t="inlineStr">
        <is>
          <t>Cloud provider security controls reviewed</t>
        </is>
      </c>
      <c r="C66" s="4" t="n"/>
    </row>
    <row r="67">
      <c r="A67" t="inlineStr">
        <is>
          <t>☐</t>
        </is>
      </c>
      <c r="B67" t="inlineStr">
        <is>
          <t>Cloud provider SLAs reviewed for data protection</t>
        </is>
      </c>
      <c r="C67" s="4" t="n"/>
    </row>
    <row r="68">
      <c r="A68" t="inlineStr">
        <is>
          <t>☐</t>
        </is>
      </c>
      <c r="B68" t="inlineStr">
        <is>
          <t>Multi-tenancy risks assessed and mitigated</t>
        </is>
      </c>
      <c r="C68" s="4" t="n"/>
    </row>
    <row r="69">
      <c r="A69" t="inlineStr">
        <is>
          <t>☐</t>
        </is>
      </c>
      <c r="B69" t="inlineStr">
        <is>
          <t>Data residency requirements met</t>
        </is>
      </c>
      <c r="C69" s="4" t="n"/>
    </row>
    <row r="70">
      <c r="A70" t="inlineStr">
        <is>
          <t>☐</t>
        </is>
      </c>
      <c r="B70" t="inlineStr">
        <is>
          <t>Cloud encryption enabled (at rest and in transit)</t>
        </is>
      </c>
      <c r="C70" s="4" t="n"/>
    </row>
    <row r="71">
      <c r="A71" t="inlineStr">
        <is>
          <t>☐</t>
        </is>
      </c>
      <c r="B71" t="inlineStr">
        <is>
          <t>Cloud access controls configured (IAM, RBAC)</t>
        </is>
      </c>
      <c r="C71" s="4" t="n"/>
    </row>
    <row r="72">
      <c r="A72" t="inlineStr">
        <is>
          <t>☐</t>
        </is>
      </c>
      <c r="B72" t="inlineStr">
        <is>
          <t>Cloud environment masking tested and validated</t>
        </is>
      </c>
      <c r="C72"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C71 C72" showDropDown="0" showInputMessage="0" showErrorMessage="0" allowBlank="0" type="list">
      <formula1>"✅ Complete,⚠️ Partial,❌ Missing,N/A"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70"/>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20" customWidth="1" min="3" max="3"/>
    <col width="18" customWidth="1" min="4" max="4"/>
    <col width="18" customWidth="1" min="5" max="5"/>
    <col width="20" customWidth="1" min="6" max="6"/>
    <col width="15" customWidth="1" min="7" max="7"/>
    <col width="18" customWidth="1" min="8" max="8"/>
    <col width="22" customWidth="1" min="9" max="9"/>
    <col width="20" customWidth="1" min="10" max="10"/>
    <col width="15" customWidth="1" min="11" max="11"/>
    <col width="20" customWidth="1" min="12" max="12"/>
    <col width="15" customWidth="1" min="13" max="13"/>
    <col width="18" customWidth="1" min="14" max="14"/>
    <col width="18" customWidth="1" min="15" max="15"/>
    <col width="12" customWidth="1" min="16" max="16"/>
    <col width="30" customWidth="1" min="17" max="17"/>
    <col width="15" customWidth="1" min="18" max="18"/>
  </cols>
  <sheetData>
    <row r="1" ht="35" customHeight="1">
      <c r="A1" s="1" t="inlineStr">
        <is>
          <t>DATA FLOW MAPPING &amp; MASKING CHECKPOINTS</t>
        </is>
      </c>
    </row>
    <row r="2">
      <c r="A2" s="8" t="inlineStr">
        <is>
          <t>Policy Reference: Data flows SHALL be documented with masking checkpoints identified at each environment boundary. (ISMS-POL-A.8.11-S2.3 Section 3)</t>
        </is>
      </c>
    </row>
    <row r="3">
      <c r="A3" s="9" t="inlineStr">
        <is>
          <t>Are data flows documented with masking checkpoints identified at each environment boundary?</t>
        </is>
      </c>
      <c r="B3" s="4" t="n"/>
    </row>
    <row r="6">
      <c r="A6" s="10" t="inlineStr">
        <is>
          <t>Data Flow Name</t>
        </is>
      </c>
      <c r="B6" s="10" t="inlineStr">
        <is>
          <t>Source Environment</t>
        </is>
      </c>
      <c r="C6" s="10" t="inlineStr">
        <is>
          <t>Destination Environment</t>
        </is>
      </c>
      <c r="D6" s="10" t="inlineStr">
        <is>
          <t>Data Type</t>
        </is>
      </c>
      <c r="E6" s="10" t="inlineStr">
        <is>
          <t>Masking Checkpoint?</t>
        </is>
      </c>
      <c r="F6" s="10" t="inlineStr">
        <is>
          <t>Masking Technique</t>
        </is>
      </c>
      <c r="G6" s="10" t="inlineStr">
        <is>
          <t>Flow Frequency</t>
        </is>
      </c>
      <c r="H6" s="10" t="inlineStr">
        <is>
          <t>Automated Masking?</t>
        </is>
      </c>
      <c r="I6" s="10" t="inlineStr">
        <is>
          <t>Masking Tool/Script</t>
        </is>
      </c>
      <c r="J6" s="10" t="inlineStr">
        <is>
          <t>Masking Validation</t>
        </is>
      </c>
      <c r="K6" s="10" t="inlineStr">
        <is>
          <t>Last Flow Date</t>
        </is>
      </c>
      <c r="L6" s="10" t="inlineStr">
        <is>
          <t>Flow Owner</t>
        </is>
      </c>
      <c r="M6" s="10" t="inlineStr">
        <is>
          <t>Approval Required?</t>
        </is>
      </c>
      <c r="N6" s="10" t="inlineStr">
        <is>
          <t>Approval Status</t>
        </is>
      </c>
      <c r="O6" s="10" t="inlineStr">
        <is>
          <t>Compliance Status</t>
        </is>
      </c>
      <c r="P6" s="10" t="inlineStr">
        <is>
          <t>Risk Level</t>
        </is>
      </c>
      <c r="Q6" s="10" t="inlineStr">
        <is>
          <t>Notes/Comments</t>
        </is>
      </c>
      <c r="R6" s="10" t="inlineStr">
        <is>
          <t>Evidence ID</t>
        </is>
      </c>
    </row>
    <row r="7">
      <c r="A7" s="11" t="inlineStr">
        <is>
          <t>ENV-001</t>
        </is>
      </c>
      <c r="B7" s="11" t="inlineStr">
        <is>
          <t>Production</t>
        </is>
      </c>
      <c r="C7" s="11" t="inlineStr">
        <is>
          <t>Confidential</t>
        </is>
      </c>
      <c r="D7" s="11" t="inlineStr">
        <is>
          <t>AWS EU-West-1</t>
        </is>
      </c>
      <c r="E7" s="11" t="inlineStr">
        <is>
          <t>High</t>
        </is>
      </c>
      <c r="F7" s="11" t="inlineStr">
        <is>
          <t>Yes</t>
        </is>
      </c>
      <c r="G7" s="11" t="inlineStr">
        <is>
          <t>Yes</t>
        </is>
      </c>
      <c r="H7" s="11" t="inlineStr">
        <is>
          <t>DDM (Dynamic)</t>
        </is>
      </c>
      <c r="I7" s="11" t="inlineStr">
        <is>
          <t>Role-based masking for CSRs</t>
        </is>
      </c>
      <c r="J7" s="11" t="inlineStr">
        <is>
          <t>Data Engineering</t>
        </is>
      </c>
      <c r="K7" s="11" t="inlineStr">
        <is>
          <t>15.01.2026</t>
        </is>
      </c>
      <c r="L7" s="11" t="inlineStr">
        <is>
          <t>Q1 2026</t>
        </is>
      </c>
      <c r="M7" s="11" t="inlineStr">
        <is>
          <t>EV-001</t>
        </is>
      </c>
      <c r="N7" s="11" t="inlineStr">
        <is>
          <t>N/A</t>
        </is>
      </c>
      <c r="O7" s="11" t="inlineStr">
        <is>
          <t>✅ Compliant</t>
        </is>
      </c>
      <c r="P7" s="11" t="inlineStr">
        <is>
          <t>Production DDM deployed and validated</t>
        </is>
      </c>
      <c r="Q7" s="11" t="inlineStr">
        <is>
          <t>John Doe</t>
        </is>
      </c>
    </row>
    <row r="8">
      <c r="A8" s="4" t="n"/>
      <c r="B8" s="4" t="n"/>
      <c r="C8" s="4" t="n"/>
      <c r="D8" s="4" t="n"/>
      <c r="E8" s="4" t="n"/>
      <c r="F8" s="4" t="n"/>
      <c r="G8" s="4" t="n"/>
      <c r="H8" s="4" t="n"/>
      <c r="I8" s="4" t="n"/>
      <c r="J8" s="4" t="n"/>
      <c r="K8" s="4" t="n"/>
      <c r="L8" s="4" t="n"/>
      <c r="M8" s="4" t="n"/>
      <c r="N8" s="4" t="n"/>
      <c r="O8" s="4" t="n"/>
      <c r="P8" s="4" t="n"/>
      <c r="Q8" s="4" t="n"/>
      <c r="R8" s="4" t="n"/>
    </row>
    <row r="9">
      <c r="A9" s="4" t="n"/>
      <c r="B9" s="4" t="n"/>
      <c r="C9" s="4" t="n"/>
      <c r="D9" s="4" t="n"/>
      <c r="E9" s="4" t="n"/>
      <c r="F9" s="4" t="n"/>
      <c r="G9" s="4" t="n"/>
      <c r="H9" s="4" t="n"/>
      <c r="I9" s="4" t="n"/>
      <c r="J9" s="4" t="n"/>
      <c r="K9" s="4" t="n"/>
      <c r="L9" s="4" t="n"/>
      <c r="M9" s="4" t="n"/>
      <c r="N9" s="4" t="n"/>
      <c r="O9" s="4" t="n"/>
      <c r="P9" s="4" t="n"/>
      <c r="Q9" s="4" t="n"/>
      <c r="R9" s="4" t="n"/>
    </row>
    <row r="10">
      <c r="A10" s="4" t="n"/>
      <c r="B10" s="4" t="n"/>
      <c r="C10" s="4" t="n"/>
      <c r="D10" s="4" t="n"/>
      <c r="E10" s="4" t="n"/>
      <c r="F10" s="4" t="n"/>
      <c r="G10" s="4" t="n"/>
      <c r="H10" s="4" t="n"/>
      <c r="I10" s="4" t="n"/>
      <c r="J10" s="4" t="n"/>
      <c r="K10" s="4" t="n"/>
      <c r="L10" s="4" t="n"/>
      <c r="M10" s="4" t="n"/>
      <c r="N10" s="4" t="n"/>
      <c r="O10" s="4" t="n"/>
      <c r="P10" s="4" t="n"/>
      <c r="Q10" s="4" t="n"/>
      <c r="R10" s="4" t="n"/>
    </row>
    <row r="11">
      <c r="A11" s="4" t="n"/>
      <c r="B11" s="4" t="n"/>
      <c r="C11" s="4" t="n"/>
      <c r="D11" s="4" t="n"/>
      <c r="E11" s="4" t="n"/>
      <c r="F11" s="4" t="n"/>
      <c r="G11" s="4" t="n"/>
      <c r="H11" s="4" t="n"/>
      <c r="I11" s="4" t="n"/>
      <c r="J11" s="4" t="n"/>
      <c r="K11" s="4" t="n"/>
      <c r="L11" s="4" t="n"/>
      <c r="M11" s="4" t="n"/>
      <c r="N11" s="4" t="n"/>
      <c r="O11" s="4" t="n"/>
      <c r="P11" s="4" t="n"/>
      <c r="Q11" s="4" t="n"/>
      <c r="R11" s="4" t="n"/>
    </row>
    <row r="12">
      <c r="A12" s="4" t="n"/>
      <c r="B12" s="4" t="n"/>
      <c r="C12" s="4" t="n"/>
      <c r="D12" s="4" t="n"/>
      <c r="E12" s="4" t="n"/>
      <c r="F12" s="4" t="n"/>
      <c r="G12" s="4" t="n"/>
      <c r="H12" s="4" t="n"/>
      <c r="I12" s="4" t="n"/>
      <c r="J12" s="4" t="n"/>
      <c r="K12" s="4" t="n"/>
      <c r="L12" s="4" t="n"/>
      <c r="M12" s="4" t="n"/>
      <c r="N12" s="4" t="n"/>
      <c r="O12" s="4" t="n"/>
      <c r="P12" s="4" t="n"/>
      <c r="Q12" s="4" t="n"/>
      <c r="R12" s="4" t="n"/>
    </row>
    <row r="13">
      <c r="A13" s="4" t="n"/>
      <c r="B13" s="4" t="n"/>
      <c r="C13" s="4" t="n"/>
      <c r="D13" s="4" t="n"/>
      <c r="E13" s="4" t="n"/>
      <c r="F13" s="4" t="n"/>
      <c r="G13" s="4" t="n"/>
      <c r="H13" s="4" t="n"/>
      <c r="I13" s="4" t="n"/>
      <c r="J13" s="4" t="n"/>
      <c r="K13" s="4" t="n"/>
      <c r="L13" s="4" t="n"/>
      <c r="M13" s="4" t="n"/>
      <c r="N13" s="4" t="n"/>
      <c r="O13" s="4" t="n"/>
      <c r="P13" s="4" t="n"/>
      <c r="Q13" s="4" t="n"/>
      <c r="R13" s="4" t="n"/>
    </row>
    <row r="14">
      <c r="A14" s="4" t="n"/>
      <c r="B14" s="4" t="n"/>
      <c r="C14" s="4" t="n"/>
      <c r="D14" s="4" t="n"/>
      <c r="E14" s="4" t="n"/>
      <c r="F14" s="4" t="n"/>
      <c r="G14" s="4" t="n"/>
      <c r="H14" s="4" t="n"/>
      <c r="I14" s="4" t="n"/>
      <c r="J14" s="4" t="n"/>
      <c r="K14" s="4" t="n"/>
      <c r="L14" s="4" t="n"/>
      <c r="M14" s="4" t="n"/>
      <c r="N14" s="4" t="n"/>
      <c r="O14" s="4" t="n"/>
      <c r="P14" s="4" t="n"/>
      <c r="Q14" s="4" t="n"/>
      <c r="R14" s="4" t="n"/>
    </row>
    <row r="15">
      <c r="A15" s="4" t="n"/>
      <c r="B15" s="4" t="n"/>
      <c r="C15" s="4" t="n"/>
      <c r="D15" s="4" t="n"/>
      <c r="E15" s="4" t="n"/>
      <c r="F15" s="4" t="n"/>
      <c r="G15" s="4" t="n"/>
      <c r="H15" s="4" t="n"/>
      <c r="I15" s="4" t="n"/>
      <c r="J15" s="4" t="n"/>
      <c r="K15" s="4" t="n"/>
      <c r="L15" s="4" t="n"/>
      <c r="M15" s="4" t="n"/>
      <c r="N15" s="4" t="n"/>
      <c r="O15" s="4" t="n"/>
      <c r="P15" s="4" t="n"/>
      <c r="Q15" s="4" t="n"/>
      <c r="R15" s="4" t="n"/>
    </row>
    <row r="16">
      <c r="A16" s="4" t="n"/>
      <c r="B16" s="4" t="n"/>
      <c r="C16" s="4" t="n"/>
      <c r="D16" s="4" t="n"/>
      <c r="E16" s="4" t="n"/>
      <c r="F16" s="4" t="n"/>
      <c r="G16" s="4" t="n"/>
      <c r="H16" s="4" t="n"/>
      <c r="I16" s="4" t="n"/>
      <c r="J16" s="4" t="n"/>
      <c r="K16" s="4" t="n"/>
      <c r="L16" s="4" t="n"/>
      <c r="M16" s="4" t="n"/>
      <c r="N16" s="4" t="n"/>
      <c r="O16" s="4" t="n"/>
      <c r="P16" s="4" t="n"/>
      <c r="Q16" s="4" t="n"/>
      <c r="R16" s="4" t="n"/>
    </row>
    <row r="17">
      <c r="A17" s="4" t="n"/>
      <c r="B17" s="4" t="n"/>
      <c r="C17" s="4" t="n"/>
      <c r="D17" s="4" t="n"/>
      <c r="E17" s="4" t="n"/>
      <c r="F17" s="4" t="n"/>
      <c r="G17" s="4" t="n"/>
      <c r="H17" s="4" t="n"/>
      <c r="I17" s="4" t="n"/>
      <c r="J17" s="4" t="n"/>
      <c r="K17" s="4" t="n"/>
      <c r="L17" s="4" t="n"/>
      <c r="M17" s="4" t="n"/>
      <c r="N17" s="4" t="n"/>
      <c r="O17" s="4" t="n"/>
      <c r="P17" s="4" t="n"/>
      <c r="Q17" s="4" t="n"/>
      <c r="R17" s="4" t="n"/>
    </row>
    <row r="18">
      <c r="A18" s="4" t="n"/>
      <c r="B18" s="4" t="n"/>
      <c r="C18" s="4" t="n"/>
      <c r="D18" s="4" t="n"/>
      <c r="E18" s="4" t="n"/>
      <c r="F18" s="4" t="n"/>
      <c r="G18" s="4" t="n"/>
      <c r="H18" s="4" t="n"/>
      <c r="I18" s="4" t="n"/>
      <c r="J18" s="4" t="n"/>
      <c r="K18" s="4" t="n"/>
      <c r="L18" s="4" t="n"/>
      <c r="M18" s="4" t="n"/>
      <c r="N18" s="4" t="n"/>
      <c r="O18" s="4" t="n"/>
      <c r="P18" s="4" t="n"/>
      <c r="Q18" s="4" t="n"/>
      <c r="R18" s="4" t="n"/>
    </row>
    <row r="19">
      <c r="A19" s="4" t="n"/>
      <c r="B19" s="4" t="n"/>
      <c r="C19" s="4" t="n"/>
      <c r="D19" s="4" t="n"/>
      <c r="E19" s="4" t="n"/>
      <c r="F19" s="4" t="n"/>
      <c r="G19" s="4" t="n"/>
      <c r="H19" s="4" t="n"/>
      <c r="I19" s="4" t="n"/>
      <c r="J19" s="4" t="n"/>
      <c r="K19" s="4" t="n"/>
      <c r="L19" s="4" t="n"/>
      <c r="M19" s="4" t="n"/>
      <c r="N19" s="4" t="n"/>
      <c r="O19" s="4" t="n"/>
      <c r="P19" s="4" t="n"/>
      <c r="Q19" s="4" t="n"/>
      <c r="R19" s="4" t="n"/>
    </row>
    <row r="20">
      <c r="A20" s="4" t="n"/>
      <c r="B20" s="4" t="n"/>
      <c r="C20" s="4" t="n"/>
      <c r="D20" s="4" t="n"/>
      <c r="E20" s="4" t="n"/>
      <c r="F20" s="4" t="n"/>
      <c r="G20" s="4" t="n"/>
      <c r="H20" s="4" t="n"/>
      <c r="I20" s="4" t="n"/>
      <c r="J20" s="4" t="n"/>
      <c r="K20" s="4" t="n"/>
      <c r="L20" s="4" t="n"/>
      <c r="M20" s="4" t="n"/>
      <c r="N20" s="4" t="n"/>
      <c r="O20" s="4" t="n"/>
      <c r="P20" s="4" t="n"/>
      <c r="Q20" s="4" t="n"/>
      <c r="R20" s="4" t="n"/>
    </row>
    <row r="21">
      <c r="A21" s="4" t="n"/>
      <c r="B21" s="4" t="n"/>
      <c r="C21" s="4" t="n"/>
      <c r="D21" s="4" t="n"/>
      <c r="E21" s="4" t="n"/>
      <c r="F21" s="4" t="n"/>
      <c r="G21" s="4" t="n"/>
      <c r="H21" s="4" t="n"/>
      <c r="I21" s="4" t="n"/>
      <c r="J21" s="4" t="n"/>
      <c r="K21" s="4" t="n"/>
      <c r="L21" s="4" t="n"/>
      <c r="M21" s="4" t="n"/>
      <c r="N21" s="4" t="n"/>
      <c r="O21" s="4" t="n"/>
      <c r="P21" s="4" t="n"/>
      <c r="Q21" s="4" t="n"/>
      <c r="R21" s="4" t="n"/>
    </row>
    <row r="22">
      <c r="A22" s="4" t="n"/>
      <c r="B22" s="4" t="n"/>
      <c r="C22" s="4" t="n"/>
      <c r="D22" s="4" t="n"/>
      <c r="E22" s="4" t="n"/>
      <c r="F22" s="4" t="n"/>
      <c r="G22" s="4" t="n"/>
      <c r="H22" s="4" t="n"/>
      <c r="I22" s="4" t="n"/>
      <c r="J22" s="4" t="n"/>
      <c r="K22" s="4" t="n"/>
      <c r="L22" s="4" t="n"/>
      <c r="M22" s="4" t="n"/>
      <c r="N22" s="4" t="n"/>
      <c r="O22" s="4" t="n"/>
      <c r="P22" s="4" t="n"/>
      <c r="Q22" s="4" t="n"/>
      <c r="R22" s="4" t="n"/>
    </row>
    <row r="23">
      <c r="A23" s="4" t="n"/>
      <c r="B23" s="4" t="n"/>
      <c r="C23" s="4" t="n"/>
      <c r="D23" s="4" t="n"/>
      <c r="E23" s="4" t="n"/>
      <c r="F23" s="4" t="n"/>
      <c r="G23" s="4" t="n"/>
      <c r="H23" s="4" t="n"/>
      <c r="I23" s="4" t="n"/>
      <c r="J23" s="4" t="n"/>
      <c r="K23" s="4" t="n"/>
      <c r="L23" s="4" t="n"/>
      <c r="M23" s="4" t="n"/>
      <c r="N23" s="4" t="n"/>
      <c r="O23" s="4" t="n"/>
      <c r="P23" s="4" t="n"/>
      <c r="Q23" s="4" t="n"/>
      <c r="R23" s="4" t="n"/>
    </row>
    <row r="24">
      <c r="A24" s="4" t="n"/>
      <c r="B24" s="4" t="n"/>
      <c r="C24" s="4" t="n"/>
      <c r="D24" s="4" t="n"/>
      <c r="E24" s="4" t="n"/>
      <c r="F24" s="4" t="n"/>
      <c r="G24" s="4" t="n"/>
      <c r="H24" s="4" t="n"/>
      <c r="I24" s="4" t="n"/>
      <c r="J24" s="4" t="n"/>
      <c r="K24" s="4" t="n"/>
      <c r="L24" s="4" t="n"/>
      <c r="M24" s="4" t="n"/>
      <c r="N24" s="4" t="n"/>
      <c r="O24" s="4" t="n"/>
      <c r="P24" s="4" t="n"/>
      <c r="Q24" s="4" t="n"/>
      <c r="R24" s="4" t="n"/>
    </row>
    <row r="25">
      <c r="A25" s="4" t="n"/>
      <c r="B25" s="4" t="n"/>
      <c r="C25" s="4" t="n"/>
      <c r="D25" s="4" t="n"/>
      <c r="E25" s="4" t="n"/>
      <c r="F25" s="4" t="n"/>
      <c r="G25" s="4" t="n"/>
      <c r="H25" s="4" t="n"/>
      <c r="I25" s="4" t="n"/>
      <c r="J25" s="4" t="n"/>
      <c r="K25" s="4" t="n"/>
      <c r="L25" s="4" t="n"/>
      <c r="M25" s="4" t="n"/>
      <c r="N25" s="4" t="n"/>
      <c r="O25" s="4" t="n"/>
      <c r="P25" s="4" t="n"/>
      <c r="Q25" s="4" t="n"/>
      <c r="R25" s="4" t="n"/>
    </row>
    <row r="26">
      <c r="A26" s="4" t="n"/>
      <c r="B26" s="4" t="n"/>
      <c r="C26" s="4" t="n"/>
      <c r="D26" s="4" t="n"/>
      <c r="E26" s="4" t="n"/>
      <c r="F26" s="4" t="n"/>
      <c r="G26" s="4" t="n"/>
      <c r="H26" s="4" t="n"/>
      <c r="I26" s="4" t="n"/>
      <c r="J26" s="4" t="n"/>
      <c r="K26" s="4" t="n"/>
      <c r="L26" s="4" t="n"/>
      <c r="M26" s="4" t="n"/>
      <c r="N26" s="4" t="n"/>
      <c r="O26" s="4" t="n"/>
      <c r="P26" s="4" t="n"/>
      <c r="Q26" s="4" t="n"/>
      <c r="R26" s="4" t="n"/>
    </row>
    <row r="27">
      <c r="A27" s="4" t="n"/>
      <c r="B27" s="4" t="n"/>
      <c r="C27" s="4" t="n"/>
      <c r="D27" s="4" t="n"/>
      <c r="E27" s="4" t="n"/>
      <c r="F27" s="4" t="n"/>
      <c r="G27" s="4" t="n"/>
      <c r="H27" s="4" t="n"/>
      <c r="I27" s="4" t="n"/>
      <c r="J27" s="4" t="n"/>
      <c r="K27" s="4" t="n"/>
      <c r="L27" s="4" t="n"/>
      <c r="M27" s="4" t="n"/>
      <c r="N27" s="4" t="n"/>
      <c r="O27" s="4" t="n"/>
      <c r="P27" s="4" t="n"/>
      <c r="Q27" s="4" t="n"/>
      <c r="R27" s="4" t="n"/>
    </row>
    <row r="28">
      <c r="A28" s="4" t="n"/>
      <c r="B28" s="4" t="n"/>
      <c r="C28" s="4" t="n"/>
      <c r="D28" s="4" t="n"/>
      <c r="E28" s="4" t="n"/>
      <c r="F28" s="4" t="n"/>
      <c r="G28" s="4" t="n"/>
      <c r="H28" s="4" t="n"/>
      <c r="I28" s="4" t="n"/>
      <c r="J28" s="4" t="n"/>
      <c r="K28" s="4" t="n"/>
      <c r="L28" s="4" t="n"/>
      <c r="M28" s="4" t="n"/>
      <c r="N28" s="4" t="n"/>
      <c r="O28" s="4" t="n"/>
      <c r="P28" s="4" t="n"/>
      <c r="Q28" s="4" t="n"/>
      <c r="R28" s="4" t="n"/>
    </row>
    <row r="29">
      <c r="A29" s="4" t="n"/>
      <c r="B29" s="4" t="n"/>
      <c r="C29" s="4" t="n"/>
      <c r="D29" s="4" t="n"/>
      <c r="E29" s="4" t="n"/>
      <c r="F29" s="4" t="n"/>
      <c r="G29" s="4" t="n"/>
      <c r="H29" s="4" t="n"/>
      <c r="I29" s="4" t="n"/>
      <c r="J29" s="4" t="n"/>
      <c r="K29" s="4" t="n"/>
      <c r="L29" s="4" t="n"/>
      <c r="M29" s="4" t="n"/>
      <c r="N29" s="4" t="n"/>
      <c r="O29" s="4" t="n"/>
      <c r="P29" s="4" t="n"/>
      <c r="Q29" s="4" t="n"/>
      <c r="R29" s="4" t="n"/>
    </row>
    <row r="30">
      <c r="A30" s="4" t="n"/>
      <c r="B30" s="4" t="n"/>
      <c r="C30" s="4" t="n"/>
      <c r="D30" s="4" t="n"/>
      <c r="E30" s="4" t="n"/>
      <c r="F30" s="4" t="n"/>
      <c r="G30" s="4" t="n"/>
      <c r="H30" s="4" t="n"/>
      <c r="I30" s="4" t="n"/>
      <c r="J30" s="4" t="n"/>
      <c r="K30" s="4" t="n"/>
      <c r="L30" s="4" t="n"/>
      <c r="M30" s="4" t="n"/>
      <c r="N30" s="4" t="n"/>
      <c r="O30" s="4" t="n"/>
      <c r="P30" s="4" t="n"/>
      <c r="Q30" s="4" t="n"/>
      <c r="R30" s="4" t="n"/>
    </row>
    <row r="31">
      <c r="A31" s="4" t="n"/>
      <c r="B31" s="4" t="n"/>
      <c r="C31" s="4" t="n"/>
      <c r="D31" s="4" t="n"/>
      <c r="E31" s="4" t="n"/>
      <c r="F31" s="4" t="n"/>
      <c r="G31" s="4" t="n"/>
      <c r="H31" s="4" t="n"/>
      <c r="I31" s="4" t="n"/>
      <c r="J31" s="4" t="n"/>
      <c r="K31" s="4" t="n"/>
      <c r="L31" s="4" t="n"/>
      <c r="M31" s="4" t="n"/>
      <c r="N31" s="4" t="n"/>
      <c r="O31" s="4" t="n"/>
      <c r="P31" s="4" t="n"/>
      <c r="Q31" s="4" t="n"/>
      <c r="R31" s="4" t="n"/>
    </row>
    <row r="32">
      <c r="A32" s="4" t="n"/>
      <c r="B32" s="4" t="n"/>
      <c r="C32" s="4" t="n"/>
      <c r="D32" s="4" t="n"/>
      <c r="E32" s="4" t="n"/>
      <c r="F32" s="4" t="n"/>
      <c r="G32" s="4" t="n"/>
      <c r="H32" s="4" t="n"/>
      <c r="I32" s="4" t="n"/>
      <c r="J32" s="4" t="n"/>
      <c r="K32" s="4" t="n"/>
      <c r="L32" s="4" t="n"/>
      <c r="M32" s="4" t="n"/>
      <c r="N32" s="4" t="n"/>
      <c r="O32" s="4" t="n"/>
      <c r="P32" s="4" t="n"/>
      <c r="Q32" s="4" t="n"/>
      <c r="R32" s="4" t="n"/>
    </row>
    <row r="33">
      <c r="A33" s="4" t="n"/>
      <c r="B33" s="4" t="n"/>
      <c r="C33" s="4" t="n"/>
      <c r="D33" s="4" t="n"/>
      <c r="E33" s="4" t="n"/>
      <c r="F33" s="4" t="n"/>
      <c r="G33" s="4" t="n"/>
      <c r="H33" s="4" t="n"/>
      <c r="I33" s="4" t="n"/>
      <c r="J33" s="4" t="n"/>
      <c r="K33" s="4" t="n"/>
      <c r="L33" s="4" t="n"/>
      <c r="M33" s="4" t="n"/>
      <c r="N33" s="4" t="n"/>
      <c r="O33" s="4" t="n"/>
      <c r="P33" s="4" t="n"/>
      <c r="Q33" s="4" t="n"/>
      <c r="R33" s="4" t="n"/>
    </row>
    <row r="34">
      <c r="A34" s="4" t="n"/>
      <c r="B34" s="4" t="n"/>
      <c r="C34" s="4" t="n"/>
      <c r="D34" s="4" t="n"/>
      <c r="E34" s="4" t="n"/>
      <c r="F34" s="4" t="n"/>
      <c r="G34" s="4" t="n"/>
      <c r="H34" s="4" t="n"/>
      <c r="I34" s="4" t="n"/>
      <c r="J34" s="4" t="n"/>
      <c r="K34" s="4" t="n"/>
      <c r="L34" s="4" t="n"/>
      <c r="M34" s="4" t="n"/>
      <c r="N34" s="4" t="n"/>
      <c r="O34" s="4" t="n"/>
      <c r="P34" s="4" t="n"/>
      <c r="Q34" s="4" t="n"/>
      <c r="R34" s="4" t="n"/>
    </row>
    <row r="35">
      <c r="A35" s="4" t="n"/>
      <c r="B35" s="4" t="n"/>
      <c r="C35" s="4" t="n"/>
      <c r="D35" s="4" t="n"/>
      <c r="E35" s="4" t="n"/>
      <c r="F35" s="4" t="n"/>
      <c r="G35" s="4" t="n"/>
      <c r="H35" s="4" t="n"/>
      <c r="I35" s="4" t="n"/>
      <c r="J35" s="4" t="n"/>
      <c r="K35" s="4" t="n"/>
      <c r="L35" s="4" t="n"/>
      <c r="M35" s="4" t="n"/>
      <c r="N35" s="4" t="n"/>
      <c r="O35" s="4" t="n"/>
      <c r="P35" s="4" t="n"/>
      <c r="Q35" s="4" t="n"/>
      <c r="R35" s="4" t="n"/>
    </row>
    <row r="36">
      <c r="A36" s="4" t="n"/>
      <c r="B36" s="4" t="n"/>
      <c r="C36" s="4" t="n"/>
      <c r="D36" s="4" t="n"/>
      <c r="E36" s="4" t="n"/>
      <c r="F36" s="4" t="n"/>
      <c r="G36" s="4" t="n"/>
      <c r="H36" s="4" t="n"/>
      <c r="I36" s="4" t="n"/>
      <c r="J36" s="4" t="n"/>
      <c r="K36" s="4" t="n"/>
      <c r="L36" s="4" t="n"/>
      <c r="M36" s="4" t="n"/>
      <c r="N36" s="4" t="n"/>
      <c r="O36" s="4" t="n"/>
      <c r="P36" s="4" t="n"/>
      <c r="Q36" s="4" t="n"/>
      <c r="R36" s="4" t="n"/>
    </row>
    <row r="37">
      <c r="A37" s="4" t="n"/>
      <c r="B37" s="4" t="n"/>
      <c r="C37" s="4" t="n"/>
      <c r="D37" s="4" t="n"/>
      <c r="E37" s="4" t="n"/>
      <c r="F37" s="4" t="n"/>
      <c r="G37" s="4" t="n"/>
      <c r="H37" s="4" t="n"/>
      <c r="I37" s="4" t="n"/>
      <c r="J37" s="4" t="n"/>
      <c r="K37" s="4" t="n"/>
      <c r="L37" s="4" t="n"/>
      <c r="M37" s="4" t="n"/>
      <c r="N37" s="4" t="n"/>
      <c r="O37" s="4" t="n"/>
      <c r="P37" s="4" t="n"/>
      <c r="Q37" s="4" t="n"/>
      <c r="R37" s="4" t="n"/>
    </row>
    <row r="38">
      <c r="A38" s="4" t="n"/>
      <c r="B38" s="4" t="n"/>
      <c r="C38" s="4" t="n"/>
      <c r="D38" s="4" t="n"/>
      <c r="E38" s="4" t="n"/>
      <c r="F38" s="4" t="n"/>
      <c r="G38" s="4" t="n"/>
      <c r="H38" s="4" t="n"/>
      <c r="I38" s="4" t="n"/>
      <c r="J38" s="4" t="n"/>
      <c r="K38" s="4" t="n"/>
      <c r="L38" s="4" t="n"/>
      <c r="M38" s="4" t="n"/>
      <c r="N38" s="4" t="n"/>
      <c r="O38" s="4" t="n"/>
      <c r="P38" s="4" t="n"/>
      <c r="Q38" s="4" t="n"/>
      <c r="R38" s="4" t="n"/>
    </row>
    <row r="39">
      <c r="A39" s="4" t="n"/>
      <c r="B39" s="4" t="n"/>
      <c r="C39" s="4" t="n"/>
      <c r="D39" s="4" t="n"/>
      <c r="E39" s="4" t="n"/>
      <c r="F39" s="4" t="n"/>
      <c r="G39" s="4" t="n"/>
      <c r="H39" s="4" t="n"/>
      <c r="I39" s="4" t="n"/>
      <c r="J39" s="4" t="n"/>
      <c r="K39" s="4" t="n"/>
      <c r="L39" s="4" t="n"/>
      <c r="M39" s="4" t="n"/>
      <c r="N39" s="4" t="n"/>
      <c r="O39" s="4" t="n"/>
      <c r="P39" s="4" t="n"/>
      <c r="Q39" s="4" t="n"/>
      <c r="R39" s="4" t="n"/>
    </row>
    <row r="40">
      <c r="A40" s="4" t="n"/>
      <c r="B40" s="4" t="n"/>
      <c r="C40" s="4" t="n"/>
      <c r="D40" s="4" t="n"/>
      <c r="E40" s="4" t="n"/>
      <c r="F40" s="4" t="n"/>
      <c r="G40" s="4" t="n"/>
      <c r="H40" s="4" t="n"/>
      <c r="I40" s="4" t="n"/>
      <c r="J40" s="4" t="n"/>
      <c r="K40" s="4" t="n"/>
      <c r="L40" s="4" t="n"/>
      <c r="M40" s="4" t="n"/>
      <c r="N40" s="4" t="n"/>
      <c r="O40" s="4" t="n"/>
      <c r="P40" s="4" t="n"/>
      <c r="Q40" s="4" t="n"/>
      <c r="R40" s="4" t="n"/>
    </row>
    <row r="41">
      <c r="A41" s="4" t="n"/>
      <c r="B41" s="4" t="n"/>
      <c r="C41" s="4" t="n"/>
      <c r="D41" s="4" t="n"/>
      <c r="E41" s="4" t="n"/>
      <c r="F41" s="4" t="n"/>
      <c r="G41" s="4" t="n"/>
      <c r="H41" s="4" t="n"/>
      <c r="I41" s="4" t="n"/>
      <c r="J41" s="4" t="n"/>
      <c r="K41" s="4" t="n"/>
      <c r="L41" s="4" t="n"/>
      <c r="M41" s="4" t="n"/>
      <c r="N41" s="4" t="n"/>
      <c r="O41" s="4" t="n"/>
      <c r="P41" s="4" t="n"/>
      <c r="Q41" s="4" t="n"/>
      <c r="R41" s="4" t="n"/>
    </row>
    <row r="42">
      <c r="A42" s="4" t="n"/>
      <c r="B42" s="4" t="n"/>
      <c r="C42" s="4" t="n"/>
      <c r="D42" s="4" t="n"/>
      <c r="E42" s="4" t="n"/>
      <c r="F42" s="4" t="n"/>
      <c r="G42" s="4" t="n"/>
      <c r="H42" s="4" t="n"/>
      <c r="I42" s="4" t="n"/>
      <c r="J42" s="4" t="n"/>
      <c r="K42" s="4" t="n"/>
      <c r="L42" s="4" t="n"/>
      <c r="M42" s="4" t="n"/>
      <c r="N42" s="4" t="n"/>
      <c r="O42" s="4" t="n"/>
      <c r="P42" s="4" t="n"/>
      <c r="Q42" s="4" t="n"/>
      <c r="R42" s="4" t="n"/>
    </row>
    <row r="43">
      <c r="A43" s="4" t="n"/>
      <c r="B43" s="4" t="n"/>
      <c r="C43" s="4" t="n"/>
      <c r="D43" s="4" t="n"/>
      <c r="E43" s="4" t="n"/>
      <c r="F43" s="4" t="n"/>
      <c r="G43" s="4" t="n"/>
      <c r="H43" s="4" t="n"/>
      <c r="I43" s="4" t="n"/>
      <c r="J43" s="4" t="n"/>
      <c r="K43" s="4" t="n"/>
      <c r="L43" s="4" t="n"/>
      <c r="M43" s="4" t="n"/>
      <c r="N43" s="4" t="n"/>
      <c r="O43" s="4" t="n"/>
      <c r="P43" s="4" t="n"/>
      <c r="Q43" s="4" t="n"/>
      <c r="R43" s="4" t="n"/>
    </row>
    <row r="44">
      <c r="A44" s="4" t="n"/>
      <c r="B44" s="4" t="n"/>
      <c r="C44" s="4" t="n"/>
      <c r="D44" s="4" t="n"/>
      <c r="E44" s="4" t="n"/>
      <c r="F44" s="4" t="n"/>
      <c r="G44" s="4" t="n"/>
      <c r="H44" s="4" t="n"/>
      <c r="I44" s="4" t="n"/>
      <c r="J44" s="4" t="n"/>
      <c r="K44" s="4" t="n"/>
      <c r="L44" s="4" t="n"/>
      <c r="M44" s="4" t="n"/>
      <c r="N44" s="4" t="n"/>
      <c r="O44" s="4" t="n"/>
      <c r="P44" s="4" t="n"/>
      <c r="Q44" s="4" t="n"/>
      <c r="R44" s="4" t="n"/>
    </row>
    <row r="45">
      <c r="A45" s="4" t="n"/>
      <c r="B45" s="4" t="n"/>
      <c r="C45" s="4" t="n"/>
      <c r="D45" s="4" t="n"/>
      <c r="E45" s="4" t="n"/>
      <c r="F45" s="4" t="n"/>
      <c r="G45" s="4" t="n"/>
      <c r="H45" s="4" t="n"/>
      <c r="I45" s="4" t="n"/>
      <c r="J45" s="4" t="n"/>
      <c r="K45" s="4" t="n"/>
      <c r="L45" s="4" t="n"/>
      <c r="M45" s="4" t="n"/>
      <c r="N45" s="4" t="n"/>
      <c r="O45" s="4" t="n"/>
      <c r="P45" s="4" t="n"/>
      <c r="Q45" s="4" t="n"/>
      <c r="R45" s="4" t="n"/>
    </row>
    <row r="46">
      <c r="A46" s="4" t="n"/>
      <c r="B46" s="4" t="n"/>
      <c r="C46" s="4" t="n"/>
      <c r="D46" s="4" t="n"/>
      <c r="E46" s="4" t="n"/>
      <c r="F46" s="4" t="n"/>
      <c r="G46" s="4" t="n"/>
      <c r="H46" s="4" t="n"/>
      <c r="I46" s="4" t="n"/>
      <c r="J46" s="4" t="n"/>
      <c r="K46" s="4" t="n"/>
      <c r="L46" s="4" t="n"/>
      <c r="M46" s="4" t="n"/>
      <c r="N46" s="4" t="n"/>
      <c r="O46" s="4" t="n"/>
      <c r="P46" s="4" t="n"/>
      <c r="Q46" s="4" t="n"/>
      <c r="R46" s="4" t="n"/>
    </row>
    <row r="47">
      <c r="A47" s="4" t="n"/>
      <c r="B47" s="4" t="n"/>
      <c r="C47" s="4" t="n"/>
      <c r="D47" s="4" t="n"/>
      <c r="E47" s="4" t="n"/>
      <c r="F47" s="4" t="n"/>
      <c r="G47" s="4" t="n"/>
      <c r="H47" s="4" t="n"/>
      <c r="I47" s="4" t="n"/>
      <c r="J47" s="4" t="n"/>
      <c r="K47" s="4" t="n"/>
      <c r="L47" s="4" t="n"/>
      <c r="M47" s="4" t="n"/>
      <c r="N47" s="4" t="n"/>
      <c r="O47" s="4" t="n"/>
      <c r="P47" s="4" t="n"/>
      <c r="Q47" s="4" t="n"/>
      <c r="R47" s="4" t="n"/>
    </row>
    <row r="48">
      <c r="A48" s="4" t="n"/>
      <c r="B48" s="4" t="n"/>
      <c r="C48" s="4" t="n"/>
      <c r="D48" s="4" t="n"/>
      <c r="E48" s="4" t="n"/>
      <c r="F48" s="4" t="n"/>
      <c r="G48" s="4" t="n"/>
      <c r="H48" s="4" t="n"/>
      <c r="I48" s="4" t="n"/>
      <c r="J48" s="4" t="n"/>
      <c r="K48" s="4" t="n"/>
      <c r="L48" s="4" t="n"/>
      <c r="M48" s="4" t="n"/>
      <c r="N48" s="4" t="n"/>
      <c r="O48" s="4" t="n"/>
      <c r="P48" s="4" t="n"/>
      <c r="Q48" s="4" t="n"/>
      <c r="R48" s="4" t="n"/>
    </row>
    <row r="49">
      <c r="A49" s="4" t="n"/>
      <c r="B49" s="4" t="n"/>
      <c r="C49" s="4" t="n"/>
      <c r="D49" s="4" t="n"/>
      <c r="E49" s="4" t="n"/>
      <c r="F49" s="4" t="n"/>
      <c r="G49" s="4" t="n"/>
      <c r="H49" s="4" t="n"/>
      <c r="I49" s="4" t="n"/>
      <c r="J49" s="4" t="n"/>
      <c r="K49" s="4" t="n"/>
      <c r="L49" s="4" t="n"/>
      <c r="M49" s="4" t="n"/>
      <c r="N49" s="4" t="n"/>
      <c r="O49" s="4" t="n"/>
      <c r="P49" s="4" t="n"/>
      <c r="Q49" s="4" t="n"/>
      <c r="R49" s="4" t="n"/>
    </row>
    <row r="50">
      <c r="A50" s="4" t="n"/>
      <c r="B50" s="4" t="n"/>
      <c r="C50" s="4" t="n"/>
      <c r="D50" s="4" t="n"/>
      <c r="E50" s="4" t="n"/>
      <c r="F50" s="4" t="n"/>
      <c r="G50" s="4" t="n"/>
      <c r="H50" s="4" t="n"/>
      <c r="I50" s="4" t="n"/>
      <c r="J50" s="4" t="n"/>
      <c r="K50" s="4" t="n"/>
      <c r="L50" s="4" t="n"/>
      <c r="M50" s="4" t="n"/>
      <c r="N50" s="4" t="n"/>
      <c r="O50" s="4" t="n"/>
      <c r="P50" s="4" t="n"/>
      <c r="Q50" s="4" t="n"/>
      <c r="R50" s="4" t="n"/>
    </row>
    <row r="51">
      <c r="A51" s="4" t="n"/>
      <c r="B51" s="4" t="n"/>
      <c r="C51" s="4" t="n"/>
      <c r="D51" s="4" t="n"/>
      <c r="E51" s="4" t="n"/>
      <c r="F51" s="4" t="n"/>
      <c r="G51" s="4" t="n"/>
      <c r="H51" s="4" t="n"/>
      <c r="I51" s="4" t="n"/>
      <c r="J51" s="4" t="n"/>
      <c r="K51" s="4" t="n"/>
      <c r="L51" s="4" t="n"/>
      <c r="M51" s="4" t="n"/>
      <c r="N51" s="4" t="n"/>
      <c r="O51" s="4" t="n"/>
      <c r="P51" s="4" t="n"/>
      <c r="Q51" s="4" t="n"/>
      <c r="R51" s="4" t="n"/>
    </row>
    <row r="52">
      <c r="A52" s="4" t="n"/>
      <c r="B52" s="4" t="n"/>
      <c r="C52" s="4" t="n"/>
      <c r="D52" s="4" t="n"/>
      <c r="E52" s="4" t="n"/>
      <c r="F52" s="4" t="n"/>
      <c r="G52" s="4" t="n"/>
      <c r="H52" s="4" t="n"/>
      <c r="I52" s="4" t="n"/>
      <c r="J52" s="4" t="n"/>
      <c r="K52" s="4" t="n"/>
      <c r="L52" s="4" t="n"/>
      <c r="M52" s="4" t="n"/>
      <c r="N52" s="4" t="n"/>
      <c r="O52" s="4" t="n"/>
      <c r="P52" s="4" t="n"/>
      <c r="Q52" s="4" t="n"/>
      <c r="R52" s="4" t="n"/>
    </row>
    <row r="53">
      <c r="A53" s="4" t="n"/>
      <c r="B53" s="4" t="n"/>
      <c r="C53" s="4" t="n"/>
      <c r="D53" s="4" t="n"/>
      <c r="E53" s="4" t="n"/>
      <c r="F53" s="4" t="n"/>
      <c r="G53" s="4" t="n"/>
      <c r="H53" s="4" t="n"/>
      <c r="I53" s="4" t="n"/>
      <c r="J53" s="4" t="n"/>
      <c r="K53" s="4" t="n"/>
      <c r="L53" s="4" t="n"/>
      <c r="M53" s="4" t="n"/>
      <c r="N53" s="4" t="n"/>
      <c r="O53" s="4" t="n"/>
      <c r="P53" s="4" t="n"/>
      <c r="Q53" s="4" t="n"/>
      <c r="R53" s="4" t="n"/>
    </row>
    <row r="54">
      <c r="A54" s="4" t="n"/>
      <c r="B54" s="4" t="n"/>
      <c r="C54" s="4" t="n"/>
      <c r="D54" s="4" t="n"/>
      <c r="E54" s="4" t="n"/>
      <c r="F54" s="4" t="n"/>
      <c r="G54" s="4" t="n"/>
      <c r="H54" s="4" t="n"/>
      <c r="I54" s="4" t="n"/>
      <c r="J54" s="4" t="n"/>
      <c r="K54" s="4" t="n"/>
      <c r="L54" s="4" t="n"/>
      <c r="M54" s="4" t="n"/>
      <c r="N54" s="4" t="n"/>
      <c r="O54" s="4" t="n"/>
      <c r="P54" s="4" t="n"/>
      <c r="Q54" s="4" t="n"/>
      <c r="R54" s="4" t="n"/>
    </row>
    <row r="55">
      <c r="A55" s="4" t="n"/>
      <c r="B55" s="4" t="n"/>
      <c r="C55" s="4" t="n"/>
      <c r="D55" s="4" t="n"/>
      <c r="E55" s="4" t="n"/>
      <c r="F55" s="4" t="n"/>
      <c r="G55" s="4" t="n"/>
      <c r="H55" s="4" t="n"/>
      <c r="I55" s="4" t="n"/>
      <c r="J55" s="4" t="n"/>
      <c r="K55" s="4" t="n"/>
      <c r="L55" s="4" t="n"/>
      <c r="M55" s="4" t="n"/>
      <c r="N55" s="4" t="n"/>
      <c r="O55" s="4" t="n"/>
      <c r="P55" s="4" t="n"/>
      <c r="Q55" s="4" t="n"/>
      <c r="R55" s="4" t="n"/>
    </row>
    <row r="56">
      <c r="A56" s="4" t="n"/>
      <c r="B56" s="4" t="n"/>
      <c r="C56" s="4" t="n"/>
      <c r="D56" s="4" t="n"/>
      <c r="E56" s="4" t="n"/>
      <c r="F56" s="4" t="n"/>
      <c r="G56" s="4" t="n"/>
      <c r="H56" s="4" t="n"/>
      <c r="I56" s="4" t="n"/>
      <c r="J56" s="4" t="n"/>
      <c r="K56" s="4" t="n"/>
      <c r="L56" s="4" t="n"/>
      <c r="M56" s="4" t="n"/>
      <c r="N56" s="4" t="n"/>
      <c r="O56" s="4" t="n"/>
      <c r="P56" s="4" t="n"/>
      <c r="Q56" s="4" t="n"/>
      <c r="R56" s="4" t="n"/>
    </row>
    <row r="57">
      <c r="A57" s="4" t="n"/>
      <c r="B57" s="4" t="n"/>
      <c r="C57" s="4" t="n"/>
      <c r="D57" s="4" t="n"/>
      <c r="E57" s="4" t="n"/>
      <c r="F57" s="4" t="n"/>
      <c r="G57" s="4" t="n"/>
      <c r="H57" s="4" t="n"/>
      <c r="I57" s="4" t="n"/>
      <c r="J57" s="4" t="n"/>
      <c r="K57" s="4" t="n"/>
      <c r="L57" s="4" t="n"/>
      <c r="M57" s="4" t="n"/>
      <c r="N57" s="4" t="n"/>
      <c r="O57" s="4" t="n"/>
      <c r="P57" s="4" t="n"/>
      <c r="Q57" s="4" t="n"/>
      <c r="R57" s="4" t="n"/>
    </row>
    <row r="60">
      <c r="A60" s="9" t="inlineStr">
        <is>
          <t>DATA CHECKLIST</t>
        </is>
      </c>
    </row>
    <row r="61">
      <c r="A61" t="inlineStr">
        <is>
          <t>☐</t>
        </is>
      </c>
      <c r="B61" t="inlineStr">
        <is>
          <t>All production → non-production flows documented</t>
        </is>
      </c>
      <c r="C61" s="4" t="n"/>
    </row>
    <row r="62">
      <c r="A62" t="inlineStr">
        <is>
          <t>☐</t>
        </is>
      </c>
      <c r="B62" t="inlineStr">
        <is>
          <t>Masking checkpoints identified at environment boundaries</t>
        </is>
      </c>
      <c r="C62" s="4" t="n"/>
    </row>
    <row r="63">
      <c r="A63" t="inlineStr">
        <is>
          <t>☐</t>
        </is>
      </c>
      <c r="B63" t="inlineStr">
        <is>
          <t>Data refresh processes documented</t>
        </is>
      </c>
      <c r="C63" s="4" t="n"/>
    </row>
    <row r="64">
      <c r="A64" t="inlineStr">
        <is>
          <t>☐</t>
        </is>
      </c>
      <c r="B64" t="inlineStr">
        <is>
          <t>Automated masking integrated into data pipelines</t>
        </is>
      </c>
      <c r="C64" s="4" t="n"/>
    </row>
    <row r="65">
      <c r="A65" t="inlineStr">
        <is>
          <t>☐</t>
        </is>
      </c>
      <c r="B65" t="inlineStr">
        <is>
          <t>Manual data transfers prohibited or strictly controlled</t>
        </is>
      </c>
      <c r="C65" s="4" t="n"/>
    </row>
    <row r="66">
      <c r="A66" t="inlineStr">
        <is>
          <t>☐</t>
        </is>
      </c>
      <c r="B66" t="inlineStr">
        <is>
          <t>End-to-end masking verified for each flow</t>
        </is>
      </c>
      <c r="C66" s="4" t="n"/>
    </row>
    <row r="67">
      <c r="A67" t="inlineStr">
        <is>
          <t>☐</t>
        </is>
      </c>
      <c r="B67" t="inlineStr">
        <is>
          <t>Data flow inventory reviewed quarterly</t>
        </is>
      </c>
      <c r="C67" s="4" t="n"/>
    </row>
    <row r="68">
      <c r="A68" t="inlineStr">
        <is>
          <t>☐</t>
        </is>
      </c>
      <c r="B68" t="inlineStr">
        <is>
          <t>New data flows assessed for masking requirements</t>
        </is>
      </c>
      <c r="C68" s="4" t="n"/>
    </row>
    <row r="69">
      <c r="A69" t="inlineStr">
        <is>
          <t>☐</t>
        </is>
      </c>
      <c r="B69" t="inlineStr">
        <is>
          <t>Data flow exceptions approved by ISO</t>
        </is>
      </c>
      <c r="C69" s="4" t="n"/>
    </row>
    <row r="70">
      <c r="A70" t="inlineStr">
        <is>
          <t>☐</t>
        </is>
      </c>
      <c r="B70" t="inlineStr">
        <is>
          <t>High-risk flows (unmasked external sharing) escalated</t>
        </is>
      </c>
      <c r="C70" s="4" t="n"/>
    </row>
  </sheetData>
  <mergeCells count="2">
    <mergeCell ref="A2:Q2"/>
    <mergeCell ref="A1:Q1"/>
  </mergeCells>
  <dataValidations count="10">
    <dataValidation sqref="B7 B8 B9 B10 B11 B12 B13 B14 B15 B16 B17 B18 B19 B20 B21 B22 B23 B24 B25 B26 B27 B28 B29 B30 B31 B32 B33 B34 B35 B36 B37 B38 B39 B40 B41 B42 B43 B44 B45 B46 B47 B48 B49 B50 B51 B52 B53 B54 B55 B56 B57" showDropDown="0" showInputMessage="0" showErrorMessage="0" allowBlank="0" type="list">
      <formula1>"Production,Development,Testing,UAT,Staging,Training,Sandbox,Analytics,Cloud,Backup,Archive,External"</formula1>
    </dataValidation>
    <dataValidation sqref="C7 C8 C9 C10 C11 C12 C13 C14 C15 C16 C17 C18 C19 C20 C21 C22 C23 C24 C25 C26 C27 C28 C29 C30 C31 C32 C33 C34 C35 C36 C37 C38 C39 C40 C41 C42 C43 C44 C45 C46 C47 C48 C49 C50 C51 C52 C53 C54 C55 C56 C57" showDropDown="0" showInputMessage="0" showErrorMessage="0" allowBlank="0" type="list">
      <formula1>"Sensitive,Confidential,Internal,Public"</formula1>
    </dataValidation>
    <dataValidation sqref="D7 D8 D9 D10 D11 D12 D13 D14 D15 D16 D17 D18 D19 D20 D21 D22 D23 D24 D25 D26 D27 D28 D29 D30 D31 D32 D33 D34 D35 D36 D37 D38 D39 D40 D41 D42 D43 D44 D45 D46 D47 D48 D49 D50 D51 D52 D53 D54 D55 D56 D57" showDropDown="0" showInputMessage="0" showErrorMessage="0" allowBlank="0" type="list">
      <formula1>"On-Premises,AWS,Azure,GCP,Hybrid,Other Cloud"</formula1>
    </dataValidation>
    <dataValidation sqref="E7 E8 E9 E10 E11 E12 E13 E14 E15 E16 E17 E18 E19 E20 E21 E22 E23 E24 E25 E26 E27 E28 E29 E30 E31 E32 E33 E34 E35 E36 E37 E38 E39 E40 E41 E42 E43 E44 E45 E46 E47 E48 E49 E50 E51 E52 E53 E54 E55 E56 E57" showDropDown="0" showInputMessage="0" showErrorMessage="0" allowBlank="0" type="list">
      <formula1>"PII,Financial,Health,Credentials,Proprietary,Mixed,None"</formula1>
    </dataValidation>
    <dataValidation sqref="F7 F8 F9 F10 F11 F12 F13 F14 F15 F16 F17 F18 F19 F20 F21 F22 F23 F24 F25 F26 F27 F28 F29 F30 F31 F32 F33 F34 F35 F36 F37 F38 F39 F40 F41 F42 F43 F44 F45 F46 F47 F48 F49 F50 F51 F52 F53 F54 F55 F56 F57" showDropDown="0" showInputMessage="0" showErrorMessage="0" allowBlank="0" type="list">
      <formula1>"✅ Mandatory,⚠️ Conditional,❌ Not Required,N/A"</formula1>
    </dataValidation>
    <dataValidation sqref="B3 G7 G8 G9 G10 G11 G12 G13 G14 G15 G16 G17 G18 G19 G20 G21 G22 G23 G24 G25 G26 G27 G28 G29 G30 G31 G32 G33 G34 G35 G36 G37 G38 G39 G40 G41 G42 G43 G44 G45 G46 G47 G48 G49 G50 G51 G52 G53 G54 G55 G56 G57" showDropDown="0" showInputMessage="0" showErrorMessage="0" allowBlank="0" type="list">
      <formula1>"Yes,No,Partial,Planned,N/A"</formula1>
    </dataValidation>
    <dataValidation sqref="H7 H8 H9 H10 H11 H12 H13 H14 H15 H16 H17 H18 H19 H20 H21 H22 H23 H24 H25 H26 H27 H28 H29 H30 H31 H32 H33 H34 H35 H36 H37 H38 H39 H40 H41 H42 H43 H44 H45 H46 H47 H48 H49 H50 H51 H52 H53 H54 H55 H56 H57" showDropDown="0" showInputMessage="0" showErrorMessage="0" allowBlank="0" type="list">
      <formula1>"SDM,DDM,Tokenization,Encryption,Redaction,Substitution,Anonymization,None"</formula1>
    </dataValidation>
    <dataValidation sqref="O7 O8 O9 O10 O11 O12 O13 O14 O15 O16 O17 O18 O19 O20 O21 O22 O23 O24 O25 O26 O27 O28 O29 O30 O31 O32 O33 O34 O35 O36 O37 O38 O39 O40 O41 O42 O43 O44 O45 O46 O47 O48 O49 O50 O51 O52 O53 O54 O55 O56 O57" showDropDown="0" showInputMessage="0" showErrorMessage="0" allowBlank="0" type="list">
      <formula1>"✅ Compliant,⚠️ Partial,❌ Non-Compliant,N/A"</formula1>
    </dataValidation>
    <dataValidation sqref="N7 N8 N9 N10 N11 N12 N13 N14 N15 N16 N17 N18 N19 N20 N21 N22 N23 N24 N25 N26 N27 N28 N29 N30 N31 N32 N33 N34 N35 N36 N37 N38 N39 N40 N41 N42 N43 N44 N45 N46 N47 N48 N49 N50 N51 N52 N53 N54 N55 N56 N57" showDropDown="0" showInputMessage="0" showErrorMessage="0" allowBlank="0" type="list">
      <formula1>"Yes,No,N/A"</formula1>
    </dataValidation>
    <dataValidation sqref="C61 C62 C63 C64 C65 C66 C67 C68 C69 C70" showDropDown="0" showInputMessage="0" showErrorMessage="0" allowBlank="0" type="list">
      <formula1>"✅ Complete,⚠️ Partial,❌ Missing,N/A"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35" customWidth="1" min="3" max="3"/>
    <col width="25" customWidth="1" min="4" max="4"/>
    <col width="25" customWidth="1" min="5" max="5"/>
    <col width="12" customWidth="1" min="6" max="6"/>
    <col width="25" customWidth="1" min="7" max="7"/>
    <col width="35" customWidth="1" min="8" max="8"/>
    <col width="20" customWidth="1" min="9" max="9"/>
    <col width="15" customWidth="1" min="10" max="10"/>
    <col width="15" customWidth="1" min="11" max="11"/>
    <col width="15" customWidth="1" min="12" max="12"/>
  </cols>
  <sheetData>
    <row r="1" ht="35" customHeight="1">
      <c r="A1" s="1" t="inlineStr">
        <is>
          <t>GAP ANALYSIS &amp; REMEDIATION PLAN</t>
        </is>
      </c>
    </row>
    <row r="2">
      <c r="A2" s="8" t="inlineStr">
        <is>
          <t>All coverage gaps must be identified, risk-assessed, and remediated per organisational risk tolerance</t>
        </is>
      </c>
    </row>
    <row r="3">
      <c r="A3" s="10" t="inlineStr">
        <is>
          <t>Gap ID</t>
        </is>
      </c>
      <c r="B3" s="10" t="inlineStr">
        <is>
          <t>Environment/System</t>
        </is>
      </c>
      <c r="C3" s="10" t="inlineStr">
        <is>
          <t>Gap Description</t>
        </is>
      </c>
      <c r="D3" s="10" t="inlineStr">
        <is>
          <t>Current State</t>
        </is>
      </c>
      <c r="E3" s="10" t="inlineStr">
        <is>
          <t>Target State</t>
        </is>
      </c>
      <c r="F3" s="10" t="inlineStr">
        <is>
          <t>Risk Level</t>
        </is>
      </c>
      <c r="G3" s="10" t="inlineStr">
        <is>
          <t>Impact</t>
        </is>
      </c>
      <c r="H3" s="10" t="inlineStr">
        <is>
          <t>Remediation Action</t>
        </is>
      </c>
      <c r="I3" s="10" t="inlineStr">
        <is>
          <t>Owner</t>
        </is>
      </c>
      <c r="J3" s="10" t="inlineStr">
        <is>
          <t>Target Date</t>
        </is>
      </c>
      <c r="K3" s="10" t="inlineStr">
        <is>
          <t>Status</t>
        </is>
      </c>
      <c r="L3" s="10" t="inlineStr">
        <is>
          <t>Evidence ID</t>
        </is>
      </c>
    </row>
    <row r="4">
      <c r="A4" s="11" t="inlineStr">
        <is>
          <t>GAP-001</t>
        </is>
      </c>
      <c r="B4" s="11" t="inlineStr">
        <is>
          <t>Test Environment - App Server 03</t>
        </is>
      </c>
      <c r="C4" s="11" t="inlineStr">
        <is>
          <t>Production data cloned directly to test without masking</t>
        </is>
      </c>
      <c r="D4" s="11" t="inlineStr">
        <is>
          <t>Real customer emails visible in test database</t>
        </is>
      </c>
      <c r="E4" s="11" t="inlineStr">
        <is>
          <t>All PII masked before deployment to test</t>
        </is>
      </c>
      <c r="F4" s="11" t="inlineStr">
        <is>
          <t>High</t>
        </is>
      </c>
      <c r="G4" s="11" t="inlineStr">
        <is>
          <t>Data breach risk if test environment compromised; GDPR/FADP violation</t>
        </is>
      </c>
      <c r="H4" s="11" t="inlineStr">
        <is>
          <t>Implement SDM in data refresh pipeline; automate masking before test deployment</t>
        </is>
      </c>
      <c r="I4" s="11" t="inlineStr">
        <is>
          <t>Data Engineering</t>
        </is>
      </c>
      <c r="J4" s="11" t="inlineStr">
        <is>
          <t>31.03.2026</t>
        </is>
      </c>
      <c r="K4" s="11" t="inlineStr">
        <is>
          <t>In Progress</t>
        </is>
      </c>
      <c r="L4" s="11" t="inlineStr">
        <is>
          <t>EV-001</t>
        </is>
      </c>
    </row>
    <row r="5">
      <c r="A5" s="4" t="n"/>
      <c r="B5" s="4" t="n"/>
      <c r="C5" s="4" t="n"/>
      <c r="D5" s="4" t="n"/>
      <c r="E5" s="4" t="n"/>
      <c r="F5" s="4" t="n"/>
      <c r="G5" s="4" t="n"/>
      <c r="H5" s="4" t="n"/>
      <c r="I5" s="4" t="n"/>
      <c r="J5" s="4" t="n"/>
      <c r="K5" s="4" t="n"/>
      <c r="L5" s="4" t="n"/>
    </row>
    <row r="6">
      <c r="A6" s="4" t="n"/>
      <c r="B6" s="4" t="n"/>
      <c r="C6" s="4" t="n"/>
      <c r="D6" s="4" t="n"/>
      <c r="E6" s="4" t="n"/>
      <c r="F6" s="4" t="n"/>
      <c r="G6" s="4" t="n"/>
      <c r="H6" s="4" t="n"/>
      <c r="I6" s="4" t="n"/>
      <c r="J6" s="4" t="n"/>
      <c r="K6" s="4" t="n"/>
      <c r="L6" s="4" t="n"/>
    </row>
    <row r="7">
      <c r="A7" s="4" t="n"/>
      <c r="B7" s="4" t="n"/>
      <c r="C7" s="4" t="n"/>
      <c r="D7" s="4" t="n"/>
      <c r="E7" s="4" t="n"/>
      <c r="F7" s="4" t="n"/>
      <c r="G7" s="4" t="n"/>
      <c r="H7" s="4" t="n"/>
      <c r="I7" s="4" t="n"/>
      <c r="J7" s="4" t="n"/>
      <c r="K7" s="4" t="n"/>
      <c r="L7" s="4" t="n"/>
    </row>
    <row r="8">
      <c r="A8" s="4" t="n"/>
      <c r="B8" s="4" t="n"/>
      <c r="C8" s="4" t="n"/>
      <c r="D8" s="4" t="n"/>
      <c r="E8" s="4" t="n"/>
      <c r="F8" s="4" t="n"/>
      <c r="G8" s="4" t="n"/>
      <c r="H8" s="4" t="n"/>
      <c r="I8" s="4" t="n"/>
      <c r="J8" s="4" t="n"/>
      <c r="K8" s="4" t="n"/>
      <c r="L8" s="4" t="n"/>
    </row>
    <row r="9">
      <c r="A9" s="4" t="n"/>
      <c r="B9" s="4" t="n"/>
      <c r="C9" s="4" t="n"/>
      <c r="D9" s="4" t="n"/>
      <c r="E9" s="4" t="n"/>
      <c r="F9" s="4" t="n"/>
      <c r="G9" s="4" t="n"/>
      <c r="H9" s="4" t="n"/>
      <c r="I9" s="4" t="n"/>
      <c r="J9" s="4" t="n"/>
      <c r="K9" s="4" t="n"/>
      <c r="L9" s="4" t="n"/>
    </row>
    <row r="10">
      <c r="A10" s="4" t="n"/>
      <c r="B10" s="4" t="n"/>
      <c r="C10" s="4" t="n"/>
      <c r="D10" s="4" t="n"/>
      <c r="E10" s="4" t="n"/>
      <c r="F10" s="4" t="n"/>
      <c r="G10" s="4" t="n"/>
      <c r="H10" s="4" t="n"/>
      <c r="I10" s="4" t="n"/>
      <c r="J10" s="4" t="n"/>
      <c r="K10" s="4" t="n"/>
      <c r="L10" s="4" t="n"/>
    </row>
    <row r="11">
      <c r="A11" s="4" t="n"/>
      <c r="B11" s="4" t="n"/>
      <c r="C11" s="4" t="n"/>
      <c r="D11" s="4" t="n"/>
      <c r="E11" s="4" t="n"/>
      <c r="F11" s="4" t="n"/>
      <c r="G11" s="4" t="n"/>
      <c r="H11" s="4" t="n"/>
      <c r="I11" s="4" t="n"/>
      <c r="J11" s="4" t="n"/>
      <c r="K11" s="4" t="n"/>
      <c r="L11" s="4" t="n"/>
    </row>
    <row r="12">
      <c r="A12" s="4" t="n"/>
      <c r="B12" s="4" t="n"/>
      <c r="C12" s="4" t="n"/>
      <c r="D12" s="4" t="n"/>
      <c r="E12" s="4" t="n"/>
      <c r="F12" s="4" t="n"/>
      <c r="G12" s="4" t="n"/>
      <c r="H12" s="4" t="n"/>
      <c r="I12" s="4" t="n"/>
      <c r="J12" s="4" t="n"/>
      <c r="K12" s="4" t="n"/>
      <c r="L12" s="4" t="n"/>
    </row>
    <row r="13">
      <c r="A13" s="4" t="n"/>
      <c r="B13" s="4" t="n"/>
      <c r="C13" s="4" t="n"/>
      <c r="D13" s="4" t="n"/>
      <c r="E13" s="4" t="n"/>
      <c r="F13" s="4" t="n"/>
      <c r="G13" s="4" t="n"/>
      <c r="H13" s="4" t="n"/>
      <c r="I13" s="4" t="n"/>
      <c r="J13" s="4" t="n"/>
      <c r="K13" s="4" t="n"/>
      <c r="L13" s="4" t="n"/>
    </row>
    <row r="14">
      <c r="A14" s="4" t="n"/>
      <c r="B14" s="4" t="n"/>
      <c r="C14" s="4" t="n"/>
      <c r="D14" s="4" t="n"/>
      <c r="E14" s="4" t="n"/>
      <c r="F14" s="4" t="n"/>
      <c r="G14" s="4" t="n"/>
      <c r="H14" s="4" t="n"/>
      <c r="I14" s="4" t="n"/>
      <c r="J14" s="4" t="n"/>
      <c r="K14" s="4" t="n"/>
      <c r="L14" s="4" t="n"/>
    </row>
    <row r="15">
      <c r="A15" s="4" t="n"/>
      <c r="B15" s="4" t="n"/>
      <c r="C15" s="4" t="n"/>
      <c r="D15" s="4" t="n"/>
      <c r="E15" s="4" t="n"/>
      <c r="F15" s="4" t="n"/>
      <c r="G15" s="4" t="n"/>
      <c r="H15" s="4" t="n"/>
      <c r="I15" s="4" t="n"/>
      <c r="J15" s="4" t="n"/>
      <c r="K15" s="4" t="n"/>
      <c r="L15" s="4" t="n"/>
    </row>
    <row r="16">
      <c r="A16" s="4" t="n"/>
      <c r="B16" s="4" t="n"/>
      <c r="C16" s="4" t="n"/>
      <c r="D16" s="4" t="n"/>
      <c r="E16" s="4" t="n"/>
      <c r="F16" s="4" t="n"/>
      <c r="G16" s="4" t="n"/>
      <c r="H16" s="4" t="n"/>
      <c r="I16" s="4" t="n"/>
      <c r="J16" s="4" t="n"/>
      <c r="K16" s="4" t="n"/>
      <c r="L16" s="4" t="n"/>
    </row>
    <row r="17">
      <c r="A17" s="4" t="n"/>
      <c r="B17" s="4" t="n"/>
      <c r="C17" s="4" t="n"/>
      <c r="D17" s="4" t="n"/>
      <c r="E17" s="4" t="n"/>
      <c r="F17" s="4" t="n"/>
      <c r="G17" s="4" t="n"/>
      <c r="H17" s="4" t="n"/>
      <c r="I17" s="4" t="n"/>
      <c r="J17" s="4" t="n"/>
      <c r="K17" s="4" t="n"/>
      <c r="L17" s="4" t="n"/>
    </row>
    <row r="18">
      <c r="A18" s="4" t="n"/>
      <c r="B18" s="4" t="n"/>
      <c r="C18" s="4" t="n"/>
      <c r="D18" s="4" t="n"/>
      <c r="E18" s="4" t="n"/>
      <c r="F18" s="4" t="n"/>
      <c r="G18" s="4" t="n"/>
      <c r="H18" s="4" t="n"/>
      <c r="I18" s="4" t="n"/>
      <c r="J18" s="4" t="n"/>
      <c r="K18" s="4" t="n"/>
      <c r="L18" s="4" t="n"/>
    </row>
    <row r="19">
      <c r="A19" s="4" t="n"/>
      <c r="B19" s="4" t="n"/>
      <c r="C19" s="4" t="n"/>
      <c r="D19" s="4" t="n"/>
      <c r="E19" s="4" t="n"/>
      <c r="F19" s="4" t="n"/>
      <c r="G19" s="4" t="n"/>
      <c r="H19" s="4" t="n"/>
      <c r="I19" s="4" t="n"/>
      <c r="J19" s="4" t="n"/>
      <c r="K19" s="4" t="n"/>
      <c r="L19" s="4" t="n"/>
    </row>
    <row r="20">
      <c r="A20" s="4" t="n"/>
      <c r="B20" s="4" t="n"/>
      <c r="C20" s="4" t="n"/>
      <c r="D20" s="4" t="n"/>
      <c r="E20" s="4" t="n"/>
      <c r="F20" s="4" t="n"/>
      <c r="G20" s="4" t="n"/>
      <c r="H20" s="4" t="n"/>
      <c r="I20" s="4" t="n"/>
      <c r="J20" s="4" t="n"/>
      <c r="K20" s="4" t="n"/>
      <c r="L20" s="4" t="n"/>
    </row>
    <row r="21">
      <c r="A21" s="4" t="n"/>
      <c r="B21" s="4" t="n"/>
      <c r="C21" s="4" t="n"/>
      <c r="D21" s="4" t="n"/>
      <c r="E21" s="4" t="n"/>
      <c r="F21" s="4" t="n"/>
      <c r="G21" s="4" t="n"/>
      <c r="H21" s="4" t="n"/>
      <c r="I21" s="4" t="n"/>
      <c r="J21" s="4" t="n"/>
      <c r="K21" s="4" t="n"/>
      <c r="L21" s="4" t="n"/>
    </row>
    <row r="22">
      <c r="A22" s="4" t="n"/>
      <c r="B22" s="4" t="n"/>
      <c r="C22" s="4" t="n"/>
      <c r="D22" s="4" t="n"/>
      <c r="E22" s="4" t="n"/>
      <c r="F22" s="4" t="n"/>
      <c r="G22" s="4" t="n"/>
      <c r="H22" s="4" t="n"/>
      <c r="I22" s="4" t="n"/>
      <c r="J22" s="4" t="n"/>
      <c r="K22" s="4" t="n"/>
      <c r="L22" s="4" t="n"/>
    </row>
    <row r="23">
      <c r="A23" s="4" t="n"/>
      <c r="B23" s="4" t="n"/>
      <c r="C23" s="4" t="n"/>
      <c r="D23" s="4" t="n"/>
      <c r="E23" s="4" t="n"/>
      <c r="F23" s="4" t="n"/>
      <c r="G23" s="4" t="n"/>
      <c r="H23" s="4" t="n"/>
      <c r="I23" s="4" t="n"/>
      <c r="J23" s="4" t="n"/>
      <c r="K23" s="4" t="n"/>
      <c r="L23" s="4" t="n"/>
    </row>
    <row r="24">
      <c r="A24" s="4" t="n"/>
      <c r="B24" s="4" t="n"/>
      <c r="C24" s="4" t="n"/>
      <c r="D24" s="4" t="n"/>
      <c r="E24" s="4" t="n"/>
      <c r="F24" s="4" t="n"/>
      <c r="G24" s="4" t="n"/>
      <c r="H24" s="4" t="n"/>
      <c r="I24" s="4" t="n"/>
      <c r="J24" s="4" t="n"/>
      <c r="K24" s="4" t="n"/>
      <c r="L24" s="4" t="n"/>
    </row>
    <row r="25">
      <c r="A25" s="4" t="n"/>
      <c r="B25" s="4" t="n"/>
      <c r="C25" s="4" t="n"/>
      <c r="D25" s="4" t="n"/>
      <c r="E25" s="4" t="n"/>
      <c r="F25" s="4" t="n"/>
      <c r="G25" s="4" t="n"/>
      <c r="H25" s="4" t="n"/>
      <c r="I25" s="4" t="n"/>
      <c r="J25" s="4" t="n"/>
      <c r="K25" s="4" t="n"/>
      <c r="L25" s="4" t="n"/>
    </row>
    <row r="26">
      <c r="A26" s="4" t="n"/>
      <c r="B26" s="4" t="n"/>
      <c r="C26" s="4" t="n"/>
      <c r="D26" s="4" t="n"/>
      <c r="E26" s="4" t="n"/>
      <c r="F26" s="4" t="n"/>
      <c r="G26" s="4" t="n"/>
      <c r="H26" s="4" t="n"/>
      <c r="I26" s="4" t="n"/>
      <c r="J26" s="4" t="n"/>
      <c r="K26" s="4" t="n"/>
      <c r="L26" s="4" t="n"/>
    </row>
    <row r="27">
      <c r="A27" s="4" t="n"/>
      <c r="B27" s="4" t="n"/>
      <c r="C27" s="4" t="n"/>
      <c r="D27" s="4" t="n"/>
      <c r="E27" s="4" t="n"/>
      <c r="F27" s="4" t="n"/>
      <c r="G27" s="4" t="n"/>
      <c r="H27" s="4" t="n"/>
      <c r="I27" s="4" t="n"/>
      <c r="J27" s="4" t="n"/>
      <c r="K27" s="4" t="n"/>
      <c r="L27" s="4" t="n"/>
    </row>
    <row r="28">
      <c r="A28" s="4" t="n"/>
      <c r="B28" s="4" t="n"/>
      <c r="C28" s="4" t="n"/>
      <c r="D28" s="4" t="n"/>
      <c r="E28" s="4" t="n"/>
      <c r="F28" s="4" t="n"/>
      <c r="G28" s="4" t="n"/>
      <c r="H28" s="4" t="n"/>
      <c r="I28" s="4" t="n"/>
      <c r="J28" s="4" t="n"/>
      <c r="K28" s="4" t="n"/>
      <c r="L28" s="4" t="n"/>
    </row>
    <row r="29">
      <c r="A29" s="4" t="n"/>
      <c r="B29" s="4" t="n"/>
      <c r="C29" s="4" t="n"/>
      <c r="D29" s="4" t="n"/>
      <c r="E29" s="4" t="n"/>
      <c r="F29" s="4" t="n"/>
      <c r="G29" s="4" t="n"/>
      <c r="H29" s="4" t="n"/>
      <c r="I29" s="4" t="n"/>
      <c r="J29" s="4" t="n"/>
      <c r="K29" s="4" t="n"/>
      <c r="L29" s="4" t="n"/>
    </row>
    <row r="30">
      <c r="A30" s="4" t="n"/>
      <c r="B30" s="4" t="n"/>
      <c r="C30" s="4" t="n"/>
      <c r="D30" s="4" t="n"/>
      <c r="E30" s="4" t="n"/>
      <c r="F30" s="4" t="n"/>
      <c r="G30" s="4" t="n"/>
      <c r="H30" s="4" t="n"/>
      <c r="I30" s="4" t="n"/>
      <c r="J30" s="4" t="n"/>
      <c r="K30" s="4" t="n"/>
      <c r="L30" s="4" t="n"/>
    </row>
    <row r="31">
      <c r="A31" s="4" t="n"/>
      <c r="B31" s="4" t="n"/>
      <c r="C31" s="4" t="n"/>
      <c r="D31" s="4" t="n"/>
      <c r="E31" s="4" t="n"/>
      <c r="F31" s="4" t="n"/>
      <c r="G31" s="4" t="n"/>
      <c r="H31" s="4" t="n"/>
      <c r="I31" s="4" t="n"/>
      <c r="J31" s="4" t="n"/>
      <c r="K31" s="4" t="n"/>
      <c r="L31" s="4" t="n"/>
    </row>
    <row r="32">
      <c r="A32" s="4" t="n"/>
      <c r="B32" s="4" t="n"/>
      <c r="C32" s="4" t="n"/>
      <c r="D32" s="4" t="n"/>
      <c r="E32" s="4" t="n"/>
      <c r="F32" s="4" t="n"/>
      <c r="G32" s="4" t="n"/>
      <c r="H32" s="4" t="n"/>
      <c r="I32" s="4" t="n"/>
      <c r="J32" s="4" t="n"/>
      <c r="K32" s="4" t="n"/>
      <c r="L32" s="4" t="n"/>
    </row>
    <row r="33">
      <c r="A33" s="4" t="n"/>
      <c r="B33" s="4" t="n"/>
      <c r="C33" s="4" t="n"/>
      <c r="D33" s="4" t="n"/>
      <c r="E33" s="4" t="n"/>
      <c r="F33" s="4" t="n"/>
      <c r="G33" s="4" t="n"/>
      <c r="H33" s="4" t="n"/>
      <c r="I33" s="4" t="n"/>
      <c r="J33" s="4" t="n"/>
      <c r="K33" s="4" t="n"/>
      <c r="L33" s="4" t="n"/>
    </row>
    <row r="34">
      <c r="A34" s="4" t="n"/>
      <c r="B34" s="4" t="n"/>
      <c r="C34" s="4" t="n"/>
      <c r="D34" s="4" t="n"/>
      <c r="E34" s="4" t="n"/>
      <c r="F34" s="4" t="n"/>
      <c r="G34" s="4" t="n"/>
      <c r="H34" s="4" t="n"/>
      <c r="I34" s="4" t="n"/>
      <c r="J34" s="4" t="n"/>
      <c r="K34" s="4" t="n"/>
      <c r="L34" s="4" t="n"/>
    </row>
    <row r="35">
      <c r="A35" s="4" t="n"/>
      <c r="B35" s="4" t="n"/>
      <c r="C35" s="4" t="n"/>
      <c r="D35" s="4" t="n"/>
      <c r="E35" s="4" t="n"/>
      <c r="F35" s="4" t="n"/>
      <c r="G35" s="4" t="n"/>
      <c r="H35" s="4" t="n"/>
      <c r="I35" s="4" t="n"/>
      <c r="J35" s="4" t="n"/>
      <c r="K35" s="4" t="n"/>
      <c r="L35" s="4" t="n"/>
    </row>
    <row r="36">
      <c r="A36" s="4" t="n"/>
      <c r="B36" s="4" t="n"/>
      <c r="C36" s="4" t="n"/>
      <c r="D36" s="4" t="n"/>
      <c r="E36" s="4" t="n"/>
      <c r="F36" s="4" t="n"/>
      <c r="G36" s="4" t="n"/>
      <c r="H36" s="4" t="n"/>
      <c r="I36" s="4" t="n"/>
      <c r="J36" s="4" t="n"/>
      <c r="K36" s="4" t="n"/>
      <c r="L36" s="4" t="n"/>
    </row>
    <row r="37">
      <c r="A37" s="4" t="n"/>
      <c r="B37" s="4" t="n"/>
      <c r="C37" s="4" t="n"/>
      <c r="D37" s="4" t="n"/>
      <c r="E37" s="4" t="n"/>
      <c r="F37" s="4" t="n"/>
      <c r="G37" s="4" t="n"/>
      <c r="H37" s="4" t="n"/>
      <c r="I37" s="4" t="n"/>
      <c r="J37" s="4" t="n"/>
      <c r="K37" s="4" t="n"/>
      <c r="L37" s="4" t="n"/>
    </row>
    <row r="38">
      <c r="A38" s="4" t="n"/>
      <c r="B38" s="4" t="n"/>
      <c r="C38" s="4" t="n"/>
      <c r="D38" s="4" t="n"/>
      <c r="E38" s="4" t="n"/>
      <c r="F38" s="4" t="n"/>
      <c r="G38" s="4" t="n"/>
      <c r="H38" s="4" t="n"/>
      <c r="I38" s="4" t="n"/>
      <c r="J38" s="4" t="n"/>
      <c r="K38" s="4" t="n"/>
      <c r="L38" s="4" t="n"/>
    </row>
    <row r="39">
      <c r="A39" s="4" t="n"/>
      <c r="B39" s="4" t="n"/>
      <c r="C39" s="4" t="n"/>
      <c r="D39" s="4" t="n"/>
      <c r="E39" s="4" t="n"/>
      <c r="F39" s="4" t="n"/>
      <c r="G39" s="4" t="n"/>
      <c r="H39" s="4" t="n"/>
      <c r="I39" s="4" t="n"/>
      <c r="J39" s="4" t="n"/>
      <c r="K39" s="4" t="n"/>
      <c r="L39" s="4" t="n"/>
    </row>
    <row r="40">
      <c r="A40" s="4" t="n"/>
      <c r="B40" s="4" t="n"/>
      <c r="C40" s="4" t="n"/>
      <c r="D40" s="4" t="n"/>
      <c r="E40" s="4" t="n"/>
      <c r="F40" s="4" t="n"/>
      <c r="G40" s="4" t="n"/>
      <c r="H40" s="4" t="n"/>
      <c r="I40" s="4" t="n"/>
      <c r="J40" s="4" t="n"/>
      <c r="K40" s="4" t="n"/>
      <c r="L40" s="4" t="n"/>
    </row>
    <row r="41">
      <c r="A41" s="4" t="n"/>
      <c r="B41" s="4" t="n"/>
      <c r="C41" s="4" t="n"/>
      <c r="D41" s="4" t="n"/>
      <c r="E41" s="4" t="n"/>
      <c r="F41" s="4" t="n"/>
      <c r="G41" s="4" t="n"/>
      <c r="H41" s="4" t="n"/>
      <c r="I41" s="4" t="n"/>
      <c r="J41" s="4" t="n"/>
      <c r="K41" s="4" t="n"/>
      <c r="L41" s="4" t="n"/>
    </row>
    <row r="42">
      <c r="A42" s="4" t="n"/>
      <c r="B42" s="4" t="n"/>
      <c r="C42" s="4" t="n"/>
      <c r="D42" s="4" t="n"/>
      <c r="E42" s="4" t="n"/>
      <c r="F42" s="4" t="n"/>
      <c r="G42" s="4" t="n"/>
      <c r="H42" s="4" t="n"/>
      <c r="I42" s="4" t="n"/>
      <c r="J42" s="4" t="n"/>
      <c r="K42" s="4" t="n"/>
      <c r="L42" s="4" t="n"/>
    </row>
    <row r="43">
      <c r="A43" s="4" t="n"/>
      <c r="B43" s="4" t="n"/>
      <c r="C43" s="4" t="n"/>
      <c r="D43" s="4" t="n"/>
      <c r="E43" s="4" t="n"/>
      <c r="F43" s="4" t="n"/>
      <c r="G43" s="4" t="n"/>
      <c r="H43" s="4" t="n"/>
      <c r="I43" s="4" t="n"/>
      <c r="J43" s="4" t="n"/>
      <c r="K43" s="4" t="n"/>
      <c r="L43" s="4" t="n"/>
    </row>
    <row r="44">
      <c r="A44" s="4" t="n"/>
      <c r="B44" s="4" t="n"/>
      <c r="C44" s="4" t="n"/>
      <c r="D44" s="4" t="n"/>
      <c r="E44" s="4" t="n"/>
      <c r="F44" s="4" t="n"/>
      <c r="G44" s="4" t="n"/>
      <c r="H44" s="4" t="n"/>
      <c r="I44" s="4" t="n"/>
      <c r="J44" s="4" t="n"/>
      <c r="K44" s="4" t="n"/>
      <c r="L44" s="4" t="n"/>
    </row>
    <row r="45">
      <c r="A45" s="4" t="n"/>
      <c r="B45" s="4" t="n"/>
      <c r="C45" s="4" t="n"/>
      <c r="D45" s="4" t="n"/>
      <c r="E45" s="4" t="n"/>
      <c r="F45" s="4" t="n"/>
      <c r="G45" s="4" t="n"/>
      <c r="H45" s="4" t="n"/>
      <c r="I45" s="4" t="n"/>
      <c r="J45" s="4" t="n"/>
      <c r="K45" s="4" t="n"/>
      <c r="L45" s="4" t="n"/>
    </row>
    <row r="46">
      <c r="A46" s="4" t="n"/>
      <c r="B46" s="4" t="n"/>
      <c r="C46" s="4" t="n"/>
      <c r="D46" s="4" t="n"/>
      <c r="E46" s="4" t="n"/>
      <c r="F46" s="4" t="n"/>
      <c r="G46" s="4" t="n"/>
      <c r="H46" s="4" t="n"/>
      <c r="I46" s="4" t="n"/>
      <c r="J46" s="4" t="n"/>
      <c r="K46" s="4" t="n"/>
      <c r="L46" s="4" t="n"/>
    </row>
    <row r="47">
      <c r="A47" s="4" t="n"/>
      <c r="B47" s="4" t="n"/>
      <c r="C47" s="4" t="n"/>
      <c r="D47" s="4" t="n"/>
      <c r="E47" s="4" t="n"/>
      <c r="F47" s="4" t="n"/>
      <c r="G47" s="4" t="n"/>
      <c r="H47" s="4" t="n"/>
      <c r="I47" s="4" t="n"/>
      <c r="J47" s="4" t="n"/>
      <c r="K47" s="4" t="n"/>
      <c r="L47" s="4" t="n"/>
    </row>
    <row r="48">
      <c r="A48" s="4" t="n"/>
      <c r="B48" s="4" t="n"/>
      <c r="C48" s="4" t="n"/>
      <c r="D48" s="4" t="n"/>
      <c r="E48" s="4" t="n"/>
      <c r="F48" s="4" t="n"/>
      <c r="G48" s="4" t="n"/>
      <c r="H48" s="4" t="n"/>
      <c r="I48" s="4" t="n"/>
      <c r="J48" s="4" t="n"/>
      <c r="K48" s="4" t="n"/>
      <c r="L48" s="4" t="n"/>
    </row>
    <row r="49">
      <c r="A49" s="4" t="n"/>
      <c r="B49" s="4" t="n"/>
      <c r="C49" s="4" t="n"/>
      <c r="D49" s="4" t="n"/>
      <c r="E49" s="4" t="n"/>
      <c r="F49" s="4" t="n"/>
      <c r="G49" s="4" t="n"/>
      <c r="H49" s="4" t="n"/>
      <c r="I49" s="4" t="n"/>
      <c r="J49" s="4" t="n"/>
      <c r="K49" s="4" t="n"/>
      <c r="L49" s="4" t="n"/>
    </row>
    <row r="50">
      <c r="A50" s="4" t="n"/>
      <c r="B50" s="4" t="n"/>
      <c r="C50" s="4" t="n"/>
      <c r="D50" s="4" t="n"/>
      <c r="E50" s="4" t="n"/>
      <c r="F50" s="4" t="n"/>
      <c r="G50" s="4" t="n"/>
      <c r="H50" s="4" t="n"/>
      <c r="I50" s="4" t="n"/>
      <c r="J50" s="4" t="n"/>
      <c r="K50" s="4" t="n"/>
      <c r="L50" s="4" t="n"/>
    </row>
    <row r="51">
      <c r="A51" s="4" t="n"/>
      <c r="B51" s="4" t="n"/>
      <c r="C51" s="4" t="n"/>
      <c r="D51" s="4" t="n"/>
      <c r="E51" s="4" t="n"/>
      <c r="F51" s="4" t="n"/>
      <c r="G51" s="4" t="n"/>
      <c r="H51" s="4" t="n"/>
      <c r="I51" s="4" t="n"/>
      <c r="J51" s="4" t="n"/>
      <c r="K51" s="4" t="n"/>
      <c r="L51" s="4" t="n"/>
    </row>
    <row r="52">
      <c r="A52" s="4" t="n"/>
      <c r="B52" s="4" t="n"/>
      <c r="C52" s="4" t="n"/>
      <c r="D52" s="4" t="n"/>
      <c r="E52" s="4" t="n"/>
      <c r="F52" s="4" t="n"/>
      <c r="G52" s="4" t="n"/>
      <c r="H52" s="4" t="n"/>
      <c r="I52" s="4" t="n"/>
      <c r="J52" s="4" t="n"/>
      <c r="K52" s="4" t="n"/>
      <c r="L52" s="4" t="n"/>
    </row>
    <row r="53">
      <c r="A53" s="4" t="n"/>
      <c r="B53" s="4" t="n"/>
      <c r="C53" s="4" t="n"/>
      <c r="D53" s="4" t="n"/>
      <c r="E53" s="4" t="n"/>
      <c r="F53" s="4" t="n"/>
      <c r="G53" s="4" t="n"/>
      <c r="H53" s="4" t="n"/>
      <c r="I53" s="4" t="n"/>
      <c r="J53" s="4" t="n"/>
      <c r="K53" s="4" t="n"/>
      <c r="L53" s="4" t="n"/>
    </row>
    <row r="54">
      <c r="A54" s="4" t="n"/>
      <c r="B54" s="4" t="n"/>
      <c r="C54" s="4" t="n"/>
      <c r="D54" s="4" t="n"/>
      <c r="E54" s="4" t="n"/>
      <c r="F54" s="4" t="n"/>
      <c r="G54" s="4" t="n"/>
      <c r="H54" s="4" t="n"/>
      <c r="I54" s="4" t="n"/>
      <c r="J54" s="4" t="n"/>
      <c r="K54" s="4" t="n"/>
      <c r="L54" s="4" t="n"/>
    </row>
  </sheetData>
  <mergeCells count="2">
    <mergeCell ref="A2:L2"/>
    <mergeCell ref="A1:L1"/>
  </mergeCells>
  <dataValidations count="2">
    <dataValidation sqref="F4 F5 F6 F7 F8 F9 F10 F11 F12 F13 F14 F15 F16 F17 F18 F19 F20 F21 F22 F23 F24 F25 F26 F27 F28 F29 F30 F31 F32 F33 F34 F35 F36 F37 F38 F39 F40 F41 F42 F43 F44 F45 F46 F47 F48 F49 F50 F51 F52 F53 F54" showDropDown="0" showInputMessage="0" showErrorMessage="0" allowBlank="0" type="list">
      <formula1>"High,Medium,Low"</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0" type="list">
      <formula1>"Not Started,In Progress,Completed,Blocked"</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4"/>
  <sheetViews>
    <sheetView showGridLines="0" workbookViewId="0">
      <pane ySplit="4" topLeftCell="A5" activePane="bottomLeft" state="frozen"/>
      <selection pane="bottomLeft" activeCell="A1" sqref="A1"/>
    </sheetView>
  </sheetViews>
  <sheetFormatPr baseColWidth="8" defaultRowHeight="15"/>
  <cols>
    <col width="15" customWidth="1" min="1" max="1"/>
    <col width="20" customWidth="1" min="2" max="2"/>
    <col width="40" customWidth="1" min="3" max="3"/>
    <col width="25" customWidth="1" min="4" max="4"/>
    <col width="15" customWidth="1" min="5" max="5"/>
    <col width="20" customWidth="1" min="6" max="6"/>
    <col width="15" customWidth="1" min="7" max="7"/>
    <col width="30" customWidth="1" min="8" max="8"/>
  </cols>
  <sheetData>
    <row r="1" ht="35" customHeight="1">
      <c r="A1" s="12" t="inlineStr">
        <is>
          <t>EVIDENCE REGISTER</t>
        </is>
      </c>
    </row>
    <row r="2">
      <c r="A2" s="13" t="inlineStr">
        <is>
          <t>List all evidence files/documents referenced in this assessment (audit traceability).</t>
        </is>
      </c>
    </row>
    <row r="4">
      <c r="A4" s="14" t="inlineStr">
        <is>
          <t>Evidence ID</t>
        </is>
      </c>
      <c r="B4" s="14" t="inlineStr">
        <is>
          <t>Category</t>
        </is>
      </c>
      <c r="C4" s="14" t="inlineStr">
        <is>
          <t>Description</t>
        </is>
      </c>
      <c r="D4" s="14" t="inlineStr">
        <is>
          <t>Source/Location</t>
        </is>
      </c>
      <c r="E4" s="14" t="inlineStr">
        <is>
          <t>Date Collected</t>
        </is>
      </c>
      <c r="F4" s="14" t="inlineStr">
        <is>
          <t>Collected By</t>
        </is>
      </c>
      <c r="G4" s="14" t="inlineStr">
        <is>
          <t>Status</t>
        </is>
      </c>
      <c r="H4" s="14" t="inlineStr">
        <is>
          <t>Notes</t>
        </is>
      </c>
    </row>
    <row r="5">
      <c r="A5" s="15" t="inlineStr">
        <is>
          <t>EV-001</t>
        </is>
      </c>
      <c r="B5" s="15" t="inlineStr">
        <is>
          <t>Architecture diagram</t>
        </is>
      </c>
      <c r="C5" s="15" t="inlineStr">
        <is>
          <t>Environment separation diagram showing dev/test/prod isolation</t>
        </is>
      </c>
      <c r="D5" s="15" t="inlineStr">
        <is>
          <t>/evidence/environment-architecture-diagram.pdf</t>
        </is>
      </c>
      <c r="E5" s="15" t="inlineStr">
        <is>
          <t>15.01.2026</t>
        </is>
      </c>
      <c r="F5" s="15" t="inlineStr">
        <is>
          <t>Security Team</t>
        </is>
      </c>
      <c r="G5" s="15" t="inlineStr">
        <is>
          <t>Verified</t>
        </is>
      </c>
      <c r="H5" s="15" t="inlineStr">
        <is>
          <t>Annual architecture review Q1 2026</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sheetData>
  <mergeCells count="2">
    <mergeCell ref="A2:H2"/>
    <mergeCell ref="A1:H1"/>
  </mergeCells>
  <dataValidations count="2">
    <dataValidation sqref="B5:B104" showDropDown="0" showInputMessage="0" showErrorMessage="0" allowBlank="1" type="list">
      <formula1>"Configuration file,Screenshot,Architecture diagram,Documentation,Audit log,Compliance report,Data flow map,Masking evidence,Other"</formula1>
    </dataValidation>
    <dataValidation sqref="G5:G104" showDropDown="0" showInputMessage="0" showErrorMessage="0" allowBlank="1" type="list">
      <formula1>"Verified,Pending verification,Not verified,Requires update"</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40" customWidth="1" min="1" max="1"/>
    <col width="15" customWidth="1" min="2" max="2"/>
    <col width="12" customWidth="1" min="3" max="3"/>
    <col width="12" customWidth="1" min="4" max="4"/>
    <col width="12" customWidth="1" min="5" max="5"/>
    <col width="12" customWidth="1" min="6" max="6"/>
    <col width="15" customWidth="1" min="7" max="7"/>
  </cols>
  <sheetData>
    <row r="1" ht="35" customHeight="1">
      <c r="A1" s="1" t="inlineStr">
        <is>
          <t>Environment Coverage Assessment — SUMMARY DASHBOARD</t>
        </is>
      </c>
    </row>
    <row r="2">
      <c r="A2" s="16" t="inlineStr">
        <is>
          <t>Summary Dashboard  |  Environment Coverage Assessment  |  Generated: 10.03.2026</t>
        </is>
      </c>
    </row>
    <row r="4">
      <c r="A4" s="17" t="inlineStr">
        <is>
          <t>TABLE 1 – COMPLIANCE ASSESSMENT SUMMARY</t>
        </is>
      </c>
    </row>
    <row r="5">
      <c r="A5" s="10" t="inlineStr">
        <is>
          <t>Assessment Area</t>
        </is>
      </c>
      <c r="B5" s="10" t="inlineStr">
        <is>
          <t>Total Items</t>
        </is>
      </c>
      <c r="C5" s="10" t="inlineStr">
        <is>
          <t>Compliant</t>
        </is>
      </c>
      <c r="D5" s="10" t="inlineStr">
        <is>
          <t>Partial</t>
        </is>
      </c>
      <c r="E5" s="10" t="inlineStr">
        <is>
          <t>Non-Compliant</t>
        </is>
      </c>
      <c r="F5" s="10" t="inlineStr">
        <is>
          <t>N/A</t>
        </is>
      </c>
      <c r="G5" s="10" t="inlineStr">
        <is>
          <t>Compliance %</t>
        </is>
      </c>
    </row>
    <row r="6">
      <c r="A6" s="18" t="inlineStr">
        <is>
          <t>Environment Inventory</t>
        </is>
      </c>
      <c r="B6" s="19">
        <f>C6+D6+E6+F6</f>
        <v/>
      </c>
      <c r="C6" s="19">
        <f>COUNTIF('Environment Inventory'!O8:O100,"✅ Compliant")</f>
        <v/>
      </c>
      <c r="D6" s="19">
        <f>COUNTIF('Environment Inventory'!O8:O100,"⚠️ Partial")</f>
        <v/>
      </c>
      <c r="E6" s="19">
        <f>COUNTIF('Environment Inventory'!O8:O100,"❌ Non-Compliant")</f>
        <v/>
      </c>
      <c r="F6" s="19">
        <f>COUNTIF('Environment Inventory'!O8:O100,"N/A")</f>
        <v/>
      </c>
      <c r="G6" s="20">
        <f>IF((B6-F6)=0,0,C6/(B6-F6))</f>
        <v/>
      </c>
    </row>
    <row r="7">
      <c r="A7" s="18" t="inlineStr">
        <is>
          <t>Production Environment</t>
        </is>
      </c>
      <c r="B7" s="19">
        <f>C7+D7+E7+F7</f>
        <v/>
      </c>
      <c r="C7" s="19">
        <f>COUNTIF('Production Environment'!O8:O100,"✅ Compliant")</f>
        <v/>
      </c>
      <c r="D7" s="19">
        <f>COUNTIF('Production Environment'!O8:O100,"⚠️ Partial")</f>
        <v/>
      </c>
      <c r="E7" s="19">
        <f>COUNTIF('Production Environment'!O8:O100,"❌ Non-Compliant")</f>
        <v/>
      </c>
      <c r="F7" s="19">
        <f>COUNTIF('Production Environment'!O8:O100,"N/A")</f>
        <v/>
      </c>
      <c r="G7" s="20">
        <f>IF((B7-F7)=0,0,C7/(B7-F7))</f>
        <v/>
      </c>
    </row>
    <row r="8">
      <c r="A8" s="18" t="inlineStr">
        <is>
          <t>Non-Production Environments</t>
        </is>
      </c>
      <c r="B8" s="19">
        <f>C8+D8+E8+F8</f>
        <v/>
      </c>
      <c r="C8" s="19">
        <f>COUNTIF('NonProduction Environments'!O8:O100,"✅ Compliant")</f>
        <v/>
      </c>
      <c r="D8" s="19">
        <f>COUNTIF('NonProduction Environments'!O8:O100,"⚠️ Partial")</f>
        <v/>
      </c>
      <c r="E8" s="19">
        <f>COUNTIF('NonProduction Environments'!O8:O100,"❌ Non-Compliant")</f>
        <v/>
      </c>
      <c r="F8" s="19">
        <f>COUNTIF('NonProduction Environments'!O8:O100,"N/A")</f>
        <v/>
      </c>
      <c r="G8" s="20">
        <f>IF((B8-F8)=0,0,C8/(B8-F8))</f>
        <v/>
      </c>
    </row>
    <row r="9">
      <c r="A9" s="18" t="inlineStr">
        <is>
          <t>Analytics &amp; Reporting</t>
        </is>
      </c>
      <c r="B9" s="19">
        <f>C9+D9+E9+F9</f>
        <v/>
      </c>
      <c r="C9" s="19">
        <f>COUNTIF('Analytics &amp; Reporting'!O8:O100,"✅ Compliant")</f>
        <v/>
      </c>
      <c r="D9" s="19">
        <f>COUNTIF('Analytics &amp; Reporting'!O8:O100,"⚠️ Partial")</f>
        <v/>
      </c>
      <c r="E9" s="19">
        <f>COUNTIF('Analytics &amp; Reporting'!O8:O100,"❌ Non-Compliant")</f>
        <v/>
      </c>
      <c r="F9" s="19">
        <f>COUNTIF('Analytics &amp; Reporting'!O8:O100,"N/A")</f>
        <v/>
      </c>
      <c r="G9" s="20">
        <f>IF((B9-F9)=0,0,C9/(B9-F9))</f>
        <v/>
      </c>
    </row>
    <row r="10">
      <c r="A10" s="18" t="inlineStr">
        <is>
          <t>Backup &amp; Archive</t>
        </is>
      </c>
      <c r="B10" s="19">
        <f>C10+D10+E10+F10</f>
        <v/>
      </c>
      <c r="C10" s="19">
        <f>COUNTIF('Backup &amp; Archive'!O8:O100,"✅ Compliant")</f>
        <v/>
      </c>
      <c r="D10" s="19">
        <f>COUNTIF('Backup &amp; Archive'!O8:O100,"⚠️ Partial")</f>
        <v/>
      </c>
      <c r="E10" s="19">
        <f>COUNTIF('Backup &amp; Archive'!O8:O100,"❌ Non-Compliant")</f>
        <v/>
      </c>
      <c r="F10" s="19">
        <f>COUNTIF('Backup &amp; Archive'!O8:O100,"N/A")</f>
        <v/>
      </c>
      <c r="G10" s="20">
        <f>IF((B10-F10)=0,0,C10/(B10-F10))</f>
        <v/>
      </c>
    </row>
    <row r="11">
      <c r="A11" s="18" t="inlineStr">
        <is>
          <t>External Sharing</t>
        </is>
      </c>
      <c r="B11" s="19">
        <f>C11+D11+E11+F11</f>
        <v/>
      </c>
      <c r="C11" s="19">
        <f>COUNTIF('External Sharing'!O8:O100,"✅ Compliant")</f>
        <v/>
      </c>
      <c r="D11" s="19">
        <f>COUNTIF('External Sharing'!O8:O100,"⚠️ Partial")</f>
        <v/>
      </c>
      <c r="E11" s="19">
        <f>COUNTIF('External Sharing'!O8:O100,"❌ Non-Compliant")</f>
        <v/>
      </c>
      <c r="F11" s="19">
        <f>COUNTIF('External Sharing'!O8:O100,"N/A")</f>
        <v/>
      </c>
      <c r="G11" s="20">
        <f>IF((B11-F11)=0,0,C11/(B11-F11))</f>
        <v/>
      </c>
    </row>
    <row r="12">
      <c r="A12" s="18" t="inlineStr">
        <is>
          <t>Cloud Environments</t>
        </is>
      </c>
      <c r="B12" s="19">
        <f>C12+D12+E12+F12</f>
        <v/>
      </c>
      <c r="C12" s="19">
        <f>COUNTIF('Cloud Environments'!O8:O100,"✅ Compliant")</f>
        <v/>
      </c>
      <c r="D12" s="19">
        <f>COUNTIF('Cloud Environments'!O8:O100,"⚠️ Partial")</f>
        <v/>
      </c>
      <c r="E12" s="19">
        <f>COUNTIF('Cloud Environments'!O8:O100,"❌ Non-Compliant")</f>
        <v/>
      </c>
      <c r="F12" s="19">
        <f>COUNTIF('Cloud Environments'!O8:O100,"N/A")</f>
        <v/>
      </c>
      <c r="G12" s="20">
        <f>IF((B12-F12)=0,0,C12/(B12-F12))</f>
        <v/>
      </c>
    </row>
    <row r="13">
      <c r="A13" s="18" t="inlineStr">
        <is>
          <t>Gap Analysis</t>
        </is>
      </c>
      <c r="B13" s="19">
        <f>C13+D13+E13+F13</f>
        <v/>
      </c>
      <c r="C13" s="19">
        <f>COUNTIF('Gap Analysis'!K5:K100,"Completed")</f>
        <v/>
      </c>
      <c r="D13" s="19">
        <f>COUNTIF('Gap Analysis'!K5:K100,"In Progress")</f>
        <v/>
      </c>
      <c r="E13" s="19">
        <f>COUNTIF('Gap Analysis'!K5:K100,"Not Started")+COUNTIF('Gap Analysis'!K5:K100,"Blocked")</f>
        <v/>
      </c>
      <c r="F13" s="19">
        <f>0</f>
        <v/>
      </c>
      <c r="G13" s="20">
        <f>IF((B13-F13)=0,0,C13/(B13-F13))</f>
        <v/>
      </c>
    </row>
    <row r="14">
      <c r="A14" s="21" t="inlineStr">
        <is>
          <t>TOTAL</t>
        </is>
      </c>
      <c r="B14" s="22">
        <f>SUM(B6:B13)</f>
        <v/>
      </c>
      <c r="C14" s="22">
        <f>SUM(C6:C13)</f>
        <v/>
      </c>
      <c r="D14" s="22">
        <f>SUM(D6:D13)</f>
        <v/>
      </c>
      <c r="E14" s="22">
        <f>SUM(E6:E13)</f>
        <v/>
      </c>
      <c r="F14" s="22">
        <f>SUM(F6:F13)</f>
        <v/>
      </c>
      <c r="G14" s="23">
        <f>IF((B14-F14)=0,0,C14/(B14-F14))</f>
        <v/>
      </c>
    </row>
    <row r="16">
      <c r="A16" s="17" t="inlineStr">
        <is>
          <t>TABLE 2 – KEY METRICS</t>
        </is>
      </c>
    </row>
    <row r="17">
      <c r="A17" s="10" t="inlineStr">
        <is>
          <t>Metric</t>
        </is>
      </c>
      <c r="B17" s="10" t="inlineStr">
        <is>
          <t>Value</t>
        </is>
      </c>
      <c r="C17" s="10" t="inlineStr">
        <is>
          <t>Target</t>
        </is>
      </c>
    </row>
    <row r="18">
      <c r="A18" s="24" t="inlineStr">
        <is>
          <t>Non-Production Masking Coverage (%)</t>
        </is>
      </c>
      <c r="B18" s="25">
        <f>IF(COUNTA('NonProduction Environments'!O8:O100)=0,"N/A",TEXT(COUNTIF('NonProduction Environments'!O8:O100,"✅ Compliant")/COUNTA('NonProduction Environments'!O8:O100),"0.0%"))</f>
        <v/>
      </c>
      <c r="C18" s="25" t="inlineStr">
        <is>
          <t>100%</t>
        </is>
      </c>
    </row>
    <row r="19">
      <c r="A19" s="24" t="inlineStr">
        <is>
          <t>Production DDM Coverage (%)</t>
        </is>
      </c>
      <c r="B19" s="25">
        <f>IF(COUNTA('Production Environment'!O8:O100)=0,"N/A",TEXT(COUNTIF('Production Environment'!O8:O100,"✅ Compliant")/COUNTA('Production Environment'!O8:O100),"0.0%"))</f>
        <v/>
      </c>
      <c r="C19" s="25" t="inlineStr">
        <is>
          <t>&gt;=90%</t>
        </is>
      </c>
    </row>
    <row r="20">
      <c r="A20" s="24" t="inlineStr">
        <is>
          <t>Analytics Masking Coverage (%)</t>
        </is>
      </c>
      <c r="B20" s="25">
        <f>IF(COUNTA('Analytics &amp; Reporting'!O8:O100)=0,"N/A",TEXT(COUNTIF('Analytics &amp; Reporting'!O8:O100,"✅ Compliant")/COUNTA('Analytics &amp; Reporting'!O8:O100),"0.0%"))</f>
        <v/>
      </c>
      <c r="C20" s="25" t="inlineStr">
        <is>
          <t>100%</t>
        </is>
      </c>
    </row>
    <row r="21">
      <c r="A21" s="24" t="inlineStr">
        <is>
          <t>External Sharing Masking Coverage (%)</t>
        </is>
      </c>
      <c r="B21" s="25">
        <f>IF(COUNTA('External Sharing'!O8:O100)=0,"N/A",TEXT(COUNTIF('External Sharing'!O8:O100,"✅ Compliant")/COUNTA('External Sharing'!O8:O100),"0.0%"))</f>
        <v/>
      </c>
      <c r="C21" s="25" t="inlineStr">
        <is>
          <t>100%</t>
        </is>
      </c>
    </row>
    <row r="22">
      <c r="A22" s="24" t="inlineStr">
        <is>
          <t>Open Critical Gaps (Count)</t>
        </is>
      </c>
      <c r="B22" s="25">
        <f>COUNTIF('Gap Analysis'!K5:K100,"Not Started")+COUNTIF('Gap Analysis'!K5:K100,"Blocked")</f>
        <v/>
      </c>
      <c r="C22" s="25" t="inlineStr">
        <is>
          <t>0</t>
        </is>
      </c>
    </row>
    <row r="23">
      <c r="A23" s="24" t="inlineStr">
        <is>
          <t>Cloud Environment Compliance (%)</t>
        </is>
      </c>
      <c r="B23" s="25">
        <f>IF(COUNTA('Cloud Environments'!O8:O100)=0,"N/A",TEXT(COUNTIF('Cloud Environments'!O8:O100,"✅ Compliant")/COUNTA('Cloud Environments'!O8:O100),"0.0%"))</f>
        <v/>
      </c>
      <c r="C23" s="25" t="inlineStr">
        <is>
          <t>100%</t>
        </is>
      </c>
    </row>
    <row r="25">
      <c r="A25" s="26" t="inlineStr">
        <is>
          <t>TABLE 3 – KEY FINDINGS &amp; RECOMMENDATIONS</t>
        </is>
      </c>
    </row>
    <row r="26">
      <c r="A26" s="10" t="inlineStr">
        <is>
          <t>#</t>
        </is>
      </c>
      <c r="B26" s="10" t="inlineStr">
        <is>
          <t>Finding</t>
        </is>
      </c>
      <c r="C26" s="10" t="inlineStr">
        <is>
          <t>Impact</t>
        </is>
      </c>
      <c r="D26" s="10" t="inlineStr">
        <is>
          <t>Recommendation</t>
        </is>
      </c>
      <c r="E26" s="10" t="inlineStr">
        <is>
          <t>Priority</t>
        </is>
      </c>
      <c r="F26" s="10" t="inlineStr">
        <is>
          <t>Status</t>
        </is>
      </c>
      <c r="G26" s="10" t="inlineStr">
        <is>
          <t>Notes</t>
        </is>
      </c>
    </row>
    <row r="27">
      <c r="A27" s="27" t="inlineStr">
        <is>
          <t>1</t>
        </is>
      </c>
      <c r="B27" s="27" t="inlineStr">
        <is>
          <t>Non-production environments not consistently masked before data refresh</t>
        </is>
      </c>
      <c r="C27" s="27" t="inlineStr">
        <is>
          <t>Critical — GDPR/FADP violation if production data visible in test/UAT</t>
        </is>
      </c>
      <c r="D27" s="27" t="inlineStr">
        <is>
          <t>Integrate Static Data Masking (SDM) into all data refresh pipelines; enforce before environment provisioning</t>
        </is>
      </c>
      <c r="E27" s="27" t="inlineStr">
        <is>
          <t>P1</t>
        </is>
      </c>
      <c r="F27" s="27" t="inlineStr">
        <is>
          <t>Open</t>
        </is>
      </c>
      <c r="G27" s="27" t="inlineStr"/>
    </row>
    <row r="28">
      <c r="A28" s="27" t="inlineStr">
        <is>
          <t>2</t>
        </is>
      </c>
      <c r="B28" s="27" t="inlineStr">
        <is>
          <t>Production DDM not fully deployed for all customer-facing roles</t>
        </is>
      </c>
      <c r="C28" s="27" t="inlineStr">
        <is>
          <t>High — CSRs and support staff may view unmasked sensitive data</t>
        </is>
      </c>
      <c r="D28" s="27" t="inlineStr">
        <is>
          <t>Deploy DDM rules for all non-privileged roles; log all access to unmasked data</t>
        </is>
      </c>
      <c r="E28" s="27" t="inlineStr">
        <is>
          <t>P1</t>
        </is>
      </c>
      <c r="F28" s="27" t="inlineStr">
        <is>
          <t>In Progress</t>
        </is>
      </c>
      <c r="G28" s="27" t="inlineStr"/>
    </row>
    <row r="29">
      <c r="A29" s="27" t="inlineStr">
        <is>
          <t>3</t>
        </is>
      </c>
      <c r="B29" s="27" t="inlineStr">
        <is>
          <t>External data sharing lacking DPA masking clauses for some vendors</t>
        </is>
      </c>
      <c r="C29" s="27" t="inlineStr">
        <is>
          <t>High — contractual gap means vendors may retain unmasked sensitive data</t>
        </is>
      </c>
      <c r="D29" s="27" t="inlineStr">
        <is>
          <t>Audit all DPAs; amend to include explicit masking requirements; verify vendor compliance</t>
        </is>
      </c>
      <c r="E29" s="27" t="inlineStr">
        <is>
          <t>P2</t>
        </is>
      </c>
      <c r="F29" s="27" t="inlineStr">
        <is>
          <t>Open</t>
        </is>
      </c>
      <c r="G29" s="27" t="inlineStr"/>
    </row>
    <row r="30">
      <c r="A30" s="27" t="inlineStr">
        <is>
          <t>4</t>
        </is>
      </c>
      <c r="B30" s="27" t="inlineStr">
        <is>
          <t>Cloud environments not all mapped to correct masking classification</t>
        </is>
      </c>
      <c r="C30" s="27" t="inlineStr">
        <is>
          <t>Medium — cloud non-prod environments may be provisioned with unmasked data</t>
        </is>
      </c>
      <c r="D30" s="27" t="inlineStr">
        <is>
          <t>Apply same classification and masking rules to cloud as on-premises; validate quarterly</t>
        </is>
      </c>
      <c r="E30" s="27" t="inlineStr">
        <is>
          <t>P2</t>
        </is>
      </c>
      <c r="F30" s="27" t="inlineStr">
        <is>
          <t>Open</t>
        </is>
      </c>
      <c r="G30" s="27" t="inlineStr"/>
    </row>
  </sheetData>
  <mergeCells count="5">
    <mergeCell ref="A1:G1"/>
    <mergeCell ref="A4:G4"/>
    <mergeCell ref="A16:G16"/>
    <mergeCell ref="A2:G2"/>
    <mergeCell ref="A25:G2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8" t="inlineStr">
        <is>
          <t>ASSESSMENT APPROVAL AND SIGN-OFF</t>
        </is>
      </c>
    </row>
    <row r="3">
      <c r="A3" s="29" t="inlineStr">
        <is>
          <t>ASSESSMENT SUMMARY</t>
        </is>
      </c>
    </row>
    <row r="4">
      <c r="A4" s="30" t="inlineStr">
        <is>
          <t>Document:</t>
        </is>
      </c>
      <c r="B4" s="6" t="inlineStr">
        <is>
          <t>ISMS-IMP-A.8.11.3 - Environment Coverage Assessment</t>
        </is>
      </c>
    </row>
    <row r="5">
      <c r="A5" s="30" t="inlineStr">
        <is>
          <t>Assessment Period:</t>
        </is>
      </c>
      <c r="B5" s="4" t="inlineStr"/>
    </row>
    <row r="6">
      <c r="A6" s="30" t="inlineStr">
        <is>
          <t>Overall Compliance:</t>
        </is>
      </c>
      <c r="B6" s="31">
        <f>IFERROR(AVERAGE('Summary Dashboard'!G6:G13),"")</f>
        <v/>
      </c>
    </row>
    <row r="7">
      <c r="A7" s="30" t="inlineStr">
        <is>
          <t>Assessment Status:</t>
        </is>
      </c>
      <c r="B7" s="4" t="inlineStr"/>
    </row>
    <row r="10">
      <c r="A10" s="29" t="inlineStr">
        <is>
          <t>PREPARED BY (ASSESSOR)</t>
        </is>
      </c>
    </row>
    <row r="11">
      <c r="A11" s="30" t="inlineStr">
        <is>
          <t>Name:</t>
        </is>
      </c>
      <c r="B11" s="4" t="n"/>
    </row>
    <row r="12">
      <c r="A12" s="30" t="inlineStr">
        <is>
          <t>Title:</t>
        </is>
      </c>
      <c r="B12" s="4" t="n"/>
    </row>
    <row r="13">
      <c r="A13" s="30" t="inlineStr">
        <is>
          <t>Date:</t>
        </is>
      </c>
      <c r="B13" s="4" t="n"/>
    </row>
    <row r="14">
      <c r="A14" s="30" t="inlineStr">
        <is>
          <t>Signature:</t>
        </is>
      </c>
      <c r="B14" s="4" t="n"/>
    </row>
    <row r="15">
      <c r="A15" s="30" t="inlineStr">
        <is>
          <t>Comments:</t>
        </is>
      </c>
      <c r="B15" s="4" t="n"/>
    </row>
    <row r="17">
      <c r="A17" s="29" t="inlineStr">
        <is>
          <t>REVIEWED BY (ISO)</t>
        </is>
      </c>
    </row>
    <row r="18">
      <c r="A18" s="30" t="inlineStr">
        <is>
          <t>Name:</t>
        </is>
      </c>
      <c r="B18" s="4" t="n"/>
    </row>
    <row r="19">
      <c r="A19" s="30" t="inlineStr">
        <is>
          <t>Title:</t>
        </is>
      </c>
      <c r="B19" s="4" t="n"/>
    </row>
    <row r="20">
      <c r="A20" s="30" t="inlineStr">
        <is>
          <t>Date:</t>
        </is>
      </c>
      <c r="B20" s="4" t="n"/>
    </row>
    <row r="21">
      <c r="A21" s="30" t="inlineStr">
        <is>
          <t>Signature:</t>
        </is>
      </c>
      <c r="B21" s="4" t="n"/>
    </row>
    <row r="22">
      <c r="A22" s="30" t="inlineStr">
        <is>
          <t>Comments:</t>
        </is>
      </c>
      <c r="B22" s="4" t="n"/>
    </row>
    <row r="24">
      <c r="A24" s="29" t="inlineStr">
        <is>
          <t>APPROVED BY (CISO)</t>
        </is>
      </c>
    </row>
    <row r="25">
      <c r="A25" s="30" t="inlineStr">
        <is>
          <t>Name:</t>
        </is>
      </c>
      <c r="B25" s="4" t="n"/>
    </row>
    <row r="26">
      <c r="A26" s="30" t="inlineStr">
        <is>
          <t>Title:</t>
        </is>
      </c>
      <c r="B26" s="4" t="n"/>
    </row>
    <row r="27">
      <c r="A27" s="30" t="inlineStr">
        <is>
          <t>Date:</t>
        </is>
      </c>
      <c r="B27" s="4" t="n"/>
    </row>
    <row r="28">
      <c r="A28" s="30" t="inlineStr">
        <is>
          <t>Signature:</t>
        </is>
      </c>
      <c r="B28" s="4" t="n"/>
    </row>
    <row r="29">
      <c r="A29" s="30" t="inlineStr">
        <is>
          <t>Comments:</t>
        </is>
      </c>
      <c r="B29" s="4" t="n"/>
    </row>
    <row r="31">
      <c r="A31" s="30" t="inlineStr">
        <is>
          <t>FINAL ASSESSMENT DECISION:</t>
        </is>
      </c>
      <c r="B31" s="4" t="n"/>
    </row>
    <row r="34">
      <c r="A34" s="29" t="inlineStr">
        <is>
          <t>NEXT REVIEW DETAILS</t>
        </is>
      </c>
    </row>
    <row r="35">
      <c r="A35" s="30" t="inlineStr">
        <is>
          <t>Next Review Date:</t>
        </is>
      </c>
      <c r="B35" s="4" t="n"/>
    </row>
    <row r="36">
      <c r="A36" s="30" t="inlineStr">
        <is>
          <t>Review Responsible:</t>
        </is>
      </c>
      <c r="B36" s="4" t="n"/>
    </row>
    <row r="37">
      <c r="A37" s="30" t="inlineStr">
        <is>
          <t>Special Considerations:</t>
        </is>
      </c>
      <c r="B37" s="4" t="n"/>
    </row>
  </sheetData>
  <mergeCells count="29">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B12:E12"/>
    <mergeCell ref="B21:E21"/>
    <mergeCell ref="B11:E11"/>
    <mergeCell ref="A17:E17"/>
    <mergeCell ref="B14:E14"/>
    <mergeCell ref="A10:E10"/>
    <mergeCell ref="B13:E13"/>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ISMS-IMP-A.8.11.3 — Environment Coverage Assessment</dc:title>
  <dc:description xmlns:dc="http://purl.org/dc/elements/1.1/">ISMS Implementation Workbook — ISMS-IMP-A.8.11.3</dc:description>
  <dc:subject xmlns:dc="http://purl.org/dc/elements/1.1/">ISO/IEC 27001:2022 — Control A.8.11: Data Masking</dc:subject>
  <dcterms:created xmlns:dcterms="http://purl.org/dc/terms/" xmlns:xsi="http://www.w3.org/2001/XMLSchema-instance" xsi:type="dcterms:W3CDTF">2026-03-10T18:49:17Z</dcterms:created>
  <dcterms:modified xmlns:dcterms="http://purl.org/dc/terms/" xmlns:xsi="http://www.w3.org/2001/XMLSchema-instance" xsi:type="dcterms:W3CDTF">2026-03-10T18:49:17Z</dcterms:modified>
</cp:coreProperties>
</file>