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System Inventory" sheetId="2" state="visible" r:id="rId2"/>
    <sheet xmlns:r="http://schemas.openxmlformats.org/officeDocument/2006/relationships" name="Data Category Reference" sheetId="3" state="visible" r:id="rId3"/>
    <sheet xmlns:r="http://schemas.openxmlformats.org/officeDocument/2006/relationships" name="Sensitive Data Inventory" sheetId="4" state="visible" r:id="rId4"/>
    <sheet xmlns:r="http://schemas.openxmlformats.org/officeDocument/2006/relationships" name="Classification Matrix" sheetId="5" state="visible" r:id="rId5"/>
    <sheet xmlns:r="http://schemas.openxmlformats.org/officeDocument/2006/relationships" name="Regulatory Mapping" sheetId="6" state="visible" r:id="rId6"/>
    <sheet xmlns:r="http://schemas.openxmlformats.org/officeDocument/2006/relationships" name="Data Owner Assignment" sheetId="7" state="visible" r:id="rId7"/>
    <sheet xmlns:r="http://schemas.openxmlformats.org/officeDocument/2006/relationships" name="Masking Priority Matrix" sheetId="8" state="visible" r:id="rId8"/>
    <sheet xmlns:r="http://schemas.openxmlformats.org/officeDocument/2006/relationships" name="Gap Analysis" sheetId="9" state="visible" r:id="rId9"/>
    <sheet xmlns:r="http://schemas.openxmlformats.org/officeDocument/2006/relationships" name="Evidence Register" sheetId="10" state="visible" r:id="rId10"/>
    <sheet xmlns:r="http://schemas.openxmlformats.org/officeDocument/2006/relationships" name="Summary Dashboard" sheetId="11" state="visible" r:id="rId11"/>
    <sheet xmlns:r="http://schemas.openxmlformats.org/officeDocument/2006/relationships" name="Approval Sign-Off" sheetId="12" state="visible" r:id="rId12"/>
  </sheets>
  <definedNames/>
  <calcPr calcId="124519" fullCalcOnLoad="1"/>
</workbook>
</file>

<file path=xl/styles.xml><?xml version="1.0" encoding="utf-8"?>
<styleSheet xmlns="http://schemas.openxmlformats.org/spreadsheetml/2006/main">
  <numFmts count="1">
    <numFmt numFmtId="164" formatCode="0.0%"/>
  </numFmts>
  <fonts count="17">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b val="1"/>
      <sz val="11"/>
    </font>
    <font>
      <b val="1"/>
    </font>
    <font>
      <b val="1"/>
      <sz val="10"/>
    </font>
    <font>
      <name val="Calibri"/>
      <i val="1"/>
    </font>
    <font>
      <name val="Calibri"/>
      <b val="1"/>
      <color rgb="00FFFFFF"/>
    </font>
    <font>
      <name val="Calibri"/>
      <i val="1"/>
      <color rgb="00003366"/>
      <sz val="10"/>
    </font>
    <font>
      <name val="Calibri"/>
      <b val="1"/>
      <color rgb="00FFFFFF"/>
      <sz val="12"/>
    </font>
    <font>
      <name val="Calibri"/>
      <color rgb="00000000"/>
      <sz val="10"/>
    </font>
    <font>
      <name val="Calibri"/>
      <b val="1"/>
      <color rgb="00000000"/>
      <sz val="10"/>
    </font>
    <font>
      <name val="Calibri"/>
      <sz val="10"/>
    </font>
    <font>
      <name val="Calibri"/>
      <b val="1"/>
      <color rgb="00000000"/>
      <sz val="11"/>
    </font>
  </fonts>
  <fills count="10">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4472C4"/>
        <bgColor rgb="004472C4"/>
      </patternFill>
    </fill>
    <fill>
      <patternFill patternType="solid">
        <fgColor rgb="00C00000"/>
        <bgColor rgb="00C00000"/>
      </patternFill>
    </fill>
  </fills>
  <borders count="2">
    <border>
      <left/>
      <right/>
      <top/>
      <bottom/>
      <diagonal/>
    </border>
    <border>
      <left style="thin"/>
      <right style="thin"/>
      <top style="thin"/>
      <bottom style="thin"/>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0" applyAlignment="1" pivotButton="0" quotePrefix="0" xfId="0">
      <alignment horizontal="center" vertical="center" wrapText="1"/>
    </xf>
    <xf numFmtId="0" fontId="6" fillId="0" borderId="0" applyAlignment="1" pivotButton="0" quotePrefix="0" xfId="0">
      <alignment wrapText="1"/>
    </xf>
    <xf numFmtId="0" fontId="7" fillId="0" borderId="0" pivotButton="0" quotePrefix="0" xfId="0"/>
    <xf numFmtId="0" fontId="0" fillId="3" borderId="1" applyAlignment="1" pivotButton="0" quotePrefix="0" xfId="0">
      <alignment horizontal="left" vertical="center" wrapText="1"/>
    </xf>
    <xf numFmtId="0" fontId="6" fillId="0" borderId="0" pivotButton="0" quotePrefix="0" xfId="0"/>
    <xf numFmtId="0" fontId="0" fillId="0" borderId="0" applyAlignment="1" pivotButton="0" quotePrefix="0" xfId="0">
      <alignment wrapText="1"/>
    </xf>
    <xf numFmtId="0" fontId="8" fillId="0" borderId="0" applyAlignment="1" pivotButton="0" quotePrefix="0" xfId="0">
      <alignment wrapText="1"/>
    </xf>
    <xf numFmtId="0" fontId="9" fillId="0" borderId="0" applyAlignment="1" pivotButton="0" quotePrefix="0" xfId="0">
      <alignment horizontal="left" vertical="center"/>
    </xf>
    <xf numFmtId="0" fontId="10" fillId="2" borderId="1" applyAlignment="1" pivotButton="0" quotePrefix="0" xfId="0">
      <alignment horizontal="center" vertical="center" wrapText="1"/>
    </xf>
    <xf numFmtId="0" fontId="11" fillId="0" borderId="0" applyAlignment="1" pivotButton="0" quotePrefix="0" xfId="0">
      <alignment horizontal="left" vertical="center"/>
    </xf>
    <xf numFmtId="0" fontId="12" fillId="2" borderId="0" applyAlignment="1" pivotButton="0" quotePrefix="0" xfId="0">
      <alignment horizontal="left" vertical="center"/>
    </xf>
    <xf numFmtId="0" fontId="13" fillId="0" borderId="1" applyAlignment="1" pivotButton="0" quotePrefix="0" xfId="0">
      <alignment horizontal="left" vertical="center"/>
    </xf>
    <xf numFmtId="0" fontId="13" fillId="0" borderId="1" applyAlignment="1" pivotButton="0" quotePrefix="0" xfId="0">
      <alignment horizontal="center" vertical="center"/>
    </xf>
    <xf numFmtId="164" fontId="13" fillId="0" borderId="1" applyAlignment="1" pivotButton="0" quotePrefix="0" xfId="0">
      <alignment horizontal="center" vertical="center"/>
    </xf>
    <xf numFmtId="0" fontId="14" fillId="4" borderId="1" applyAlignment="1" pivotButton="0" quotePrefix="0" xfId="0">
      <alignment horizontal="center" vertical="center"/>
    </xf>
    <xf numFmtId="0" fontId="4" fillId="4" borderId="1" applyAlignment="1" pivotButton="0" quotePrefix="0" xfId="0">
      <alignment horizontal="center" vertical="center"/>
    </xf>
    <xf numFmtId="164" fontId="4" fillId="4" borderId="1" applyAlignment="1" pivotButton="0" quotePrefix="0" xfId="0">
      <alignment horizontal="center" vertical="center"/>
    </xf>
    <xf numFmtId="0" fontId="15" fillId="0" borderId="1" applyAlignment="1" pivotButton="0" quotePrefix="0" xfId="0">
      <alignment horizontal="left" vertical="center"/>
    </xf>
    <xf numFmtId="0" fontId="15" fillId="0" borderId="1" applyAlignment="1" pivotButton="0" quotePrefix="0" xfId="0">
      <alignment horizontal="center" vertical="center"/>
    </xf>
    <xf numFmtId="0" fontId="12" fillId="9" borderId="0" applyAlignment="1" pivotButton="0" quotePrefix="0" xfId="0">
      <alignment horizontal="left" vertical="center"/>
    </xf>
    <xf numFmtId="0" fontId="15" fillId="3" borderId="1" applyAlignment="1" pivotButton="0" quotePrefix="0" xfId="0">
      <alignment horizontal="left" vertical="center" wrapText="1"/>
    </xf>
    <xf numFmtId="0" fontId="1" fillId="2" borderId="1" applyAlignment="1" pivotButton="0" quotePrefix="0" xfId="0">
      <alignment horizontal="center" vertical="center" wrapText="1"/>
    </xf>
    <xf numFmtId="0" fontId="5" fillId="8" borderId="1" pivotButton="0" quotePrefix="0" xfId="0"/>
    <xf numFmtId="164" fontId="0" fillId="0" borderId="1" pivotButton="0" quotePrefix="0" xfId="0"/>
    <xf numFmtId="0" fontId="5" fillId="2" borderId="1" pivotButton="0" quotePrefix="0" xfId="0"/>
    <xf numFmtId="0" fontId="1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5"/>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ISMS-IMP-A.8.11.1  -  Data Inventory &amp; Classification Assessment
ISO/IEC 27001:2022 - Control A.8.11: Data Masking</t>
        </is>
      </c>
    </row>
    <row r="3">
      <c r="A3" s="2" t="inlineStr">
        <is>
          <t>Document Information</t>
        </is>
      </c>
    </row>
    <row r="4">
      <c r="A4" s="3" t="inlineStr">
        <is>
          <t>Document ID</t>
        </is>
      </c>
      <c r="B4" t="inlineStr">
        <is>
          <t>ISMS-IMP-A.8.11.1</t>
        </is>
      </c>
    </row>
    <row r="5">
      <c r="A5" s="3" t="inlineStr">
        <is>
          <t>Control Reference</t>
        </is>
      </c>
      <c r="B5" t="inlineStr">
        <is>
          <t>ISO/IEC 27001:2022 - Control A.8.11: Data Masking</t>
        </is>
      </c>
    </row>
    <row r="6">
      <c r="A6" s="3" t="inlineStr">
        <is>
          <t>Framework Version</t>
        </is>
      </c>
      <c r="B6" t="inlineStr">
        <is>
          <t>1.0</t>
        </is>
      </c>
    </row>
    <row r="7">
      <c r="A7" s="3" t="inlineStr">
        <is>
          <t>Generated Date</t>
        </is>
      </c>
      <c r="B7" t="inlineStr">
        <is>
          <t>07.03.2026</t>
        </is>
      </c>
    </row>
    <row r="8">
      <c r="A8" s="3" t="inlineStr">
        <is>
          <t>Classification</t>
        </is>
      </c>
      <c r="B8" t="inlineStr">
        <is>
          <t>CONFIDENTIAL</t>
        </is>
      </c>
    </row>
    <row r="9">
      <c r="A9" s="3" t="inlineStr">
        <is>
          <t>Owner</t>
        </is>
      </c>
      <c r="B9" s="4" t="inlineStr"/>
    </row>
    <row r="10">
      <c r="A10" s="3" t="inlineStr">
        <is>
          <t>Status</t>
        </is>
      </c>
      <c r="B10" t="inlineStr">
        <is>
          <t>DRAFT</t>
        </is>
      </c>
    </row>
    <row r="12">
      <c r="A12" s="2" t="inlineStr">
        <is>
          <t>Instructions</t>
        </is>
      </c>
    </row>
    <row r="13">
      <c r="A13" t="inlineStr">
        <is>
          <t>1. Start with System Inventory — list ALL systems/databases that process data.</t>
        </is>
      </c>
    </row>
    <row r="14">
      <c r="A14" t="inlineStr">
        <is>
          <t>2. Use Data Category Reference to understand sensitivity taxonomy.</t>
        </is>
      </c>
    </row>
    <row r="15">
      <c r="A15" t="inlineStr">
        <is>
          <t>3. Complete Sensitive Data Inventory for each system (table/field level).</t>
        </is>
      </c>
    </row>
    <row r="16">
      <c r="A16" t="inlineStr">
        <is>
          <t>4. Apply classification using the Classification Matrix sheet.</t>
        </is>
      </c>
    </row>
    <row r="17">
      <c r="A17" t="inlineStr">
        <is>
          <t>5. Map data to regulatory requirements in Regulatory Mapping.</t>
        </is>
      </c>
    </row>
    <row r="18">
      <c r="A18" t="inlineStr">
        <is>
          <t>6. Assign data owners in Data Owner Assignment.</t>
        </is>
      </c>
    </row>
    <row r="19">
      <c r="A19" t="inlineStr">
        <is>
          <t>7. Prioritise masking efforts in Masking Priority Matrix.</t>
        </is>
      </c>
    </row>
    <row r="20">
      <c r="A20" t="inlineStr">
        <is>
          <t>8. Document gaps in Gap Analysis.</t>
        </is>
      </c>
    </row>
    <row r="21">
      <c r="A21" t="inlineStr">
        <is>
          <t>9. Maintain evidence in Evidence Register.</t>
        </is>
      </c>
    </row>
    <row r="22">
      <c r="A22" t="inlineStr">
        <is>
          <t>10. Review summary metrics in Summary Dashboard.</t>
        </is>
      </c>
    </row>
    <row r="23">
      <c r="A23" t="inlineStr">
        <is>
          <t>11. Obtain required approvals in Approval Sign-Off.</t>
        </is>
      </c>
    </row>
    <row r="25">
      <c r="A25" s="2" t="inlineStr">
        <is>
          <t>DATA CATEGORY TAXONOMY</t>
        </is>
      </c>
    </row>
    <row r="26">
      <c r="A26" s="5" t="inlineStr">
        <is>
          <t>Category ID</t>
        </is>
      </c>
      <c r="B26" s="5" t="inlineStr">
        <is>
          <t>Category Name</t>
        </is>
      </c>
      <c r="C26" s="5" t="inlineStr">
        <is>
          <t>Examples</t>
        </is>
      </c>
    </row>
    <row r="27">
      <c r="A27" s="6" t="inlineStr">
        <is>
          <t>CAT-PII-D</t>
        </is>
      </c>
      <c r="B27" s="6" t="inlineStr">
        <is>
          <t>Direct PII</t>
        </is>
      </c>
      <c r="C27" s="6" t="inlineStr">
        <is>
          <t>Name, SSN/AHV, Passport, Email, Phone</t>
        </is>
      </c>
    </row>
    <row r="28">
      <c r="A28" s="6" t="inlineStr">
        <is>
          <t>CAT-PII-I</t>
        </is>
      </c>
      <c r="B28" s="6" t="inlineStr">
        <is>
          <t>Indirect PII</t>
        </is>
      </c>
      <c r="C28" s="6" t="inlineStr">
        <is>
          <t>DOB+ZIP, Job Title+Department</t>
        </is>
      </c>
    </row>
    <row r="29">
      <c r="A29" s="6" t="inlineStr">
        <is>
          <t>CAT-FIN</t>
        </is>
      </c>
      <c r="B29" s="6" t="inlineStr">
        <is>
          <t>Financial Data</t>
        </is>
      </c>
      <c r="C29" s="6" t="inlineStr">
        <is>
          <t>Credit Card (PAN), IBAN, Account Balance</t>
        </is>
      </c>
    </row>
    <row r="30">
      <c r="A30" s="6" t="inlineStr">
        <is>
          <t>CAT-HLT</t>
        </is>
      </c>
      <c r="B30" s="6" t="inlineStr">
        <is>
          <t>Health Data</t>
        </is>
      </c>
      <c r="C30" s="6" t="inlineStr">
        <is>
          <t>Diagnoses, Prescriptions, Medical Records</t>
        </is>
      </c>
    </row>
    <row r="31">
      <c r="A31" s="6" t="inlineStr">
        <is>
          <t>CAT-CRD</t>
        </is>
      </c>
      <c r="B31" s="6" t="inlineStr">
        <is>
          <t>Credentials</t>
        </is>
      </c>
      <c r="C31" s="6" t="inlineStr">
        <is>
          <t>Passwords, API Keys, Tokens</t>
        </is>
      </c>
    </row>
    <row r="32">
      <c r="A32" s="6" t="inlineStr">
        <is>
          <t>CAT-PRP</t>
        </is>
      </c>
      <c r="B32" s="6" t="inlineStr">
        <is>
          <t>Proprietary</t>
        </is>
      </c>
      <c r="C32" s="6" t="inlineStr">
        <is>
          <t>Trade Secrets, Pricing, IP</t>
        </is>
      </c>
    </row>
    <row r="33">
      <c r="A33" s="6" t="inlineStr">
        <is>
          <t>CAT-LOC</t>
        </is>
      </c>
      <c r="B33" s="6" t="inlineStr">
        <is>
          <t>Location Data</t>
        </is>
      </c>
      <c r="C33" s="6" t="inlineStr">
        <is>
          <t>GPS, IP Address, Travel History</t>
        </is>
      </c>
    </row>
    <row r="34">
      <c r="A34" s="6" t="inlineStr">
        <is>
          <t>CAT-BIO</t>
        </is>
      </c>
      <c r="B34" s="6" t="inlineStr">
        <is>
          <t>Biometric</t>
        </is>
      </c>
      <c r="C34" s="6" t="inlineStr">
        <is>
          <t>Fingerprints, Facial Geometry</t>
        </is>
      </c>
    </row>
    <row r="35">
      <c r="A35" s="6" t="inlineStr">
        <is>
          <t>CAT-GEN</t>
        </is>
      </c>
      <c r="B35" s="6" t="inlineStr">
        <is>
          <t>Genetic Data</t>
        </is>
      </c>
      <c r="C35" s="6" t="inlineStr">
        <is>
          <t>DNA, Genetic Test Results</t>
        </is>
      </c>
    </row>
    <row r="36">
      <c r="A36" s="6" t="inlineStr">
        <is>
          <t>CAT-CHD</t>
        </is>
      </c>
      <c r="B36" s="6" t="inlineStr">
        <is>
          <t>Child Data</t>
        </is>
      </c>
      <c r="C36" s="6" t="inlineStr">
        <is>
          <t>Data of minors (&lt;16 GDPR / &lt;18)</t>
        </is>
      </c>
    </row>
    <row r="38">
      <c r="A38" s="2" t="inlineStr">
        <is>
          <t>SENSITIVITY CLASSIFICATION LEVELS</t>
        </is>
      </c>
    </row>
    <row r="39">
      <c r="A39" s="5" t="inlineStr">
        <is>
          <t>Level</t>
        </is>
      </c>
      <c r="B39" s="5" t="inlineStr">
        <is>
          <t>Definition</t>
        </is>
      </c>
      <c r="C39" s="5" t="inlineStr">
        <is>
          <t>Masking Requirement</t>
        </is>
      </c>
    </row>
    <row r="40">
      <c r="A40" s="6" t="inlineStr">
        <is>
          <t>Critical</t>
        </is>
      </c>
      <c r="B40" s="6" t="inlineStr">
        <is>
          <t>Severe harm if exposed, regulatory breach</t>
        </is>
      </c>
      <c r="C40" s="6" t="inlineStr">
        <is>
          <t>SHALL mask in ALL non-production</t>
        </is>
      </c>
    </row>
    <row r="41">
      <c r="A41" s="6" t="inlineStr">
        <is>
          <t>High</t>
        </is>
      </c>
      <c r="B41" s="6" t="inlineStr">
        <is>
          <t>Substantial harm, privacy violation</t>
        </is>
      </c>
      <c r="C41" s="6" t="inlineStr">
        <is>
          <t>SHALL mask in non-production</t>
        </is>
      </c>
    </row>
    <row r="42">
      <c r="A42" s="6" t="inlineStr">
        <is>
          <t>Medium</t>
        </is>
      </c>
      <c r="B42" s="6" t="inlineStr">
        <is>
          <t>Moderate harm, business impact</t>
        </is>
      </c>
      <c r="C42" s="6" t="inlineStr">
        <is>
          <t>SHOULD mask in non-production</t>
        </is>
      </c>
    </row>
    <row r="43">
      <c r="A43" s="6" t="inlineStr">
        <is>
          <t>Low</t>
        </is>
      </c>
      <c r="B43" s="6" t="inlineStr">
        <is>
          <t>Minimal harm</t>
        </is>
      </c>
      <c r="C43" s="6" t="inlineStr">
        <is>
          <t>MAY mask based on risk</t>
        </is>
      </c>
    </row>
    <row r="44">
      <c r="A44" s="6" t="inlineStr">
        <is>
          <t>Public</t>
        </is>
      </c>
      <c r="B44" s="6" t="inlineStr">
        <is>
          <t>No confidentiality requirement</t>
        </is>
      </c>
      <c r="C44" s="6" t="inlineStr">
        <is>
          <t>N/A</t>
        </is>
      </c>
    </row>
    <row r="46">
      <c r="A46" s="2" t="inlineStr">
        <is>
          <t>Status Legend</t>
        </is>
      </c>
    </row>
    <row r="47">
      <c r="A47" s="5" t="inlineStr">
        <is>
          <t>Symbol</t>
        </is>
      </c>
      <c r="B47" s="5" t="inlineStr">
        <is>
          <t>Status</t>
        </is>
      </c>
      <c r="C47" s="5" t="inlineStr">
        <is>
          <t>Description</t>
        </is>
      </c>
    </row>
    <row r="48">
      <c r="A48" s="6" t="inlineStr">
        <is>
          <t>✅</t>
        </is>
      </c>
      <c r="B48" s="7" t="inlineStr">
        <is>
          <t>Complete</t>
        </is>
      </c>
      <c r="C48" s="8" t="inlineStr">
        <is>
          <t>Inventory complete, classified</t>
        </is>
      </c>
    </row>
    <row r="49">
      <c r="A49" s="6" t="inlineStr">
        <is>
          <t>⚠</t>
        </is>
      </c>
      <c r="B49" s="9" t="inlineStr">
        <is>
          <t>Partial</t>
        </is>
      </c>
      <c r="C49" s="8" t="inlineStr">
        <is>
          <t>Partial inventory/classification</t>
        </is>
      </c>
    </row>
    <row r="50">
      <c r="A50" s="6" t="inlineStr">
        <is>
          <t>❌</t>
        </is>
      </c>
      <c r="B50" s="10" t="inlineStr">
        <is>
          <t>Missing</t>
        </is>
      </c>
      <c r="C50" s="8" t="inlineStr">
        <is>
          <t>Not inventoried/classified</t>
        </is>
      </c>
    </row>
    <row r="51">
      <c r="A51" s="6" t="inlineStr">
        <is>
          <t>—</t>
        </is>
      </c>
      <c r="B51" s="8" t="inlineStr">
        <is>
          <t>Not Applicable</t>
        </is>
      </c>
      <c r="C51" s="8" t="inlineStr">
        <is>
          <t>System contains no sensitive data</t>
        </is>
      </c>
    </row>
    <row r="53">
      <c r="A53" s="2" t="inlineStr">
        <is>
          <t>ACCEPTABLE EVIDENCE (examples)</t>
        </is>
      </c>
    </row>
    <row r="54">
      <c r="A54" t="inlineStr">
        <is>
          <t>✓ Database schema documentation</t>
        </is>
      </c>
    </row>
    <row r="55">
      <c r="A55" t="inlineStr">
        <is>
          <t>✓ Data dictionaries with field definitions</t>
        </is>
      </c>
    </row>
    <row r="56">
      <c r="A56" t="inlineStr">
        <is>
          <t>✓ Data discovery tool reports (e.g., BigID, OneTrust, etc.)</t>
        </is>
      </c>
    </row>
    <row r="57">
      <c r="A57" t="inlineStr">
        <is>
          <t>✓ Data flow diagrams</t>
        </is>
      </c>
    </row>
    <row r="58">
      <c r="A58" t="inlineStr">
        <is>
          <t>✓ Data Processing Impact Assessments (DPIA)</t>
        </is>
      </c>
    </row>
    <row r="59">
      <c r="A59" t="inlineStr">
        <is>
          <t>✓ System design documents</t>
        </is>
      </c>
    </row>
    <row r="60">
      <c r="A60" t="inlineStr">
        <is>
          <t>✓ Privacy policy documentation</t>
        </is>
      </c>
    </row>
    <row r="61">
      <c r="A61" t="inlineStr">
        <is>
          <t>✓ Data retention schedules</t>
        </is>
      </c>
    </row>
    <row r="62">
      <c r="A62" t="inlineStr">
        <is>
          <t>✓ Data owner assignment matrices (RACI)</t>
        </is>
      </c>
    </row>
    <row r="63">
      <c r="A63" t="inlineStr">
        <is>
          <t>✓ Classification review meeting minutes</t>
        </is>
      </c>
    </row>
    <row r="64">
      <c r="A64" t="inlineStr">
        <is>
          <t>✓ Regulatory compliance assessments</t>
        </is>
      </c>
    </row>
    <row r="65">
      <c r="A65" t="inlineStr">
        <is>
          <t>✓ Third-party data sharing agreements</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86"/>
  <sheetViews>
    <sheetView showGridLines="0" workbookViewId="0">
      <pane ySplit="6" topLeftCell="A7" activePane="bottomLeft" state="frozen"/>
      <selection pane="bottomLeft" activeCell="A1" sqref="A1"/>
    </sheetView>
  </sheetViews>
  <sheetFormatPr baseColWidth="8" defaultRowHeight="15"/>
  <cols>
    <col width="15" customWidth="1" min="1" max="1"/>
    <col width="40" customWidth="1" min="2" max="2"/>
    <col width="18" customWidth="1" min="3" max="3"/>
    <col width="25" customWidth="1" min="4" max="4"/>
    <col width="30" customWidth="1" min="5" max="5"/>
    <col width="25" customWidth="1" min="6" max="6"/>
    <col width="20" customWidth="1" min="7" max="7"/>
    <col width="20" customWidth="1" min="8" max="8"/>
    <col width="20" customWidth="1" min="9" max="9"/>
    <col width="18" customWidth="1" min="10" max="10"/>
    <col width="15" customWidth="1" min="11" max="11"/>
    <col width="15" customWidth="1" min="12" max="12"/>
    <col width="15" customWidth="1" min="13" max="13"/>
    <col width="15" customWidth="1" min="14" max="14"/>
    <col width="20" customWidth="1" min="15" max="15"/>
    <col width="15" customWidth="1" min="16" max="16"/>
    <col width="30" customWidth="1" min="17" max="17"/>
  </cols>
  <sheetData>
    <row r="1" ht="35" customHeight="1">
      <c r="A1" s="1" t="inlineStr">
        <is>
          <t>SYSTEM &amp; DATABASE INVENTORY</t>
        </is>
      </c>
    </row>
    <row r="2">
      <c r="A2" s="11" t="inlineStr">
        <is>
          <t>List ALL systems that process, store, or transmit data (50 row template)</t>
        </is>
      </c>
    </row>
    <row r="3">
      <c r="A3" s="12" t="inlineStr">
        <is>
          <t>Does your organisation maintain a comprehensive inventory of all systems containing sensitive data?</t>
        </is>
      </c>
    </row>
    <row r="4">
      <c r="A4" s="13" t="inlineStr">
        <is>
          <t>Response:</t>
        </is>
      </c>
      <c r="B4" s="14" t="inlineStr"/>
    </row>
    <row r="6">
      <c r="A6" s="5" t="inlineStr">
        <is>
          <t>System ID</t>
        </is>
      </c>
      <c r="B6" s="5" t="inlineStr">
        <is>
          <t>System Name</t>
        </is>
      </c>
      <c r="C6" s="5" t="inlineStr">
        <is>
          <t>System Type</t>
        </is>
      </c>
      <c r="D6" s="5" t="inlineStr">
        <is>
          <t>Environment</t>
        </is>
      </c>
      <c r="E6" s="5" t="inlineStr">
        <is>
          <t>Contains Sensitive Data?</t>
        </is>
      </c>
      <c r="F6" s="5" t="inlineStr">
        <is>
          <t>Data Categories Present</t>
        </is>
      </c>
      <c r="G6" s="5" t="inlineStr">
        <is>
          <t>Hosting Location</t>
        </is>
      </c>
      <c r="H6" s="5" t="inlineStr">
        <is>
          <t>Primary Data Owner</t>
        </is>
      </c>
      <c r="I6" s="5" t="inlineStr">
        <is>
          <t>System Owner/Admin</t>
        </is>
      </c>
      <c r="J6" s="5" t="inlineStr">
        <is>
          <t>Inventory Status</t>
        </is>
      </c>
      <c r="K6" s="5" t="inlineStr">
        <is>
          <t>Last Inventory Date</t>
        </is>
      </c>
      <c r="L6" s="5" t="inlineStr">
        <is>
          <t>Next Review Date</t>
        </is>
      </c>
      <c r="M6" s="5" t="inlineStr">
        <is>
          <t>Record Count (Approx)</t>
        </is>
      </c>
      <c r="N6" s="5" t="inlineStr">
        <is>
          <t>Retention Period</t>
        </is>
      </c>
      <c r="O6" s="5" t="inlineStr">
        <is>
          <t>Regulatory Scope</t>
        </is>
      </c>
      <c r="P6" s="5" t="inlineStr">
        <is>
          <t>Decommission Date</t>
        </is>
      </c>
      <c r="Q6" s="5" t="inlineStr">
        <is>
          <t>Notes/Comments</t>
        </is>
      </c>
    </row>
    <row r="7">
      <c r="A7" s="14" t="inlineStr">
        <is>
          <t>SYS-001</t>
        </is>
      </c>
      <c r="B7" s="14" t="inlineStr">
        <is>
          <t>Customer CRM System</t>
        </is>
      </c>
      <c r="C7" s="14" t="inlineStr">
        <is>
          <t>Application</t>
        </is>
      </c>
      <c r="D7" s="14" t="inlineStr">
        <is>
          <t>Production</t>
        </is>
      </c>
      <c r="E7" s="14" t="inlineStr">
        <is>
          <t>Yes</t>
        </is>
      </c>
      <c r="F7" s="14" t="inlineStr">
        <is>
          <t>CAT-PII-D, CAT-FIN</t>
        </is>
      </c>
      <c r="G7" s="14" t="inlineStr">
        <is>
          <t>AWS</t>
        </is>
      </c>
      <c r="H7" s="14" t="inlineStr">
        <is>
          <t>VP Sales</t>
        </is>
      </c>
      <c r="I7" s="14" t="inlineStr">
        <is>
          <t>IT Manager</t>
        </is>
      </c>
      <c r="J7" s="14" t="inlineStr">
        <is>
          <t>✅ Complete</t>
        </is>
      </c>
      <c r="K7" s="14" t="inlineStr">
        <is>
          <t>2024-12-15</t>
        </is>
      </c>
      <c r="L7" s="14" t="inlineStr">
        <is>
          <t>2025-03-15</t>
        </is>
      </c>
      <c r="M7" s="14" t="inlineStr">
        <is>
          <t>500000</t>
        </is>
      </c>
      <c r="N7" s="14" t="inlineStr">
        <is>
          <t>7 years</t>
        </is>
      </c>
      <c r="O7" s="14" t="inlineStr">
        <is>
          <t>GDPR, FADP</t>
        </is>
      </c>
      <c r="P7" s="14" t="inlineStr"/>
      <c r="Q7" s="14" t="inlineStr">
        <is>
          <t>Primary customer database</t>
        </is>
      </c>
    </row>
    <row r="8">
      <c r="A8" s="14" t="n"/>
      <c r="B8" s="14" t="n"/>
      <c r="C8" s="14" t="n"/>
      <c r="D8" s="14" t="n"/>
      <c r="E8" s="14" t="n"/>
      <c r="F8" s="14" t="n"/>
      <c r="G8" s="14" t="n"/>
      <c r="H8" s="14" t="n"/>
      <c r="I8" s="14" t="n"/>
      <c r="J8" s="14" t="n"/>
      <c r="K8" s="14" t="n"/>
      <c r="L8" s="14" t="n"/>
      <c r="M8" s="14" t="n"/>
      <c r="N8" s="14" t="n"/>
      <c r="O8" s="14" t="n"/>
      <c r="P8" s="14" t="n"/>
      <c r="Q8" s="14" t="n"/>
    </row>
    <row r="9">
      <c r="A9" s="14" t="n"/>
      <c r="B9" s="14" t="n"/>
      <c r="C9" s="14" t="n"/>
      <c r="D9" s="14" t="n"/>
      <c r="E9" s="14" t="n"/>
      <c r="F9" s="14" t="n"/>
      <c r="G9" s="14" t="n"/>
      <c r="H9" s="14" t="n"/>
      <c r="I9" s="14" t="n"/>
      <c r="J9" s="14" t="n"/>
      <c r="K9" s="14" t="n"/>
      <c r="L9" s="14" t="n"/>
      <c r="M9" s="14" t="n"/>
      <c r="N9" s="14" t="n"/>
      <c r="O9" s="14" t="n"/>
      <c r="P9" s="14" t="n"/>
      <c r="Q9" s="14" t="n"/>
    </row>
    <row r="10">
      <c r="A10" s="14" t="n"/>
      <c r="B10" s="14" t="n"/>
      <c r="C10" s="14" t="n"/>
      <c r="D10" s="14" t="n"/>
      <c r="E10" s="14" t="n"/>
      <c r="F10" s="14" t="n"/>
      <c r="G10" s="14" t="n"/>
      <c r="H10" s="14" t="n"/>
      <c r="I10" s="14" t="n"/>
      <c r="J10" s="14" t="n"/>
      <c r="K10" s="14" t="n"/>
      <c r="L10" s="14" t="n"/>
      <c r="M10" s="14" t="n"/>
      <c r="N10" s="14" t="n"/>
      <c r="O10" s="14" t="n"/>
      <c r="P10" s="14" t="n"/>
      <c r="Q10" s="14" t="n"/>
    </row>
    <row r="11">
      <c r="A11" s="14" t="n"/>
      <c r="B11" s="14" t="n"/>
      <c r="C11" s="14" t="n"/>
      <c r="D11" s="14" t="n"/>
      <c r="E11" s="14" t="n"/>
      <c r="F11" s="14" t="n"/>
      <c r="G11" s="14" t="n"/>
      <c r="H11" s="14" t="n"/>
      <c r="I11" s="14" t="n"/>
      <c r="J11" s="14" t="n"/>
      <c r="K11" s="14" t="n"/>
      <c r="L11" s="14" t="n"/>
      <c r="M11" s="14" t="n"/>
      <c r="N11" s="14" t="n"/>
      <c r="O11" s="14" t="n"/>
      <c r="P11" s="14" t="n"/>
      <c r="Q11" s="14" t="n"/>
    </row>
    <row r="12">
      <c r="A12" s="14" t="n"/>
      <c r="B12" s="14" t="n"/>
      <c r="C12" s="14" t="n"/>
      <c r="D12" s="14" t="n"/>
      <c r="E12" s="14" t="n"/>
      <c r="F12" s="14" t="n"/>
      <c r="G12" s="14" t="n"/>
      <c r="H12" s="14" t="n"/>
      <c r="I12" s="14" t="n"/>
      <c r="J12" s="14" t="n"/>
      <c r="K12" s="14" t="n"/>
      <c r="L12" s="14" t="n"/>
      <c r="M12" s="14" t="n"/>
      <c r="N12" s="14" t="n"/>
      <c r="O12" s="14" t="n"/>
      <c r="P12" s="14" t="n"/>
      <c r="Q12" s="14" t="n"/>
    </row>
    <row r="13">
      <c r="A13" s="14" t="n"/>
      <c r="B13" s="14" t="n"/>
      <c r="C13" s="14" t="n"/>
      <c r="D13" s="14" t="n"/>
      <c r="E13" s="14" t="n"/>
      <c r="F13" s="14" t="n"/>
      <c r="G13" s="14" t="n"/>
      <c r="H13" s="14" t="n"/>
      <c r="I13" s="14" t="n"/>
      <c r="J13" s="14" t="n"/>
      <c r="K13" s="14" t="n"/>
      <c r="L13" s="14" t="n"/>
      <c r="M13" s="14" t="n"/>
      <c r="N13" s="14" t="n"/>
      <c r="O13" s="14" t="n"/>
      <c r="P13" s="14" t="n"/>
      <c r="Q13" s="14" t="n"/>
    </row>
    <row r="14">
      <c r="A14" s="14" t="n"/>
      <c r="B14" s="14" t="n"/>
      <c r="C14" s="14" t="n"/>
      <c r="D14" s="14" t="n"/>
      <c r="E14" s="14" t="n"/>
      <c r="F14" s="14" t="n"/>
      <c r="G14" s="14" t="n"/>
      <c r="H14" s="14" t="n"/>
      <c r="I14" s="14" t="n"/>
      <c r="J14" s="14" t="n"/>
      <c r="K14" s="14" t="n"/>
      <c r="L14" s="14" t="n"/>
      <c r="M14" s="14" t="n"/>
      <c r="N14" s="14" t="n"/>
      <c r="O14" s="14" t="n"/>
      <c r="P14" s="14" t="n"/>
      <c r="Q14" s="14" t="n"/>
    </row>
    <row r="15">
      <c r="A15" s="14" t="n"/>
      <c r="B15" s="14" t="n"/>
      <c r="C15" s="14" t="n"/>
      <c r="D15" s="14" t="n"/>
      <c r="E15" s="14" t="n"/>
      <c r="F15" s="14" t="n"/>
      <c r="G15" s="14" t="n"/>
      <c r="H15" s="14" t="n"/>
      <c r="I15" s="14" t="n"/>
      <c r="J15" s="14" t="n"/>
      <c r="K15" s="14" t="n"/>
      <c r="L15" s="14" t="n"/>
      <c r="M15" s="14" t="n"/>
      <c r="N15" s="14" t="n"/>
      <c r="O15" s="14" t="n"/>
      <c r="P15" s="14" t="n"/>
      <c r="Q15" s="14" t="n"/>
    </row>
    <row r="16">
      <c r="A16" s="14" t="n"/>
      <c r="B16" s="14" t="n"/>
      <c r="C16" s="14" t="n"/>
      <c r="D16" s="14" t="n"/>
      <c r="E16" s="14" t="n"/>
      <c r="F16" s="14" t="n"/>
      <c r="G16" s="14" t="n"/>
      <c r="H16" s="14" t="n"/>
      <c r="I16" s="14" t="n"/>
      <c r="J16" s="14" t="n"/>
      <c r="K16" s="14" t="n"/>
      <c r="L16" s="14" t="n"/>
      <c r="M16" s="14" t="n"/>
      <c r="N16" s="14" t="n"/>
      <c r="O16" s="14" t="n"/>
      <c r="P16" s="14" t="n"/>
      <c r="Q16" s="14" t="n"/>
    </row>
    <row r="17">
      <c r="A17" s="14" t="n"/>
      <c r="B17" s="14" t="n"/>
      <c r="C17" s="14" t="n"/>
      <c r="D17" s="14" t="n"/>
      <c r="E17" s="14" t="n"/>
      <c r="F17" s="14" t="n"/>
      <c r="G17" s="14" t="n"/>
      <c r="H17" s="14" t="n"/>
      <c r="I17" s="14" t="n"/>
      <c r="J17" s="14" t="n"/>
      <c r="K17" s="14" t="n"/>
      <c r="L17" s="14" t="n"/>
      <c r="M17" s="14" t="n"/>
      <c r="N17" s="14" t="n"/>
      <c r="O17" s="14" t="n"/>
      <c r="P17" s="14" t="n"/>
      <c r="Q17" s="14" t="n"/>
    </row>
    <row r="18">
      <c r="A18" s="14" t="n"/>
      <c r="B18" s="14" t="n"/>
      <c r="C18" s="14" t="n"/>
      <c r="D18" s="14" t="n"/>
      <c r="E18" s="14" t="n"/>
      <c r="F18" s="14" t="n"/>
      <c r="G18" s="14" t="n"/>
      <c r="H18" s="14" t="n"/>
      <c r="I18" s="14" t="n"/>
      <c r="J18" s="14" t="n"/>
      <c r="K18" s="14" t="n"/>
      <c r="L18" s="14" t="n"/>
      <c r="M18" s="14" t="n"/>
      <c r="N18" s="14" t="n"/>
      <c r="O18" s="14" t="n"/>
      <c r="P18" s="14" t="n"/>
      <c r="Q18" s="14" t="n"/>
    </row>
    <row r="19">
      <c r="A19" s="14" t="n"/>
      <c r="B19" s="14" t="n"/>
      <c r="C19" s="14" t="n"/>
      <c r="D19" s="14" t="n"/>
      <c r="E19" s="14" t="n"/>
      <c r="F19" s="14" t="n"/>
      <c r="G19" s="14" t="n"/>
      <c r="H19" s="14" t="n"/>
      <c r="I19" s="14" t="n"/>
      <c r="J19" s="14" t="n"/>
      <c r="K19" s="14" t="n"/>
      <c r="L19" s="14" t="n"/>
      <c r="M19" s="14" t="n"/>
      <c r="N19" s="14" t="n"/>
      <c r="O19" s="14" t="n"/>
      <c r="P19" s="14" t="n"/>
      <c r="Q19" s="14" t="n"/>
    </row>
    <row r="20">
      <c r="A20" s="14" t="n"/>
      <c r="B20" s="14" t="n"/>
      <c r="C20" s="14" t="n"/>
      <c r="D20" s="14" t="n"/>
      <c r="E20" s="14" t="n"/>
      <c r="F20" s="14" t="n"/>
      <c r="G20" s="14" t="n"/>
      <c r="H20" s="14" t="n"/>
      <c r="I20" s="14" t="n"/>
      <c r="J20" s="14" t="n"/>
      <c r="K20" s="14" t="n"/>
      <c r="L20" s="14" t="n"/>
      <c r="M20" s="14" t="n"/>
      <c r="N20" s="14" t="n"/>
      <c r="O20" s="14" t="n"/>
      <c r="P20" s="14" t="n"/>
      <c r="Q20" s="14" t="n"/>
    </row>
    <row r="21">
      <c r="A21" s="14" t="n"/>
      <c r="B21" s="14" t="n"/>
      <c r="C21" s="14" t="n"/>
      <c r="D21" s="14" t="n"/>
      <c r="E21" s="14" t="n"/>
      <c r="F21" s="14" t="n"/>
      <c r="G21" s="14" t="n"/>
      <c r="H21" s="14" t="n"/>
      <c r="I21" s="14" t="n"/>
      <c r="J21" s="14" t="n"/>
      <c r="K21" s="14" t="n"/>
      <c r="L21" s="14" t="n"/>
      <c r="M21" s="14" t="n"/>
      <c r="N21" s="14" t="n"/>
      <c r="O21" s="14" t="n"/>
      <c r="P21" s="14" t="n"/>
      <c r="Q21" s="14" t="n"/>
    </row>
    <row r="22">
      <c r="A22" s="14" t="n"/>
      <c r="B22" s="14" t="n"/>
      <c r="C22" s="14" t="n"/>
      <c r="D22" s="14" t="n"/>
      <c r="E22" s="14" t="n"/>
      <c r="F22" s="14" t="n"/>
      <c r="G22" s="14" t="n"/>
      <c r="H22" s="14" t="n"/>
      <c r="I22" s="14" t="n"/>
      <c r="J22" s="14" t="n"/>
      <c r="K22" s="14" t="n"/>
      <c r="L22" s="14" t="n"/>
      <c r="M22" s="14" t="n"/>
      <c r="N22" s="14" t="n"/>
      <c r="O22" s="14" t="n"/>
      <c r="P22" s="14" t="n"/>
      <c r="Q22" s="14" t="n"/>
    </row>
    <row r="23">
      <c r="A23" s="14" t="n"/>
      <c r="B23" s="14" t="n"/>
      <c r="C23" s="14" t="n"/>
      <c r="D23" s="14" t="n"/>
      <c r="E23" s="14" t="n"/>
      <c r="F23" s="14" t="n"/>
      <c r="G23" s="14" t="n"/>
      <c r="H23" s="14" t="n"/>
      <c r="I23" s="14" t="n"/>
      <c r="J23" s="14" t="n"/>
      <c r="K23" s="14" t="n"/>
      <c r="L23" s="14" t="n"/>
      <c r="M23" s="14" t="n"/>
      <c r="N23" s="14" t="n"/>
      <c r="O23" s="14" t="n"/>
      <c r="P23" s="14" t="n"/>
      <c r="Q23" s="14" t="n"/>
    </row>
    <row r="24">
      <c r="A24" s="14" t="n"/>
      <c r="B24" s="14" t="n"/>
      <c r="C24" s="14" t="n"/>
      <c r="D24" s="14" t="n"/>
      <c r="E24" s="14" t="n"/>
      <c r="F24" s="14" t="n"/>
      <c r="G24" s="14" t="n"/>
      <c r="H24" s="14" t="n"/>
      <c r="I24" s="14" t="n"/>
      <c r="J24" s="14" t="n"/>
      <c r="K24" s="14" t="n"/>
      <c r="L24" s="14" t="n"/>
      <c r="M24" s="14" t="n"/>
      <c r="N24" s="14" t="n"/>
      <c r="O24" s="14" t="n"/>
      <c r="P24" s="14" t="n"/>
      <c r="Q24" s="14" t="n"/>
    </row>
    <row r="25">
      <c r="A25" s="14" t="n"/>
      <c r="B25" s="14" t="n"/>
      <c r="C25" s="14" t="n"/>
      <c r="D25" s="14" t="n"/>
      <c r="E25" s="14" t="n"/>
      <c r="F25" s="14" t="n"/>
      <c r="G25" s="14" t="n"/>
      <c r="H25" s="14" t="n"/>
      <c r="I25" s="14" t="n"/>
      <c r="J25" s="14" t="n"/>
      <c r="K25" s="14" t="n"/>
      <c r="L25" s="14" t="n"/>
      <c r="M25" s="14" t="n"/>
      <c r="N25" s="14" t="n"/>
      <c r="O25" s="14" t="n"/>
      <c r="P25" s="14" t="n"/>
      <c r="Q25" s="14" t="n"/>
    </row>
    <row r="26">
      <c r="A26" s="14" t="n"/>
      <c r="B26" s="14" t="n"/>
      <c r="C26" s="14" t="n"/>
      <c r="D26" s="14" t="n"/>
      <c r="E26" s="14" t="n"/>
      <c r="F26" s="14" t="n"/>
      <c r="G26" s="14" t="n"/>
      <c r="H26" s="14" t="n"/>
      <c r="I26" s="14" t="n"/>
      <c r="J26" s="14" t="n"/>
      <c r="K26" s="14" t="n"/>
      <c r="L26" s="14" t="n"/>
      <c r="M26" s="14" t="n"/>
      <c r="N26" s="14" t="n"/>
      <c r="O26" s="14" t="n"/>
      <c r="P26" s="14" t="n"/>
      <c r="Q26" s="14" t="n"/>
    </row>
    <row r="27">
      <c r="A27" s="14" t="n"/>
      <c r="B27" s="14" t="n"/>
      <c r="C27" s="14" t="n"/>
      <c r="D27" s="14" t="n"/>
      <c r="E27" s="14" t="n"/>
      <c r="F27" s="14" t="n"/>
      <c r="G27" s="14" t="n"/>
      <c r="H27" s="14" t="n"/>
      <c r="I27" s="14" t="n"/>
      <c r="J27" s="14" t="n"/>
      <c r="K27" s="14" t="n"/>
      <c r="L27" s="14" t="n"/>
      <c r="M27" s="14" t="n"/>
      <c r="N27" s="14" t="n"/>
      <c r="O27" s="14" t="n"/>
      <c r="P27" s="14" t="n"/>
      <c r="Q27" s="14" t="n"/>
    </row>
    <row r="28">
      <c r="A28" s="14" t="n"/>
      <c r="B28" s="14" t="n"/>
      <c r="C28" s="14" t="n"/>
      <c r="D28" s="14" t="n"/>
      <c r="E28" s="14" t="n"/>
      <c r="F28" s="14" t="n"/>
      <c r="G28" s="14" t="n"/>
      <c r="H28" s="14" t="n"/>
      <c r="I28" s="14" t="n"/>
      <c r="J28" s="14" t="n"/>
      <c r="K28" s="14" t="n"/>
      <c r="L28" s="14" t="n"/>
      <c r="M28" s="14" t="n"/>
      <c r="N28" s="14" t="n"/>
      <c r="O28" s="14" t="n"/>
      <c r="P28" s="14" t="n"/>
      <c r="Q28" s="14" t="n"/>
    </row>
    <row r="29">
      <c r="A29" s="14" t="n"/>
      <c r="B29" s="14" t="n"/>
      <c r="C29" s="14" t="n"/>
      <c r="D29" s="14" t="n"/>
      <c r="E29" s="14" t="n"/>
      <c r="F29" s="14" t="n"/>
      <c r="G29" s="14" t="n"/>
      <c r="H29" s="14" t="n"/>
      <c r="I29" s="14" t="n"/>
      <c r="J29" s="14" t="n"/>
      <c r="K29" s="14" t="n"/>
      <c r="L29" s="14" t="n"/>
      <c r="M29" s="14" t="n"/>
      <c r="N29" s="14" t="n"/>
      <c r="O29" s="14" t="n"/>
      <c r="P29" s="14" t="n"/>
      <c r="Q29" s="14" t="n"/>
    </row>
    <row r="30">
      <c r="A30" s="14" t="n"/>
      <c r="B30" s="14" t="n"/>
      <c r="C30" s="14" t="n"/>
      <c r="D30" s="14" t="n"/>
      <c r="E30" s="14" t="n"/>
      <c r="F30" s="14" t="n"/>
      <c r="G30" s="14" t="n"/>
      <c r="H30" s="14" t="n"/>
      <c r="I30" s="14" t="n"/>
      <c r="J30" s="14" t="n"/>
      <c r="K30" s="14" t="n"/>
      <c r="L30" s="14" t="n"/>
      <c r="M30" s="14" t="n"/>
      <c r="N30" s="14" t="n"/>
      <c r="O30" s="14" t="n"/>
      <c r="P30" s="14" t="n"/>
      <c r="Q30" s="14" t="n"/>
    </row>
    <row r="31">
      <c r="A31" s="14" t="n"/>
      <c r="B31" s="14" t="n"/>
      <c r="C31" s="14" t="n"/>
      <c r="D31" s="14" t="n"/>
      <c r="E31" s="14" t="n"/>
      <c r="F31" s="14" t="n"/>
      <c r="G31" s="14" t="n"/>
      <c r="H31" s="14" t="n"/>
      <c r="I31" s="14" t="n"/>
      <c r="J31" s="14" t="n"/>
      <c r="K31" s="14" t="n"/>
      <c r="L31" s="14" t="n"/>
      <c r="M31" s="14" t="n"/>
      <c r="N31" s="14" t="n"/>
      <c r="O31" s="14" t="n"/>
      <c r="P31" s="14" t="n"/>
      <c r="Q31" s="14" t="n"/>
    </row>
    <row r="32">
      <c r="A32" s="14" t="n"/>
      <c r="B32" s="14" t="n"/>
      <c r="C32" s="14" t="n"/>
      <c r="D32" s="14" t="n"/>
      <c r="E32" s="14" t="n"/>
      <c r="F32" s="14" t="n"/>
      <c r="G32" s="14" t="n"/>
      <c r="H32" s="14" t="n"/>
      <c r="I32" s="14" t="n"/>
      <c r="J32" s="14" t="n"/>
      <c r="K32" s="14" t="n"/>
      <c r="L32" s="14" t="n"/>
      <c r="M32" s="14" t="n"/>
      <c r="N32" s="14" t="n"/>
      <c r="O32" s="14" t="n"/>
      <c r="P32" s="14" t="n"/>
      <c r="Q32" s="14" t="n"/>
    </row>
    <row r="33">
      <c r="A33" s="14" t="n"/>
      <c r="B33" s="14" t="n"/>
      <c r="C33" s="14" t="n"/>
      <c r="D33" s="14" t="n"/>
      <c r="E33" s="14" t="n"/>
      <c r="F33" s="14" t="n"/>
      <c r="G33" s="14" t="n"/>
      <c r="H33" s="14" t="n"/>
      <c r="I33" s="14" t="n"/>
      <c r="J33" s="14" t="n"/>
      <c r="K33" s="14" t="n"/>
      <c r="L33" s="14" t="n"/>
      <c r="M33" s="14" t="n"/>
      <c r="N33" s="14" t="n"/>
      <c r="O33" s="14" t="n"/>
      <c r="P33" s="14" t="n"/>
      <c r="Q33" s="14" t="n"/>
    </row>
    <row r="34">
      <c r="A34" s="14" t="n"/>
      <c r="B34" s="14" t="n"/>
      <c r="C34" s="14" t="n"/>
      <c r="D34" s="14" t="n"/>
      <c r="E34" s="14" t="n"/>
      <c r="F34" s="14" t="n"/>
      <c r="G34" s="14" t="n"/>
      <c r="H34" s="14" t="n"/>
      <c r="I34" s="14" t="n"/>
      <c r="J34" s="14" t="n"/>
      <c r="K34" s="14" t="n"/>
      <c r="L34" s="14" t="n"/>
      <c r="M34" s="14" t="n"/>
      <c r="N34" s="14" t="n"/>
      <c r="O34" s="14" t="n"/>
      <c r="P34" s="14" t="n"/>
      <c r="Q34" s="14" t="n"/>
    </row>
    <row r="35">
      <c r="A35" s="14" t="n"/>
      <c r="B35" s="14" t="n"/>
      <c r="C35" s="14" t="n"/>
      <c r="D35" s="14" t="n"/>
      <c r="E35" s="14" t="n"/>
      <c r="F35" s="14" t="n"/>
      <c r="G35" s="14" t="n"/>
      <c r="H35" s="14" t="n"/>
      <c r="I35" s="14" t="n"/>
      <c r="J35" s="14" t="n"/>
      <c r="K35" s="14" t="n"/>
      <c r="L35" s="14" t="n"/>
      <c r="M35" s="14" t="n"/>
      <c r="N35" s="14" t="n"/>
      <c r="O35" s="14" t="n"/>
      <c r="P35" s="14" t="n"/>
      <c r="Q35" s="14" t="n"/>
    </row>
    <row r="36">
      <c r="A36" s="14" t="n"/>
      <c r="B36" s="14" t="n"/>
      <c r="C36" s="14" t="n"/>
      <c r="D36" s="14" t="n"/>
      <c r="E36" s="14" t="n"/>
      <c r="F36" s="14" t="n"/>
      <c r="G36" s="14" t="n"/>
      <c r="H36" s="14" t="n"/>
      <c r="I36" s="14" t="n"/>
      <c r="J36" s="14" t="n"/>
      <c r="K36" s="14" t="n"/>
      <c r="L36" s="14" t="n"/>
      <c r="M36" s="14" t="n"/>
      <c r="N36" s="14" t="n"/>
      <c r="O36" s="14" t="n"/>
      <c r="P36" s="14" t="n"/>
      <c r="Q36" s="14" t="n"/>
    </row>
    <row r="37">
      <c r="A37" s="14" t="n"/>
      <c r="B37" s="14" t="n"/>
      <c r="C37" s="14" t="n"/>
      <c r="D37" s="14" t="n"/>
      <c r="E37" s="14" t="n"/>
      <c r="F37" s="14" t="n"/>
      <c r="G37" s="14" t="n"/>
      <c r="H37" s="14" t="n"/>
      <c r="I37" s="14" t="n"/>
      <c r="J37" s="14" t="n"/>
      <c r="K37" s="14" t="n"/>
      <c r="L37" s="14" t="n"/>
      <c r="M37" s="14" t="n"/>
      <c r="N37" s="14" t="n"/>
      <c r="O37" s="14" t="n"/>
      <c r="P37" s="14" t="n"/>
      <c r="Q37" s="14" t="n"/>
    </row>
    <row r="38">
      <c r="A38" s="14" t="n"/>
      <c r="B38" s="14" t="n"/>
      <c r="C38" s="14" t="n"/>
      <c r="D38" s="14" t="n"/>
      <c r="E38" s="14" t="n"/>
      <c r="F38" s="14" t="n"/>
      <c r="G38" s="14" t="n"/>
      <c r="H38" s="14" t="n"/>
      <c r="I38" s="14" t="n"/>
      <c r="J38" s="14" t="n"/>
      <c r="K38" s="14" t="n"/>
      <c r="L38" s="14" t="n"/>
      <c r="M38" s="14" t="n"/>
      <c r="N38" s="14" t="n"/>
      <c r="O38" s="14" t="n"/>
      <c r="P38" s="14" t="n"/>
      <c r="Q38" s="14" t="n"/>
    </row>
    <row r="39">
      <c r="A39" s="14" t="n"/>
      <c r="B39" s="14" t="n"/>
      <c r="C39" s="14" t="n"/>
      <c r="D39" s="14" t="n"/>
      <c r="E39" s="14" t="n"/>
      <c r="F39" s="14" t="n"/>
      <c r="G39" s="14" t="n"/>
      <c r="H39" s="14" t="n"/>
      <c r="I39" s="14" t="n"/>
      <c r="J39" s="14" t="n"/>
      <c r="K39" s="14" t="n"/>
      <c r="L39" s="14" t="n"/>
      <c r="M39" s="14" t="n"/>
      <c r="N39" s="14" t="n"/>
      <c r="O39" s="14" t="n"/>
      <c r="P39" s="14" t="n"/>
      <c r="Q39" s="14" t="n"/>
    </row>
    <row r="40">
      <c r="A40" s="14" t="n"/>
      <c r="B40" s="14" t="n"/>
      <c r="C40" s="14" t="n"/>
      <c r="D40" s="14" t="n"/>
      <c r="E40" s="14" t="n"/>
      <c r="F40" s="14" t="n"/>
      <c r="G40" s="14" t="n"/>
      <c r="H40" s="14" t="n"/>
      <c r="I40" s="14" t="n"/>
      <c r="J40" s="14" t="n"/>
      <c r="K40" s="14" t="n"/>
      <c r="L40" s="14" t="n"/>
      <c r="M40" s="14" t="n"/>
      <c r="N40" s="14" t="n"/>
      <c r="O40" s="14" t="n"/>
      <c r="P40" s="14" t="n"/>
      <c r="Q40" s="14" t="n"/>
    </row>
    <row r="41">
      <c r="A41" s="14" t="n"/>
      <c r="B41" s="14" t="n"/>
      <c r="C41" s="14" t="n"/>
      <c r="D41" s="14" t="n"/>
      <c r="E41" s="14" t="n"/>
      <c r="F41" s="14" t="n"/>
      <c r="G41" s="14" t="n"/>
      <c r="H41" s="14" t="n"/>
      <c r="I41" s="14" t="n"/>
      <c r="J41" s="14" t="n"/>
      <c r="K41" s="14" t="n"/>
      <c r="L41" s="14" t="n"/>
      <c r="M41" s="14" t="n"/>
      <c r="N41" s="14" t="n"/>
      <c r="O41" s="14" t="n"/>
      <c r="P41" s="14" t="n"/>
      <c r="Q41" s="14" t="n"/>
    </row>
    <row r="42">
      <c r="A42" s="14" t="n"/>
      <c r="B42" s="14" t="n"/>
      <c r="C42" s="14" t="n"/>
      <c r="D42" s="14" t="n"/>
      <c r="E42" s="14" t="n"/>
      <c r="F42" s="14" t="n"/>
      <c r="G42" s="14" t="n"/>
      <c r="H42" s="14" t="n"/>
      <c r="I42" s="14" t="n"/>
      <c r="J42" s="14" t="n"/>
      <c r="K42" s="14" t="n"/>
      <c r="L42" s="14" t="n"/>
      <c r="M42" s="14" t="n"/>
      <c r="N42" s="14" t="n"/>
      <c r="O42" s="14" t="n"/>
      <c r="P42" s="14" t="n"/>
      <c r="Q42" s="14" t="n"/>
    </row>
    <row r="43">
      <c r="A43" s="14" t="n"/>
      <c r="B43" s="14" t="n"/>
      <c r="C43" s="14" t="n"/>
      <c r="D43" s="14" t="n"/>
      <c r="E43" s="14" t="n"/>
      <c r="F43" s="14" t="n"/>
      <c r="G43" s="14" t="n"/>
      <c r="H43" s="14" t="n"/>
      <c r="I43" s="14" t="n"/>
      <c r="J43" s="14" t="n"/>
      <c r="K43" s="14" t="n"/>
      <c r="L43" s="14" t="n"/>
      <c r="M43" s="14" t="n"/>
      <c r="N43" s="14" t="n"/>
      <c r="O43" s="14" t="n"/>
      <c r="P43" s="14" t="n"/>
      <c r="Q43" s="14" t="n"/>
    </row>
    <row r="44">
      <c r="A44" s="14" t="n"/>
      <c r="B44" s="14" t="n"/>
      <c r="C44" s="14" t="n"/>
      <c r="D44" s="14" t="n"/>
      <c r="E44" s="14" t="n"/>
      <c r="F44" s="14" t="n"/>
      <c r="G44" s="14" t="n"/>
      <c r="H44" s="14" t="n"/>
      <c r="I44" s="14" t="n"/>
      <c r="J44" s="14" t="n"/>
      <c r="K44" s="14" t="n"/>
      <c r="L44" s="14" t="n"/>
      <c r="M44" s="14" t="n"/>
      <c r="N44" s="14" t="n"/>
      <c r="O44" s="14" t="n"/>
      <c r="P44" s="14" t="n"/>
      <c r="Q44" s="14" t="n"/>
    </row>
    <row r="45">
      <c r="A45" s="14" t="n"/>
      <c r="B45" s="14" t="n"/>
      <c r="C45" s="14" t="n"/>
      <c r="D45" s="14" t="n"/>
      <c r="E45" s="14" t="n"/>
      <c r="F45" s="14" t="n"/>
      <c r="G45" s="14" t="n"/>
      <c r="H45" s="14" t="n"/>
      <c r="I45" s="14" t="n"/>
      <c r="J45" s="14" t="n"/>
      <c r="K45" s="14" t="n"/>
      <c r="L45" s="14" t="n"/>
      <c r="M45" s="14" t="n"/>
      <c r="N45" s="14" t="n"/>
      <c r="O45" s="14" t="n"/>
      <c r="P45" s="14" t="n"/>
      <c r="Q45" s="14" t="n"/>
    </row>
    <row r="46">
      <c r="A46" s="14" t="n"/>
      <c r="B46" s="14" t="n"/>
      <c r="C46" s="14" t="n"/>
      <c r="D46" s="14" t="n"/>
      <c r="E46" s="14" t="n"/>
      <c r="F46" s="14" t="n"/>
      <c r="G46" s="14" t="n"/>
      <c r="H46" s="14" t="n"/>
      <c r="I46" s="14" t="n"/>
      <c r="J46" s="14" t="n"/>
      <c r="K46" s="14" t="n"/>
      <c r="L46" s="14" t="n"/>
      <c r="M46" s="14" t="n"/>
      <c r="N46" s="14" t="n"/>
      <c r="O46" s="14" t="n"/>
      <c r="P46" s="14" t="n"/>
      <c r="Q46" s="14" t="n"/>
    </row>
    <row r="47">
      <c r="A47" s="14" t="n"/>
      <c r="B47" s="14" t="n"/>
      <c r="C47" s="14" t="n"/>
      <c r="D47" s="14" t="n"/>
      <c r="E47" s="14" t="n"/>
      <c r="F47" s="14" t="n"/>
      <c r="G47" s="14" t="n"/>
      <c r="H47" s="14" t="n"/>
      <c r="I47" s="14" t="n"/>
      <c r="J47" s="14" t="n"/>
      <c r="K47" s="14" t="n"/>
      <c r="L47" s="14" t="n"/>
      <c r="M47" s="14" t="n"/>
      <c r="N47" s="14" t="n"/>
      <c r="O47" s="14" t="n"/>
      <c r="P47" s="14" t="n"/>
      <c r="Q47" s="14" t="n"/>
    </row>
    <row r="48">
      <c r="A48" s="14" t="n"/>
      <c r="B48" s="14" t="n"/>
      <c r="C48" s="14" t="n"/>
      <c r="D48" s="14" t="n"/>
      <c r="E48" s="14" t="n"/>
      <c r="F48" s="14" t="n"/>
      <c r="G48" s="14" t="n"/>
      <c r="H48" s="14" t="n"/>
      <c r="I48" s="14" t="n"/>
      <c r="J48" s="14" t="n"/>
      <c r="K48" s="14" t="n"/>
      <c r="L48" s="14" t="n"/>
      <c r="M48" s="14" t="n"/>
      <c r="N48" s="14" t="n"/>
      <c r="O48" s="14" t="n"/>
      <c r="P48" s="14" t="n"/>
      <c r="Q48" s="14" t="n"/>
    </row>
    <row r="49">
      <c r="A49" s="14" t="n"/>
      <c r="B49" s="14" t="n"/>
      <c r="C49" s="14" t="n"/>
      <c r="D49" s="14" t="n"/>
      <c r="E49" s="14" t="n"/>
      <c r="F49" s="14" t="n"/>
      <c r="G49" s="14" t="n"/>
      <c r="H49" s="14" t="n"/>
      <c r="I49" s="14" t="n"/>
      <c r="J49" s="14" t="n"/>
      <c r="K49" s="14" t="n"/>
      <c r="L49" s="14" t="n"/>
      <c r="M49" s="14" t="n"/>
      <c r="N49" s="14" t="n"/>
      <c r="O49" s="14" t="n"/>
      <c r="P49" s="14" t="n"/>
      <c r="Q49" s="14" t="n"/>
    </row>
    <row r="50">
      <c r="A50" s="14" t="n"/>
      <c r="B50" s="14" t="n"/>
      <c r="C50" s="14" t="n"/>
      <c r="D50" s="14" t="n"/>
      <c r="E50" s="14" t="n"/>
      <c r="F50" s="14" t="n"/>
      <c r="G50" s="14" t="n"/>
      <c r="H50" s="14" t="n"/>
      <c r="I50" s="14" t="n"/>
      <c r="J50" s="14" t="n"/>
      <c r="K50" s="14" t="n"/>
      <c r="L50" s="14" t="n"/>
      <c r="M50" s="14" t="n"/>
      <c r="N50" s="14" t="n"/>
      <c r="O50" s="14" t="n"/>
      <c r="P50" s="14" t="n"/>
      <c r="Q50" s="14" t="n"/>
    </row>
    <row r="51">
      <c r="A51" s="14" t="n"/>
      <c r="B51" s="14" t="n"/>
      <c r="C51" s="14" t="n"/>
      <c r="D51" s="14" t="n"/>
      <c r="E51" s="14" t="n"/>
      <c r="F51" s="14" t="n"/>
      <c r="G51" s="14" t="n"/>
      <c r="H51" s="14" t="n"/>
      <c r="I51" s="14" t="n"/>
      <c r="J51" s="14" t="n"/>
      <c r="K51" s="14" t="n"/>
      <c r="L51" s="14" t="n"/>
      <c r="M51" s="14" t="n"/>
      <c r="N51" s="14" t="n"/>
      <c r="O51" s="14" t="n"/>
      <c r="P51" s="14" t="n"/>
      <c r="Q51" s="14" t="n"/>
    </row>
    <row r="52">
      <c r="A52" s="14" t="n"/>
      <c r="B52" s="14" t="n"/>
      <c r="C52" s="14" t="n"/>
      <c r="D52" s="14" t="n"/>
      <c r="E52" s="14" t="n"/>
      <c r="F52" s="14" t="n"/>
      <c r="G52" s="14" t="n"/>
      <c r="H52" s="14" t="n"/>
      <c r="I52" s="14" t="n"/>
      <c r="J52" s="14" t="n"/>
      <c r="K52" s="14" t="n"/>
      <c r="L52" s="14" t="n"/>
      <c r="M52" s="14" t="n"/>
      <c r="N52" s="14" t="n"/>
      <c r="O52" s="14" t="n"/>
      <c r="P52" s="14" t="n"/>
      <c r="Q52" s="14" t="n"/>
    </row>
    <row r="53">
      <c r="A53" s="14" t="n"/>
      <c r="B53" s="14" t="n"/>
      <c r="C53" s="14" t="n"/>
      <c r="D53" s="14" t="n"/>
      <c r="E53" s="14" t="n"/>
      <c r="F53" s="14" t="n"/>
      <c r="G53" s="14" t="n"/>
      <c r="H53" s="14" t="n"/>
      <c r="I53" s="14" t="n"/>
      <c r="J53" s="14" t="n"/>
      <c r="K53" s="14" t="n"/>
      <c r="L53" s="14" t="n"/>
      <c r="M53" s="14" t="n"/>
      <c r="N53" s="14" t="n"/>
      <c r="O53" s="14" t="n"/>
      <c r="P53" s="14" t="n"/>
      <c r="Q53" s="14" t="n"/>
    </row>
    <row r="54">
      <c r="A54" s="14" t="n"/>
      <c r="B54" s="14" t="n"/>
      <c r="C54" s="14" t="n"/>
      <c r="D54" s="14" t="n"/>
      <c r="E54" s="14" t="n"/>
      <c r="F54" s="14" t="n"/>
      <c r="G54" s="14" t="n"/>
      <c r="H54" s="14" t="n"/>
      <c r="I54" s="14" t="n"/>
      <c r="J54" s="14" t="n"/>
      <c r="K54" s="14" t="n"/>
      <c r="L54" s="14" t="n"/>
      <c r="M54" s="14" t="n"/>
      <c r="N54" s="14" t="n"/>
      <c r="O54" s="14" t="n"/>
      <c r="P54" s="14" t="n"/>
      <c r="Q54" s="14" t="n"/>
    </row>
    <row r="55">
      <c r="A55" s="14" t="n"/>
      <c r="B55" s="14" t="n"/>
      <c r="C55" s="14" t="n"/>
      <c r="D55" s="14" t="n"/>
      <c r="E55" s="14" t="n"/>
      <c r="F55" s="14" t="n"/>
      <c r="G55" s="14" t="n"/>
      <c r="H55" s="14" t="n"/>
      <c r="I55" s="14" t="n"/>
      <c r="J55" s="14" t="n"/>
      <c r="K55" s="14" t="n"/>
      <c r="L55" s="14" t="n"/>
      <c r="M55" s="14" t="n"/>
      <c r="N55" s="14" t="n"/>
      <c r="O55" s="14" t="n"/>
      <c r="P55" s="14" t="n"/>
      <c r="Q55" s="14" t="n"/>
    </row>
    <row r="56">
      <c r="A56" s="14" t="n"/>
      <c r="B56" s="14" t="n"/>
      <c r="C56" s="14" t="n"/>
      <c r="D56" s="14" t="n"/>
      <c r="E56" s="14" t="n"/>
      <c r="F56" s="14" t="n"/>
      <c r="G56" s="14" t="n"/>
      <c r="H56" s="14" t="n"/>
      <c r="I56" s="14" t="n"/>
      <c r="J56" s="14" t="n"/>
      <c r="K56" s="14" t="n"/>
      <c r="L56" s="14" t="n"/>
      <c r="M56" s="14" t="n"/>
      <c r="N56" s="14" t="n"/>
      <c r="O56" s="14" t="n"/>
      <c r="P56" s="14" t="n"/>
      <c r="Q56" s="14" t="n"/>
    </row>
    <row r="57">
      <c r="A57" s="14" t="n"/>
      <c r="B57" s="14" t="n"/>
      <c r="C57" s="14" t="n"/>
      <c r="D57" s="14" t="n"/>
      <c r="E57" s="14" t="n"/>
      <c r="F57" s="14" t="n"/>
      <c r="G57" s="14" t="n"/>
      <c r="H57" s="14" t="n"/>
      <c r="I57" s="14" t="n"/>
      <c r="J57" s="14" t="n"/>
      <c r="K57" s="14" t="n"/>
      <c r="L57" s="14" t="n"/>
      <c r="M57" s="14" t="n"/>
      <c r="N57" s="14" t="n"/>
      <c r="O57" s="14" t="n"/>
      <c r="P57" s="14" t="n"/>
      <c r="Q57" s="14" t="n"/>
    </row>
    <row r="59">
      <c r="A59" s="15" t="inlineStr">
        <is>
          <t>SYSTEM INVENTORY CHECKLIST</t>
        </is>
      </c>
    </row>
    <row r="60">
      <c r="A60" s="5" t="inlineStr">
        <is>
          <t>#</t>
        </is>
      </c>
      <c r="B60" s="5" t="inlineStr">
        <is>
          <t>Checklist Item</t>
        </is>
      </c>
      <c r="C60" s="5" t="inlineStr">
        <is>
          <t>Status</t>
        </is>
      </c>
      <c r="D60" s="5" t="inlineStr">
        <is>
          <t>Evidence</t>
        </is>
      </c>
      <c r="E60" s="5" t="inlineStr">
        <is>
          <t>Notes</t>
        </is>
      </c>
    </row>
    <row r="61">
      <c r="A61" t="n">
        <v>1</v>
      </c>
      <c r="B61" s="16" t="inlineStr">
        <is>
          <t>Is a system inventory maintained?</t>
        </is>
      </c>
      <c r="C61" s="14" t="n"/>
      <c r="D61" s="14" t="n"/>
      <c r="E61" s="14" t="n"/>
    </row>
    <row r="62">
      <c r="A62" t="n">
        <v>2</v>
      </c>
      <c r="B62" s="16" t="inlineStr">
        <is>
          <t>Are all production systems documented?</t>
        </is>
      </c>
      <c r="C62" s="14" t="n"/>
      <c r="D62" s="14" t="n"/>
      <c r="E62" s="14" t="n"/>
    </row>
    <row r="63">
      <c r="A63" t="n">
        <v>3</v>
      </c>
      <c r="B63" s="16" t="inlineStr">
        <is>
          <t>Are non-production environments included?</t>
        </is>
      </c>
      <c r="C63" s="14" t="n"/>
      <c r="D63" s="14" t="n"/>
      <c r="E63" s="14" t="n"/>
    </row>
    <row r="64">
      <c r="A64" t="n">
        <v>4</v>
      </c>
      <c r="B64" s="16" t="inlineStr">
        <is>
          <t>Are SaaS/cloud systems included?</t>
        </is>
      </c>
      <c r="C64" s="14" t="n"/>
      <c r="D64" s="14" t="n"/>
      <c r="E64" s="14" t="n"/>
    </row>
    <row r="65">
      <c r="A65" t="n">
        <v>5</v>
      </c>
      <c r="B65" s="16" t="inlineStr">
        <is>
          <t>Are backup/archive systems included?</t>
        </is>
      </c>
      <c r="C65" s="14" t="n"/>
      <c r="D65" s="14" t="n"/>
      <c r="E65" s="14" t="n"/>
    </row>
    <row r="66">
      <c r="A66" t="n">
        <v>6</v>
      </c>
      <c r="B66" s="16" t="inlineStr">
        <is>
          <t>Are data warehouses/analytics systems included?</t>
        </is>
      </c>
      <c r="C66" s="14" t="n"/>
      <c r="D66" s="14" t="n"/>
      <c r="E66" s="14" t="n"/>
    </row>
    <row r="67">
      <c r="A67" t="n">
        <v>7</v>
      </c>
      <c r="B67" s="16" t="inlineStr">
        <is>
          <t>Is system type classified for each entry?</t>
        </is>
      </c>
      <c r="C67" s="14" t="n"/>
      <c r="D67" s="14" t="n"/>
      <c r="E67" s="14" t="n"/>
    </row>
    <row r="68">
      <c r="A68" t="n">
        <v>8</v>
      </c>
      <c r="B68" s="16" t="inlineStr">
        <is>
          <t>Is hosting location documented?</t>
        </is>
      </c>
      <c r="C68" s="14" t="n"/>
      <c r="D68" s="14" t="n"/>
      <c r="E68" s="14" t="n"/>
    </row>
    <row r="69">
      <c r="A69" t="n">
        <v>9</v>
      </c>
      <c r="B69" s="16" t="inlineStr">
        <is>
          <t>Are system owners assigned?</t>
        </is>
      </c>
      <c r="C69" s="14" t="n"/>
      <c r="D69" s="14" t="n"/>
      <c r="E69" s="14" t="n"/>
    </row>
    <row r="70">
      <c r="A70" t="n">
        <v>10</v>
      </c>
      <c r="B70" s="16" t="inlineStr">
        <is>
          <t>Are data owners assigned?</t>
        </is>
      </c>
      <c r="C70" s="14" t="n"/>
      <c r="D70" s="14" t="n"/>
      <c r="E70" s="14" t="n"/>
    </row>
    <row r="71">
      <c r="A71" t="n">
        <v>11</v>
      </c>
      <c r="B71" s="16" t="inlineStr">
        <is>
          <t>Is inventory reviewed quarterly?</t>
        </is>
      </c>
      <c r="C71" s="14" t="n"/>
      <c r="D71" s="14" t="n"/>
      <c r="E71" s="14" t="n"/>
    </row>
    <row r="72">
      <c r="A72" t="n">
        <v>12</v>
      </c>
      <c r="B72" s="16" t="inlineStr">
        <is>
          <t>Are decommissioned systems tracked?</t>
        </is>
      </c>
      <c r="C72" s="14" t="n"/>
      <c r="D72" s="14" t="n"/>
      <c r="E72" s="14" t="n"/>
    </row>
    <row r="73">
      <c r="A73" t="n">
        <v>13</v>
      </c>
      <c r="B73" s="16" t="inlineStr">
        <is>
          <t>Is record count estimated per system?</t>
        </is>
      </c>
      <c r="C73" s="14" t="n"/>
      <c r="D73" s="14" t="n"/>
      <c r="E73" s="14" t="n"/>
    </row>
    <row r="74">
      <c r="A74" t="n">
        <v>14</v>
      </c>
      <c r="B74" s="16" t="inlineStr">
        <is>
          <t>Is retention period documented?</t>
        </is>
      </c>
      <c r="C74" s="14" t="n"/>
      <c r="D74" s="14" t="n"/>
      <c r="E74" s="14" t="n"/>
    </row>
    <row r="75">
      <c r="A75" t="n">
        <v>15</v>
      </c>
      <c r="B75" s="16" t="inlineStr">
        <is>
          <t>Are regulatory requirements mapped?</t>
        </is>
      </c>
      <c r="C75" s="14" t="n"/>
      <c r="D75" s="14" t="n"/>
      <c r="E75" s="14" t="n"/>
    </row>
    <row r="76">
      <c r="A76" s="15" t="inlineStr">
        <is>
          <t>SYSTEM TYPE DEFINITIONS</t>
        </is>
      </c>
    </row>
    <row r="77">
      <c r="A77" s="5" t="inlineStr">
        <is>
          <t>System Type</t>
        </is>
      </c>
      <c r="B77" s="5" t="inlineStr">
        <is>
          <t>Description</t>
        </is>
      </c>
      <c r="C77" s="5" t="inlineStr">
        <is>
          <t>Examples</t>
        </is>
      </c>
    </row>
    <row r="78">
      <c r="A78" t="inlineStr">
        <is>
          <t>Database</t>
        </is>
      </c>
      <c r="B78" t="inlineStr">
        <is>
          <t>Relational or NoSQL databases</t>
        </is>
      </c>
      <c r="C78" t="inlineStr">
        <is>
          <t>Oracle, PostgreSQL, MongoDB, SQL Server</t>
        </is>
      </c>
    </row>
    <row r="79">
      <c r="A79" t="inlineStr">
        <is>
          <t>Application</t>
        </is>
      </c>
      <c r="B79" t="inlineStr">
        <is>
          <t>Business applications</t>
        </is>
      </c>
      <c r="C79" t="inlineStr">
        <is>
          <t>CRM, ERP, HR systems, custom apps</t>
        </is>
      </c>
    </row>
    <row r="80">
      <c r="A80" t="inlineStr">
        <is>
          <t>SaaS</t>
        </is>
      </c>
      <c r="B80" t="inlineStr">
        <is>
          <t>Cloud-based software services</t>
        </is>
      </c>
      <c r="C80" t="inlineStr">
        <is>
          <t>Salesforce, Workday, ServiceNow</t>
        </is>
      </c>
    </row>
    <row r="81">
      <c r="A81" t="inlineStr">
        <is>
          <t>File Share</t>
        </is>
      </c>
      <c r="B81" t="inlineStr">
        <is>
          <t>File storage systems</t>
        </is>
      </c>
      <c r="C81" t="inlineStr">
        <is>
          <t>SharePoint, NAS, file servers</t>
        </is>
      </c>
    </row>
    <row r="82">
      <c r="A82" t="inlineStr">
        <is>
          <t>API</t>
        </is>
      </c>
      <c r="B82" t="inlineStr">
        <is>
          <t>API gateways and services</t>
        </is>
      </c>
      <c r="C82" t="inlineStr">
        <is>
          <t>REST APIs, integration platforms</t>
        </is>
      </c>
    </row>
    <row r="83">
      <c r="A83" t="inlineStr">
        <is>
          <t>Data Warehouse</t>
        </is>
      </c>
      <c r="B83" t="inlineStr">
        <is>
          <t>Analytics and BI systems</t>
        </is>
      </c>
      <c r="C83" t="inlineStr">
        <is>
          <t>Snowflake, Redshift, BigQuery</t>
        </is>
      </c>
    </row>
    <row r="84">
      <c r="A84" t="inlineStr">
        <is>
          <t>Backup System</t>
        </is>
      </c>
      <c r="B84" t="inlineStr">
        <is>
          <t>Backup and recovery systems</t>
        </is>
      </c>
      <c r="C84" t="inlineStr">
        <is>
          <t>Veeam, backup appliances</t>
        </is>
      </c>
    </row>
    <row r="85">
      <c r="A85" t="inlineStr">
        <is>
          <t>Archive</t>
        </is>
      </c>
      <c r="B85" t="inlineStr">
        <is>
          <t>Long-term storage</t>
        </is>
      </c>
      <c r="C85" t="inlineStr">
        <is>
          <t>Tape systems, cold storage</t>
        </is>
      </c>
    </row>
    <row r="86">
      <c r="A86" t="inlineStr">
        <is>
          <t>Other</t>
        </is>
      </c>
      <c r="B86" t="inlineStr">
        <is>
          <t>Other system types</t>
        </is>
      </c>
      <c r="C86" t="inlineStr">
        <is>
          <t>(Document in notes)</t>
        </is>
      </c>
    </row>
  </sheetData>
  <mergeCells count="5">
    <mergeCell ref="A76:C76"/>
    <mergeCell ref="A59:E59"/>
    <mergeCell ref="A3:Q3"/>
    <mergeCell ref="A2:Q2"/>
    <mergeCell ref="A1:Q1"/>
  </mergeCells>
  <dataValidations count="6">
    <dataValidation sqref="E7 E8 E9 E10 E11 E12 E13 E14 E15 E16 E17 E18 E19 E20 E21 E22 E23 E24 E25 E26 E27 E28 E29 E30 E31 E32 E33 E34 E35 E36 E37 E38 E39 E40 E41 E42 E43 E44 E45 E46 E47 E48 E49 E50 E51 E52 E53 E54 E55 E56 E57" showDropDown="0" showInputMessage="0" showErrorMessage="0" allowBlank="0" type="list">
      <formula1>"Yes,No,Unknown"</formula1>
    </dataValidation>
    <dataValidation sqref="B4" showDropDown="0" showInputMessage="0" showErrorMessage="0" allowBlank="0" type="list">
      <formula1>"Yes,No,Partial,Planned,N/A"</formula1>
    </dataValidation>
    <dataValidation sqref="C61 C62 C63 C64 C65 C66 C67 C68 C69 C70 C71 C72 C73 C74 C75 J7 J8 J9 J10 J11 J12 J13 J14 J15 J16 J17 J18 J19 J20 J21 J22 J23 J24 J25 J26 J27 J28 J29 J30 J31 J32 J33 J34 J35 J36 J37 J38 J39 J40 J41 J42 J43 J44 J45 J46 J47 J48 J49 J50 J51 J52 J53 J54 J55 J56 J57" showDropDown="0" showInputMessage="0" showErrorMessage="0" allowBlank="0" type="list">
      <formula1>"✅ Complete,⚠️ Partial,❌ Missing,ὌB Planned,N/A"</formula1>
    </dataValidation>
    <dataValidation sqref="C7 C8 C9 C10 C11 C12 C13 C14 C15 C16 C17 C18 C19 C20 C21 C22 C23 C24 C25 C26 C27 C28 C29 C30 C31 C32 C33 C34 C35 C36 C37 C38 C39 C40 C41 C42 C43 C44 C45 C46 C47 C48 C49 C50 C51 C52 C53 C54 C55 C56 C57" showDropDown="0" showInputMessage="0" showErrorMessage="0" allowBlank="0" type="list">
      <formula1>"Database,Application,SaaS,File Share,API,Data Warehouse,Backup System,Archive,Other"</formula1>
    </dataValidation>
    <dataValidation sqref="D7 D8 D9 D10 D11 D12 D13 D14 D15 D16 D17 D18 D19 D20 D21 D22 D23 D24 D25 D26 D27 D28 D29 D30 D31 D32 D33 D34 D35 D36 D37 D38 D39 D40 D41 D42 D43 D44 D45 D46 D47 D48 D49 D50 D51 D52 D53 D54 D55 D56 D57" showDropDown="0" showInputMessage="0" showErrorMessage="0" allowBlank="0" type="list">
      <formula1>"Production,Development,Test/QA,UAT,Training,Analytics,DR/Backup,Decommissioned"</formula1>
    </dataValidation>
    <dataValidation sqref="G7 G8 G9 G10 G11 G12 G13 G14 G15 G16 G17 G18 G19 G20 G21 G22 G23 G24 G25 G26 G27 G28 G29 G30 G31 G32 G33 G34 G35 G36 G37 G38 G39 G40 G41 G42 G43 G44 G45 G46 G47 G48 G49 G50 G51 G52 G53 G54 G55 G56 G57" showDropDown="0" showInputMessage="0" showErrorMessage="0" allowBlank="0" type="list">
      <formula1>"On-Premises,AWS,Azure,GCP,Multi-Cloud,Hybrid,Third-Party Hosted,Unknown"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4"/>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40" customWidth="1" min="3" max="3"/>
    <col width="50" customWidth="1" min="4" max="4"/>
    <col width="15" customWidth="1" min="5" max="5"/>
    <col width="18" customWidth="1" min="6" max="6"/>
    <col width="25" customWidth="1" min="7" max="7"/>
  </cols>
  <sheetData>
    <row r="1" ht="35" customHeight="1">
      <c r="A1" s="1" t="inlineStr">
        <is>
          <t>SENSITIVE DATA CATEGORY REFERENCE</t>
        </is>
      </c>
    </row>
    <row r="2">
      <c r="A2" s="11" t="inlineStr">
        <is>
          <t>Reference taxonomy from ISMS-POL-A.8.11-S2.1</t>
        </is>
      </c>
    </row>
    <row r="4">
      <c r="A4" s="5" t="inlineStr">
        <is>
          <t>Category ID</t>
        </is>
      </c>
      <c r="B4" s="5" t="inlineStr">
        <is>
          <t>Category Name</t>
        </is>
      </c>
      <c r="C4" s="5" t="inlineStr">
        <is>
          <t>Description</t>
        </is>
      </c>
      <c r="D4" s="5" t="inlineStr">
        <is>
          <t>Examples</t>
        </is>
      </c>
      <c r="E4" s="5" t="inlineStr">
        <is>
          <t>Sensitivity Level</t>
        </is>
      </c>
      <c r="F4" s="5" t="inlineStr">
        <is>
          <t>Masking Priority</t>
        </is>
      </c>
      <c r="G4" s="5" t="inlineStr">
        <is>
          <t>Regulatory Driver</t>
        </is>
      </c>
    </row>
    <row r="5">
      <c r="A5" s="16" t="inlineStr">
        <is>
          <t>CAT-PII-D</t>
        </is>
      </c>
      <c r="B5" s="16" t="inlineStr">
        <is>
          <t>Direct PII</t>
        </is>
      </c>
      <c r="C5" s="16" t="inlineStr">
        <is>
          <t>Data that directly identifies an individual</t>
        </is>
      </c>
      <c r="D5" s="16" t="inlineStr">
        <is>
          <t>Full Name, SSN/AHV, Passport, Driver's License, Email, Phone, Address, Photo</t>
        </is>
      </c>
      <c r="E5" s="16" t="inlineStr">
        <is>
          <t>High/Critical</t>
        </is>
      </c>
      <c r="F5" s="16" t="inlineStr">
        <is>
          <t>Required</t>
        </is>
      </c>
      <c r="G5" s="16" t="inlineStr">
        <is>
          <t>FADP, GDPR</t>
        </is>
      </c>
    </row>
    <row r="6">
      <c r="A6" s="16" t="inlineStr">
        <is>
          <t>CAT-PII-I</t>
        </is>
      </c>
      <c r="B6" s="16" t="inlineStr">
        <is>
          <t>Indirect PII</t>
        </is>
      </c>
      <c r="C6" s="16" t="inlineStr">
        <is>
          <t>Data that can identify when combined</t>
        </is>
      </c>
      <c r="D6" s="16" t="inlineStr">
        <is>
          <t>DOB+ZIP, Job Title+Department, Employee ID</t>
        </is>
      </c>
      <c r="E6" s="16" t="inlineStr">
        <is>
          <t>Medium/High</t>
        </is>
      </c>
      <c r="F6" s="16" t="inlineStr">
        <is>
          <t>Required when combined</t>
        </is>
      </c>
      <c r="G6" s="16" t="inlineStr">
        <is>
          <t>FADP, GDPR</t>
        </is>
      </c>
    </row>
    <row r="7">
      <c r="A7" s="16" t="inlineStr">
        <is>
          <t>CAT-FIN</t>
        </is>
      </c>
      <c r="B7" s="16" t="inlineStr">
        <is>
          <t>Financial Data</t>
        </is>
      </c>
      <c r="C7" s="16" t="inlineStr">
        <is>
          <t>Payment and financial account data</t>
        </is>
      </c>
      <c r="D7" s="16" t="inlineStr">
        <is>
          <t>PAN (Credit Card), CVV, IBAN, Account Balance, Salary, Tax ID</t>
        </is>
      </c>
      <c r="E7" s="16" t="inlineStr">
        <is>
          <t>Critical</t>
        </is>
      </c>
      <c r="F7" s="16" t="inlineStr">
        <is>
          <t>Required</t>
        </is>
      </c>
      <c r="G7" s="16" t="inlineStr">
        <is>
          <t>PCI-DSS, FADP, GDPR</t>
        </is>
      </c>
    </row>
    <row r="8">
      <c r="A8" s="16" t="inlineStr">
        <is>
          <t>CAT-HLT</t>
        </is>
      </c>
      <c r="B8" s="16" t="inlineStr">
        <is>
          <t>Health Data</t>
        </is>
      </c>
      <c r="C8" s="16" t="inlineStr">
        <is>
          <t>Medical and health information</t>
        </is>
      </c>
      <c r="D8" s="16" t="inlineStr">
        <is>
          <t>Medical Record Number, Diagnoses, Medications, Lab Results, Insurance ID, Mental Health Records</t>
        </is>
      </c>
      <c r="E8" s="16" t="inlineStr">
        <is>
          <t>Critical</t>
        </is>
      </c>
      <c r="F8" s="16" t="inlineStr">
        <is>
          <t>Required</t>
        </is>
      </c>
      <c r="G8" s="16" t="inlineStr">
        <is>
          <t>FADP, GDPR Article 9</t>
        </is>
      </c>
    </row>
    <row r="9">
      <c r="A9" s="16" t="inlineStr">
        <is>
          <t>CAT-CRD</t>
        </is>
      </c>
      <c r="B9" s="16" t="inlineStr">
        <is>
          <t>Credentials</t>
        </is>
      </c>
      <c r="C9" s="16" t="inlineStr">
        <is>
          <t>Authentication and access data</t>
        </is>
      </c>
      <c r="D9" s="16" t="inlineStr">
        <is>
          <t>Passwords, Password Hashes, API Keys, OAuth Tokens, Private Keys, DB Connection Strings</t>
        </is>
      </c>
      <c r="E9" s="16" t="inlineStr">
        <is>
          <t>Critical</t>
        </is>
      </c>
      <c r="F9" s="16" t="inlineStr">
        <is>
          <t>Required (Never display)</t>
        </is>
      </c>
      <c r="G9" s="16" t="inlineStr">
        <is>
          <t>Best Practice</t>
        </is>
      </c>
    </row>
    <row r="10">
      <c r="A10" s="16" t="inlineStr">
        <is>
          <t>CAT-PRP</t>
        </is>
      </c>
      <c r="B10" s="16" t="inlineStr">
        <is>
          <t>Proprietary</t>
        </is>
      </c>
      <c r="C10" s="16" t="inlineStr">
        <is>
          <t>Business-sensitive information</t>
        </is>
      </c>
      <c r="D10" s="16" t="inlineStr">
        <is>
          <t>Trade Secrets, Pricing Models, Strategic Plans, Source Code</t>
        </is>
      </c>
      <c r="E10" s="16" t="inlineStr">
        <is>
          <t>High</t>
        </is>
      </c>
      <c r="F10" s="16" t="inlineStr">
        <is>
          <t>Recommended</t>
        </is>
      </c>
      <c r="G10" s="16" t="inlineStr">
        <is>
          <t>Business Confidentiality</t>
        </is>
      </c>
    </row>
    <row r="11">
      <c r="A11" s="16" t="inlineStr">
        <is>
          <t>CAT-LOC</t>
        </is>
      </c>
      <c r="B11" s="16" t="inlineStr">
        <is>
          <t>Location Data</t>
        </is>
      </c>
      <c r="C11" s="16" t="inlineStr">
        <is>
          <t>Geographic and tracking data</t>
        </is>
      </c>
      <c r="D11" s="16" t="inlineStr">
        <is>
          <t>GPS Coordinates, IP Addresses, Travel History</t>
        </is>
      </c>
      <c r="E11" s="16" t="inlineStr">
        <is>
          <t>Medium/High</t>
        </is>
      </c>
      <c r="F11" s="16" t="inlineStr">
        <is>
          <t>Recommended</t>
        </is>
      </c>
      <c r="G11" s="16" t="inlineStr">
        <is>
          <t>GDPR (personal location)</t>
        </is>
      </c>
    </row>
    <row r="12">
      <c r="A12" s="16" t="inlineStr">
        <is>
          <t>CAT-BIO</t>
        </is>
      </c>
      <c r="B12" s="16" t="inlineStr">
        <is>
          <t>Biometric Data</t>
        </is>
      </c>
      <c r="C12" s="16" t="inlineStr">
        <is>
          <t>Physical/behavioural identifiers</t>
        </is>
      </c>
      <c r="D12" s="16" t="inlineStr">
        <is>
          <t>Fingerprints, Facial Geometry, Voice Prints, Retina Scans</t>
        </is>
      </c>
      <c r="E12" s="16" t="inlineStr">
        <is>
          <t>Critical</t>
        </is>
      </c>
      <c r="F12" s="16" t="inlineStr">
        <is>
          <t>Required</t>
        </is>
      </c>
      <c r="G12" s="16" t="inlineStr">
        <is>
          <t>GDPR Article 9</t>
        </is>
      </c>
    </row>
    <row r="13">
      <c r="A13" s="16" t="inlineStr">
        <is>
          <t>CAT-GEN</t>
        </is>
      </c>
      <c r="B13" s="16" t="inlineStr">
        <is>
          <t>Genetic Data</t>
        </is>
      </c>
      <c r="C13" s="16" t="inlineStr">
        <is>
          <t>DNA and genetic information</t>
        </is>
      </c>
      <c r="D13" s="16" t="inlineStr">
        <is>
          <t>DNA Sequences, Genetic Test Results, Hereditary Information</t>
        </is>
      </c>
      <c r="E13" s="16" t="inlineStr">
        <is>
          <t>Critical</t>
        </is>
      </c>
      <c r="F13" s="16" t="inlineStr">
        <is>
          <t>Required</t>
        </is>
      </c>
      <c r="G13" s="16" t="inlineStr">
        <is>
          <t>GDPR Article 9</t>
        </is>
      </c>
    </row>
    <row r="14">
      <c r="A14" s="16" t="inlineStr">
        <is>
          <t>CAT-CHD</t>
        </is>
      </c>
      <c r="B14" s="16" t="inlineStr">
        <is>
          <t>Child Data</t>
        </is>
      </c>
      <c r="C14" s="16" t="inlineStr">
        <is>
          <t>Data relating to minors</t>
        </is>
      </c>
      <c r="D14" s="16" t="inlineStr">
        <is>
          <t>Any PII of persons under 16 (GDPR) / 18 (local)</t>
        </is>
      </c>
      <c r="E14" s="16" t="inlineStr">
        <is>
          <t>Critical</t>
        </is>
      </c>
      <c r="F14" s="16" t="inlineStr">
        <is>
          <t>Required</t>
        </is>
      </c>
      <c r="G14" s="16" t="inlineStr">
        <is>
          <t>GDPR Article 8, COPPA</t>
        </is>
      </c>
    </row>
  </sheetData>
  <mergeCells count="2">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78"/>
  <sheetViews>
    <sheetView showGridLines="0" workbookViewId="0">
      <pane ySplit="6" topLeftCell="A7" activePane="bottomLeft" state="frozen"/>
      <selection pane="bottomLeft" activeCell="A1" sqref="A1"/>
    </sheetView>
  </sheetViews>
  <sheetFormatPr baseColWidth="8" defaultRowHeight="15"/>
  <cols>
    <col width="15" customWidth="1" min="1" max="1"/>
    <col width="45" customWidth="1" min="2" max="2"/>
    <col width="18" customWidth="1" min="3" max="3"/>
    <col width="25" customWidth="1" min="4" max="4"/>
    <col width="30" customWidth="1" min="5" max="5"/>
    <col width="15" customWidth="1" min="6" max="6"/>
    <col width="15" customWidth="1" min="7" max="7"/>
    <col width="20" customWidth="1" min="8" max="8"/>
    <col width="15" customWidth="1" min="9" max="9"/>
    <col width="12" customWidth="1" min="10" max="10"/>
    <col width="20" customWidth="1" min="11" max="11"/>
    <col width="15" customWidth="1" min="12" max="12"/>
    <col width="18" customWidth="1" min="13" max="13"/>
    <col width="15" customWidth="1" min="14" max="14"/>
    <col width="20" customWidth="1" min="15" max="15"/>
    <col width="18" customWidth="1" min="16" max="16"/>
    <col width="15" customWidth="1" min="17" max="17"/>
    <col width="30" customWidth="1" min="18" max="18"/>
  </cols>
  <sheetData>
    <row r="1" ht="35" customHeight="1">
      <c r="A1" s="1" t="inlineStr">
        <is>
          <t>SENSITIVE DATA ELEMENT INVENTORY</t>
        </is>
      </c>
    </row>
    <row r="2">
      <c r="A2" s="11" t="inlineStr">
        <is>
          <t>Document sensitive data at the table/field level (51 row template: 1 sample + 50 empty)</t>
        </is>
      </c>
    </row>
    <row r="3">
      <c r="A3" s="12" t="inlineStr">
        <is>
          <t>Has your organisation identified all sensitive data fields across systems?</t>
        </is>
      </c>
    </row>
    <row r="4">
      <c r="A4" s="13" t="inlineStr">
        <is>
          <t>Response:</t>
        </is>
      </c>
      <c r="B4" s="14" t="inlineStr"/>
    </row>
    <row r="6">
      <c r="A6" s="5" t="inlineStr">
        <is>
          <t>Data Element ID</t>
        </is>
      </c>
      <c r="B6" s="5" t="inlineStr">
        <is>
          <t>System Name</t>
        </is>
      </c>
      <c r="C6" s="5" t="inlineStr">
        <is>
          <t>Database/Schema</t>
        </is>
      </c>
      <c r="D6" s="5" t="inlineStr">
        <is>
          <t>Table/Collection Name</t>
        </is>
      </c>
      <c r="E6" s="5" t="inlineStr">
        <is>
          <t>Field/Column Name</t>
        </is>
      </c>
      <c r="F6" s="5" t="inlineStr">
        <is>
          <t>Data Type</t>
        </is>
      </c>
      <c r="G6" s="5" t="inlineStr">
        <is>
          <t>Data Category</t>
        </is>
      </c>
      <c r="H6" s="5" t="inlineStr">
        <is>
          <t>Specific PII Type</t>
        </is>
      </c>
      <c r="I6" s="5" t="inlineStr">
        <is>
          <t>Sensitivity Level</t>
        </is>
      </c>
      <c r="J6" s="5" t="inlineStr">
        <is>
          <t>Contains PII?</t>
        </is>
      </c>
      <c r="K6" s="5" t="inlineStr">
        <is>
          <t>Regulatory Scope</t>
        </is>
      </c>
      <c r="L6" s="5" t="inlineStr">
        <is>
          <t>Masking Required?</t>
        </is>
      </c>
      <c r="M6" s="5" t="inlineStr">
        <is>
          <t>Current Masking Status</t>
        </is>
      </c>
      <c r="N6" s="5" t="inlineStr">
        <is>
          <t>Record Count (Approx)</t>
        </is>
      </c>
      <c r="O6" s="5" t="inlineStr">
        <is>
          <t>Data Owner</t>
        </is>
      </c>
      <c r="P6" s="5" t="inlineStr">
        <is>
          <t>Discovery Method</t>
        </is>
      </c>
      <c r="Q6" s="5" t="inlineStr">
        <is>
          <t>Discovery Date</t>
        </is>
      </c>
      <c r="R6" s="5" t="inlineStr">
        <is>
          <t>Notes/Comments</t>
        </is>
      </c>
    </row>
    <row r="7">
      <c r="A7" s="14" t="inlineStr">
        <is>
          <t>DE-001</t>
        </is>
      </c>
      <c r="B7" s="14" t="inlineStr">
        <is>
          <t>Customer CRM System</t>
        </is>
      </c>
      <c r="C7" s="14" t="inlineStr">
        <is>
          <t>CRM_PROD</t>
        </is>
      </c>
      <c r="D7" s="14" t="inlineStr">
        <is>
          <t>Customers</t>
        </is>
      </c>
      <c r="E7" s="14" t="inlineStr">
        <is>
          <t>email_address</t>
        </is>
      </c>
      <c r="F7" s="14" t="inlineStr">
        <is>
          <t>String</t>
        </is>
      </c>
      <c r="G7" s="14" t="inlineStr">
        <is>
          <t>CAT-PII-D</t>
        </is>
      </c>
      <c r="H7" s="14" t="inlineStr">
        <is>
          <t>Email</t>
        </is>
      </c>
      <c r="I7" s="14" t="inlineStr">
        <is>
          <t>High</t>
        </is>
      </c>
      <c r="J7" s="14" t="inlineStr">
        <is>
          <t>Yes</t>
        </is>
      </c>
      <c r="K7" s="14" t="inlineStr">
        <is>
          <t>GDPR, FADP</t>
        </is>
      </c>
      <c r="L7" s="14" t="inlineStr">
        <is>
          <t>Yes</t>
        </is>
      </c>
      <c r="M7" s="14" t="inlineStr">
        <is>
          <t>Not Masked</t>
        </is>
      </c>
      <c r="N7" s="14" t="inlineStr">
        <is>
          <t>500000</t>
        </is>
      </c>
      <c r="O7" s="14" t="inlineStr">
        <is>
          <t>VP Sales</t>
        </is>
      </c>
      <c r="P7" s="14" t="inlineStr">
        <is>
          <t>Schema Review</t>
        </is>
      </c>
      <c r="Q7" s="14" t="inlineStr">
        <is>
          <t>2024-11-15</t>
        </is>
      </c>
      <c r="R7" s="14" t="inlineStr">
        <is>
          <t>Primary customer contact email</t>
        </is>
      </c>
    </row>
    <row r="8">
      <c r="A8" s="14" t="n"/>
      <c r="B8" s="14" t="n"/>
      <c r="C8" s="14" t="n"/>
      <c r="D8" s="14" t="n"/>
      <c r="E8" s="14" t="n"/>
      <c r="F8" s="14" t="n"/>
      <c r="G8" s="14" t="n"/>
      <c r="H8" s="14" t="n"/>
      <c r="I8" s="14" t="n"/>
      <c r="J8" s="14" t="n"/>
      <c r="K8" s="14" t="n"/>
      <c r="L8" s="14" t="n"/>
      <c r="M8" s="14" t="n"/>
      <c r="N8" s="14" t="n"/>
      <c r="O8" s="14" t="n"/>
      <c r="P8" s="14" t="n"/>
      <c r="Q8" s="14" t="n"/>
      <c r="R8" s="14" t="n"/>
    </row>
    <row r="9">
      <c r="A9" s="14" t="n"/>
      <c r="B9" s="14" t="n"/>
      <c r="C9" s="14" t="n"/>
      <c r="D9" s="14" t="n"/>
      <c r="E9" s="14" t="n"/>
      <c r="F9" s="14" t="n"/>
      <c r="G9" s="14" t="n"/>
      <c r="H9" s="14" t="n"/>
      <c r="I9" s="14" t="n"/>
      <c r="J9" s="14" t="n"/>
      <c r="K9" s="14" t="n"/>
      <c r="L9" s="14" t="n"/>
      <c r="M9" s="14" t="n"/>
      <c r="N9" s="14" t="n"/>
      <c r="O9" s="14" t="n"/>
      <c r="P9" s="14" t="n"/>
      <c r="Q9" s="14" t="n"/>
      <c r="R9" s="14" t="n"/>
    </row>
    <row r="10">
      <c r="A10" s="14" t="n"/>
      <c r="B10" s="14" t="n"/>
      <c r="C10" s="14" t="n"/>
      <c r="D10" s="14" t="n"/>
      <c r="E10" s="14" t="n"/>
      <c r="F10" s="14" t="n"/>
      <c r="G10" s="14" t="n"/>
      <c r="H10" s="14" t="n"/>
      <c r="I10" s="14" t="n"/>
      <c r="J10" s="14" t="n"/>
      <c r="K10" s="14" t="n"/>
      <c r="L10" s="14" t="n"/>
      <c r="M10" s="14" t="n"/>
      <c r="N10" s="14" t="n"/>
      <c r="O10" s="14" t="n"/>
      <c r="P10" s="14" t="n"/>
      <c r="Q10" s="14" t="n"/>
      <c r="R10" s="14" t="n"/>
    </row>
    <row r="11">
      <c r="A11" s="14" t="n"/>
      <c r="B11" s="14" t="n"/>
      <c r="C11" s="14" t="n"/>
      <c r="D11" s="14" t="n"/>
      <c r="E11" s="14" t="n"/>
      <c r="F11" s="14" t="n"/>
      <c r="G11" s="14" t="n"/>
      <c r="H11" s="14" t="n"/>
      <c r="I11" s="14" t="n"/>
      <c r="J11" s="14" t="n"/>
      <c r="K11" s="14" t="n"/>
      <c r="L11" s="14" t="n"/>
      <c r="M11" s="14" t="n"/>
      <c r="N11" s="14" t="n"/>
      <c r="O11" s="14" t="n"/>
      <c r="P11" s="14" t="n"/>
      <c r="Q11" s="14" t="n"/>
      <c r="R11" s="14" t="n"/>
    </row>
    <row r="12">
      <c r="A12" s="14" t="n"/>
      <c r="B12" s="14" t="n"/>
      <c r="C12" s="14" t="n"/>
      <c r="D12" s="14" t="n"/>
      <c r="E12" s="14" t="n"/>
      <c r="F12" s="14" t="n"/>
      <c r="G12" s="14" t="n"/>
      <c r="H12" s="14" t="n"/>
      <c r="I12" s="14" t="n"/>
      <c r="J12" s="14" t="n"/>
      <c r="K12" s="14" t="n"/>
      <c r="L12" s="14" t="n"/>
      <c r="M12" s="14" t="n"/>
      <c r="N12" s="14" t="n"/>
      <c r="O12" s="14" t="n"/>
      <c r="P12" s="14" t="n"/>
      <c r="Q12" s="14" t="n"/>
      <c r="R12" s="14" t="n"/>
    </row>
    <row r="13">
      <c r="A13" s="14" t="n"/>
      <c r="B13" s="14" t="n"/>
      <c r="C13" s="14" t="n"/>
      <c r="D13" s="14" t="n"/>
      <c r="E13" s="14" t="n"/>
      <c r="F13" s="14" t="n"/>
      <c r="G13" s="14" t="n"/>
      <c r="H13" s="14" t="n"/>
      <c r="I13" s="14" t="n"/>
      <c r="J13" s="14" t="n"/>
      <c r="K13" s="14" t="n"/>
      <c r="L13" s="14" t="n"/>
      <c r="M13" s="14" t="n"/>
      <c r="N13" s="14" t="n"/>
      <c r="O13" s="14" t="n"/>
      <c r="P13" s="14" t="n"/>
      <c r="Q13" s="14" t="n"/>
      <c r="R13" s="14" t="n"/>
    </row>
    <row r="14">
      <c r="A14" s="14" t="n"/>
      <c r="B14" s="14" t="n"/>
      <c r="C14" s="14" t="n"/>
      <c r="D14" s="14" t="n"/>
      <c r="E14" s="14" t="n"/>
      <c r="F14" s="14" t="n"/>
      <c r="G14" s="14" t="n"/>
      <c r="H14" s="14" t="n"/>
      <c r="I14" s="14" t="n"/>
      <c r="J14" s="14" t="n"/>
      <c r="K14" s="14" t="n"/>
      <c r="L14" s="14" t="n"/>
      <c r="M14" s="14" t="n"/>
      <c r="N14" s="14" t="n"/>
      <c r="O14" s="14" t="n"/>
      <c r="P14" s="14" t="n"/>
      <c r="Q14" s="14" t="n"/>
      <c r="R14" s="14" t="n"/>
    </row>
    <row r="15">
      <c r="A15" s="14" t="n"/>
      <c r="B15" s="14" t="n"/>
      <c r="C15" s="14" t="n"/>
      <c r="D15" s="14" t="n"/>
      <c r="E15" s="14" t="n"/>
      <c r="F15" s="14" t="n"/>
      <c r="G15" s="14" t="n"/>
      <c r="H15" s="14" t="n"/>
      <c r="I15" s="14" t="n"/>
      <c r="J15" s="14" t="n"/>
      <c r="K15" s="14" t="n"/>
      <c r="L15" s="14" t="n"/>
      <c r="M15" s="14" t="n"/>
      <c r="N15" s="14" t="n"/>
      <c r="O15" s="14" t="n"/>
      <c r="P15" s="14" t="n"/>
      <c r="Q15" s="14" t="n"/>
      <c r="R15" s="14" t="n"/>
    </row>
    <row r="16">
      <c r="A16" s="14" t="n"/>
      <c r="B16" s="14" t="n"/>
      <c r="C16" s="14" t="n"/>
      <c r="D16" s="14" t="n"/>
      <c r="E16" s="14" t="n"/>
      <c r="F16" s="14" t="n"/>
      <c r="G16" s="14" t="n"/>
      <c r="H16" s="14" t="n"/>
      <c r="I16" s="14" t="n"/>
      <c r="J16" s="14" t="n"/>
      <c r="K16" s="14" t="n"/>
      <c r="L16" s="14" t="n"/>
      <c r="M16" s="14" t="n"/>
      <c r="N16" s="14" t="n"/>
      <c r="O16" s="14" t="n"/>
      <c r="P16" s="14" t="n"/>
      <c r="Q16" s="14" t="n"/>
      <c r="R16" s="14" t="n"/>
    </row>
    <row r="17">
      <c r="A17" s="14" t="n"/>
      <c r="B17" s="14" t="n"/>
      <c r="C17" s="14" t="n"/>
      <c r="D17" s="14" t="n"/>
      <c r="E17" s="14" t="n"/>
      <c r="F17" s="14" t="n"/>
      <c r="G17" s="14" t="n"/>
      <c r="H17" s="14" t="n"/>
      <c r="I17" s="14" t="n"/>
      <c r="J17" s="14" t="n"/>
      <c r="K17" s="14" t="n"/>
      <c r="L17" s="14" t="n"/>
      <c r="M17" s="14" t="n"/>
      <c r="N17" s="14" t="n"/>
      <c r="O17" s="14" t="n"/>
      <c r="P17" s="14" t="n"/>
      <c r="Q17" s="14" t="n"/>
      <c r="R17" s="14" t="n"/>
    </row>
    <row r="18">
      <c r="A18" s="14" t="n"/>
      <c r="B18" s="14" t="n"/>
      <c r="C18" s="14" t="n"/>
      <c r="D18" s="14" t="n"/>
      <c r="E18" s="14" t="n"/>
      <c r="F18" s="14" t="n"/>
      <c r="G18" s="14" t="n"/>
      <c r="H18" s="14" t="n"/>
      <c r="I18" s="14" t="n"/>
      <c r="J18" s="14" t="n"/>
      <c r="K18" s="14" t="n"/>
      <c r="L18" s="14" t="n"/>
      <c r="M18" s="14" t="n"/>
      <c r="N18" s="14" t="n"/>
      <c r="O18" s="14" t="n"/>
      <c r="P18" s="14" t="n"/>
      <c r="Q18" s="14" t="n"/>
      <c r="R18" s="14" t="n"/>
    </row>
    <row r="19">
      <c r="A19" s="14" t="n"/>
      <c r="B19" s="14" t="n"/>
      <c r="C19" s="14" t="n"/>
      <c r="D19" s="14" t="n"/>
      <c r="E19" s="14" t="n"/>
      <c r="F19" s="14" t="n"/>
      <c r="G19" s="14" t="n"/>
      <c r="H19" s="14" t="n"/>
      <c r="I19" s="14" t="n"/>
      <c r="J19" s="14" t="n"/>
      <c r="K19" s="14" t="n"/>
      <c r="L19" s="14" t="n"/>
      <c r="M19" s="14" t="n"/>
      <c r="N19" s="14" t="n"/>
      <c r="O19" s="14" t="n"/>
      <c r="P19" s="14" t="n"/>
      <c r="Q19" s="14" t="n"/>
      <c r="R19" s="14" t="n"/>
    </row>
    <row r="20">
      <c r="A20" s="14" t="n"/>
      <c r="B20" s="14" t="n"/>
      <c r="C20" s="14" t="n"/>
      <c r="D20" s="14" t="n"/>
      <c r="E20" s="14" t="n"/>
      <c r="F20" s="14" t="n"/>
      <c r="G20" s="14" t="n"/>
      <c r="H20" s="14" t="n"/>
      <c r="I20" s="14" t="n"/>
      <c r="J20" s="14" t="n"/>
      <c r="K20" s="14" t="n"/>
      <c r="L20" s="14" t="n"/>
      <c r="M20" s="14" t="n"/>
      <c r="N20" s="14" t="n"/>
      <c r="O20" s="14" t="n"/>
      <c r="P20" s="14" t="n"/>
      <c r="Q20" s="14" t="n"/>
      <c r="R20" s="14" t="n"/>
    </row>
    <row r="21">
      <c r="A21" s="14" t="n"/>
      <c r="B21" s="14" t="n"/>
      <c r="C21" s="14" t="n"/>
      <c r="D21" s="14" t="n"/>
      <c r="E21" s="14" t="n"/>
      <c r="F21" s="14" t="n"/>
      <c r="G21" s="14" t="n"/>
      <c r="H21" s="14" t="n"/>
      <c r="I21" s="14" t="n"/>
      <c r="J21" s="14" t="n"/>
      <c r="K21" s="14" t="n"/>
      <c r="L21" s="14" t="n"/>
      <c r="M21" s="14" t="n"/>
      <c r="N21" s="14" t="n"/>
      <c r="O21" s="14" t="n"/>
      <c r="P21" s="14" t="n"/>
      <c r="Q21" s="14" t="n"/>
      <c r="R21" s="14" t="n"/>
    </row>
    <row r="22">
      <c r="A22" s="14" t="n"/>
      <c r="B22" s="14" t="n"/>
      <c r="C22" s="14" t="n"/>
      <c r="D22" s="14" t="n"/>
      <c r="E22" s="14" t="n"/>
      <c r="F22" s="14" t="n"/>
      <c r="G22" s="14" t="n"/>
      <c r="H22" s="14" t="n"/>
      <c r="I22" s="14" t="n"/>
      <c r="J22" s="14" t="n"/>
      <c r="K22" s="14" t="n"/>
      <c r="L22" s="14" t="n"/>
      <c r="M22" s="14" t="n"/>
      <c r="N22" s="14" t="n"/>
      <c r="O22" s="14" t="n"/>
      <c r="P22" s="14" t="n"/>
      <c r="Q22" s="14" t="n"/>
      <c r="R22" s="14" t="n"/>
    </row>
    <row r="23">
      <c r="A23" s="14" t="n"/>
      <c r="B23" s="14" t="n"/>
      <c r="C23" s="14" t="n"/>
      <c r="D23" s="14" t="n"/>
      <c r="E23" s="14" t="n"/>
      <c r="F23" s="14" t="n"/>
      <c r="G23" s="14" t="n"/>
      <c r="H23" s="14" t="n"/>
      <c r="I23" s="14" t="n"/>
      <c r="J23" s="14" t="n"/>
      <c r="K23" s="14" t="n"/>
      <c r="L23" s="14" t="n"/>
      <c r="M23" s="14" t="n"/>
      <c r="N23" s="14" t="n"/>
      <c r="O23" s="14" t="n"/>
      <c r="P23" s="14" t="n"/>
      <c r="Q23" s="14" t="n"/>
      <c r="R23" s="14" t="n"/>
    </row>
    <row r="24">
      <c r="A24" s="14" t="n"/>
      <c r="B24" s="14" t="n"/>
      <c r="C24" s="14" t="n"/>
      <c r="D24" s="14" t="n"/>
      <c r="E24" s="14" t="n"/>
      <c r="F24" s="14" t="n"/>
      <c r="G24" s="14" t="n"/>
      <c r="H24" s="14" t="n"/>
      <c r="I24" s="14" t="n"/>
      <c r="J24" s="14" t="n"/>
      <c r="K24" s="14" t="n"/>
      <c r="L24" s="14" t="n"/>
      <c r="M24" s="14" t="n"/>
      <c r="N24" s="14" t="n"/>
      <c r="O24" s="14" t="n"/>
      <c r="P24" s="14" t="n"/>
      <c r="Q24" s="14" t="n"/>
      <c r="R24" s="14" t="n"/>
    </row>
    <row r="25">
      <c r="A25" s="14" t="n"/>
      <c r="B25" s="14" t="n"/>
      <c r="C25" s="14" t="n"/>
      <c r="D25" s="14" t="n"/>
      <c r="E25" s="14" t="n"/>
      <c r="F25" s="14" t="n"/>
      <c r="G25" s="14" t="n"/>
      <c r="H25" s="14" t="n"/>
      <c r="I25" s="14" t="n"/>
      <c r="J25" s="14" t="n"/>
      <c r="K25" s="14" t="n"/>
      <c r="L25" s="14" t="n"/>
      <c r="M25" s="14" t="n"/>
      <c r="N25" s="14" t="n"/>
      <c r="O25" s="14" t="n"/>
      <c r="P25" s="14" t="n"/>
      <c r="Q25" s="14" t="n"/>
      <c r="R25" s="14" t="n"/>
    </row>
    <row r="26">
      <c r="A26" s="14" t="n"/>
      <c r="B26" s="14" t="n"/>
      <c r="C26" s="14" t="n"/>
      <c r="D26" s="14" t="n"/>
      <c r="E26" s="14" t="n"/>
      <c r="F26" s="14" t="n"/>
      <c r="G26" s="14" t="n"/>
      <c r="H26" s="14" t="n"/>
      <c r="I26" s="14" t="n"/>
      <c r="J26" s="14" t="n"/>
      <c r="K26" s="14" t="n"/>
      <c r="L26" s="14" t="n"/>
      <c r="M26" s="14" t="n"/>
      <c r="N26" s="14" t="n"/>
      <c r="O26" s="14" t="n"/>
      <c r="P26" s="14" t="n"/>
      <c r="Q26" s="14" t="n"/>
      <c r="R26" s="14" t="n"/>
    </row>
    <row r="27">
      <c r="A27" s="14" t="n"/>
      <c r="B27" s="14" t="n"/>
      <c r="C27" s="14" t="n"/>
      <c r="D27" s="14" t="n"/>
      <c r="E27" s="14" t="n"/>
      <c r="F27" s="14" t="n"/>
      <c r="G27" s="14" t="n"/>
      <c r="H27" s="14" t="n"/>
      <c r="I27" s="14" t="n"/>
      <c r="J27" s="14" t="n"/>
      <c r="K27" s="14" t="n"/>
      <c r="L27" s="14" t="n"/>
      <c r="M27" s="14" t="n"/>
      <c r="N27" s="14" t="n"/>
      <c r="O27" s="14" t="n"/>
      <c r="P27" s="14" t="n"/>
      <c r="Q27" s="14" t="n"/>
      <c r="R27" s="14" t="n"/>
    </row>
    <row r="28">
      <c r="A28" s="14" t="n"/>
      <c r="B28" s="14" t="n"/>
      <c r="C28" s="14" t="n"/>
      <c r="D28" s="14" t="n"/>
      <c r="E28" s="14" t="n"/>
      <c r="F28" s="14" t="n"/>
      <c r="G28" s="14" t="n"/>
      <c r="H28" s="14" t="n"/>
      <c r="I28" s="14" t="n"/>
      <c r="J28" s="14" t="n"/>
      <c r="K28" s="14" t="n"/>
      <c r="L28" s="14" t="n"/>
      <c r="M28" s="14" t="n"/>
      <c r="N28" s="14" t="n"/>
      <c r="O28" s="14" t="n"/>
      <c r="P28" s="14" t="n"/>
      <c r="Q28" s="14" t="n"/>
      <c r="R28" s="14" t="n"/>
    </row>
    <row r="29">
      <c r="A29" s="14" t="n"/>
      <c r="B29" s="14" t="n"/>
      <c r="C29" s="14" t="n"/>
      <c r="D29" s="14" t="n"/>
      <c r="E29" s="14" t="n"/>
      <c r="F29" s="14" t="n"/>
      <c r="G29" s="14" t="n"/>
      <c r="H29" s="14" t="n"/>
      <c r="I29" s="14" t="n"/>
      <c r="J29" s="14" t="n"/>
      <c r="K29" s="14" t="n"/>
      <c r="L29" s="14" t="n"/>
      <c r="M29" s="14" t="n"/>
      <c r="N29" s="14" t="n"/>
      <c r="O29" s="14" t="n"/>
      <c r="P29" s="14" t="n"/>
      <c r="Q29" s="14" t="n"/>
      <c r="R29" s="14" t="n"/>
    </row>
    <row r="30">
      <c r="A30" s="14" t="n"/>
      <c r="B30" s="14" t="n"/>
      <c r="C30" s="14" t="n"/>
      <c r="D30" s="14" t="n"/>
      <c r="E30" s="14" t="n"/>
      <c r="F30" s="14" t="n"/>
      <c r="G30" s="14" t="n"/>
      <c r="H30" s="14" t="n"/>
      <c r="I30" s="14" t="n"/>
      <c r="J30" s="14" t="n"/>
      <c r="K30" s="14" t="n"/>
      <c r="L30" s="14" t="n"/>
      <c r="M30" s="14" t="n"/>
      <c r="N30" s="14" t="n"/>
      <c r="O30" s="14" t="n"/>
      <c r="P30" s="14" t="n"/>
      <c r="Q30" s="14" t="n"/>
      <c r="R30" s="14" t="n"/>
    </row>
    <row r="31">
      <c r="A31" s="14" t="n"/>
      <c r="B31" s="14" t="n"/>
      <c r="C31" s="14" t="n"/>
      <c r="D31" s="14" t="n"/>
      <c r="E31" s="14" t="n"/>
      <c r="F31" s="14" t="n"/>
      <c r="G31" s="14" t="n"/>
      <c r="H31" s="14" t="n"/>
      <c r="I31" s="14" t="n"/>
      <c r="J31" s="14" t="n"/>
      <c r="K31" s="14" t="n"/>
      <c r="L31" s="14" t="n"/>
      <c r="M31" s="14" t="n"/>
      <c r="N31" s="14" t="n"/>
      <c r="O31" s="14" t="n"/>
      <c r="P31" s="14" t="n"/>
      <c r="Q31" s="14" t="n"/>
      <c r="R31" s="14" t="n"/>
    </row>
    <row r="32">
      <c r="A32" s="14" t="n"/>
      <c r="B32" s="14" t="n"/>
      <c r="C32" s="14" t="n"/>
      <c r="D32" s="14" t="n"/>
      <c r="E32" s="14" t="n"/>
      <c r="F32" s="14" t="n"/>
      <c r="G32" s="14" t="n"/>
      <c r="H32" s="14" t="n"/>
      <c r="I32" s="14" t="n"/>
      <c r="J32" s="14" t="n"/>
      <c r="K32" s="14" t="n"/>
      <c r="L32" s="14" t="n"/>
      <c r="M32" s="14" t="n"/>
      <c r="N32" s="14" t="n"/>
      <c r="O32" s="14" t="n"/>
      <c r="P32" s="14" t="n"/>
      <c r="Q32" s="14" t="n"/>
      <c r="R32" s="14" t="n"/>
    </row>
    <row r="33">
      <c r="A33" s="14" t="n"/>
      <c r="B33" s="14" t="n"/>
      <c r="C33" s="14" t="n"/>
      <c r="D33" s="14" t="n"/>
      <c r="E33" s="14" t="n"/>
      <c r="F33" s="14" t="n"/>
      <c r="G33" s="14" t="n"/>
      <c r="H33" s="14" t="n"/>
      <c r="I33" s="14" t="n"/>
      <c r="J33" s="14" t="n"/>
      <c r="K33" s="14" t="n"/>
      <c r="L33" s="14" t="n"/>
      <c r="M33" s="14" t="n"/>
      <c r="N33" s="14" t="n"/>
      <c r="O33" s="14" t="n"/>
      <c r="P33" s="14" t="n"/>
      <c r="Q33" s="14" t="n"/>
      <c r="R33" s="14" t="n"/>
    </row>
    <row r="34">
      <c r="A34" s="14" t="n"/>
      <c r="B34" s="14" t="n"/>
      <c r="C34" s="14" t="n"/>
      <c r="D34" s="14" t="n"/>
      <c r="E34" s="14" t="n"/>
      <c r="F34" s="14" t="n"/>
      <c r="G34" s="14" t="n"/>
      <c r="H34" s="14" t="n"/>
      <c r="I34" s="14" t="n"/>
      <c r="J34" s="14" t="n"/>
      <c r="K34" s="14" t="n"/>
      <c r="L34" s="14" t="n"/>
      <c r="M34" s="14" t="n"/>
      <c r="N34" s="14" t="n"/>
      <c r="O34" s="14" t="n"/>
      <c r="P34" s="14" t="n"/>
      <c r="Q34" s="14" t="n"/>
      <c r="R34" s="14" t="n"/>
    </row>
    <row r="35">
      <c r="A35" s="14" t="n"/>
      <c r="B35" s="14" t="n"/>
      <c r="C35" s="14" t="n"/>
      <c r="D35" s="14" t="n"/>
      <c r="E35" s="14" t="n"/>
      <c r="F35" s="14" t="n"/>
      <c r="G35" s="14" t="n"/>
      <c r="H35" s="14" t="n"/>
      <c r="I35" s="14" t="n"/>
      <c r="J35" s="14" t="n"/>
      <c r="K35" s="14" t="n"/>
      <c r="L35" s="14" t="n"/>
      <c r="M35" s="14" t="n"/>
      <c r="N35" s="14" t="n"/>
      <c r="O35" s="14" t="n"/>
      <c r="P35" s="14" t="n"/>
      <c r="Q35" s="14" t="n"/>
      <c r="R35" s="14" t="n"/>
    </row>
    <row r="36">
      <c r="A36" s="14" t="n"/>
      <c r="B36" s="14" t="n"/>
      <c r="C36" s="14" t="n"/>
      <c r="D36" s="14" t="n"/>
      <c r="E36" s="14" t="n"/>
      <c r="F36" s="14" t="n"/>
      <c r="G36" s="14" t="n"/>
      <c r="H36" s="14" t="n"/>
      <c r="I36" s="14" t="n"/>
      <c r="J36" s="14" t="n"/>
      <c r="K36" s="14" t="n"/>
      <c r="L36" s="14" t="n"/>
      <c r="M36" s="14" t="n"/>
      <c r="N36" s="14" t="n"/>
      <c r="O36" s="14" t="n"/>
      <c r="P36" s="14" t="n"/>
      <c r="Q36" s="14" t="n"/>
      <c r="R36" s="14" t="n"/>
    </row>
    <row r="37">
      <c r="A37" s="14" t="n"/>
      <c r="B37" s="14" t="n"/>
      <c r="C37" s="14" t="n"/>
      <c r="D37" s="14" t="n"/>
      <c r="E37" s="14" t="n"/>
      <c r="F37" s="14" t="n"/>
      <c r="G37" s="14" t="n"/>
      <c r="H37" s="14" t="n"/>
      <c r="I37" s="14" t="n"/>
      <c r="J37" s="14" t="n"/>
      <c r="K37" s="14" t="n"/>
      <c r="L37" s="14" t="n"/>
      <c r="M37" s="14" t="n"/>
      <c r="N37" s="14" t="n"/>
      <c r="O37" s="14" t="n"/>
      <c r="P37" s="14" t="n"/>
      <c r="Q37" s="14" t="n"/>
      <c r="R37" s="14" t="n"/>
    </row>
    <row r="38">
      <c r="A38" s="14" t="n"/>
      <c r="B38" s="14" t="n"/>
      <c r="C38" s="14" t="n"/>
      <c r="D38" s="14" t="n"/>
      <c r="E38" s="14" t="n"/>
      <c r="F38" s="14" t="n"/>
      <c r="G38" s="14" t="n"/>
      <c r="H38" s="14" t="n"/>
      <c r="I38" s="14" t="n"/>
      <c r="J38" s="14" t="n"/>
      <c r="K38" s="14" t="n"/>
      <c r="L38" s="14" t="n"/>
      <c r="M38" s="14" t="n"/>
      <c r="N38" s="14" t="n"/>
      <c r="O38" s="14" t="n"/>
      <c r="P38" s="14" t="n"/>
      <c r="Q38" s="14" t="n"/>
      <c r="R38" s="14" t="n"/>
    </row>
    <row r="39">
      <c r="A39" s="14" t="n"/>
      <c r="B39" s="14" t="n"/>
      <c r="C39" s="14" t="n"/>
      <c r="D39" s="14" t="n"/>
      <c r="E39" s="14" t="n"/>
      <c r="F39" s="14" t="n"/>
      <c r="G39" s="14" t="n"/>
      <c r="H39" s="14" t="n"/>
      <c r="I39" s="14" t="n"/>
      <c r="J39" s="14" t="n"/>
      <c r="K39" s="14" t="n"/>
      <c r="L39" s="14" t="n"/>
      <c r="M39" s="14" t="n"/>
      <c r="N39" s="14" t="n"/>
      <c r="O39" s="14" t="n"/>
      <c r="P39" s="14" t="n"/>
      <c r="Q39" s="14" t="n"/>
      <c r="R39" s="14" t="n"/>
    </row>
    <row r="40">
      <c r="A40" s="14" t="n"/>
      <c r="B40" s="14" t="n"/>
      <c r="C40" s="14" t="n"/>
      <c r="D40" s="14" t="n"/>
      <c r="E40" s="14" t="n"/>
      <c r="F40" s="14" t="n"/>
      <c r="G40" s="14" t="n"/>
      <c r="H40" s="14" t="n"/>
      <c r="I40" s="14" t="n"/>
      <c r="J40" s="14" t="n"/>
      <c r="K40" s="14" t="n"/>
      <c r="L40" s="14" t="n"/>
      <c r="M40" s="14" t="n"/>
      <c r="N40" s="14" t="n"/>
      <c r="O40" s="14" t="n"/>
      <c r="P40" s="14" t="n"/>
      <c r="Q40" s="14" t="n"/>
      <c r="R40" s="14" t="n"/>
    </row>
    <row r="41">
      <c r="A41" s="14" t="n"/>
      <c r="B41" s="14" t="n"/>
      <c r="C41" s="14" t="n"/>
      <c r="D41" s="14" t="n"/>
      <c r="E41" s="14" t="n"/>
      <c r="F41" s="14" t="n"/>
      <c r="G41" s="14" t="n"/>
      <c r="H41" s="14" t="n"/>
      <c r="I41" s="14" t="n"/>
      <c r="J41" s="14" t="n"/>
      <c r="K41" s="14" t="n"/>
      <c r="L41" s="14" t="n"/>
      <c r="M41" s="14" t="n"/>
      <c r="N41" s="14" t="n"/>
      <c r="O41" s="14" t="n"/>
      <c r="P41" s="14" t="n"/>
      <c r="Q41" s="14" t="n"/>
      <c r="R41" s="14" t="n"/>
    </row>
    <row r="42">
      <c r="A42" s="14" t="n"/>
      <c r="B42" s="14" t="n"/>
      <c r="C42" s="14" t="n"/>
      <c r="D42" s="14" t="n"/>
      <c r="E42" s="14" t="n"/>
      <c r="F42" s="14" t="n"/>
      <c r="G42" s="14" t="n"/>
      <c r="H42" s="14" t="n"/>
      <c r="I42" s="14" t="n"/>
      <c r="J42" s="14" t="n"/>
      <c r="K42" s="14" t="n"/>
      <c r="L42" s="14" t="n"/>
      <c r="M42" s="14" t="n"/>
      <c r="N42" s="14" t="n"/>
      <c r="O42" s="14" t="n"/>
      <c r="P42" s="14" t="n"/>
      <c r="Q42" s="14" t="n"/>
      <c r="R42" s="14" t="n"/>
    </row>
    <row r="43">
      <c r="A43" s="14" t="n"/>
      <c r="B43" s="14" t="n"/>
      <c r="C43" s="14" t="n"/>
      <c r="D43" s="14" t="n"/>
      <c r="E43" s="14" t="n"/>
      <c r="F43" s="14" t="n"/>
      <c r="G43" s="14" t="n"/>
      <c r="H43" s="14" t="n"/>
      <c r="I43" s="14" t="n"/>
      <c r="J43" s="14" t="n"/>
      <c r="K43" s="14" t="n"/>
      <c r="L43" s="14" t="n"/>
      <c r="M43" s="14" t="n"/>
      <c r="N43" s="14" t="n"/>
      <c r="O43" s="14" t="n"/>
      <c r="P43" s="14" t="n"/>
      <c r="Q43" s="14" t="n"/>
      <c r="R43" s="14" t="n"/>
    </row>
    <row r="44">
      <c r="A44" s="14" t="n"/>
      <c r="B44" s="14" t="n"/>
      <c r="C44" s="14" t="n"/>
      <c r="D44" s="14" t="n"/>
      <c r="E44" s="14" t="n"/>
      <c r="F44" s="14" t="n"/>
      <c r="G44" s="14" t="n"/>
      <c r="H44" s="14" t="n"/>
      <c r="I44" s="14" t="n"/>
      <c r="J44" s="14" t="n"/>
      <c r="K44" s="14" t="n"/>
      <c r="L44" s="14" t="n"/>
      <c r="M44" s="14" t="n"/>
      <c r="N44" s="14" t="n"/>
      <c r="O44" s="14" t="n"/>
      <c r="P44" s="14" t="n"/>
      <c r="Q44" s="14" t="n"/>
      <c r="R44" s="14" t="n"/>
    </row>
    <row r="45">
      <c r="A45" s="14" t="n"/>
      <c r="B45" s="14" t="n"/>
      <c r="C45" s="14" t="n"/>
      <c r="D45" s="14" t="n"/>
      <c r="E45" s="14" t="n"/>
      <c r="F45" s="14" t="n"/>
      <c r="G45" s="14" t="n"/>
      <c r="H45" s="14" t="n"/>
      <c r="I45" s="14" t="n"/>
      <c r="J45" s="14" t="n"/>
      <c r="K45" s="14" t="n"/>
      <c r="L45" s="14" t="n"/>
      <c r="M45" s="14" t="n"/>
      <c r="N45" s="14" t="n"/>
      <c r="O45" s="14" t="n"/>
      <c r="P45" s="14" t="n"/>
      <c r="Q45" s="14" t="n"/>
      <c r="R45" s="14" t="n"/>
    </row>
    <row r="46">
      <c r="A46" s="14" t="n"/>
      <c r="B46" s="14" t="n"/>
      <c r="C46" s="14" t="n"/>
      <c r="D46" s="14" t="n"/>
      <c r="E46" s="14" t="n"/>
      <c r="F46" s="14" t="n"/>
      <c r="G46" s="14" t="n"/>
      <c r="H46" s="14" t="n"/>
      <c r="I46" s="14" t="n"/>
      <c r="J46" s="14" t="n"/>
      <c r="K46" s="14" t="n"/>
      <c r="L46" s="14" t="n"/>
      <c r="M46" s="14" t="n"/>
      <c r="N46" s="14" t="n"/>
      <c r="O46" s="14" t="n"/>
      <c r="P46" s="14" t="n"/>
      <c r="Q46" s="14" t="n"/>
      <c r="R46" s="14" t="n"/>
    </row>
    <row r="47">
      <c r="A47" s="14" t="n"/>
      <c r="B47" s="14" t="n"/>
      <c r="C47" s="14" t="n"/>
      <c r="D47" s="14" t="n"/>
      <c r="E47" s="14" t="n"/>
      <c r="F47" s="14" t="n"/>
      <c r="G47" s="14" t="n"/>
      <c r="H47" s="14" t="n"/>
      <c r="I47" s="14" t="n"/>
      <c r="J47" s="14" t="n"/>
      <c r="K47" s="14" t="n"/>
      <c r="L47" s="14" t="n"/>
      <c r="M47" s="14" t="n"/>
      <c r="N47" s="14" t="n"/>
      <c r="O47" s="14" t="n"/>
      <c r="P47" s="14" t="n"/>
      <c r="Q47" s="14" t="n"/>
      <c r="R47" s="14" t="n"/>
    </row>
    <row r="48">
      <c r="A48" s="14" t="n"/>
      <c r="B48" s="14" t="n"/>
      <c r="C48" s="14" t="n"/>
      <c r="D48" s="14" t="n"/>
      <c r="E48" s="14" t="n"/>
      <c r="F48" s="14" t="n"/>
      <c r="G48" s="14" t="n"/>
      <c r="H48" s="14" t="n"/>
      <c r="I48" s="14" t="n"/>
      <c r="J48" s="14" t="n"/>
      <c r="K48" s="14" t="n"/>
      <c r="L48" s="14" t="n"/>
      <c r="M48" s="14" t="n"/>
      <c r="N48" s="14" t="n"/>
      <c r="O48" s="14" t="n"/>
      <c r="P48" s="14" t="n"/>
      <c r="Q48" s="14" t="n"/>
      <c r="R48" s="14" t="n"/>
    </row>
    <row r="49">
      <c r="A49" s="14" t="n"/>
      <c r="B49" s="14" t="n"/>
      <c r="C49" s="14" t="n"/>
      <c r="D49" s="14" t="n"/>
      <c r="E49" s="14" t="n"/>
      <c r="F49" s="14" t="n"/>
      <c r="G49" s="14" t="n"/>
      <c r="H49" s="14" t="n"/>
      <c r="I49" s="14" t="n"/>
      <c r="J49" s="14" t="n"/>
      <c r="K49" s="14" t="n"/>
      <c r="L49" s="14" t="n"/>
      <c r="M49" s="14" t="n"/>
      <c r="N49" s="14" t="n"/>
      <c r="O49" s="14" t="n"/>
      <c r="P49" s="14" t="n"/>
      <c r="Q49" s="14" t="n"/>
      <c r="R49" s="14" t="n"/>
    </row>
    <row r="50">
      <c r="A50" s="14" t="n"/>
      <c r="B50" s="14" t="n"/>
      <c r="C50" s="14" t="n"/>
      <c r="D50" s="14" t="n"/>
      <c r="E50" s="14" t="n"/>
      <c r="F50" s="14" t="n"/>
      <c r="G50" s="14" t="n"/>
      <c r="H50" s="14" t="n"/>
      <c r="I50" s="14" t="n"/>
      <c r="J50" s="14" t="n"/>
      <c r="K50" s="14" t="n"/>
      <c r="L50" s="14" t="n"/>
      <c r="M50" s="14" t="n"/>
      <c r="N50" s="14" t="n"/>
      <c r="O50" s="14" t="n"/>
      <c r="P50" s="14" t="n"/>
      <c r="Q50" s="14" t="n"/>
      <c r="R50" s="14" t="n"/>
    </row>
    <row r="51">
      <c r="A51" s="14" t="n"/>
      <c r="B51" s="14" t="n"/>
      <c r="C51" s="14" t="n"/>
      <c r="D51" s="14" t="n"/>
      <c r="E51" s="14" t="n"/>
      <c r="F51" s="14" t="n"/>
      <c r="G51" s="14" t="n"/>
      <c r="H51" s="14" t="n"/>
      <c r="I51" s="14" t="n"/>
      <c r="J51" s="14" t="n"/>
      <c r="K51" s="14" t="n"/>
      <c r="L51" s="14" t="n"/>
      <c r="M51" s="14" t="n"/>
      <c r="N51" s="14" t="n"/>
      <c r="O51" s="14" t="n"/>
      <c r="P51" s="14" t="n"/>
      <c r="Q51" s="14" t="n"/>
      <c r="R51" s="14" t="n"/>
    </row>
    <row r="52">
      <c r="A52" s="14" t="n"/>
      <c r="B52" s="14" t="n"/>
      <c r="C52" s="14" t="n"/>
      <c r="D52" s="14" t="n"/>
      <c r="E52" s="14" t="n"/>
      <c r="F52" s="14" t="n"/>
      <c r="G52" s="14" t="n"/>
      <c r="H52" s="14" t="n"/>
      <c r="I52" s="14" t="n"/>
      <c r="J52" s="14" t="n"/>
      <c r="K52" s="14" t="n"/>
      <c r="L52" s="14" t="n"/>
      <c r="M52" s="14" t="n"/>
      <c r="N52" s="14" t="n"/>
      <c r="O52" s="14" t="n"/>
      <c r="P52" s="14" t="n"/>
      <c r="Q52" s="14" t="n"/>
      <c r="R52" s="14" t="n"/>
    </row>
    <row r="53">
      <c r="A53" s="14" t="n"/>
      <c r="B53" s="14" t="n"/>
      <c r="C53" s="14" t="n"/>
      <c r="D53" s="14" t="n"/>
      <c r="E53" s="14" t="n"/>
      <c r="F53" s="14" t="n"/>
      <c r="G53" s="14" t="n"/>
      <c r="H53" s="14" t="n"/>
      <c r="I53" s="14" t="n"/>
      <c r="J53" s="14" t="n"/>
      <c r="K53" s="14" t="n"/>
      <c r="L53" s="14" t="n"/>
      <c r="M53" s="14" t="n"/>
      <c r="N53" s="14" t="n"/>
      <c r="O53" s="14" t="n"/>
      <c r="P53" s="14" t="n"/>
      <c r="Q53" s="14" t="n"/>
      <c r="R53" s="14" t="n"/>
    </row>
    <row r="54">
      <c r="A54" s="14" t="n"/>
      <c r="B54" s="14" t="n"/>
      <c r="C54" s="14" t="n"/>
      <c r="D54" s="14" t="n"/>
      <c r="E54" s="14" t="n"/>
      <c r="F54" s="14" t="n"/>
      <c r="G54" s="14" t="n"/>
      <c r="H54" s="14" t="n"/>
      <c r="I54" s="14" t="n"/>
      <c r="J54" s="14" t="n"/>
      <c r="K54" s="14" t="n"/>
      <c r="L54" s="14" t="n"/>
      <c r="M54" s="14" t="n"/>
      <c r="N54" s="14" t="n"/>
      <c r="O54" s="14" t="n"/>
      <c r="P54" s="14" t="n"/>
      <c r="Q54" s="14" t="n"/>
      <c r="R54" s="14" t="n"/>
    </row>
    <row r="55">
      <c r="A55" s="14" t="n"/>
      <c r="B55" s="14" t="n"/>
      <c r="C55" s="14" t="n"/>
      <c r="D55" s="14" t="n"/>
      <c r="E55" s="14" t="n"/>
      <c r="F55" s="14" t="n"/>
      <c r="G55" s="14" t="n"/>
      <c r="H55" s="14" t="n"/>
      <c r="I55" s="14" t="n"/>
      <c r="J55" s="14" t="n"/>
      <c r="K55" s="14" t="n"/>
      <c r="L55" s="14" t="n"/>
      <c r="M55" s="14" t="n"/>
      <c r="N55" s="14" t="n"/>
      <c r="O55" s="14" t="n"/>
      <c r="P55" s="14" t="n"/>
      <c r="Q55" s="14" t="n"/>
      <c r="R55" s="14" t="n"/>
    </row>
    <row r="56">
      <c r="A56" s="14" t="n"/>
      <c r="B56" s="14" t="n"/>
      <c r="C56" s="14" t="n"/>
      <c r="D56" s="14" t="n"/>
      <c r="E56" s="14" t="n"/>
      <c r="F56" s="14" t="n"/>
      <c r="G56" s="14" t="n"/>
      <c r="H56" s="14" t="n"/>
      <c r="I56" s="14" t="n"/>
      <c r="J56" s="14" t="n"/>
      <c r="K56" s="14" t="n"/>
      <c r="L56" s="14" t="n"/>
      <c r="M56" s="14" t="n"/>
      <c r="N56" s="14" t="n"/>
      <c r="O56" s="14" t="n"/>
      <c r="P56" s="14" t="n"/>
      <c r="Q56" s="14" t="n"/>
      <c r="R56" s="14" t="n"/>
    </row>
    <row r="57">
      <c r="A57" s="14" t="n"/>
      <c r="B57" s="14" t="n"/>
      <c r="C57" s="14" t="n"/>
      <c r="D57" s="14" t="n"/>
      <c r="E57" s="14" t="n"/>
      <c r="F57" s="14" t="n"/>
      <c r="G57" s="14" t="n"/>
      <c r="H57" s="14" t="n"/>
      <c r="I57" s="14" t="n"/>
      <c r="J57" s="14" t="n"/>
      <c r="K57" s="14" t="n"/>
      <c r="L57" s="14" t="n"/>
      <c r="M57" s="14" t="n"/>
      <c r="N57" s="14" t="n"/>
      <c r="O57" s="14" t="n"/>
      <c r="P57" s="14" t="n"/>
      <c r="Q57" s="14" t="n"/>
      <c r="R57" s="14" t="n"/>
    </row>
    <row r="59">
      <c r="A59" s="15" t="inlineStr">
        <is>
          <t>SENSITIVE DATA INVENTORY CHECKLIST</t>
        </is>
      </c>
    </row>
    <row r="60">
      <c r="A60" s="5" t="inlineStr">
        <is>
          <t>#</t>
        </is>
      </c>
      <c r="B60" s="5" t="inlineStr">
        <is>
          <t>Checklist Item</t>
        </is>
      </c>
      <c r="C60" s="5" t="inlineStr">
        <is>
          <t>Status</t>
        </is>
      </c>
      <c r="D60" s="5" t="inlineStr">
        <is>
          <t>Evidence</t>
        </is>
      </c>
      <c r="E60" s="5" t="inlineStr">
        <is>
          <t>Notes</t>
        </is>
      </c>
    </row>
    <row r="61">
      <c r="A61" t="n">
        <v>1</v>
      </c>
      <c r="B61" s="16" t="inlineStr">
        <is>
          <t>Is sensitive data identified at field level?</t>
        </is>
      </c>
      <c r="C61" s="14" t="n"/>
      <c r="D61" s="14" t="n"/>
      <c r="E61" s="14" t="n"/>
    </row>
    <row r="62">
      <c r="A62" t="n">
        <v>2</v>
      </c>
      <c r="B62" s="16" t="inlineStr">
        <is>
          <t>Are all production databases inventoried?</t>
        </is>
      </c>
      <c r="C62" s="14" t="n"/>
      <c r="D62" s="14" t="n"/>
      <c r="E62" s="14" t="n"/>
    </row>
    <row r="63">
      <c r="A63" t="n">
        <v>3</v>
      </c>
      <c r="B63" s="16" t="inlineStr">
        <is>
          <t>Are non-production environments inventoried?</t>
        </is>
      </c>
      <c r="C63" s="14" t="n"/>
      <c r="D63" s="14" t="n"/>
      <c r="E63" s="14" t="n"/>
    </row>
    <row r="64">
      <c r="A64" t="n">
        <v>4</v>
      </c>
      <c r="B64" s="16" t="inlineStr">
        <is>
          <t>Is PII specifically flagged?</t>
        </is>
      </c>
      <c r="C64" s="14" t="n"/>
      <c r="D64" s="14" t="n"/>
      <c r="E64" s="14" t="n"/>
    </row>
    <row r="65">
      <c r="A65" t="n">
        <v>5</v>
      </c>
      <c r="B65" s="16" t="inlineStr">
        <is>
          <t>Are special category data (GDPR Art.9) identified?</t>
        </is>
      </c>
      <c r="C65" s="14" t="n"/>
      <c r="D65" s="14" t="n"/>
      <c r="E65" s="14" t="n"/>
    </row>
    <row r="66">
      <c r="A66" t="n">
        <v>6</v>
      </c>
      <c r="B66" s="16" t="inlineStr">
        <is>
          <t>Is financial data (PCI scope) identified?</t>
        </is>
      </c>
      <c r="C66" s="14" t="n"/>
      <c r="D66" s="14" t="n"/>
      <c r="E66" s="14" t="n"/>
    </row>
    <row r="67">
      <c r="A67" t="n">
        <v>7</v>
      </c>
      <c r="B67" s="16" t="inlineStr">
        <is>
          <t>Are credentials/secrets identified?</t>
        </is>
      </c>
      <c r="C67" s="14" t="n"/>
      <c r="D67" s="14" t="n"/>
      <c r="E67" s="14" t="n"/>
    </row>
    <row r="68">
      <c r="A68" t="n">
        <v>8</v>
      </c>
      <c r="B68" s="16" t="inlineStr">
        <is>
          <t>Is data category assigned per field?</t>
        </is>
      </c>
      <c r="C68" s="14" t="n"/>
      <c r="D68" s="14" t="n"/>
      <c r="E68" s="14" t="n"/>
    </row>
    <row r="69">
      <c r="A69" t="n">
        <v>9</v>
      </c>
      <c r="B69" s="16" t="inlineStr">
        <is>
          <t>Is sensitivity level assigned?</t>
        </is>
      </c>
      <c r="C69" s="14" t="n"/>
      <c r="D69" s="14" t="n"/>
      <c r="E69" s="14" t="n"/>
    </row>
    <row r="70">
      <c r="A70" t="n">
        <v>10</v>
      </c>
      <c r="B70" s="16" t="inlineStr">
        <is>
          <t>Is masking requirement determined?</t>
        </is>
      </c>
      <c r="C70" s="14" t="n"/>
      <c r="D70" s="14" t="n"/>
      <c r="E70" s="14" t="n"/>
    </row>
    <row r="71">
      <c r="A71" t="n">
        <v>11</v>
      </c>
      <c r="B71" s="16" t="inlineStr">
        <is>
          <t>Is current masking status documented?</t>
        </is>
      </c>
      <c r="C71" s="14" t="n"/>
      <c r="D71" s="14" t="n"/>
      <c r="E71" s="14" t="n"/>
    </row>
    <row r="72">
      <c r="A72" t="n">
        <v>12</v>
      </c>
      <c r="B72" s="16" t="inlineStr">
        <is>
          <t>Are record counts estimated?</t>
        </is>
      </c>
      <c r="C72" s="14" t="n"/>
      <c r="D72" s="14" t="n"/>
      <c r="E72" s="14" t="n"/>
    </row>
    <row r="73">
      <c r="A73" t="n">
        <v>13</v>
      </c>
      <c r="B73" s="16" t="inlineStr">
        <is>
          <t>Is data ownership assigned?</t>
        </is>
      </c>
      <c r="C73" s="14" t="n"/>
      <c r="D73" s="14" t="n"/>
      <c r="E73" s="14" t="n"/>
    </row>
    <row r="74">
      <c r="A74" t="n">
        <v>14</v>
      </c>
      <c r="B74" s="16" t="inlineStr">
        <is>
          <t>Is discovery method documented?</t>
        </is>
      </c>
      <c r="C74" s="14" t="n"/>
      <c r="D74" s="14" t="n"/>
      <c r="E74" s="14" t="n"/>
    </row>
    <row r="75">
      <c r="A75" t="n">
        <v>15</v>
      </c>
      <c r="B75" s="16" t="inlineStr">
        <is>
          <t>Are regulatory requirements mapped?</t>
        </is>
      </c>
      <c r="C75" s="14" t="n"/>
      <c r="D75" s="14" t="n"/>
      <c r="E75" s="14" t="n"/>
    </row>
    <row r="76">
      <c r="A76" t="n">
        <v>16</v>
      </c>
      <c r="B76" s="16" t="inlineStr">
        <is>
          <t>Is inventory updated within 30 days of changes?</t>
        </is>
      </c>
      <c r="C76" s="14" t="n"/>
      <c r="D76" s="14" t="n"/>
      <c r="E76" s="14" t="n"/>
    </row>
    <row r="77">
      <c r="A77" t="n">
        <v>17</v>
      </c>
      <c r="B77" s="16" t="inlineStr">
        <is>
          <t>Is automated discovery used where feasible?</t>
        </is>
      </c>
      <c r="C77" s="14" t="n"/>
      <c r="D77" s="14" t="n"/>
      <c r="E77" s="14" t="n"/>
    </row>
    <row r="78">
      <c r="A78" t="n">
        <v>18</v>
      </c>
      <c r="B78" s="16" t="inlineStr">
        <is>
          <t>Are discovery results validated manually?</t>
        </is>
      </c>
      <c r="C78" s="14" t="n"/>
      <c r="D78" s="14" t="n"/>
      <c r="E78" s="14" t="n"/>
    </row>
  </sheetData>
  <mergeCells count="4">
    <mergeCell ref="A3:R3"/>
    <mergeCell ref="A2:R2"/>
    <mergeCell ref="A59:E59"/>
    <mergeCell ref="A1:R1"/>
  </mergeCells>
  <dataValidations count="10">
    <dataValidation sqref="J7 J8 J9 J10 J11 J12 J13 J14 J15 J16 J17 J18 J19 J20 J21 J22 J23 J24 J25 J26 J27 J28 J29 J30 J31 J32 J33 J34 J35 J36 J37 J38 J39 J40 J41 J42 J43 J44 J45 J46 J47 J48 J49 J50 J51 J52 J53 J54 J55 J56 J57" showDropDown="0" showInputMessage="0" showErrorMessage="0" allowBlank="0" type="list">
      <formula1>"Yes,No"</formula1>
    </dataValidation>
    <dataValidation sqref="B4" showDropDown="0" showInputMessage="0" showErrorMessage="0" allowBlank="0" type="list">
      <formula1>"Yes,No,Partial,Planned,N/A"</formula1>
    </dataValidation>
    <dataValidation sqref="L7 L8 L9 L10 L11 L12 L13 L14 L15 L16 L17 L18 L19 L20 L21 L22 L23 L24 L25 L26 L27 L28 L29 L30 L31 L32 L33 L34 L35 L36 L37 L38 L39 L40 L41 L42 L43 L44 L45 L46 L47 L48 L49 L50 L51 L52 L53 L54 L55 L56 L57" showDropDown="0" showInputMessage="0" showErrorMessage="0" allowBlank="0" type="list">
      <formula1>"Yes,No,Conditional,Unknown"</formula1>
    </dataValidation>
    <dataValidation sqref="C61 C62 C63 C64 C65 C66 C67 C68 C69 C70 C71 C72 C73 C74 C75 C76 C77 C78" showDropDown="0" showInputMessage="0" showErrorMessage="0" allowBlank="0" type="list">
      <formula1>"✅ Complete,⚠️ Partial,❌ Missing,ὌB Planned,N/A"</formula1>
    </dataValidation>
    <dataValidation sqref="F7 F8 F9 F10 F11 F12 F13 F14 F15 F16 F17 F18 F19 F20 F21 F22 F23 F24 F25 F26 F27 F28 F29 F30 F31 F32 F33 F34 F35 F36 F37 F38 F39 F40 F41 F42 F43 F44 F45 F46 F47 F48 F49 F50 F51 F52 F53 F54 F55 F56 F57" showDropDown="0" showInputMessage="0" showErrorMessage="0" allowBlank="0" type="list">
      <formula1>"String,Integer,Date,Boolean,Binary,JSON,Other"</formula1>
    </dataValidation>
    <dataValidation sqref="G7 G8 G9 G10 G11 G12 G13 G14 G15 G16 G17 G18 G19 G20 G21 G22 G23 G24 G25 G26 G27 G28 G29 G30 G31 G32 G33 G34 G35 G36 G37 G38 G39 G40 G41 G42 G43 G44 G45 G46 G47 G48 G49 G50 G51 G52 G53 G54 G55 G56 G57" showDropDown="0" showInputMessage="0" showErrorMessage="0" allowBlank="0" type="list">
      <formula1>"CAT-PII-D,CAT-PII-I,CAT-FIN,CAT-HLT,CAT-CRD,CAT-PRP,CAT-LOC,CAT-BIO,CAT-GEN,CAT-CHD"</formula1>
    </dataValidation>
    <dataValidation sqref="H7 H8 H9 H10 H11 H12 H13 H14 H15 H16 H17 H18 H19 H20 H21 H22 H23 H24 H25 H26 H27 H28 H29 H30 H31 H32 H33 H34 H35 H36 H37 H38 H39 H40 H41 H42 H43 H44 H45 H46 H47 H48 H49 H50 H51 H52 H53 H54 H55 H56 H57" showDropDown="0" showInputMessage="0" showErrorMessage="0" allowBlank="0" type="list">
      <formula1>"Name,SSN,Email,Phone,Address,DOB,PAN,Medical Record,Password,IP Address,Other"</formula1>
    </dataValidation>
    <dataValidation sqref="I7 I8 I9 I10 I11 I12 I13 I14 I15 I16 I17 I18 I19 I20 I21 I22 I23 I24 I25 I26 I27 I28 I29 I30 I31 I32 I33 I34 I35 I36 I37 I38 I39 I40 I41 I42 I43 I44 I45 I46 I47 I48 I49 I50 I51 I52 I53 I54 I55 I56 I57" showDropDown="0" showInputMessage="0" showErrorMessage="0" allowBlank="0" type="list">
      <formula1>"Critical,High,Medium,Low,Public"</formula1>
    </dataValidation>
    <dataValidation sqref="M7 M8 M9 M10 M11 M12 M13 M14 M15 M16 M17 M18 M19 M20 M21 M22 M23 M24 M25 M26 M27 M28 M29 M30 M31 M32 M33 M34 M35 M36 M37 M38 M39 M40 M41 M42 M43 M44 M45 M46 M47 M48 M49 M50 M51 M52 M53 M54 M55 M56 M57" showDropDown="0" showInputMessage="0" showErrorMessage="0" allowBlank="0" type="list">
      <formula1>"Masked,Not Masked,Partially Masked,Encrypted,Planned"</formula1>
    </dataValidation>
    <dataValidation sqref="P7 P8 P9 P10 P11 P12 P13 P14 P15 P16 P17 P18 P19 P20 P21 P22 P23 P24 P25 P26 P27 P28 P29 P30 P31 P32 P33 P34 P35 P36 P37 P38 P39 P40 P41 P42 P43 P44 P45 P46 P47 P48 P49 P50 P51 P52 P53 P54 P55 P56 P57" showDropDown="0" showInputMessage="0" showErrorMessage="0" allowBlank="0" type="list">
      <formula1>"Automated Scan,Schema Review,Manual Sample,Data Owner Interview,Unknown"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79"/>
  <sheetViews>
    <sheetView showGridLines="0" workbookViewId="0">
      <pane ySplit="15" topLeftCell="A16" activePane="bottomLeft" state="frozen"/>
      <selection pane="bottomLeft" activeCell="A1" sqref="A1"/>
    </sheetView>
  </sheetViews>
  <sheetFormatPr baseColWidth="8" defaultRowHeight="15"/>
  <cols>
    <col width="15" customWidth="1" min="1" max="1"/>
    <col width="45" customWidth="1" min="2" max="2"/>
    <col width="25" customWidth="1" min="3" max="3"/>
    <col width="15" customWidth="1" min="4" max="4"/>
    <col width="15" customWidth="1" min="5" max="5"/>
    <col width="20" customWidth="1" min="6" max="6"/>
    <col width="18" customWidth="1" min="7" max="7"/>
    <col width="30" customWidth="1" min="8" max="8"/>
    <col width="20" customWidth="1" min="9" max="9"/>
    <col width="15" customWidth="1" min="10" max="10"/>
    <col width="15" customWidth="1" min="11" max="11"/>
    <col width="15" customWidth="1" min="12" max="12"/>
  </cols>
  <sheetData>
    <row r="1" ht="35" customHeight="1">
      <c r="A1" s="1" t="inlineStr">
        <is>
          <t>DATA CLASSIFICATION MATRIX</t>
        </is>
      </c>
    </row>
    <row r="2">
      <c r="A2" s="11" t="inlineStr">
        <is>
          <t>Map data sensitivity to organisational classification scheme</t>
        </is>
      </c>
    </row>
    <row r="3">
      <c r="A3" s="15" t="inlineStr">
        <is>
          <t>Does your organisation classify sensitive data according to an established taxonomy?</t>
        </is>
      </c>
    </row>
    <row r="4">
      <c r="A4" s="13" t="inlineStr">
        <is>
          <t>Response:</t>
        </is>
      </c>
      <c r="B4" s="14" t="n"/>
    </row>
    <row r="6">
      <c r="A6" s="15" t="inlineStr">
        <is>
          <t>CLASSIFICATION SUMMARY</t>
        </is>
      </c>
    </row>
    <row r="7">
      <c r="A7" s="5" t="inlineStr">
        <is>
          <t>Organisational Class</t>
        </is>
      </c>
      <c r="B7" s="5" t="inlineStr">
        <is>
          <t>Typical Sensitivity</t>
        </is>
      </c>
      <c r="C7" s="5" t="inlineStr">
        <is>
          <t>Data Categories</t>
        </is>
      </c>
      <c r="D7" s="5" t="inlineStr">
        <is>
          <t>Masking Requirement</t>
        </is>
      </c>
      <c r="E7" s="5" t="inlineStr">
        <is>
          <t>Count of Fields</t>
        </is>
      </c>
    </row>
    <row r="8">
      <c r="A8" s="16" t="inlineStr">
        <is>
          <t>Restricted</t>
        </is>
      </c>
      <c r="B8" s="16" t="inlineStr">
        <is>
          <t>Critical</t>
        </is>
      </c>
      <c r="C8" s="16" t="inlineStr">
        <is>
          <t>CAT-HLT, CAT-BIO, CAT-GEN, CAT-FIN (PAN)</t>
        </is>
      </c>
      <c r="D8" s="16" t="inlineStr">
        <is>
          <t>Mandatory in ALL non-prod</t>
        </is>
      </c>
      <c r="E8">
        <f>COUNTIF('Classification Matrix'!F:F,"Restricted")</f>
        <v/>
      </c>
    </row>
    <row r="9">
      <c r="A9" s="16" t="inlineStr">
        <is>
          <t>Confidential</t>
        </is>
      </c>
      <c r="B9" s="16" t="inlineStr">
        <is>
          <t>High</t>
        </is>
      </c>
      <c r="C9" s="16" t="inlineStr">
        <is>
          <t>CAT-PII-D, CAT-FIN, CAT-CRD</t>
        </is>
      </c>
      <c r="D9" s="16" t="inlineStr">
        <is>
          <t>Mandatory in non-prod</t>
        </is>
      </c>
      <c r="E9">
        <f>COUNTIF('Classification Matrix'!F:F,"Confidential")</f>
        <v/>
      </c>
    </row>
    <row r="10">
      <c r="A10" s="16" t="inlineStr">
        <is>
          <t>Internal</t>
        </is>
      </c>
      <c r="B10" s="16" t="inlineStr">
        <is>
          <t>Medium</t>
        </is>
      </c>
      <c r="C10" s="16" t="inlineStr">
        <is>
          <t>CAT-PII-I, CAT-PRP, CAT-LOC</t>
        </is>
      </c>
      <c r="D10" s="16" t="inlineStr">
        <is>
          <t>Risk-based masking</t>
        </is>
      </c>
      <c r="E10">
        <f>COUNTIF('Classification Matrix'!F:F,"Internal")</f>
        <v/>
      </c>
    </row>
    <row r="11">
      <c r="A11" s="16" t="inlineStr">
        <is>
          <t>Public</t>
        </is>
      </c>
      <c r="B11" s="16" t="inlineStr">
        <is>
          <t>Low/None</t>
        </is>
      </c>
      <c r="C11" s="16" t="inlineStr">
        <is>
          <t>Non-sensitive data</t>
        </is>
      </c>
      <c r="D11" s="16" t="inlineStr">
        <is>
          <t>No masking required</t>
        </is>
      </c>
      <c r="E11">
        <f>COUNTIF('Classification Matrix'!F:F,"Public")</f>
        <v/>
      </c>
    </row>
    <row r="14">
      <c r="A14" s="15" t="inlineStr">
        <is>
          <t>CLASSIFICATION ASSIGNMENT (51 rows: 1 sample + 50 empty)</t>
        </is>
      </c>
    </row>
    <row r="15">
      <c r="A15" s="5" t="inlineStr">
        <is>
          <t>Data Element ID</t>
        </is>
      </c>
      <c r="B15" s="5" t="inlineStr">
        <is>
          <t>System Name</t>
        </is>
      </c>
      <c r="C15" s="5" t="inlineStr">
        <is>
          <t>Field Name</t>
        </is>
      </c>
      <c r="D15" s="5" t="inlineStr">
        <is>
          <t>Data Category</t>
        </is>
      </c>
      <c r="E15" s="5" t="inlineStr">
        <is>
          <t>Sensitivity Level</t>
        </is>
      </c>
      <c r="F15" s="5" t="inlineStr">
        <is>
          <t>Organisational Classification</t>
        </is>
      </c>
      <c r="G15" s="5" t="inlineStr">
        <is>
          <t>Masking Requirement</t>
        </is>
      </c>
      <c r="H15" s="5" t="inlineStr">
        <is>
          <t>Classification Rationale</t>
        </is>
      </c>
      <c r="I15" s="5" t="inlineStr">
        <is>
          <t>Classified By</t>
        </is>
      </c>
      <c r="J15" s="5" t="inlineStr">
        <is>
          <t>Classification Date</t>
        </is>
      </c>
      <c r="K15" s="5" t="inlineStr">
        <is>
          <t>Last Review Date</t>
        </is>
      </c>
      <c r="L15" s="5" t="inlineStr">
        <is>
          <t>Next Review Date</t>
        </is>
      </c>
    </row>
    <row r="16">
      <c r="A16" s="14" t="inlineStr">
        <is>
          <t>DE-001</t>
        </is>
      </c>
      <c r="B16" s="14" t="inlineStr">
        <is>
          <t>Customer CRM System</t>
        </is>
      </c>
      <c r="C16" s="14" t="inlineStr">
        <is>
          <t>email_address</t>
        </is>
      </c>
      <c r="D16" s="14" t="inlineStr">
        <is>
          <t>CAT-PII-D</t>
        </is>
      </c>
      <c r="E16" s="14" t="inlineStr">
        <is>
          <t>High</t>
        </is>
      </c>
      <c r="F16" s="14" t="inlineStr">
        <is>
          <t>Confidential</t>
        </is>
      </c>
      <c r="G16" s="14" t="inlineStr">
        <is>
          <t>Mandatory in non-prod</t>
        </is>
      </c>
      <c r="H16" s="14" t="inlineStr">
        <is>
          <t>Email field contains direct PII under GDPR/FADP</t>
        </is>
      </c>
      <c r="I16" s="14" t="inlineStr">
        <is>
          <t>Data Protection Officer</t>
        </is>
      </c>
      <c r="J16" s="14" t="inlineStr">
        <is>
          <t>15.01.2026</t>
        </is>
      </c>
      <c r="K16" s="14" t="inlineStr">
        <is>
          <t>15.01.2026</t>
        </is>
      </c>
      <c r="L16" s="14" t="inlineStr">
        <is>
          <t>15.01.2027</t>
        </is>
      </c>
    </row>
    <row r="17">
      <c r="A17" s="14" t="n"/>
      <c r="B17" s="14" t="n"/>
      <c r="C17" s="14" t="n"/>
      <c r="D17" s="14" t="n"/>
      <c r="E17" s="14" t="n"/>
      <c r="F17" s="14" t="n"/>
      <c r="G17" s="14" t="n"/>
      <c r="H17" s="14" t="n"/>
      <c r="I17" s="14" t="n"/>
      <c r="J17" s="14" t="n"/>
      <c r="K17" s="14" t="n"/>
      <c r="L17" s="14" t="n"/>
    </row>
    <row r="18">
      <c r="A18" s="14" t="n"/>
      <c r="B18" s="14" t="n"/>
      <c r="C18" s="14" t="n"/>
      <c r="D18" s="14" t="n"/>
      <c r="E18" s="14" t="n"/>
      <c r="F18" s="14" t="n"/>
      <c r="G18" s="14" t="n"/>
      <c r="H18" s="14" t="n"/>
      <c r="I18" s="14" t="n"/>
      <c r="J18" s="14" t="n"/>
      <c r="K18" s="14" t="n"/>
      <c r="L18" s="14" t="n"/>
    </row>
    <row r="19">
      <c r="A19" s="14" t="n"/>
      <c r="B19" s="14" t="n"/>
      <c r="C19" s="14" t="n"/>
      <c r="D19" s="14" t="n"/>
      <c r="E19" s="14" t="n"/>
      <c r="F19" s="14" t="n"/>
      <c r="G19" s="14" t="n"/>
      <c r="H19" s="14" t="n"/>
      <c r="I19" s="14" t="n"/>
      <c r="J19" s="14" t="n"/>
      <c r="K19" s="14" t="n"/>
      <c r="L19" s="14" t="n"/>
    </row>
    <row r="20">
      <c r="A20" s="14" t="n"/>
      <c r="B20" s="14" t="n"/>
      <c r="C20" s="14" t="n"/>
      <c r="D20" s="14" t="n"/>
      <c r="E20" s="14" t="n"/>
      <c r="F20" s="14" t="n"/>
      <c r="G20" s="14" t="n"/>
      <c r="H20" s="14" t="n"/>
      <c r="I20" s="14" t="n"/>
      <c r="J20" s="14" t="n"/>
      <c r="K20" s="14" t="n"/>
      <c r="L20" s="14" t="n"/>
    </row>
    <row r="21">
      <c r="A21" s="14" t="n"/>
      <c r="B21" s="14" t="n"/>
      <c r="C21" s="14" t="n"/>
      <c r="D21" s="14" t="n"/>
      <c r="E21" s="14" t="n"/>
      <c r="F21" s="14" t="n"/>
      <c r="G21" s="14" t="n"/>
      <c r="H21" s="14" t="n"/>
      <c r="I21" s="14" t="n"/>
      <c r="J21" s="14" t="n"/>
      <c r="K21" s="14" t="n"/>
      <c r="L21" s="14" t="n"/>
    </row>
    <row r="22">
      <c r="A22" s="14" t="n"/>
      <c r="B22" s="14" t="n"/>
      <c r="C22" s="14" t="n"/>
      <c r="D22" s="14" t="n"/>
      <c r="E22" s="14" t="n"/>
      <c r="F22" s="14" t="n"/>
      <c r="G22" s="14" t="n"/>
      <c r="H22" s="14" t="n"/>
      <c r="I22" s="14" t="n"/>
      <c r="J22" s="14" t="n"/>
      <c r="K22" s="14" t="n"/>
      <c r="L22" s="14" t="n"/>
    </row>
    <row r="23">
      <c r="A23" s="14" t="n"/>
      <c r="B23" s="14" t="n"/>
      <c r="C23" s="14" t="n"/>
      <c r="D23" s="14" t="n"/>
      <c r="E23" s="14" t="n"/>
      <c r="F23" s="14" t="n"/>
      <c r="G23" s="14" t="n"/>
      <c r="H23" s="14" t="n"/>
      <c r="I23" s="14" t="n"/>
      <c r="J23" s="14" t="n"/>
      <c r="K23" s="14" t="n"/>
      <c r="L23" s="14" t="n"/>
    </row>
    <row r="24">
      <c r="A24" s="14" t="n"/>
      <c r="B24" s="14" t="n"/>
      <c r="C24" s="14" t="n"/>
      <c r="D24" s="14" t="n"/>
      <c r="E24" s="14" t="n"/>
      <c r="F24" s="14" t="n"/>
      <c r="G24" s="14" t="n"/>
      <c r="H24" s="14" t="n"/>
      <c r="I24" s="14" t="n"/>
      <c r="J24" s="14" t="n"/>
      <c r="K24" s="14" t="n"/>
      <c r="L24" s="14" t="n"/>
    </row>
    <row r="25">
      <c r="A25" s="14" t="n"/>
      <c r="B25" s="14" t="n"/>
      <c r="C25" s="14" t="n"/>
      <c r="D25" s="14" t="n"/>
      <c r="E25" s="14" t="n"/>
      <c r="F25" s="14" t="n"/>
      <c r="G25" s="14" t="n"/>
      <c r="H25" s="14" t="n"/>
      <c r="I25" s="14" t="n"/>
      <c r="J25" s="14" t="n"/>
      <c r="K25" s="14" t="n"/>
      <c r="L25" s="14" t="n"/>
    </row>
    <row r="26">
      <c r="A26" s="14" t="n"/>
      <c r="B26" s="14" t="n"/>
      <c r="C26" s="14" t="n"/>
      <c r="D26" s="14" t="n"/>
      <c r="E26" s="14" t="n"/>
      <c r="F26" s="14" t="n"/>
      <c r="G26" s="14" t="n"/>
      <c r="H26" s="14" t="n"/>
      <c r="I26" s="14" t="n"/>
      <c r="J26" s="14" t="n"/>
      <c r="K26" s="14" t="n"/>
      <c r="L26" s="14" t="n"/>
    </row>
    <row r="27">
      <c r="A27" s="14" t="n"/>
      <c r="B27" s="14" t="n"/>
      <c r="C27" s="14" t="n"/>
      <c r="D27" s="14" t="n"/>
      <c r="E27" s="14" t="n"/>
      <c r="F27" s="14" t="n"/>
      <c r="G27" s="14" t="n"/>
      <c r="H27" s="14" t="n"/>
      <c r="I27" s="14" t="n"/>
      <c r="J27" s="14" t="n"/>
      <c r="K27" s="14" t="n"/>
      <c r="L27" s="14" t="n"/>
    </row>
    <row r="28">
      <c r="A28" s="14" t="n"/>
      <c r="B28" s="14" t="n"/>
      <c r="C28" s="14" t="n"/>
      <c r="D28" s="14" t="n"/>
      <c r="E28" s="14" t="n"/>
      <c r="F28" s="14" t="n"/>
      <c r="G28" s="14" t="n"/>
      <c r="H28" s="14" t="n"/>
      <c r="I28" s="14" t="n"/>
      <c r="J28" s="14" t="n"/>
      <c r="K28" s="14" t="n"/>
      <c r="L28" s="14" t="n"/>
    </row>
    <row r="29">
      <c r="A29" s="14" t="n"/>
      <c r="B29" s="14" t="n"/>
      <c r="C29" s="14" t="n"/>
      <c r="D29" s="14" t="n"/>
      <c r="E29" s="14" t="n"/>
      <c r="F29" s="14" t="n"/>
      <c r="G29" s="14" t="n"/>
      <c r="H29" s="14" t="n"/>
      <c r="I29" s="14" t="n"/>
      <c r="J29" s="14" t="n"/>
      <c r="K29" s="14" t="n"/>
      <c r="L29" s="14" t="n"/>
    </row>
    <row r="30">
      <c r="A30" s="14" t="n"/>
      <c r="B30" s="14" t="n"/>
      <c r="C30" s="14" t="n"/>
      <c r="D30" s="14" t="n"/>
      <c r="E30" s="14" t="n"/>
      <c r="F30" s="14" t="n"/>
      <c r="G30" s="14" t="n"/>
      <c r="H30" s="14" t="n"/>
      <c r="I30" s="14" t="n"/>
      <c r="J30" s="14" t="n"/>
      <c r="K30" s="14" t="n"/>
      <c r="L30" s="14" t="n"/>
    </row>
    <row r="31">
      <c r="A31" s="14" t="n"/>
      <c r="B31" s="14" t="n"/>
      <c r="C31" s="14" t="n"/>
      <c r="D31" s="14" t="n"/>
      <c r="E31" s="14" t="n"/>
      <c r="F31" s="14" t="n"/>
      <c r="G31" s="14" t="n"/>
      <c r="H31" s="14" t="n"/>
      <c r="I31" s="14" t="n"/>
      <c r="J31" s="14" t="n"/>
      <c r="K31" s="14" t="n"/>
      <c r="L31" s="14" t="n"/>
    </row>
    <row r="32">
      <c r="A32" s="14" t="n"/>
      <c r="B32" s="14" t="n"/>
      <c r="C32" s="14" t="n"/>
      <c r="D32" s="14" t="n"/>
      <c r="E32" s="14" t="n"/>
      <c r="F32" s="14" t="n"/>
      <c r="G32" s="14" t="n"/>
      <c r="H32" s="14" t="n"/>
      <c r="I32" s="14" t="n"/>
      <c r="J32" s="14" t="n"/>
      <c r="K32" s="14" t="n"/>
      <c r="L32" s="14" t="n"/>
    </row>
    <row r="33">
      <c r="A33" s="14" t="n"/>
      <c r="B33" s="14" t="n"/>
      <c r="C33" s="14" t="n"/>
      <c r="D33" s="14" t="n"/>
      <c r="E33" s="14" t="n"/>
      <c r="F33" s="14" t="n"/>
      <c r="G33" s="14" t="n"/>
      <c r="H33" s="14" t="n"/>
      <c r="I33" s="14" t="n"/>
      <c r="J33" s="14" t="n"/>
      <c r="K33" s="14" t="n"/>
      <c r="L33" s="14" t="n"/>
    </row>
    <row r="34">
      <c r="A34" s="14" t="n"/>
      <c r="B34" s="14" t="n"/>
      <c r="C34" s="14" t="n"/>
      <c r="D34" s="14" t="n"/>
      <c r="E34" s="14" t="n"/>
      <c r="F34" s="14" t="n"/>
      <c r="G34" s="14" t="n"/>
      <c r="H34" s="14" t="n"/>
      <c r="I34" s="14" t="n"/>
      <c r="J34" s="14" t="n"/>
      <c r="K34" s="14" t="n"/>
      <c r="L34" s="14" t="n"/>
    </row>
    <row r="35">
      <c r="A35" s="14" t="n"/>
      <c r="B35" s="14" t="n"/>
      <c r="C35" s="14" t="n"/>
      <c r="D35" s="14" t="n"/>
      <c r="E35" s="14" t="n"/>
      <c r="F35" s="14" t="n"/>
      <c r="G35" s="14" t="n"/>
      <c r="H35" s="14" t="n"/>
      <c r="I35" s="14" t="n"/>
      <c r="J35" s="14" t="n"/>
      <c r="K35" s="14" t="n"/>
      <c r="L35" s="14" t="n"/>
    </row>
    <row r="36">
      <c r="A36" s="14" t="n"/>
      <c r="B36" s="14" t="n"/>
      <c r="C36" s="14" t="n"/>
      <c r="D36" s="14" t="n"/>
      <c r="E36" s="14" t="n"/>
      <c r="F36" s="14" t="n"/>
      <c r="G36" s="14" t="n"/>
      <c r="H36" s="14" t="n"/>
      <c r="I36" s="14" t="n"/>
      <c r="J36" s="14" t="n"/>
      <c r="K36" s="14" t="n"/>
      <c r="L36" s="14" t="n"/>
    </row>
    <row r="37">
      <c r="A37" s="14" t="n"/>
      <c r="B37" s="14" t="n"/>
      <c r="C37" s="14" t="n"/>
      <c r="D37" s="14" t="n"/>
      <c r="E37" s="14" t="n"/>
      <c r="F37" s="14" t="n"/>
      <c r="G37" s="14" t="n"/>
      <c r="H37" s="14" t="n"/>
      <c r="I37" s="14" t="n"/>
      <c r="J37" s="14" t="n"/>
      <c r="K37" s="14" t="n"/>
      <c r="L37" s="14" t="n"/>
    </row>
    <row r="38">
      <c r="A38" s="14" t="n"/>
      <c r="B38" s="14" t="n"/>
      <c r="C38" s="14" t="n"/>
      <c r="D38" s="14" t="n"/>
      <c r="E38" s="14" t="n"/>
      <c r="F38" s="14" t="n"/>
      <c r="G38" s="14" t="n"/>
      <c r="H38" s="14" t="n"/>
      <c r="I38" s="14" t="n"/>
      <c r="J38" s="14" t="n"/>
      <c r="K38" s="14" t="n"/>
      <c r="L38" s="14" t="n"/>
    </row>
    <row r="39">
      <c r="A39" s="14" t="n"/>
      <c r="B39" s="14" t="n"/>
      <c r="C39" s="14" t="n"/>
      <c r="D39" s="14" t="n"/>
      <c r="E39" s="14" t="n"/>
      <c r="F39" s="14" t="n"/>
      <c r="G39" s="14" t="n"/>
      <c r="H39" s="14" t="n"/>
      <c r="I39" s="14" t="n"/>
      <c r="J39" s="14" t="n"/>
      <c r="K39" s="14" t="n"/>
      <c r="L39" s="14" t="n"/>
    </row>
    <row r="40">
      <c r="A40" s="14" t="n"/>
      <c r="B40" s="14" t="n"/>
      <c r="C40" s="14" t="n"/>
      <c r="D40" s="14" t="n"/>
      <c r="E40" s="14" t="n"/>
      <c r="F40" s="14" t="n"/>
      <c r="G40" s="14" t="n"/>
      <c r="H40" s="14" t="n"/>
      <c r="I40" s="14" t="n"/>
      <c r="J40" s="14" t="n"/>
      <c r="K40" s="14" t="n"/>
      <c r="L40" s="14" t="n"/>
    </row>
    <row r="41">
      <c r="A41" s="14" t="n"/>
      <c r="B41" s="14" t="n"/>
      <c r="C41" s="14" t="n"/>
      <c r="D41" s="14" t="n"/>
      <c r="E41" s="14" t="n"/>
      <c r="F41" s="14" t="n"/>
      <c r="G41" s="14" t="n"/>
      <c r="H41" s="14" t="n"/>
      <c r="I41" s="14" t="n"/>
      <c r="J41" s="14" t="n"/>
      <c r="K41" s="14" t="n"/>
      <c r="L41" s="14" t="n"/>
    </row>
    <row r="42">
      <c r="A42" s="14" t="n"/>
      <c r="B42" s="14" t="n"/>
      <c r="C42" s="14" t="n"/>
      <c r="D42" s="14" t="n"/>
      <c r="E42" s="14" t="n"/>
      <c r="F42" s="14" t="n"/>
      <c r="G42" s="14" t="n"/>
      <c r="H42" s="14" t="n"/>
      <c r="I42" s="14" t="n"/>
      <c r="J42" s="14" t="n"/>
      <c r="K42" s="14" t="n"/>
      <c r="L42" s="14" t="n"/>
    </row>
    <row r="43">
      <c r="A43" s="14" t="n"/>
      <c r="B43" s="14" t="n"/>
      <c r="C43" s="14" t="n"/>
      <c r="D43" s="14" t="n"/>
      <c r="E43" s="14" t="n"/>
      <c r="F43" s="14" t="n"/>
      <c r="G43" s="14" t="n"/>
      <c r="H43" s="14" t="n"/>
      <c r="I43" s="14" t="n"/>
      <c r="J43" s="14" t="n"/>
      <c r="K43" s="14" t="n"/>
      <c r="L43" s="14" t="n"/>
    </row>
    <row r="44">
      <c r="A44" s="14" t="n"/>
      <c r="B44" s="14" t="n"/>
      <c r="C44" s="14" t="n"/>
      <c r="D44" s="14" t="n"/>
      <c r="E44" s="14" t="n"/>
      <c r="F44" s="14" t="n"/>
      <c r="G44" s="14" t="n"/>
      <c r="H44" s="14" t="n"/>
      <c r="I44" s="14" t="n"/>
      <c r="J44" s="14" t="n"/>
      <c r="K44" s="14" t="n"/>
      <c r="L44" s="14" t="n"/>
    </row>
    <row r="45">
      <c r="A45" s="14" t="n"/>
      <c r="B45" s="14" t="n"/>
      <c r="C45" s="14" t="n"/>
      <c r="D45" s="14" t="n"/>
      <c r="E45" s="14" t="n"/>
      <c r="F45" s="14" t="n"/>
      <c r="G45" s="14" t="n"/>
      <c r="H45" s="14" t="n"/>
      <c r="I45" s="14" t="n"/>
      <c r="J45" s="14" t="n"/>
      <c r="K45" s="14" t="n"/>
      <c r="L45" s="14" t="n"/>
    </row>
    <row r="46">
      <c r="A46" s="14" t="n"/>
      <c r="B46" s="14" t="n"/>
      <c r="C46" s="14" t="n"/>
      <c r="D46" s="14" t="n"/>
      <c r="E46" s="14" t="n"/>
      <c r="F46" s="14" t="n"/>
      <c r="G46" s="14" t="n"/>
      <c r="H46" s="14" t="n"/>
      <c r="I46" s="14" t="n"/>
      <c r="J46" s="14" t="n"/>
      <c r="K46" s="14" t="n"/>
      <c r="L46" s="14" t="n"/>
    </row>
    <row r="47">
      <c r="A47" s="14" t="n"/>
      <c r="B47" s="14" t="n"/>
      <c r="C47" s="14" t="n"/>
      <c r="D47" s="14" t="n"/>
      <c r="E47" s="14" t="n"/>
      <c r="F47" s="14" t="n"/>
      <c r="G47" s="14" t="n"/>
      <c r="H47" s="14" t="n"/>
      <c r="I47" s="14" t="n"/>
      <c r="J47" s="14" t="n"/>
      <c r="K47" s="14" t="n"/>
      <c r="L47" s="14" t="n"/>
    </row>
    <row r="48">
      <c r="A48" s="14" t="n"/>
      <c r="B48" s="14" t="n"/>
      <c r="C48" s="14" t="n"/>
      <c r="D48" s="14" t="n"/>
      <c r="E48" s="14" t="n"/>
      <c r="F48" s="14" t="n"/>
      <c r="G48" s="14" t="n"/>
      <c r="H48" s="14" t="n"/>
      <c r="I48" s="14" t="n"/>
      <c r="J48" s="14" t="n"/>
      <c r="K48" s="14" t="n"/>
      <c r="L48" s="14" t="n"/>
    </row>
    <row r="49">
      <c r="A49" s="14" t="n"/>
      <c r="B49" s="14" t="n"/>
      <c r="C49" s="14" t="n"/>
      <c r="D49" s="14" t="n"/>
      <c r="E49" s="14" t="n"/>
      <c r="F49" s="14" t="n"/>
      <c r="G49" s="14" t="n"/>
      <c r="H49" s="14" t="n"/>
      <c r="I49" s="14" t="n"/>
      <c r="J49" s="14" t="n"/>
      <c r="K49" s="14" t="n"/>
      <c r="L49" s="14" t="n"/>
    </row>
    <row r="50">
      <c r="A50" s="14" t="n"/>
      <c r="B50" s="14" t="n"/>
      <c r="C50" s="14" t="n"/>
      <c r="D50" s="14" t="n"/>
      <c r="E50" s="14" t="n"/>
      <c r="F50" s="14" t="n"/>
      <c r="G50" s="14" t="n"/>
      <c r="H50" s="14" t="n"/>
      <c r="I50" s="14" t="n"/>
      <c r="J50" s="14" t="n"/>
      <c r="K50" s="14" t="n"/>
      <c r="L50" s="14" t="n"/>
    </row>
    <row r="51">
      <c r="A51" s="14" t="n"/>
      <c r="B51" s="14" t="n"/>
      <c r="C51" s="14" t="n"/>
      <c r="D51" s="14" t="n"/>
      <c r="E51" s="14" t="n"/>
      <c r="F51" s="14" t="n"/>
      <c r="G51" s="14" t="n"/>
      <c r="H51" s="14" t="n"/>
      <c r="I51" s="14" t="n"/>
      <c r="J51" s="14" t="n"/>
      <c r="K51" s="14" t="n"/>
      <c r="L51" s="14" t="n"/>
    </row>
    <row r="52">
      <c r="A52" s="14" t="n"/>
      <c r="B52" s="14" t="n"/>
      <c r="C52" s="14" t="n"/>
      <c r="D52" s="14" t="n"/>
      <c r="E52" s="14" t="n"/>
      <c r="F52" s="14" t="n"/>
      <c r="G52" s="14" t="n"/>
      <c r="H52" s="14" t="n"/>
      <c r="I52" s="14" t="n"/>
      <c r="J52" s="14" t="n"/>
      <c r="K52" s="14" t="n"/>
      <c r="L52" s="14" t="n"/>
    </row>
    <row r="53">
      <c r="A53" s="14" t="n"/>
      <c r="B53" s="14" t="n"/>
      <c r="C53" s="14" t="n"/>
      <c r="D53" s="14" t="n"/>
      <c r="E53" s="14" t="n"/>
      <c r="F53" s="14" t="n"/>
      <c r="G53" s="14" t="n"/>
      <c r="H53" s="14" t="n"/>
      <c r="I53" s="14" t="n"/>
      <c r="J53" s="14" t="n"/>
      <c r="K53" s="14" t="n"/>
      <c r="L53" s="14" t="n"/>
    </row>
    <row r="54">
      <c r="A54" s="14" t="n"/>
      <c r="B54" s="14" t="n"/>
      <c r="C54" s="14" t="n"/>
      <c r="D54" s="14" t="n"/>
      <c r="E54" s="14" t="n"/>
      <c r="F54" s="14" t="n"/>
      <c r="G54" s="14" t="n"/>
      <c r="H54" s="14" t="n"/>
      <c r="I54" s="14" t="n"/>
      <c r="J54" s="14" t="n"/>
      <c r="K54" s="14" t="n"/>
      <c r="L54" s="14" t="n"/>
    </row>
    <row r="55">
      <c r="A55" s="14" t="n"/>
      <c r="B55" s="14" t="n"/>
      <c r="C55" s="14" t="n"/>
      <c r="D55" s="14" t="n"/>
      <c r="E55" s="14" t="n"/>
      <c r="F55" s="14" t="n"/>
      <c r="G55" s="14" t="n"/>
      <c r="H55" s="14" t="n"/>
      <c r="I55" s="14" t="n"/>
      <c r="J55" s="14" t="n"/>
      <c r="K55" s="14" t="n"/>
      <c r="L55" s="14" t="n"/>
    </row>
    <row r="56">
      <c r="A56" s="14" t="n"/>
      <c r="B56" s="14" t="n"/>
      <c r="C56" s="14" t="n"/>
      <c r="D56" s="14" t="n"/>
      <c r="E56" s="14" t="n"/>
      <c r="F56" s="14" t="n"/>
      <c r="G56" s="14" t="n"/>
      <c r="H56" s="14" t="n"/>
      <c r="I56" s="14" t="n"/>
      <c r="J56" s="14" t="n"/>
      <c r="K56" s="14" t="n"/>
      <c r="L56" s="14" t="n"/>
    </row>
    <row r="57">
      <c r="A57" s="14" t="n"/>
      <c r="B57" s="14" t="n"/>
      <c r="C57" s="14" t="n"/>
      <c r="D57" s="14" t="n"/>
      <c r="E57" s="14" t="n"/>
      <c r="F57" s="14" t="n"/>
      <c r="G57" s="14" t="n"/>
      <c r="H57" s="14" t="n"/>
      <c r="I57" s="14" t="n"/>
      <c r="J57" s="14" t="n"/>
      <c r="K57" s="14" t="n"/>
      <c r="L57" s="14" t="n"/>
    </row>
    <row r="58">
      <c r="A58" s="14" t="n"/>
      <c r="B58" s="14" t="n"/>
      <c r="C58" s="14" t="n"/>
      <c r="D58" s="14" t="n"/>
      <c r="E58" s="14" t="n"/>
      <c r="F58" s="14" t="n"/>
      <c r="G58" s="14" t="n"/>
      <c r="H58" s="14" t="n"/>
      <c r="I58" s="14" t="n"/>
      <c r="J58" s="14" t="n"/>
      <c r="K58" s="14" t="n"/>
      <c r="L58" s="14" t="n"/>
    </row>
    <row r="59">
      <c r="A59" s="14" t="n"/>
      <c r="B59" s="14" t="n"/>
      <c r="C59" s="14" t="n"/>
      <c r="D59" s="14" t="n"/>
      <c r="E59" s="14" t="n"/>
      <c r="F59" s="14" t="n"/>
      <c r="G59" s="14" t="n"/>
      <c r="H59" s="14" t="n"/>
      <c r="I59" s="14" t="n"/>
      <c r="J59" s="14" t="n"/>
      <c r="K59" s="14" t="n"/>
      <c r="L59" s="14" t="n"/>
    </row>
    <row r="60">
      <c r="A60" s="14" t="n"/>
      <c r="B60" s="14" t="n"/>
      <c r="C60" s="14" t="n"/>
      <c r="D60" s="14" t="n"/>
      <c r="E60" s="14" t="n"/>
      <c r="F60" s="14" t="n"/>
      <c r="G60" s="14" t="n"/>
      <c r="H60" s="14" t="n"/>
      <c r="I60" s="14" t="n"/>
      <c r="J60" s="14" t="n"/>
      <c r="K60" s="14" t="n"/>
      <c r="L60" s="14" t="n"/>
    </row>
    <row r="61">
      <c r="A61" s="14" t="n"/>
      <c r="B61" s="14" t="n"/>
      <c r="C61" s="14" t="n"/>
      <c r="D61" s="14" t="n"/>
      <c r="E61" s="14" t="n"/>
      <c r="F61" s="14" t="n"/>
      <c r="G61" s="14" t="n"/>
      <c r="H61" s="14" t="n"/>
      <c r="I61" s="14" t="n"/>
      <c r="J61" s="14" t="n"/>
      <c r="K61" s="14" t="n"/>
      <c r="L61" s="14" t="n"/>
    </row>
    <row r="62">
      <c r="A62" s="14" t="n"/>
      <c r="B62" s="14" t="n"/>
      <c r="C62" s="14" t="n"/>
      <c r="D62" s="14" t="n"/>
      <c r="E62" s="14" t="n"/>
      <c r="F62" s="14" t="n"/>
      <c r="G62" s="14" t="n"/>
      <c r="H62" s="14" t="n"/>
      <c r="I62" s="14" t="n"/>
      <c r="J62" s="14" t="n"/>
      <c r="K62" s="14" t="n"/>
      <c r="L62" s="14" t="n"/>
    </row>
    <row r="63">
      <c r="A63" s="14" t="n"/>
      <c r="B63" s="14" t="n"/>
      <c r="C63" s="14" t="n"/>
      <c r="D63" s="14" t="n"/>
      <c r="E63" s="14" t="n"/>
      <c r="F63" s="14" t="n"/>
      <c r="G63" s="14" t="n"/>
      <c r="H63" s="14" t="n"/>
      <c r="I63" s="14" t="n"/>
      <c r="J63" s="14" t="n"/>
      <c r="K63" s="14" t="n"/>
      <c r="L63" s="14" t="n"/>
    </row>
    <row r="64">
      <c r="A64" s="14" t="n"/>
      <c r="B64" s="14" t="n"/>
      <c r="C64" s="14" t="n"/>
      <c r="D64" s="14" t="n"/>
      <c r="E64" s="14" t="n"/>
      <c r="F64" s="14" t="n"/>
      <c r="G64" s="14" t="n"/>
      <c r="H64" s="14" t="n"/>
      <c r="I64" s="14" t="n"/>
      <c r="J64" s="14" t="n"/>
      <c r="K64" s="14" t="n"/>
      <c r="L64" s="14" t="n"/>
    </row>
    <row r="65">
      <c r="A65" s="14" t="n"/>
      <c r="B65" s="14" t="n"/>
      <c r="C65" s="14" t="n"/>
      <c r="D65" s="14" t="n"/>
      <c r="E65" s="14" t="n"/>
      <c r="F65" s="14" t="n"/>
      <c r="G65" s="14" t="n"/>
      <c r="H65" s="14" t="n"/>
      <c r="I65" s="14" t="n"/>
      <c r="J65" s="14" t="n"/>
      <c r="K65" s="14" t="n"/>
      <c r="L65" s="14" t="n"/>
    </row>
    <row r="66">
      <c r="A66" s="14" t="n"/>
      <c r="B66" s="14" t="n"/>
      <c r="C66" s="14" t="n"/>
      <c r="D66" s="14" t="n"/>
      <c r="E66" s="14" t="n"/>
      <c r="F66" s="14" t="n"/>
      <c r="G66" s="14" t="n"/>
      <c r="H66" s="14" t="n"/>
      <c r="I66" s="14" t="n"/>
      <c r="J66" s="14" t="n"/>
      <c r="K66" s="14" t="n"/>
      <c r="L66" s="14" t="n"/>
    </row>
    <row r="68">
      <c r="A68" s="15" t="inlineStr">
        <is>
          <t>CLASSIFICATION CHECKLIST</t>
        </is>
      </c>
    </row>
    <row r="69">
      <c r="A69" s="5" t="inlineStr">
        <is>
          <t>#</t>
        </is>
      </c>
      <c r="B69" s="5" t="inlineStr">
        <is>
          <t>Checklist Item</t>
        </is>
      </c>
      <c r="C69" s="5" t="inlineStr">
        <is>
          <t>Status</t>
        </is>
      </c>
      <c r="D69" s="5" t="inlineStr">
        <is>
          <t>Evidence</t>
        </is>
      </c>
      <c r="E69" s="5" t="inlineStr">
        <is>
          <t>Notes</t>
        </is>
      </c>
    </row>
    <row r="70">
      <c r="A70" t="n">
        <v>1</v>
      </c>
      <c r="B70" s="16" t="inlineStr">
        <is>
          <t>Is organisational classification scheme defined?</t>
        </is>
      </c>
      <c r="C70" s="14" t="n"/>
      <c r="D70" s="14" t="n"/>
      <c r="E70" s="14" t="n"/>
    </row>
    <row r="71">
      <c r="A71" t="n">
        <v>2</v>
      </c>
      <c r="B71" s="16" t="inlineStr">
        <is>
          <t>Are all sensitive fields classified?</t>
        </is>
      </c>
      <c r="C71" s="14" t="n"/>
      <c r="D71" s="14" t="n"/>
      <c r="E71" s="14" t="n"/>
    </row>
    <row r="72">
      <c r="A72" t="n">
        <v>3</v>
      </c>
      <c r="B72" s="16" t="inlineStr">
        <is>
          <t>Is classification aligned with data categories?</t>
        </is>
      </c>
      <c r="C72" s="14" t="n"/>
      <c r="D72" s="14" t="n"/>
      <c r="E72" s="14" t="n"/>
    </row>
    <row r="73">
      <c r="A73" t="n">
        <v>4</v>
      </c>
      <c r="B73" s="16" t="inlineStr">
        <is>
          <t>Are masking requirements derived from classification?</t>
        </is>
      </c>
      <c r="C73" s="14" t="n"/>
      <c r="D73" s="14" t="n"/>
      <c r="E73" s="14" t="n"/>
    </row>
    <row r="74">
      <c r="A74" t="n">
        <v>5</v>
      </c>
      <c r="B74" s="16" t="inlineStr">
        <is>
          <t>Is classification rationale documented?</t>
        </is>
      </c>
      <c r="C74" s="14" t="n"/>
      <c r="D74" s="14" t="n"/>
      <c r="E74" s="14" t="n"/>
    </row>
    <row r="75">
      <c r="A75" t="n">
        <v>6</v>
      </c>
      <c r="B75" s="16" t="inlineStr">
        <is>
          <t>Are classifiers identified per field?</t>
        </is>
      </c>
      <c r="C75" s="14" t="n"/>
      <c r="D75" s="14" t="n"/>
      <c r="E75" s="14" t="n"/>
    </row>
    <row r="76">
      <c r="A76" t="n">
        <v>7</v>
      </c>
      <c r="B76" s="16" t="inlineStr">
        <is>
          <t>Is classification reviewed annually?</t>
        </is>
      </c>
      <c r="C76" s="14" t="n"/>
      <c r="D76" s="14" t="n"/>
      <c r="E76" s="14" t="n"/>
    </row>
    <row r="77">
      <c r="A77" t="n">
        <v>8</v>
      </c>
      <c r="B77" s="16" t="inlineStr">
        <is>
          <t>Are regulatory overrides documented?</t>
        </is>
      </c>
      <c r="C77" s="14" t="n"/>
      <c r="D77" s="14" t="n"/>
      <c r="E77" s="14" t="n"/>
    </row>
    <row r="78">
      <c r="A78" t="n">
        <v>9</v>
      </c>
      <c r="B78" s="16" t="inlineStr">
        <is>
          <t>Is reclassification process defined?</t>
        </is>
      </c>
      <c r="C78" s="14" t="n"/>
      <c r="D78" s="14" t="n"/>
      <c r="E78" s="14" t="n"/>
    </row>
    <row r="79">
      <c r="A79" t="n">
        <v>10</v>
      </c>
      <c r="B79" s="16" t="inlineStr">
        <is>
          <t>Are classification changes tracked?</t>
        </is>
      </c>
      <c r="C79" s="14" t="n"/>
      <c r="D79" s="14" t="n"/>
      <c r="E79" s="14" t="n"/>
    </row>
  </sheetData>
  <mergeCells count="6">
    <mergeCell ref="A2:L2"/>
    <mergeCell ref="A1:L1"/>
    <mergeCell ref="A68:E68"/>
    <mergeCell ref="A14:L14"/>
    <mergeCell ref="A6:L6"/>
    <mergeCell ref="A3:L3"/>
  </mergeCells>
  <dataValidations count="3">
    <dataValidation sqref="B4" showDropDown="0" showInputMessage="0" showErrorMessage="0" allowBlank="0" type="list">
      <formula1>"Yes,No,Partial,Planned,N/A"</formula1>
    </dataValidation>
    <dataValidation sqref="C70 C71 C72 C73 C74 C75 C76 C77 C78 C79" showDropDown="0" showInputMessage="0" showErrorMessage="0" allowBlank="0" type="list">
      <formula1>"✅ Complete,⚠️ Partial,❌ Missing,ὌB Planned,N/A"</formula1>
    </dataValidation>
    <dataValidation sqref="F16 F17 F18 F19 F20 F21 F22 F23 F24 F25 F26 F27 F28 F29 F30 F31 F32 F33 F34 F35 F36 F37 F38 F39 F40 F41 F42 F43 F44 F45 F46 F47 F48 F49 F50 F51 F52 F53 F54 F55 F56 F57 F58 F59 F60 F61 F62 F63 F64 F65 F66" showDropDown="0" showInputMessage="0" showErrorMessage="0" allowBlank="0" type="list">
      <formula1>"Restricted,Confidential,Internal,Public"</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82"/>
  <sheetViews>
    <sheetView showGridLines="0" workbookViewId="0">
      <pane ySplit="16" topLeftCell="A17" activePane="bottomLeft" state="frozen"/>
      <selection pane="bottomLeft" activeCell="A1" sqref="A1"/>
    </sheetView>
  </sheetViews>
  <sheetFormatPr baseColWidth="8" defaultRowHeight="15"/>
  <cols>
    <col width="15" customWidth="1" min="1" max="1"/>
    <col width="45" customWidth="1" min="2" max="2"/>
    <col width="25" customWidth="1" min="3" max="3"/>
    <col width="15" customWidth="1" min="4" max="4"/>
    <col width="15" customWidth="1" min="5" max="5"/>
    <col width="15" customWidth="1" min="6" max="6"/>
    <col width="15" customWidth="1" min="7" max="7"/>
    <col width="15" customWidth="1" min="8" max="8"/>
    <col width="15" customWidth="1" min="9" max="9"/>
    <col width="20" customWidth="1" min="10" max="10"/>
    <col width="18" customWidth="1" min="11" max="11"/>
    <col width="25" customWidth="1" min="12" max="12"/>
    <col width="15" customWidth="1" min="13" max="13"/>
    <col width="30" customWidth="1" min="14" max="14"/>
  </cols>
  <sheetData>
    <row r="1" ht="35" customHeight="1">
      <c r="A1" s="1" t="inlineStr">
        <is>
          <t>REGULATORY REQUIREMENT MAPPING</t>
        </is>
      </c>
    </row>
    <row r="2">
      <c r="A2" s="11" t="inlineStr">
        <is>
          <t>Map data to applicable privacy and security regulations</t>
        </is>
      </c>
    </row>
    <row r="3">
      <c r="A3" s="15" t="inlineStr">
        <is>
          <t>Has your organisation identified which data is subject to specific regulatory requirements?</t>
        </is>
      </c>
    </row>
    <row r="4">
      <c r="A4" s="13" t="inlineStr">
        <is>
          <t>Response:</t>
        </is>
      </c>
      <c r="B4" s="14" t="n"/>
    </row>
    <row r="6">
      <c r="A6" s="15" t="inlineStr">
        <is>
          <t>REGULATORY SUMMARY</t>
        </is>
      </c>
    </row>
    <row r="7">
      <c r="A7" s="5" t="inlineStr">
        <is>
          <t>Regulation</t>
        </is>
      </c>
      <c r="B7" s="5" t="inlineStr">
        <is>
          <t>Applicability</t>
        </is>
      </c>
      <c r="C7" s="5" t="inlineStr">
        <is>
          <t>Data Categories in Scope</t>
        </is>
      </c>
      <c r="D7" s="5" t="inlineStr">
        <is>
          <t>Field Count</t>
        </is>
      </c>
      <c r="E7" s="5" t="inlineStr">
        <is>
          <t>Masking Mandated?</t>
        </is>
      </c>
    </row>
    <row r="8">
      <c r="A8" t="inlineStr">
        <is>
          <t>GDPR (EU)</t>
        </is>
      </c>
      <c r="B8" s="14" t="inlineStr"/>
      <c r="C8" t="inlineStr">
        <is>
          <t>Art. 32 Security</t>
        </is>
      </c>
      <c r="D8">
        <f>COUNTIF('Regulatory Mapping'!E:E,"Yes")</f>
        <v/>
      </c>
      <c r="E8" t="inlineStr">
        <is>
          <t>Yes (Art. 32)</t>
        </is>
      </c>
    </row>
    <row r="9">
      <c r="A9" t="inlineStr">
        <is>
          <t>FADP (Switzerland)</t>
        </is>
      </c>
      <c r="B9" s="14" t="inlineStr"/>
      <c r="C9" t="inlineStr">
        <is>
          <t>Data Protection</t>
        </is>
      </c>
      <c r="D9">
        <f>COUNTIF('Regulatory Mapping'!E:E,"Yes")</f>
        <v/>
      </c>
      <c r="E9" t="inlineStr">
        <is>
          <t>Yes</t>
        </is>
      </c>
    </row>
    <row r="10">
      <c r="A10" t="inlineStr">
        <is>
          <t>HIPAA (US - if applicable)</t>
        </is>
      </c>
      <c r="B10" s="14" t="inlineStr"/>
      <c r="C10" t="inlineStr">
        <is>
          <t>Protected Health Info</t>
        </is>
      </c>
      <c r="D10">
        <f>COUNTIF('Regulatory Mapping'!E:E,"Yes")</f>
        <v/>
      </c>
      <c r="E10" t="inlineStr">
        <is>
          <t>Yes</t>
        </is>
      </c>
    </row>
    <row r="11">
      <c r="A11" t="inlineStr">
        <is>
          <t>PCI-DSS (if processing cards)</t>
        </is>
      </c>
      <c r="B11" s="14" t="inlineStr"/>
      <c r="C11" t="inlineStr">
        <is>
          <t>Cardholder Data</t>
        </is>
      </c>
      <c r="D11">
        <f>COUNTIF('Regulatory Mapping'!E:E,"Yes")</f>
        <v/>
      </c>
      <c r="E11" t="inlineStr">
        <is>
          <t>Yes (Req 3.4)</t>
        </is>
      </c>
    </row>
    <row r="12">
      <c r="A12" t="inlineStr">
        <is>
          <t>CCPA/CPRA (California)</t>
        </is>
      </c>
      <c r="B12" s="14" t="inlineStr"/>
      <c r="C12" t="inlineStr">
        <is>
          <t>Consumer Privacy</t>
        </is>
      </c>
      <c r="D12">
        <f>COUNTIF('Regulatory Mapping'!E:E,"Yes")</f>
        <v/>
      </c>
      <c r="E12" t="inlineStr">
        <is>
          <t>Recommended</t>
        </is>
      </c>
    </row>
    <row r="13">
      <c r="A13" t="inlineStr">
        <is>
          <t>Other (specify)</t>
        </is>
      </c>
      <c r="B13" s="14" t="inlineStr"/>
      <c r="C13" t="inlineStr"/>
      <c r="D13">
        <f>COUNTIF('Regulatory Mapping'!E:E,"Yes")</f>
        <v/>
      </c>
      <c r="E13" t="inlineStr"/>
    </row>
    <row r="15">
      <c r="A15" s="15" t="inlineStr">
        <is>
          <t>DETAILED REGULATORY MAPPING (51 rows: 1 sample + 50 empty)</t>
        </is>
      </c>
    </row>
    <row r="16">
      <c r="A16" s="5" t="inlineStr">
        <is>
          <t>Data Element ID</t>
        </is>
      </c>
      <c r="B16" s="5" t="inlineStr">
        <is>
          <t>System Name</t>
        </is>
      </c>
      <c r="C16" s="5" t="inlineStr">
        <is>
          <t>Field Name</t>
        </is>
      </c>
      <c r="D16" s="5" t="inlineStr">
        <is>
          <t>Data Category</t>
        </is>
      </c>
      <c r="E16" s="5" t="inlineStr">
        <is>
          <t>GDPR Applicable?</t>
        </is>
      </c>
      <c r="F16" s="5" t="inlineStr">
        <is>
          <t>GDPR Article</t>
        </is>
      </c>
      <c r="G16" s="5" t="inlineStr">
        <is>
          <t>FADP Applicable?</t>
        </is>
      </c>
      <c r="H16" s="5" t="inlineStr">
        <is>
          <t>HIPAA Applicable?</t>
        </is>
      </c>
      <c r="I16" s="5" t="inlineStr">
        <is>
          <t>PCI-DSS Applicable?</t>
        </is>
      </c>
      <c r="J16" s="5" t="inlineStr">
        <is>
          <t>Other Regulations</t>
        </is>
      </c>
      <c r="K16" s="5" t="inlineStr">
        <is>
          <t>Masking Mandated by Reg?</t>
        </is>
      </c>
      <c r="L16" s="5" t="inlineStr">
        <is>
          <t>Regulatory Reference</t>
        </is>
      </c>
      <c r="M16" s="5" t="inlineStr">
        <is>
          <t>Compliance Deadline</t>
        </is>
      </c>
      <c r="N16" s="5" t="inlineStr">
        <is>
          <t>Notes</t>
        </is>
      </c>
    </row>
    <row r="17">
      <c r="A17" s="14" t="inlineStr">
        <is>
          <t>DE-001</t>
        </is>
      </c>
      <c r="B17" s="14" t="inlineStr">
        <is>
          <t>Customer CRM System</t>
        </is>
      </c>
      <c r="C17" s="14" t="inlineStr">
        <is>
          <t>email_address</t>
        </is>
      </c>
      <c r="D17" s="14" t="inlineStr">
        <is>
          <t>CAT-PII-D</t>
        </is>
      </c>
      <c r="E17" s="14" t="inlineStr">
        <is>
          <t>Yes</t>
        </is>
      </c>
      <c r="F17" s="14" t="inlineStr">
        <is>
          <t>Art. 4(1), Art. 32</t>
        </is>
      </c>
      <c r="G17" s="14" t="inlineStr">
        <is>
          <t>Yes</t>
        </is>
      </c>
      <c r="H17" s="14" t="inlineStr">
        <is>
          <t>No</t>
        </is>
      </c>
      <c r="I17" s="14" t="inlineStr">
        <is>
          <t>No</t>
        </is>
      </c>
      <c r="J17" s="14" t="inlineStr"/>
      <c r="K17" s="14" t="inlineStr">
        <is>
          <t>Yes</t>
        </is>
      </c>
      <c r="L17" s="14" t="inlineStr">
        <is>
          <t>GDPR Art. 32 (security); FADP Art. 7</t>
        </is>
      </c>
      <c r="M17" s="14" t="inlineStr"/>
      <c r="N17" s="14" t="inlineStr">
        <is>
          <t>Email is direct PII under both GDPR and FADP</t>
        </is>
      </c>
    </row>
    <row r="18">
      <c r="A18" s="14" t="n"/>
      <c r="B18" s="14" t="n"/>
      <c r="C18" s="14" t="n"/>
      <c r="D18" s="14" t="n"/>
      <c r="E18" s="14" t="n"/>
      <c r="F18" s="14" t="n"/>
      <c r="G18" s="14" t="n"/>
      <c r="H18" s="14" t="n"/>
      <c r="I18" s="14" t="n"/>
      <c r="J18" s="14" t="n"/>
      <c r="K18" s="14" t="n"/>
      <c r="L18" s="14" t="n"/>
      <c r="M18" s="14" t="n"/>
      <c r="N18" s="14" t="n"/>
    </row>
    <row r="19">
      <c r="A19" s="14" t="n"/>
      <c r="B19" s="14" t="n"/>
      <c r="C19" s="14" t="n"/>
      <c r="D19" s="14" t="n"/>
      <c r="E19" s="14" t="n"/>
      <c r="F19" s="14" t="n"/>
      <c r="G19" s="14" t="n"/>
      <c r="H19" s="14" t="n"/>
      <c r="I19" s="14" t="n"/>
      <c r="J19" s="14" t="n"/>
      <c r="K19" s="14" t="n"/>
      <c r="L19" s="14" t="n"/>
      <c r="M19" s="14" t="n"/>
      <c r="N19" s="14" t="n"/>
    </row>
    <row r="20">
      <c r="A20" s="14" t="n"/>
      <c r="B20" s="14" t="n"/>
      <c r="C20" s="14" t="n"/>
      <c r="D20" s="14" t="n"/>
      <c r="E20" s="14" t="n"/>
      <c r="F20" s="14" t="n"/>
      <c r="G20" s="14" t="n"/>
      <c r="H20" s="14" t="n"/>
      <c r="I20" s="14" t="n"/>
      <c r="J20" s="14" t="n"/>
      <c r="K20" s="14" t="n"/>
      <c r="L20" s="14" t="n"/>
      <c r="M20" s="14" t="n"/>
      <c r="N20" s="14" t="n"/>
    </row>
    <row r="21">
      <c r="A21" s="14" t="n"/>
      <c r="B21" s="14" t="n"/>
      <c r="C21" s="14" t="n"/>
      <c r="D21" s="14" t="n"/>
      <c r="E21" s="14" t="n"/>
      <c r="F21" s="14" t="n"/>
      <c r="G21" s="14" t="n"/>
      <c r="H21" s="14" t="n"/>
      <c r="I21" s="14" t="n"/>
      <c r="J21" s="14" t="n"/>
      <c r="K21" s="14" t="n"/>
      <c r="L21" s="14" t="n"/>
      <c r="M21" s="14" t="n"/>
      <c r="N21" s="14" t="n"/>
    </row>
    <row r="22">
      <c r="A22" s="14" t="n"/>
      <c r="B22" s="14" t="n"/>
      <c r="C22" s="14" t="n"/>
      <c r="D22" s="14" t="n"/>
      <c r="E22" s="14" t="n"/>
      <c r="F22" s="14" t="n"/>
      <c r="G22" s="14" t="n"/>
      <c r="H22" s="14" t="n"/>
      <c r="I22" s="14" t="n"/>
      <c r="J22" s="14" t="n"/>
      <c r="K22" s="14" t="n"/>
      <c r="L22" s="14" t="n"/>
      <c r="M22" s="14" t="n"/>
      <c r="N22" s="14" t="n"/>
    </row>
    <row r="23">
      <c r="A23" s="14" t="n"/>
      <c r="B23" s="14" t="n"/>
      <c r="C23" s="14" t="n"/>
      <c r="D23" s="14" t="n"/>
      <c r="E23" s="14" t="n"/>
      <c r="F23" s="14" t="n"/>
      <c r="G23" s="14" t="n"/>
      <c r="H23" s="14" t="n"/>
      <c r="I23" s="14" t="n"/>
      <c r="J23" s="14" t="n"/>
      <c r="K23" s="14" t="n"/>
      <c r="L23" s="14" t="n"/>
      <c r="M23" s="14" t="n"/>
      <c r="N23" s="14" t="n"/>
    </row>
    <row r="24">
      <c r="A24" s="14" t="n"/>
      <c r="B24" s="14" t="n"/>
      <c r="C24" s="14" t="n"/>
      <c r="D24" s="14" t="n"/>
      <c r="E24" s="14" t="n"/>
      <c r="F24" s="14" t="n"/>
      <c r="G24" s="14" t="n"/>
      <c r="H24" s="14" t="n"/>
      <c r="I24" s="14" t="n"/>
      <c r="J24" s="14" t="n"/>
      <c r="K24" s="14" t="n"/>
      <c r="L24" s="14" t="n"/>
      <c r="M24" s="14" t="n"/>
      <c r="N24" s="14" t="n"/>
    </row>
    <row r="25">
      <c r="A25" s="14" t="n"/>
      <c r="B25" s="14" t="n"/>
      <c r="C25" s="14" t="n"/>
      <c r="D25" s="14" t="n"/>
      <c r="E25" s="14" t="n"/>
      <c r="F25" s="14" t="n"/>
      <c r="G25" s="14" t="n"/>
      <c r="H25" s="14" t="n"/>
      <c r="I25" s="14" t="n"/>
      <c r="J25" s="14" t="n"/>
      <c r="K25" s="14" t="n"/>
      <c r="L25" s="14" t="n"/>
      <c r="M25" s="14" t="n"/>
      <c r="N25" s="14" t="n"/>
    </row>
    <row r="26">
      <c r="A26" s="14" t="n"/>
      <c r="B26" s="14" t="n"/>
      <c r="C26" s="14" t="n"/>
      <c r="D26" s="14" t="n"/>
      <c r="E26" s="14" t="n"/>
      <c r="F26" s="14" t="n"/>
      <c r="G26" s="14" t="n"/>
      <c r="H26" s="14" t="n"/>
      <c r="I26" s="14" t="n"/>
      <c r="J26" s="14" t="n"/>
      <c r="K26" s="14" t="n"/>
      <c r="L26" s="14" t="n"/>
      <c r="M26" s="14" t="n"/>
      <c r="N26" s="14" t="n"/>
    </row>
    <row r="27">
      <c r="A27" s="14" t="n"/>
      <c r="B27" s="14" t="n"/>
      <c r="C27" s="14" t="n"/>
      <c r="D27" s="14" t="n"/>
      <c r="E27" s="14" t="n"/>
      <c r="F27" s="14" t="n"/>
      <c r="G27" s="14" t="n"/>
      <c r="H27" s="14" t="n"/>
      <c r="I27" s="14" t="n"/>
      <c r="J27" s="14" t="n"/>
      <c r="K27" s="14" t="n"/>
      <c r="L27" s="14" t="n"/>
      <c r="M27" s="14" t="n"/>
      <c r="N27" s="14" t="n"/>
    </row>
    <row r="28">
      <c r="A28" s="14" t="n"/>
      <c r="B28" s="14" t="n"/>
      <c r="C28" s="14" t="n"/>
      <c r="D28" s="14" t="n"/>
      <c r="E28" s="14" t="n"/>
      <c r="F28" s="14" t="n"/>
      <c r="G28" s="14" t="n"/>
      <c r="H28" s="14" t="n"/>
      <c r="I28" s="14" t="n"/>
      <c r="J28" s="14" t="n"/>
      <c r="K28" s="14" t="n"/>
      <c r="L28" s="14" t="n"/>
      <c r="M28" s="14" t="n"/>
      <c r="N28" s="14" t="n"/>
    </row>
    <row r="29">
      <c r="A29" s="14" t="n"/>
      <c r="B29" s="14" t="n"/>
      <c r="C29" s="14" t="n"/>
      <c r="D29" s="14" t="n"/>
      <c r="E29" s="14" t="n"/>
      <c r="F29" s="14" t="n"/>
      <c r="G29" s="14" t="n"/>
      <c r="H29" s="14" t="n"/>
      <c r="I29" s="14" t="n"/>
      <c r="J29" s="14" t="n"/>
      <c r="K29" s="14" t="n"/>
      <c r="L29" s="14" t="n"/>
      <c r="M29" s="14" t="n"/>
      <c r="N29" s="14" t="n"/>
    </row>
    <row r="30">
      <c r="A30" s="14" t="n"/>
      <c r="B30" s="14" t="n"/>
      <c r="C30" s="14" t="n"/>
      <c r="D30" s="14" t="n"/>
      <c r="E30" s="14" t="n"/>
      <c r="F30" s="14" t="n"/>
      <c r="G30" s="14" t="n"/>
      <c r="H30" s="14" t="n"/>
      <c r="I30" s="14" t="n"/>
      <c r="J30" s="14" t="n"/>
      <c r="K30" s="14" t="n"/>
      <c r="L30" s="14" t="n"/>
      <c r="M30" s="14" t="n"/>
      <c r="N30" s="14" t="n"/>
    </row>
    <row r="31">
      <c r="A31" s="14" t="n"/>
      <c r="B31" s="14" t="n"/>
      <c r="C31" s="14" t="n"/>
      <c r="D31" s="14" t="n"/>
      <c r="E31" s="14" t="n"/>
      <c r="F31" s="14" t="n"/>
      <c r="G31" s="14" t="n"/>
      <c r="H31" s="14" t="n"/>
      <c r="I31" s="14" t="n"/>
      <c r="J31" s="14" t="n"/>
      <c r="K31" s="14" t="n"/>
      <c r="L31" s="14" t="n"/>
      <c r="M31" s="14" t="n"/>
      <c r="N31" s="14" t="n"/>
    </row>
    <row r="32">
      <c r="A32" s="14" t="n"/>
      <c r="B32" s="14" t="n"/>
      <c r="C32" s="14" t="n"/>
      <c r="D32" s="14" t="n"/>
      <c r="E32" s="14" t="n"/>
      <c r="F32" s="14" t="n"/>
      <c r="G32" s="14" t="n"/>
      <c r="H32" s="14" t="n"/>
      <c r="I32" s="14" t="n"/>
      <c r="J32" s="14" t="n"/>
      <c r="K32" s="14" t="n"/>
      <c r="L32" s="14" t="n"/>
      <c r="M32" s="14" t="n"/>
      <c r="N32" s="14" t="n"/>
    </row>
    <row r="33">
      <c r="A33" s="14" t="n"/>
      <c r="B33" s="14" t="n"/>
      <c r="C33" s="14" t="n"/>
      <c r="D33" s="14" t="n"/>
      <c r="E33" s="14" t="n"/>
      <c r="F33" s="14" t="n"/>
      <c r="G33" s="14" t="n"/>
      <c r="H33" s="14" t="n"/>
      <c r="I33" s="14" t="n"/>
      <c r="J33" s="14" t="n"/>
      <c r="K33" s="14" t="n"/>
      <c r="L33" s="14" t="n"/>
      <c r="M33" s="14" t="n"/>
      <c r="N33" s="14" t="n"/>
    </row>
    <row r="34">
      <c r="A34" s="14" t="n"/>
      <c r="B34" s="14" t="n"/>
      <c r="C34" s="14" t="n"/>
      <c r="D34" s="14" t="n"/>
      <c r="E34" s="14" t="n"/>
      <c r="F34" s="14" t="n"/>
      <c r="G34" s="14" t="n"/>
      <c r="H34" s="14" t="n"/>
      <c r="I34" s="14" t="n"/>
      <c r="J34" s="14" t="n"/>
      <c r="K34" s="14" t="n"/>
      <c r="L34" s="14" t="n"/>
      <c r="M34" s="14" t="n"/>
      <c r="N34" s="14" t="n"/>
    </row>
    <row r="35">
      <c r="A35" s="14" t="n"/>
      <c r="B35" s="14" t="n"/>
      <c r="C35" s="14" t="n"/>
      <c r="D35" s="14" t="n"/>
      <c r="E35" s="14" t="n"/>
      <c r="F35" s="14" t="n"/>
      <c r="G35" s="14" t="n"/>
      <c r="H35" s="14" t="n"/>
      <c r="I35" s="14" t="n"/>
      <c r="J35" s="14" t="n"/>
      <c r="K35" s="14" t="n"/>
      <c r="L35" s="14" t="n"/>
      <c r="M35" s="14" t="n"/>
      <c r="N35" s="14" t="n"/>
    </row>
    <row r="36">
      <c r="A36" s="14" t="n"/>
      <c r="B36" s="14" t="n"/>
      <c r="C36" s="14" t="n"/>
      <c r="D36" s="14" t="n"/>
      <c r="E36" s="14" t="n"/>
      <c r="F36" s="14" t="n"/>
      <c r="G36" s="14" t="n"/>
      <c r="H36" s="14" t="n"/>
      <c r="I36" s="14" t="n"/>
      <c r="J36" s="14" t="n"/>
      <c r="K36" s="14" t="n"/>
      <c r="L36" s="14" t="n"/>
      <c r="M36" s="14" t="n"/>
      <c r="N36" s="14" t="n"/>
    </row>
    <row r="37">
      <c r="A37" s="14" t="n"/>
      <c r="B37" s="14" t="n"/>
      <c r="C37" s="14" t="n"/>
      <c r="D37" s="14" t="n"/>
      <c r="E37" s="14" t="n"/>
      <c r="F37" s="14" t="n"/>
      <c r="G37" s="14" t="n"/>
      <c r="H37" s="14" t="n"/>
      <c r="I37" s="14" t="n"/>
      <c r="J37" s="14" t="n"/>
      <c r="K37" s="14" t="n"/>
      <c r="L37" s="14" t="n"/>
      <c r="M37" s="14" t="n"/>
      <c r="N37" s="14" t="n"/>
    </row>
    <row r="38">
      <c r="A38" s="14" t="n"/>
      <c r="B38" s="14" t="n"/>
      <c r="C38" s="14" t="n"/>
      <c r="D38" s="14" t="n"/>
      <c r="E38" s="14" t="n"/>
      <c r="F38" s="14" t="n"/>
      <c r="G38" s="14" t="n"/>
      <c r="H38" s="14" t="n"/>
      <c r="I38" s="14" t="n"/>
      <c r="J38" s="14" t="n"/>
      <c r="K38" s="14" t="n"/>
      <c r="L38" s="14" t="n"/>
      <c r="M38" s="14" t="n"/>
      <c r="N38" s="14" t="n"/>
    </row>
    <row r="39">
      <c r="A39" s="14" t="n"/>
      <c r="B39" s="14" t="n"/>
      <c r="C39" s="14" t="n"/>
      <c r="D39" s="14" t="n"/>
      <c r="E39" s="14" t="n"/>
      <c r="F39" s="14" t="n"/>
      <c r="G39" s="14" t="n"/>
      <c r="H39" s="14" t="n"/>
      <c r="I39" s="14" t="n"/>
      <c r="J39" s="14" t="n"/>
      <c r="K39" s="14" t="n"/>
      <c r="L39" s="14" t="n"/>
      <c r="M39" s="14" t="n"/>
      <c r="N39" s="14" t="n"/>
    </row>
    <row r="40">
      <c r="A40" s="14" t="n"/>
      <c r="B40" s="14" t="n"/>
      <c r="C40" s="14" t="n"/>
      <c r="D40" s="14" t="n"/>
      <c r="E40" s="14" t="n"/>
      <c r="F40" s="14" t="n"/>
      <c r="G40" s="14" t="n"/>
      <c r="H40" s="14" t="n"/>
      <c r="I40" s="14" t="n"/>
      <c r="J40" s="14" t="n"/>
      <c r="K40" s="14" t="n"/>
      <c r="L40" s="14" t="n"/>
      <c r="M40" s="14" t="n"/>
      <c r="N40" s="14" t="n"/>
    </row>
    <row r="41">
      <c r="A41" s="14" t="n"/>
      <c r="B41" s="14" t="n"/>
      <c r="C41" s="14" t="n"/>
      <c r="D41" s="14" t="n"/>
      <c r="E41" s="14" t="n"/>
      <c r="F41" s="14" t="n"/>
      <c r="G41" s="14" t="n"/>
      <c r="H41" s="14" t="n"/>
      <c r="I41" s="14" t="n"/>
      <c r="J41" s="14" t="n"/>
      <c r="K41" s="14" t="n"/>
      <c r="L41" s="14" t="n"/>
      <c r="M41" s="14" t="n"/>
      <c r="N41" s="14" t="n"/>
    </row>
    <row r="42">
      <c r="A42" s="14" t="n"/>
      <c r="B42" s="14" t="n"/>
      <c r="C42" s="14" t="n"/>
      <c r="D42" s="14" t="n"/>
      <c r="E42" s="14" t="n"/>
      <c r="F42" s="14" t="n"/>
      <c r="G42" s="14" t="n"/>
      <c r="H42" s="14" t="n"/>
      <c r="I42" s="14" t="n"/>
      <c r="J42" s="14" t="n"/>
      <c r="K42" s="14" t="n"/>
      <c r="L42" s="14" t="n"/>
      <c r="M42" s="14" t="n"/>
      <c r="N42" s="14" t="n"/>
    </row>
    <row r="43">
      <c r="A43" s="14" t="n"/>
      <c r="B43" s="14" t="n"/>
      <c r="C43" s="14" t="n"/>
      <c r="D43" s="14" t="n"/>
      <c r="E43" s="14" t="n"/>
      <c r="F43" s="14" t="n"/>
      <c r="G43" s="14" t="n"/>
      <c r="H43" s="14" t="n"/>
      <c r="I43" s="14" t="n"/>
      <c r="J43" s="14" t="n"/>
      <c r="K43" s="14" t="n"/>
      <c r="L43" s="14" t="n"/>
      <c r="M43" s="14" t="n"/>
      <c r="N43" s="14" t="n"/>
    </row>
    <row r="44">
      <c r="A44" s="14" t="n"/>
      <c r="B44" s="14" t="n"/>
      <c r="C44" s="14" t="n"/>
      <c r="D44" s="14" t="n"/>
      <c r="E44" s="14" t="n"/>
      <c r="F44" s="14" t="n"/>
      <c r="G44" s="14" t="n"/>
      <c r="H44" s="14" t="n"/>
      <c r="I44" s="14" t="n"/>
      <c r="J44" s="14" t="n"/>
      <c r="K44" s="14" t="n"/>
      <c r="L44" s="14" t="n"/>
      <c r="M44" s="14" t="n"/>
      <c r="N44" s="14" t="n"/>
    </row>
    <row r="45">
      <c r="A45" s="14" t="n"/>
      <c r="B45" s="14" t="n"/>
      <c r="C45" s="14" t="n"/>
      <c r="D45" s="14" t="n"/>
      <c r="E45" s="14" t="n"/>
      <c r="F45" s="14" t="n"/>
      <c r="G45" s="14" t="n"/>
      <c r="H45" s="14" t="n"/>
      <c r="I45" s="14" t="n"/>
      <c r="J45" s="14" t="n"/>
      <c r="K45" s="14" t="n"/>
      <c r="L45" s="14" t="n"/>
      <c r="M45" s="14" t="n"/>
      <c r="N45" s="14" t="n"/>
    </row>
    <row r="46">
      <c r="A46" s="14" t="n"/>
      <c r="B46" s="14" t="n"/>
      <c r="C46" s="14" t="n"/>
      <c r="D46" s="14" t="n"/>
      <c r="E46" s="14" t="n"/>
      <c r="F46" s="14" t="n"/>
      <c r="G46" s="14" t="n"/>
      <c r="H46" s="14" t="n"/>
      <c r="I46" s="14" t="n"/>
      <c r="J46" s="14" t="n"/>
      <c r="K46" s="14" t="n"/>
      <c r="L46" s="14" t="n"/>
      <c r="M46" s="14" t="n"/>
      <c r="N46" s="14" t="n"/>
    </row>
    <row r="47">
      <c r="A47" s="14" t="n"/>
      <c r="B47" s="14" t="n"/>
      <c r="C47" s="14" t="n"/>
      <c r="D47" s="14" t="n"/>
      <c r="E47" s="14" t="n"/>
      <c r="F47" s="14" t="n"/>
      <c r="G47" s="14" t="n"/>
      <c r="H47" s="14" t="n"/>
      <c r="I47" s="14" t="n"/>
      <c r="J47" s="14" t="n"/>
      <c r="K47" s="14" t="n"/>
      <c r="L47" s="14" t="n"/>
      <c r="M47" s="14" t="n"/>
      <c r="N47" s="14" t="n"/>
    </row>
    <row r="48">
      <c r="A48" s="14" t="n"/>
      <c r="B48" s="14" t="n"/>
      <c r="C48" s="14" t="n"/>
      <c r="D48" s="14" t="n"/>
      <c r="E48" s="14" t="n"/>
      <c r="F48" s="14" t="n"/>
      <c r="G48" s="14" t="n"/>
      <c r="H48" s="14" t="n"/>
      <c r="I48" s="14" t="n"/>
      <c r="J48" s="14" t="n"/>
      <c r="K48" s="14" t="n"/>
      <c r="L48" s="14" t="n"/>
      <c r="M48" s="14" t="n"/>
      <c r="N48" s="14" t="n"/>
    </row>
    <row r="49">
      <c r="A49" s="14" t="n"/>
      <c r="B49" s="14" t="n"/>
      <c r="C49" s="14" t="n"/>
      <c r="D49" s="14" t="n"/>
      <c r="E49" s="14" t="n"/>
      <c r="F49" s="14" t="n"/>
      <c r="G49" s="14" t="n"/>
      <c r="H49" s="14" t="n"/>
      <c r="I49" s="14" t="n"/>
      <c r="J49" s="14" t="n"/>
      <c r="K49" s="14" t="n"/>
      <c r="L49" s="14" t="n"/>
      <c r="M49" s="14" t="n"/>
      <c r="N49" s="14" t="n"/>
    </row>
    <row r="50">
      <c r="A50" s="14" t="n"/>
      <c r="B50" s="14" t="n"/>
      <c r="C50" s="14" t="n"/>
      <c r="D50" s="14" t="n"/>
      <c r="E50" s="14" t="n"/>
      <c r="F50" s="14" t="n"/>
      <c r="G50" s="14" t="n"/>
      <c r="H50" s="14" t="n"/>
      <c r="I50" s="14" t="n"/>
      <c r="J50" s="14" t="n"/>
      <c r="K50" s="14" t="n"/>
      <c r="L50" s="14" t="n"/>
      <c r="M50" s="14" t="n"/>
      <c r="N50" s="14" t="n"/>
    </row>
    <row r="51">
      <c r="A51" s="14" t="n"/>
      <c r="B51" s="14" t="n"/>
      <c r="C51" s="14" t="n"/>
      <c r="D51" s="14" t="n"/>
      <c r="E51" s="14" t="n"/>
      <c r="F51" s="14" t="n"/>
      <c r="G51" s="14" t="n"/>
      <c r="H51" s="14" t="n"/>
      <c r="I51" s="14" t="n"/>
      <c r="J51" s="14" t="n"/>
      <c r="K51" s="14" t="n"/>
      <c r="L51" s="14" t="n"/>
      <c r="M51" s="14" t="n"/>
      <c r="N51" s="14" t="n"/>
    </row>
    <row r="52">
      <c r="A52" s="14" t="n"/>
      <c r="B52" s="14" t="n"/>
      <c r="C52" s="14" t="n"/>
      <c r="D52" s="14" t="n"/>
      <c r="E52" s="14" t="n"/>
      <c r="F52" s="14" t="n"/>
      <c r="G52" s="14" t="n"/>
      <c r="H52" s="14" t="n"/>
      <c r="I52" s="14" t="n"/>
      <c r="J52" s="14" t="n"/>
      <c r="K52" s="14" t="n"/>
      <c r="L52" s="14" t="n"/>
      <c r="M52" s="14" t="n"/>
      <c r="N52" s="14" t="n"/>
    </row>
    <row r="53">
      <c r="A53" s="14" t="n"/>
      <c r="B53" s="14" t="n"/>
      <c r="C53" s="14" t="n"/>
      <c r="D53" s="14" t="n"/>
      <c r="E53" s="14" t="n"/>
      <c r="F53" s="14" t="n"/>
      <c r="G53" s="14" t="n"/>
      <c r="H53" s="14" t="n"/>
      <c r="I53" s="14" t="n"/>
      <c r="J53" s="14" t="n"/>
      <c r="K53" s="14" t="n"/>
      <c r="L53" s="14" t="n"/>
      <c r="M53" s="14" t="n"/>
      <c r="N53" s="14" t="n"/>
    </row>
    <row r="54">
      <c r="A54" s="14" t="n"/>
      <c r="B54" s="14" t="n"/>
      <c r="C54" s="14" t="n"/>
      <c r="D54" s="14" t="n"/>
      <c r="E54" s="14" t="n"/>
      <c r="F54" s="14" t="n"/>
      <c r="G54" s="14" t="n"/>
      <c r="H54" s="14" t="n"/>
      <c r="I54" s="14" t="n"/>
      <c r="J54" s="14" t="n"/>
      <c r="K54" s="14" t="n"/>
      <c r="L54" s="14" t="n"/>
      <c r="M54" s="14" t="n"/>
      <c r="N54" s="14" t="n"/>
    </row>
    <row r="55">
      <c r="A55" s="14" t="n"/>
      <c r="B55" s="14" t="n"/>
      <c r="C55" s="14" t="n"/>
      <c r="D55" s="14" t="n"/>
      <c r="E55" s="14" t="n"/>
      <c r="F55" s="14" t="n"/>
      <c r="G55" s="14" t="n"/>
      <c r="H55" s="14" t="n"/>
      <c r="I55" s="14" t="n"/>
      <c r="J55" s="14" t="n"/>
      <c r="K55" s="14" t="n"/>
      <c r="L55" s="14" t="n"/>
      <c r="M55" s="14" t="n"/>
      <c r="N55" s="14" t="n"/>
    </row>
    <row r="56">
      <c r="A56" s="14" t="n"/>
      <c r="B56" s="14" t="n"/>
      <c r="C56" s="14" t="n"/>
      <c r="D56" s="14" t="n"/>
      <c r="E56" s="14" t="n"/>
      <c r="F56" s="14" t="n"/>
      <c r="G56" s="14" t="n"/>
      <c r="H56" s="14" t="n"/>
      <c r="I56" s="14" t="n"/>
      <c r="J56" s="14" t="n"/>
      <c r="K56" s="14" t="n"/>
      <c r="L56" s="14" t="n"/>
      <c r="M56" s="14" t="n"/>
      <c r="N56" s="14" t="n"/>
    </row>
    <row r="57">
      <c r="A57" s="14" t="n"/>
      <c r="B57" s="14" t="n"/>
      <c r="C57" s="14" t="n"/>
      <c r="D57" s="14" t="n"/>
      <c r="E57" s="14" t="n"/>
      <c r="F57" s="14" t="n"/>
      <c r="G57" s="14" t="n"/>
      <c r="H57" s="14" t="n"/>
      <c r="I57" s="14" t="n"/>
      <c r="J57" s="14" t="n"/>
      <c r="K57" s="14" t="n"/>
      <c r="L57" s="14" t="n"/>
      <c r="M57" s="14" t="n"/>
      <c r="N57" s="14" t="n"/>
    </row>
    <row r="58">
      <c r="A58" s="14" t="n"/>
      <c r="B58" s="14" t="n"/>
      <c r="C58" s="14" t="n"/>
      <c r="D58" s="14" t="n"/>
      <c r="E58" s="14" t="n"/>
      <c r="F58" s="14" t="n"/>
      <c r="G58" s="14" t="n"/>
      <c r="H58" s="14" t="n"/>
      <c r="I58" s="14" t="n"/>
      <c r="J58" s="14" t="n"/>
      <c r="K58" s="14" t="n"/>
      <c r="L58" s="14" t="n"/>
      <c r="M58" s="14" t="n"/>
      <c r="N58" s="14" t="n"/>
    </row>
    <row r="59">
      <c r="A59" s="14" t="n"/>
      <c r="B59" s="14" t="n"/>
      <c r="C59" s="14" t="n"/>
      <c r="D59" s="14" t="n"/>
      <c r="E59" s="14" t="n"/>
      <c r="F59" s="14" t="n"/>
      <c r="G59" s="14" t="n"/>
      <c r="H59" s="14" t="n"/>
      <c r="I59" s="14" t="n"/>
      <c r="J59" s="14" t="n"/>
      <c r="K59" s="14" t="n"/>
      <c r="L59" s="14" t="n"/>
      <c r="M59" s="14" t="n"/>
      <c r="N59" s="14" t="n"/>
    </row>
    <row r="60">
      <c r="A60" s="14" t="n"/>
      <c r="B60" s="14" t="n"/>
      <c r="C60" s="14" t="n"/>
      <c r="D60" s="14" t="n"/>
      <c r="E60" s="14" t="n"/>
      <c r="F60" s="14" t="n"/>
      <c r="G60" s="14" t="n"/>
      <c r="H60" s="14" t="n"/>
      <c r="I60" s="14" t="n"/>
      <c r="J60" s="14" t="n"/>
      <c r="K60" s="14" t="n"/>
      <c r="L60" s="14" t="n"/>
      <c r="M60" s="14" t="n"/>
      <c r="N60" s="14" t="n"/>
    </row>
    <row r="61">
      <c r="A61" s="14" t="n"/>
      <c r="B61" s="14" t="n"/>
      <c r="C61" s="14" t="n"/>
      <c r="D61" s="14" t="n"/>
      <c r="E61" s="14" t="n"/>
      <c r="F61" s="14" t="n"/>
      <c r="G61" s="14" t="n"/>
      <c r="H61" s="14" t="n"/>
      <c r="I61" s="14" t="n"/>
      <c r="J61" s="14" t="n"/>
      <c r="K61" s="14" t="n"/>
      <c r="L61" s="14" t="n"/>
      <c r="M61" s="14" t="n"/>
      <c r="N61" s="14" t="n"/>
    </row>
    <row r="62">
      <c r="A62" s="14" t="n"/>
      <c r="B62" s="14" t="n"/>
      <c r="C62" s="14" t="n"/>
      <c r="D62" s="14" t="n"/>
      <c r="E62" s="14" t="n"/>
      <c r="F62" s="14" t="n"/>
      <c r="G62" s="14" t="n"/>
      <c r="H62" s="14" t="n"/>
      <c r="I62" s="14" t="n"/>
      <c r="J62" s="14" t="n"/>
      <c r="K62" s="14" t="n"/>
      <c r="L62" s="14" t="n"/>
      <c r="M62" s="14" t="n"/>
      <c r="N62" s="14" t="n"/>
    </row>
    <row r="63">
      <c r="A63" s="14" t="n"/>
      <c r="B63" s="14" t="n"/>
      <c r="C63" s="14" t="n"/>
      <c r="D63" s="14" t="n"/>
      <c r="E63" s="14" t="n"/>
      <c r="F63" s="14" t="n"/>
      <c r="G63" s="14" t="n"/>
      <c r="H63" s="14" t="n"/>
      <c r="I63" s="14" t="n"/>
      <c r="J63" s="14" t="n"/>
      <c r="K63" s="14" t="n"/>
      <c r="L63" s="14" t="n"/>
      <c r="M63" s="14" t="n"/>
      <c r="N63" s="14" t="n"/>
    </row>
    <row r="64">
      <c r="A64" s="14" t="n"/>
      <c r="B64" s="14" t="n"/>
      <c r="C64" s="14" t="n"/>
      <c r="D64" s="14" t="n"/>
      <c r="E64" s="14" t="n"/>
      <c r="F64" s="14" t="n"/>
      <c r="G64" s="14" t="n"/>
      <c r="H64" s="14" t="n"/>
      <c r="I64" s="14" t="n"/>
      <c r="J64" s="14" t="n"/>
      <c r="K64" s="14" t="n"/>
      <c r="L64" s="14" t="n"/>
      <c r="M64" s="14" t="n"/>
      <c r="N64" s="14" t="n"/>
    </row>
    <row r="65">
      <c r="A65" s="14" t="n"/>
      <c r="B65" s="14" t="n"/>
      <c r="C65" s="14" t="n"/>
      <c r="D65" s="14" t="n"/>
      <c r="E65" s="14" t="n"/>
      <c r="F65" s="14" t="n"/>
      <c r="G65" s="14" t="n"/>
      <c r="H65" s="14" t="n"/>
      <c r="I65" s="14" t="n"/>
      <c r="J65" s="14" t="n"/>
      <c r="K65" s="14" t="n"/>
      <c r="L65" s="14" t="n"/>
      <c r="M65" s="14" t="n"/>
      <c r="N65" s="14" t="n"/>
    </row>
    <row r="66">
      <c r="A66" s="14" t="n"/>
      <c r="B66" s="14" t="n"/>
      <c r="C66" s="14" t="n"/>
      <c r="D66" s="14" t="n"/>
      <c r="E66" s="14" t="n"/>
      <c r="F66" s="14" t="n"/>
      <c r="G66" s="14" t="n"/>
      <c r="H66" s="14" t="n"/>
      <c r="I66" s="14" t="n"/>
      <c r="J66" s="14" t="n"/>
      <c r="K66" s="14" t="n"/>
      <c r="L66" s="14" t="n"/>
      <c r="M66" s="14" t="n"/>
      <c r="N66" s="14" t="n"/>
    </row>
    <row r="67">
      <c r="A67" s="14" t="n"/>
      <c r="B67" s="14" t="n"/>
      <c r="C67" s="14" t="n"/>
      <c r="D67" s="14" t="n"/>
      <c r="E67" s="14" t="n"/>
      <c r="F67" s="14" t="n"/>
      <c r="G67" s="14" t="n"/>
      <c r="H67" s="14" t="n"/>
      <c r="I67" s="14" t="n"/>
      <c r="J67" s="14" t="n"/>
      <c r="K67" s="14" t="n"/>
      <c r="L67" s="14" t="n"/>
      <c r="M67" s="14" t="n"/>
      <c r="N67" s="14" t="n"/>
    </row>
    <row r="69">
      <c r="A69" s="15" t="inlineStr">
        <is>
          <t>REGULATORY COMPLIANCE CHECKLIST</t>
        </is>
      </c>
    </row>
    <row r="70">
      <c r="A70" s="5" t="inlineStr">
        <is>
          <t>#</t>
        </is>
      </c>
      <c r="B70" s="5" t="inlineStr">
        <is>
          <t>Checklist Item</t>
        </is>
      </c>
      <c r="C70" s="5" t="inlineStr">
        <is>
          <t>Status</t>
        </is>
      </c>
      <c r="D70" s="5" t="inlineStr">
        <is>
          <t>Evidence</t>
        </is>
      </c>
      <c r="E70" s="5" t="inlineStr">
        <is>
          <t>Notes</t>
        </is>
      </c>
    </row>
    <row r="71">
      <c r="A71" t="n">
        <v>1</v>
      </c>
      <c r="B71" s="16" t="inlineStr">
        <is>
          <t>Are applicable regulations identified?</t>
        </is>
      </c>
      <c r="C71" s="14" t="n"/>
      <c r="D71" s="14" t="n"/>
      <c r="E71" s="14" t="n"/>
    </row>
    <row r="72">
      <c r="A72" t="n">
        <v>2</v>
      </c>
      <c r="B72" s="16" t="inlineStr">
        <is>
          <t>Is GDPR applicability determined?</t>
        </is>
      </c>
      <c r="C72" s="14" t="n"/>
      <c r="D72" s="14" t="n"/>
      <c r="E72" s="14" t="n"/>
    </row>
    <row r="73">
      <c r="A73" t="n">
        <v>3</v>
      </c>
      <c r="B73" s="16" t="inlineStr">
        <is>
          <t>Is FADP applicability determined?</t>
        </is>
      </c>
      <c r="C73" s="14" t="n"/>
      <c r="D73" s="14" t="n"/>
      <c r="E73" s="14" t="n"/>
    </row>
    <row r="74">
      <c r="A74" t="n">
        <v>4</v>
      </c>
      <c r="B74" s="16" t="inlineStr">
        <is>
          <t>Is HIPAA applicability determined (if US)?</t>
        </is>
      </c>
      <c r="C74" s="14" t="n"/>
      <c r="D74" s="14" t="n"/>
      <c r="E74" s="14" t="n"/>
    </row>
    <row r="75">
      <c r="A75" t="n">
        <v>5</v>
      </c>
      <c r="B75" s="16" t="inlineStr">
        <is>
          <t>Is PCI-DSS applicability determined?</t>
        </is>
      </c>
      <c r="C75" s="14" t="n"/>
      <c r="D75" s="14" t="n"/>
      <c r="E75" s="14" t="n"/>
    </row>
    <row r="76">
      <c r="A76" t="n">
        <v>6</v>
      </c>
      <c r="B76" s="16" t="inlineStr">
        <is>
          <t>Are GDPR special categories (Art.9) identified?</t>
        </is>
      </c>
      <c r="C76" s="14" t="n"/>
      <c r="D76" s="14" t="n"/>
      <c r="E76" s="14" t="n"/>
    </row>
    <row r="77">
      <c r="A77" t="n">
        <v>7</v>
      </c>
      <c r="B77" s="16" t="inlineStr">
        <is>
          <t>Is PCI-DSS PAN data identified?</t>
        </is>
      </c>
      <c r="C77" s="14" t="n"/>
      <c r="D77" s="14" t="n"/>
      <c r="E77" s="14" t="n"/>
    </row>
    <row r="78">
      <c r="A78" t="n">
        <v>8</v>
      </c>
      <c r="B78" s="16" t="inlineStr">
        <is>
          <t>Are masking requirements per regulation documented?</t>
        </is>
      </c>
      <c r="C78" s="14" t="n"/>
      <c r="D78" s="14" t="n"/>
      <c r="E78" s="14" t="n"/>
    </row>
    <row r="79">
      <c r="A79" t="n">
        <v>9</v>
      </c>
      <c r="B79" s="16" t="inlineStr">
        <is>
          <t>Are regulatory references cited?</t>
        </is>
      </c>
      <c r="C79" s="14" t="n"/>
      <c r="D79" s="14" t="n"/>
      <c r="E79" s="14" t="n"/>
    </row>
    <row r="80">
      <c r="A80" t="n">
        <v>10</v>
      </c>
      <c r="B80" s="16" t="inlineStr">
        <is>
          <t>Are compliance deadlines tracked?</t>
        </is>
      </c>
      <c r="C80" s="14" t="n"/>
      <c r="D80" s="14" t="n"/>
      <c r="E80" s="14" t="n"/>
    </row>
    <row r="81">
      <c r="A81" t="n">
        <v>11</v>
      </c>
      <c r="B81" s="16" t="inlineStr">
        <is>
          <t>Is DPO consulted for GDPR scope?</t>
        </is>
      </c>
      <c r="C81" s="14" t="n"/>
      <c r="D81" s="14" t="n"/>
      <c r="E81" s="14" t="n"/>
    </row>
    <row r="82">
      <c r="A82" t="n">
        <v>12</v>
      </c>
      <c r="B82" s="16" t="inlineStr">
        <is>
          <t>Are cross-border data transfers considered?</t>
        </is>
      </c>
      <c r="C82" s="14" t="n"/>
      <c r="D82" s="14" t="n"/>
      <c r="E82" s="14" t="n"/>
    </row>
  </sheetData>
  <mergeCells count="6">
    <mergeCell ref="A69:E69"/>
    <mergeCell ref="A3:N3"/>
    <mergeCell ref="A2:N2"/>
    <mergeCell ref="A15:N15"/>
    <mergeCell ref="A6:E6"/>
    <mergeCell ref="A1:N1"/>
  </mergeCells>
  <dataValidations count="5">
    <dataValidation sqref="E17 E18 E19 E20 E21 E22 E23 E24 E25 E26 E27 E28 E29 E30 E31 E32 E33 E34 E35 E36 E37 E38 E39 E40 E41 E42 E43 E44 E45 E46 E47 E48 E49 E50 E51 E52 E53 E54 E55 E56 E57 E58 E59 E60 E61 E62 E63 E64 E65 E66 E67 G17 G18 G19 G20 G21 G22 G23 G24 G25 G26 G27 G28 G29 G30 G31 G32 G33 G34 G35 G36 G37 G38 G39 G40 G41 G42 G43 G44 G45 G46 G47 G48 G49 G50 G51 G52 G53 G54 G55 G56 G57 G58 G59 G60 G61 G62 G63 G64 G65 G66 G67 H17 H18 H19 H20 H21 H22 H23 H24 H25 H26 H27 H28 H29 H30 H31 H32 H33 H34 H35 H36 H37 H38 H39 H40 H41 H42 H43 H44 H45 H46 H47 H48 H49 H50 H51 H52 H53 H54 H55 H56 H57 H58 H59 H60 H61 H62 H63 H64 H65 H66 H67 I17 I18 I19 I20 I21 I22 I23 I24 I25 I26 I27 I28 I29 I30 I31 I32 I33 I34 I35 I36 I37 I38 I39 I40 I41 I42 I43 I44 I45 I46 I47 I48 I49 I50 I51 I52 I53 I54 I55 I56 I57 I58 I59 I60 I61 I62 I63 I64 I65 I66 I67" showDropDown="0" showInputMessage="0" showErrorMessage="0" allowBlank="0" type="list">
      <formula1>"Yes,No,Unknown"</formula1>
    </dataValidation>
    <dataValidation sqref="K17 K18 K19 K20 K21 K22 K23 K24 K25 K26 K27 K28 K29 K30 K31 K32 K33 K34 K35 K36 K37 K38 K39 K40 K41 K42 K43 K44 K45 K46 K47 K48 K49 K50 K51 K52 K53 K54 K55 K56 K57 K58 K59 K60 K61 K62 K63 K64 K65 K66 K67" showDropDown="0" showInputMessage="0" showErrorMessage="0" allowBlank="0" type="list">
      <formula1>"Yes,No,Partial"</formula1>
    </dataValidation>
    <dataValidation sqref="B4 B8 B9 B10 B11 B12 B13" showDropDown="0" showInputMessage="0" showErrorMessage="0" allowBlank="0" type="list">
      <formula1>"Yes,No,Partial,Planned,N/A"</formula1>
    </dataValidation>
    <dataValidation sqref="C71 C72 C73 C74 C75 C76 C77 C78 C79 C80 C81 C82" showDropDown="0" showInputMessage="0" showErrorMessage="0" allowBlank="0" type="list">
      <formula1>"✅ Complete,⚠️ Partial,❌ Missing,ὌB Planned,N/A"</formula1>
    </dataValidation>
    <dataValidation sqref="F17 F18 F19 F20 F21 F22 F23 F24 F25 F26 F27 F28 F29 F30 F31 F32 F33 F34 F35 F36 F37 F38 F39 F40 F41 F42 F43 F44 F45 F46 F47 F48 F49 F50 F51 F52 F53 F54 F55 F56 F57 F58 F59 F60 F61 F62 F63 F64 F65 F66 F67" showDropDown="0" showInputMessage="0" showErrorMessage="0" allowBlank="0" type="list">
      <formula1>"Art. 4 (PII),Art. 9 (Special),Art. 32 (Security),N/A"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93"/>
  <sheetViews>
    <sheetView showGridLines="0" workbookViewId="0">
      <pane ySplit="20" topLeftCell="A21" activePane="bottomLeft" state="frozen"/>
      <selection pane="bottomLeft" activeCell="A1" sqref="A1"/>
    </sheetView>
  </sheetViews>
  <sheetFormatPr baseColWidth="8" defaultRowHeight="15"/>
  <cols>
    <col width="25" customWidth="1" min="1" max="1"/>
    <col width="45" customWidth="1" min="2" max="2"/>
    <col width="20" customWidth="1" min="3" max="3"/>
    <col width="20" customWidth="1" min="4" max="4"/>
    <col width="20" customWidth="1" min="5" max="5"/>
    <col width="25" customWidth="1" min="6" max="6"/>
    <col width="15" customWidth="1" min="7" max="7"/>
    <col width="20" customWidth="1" min="8" max="8"/>
    <col width="15" customWidth="1" min="9" max="9"/>
    <col width="15" customWidth="1" min="10" max="10"/>
    <col width="15" customWidth="1" min="11" max="11"/>
    <col width="15" customWidth="1" min="12" max="12"/>
    <col width="20" customWidth="1" min="13" max="13"/>
    <col width="30" customWidth="1" min="14" max="14"/>
  </cols>
  <sheetData>
    <row r="1" ht="35" customHeight="1">
      <c r="A1" s="1" t="inlineStr">
        <is>
          <t>DATA OWNERSHIP ASSIGNMENT</t>
        </is>
      </c>
    </row>
    <row r="2">
      <c r="A2" s="11" t="inlineStr">
        <is>
          <t>Assign data owners per system and data category (ISMS-POL-A.8.11-S3)</t>
        </is>
      </c>
    </row>
    <row r="3">
      <c r="A3" s="15" t="inlineStr">
        <is>
          <t>Has your organisation assigned data owners for all sensitive data categories?</t>
        </is>
      </c>
    </row>
    <row r="4">
      <c r="A4" s="13" t="inlineStr">
        <is>
          <t>Response:</t>
        </is>
      </c>
      <c r="B4" s="14" t="n"/>
    </row>
    <row r="6">
      <c r="A6" s="15" t="inlineStr">
        <is>
          <t>OWNERSHIP SUMMARY BY DATA CATEGORY</t>
        </is>
      </c>
    </row>
    <row r="7">
      <c r="A7" s="5" t="inlineStr">
        <is>
          <t>Data Category</t>
        </is>
      </c>
      <c r="B7" s="5" t="inlineStr">
        <is>
          <t>Data Owner (Role)</t>
        </is>
      </c>
      <c r="C7" s="5" t="inlineStr">
        <is>
          <t>Data Owner (Name)</t>
        </is>
      </c>
      <c r="D7" s="5" t="inlineStr">
        <is>
          <t>Backup Owner</t>
        </is>
      </c>
      <c r="E7" s="5" t="inlineStr">
        <is>
          <t>Assignment Date</t>
        </is>
      </c>
      <c r="F7" s="5" t="inlineStr">
        <is>
          <t>Last Review</t>
        </is>
      </c>
    </row>
    <row r="8">
      <c r="A8" t="inlineStr">
        <is>
          <t>CAT-PII-D (Direct PII)</t>
        </is>
      </c>
      <c r="B8" s="14" t="n"/>
      <c r="C8" s="14" t="n"/>
      <c r="D8" s="14" t="n"/>
      <c r="E8" s="14" t="n"/>
      <c r="F8" s="14" t="n"/>
    </row>
    <row r="9">
      <c r="A9" t="inlineStr">
        <is>
          <t>CAT-PII-I (Indirect PII)</t>
        </is>
      </c>
      <c r="B9" s="14" t="n"/>
      <c r="C9" s="14" t="n"/>
      <c r="D9" s="14" t="n"/>
      <c r="E9" s="14" t="n"/>
      <c r="F9" s="14" t="n"/>
    </row>
    <row r="10">
      <c r="A10" t="inlineStr">
        <is>
          <t>CAT-FIN (Financial)</t>
        </is>
      </c>
      <c r="B10" s="14" t="n"/>
      <c r="C10" s="14" t="n"/>
      <c r="D10" s="14" t="n"/>
      <c r="E10" s="14" t="n"/>
      <c r="F10" s="14" t="n"/>
    </row>
    <row r="11">
      <c r="A11" t="inlineStr">
        <is>
          <t>CAT-HLT (Health)</t>
        </is>
      </c>
      <c r="B11" s="14" t="n"/>
      <c r="C11" s="14" t="n"/>
      <c r="D11" s="14" t="n"/>
      <c r="E11" s="14" t="n"/>
      <c r="F11" s="14" t="n"/>
    </row>
    <row r="12">
      <c r="A12" t="inlineStr">
        <is>
          <t>CAT-CRD (Credentials)</t>
        </is>
      </c>
      <c r="B12" s="14" t="n"/>
      <c r="C12" s="14" t="n"/>
      <c r="D12" s="14" t="n"/>
      <c r="E12" s="14" t="n"/>
      <c r="F12" s="14" t="n"/>
    </row>
    <row r="13">
      <c r="A13" t="inlineStr">
        <is>
          <t>CAT-PRP (Proprietary)</t>
        </is>
      </c>
      <c r="B13" s="14" t="n"/>
      <c r="C13" s="14" t="n"/>
      <c r="D13" s="14" t="n"/>
      <c r="E13" s="14" t="n"/>
      <c r="F13" s="14" t="n"/>
    </row>
    <row r="14">
      <c r="A14" t="inlineStr">
        <is>
          <t>CAT-LOC (Location)</t>
        </is>
      </c>
      <c r="B14" s="14" t="n"/>
      <c r="C14" s="14" t="n"/>
      <c r="D14" s="14" t="n"/>
      <c r="E14" s="14" t="n"/>
      <c r="F14" s="14" t="n"/>
    </row>
    <row r="15">
      <c r="A15" t="inlineStr">
        <is>
          <t>CAT-BIO (Biometric)</t>
        </is>
      </c>
      <c r="B15" s="14" t="n"/>
      <c r="C15" s="14" t="n"/>
      <c r="D15" s="14" t="n"/>
      <c r="E15" s="14" t="n"/>
      <c r="F15" s="14" t="n"/>
    </row>
    <row r="16">
      <c r="A16" t="inlineStr">
        <is>
          <t>CAT-GEN (Genetic)</t>
        </is>
      </c>
      <c r="B16" s="14" t="n"/>
      <c r="C16" s="14" t="n"/>
      <c r="D16" s="14" t="n"/>
      <c r="E16" s="14" t="n"/>
      <c r="F16" s="14" t="n"/>
    </row>
    <row r="17">
      <c r="A17" t="inlineStr">
        <is>
          <t>CAT-CHD (Child Data)</t>
        </is>
      </c>
      <c r="B17" s="14" t="n"/>
      <c r="C17" s="14" t="n"/>
      <c r="D17" s="14" t="n"/>
      <c r="E17" s="14" t="n"/>
      <c r="F17" s="14" t="n"/>
    </row>
    <row r="19">
      <c r="A19" s="15" t="inlineStr">
        <is>
          <t>OWNERSHIP BY SYSTEM (51 rows: 1 sample + 50 empty)</t>
        </is>
      </c>
    </row>
    <row r="20">
      <c r="A20" s="5" t="inlineStr">
        <is>
          <t>System Name</t>
        </is>
      </c>
      <c r="B20" s="5" t="inlineStr">
        <is>
          <t>System Owner</t>
        </is>
      </c>
      <c r="C20" s="5" t="inlineStr">
        <is>
          <t>Primary Data Owner</t>
        </is>
      </c>
      <c r="D20" s="5" t="inlineStr">
        <is>
          <t>Data Steward</t>
        </is>
      </c>
      <c r="E20" s="5" t="inlineStr">
        <is>
          <t>Business Owner</t>
        </is>
      </c>
      <c r="F20" s="5" t="inlineStr">
        <is>
          <t>Data Categories in System</t>
        </is>
      </c>
      <c r="G20" s="5" t="inlineStr">
        <is>
          <t>Ownership Documented?</t>
        </is>
      </c>
      <c r="H20" s="5" t="inlineStr">
        <is>
          <t>RACI Matrix Reference</t>
        </is>
      </c>
      <c r="I20" s="5" t="inlineStr">
        <is>
          <t>Assignment Date</t>
        </is>
      </c>
      <c r="J20" s="5" t="inlineStr">
        <is>
          <t>Last Review Date</t>
        </is>
      </c>
      <c r="K20" s="5" t="inlineStr">
        <is>
          <t>Next Review Date</t>
        </is>
      </c>
      <c r="L20" s="5" t="inlineStr">
        <is>
          <t>Approval Status</t>
        </is>
      </c>
      <c r="M20" s="5" t="inlineStr">
        <is>
          <t>Approver</t>
        </is>
      </c>
      <c r="N20" s="5" t="inlineStr">
        <is>
          <t>Notes</t>
        </is>
      </c>
    </row>
    <row r="21">
      <c r="A21" s="14" t="inlineStr">
        <is>
          <t>Customer CRM System</t>
        </is>
      </c>
      <c r="B21" s="14" t="inlineStr">
        <is>
          <t>CTO</t>
        </is>
      </c>
      <c r="C21" s="14" t="inlineStr">
        <is>
          <t>VP Sales</t>
        </is>
      </c>
      <c r="D21" s="14" t="inlineStr">
        <is>
          <t>CRM Data Analyst</t>
        </is>
      </c>
      <c r="E21" s="14" t="inlineStr">
        <is>
          <t>VP Sales</t>
        </is>
      </c>
      <c r="F21" s="14" t="inlineStr">
        <is>
          <t>CAT-PII-D, CAT-FIN</t>
        </is>
      </c>
      <c r="G21" s="14" t="inlineStr">
        <is>
          <t>Yes</t>
        </is>
      </c>
      <c r="H21" s="14" t="inlineStr">
        <is>
          <t>/docs/raci-matrix-crm.xlsx</t>
        </is>
      </c>
      <c r="I21" s="14" t="inlineStr">
        <is>
          <t>15.01.2026</t>
        </is>
      </c>
      <c r="J21" s="14" t="inlineStr">
        <is>
          <t>15.01.2026</t>
        </is>
      </c>
      <c r="K21" s="14" t="inlineStr">
        <is>
          <t>15.01.2027</t>
        </is>
      </c>
      <c r="L21" s="14" t="inlineStr">
        <is>
          <t>Approved</t>
        </is>
      </c>
      <c r="M21" s="14" t="inlineStr">
        <is>
          <t>CISO</t>
        </is>
      </c>
      <c r="N21" s="14" t="inlineStr">
        <is>
          <t>Annual ownership review completed Q1 2026</t>
        </is>
      </c>
    </row>
    <row r="22">
      <c r="A22" s="14" t="n"/>
      <c r="B22" s="14" t="n"/>
      <c r="C22" s="14" t="n"/>
      <c r="D22" s="14" t="n"/>
      <c r="E22" s="14" t="n"/>
      <c r="F22" s="14" t="n"/>
      <c r="G22" s="14" t="n"/>
      <c r="H22" s="14" t="n"/>
      <c r="I22" s="14" t="n"/>
      <c r="J22" s="14" t="n"/>
      <c r="K22" s="14" t="n"/>
      <c r="L22" s="14" t="n"/>
      <c r="M22" s="14" t="n"/>
      <c r="N22" s="14" t="n"/>
    </row>
    <row r="23">
      <c r="A23" s="14" t="n"/>
      <c r="B23" s="14" t="n"/>
      <c r="C23" s="14" t="n"/>
      <c r="D23" s="14" t="n"/>
      <c r="E23" s="14" t="n"/>
      <c r="F23" s="14" t="n"/>
      <c r="G23" s="14" t="n"/>
      <c r="H23" s="14" t="n"/>
      <c r="I23" s="14" t="n"/>
      <c r="J23" s="14" t="n"/>
      <c r="K23" s="14" t="n"/>
      <c r="L23" s="14" t="n"/>
      <c r="M23" s="14" t="n"/>
      <c r="N23" s="14" t="n"/>
    </row>
    <row r="24">
      <c r="A24" s="14" t="n"/>
      <c r="B24" s="14" t="n"/>
      <c r="C24" s="14" t="n"/>
      <c r="D24" s="14" t="n"/>
      <c r="E24" s="14" t="n"/>
      <c r="F24" s="14" t="n"/>
      <c r="G24" s="14" t="n"/>
      <c r="H24" s="14" t="n"/>
      <c r="I24" s="14" t="n"/>
      <c r="J24" s="14" t="n"/>
      <c r="K24" s="14" t="n"/>
      <c r="L24" s="14" t="n"/>
      <c r="M24" s="14" t="n"/>
      <c r="N24" s="14" t="n"/>
    </row>
    <row r="25">
      <c r="A25" s="14" t="n"/>
      <c r="B25" s="14" t="n"/>
      <c r="C25" s="14" t="n"/>
      <c r="D25" s="14" t="n"/>
      <c r="E25" s="14" t="n"/>
      <c r="F25" s="14" t="n"/>
      <c r="G25" s="14" t="n"/>
      <c r="H25" s="14" t="n"/>
      <c r="I25" s="14" t="n"/>
      <c r="J25" s="14" t="n"/>
      <c r="K25" s="14" t="n"/>
      <c r="L25" s="14" t="n"/>
      <c r="M25" s="14" t="n"/>
      <c r="N25" s="14" t="n"/>
    </row>
    <row r="26">
      <c r="A26" s="14" t="n"/>
      <c r="B26" s="14" t="n"/>
      <c r="C26" s="14" t="n"/>
      <c r="D26" s="14" t="n"/>
      <c r="E26" s="14" t="n"/>
      <c r="F26" s="14" t="n"/>
      <c r="G26" s="14" t="n"/>
      <c r="H26" s="14" t="n"/>
      <c r="I26" s="14" t="n"/>
      <c r="J26" s="14" t="n"/>
      <c r="K26" s="14" t="n"/>
      <c r="L26" s="14" t="n"/>
      <c r="M26" s="14" t="n"/>
      <c r="N26" s="14" t="n"/>
    </row>
    <row r="27">
      <c r="A27" s="14" t="n"/>
      <c r="B27" s="14" t="n"/>
      <c r="C27" s="14" t="n"/>
      <c r="D27" s="14" t="n"/>
      <c r="E27" s="14" t="n"/>
      <c r="F27" s="14" t="n"/>
      <c r="G27" s="14" t="n"/>
      <c r="H27" s="14" t="n"/>
      <c r="I27" s="14" t="n"/>
      <c r="J27" s="14" t="n"/>
      <c r="K27" s="14" t="n"/>
      <c r="L27" s="14" t="n"/>
      <c r="M27" s="14" t="n"/>
      <c r="N27" s="14" t="n"/>
    </row>
    <row r="28">
      <c r="A28" s="14" t="n"/>
      <c r="B28" s="14" t="n"/>
      <c r="C28" s="14" t="n"/>
      <c r="D28" s="14" t="n"/>
      <c r="E28" s="14" t="n"/>
      <c r="F28" s="14" t="n"/>
      <c r="G28" s="14" t="n"/>
      <c r="H28" s="14" t="n"/>
      <c r="I28" s="14" t="n"/>
      <c r="J28" s="14" t="n"/>
      <c r="K28" s="14" t="n"/>
      <c r="L28" s="14" t="n"/>
      <c r="M28" s="14" t="n"/>
      <c r="N28" s="14" t="n"/>
    </row>
    <row r="29">
      <c r="A29" s="14" t="n"/>
      <c r="B29" s="14" t="n"/>
      <c r="C29" s="14" t="n"/>
      <c r="D29" s="14" t="n"/>
      <c r="E29" s="14" t="n"/>
      <c r="F29" s="14" t="n"/>
      <c r="G29" s="14" t="n"/>
      <c r="H29" s="14" t="n"/>
      <c r="I29" s="14" t="n"/>
      <c r="J29" s="14" t="n"/>
      <c r="K29" s="14" t="n"/>
      <c r="L29" s="14" t="n"/>
      <c r="M29" s="14" t="n"/>
      <c r="N29" s="14" t="n"/>
    </row>
    <row r="30">
      <c r="A30" s="14" t="n"/>
      <c r="B30" s="14" t="n"/>
      <c r="C30" s="14" t="n"/>
      <c r="D30" s="14" t="n"/>
      <c r="E30" s="14" t="n"/>
      <c r="F30" s="14" t="n"/>
      <c r="G30" s="14" t="n"/>
      <c r="H30" s="14" t="n"/>
      <c r="I30" s="14" t="n"/>
      <c r="J30" s="14" t="n"/>
      <c r="K30" s="14" t="n"/>
      <c r="L30" s="14" t="n"/>
      <c r="M30" s="14" t="n"/>
      <c r="N30" s="14" t="n"/>
    </row>
    <row r="31">
      <c r="A31" s="14" t="n"/>
      <c r="B31" s="14" t="n"/>
      <c r="C31" s="14" t="n"/>
      <c r="D31" s="14" t="n"/>
      <c r="E31" s="14" t="n"/>
      <c r="F31" s="14" t="n"/>
      <c r="G31" s="14" t="n"/>
      <c r="H31" s="14" t="n"/>
      <c r="I31" s="14" t="n"/>
      <c r="J31" s="14" t="n"/>
      <c r="K31" s="14" t="n"/>
      <c r="L31" s="14" t="n"/>
      <c r="M31" s="14" t="n"/>
      <c r="N31" s="14" t="n"/>
    </row>
    <row r="32">
      <c r="A32" s="14" t="n"/>
      <c r="B32" s="14" t="n"/>
      <c r="C32" s="14" t="n"/>
      <c r="D32" s="14" t="n"/>
      <c r="E32" s="14" t="n"/>
      <c r="F32" s="14" t="n"/>
      <c r="G32" s="14" t="n"/>
      <c r="H32" s="14" t="n"/>
      <c r="I32" s="14" t="n"/>
      <c r="J32" s="14" t="n"/>
      <c r="K32" s="14" t="n"/>
      <c r="L32" s="14" t="n"/>
      <c r="M32" s="14" t="n"/>
      <c r="N32" s="14" t="n"/>
    </row>
    <row r="33">
      <c r="A33" s="14" t="n"/>
      <c r="B33" s="14" t="n"/>
      <c r="C33" s="14" t="n"/>
      <c r="D33" s="14" t="n"/>
      <c r="E33" s="14" t="n"/>
      <c r="F33" s="14" t="n"/>
      <c r="G33" s="14" t="n"/>
      <c r="H33" s="14" t="n"/>
      <c r="I33" s="14" t="n"/>
      <c r="J33" s="14" t="n"/>
      <c r="K33" s="14" t="n"/>
      <c r="L33" s="14" t="n"/>
      <c r="M33" s="14" t="n"/>
      <c r="N33" s="14" t="n"/>
    </row>
    <row r="34">
      <c r="A34" s="14" t="n"/>
      <c r="B34" s="14" t="n"/>
      <c r="C34" s="14" t="n"/>
      <c r="D34" s="14" t="n"/>
      <c r="E34" s="14" t="n"/>
      <c r="F34" s="14" t="n"/>
      <c r="G34" s="14" t="n"/>
      <c r="H34" s="14" t="n"/>
      <c r="I34" s="14" t="n"/>
      <c r="J34" s="14" t="n"/>
      <c r="K34" s="14" t="n"/>
      <c r="L34" s="14" t="n"/>
      <c r="M34" s="14" t="n"/>
      <c r="N34" s="14" t="n"/>
    </row>
    <row r="35">
      <c r="A35" s="14" t="n"/>
      <c r="B35" s="14" t="n"/>
      <c r="C35" s="14" t="n"/>
      <c r="D35" s="14" t="n"/>
      <c r="E35" s="14" t="n"/>
      <c r="F35" s="14" t="n"/>
      <c r="G35" s="14" t="n"/>
      <c r="H35" s="14" t="n"/>
      <c r="I35" s="14" t="n"/>
      <c r="J35" s="14" t="n"/>
      <c r="K35" s="14" t="n"/>
      <c r="L35" s="14" t="n"/>
      <c r="M35" s="14" t="n"/>
      <c r="N35" s="14" t="n"/>
    </row>
    <row r="36">
      <c r="A36" s="14" t="n"/>
      <c r="B36" s="14" t="n"/>
      <c r="C36" s="14" t="n"/>
      <c r="D36" s="14" t="n"/>
      <c r="E36" s="14" t="n"/>
      <c r="F36" s="14" t="n"/>
      <c r="G36" s="14" t="n"/>
      <c r="H36" s="14" t="n"/>
      <c r="I36" s="14" t="n"/>
      <c r="J36" s="14" t="n"/>
      <c r="K36" s="14" t="n"/>
      <c r="L36" s="14" t="n"/>
      <c r="M36" s="14" t="n"/>
      <c r="N36" s="14" t="n"/>
    </row>
    <row r="37">
      <c r="A37" s="14" t="n"/>
      <c r="B37" s="14" t="n"/>
      <c r="C37" s="14" t="n"/>
      <c r="D37" s="14" t="n"/>
      <c r="E37" s="14" t="n"/>
      <c r="F37" s="14" t="n"/>
      <c r="G37" s="14" t="n"/>
      <c r="H37" s="14" t="n"/>
      <c r="I37" s="14" t="n"/>
      <c r="J37" s="14" t="n"/>
      <c r="K37" s="14" t="n"/>
      <c r="L37" s="14" t="n"/>
      <c r="M37" s="14" t="n"/>
      <c r="N37" s="14" t="n"/>
    </row>
    <row r="38">
      <c r="A38" s="14" t="n"/>
      <c r="B38" s="14" t="n"/>
      <c r="C38" s="14" t="n"/>
      <c r="D38" s="14" t="n"/>
      <c r="E38" s="14" t="n"/>
      <c r="F38" s="14" t="n"/>
      <c r="G38" s="14" t="n"/>
      <c r="H38" s="14" t="n"/>
      <c r="I38" s="14" t="n"/>
      <c r="J38" s="14" t="n"/>
      <c r="K38" s="14" t="n"/>
      <c r="L38" s="14" t="n"/>
      <c r="M38" s="14" t="n"/>
      <c r="N38" s="14" t="n"/>
    </row>
    <row r="39">
      <c r="A39" s="14" t="n"/>
      <c r="B39" s="14" t="n"/>
      <c r="C39" s="14" t="n"/>
      <c r="D39" s="14" t="n"/>
      <c r="E39" s="14" t="n"/>
      <c r="F39" s="14" t="n"/>
      <c r="G39" s="14" t="n"/>
      <c r="H39" s="14" t="n"/>
      <c r="I39" s="14" t="n"/>
      <c r="J39" s="14" t="n"/>
      <c r="K39" s="14" t="n"/>
      <c r="L39" s="14" t="n"/>
      <c r="M39" s="14" t="n"/>
      <c r="N39" s="14" t="n"/>
    </row>
    <row r="40">
      <c r="A40" s="14" t="n"/>
      <c r="B40" s="14" t="n"/>
      <c r="C40" s="14" t="n"/>
      <c r="D40" s="14" t="n"/>
      <c r="E40" s="14" t="n"/>
      <c r="F40" s="14" t="n"/>
      <c r="G40" s="14" t="n"/>
      <c r="H40" s="14" t="n"/>
      <c r="I40" s="14" t="n"/>
      <c r="J40" s="14" t="n"/>
      <c r="K40" s="14" t="n"/>
      <c r="L40" s="14" t="n"/>
      <c r="M40" s="14" t="n"/>
      <c r="N40" s="14" t="n"/>
    </row>
    <row r="41">
      <c r="A41" s="14" t="n"/>
      <c r="B41" s="14" t="n"/>
      <c r="C41" s="14" t="n"/>
      <c r="D41" s="14" t="n"/>
      <c r="E41" s="14" t="n"/>
      <c r="F41" s="14" t="n"/>
      <c r="G41" s="14" t="n"/>
      <c r="H41" s="14" t="n"/>
      <c r="I41" s="14" t="n"/>
      <c r="J41" s="14" t="n"/>
      <c r="K41" s="14" t="n"/>
      <c r="L41" s="14" t="n"/>
      <c r="M41" s="14" t="n"/>
      <c r="N41" s="14" t="n"/>
    </row>
    <row r="42">
      <c r="A42" s="14" t="n"/>
      <c r="B42" s="14" t="n"/>
      <c r="C42" s="14" t="n"/>
      <c r="D42" s="14" t="n"/>
      <c r="E42" s="14" t="n"/>
      <c r="F42" s="14" t="n"/>
      <c r="G42" s="14" t="n"/>
      <c r="H42" s="14" t="n"/>
      <c r="I42" s="14" t="n"/>
      <c r="J42" s="14" t="n"/>
      <c r="K42" s="14" t="n"/>
      <c r="L42" s="14" t="n"/>
      <c r="M42" s="14" t="n"/>
      <c r="N42" s="14" t="n"/>
    </row>
    <row r="43">
      <c r="A43" s="14" t="n"/>
      <c r="B43" s="14" t="n"/>
      <c r="C43" s="14" t="n"/>
      <c r="D43" s="14" t="n"/>
      <c r="E43" s="14" t="n"/>
      <c r="F43" s="14" t="n"/>
      <c r="G43" s="14" t="n"/>
      <c r="H43" s="14" t="n"/>
      <c r="I43" s="14" t="n"/>
      <c r="J43" s="14" t="n"/>
      <c r="K43" s="14" t="n"/>
      <c r="L43" s="14" t="n"/>
      <c r="M43" s="14" t="n"/>
      <c r="N43" s="14" t="n"/>
    </row>
    <row r="44">
      <c r="A44" s="14" t="n"/>
      <c r="B44" s="14" t="n"/>
      <c r="C44" s="14" t="n"/>
      <c r="D44" s="14" t="n"/>
      <c r="E44" s="14" t="n"/>
      <c r="F44" s="14" t="n"/>
      <c r="G44" s="14" t="n"/>
      <c r="H44" s="14" t="n"/>
      <c r="I44" s="14" t="n"/>
      <c r="J44" s="14" t="n"/>
      <c r="K44" s="14" t="n"/>
      <c r="L44" s="14" t="n"/>
      <c r="M44" s="14" t="n"/>
      <c r="N44" s="14" t="n"/>
    </row>
    <row r="45">
      <c r="A45" s="14" t="n"/>
      <c r="B45" s="14" t="n"/>
      <c r="C45" s="14" t="n"/>
      <c r="D45" s="14" t="n"/>
      <c r="E45" s="14" t="n"/>
      <c r="F45" s="14" t="n"/>
      <c r="G45" s="14" t="n"/>
      <c r="H45" s="14" t="n"/>
      <c r="I45" s="14" t="n"/>
      <c r="J45" s="14" t="n"/>
      <c r="K45" s="14" t="n"/>
      <c r="L45" s="14" t="n"/>
      <c r="M45" s="14" t="n"/>
      <c r="N45" s="14" t="n"/>
    </row>
    <row r="46">
      <c r="A46" s="14" t="n"/>
      <c r="B46" s="14" t="n"/>
      <c r="C46" s="14" t="n"/>
      <c r="D46" s="14" t="n"/>
      <c r="E46" s="14" t="n"/>
      <c r="F46" s="14" t="n"/>
      <c r="G46" s="14" t="n"/>
      <c r="H46" s="14" t="n"/>
      <c r="I46" s="14" t="n"/>
      <c r="J46" s="14" t="n"/>
      <c r="K46" s="14" t="n"/>
      <c r="L46" s="14" t="n"/>
      <c r="M46" s="14" t="n"/>
      <c r="N46" s="14" t="n"/>
    </row>
    <row r="47">
      <c r="A47" s="14" t="n"/>
      <c r="B47" s="14" t="n"/>
      <c r="C47" s="14" t="n"/>
      <c r="D47" s="14" t="n"/>
      <c r="E47" s="14" t="n"/>
      <c r="F47" s="14" t="n"/>
      <c r="G47" s="14" t="n"/>
      <c r="H47" s="14" t="n"/>
      <c r="I47" s="14" t="n"/>
      <c r="J47" s="14" t="n"/>
      <c r="K47" s="14" t="n"/>
      <c r="L47" s="14" t="n"/>
      <c r="M47" s="14" t="n"/>
      <c r="N47" s="14" t="n"/>
    </row>
    <row r="48">
      <c r="A48" s="14" t="n"/>
      <c r="B48" s="14" t="n"/>
      <c r="C48" s="14" t="n"/>
      <c r="D48" s="14" t="n"/>
      <c r="E48" s="14" t="n"/>
      <c r="F48" s="14" t="n"/>
      <c r="G48" s="14" t="n"/>
      <c r="H48" s="14" t="n"/>
      <c r="I48" s="14" t="n"/>
      <c r="J48" s="14" t="n"/>
      <c r="K48" s="14" t="n"/>
      <c r="L48" s="14" t="n"/>
      <c r="M48" s="14" t="n"/>
      <c r="N48" s="14" t="n"/>
    </row>
    <row r="49">
      <c r="A49" s="14" t="n"/>
      <c r="B49" s="14" t="n"/>
      <c r="C49" s="14" t="n"/>
      <c r="D49" s="14" t="n"/>
      <c r="E49" s="14" t="n"/>
      <c r="F49" s="14" t="n"/>
      <c r="G49" s="14" t="n"/>
      <c r="H49" s="14" t="n"/>
      <c r="I49" s="14" t="n"/>
      <c r="J49" s="14" t="n"/>
      <c r="K49" s="14" t="n"/>
      <c r="L49" s="14" t="n"/>
      <c r="M49" s="14" t="n"/>
      <c r="N49" s="14" t="n"/>
    </row>
    <row r="50">
      <c r="A50" s="14" t="n"/>
      <c r="B50" s="14" t="n"/>
      <c r="C50" s="14" t="n"/>
      <c r="D50" s="14" t="n"/>
      <c r="E50" s="14" t="n"/>
      <c r="F50" s="14" t="n"/>
      <c r="G50" s="14" t="n"/>
      <c r="H50" s="14" t="n"/>
      <c r="I50" s="14" t="n"/>
      <c r="J50" s="14" t="n"/>
      <c r="K50" s="14" t="n"/>
      <c r="L50" s="14" t="n"/>
      <c r="M50" s="14" t="n"/>
      <c r="N50" s="14" t="n"/>
    </row>
    <row r="51">
      <c r="A51" s="14" t="n"/>
      <c r="B51" s="14" t="n"/>
      <c r="C51" s="14" t="n"/>
      <c r="D51" s="14" t="n"/>
      <c r="E51" s="14" t="n"/>
      <c r="F51" s="14" t="n"/>
      <c r="G51" s="14" t="n"/>
      <c r="H51" s="14" t="n"/>
      <c r="I51" s="14" t="n"/>
      <c r="J51" s="14" t="n"/>
      <c r="K51" s="14" t="n"/>
      <c r="L51" s="14" t="n"/>
      <c r="M51" s="14" t="n"/>
      <c r="N51" s="14" t="n"/>
    </row>
    <row r="52">
      <c r="A52" s="14" t="n"/>
      <c r="B52" s="14" t="n"/>
      <c r="C52" s="14" t="n"/>
      <c r="D52" s="14" t="n"/>
      <c r="E52" s="14" t="n"/>
      <c r="F52" s="14" t="n"/>
      <c r="G52" s="14" t="n"/>
      <c r="H52" s="14" t="n"/>
      <c r="I52" s="14" t="n"/>
      <c r="J52" s="14" t="n"/>
      <c r="K52" s="14" t="n"/>
      <c r="L52" s="14" t="n"/>
      <c r="M52" s="14" t="n"/>
      <c r="N52" s="14" t="n"/>
    </row>
    <row r="53">
      <c r="A53" s="14" t="n"/>
      <c r="B53" s="14" t="n"/>
      <c r="C53" s="14" t="n"/>
      <c r="D53" s="14" t="n"/>
      <c r="E53" s="14" t="n"/>
      <c r="F53" s="14" t="n"/>
      <c r="G53" s="14" t="n"/>
      <c r="H53" s="14" t="n"/>
      <c r="I53" s="14" t="n"/>
      <c r="J53" s="14" t="n"/>
      <c r="K53" s="14" t="n"/>
      <c r="L53" s="14" t="n"/>
      <c r="M53" s="14" t="n"/>
      <c r="N53" s="14" t="n"/>
    </row>
    <row r="54">
      <c r="A54" s="14" t="n"/>
      <c r="B54" s="14" t="n"/>
      <c r="C54" s="14" t="n"/>
      <c r="D54" s="14" t="n"/>
      <c r="E54" s="14" t="n"/>
      <c r="F54" s="14" t="n"/>
      <c r="G54" s="14" t="n"/>
      <c r="H54" s="14" t="n"/>
      <c r="I54" s="14" t="n"/>
      <c r="J54" s="14" t="n"/>
      <c r="K54" s="14" t="n"/>
      <c r="L54" s="14" t="n"/>
      <c r="M54" s="14" t="n"/>
      <c r="N54" s="14" t="n"/>
    </row>
    <row r="55">
      <c r="A55" s="14" t="n"/>
      <c r="B55" s="14" t="n"/>
      <c r="C55" s="14" t="n"/>
      <c r="D55" s="14" t="n"/>
      <c r="E55" s="14" t="n"/>
      <c r="F55" s="14" t="n"/>
      <c r="G55" s="14" t="n"/>
      <c r="H55" s="14" t="n"/>
      <c r="I55" s="14" t="n"/>
      <c r="J55" s="14" t="n"/>
      <c r="K55" s="14" t="n"/>
      <c r="L55" s="14" t="n"/>
      <c r="M55" s="14" t="n"/>
      <c r="N55" s="14" t="n"/>
    </row>
    <row r="56">
      <c r="A56" s="14" t="n"/>
      <c r="B56" s="14" t="n"/>
      <c r="C56" s="14" t="n"/>
      <c r="D56" s="14" t="n"/>
      <c r="E56" s="14" t="n"/>
      <c r="F56" s="14" t="n"/>
      <c r="G56" s="14" t="n"/>
      <c r="H56" s="14" t="n"/>
      <c r="I56" s="14" t="n"/>
      <c r="J56" s="14" t="n"/>
      <c r="K56" s="14" t="n"/>
      <c r="L56" s="14" t="n"/>
      <c r="M56" s="14" t="n"/>
      <c r="N56" s="14" t="n"/>
    </row>
    <row r="57">
      <c r="A57" s="14" t="n"/>
      <c r="B57" s="14" t="n"/>
      <c r="C57" s="14" t="n"/>
      <c r="D57" s="14" t="n"/>
      <c r="E57" s="14" t="n"/>
      <c r="F57" s="14" t="n"/>
      <c r="G57" s="14" t="n"/>
      <c r="H57" s="14" t="n"/>
      <c r="I57" s="14" t="n"/>
      <c r="J57" s="14" t="n"/>
      <c r="K57" s="14" t="n"/>
      <c r="L57" s="14" t="n"/>
      <c r="M57" s="14" t="n"/>
      <c r="N57" s="14" t="n"/>
    </row>
    <row r="58">
      <c r="A58" s="14" t="n"/>
      <c r="B58" s="14" t="n"/>
      <c r="C58" s="14" t="n"/>
      <c r="D58" s="14" t="n"/>
      <c r="E58" s="14" t="n"/>
      <c r="F58" s="14" t="n"/>
      <c r="G58" s="14" t="n"/>
      <c r="H58" s="14" t="n"/>
      <c r="I58" s="14" t="n"/>
      <c r="J58" s="14" t="n"/>
      <c r="K58" s="14" t="n"/>
      <c r="L58" s="14" t="n"/>
      <c r="M58" s="14" t="n"/>
      <c r="N58" s="14" t="n"/>
    </row>
    <row r="59">
      <c r="A59" s="14" t="n"/>
      <c r="B59" s="14" t="n"/>
      <c r="C59" s="14" t="n"/>
      <c r="D59" s="14" t="n"/>
      <c r="E59" s="14" t="n"/>
      <c r="F59" s="14" t="n"/>
      <c r="G59" s="14" t="n"/>
      <c r="H59" s="14" t="n"/>
      <c r="I59" s="14" t="n"/>
      <c r="J59" s="14" t="n"/>
      <c r="K59" s="14" t="n"/>
      <c r="L59" s="14" t="n"/>
      <c r="M59" s="14" t="n"/>
      <c r="N59" s="14" t="n"/>
    </row>
    <row r="60">
      <c r="A60" s="14" t="n"/>
      <c r="B60" s="14" t="n"/>
      <c r="C60" s="14" t="n"/>
      <c r="D60" s="14" t="n"/>
      <c r="E60" s="14" t="n"/>
      <c r="F60" s="14" t="n"/>
      <c r="G60" s="14" t="n"/>
      <c r="H60" s="14" t="n"/>
      <c r="I60" s="14" t="n"/>
      <c r="J60" s="14" t="n"/>
      <c r="K60" s="14" t="n"/>
      <c r="L60" s="14" t="n"/>
      <c r="M60" s="14" t="n"/>
      <c r="N60" s="14" t="n"/>
    </row>
    <row r="61">
      <c r="A61" s="14" t="n"/>
      <c r="B61" s="14" t="n"/>
      <c r="C61" s="14" t="n"/>
      <c r="D61" s="14" t="n"/>
      <c r="E61" s="14" t="n"/>
      <c r="F61" s="14" t="n"/>
      <c r="G61" s="14" t="n"/>
      <c r="H61" s="14" t="n"/>
      <c r="I61" s="14" t="n"/>
      <c r="J61" s="14" t="n"/>
      <c r="K61" s="14" t="n"/>
      <c r="L61" s="14" t="n"/>
      <c r="M61" s="14" t="n"/>
      <c r="N61" s="14" t="n"/>
    </row>
    <row r="62">
      <c r="A62" s="14" t="n"/>
      <c r="B62" s="14" t="n"/>
      <c r="C62" s="14" t="n"/>
      <c r="D62" s="14" t="n"/>
      <c r="E62" s="14" t="n"/>
      <c r="F62" s="14" t="n"/>
      <c r="G62" s="14" t="n"/>
      <c r="H62" s="14" t="n"/>
      <c r="I62" s="14" t="n"/>
      <c r="J62" s="14" t="n"/>
      <c r="K62" s="14" t="n"/>
      <c r="L62" s="14" t="n"/>
      <c r="M62" s="14" t="n"/>
      <c r="N62" s="14" t="n"/>
    </row>
    <row r="63">
      <c r="A63" s="14" t="n"/>
      <c r="B63" s="14" t="n"/>
      <c r="C63" s="14" t="n"/>
      <c r="D63" s="14" t="n"/>
      <c r="E63" s="14" t="n"/>
      <c r="F63" s="14" t="n"/>
      <c r="G63" s="14" t="n"/>
      <c r="H63" s="14" t="n"/>
      <c r="I63" s="14" t="n"/>
      <c r="J63" s="14" t="n"/>
      <c r="K63" s="14" t="n"/>
      <c r="L63" s="14" t="n"/>
      <c r="M63" s="14" t="n"/>
      <c r="N63" s="14" t="n"/>
    </row>
    <row r="64">
      <c r="A64" s="14" t="n"/>
      <c r="B64" s="14" t="n"/>
      <c r="C64" s="14" t="n"/>
      <c r="D64" s="14" t="n"/>
      <c r="E64" s="14" t="n"/>
      <c r="F64" s="14" t="n"/>
      <c r="G64" s="14" t="n"/>
      <c r="H64" s="14" t="n"/>
      <c r="I64" s="14" t="n"/>
      <c r="J64" s="14" t="n"/>
      <c r="K64" s="14" t="n"/>
      <c r="L64" s="14" t="n"/>
      <c r="M64" s="14" t="n"/>
      <c r="N64" s="14" t="n"/>
    </row>
    <row r="65">
      <c r="A65" s="14" t="n"/>
      <c r="B65" s="14" t="n"/>
      <c r="C65" s="14" t="n"/>
      <c r="D65" s="14" t="n"/>
      <c r="E65" s="14" t="n"/>
      <c r="F65" s="14" t="n"/>
      <c r="G65" s="14" t="n"/>
      <c r="H65" s="14" t="n"/>
      <c r="I65" s="14" t="n"/>
      <c r="J65" s="14" t="n"/>
      <c r="K65" s="14" t="n"/>
      <c r="L65" s="14" t="n"/>
      <c r="M65" s="14" t="n"/>
      <c r="N65" s="14" t="n"/>
    </row>
    <row r="66">
      <c r="A66" s="14" t="n"/>
      <c r="B66" s="14" t="n"/>
      <c r="C66" s="14" t="n"/>
      <c r="D66" s="14" t="n"/>
      <c r="E66" s="14" t="n"/>
      <c r="F66" s="14" t="n"/>
      <c r="G66" s="14" t="n"/>
      <c r="H66" s="14" t="n"/>
      <c r="I66" s="14" t="n"/>
      <c r="J66" s="14" t="n"/>
      <c r="K66" s="14" t="n"/>
      <c r="L66" s="14" t="n"/>
      <c r="M66" s="14" t="n"/>
      <c r="N66" s="14" t="n"/>
    </row>
    <row r="67">
      <c r="A67" s="14" t="n"/>
      <c r="B67" s="14" t="n"/>
      <c r="C67" s="14" t="n"/>
      <c r="D67" s="14" t="n"/>
      <c r="E67" s="14" t="n"/>
      <c r="F67" s="14" t="n"/>
      <c r="G67" s="14" t="n"/>
      <c r="H67" s="14" t="n"/>
      <c r="I67" s="14" t="n"/>
      <c r="J67" s="14" t="n"/>
      <c r="K67" s="14" t="n"/>
      <c r="L67" s="14" t="n"/>
      <c r="M67" s="14" t="n"/>
      <c r="N67" s="14" t="n"/>
    </row>
    <row r="68">
      <c r="A68" s="14" t="n"/>
      <c r="B68" s="14" t="n"/>
      <c r="C68" s="14" t="n"/>
      <c r="D68" s="14" t="n"/>
      <c r="E68" s="14" t="n"/>
      <c r="F68" s="14" t="n"/>
      <c r="G68" s="14" t="n"/>
      <c r="H68" s="14" t="n"/>
      <c r="I68" s="14" t="n"/>
      <c r="J68" s="14" t="n"/>
      <c r="K68" s="14" t="n"/>
      <c r="L68" s="14" t="n"/>
      <c r="M68" s="14" t="n"/>
      <c r="N68" s="14" t="n"/>
    </row>
    <row r="69">
      <c r="A69" s="14" t="n"/>
      <c r="B69" s="14" t="n"/>
      <c r="C69" s="14" t="n"/>
      <c r="D69" s="14" t="n"/>
      <c r="E69" s="14" t="n"/>
      <c r="F69" s="14" t="n"/>
      <c r="G69" s="14" t="n"/>
      <c r="H69" s="14" t="n"/>
      <c r="I69" s="14" t="n"/>
      <c r="J69" s="14" t="n"/>
      <c r="K69" s="14" t="n"/>
      <c r="L69" s="14" t="n"/>
      <c r="M69" s="14" t="n"/>
      <c r="N69" s="14" t="n"/>
    </row>
    <row r="70">
      <c r="A70" s="14" t="n"/>
      <c r="B70" s="14" t="n"/>
      <c r="C70" s="14" t="n"/>
      <c r="D70" s="14" t="n"/>
      <c r="E70" s="14" t="n"/>
      <c r="F70" s="14" t="n"/>
      <c r="G70" s="14" t="n"/>
      <c r="H70" s="14" t="n"/>
      <c r="I70" s="14" t="n"/>
      <c r="J70" s="14" t="n"/>
      <c r="K70" s="14" t="n"/>
      <c r="L70" s="14" t="n"/>
      <c r="M70" s="14" t="n"/>
      <c r="N70" s="14" t="n"/>
    </row>
    <row r="71">
      <c r="A71" s="14" t="n"/>
      <c r="B71" s="14" t="n"/>
      <c r="C71" s="14" t="n"/>
      <c r="D71" s="14" t="n"/>
      <c r="E71" s="14" t="n"/>
      <c r="F71" s="14" t="n"/>
      <c r="G71" s="14" t="n"/>
      <c r="H71" s="14" t="n"/>
      <c r="I71" s="14" t="n"/>
      <c r="J71" s="14" t="n"/>
      <c r="K71" s="14" t="n"/>
      <c r="L71" s="14" t="n"/>
      <c r="M71" s="14" t="n"/>
      <c r="N71" s="14" t="n"/>
    </row>
    <row r="73">
      <c r="A73" s="15" t="inlineStr">
        <is>
          <t>DATA OWNER RESPONSIBILITIES (Reference)</t>
        </is>
      </c>
    </row>
    <row r="74">
      <c r="A74" s="5" t="inlineStr">
        <is>
          <t>Responsibility</t>
        </is>
      </c>
      <c r="B74" s="5" t="inlineStr">
        <is>
          <t>Requirement Level</t>
        </is>
      </c>
      <c r="C74" s="5" t="inlineStr">
        <is>
          <t>Policy Reference</t>
        </is>
      </c>
    </row>
    <row r="75">
      <c r="A75" t="inlineStr">
        <is>
          <t>Approve data classification</t>
        </is>
      </c>
      <c r="B75" t="inlineStr">
        <is>
          <t>SHALL</t>
        </is>
      </c>
      <c r="C75" t="inlineStr">
        <is>
          <t>REQ-CLS-031</t>
        </is>
      </c>
    </row>
    <row r="76">
      <c r="A76" t="inlineStr">
        <is>
          <t>Approve masking techniques for their data</t>
        </is>
      </c>
      <c r="B76" t="inlineStr">
        <is>
          <t>SHALL</t>
        </is>
      </c>
      <c r="C76" t="inlineStr">
        <is>
          <t>REQ-CLS-031</t>
        </is>
      </c>
    </row>
    <row r="77">
      <c r="A77" t="inlineStr">
        <is>
          <t>Review classification annually</t>
        </is>
      </c>
      <c r="B77" t="inlineStr">
        <is>
          <t>SHALL</t>
        </is>
      </c>
      <c r="C77" t="inlineStr">
        <is>
          <t>REQ-CLS-032</t>
        </is>
      </c>
    </row>
    <row r="78">
      <c r="A78" t="inlineStr">
        <is>
          <t>Approve access to unmasked data</t>
        </is>
      </c>
      <c r="B78" t="inlineStr">
        <is>
          <t>SHALL</t>
        </is>
      </c>
      <c r="C78" t="inlineStr">
        <is>
          <t>REQ-ENV-041</t>
        </is>
      </c>
    </row>
    <row r="79">
      <c r="A79" t="inlineStr">
        <is>
          <t>Review masking effectiveness</t>
        </is>
      </c>
      <c r="B79" t="inlineStr">
        <is>
          <t>SHOULD</t>
        </is>
      </c>
      <c r="C79" t="inlineStr">
        <is>
          <t>REQ-TST-020</t>
        </is>
      </c>
    </row>
    <row r="80">
      <c r="A80" t="inlineStr">
        <is>
          <t>Participate in risk assessments</t>
        </is>
      </c>
      <c r="B80" t="inlineStr">
        <is>
          <t>SHOULD</t>
        </is>
      </c>
      <c r="C80" t="inlineStr">
        <is>
          <t>REQ-GOV-010</t>
        </is>
      </c>
    </row>
    <row r="82">
      <c r="A82" s="15" t="inlineStr">
        <is>
          <t>OWNERSHIP CHECKLIST</t>
        </is>
      </c>
    </row>
    <row r="83">
      <c r="A83" s="5" t="inlineStr">
        <is>
          <t>#</t>
        </is>
      </c>
      <c r="B83" s="5" t="inlineStr">
        <is>
          <t>Checklist Item</t>
        </is>
      </c>
      <c r="C83" s="5" t="inlineStr">
        <is>
          <t>Status</t>
        </is>
      </c>
      <c r="D83" s="5" t="inlineStr">
        <is>
          <t>Evidence</t>
        </is>
      </c>
      <c r="E83" s="5" t="inlineStr">
        <is>
          <t>Notes</t>
        </is>
      </c>
    </row>
    <row r="84">
      <c r="A84" t="n">
        <v>1</v>
      </c>
      <c r="B84" s="16" t="inlineStr">
        <is>
          <t>Are data owners assigned per category?</t>
        </is>
      </c>
      <c r="C84" s="14" t="n"/>
      <c r="D84" s="14" t="n"/>
      <c r="E84" s="14" t="n"/>
    </row>
    <row r="85">
      <c r="A85" t="n">
        <v>2</v>
      </c>
      <c r="B85" s="16" t="inlineStr">
        <is>
          <t>Are data owners assigned per system?</t>
        </is>
      </c>
      <c r="C85" s="14" t="n"/>
      <c r="D85" s="14" t="n"/>
      <c r="E85" s="14" t="n"/>
    </row>
    <row r="86">
      <c r="A86" t="n">
        <v>3</v>
      </c>
      <c r="B86" s="16" t="inlineStr">
        <is>
          <t>Are data stewards identified?</t>
        </is>
      </c>
      <c r="C86" s="14" t="n"/>
      <c r="D86" s="14" t="n"/>
      <c r="E86" s="14" t="n"/>
    </row>
    <row r="87">
      <c r="A87" t="n">
        <v>4</v>
      </c>
      <c r="B87" s="16" t="inlineStr">
        <is>
          <t>Are backup owners assigned?</t>
        </is>
      </c>
      <c r="C87" s="14" t="n"/>
      <c r="D87" s="14" t="n"/>
      <c r="E87" s="14" t="n"/>
    </row>
    <row r="88">
      <c r="A88" t="n">
        <v>5</v>
      </c>
      <c r="B88" s="16" t="inlineStr">
        <is>
          <t>Is ownership documented in RACI matrix?</t>
        </is>
      </c>
      <c r="C88" s="14" t="n"/>
      <c r="D88" s="14" t="n"/>
      <c r="E88" s="14" t="n"/>
    </row>
    <row r="89">
      <c r="A89" t="n">
        <v>6</v>
      </c>
      <c r="B89" s="16" t="inlineStr">
        <is>
          <t>Have data owners acknowledged responsibilities?</t>
        </is>
      </c>
      <c r="C89" s="14" t="n"/>
      <c r="D89" s="14" t="n"/>
      <c r="E89" s="14" t="n"/>
    </row>
    <row r="90">
      <c r="A90" t="n">
        <v>7</v>
      </c>
      <c r="B90" s="16" t="inlineStr">
        <is>
          <t>Are ownership changes tracked?</t>
        </is>
      </c>
      <c r="C90" s="14" t="n"/>
      <c r="D90" s="14" t="n"/>
      <c r="E90" s="14" t="n"/>
    </row>
    <row r="91">
      <c r="A91" t="n">
        <v>8</v>
      </c>
      <c r="B91" s="16" t="inlineStr">
        <is>
          <t>Is ownership reviewed annually?</t>
        </is>
      </c>
      <c r="C91" s="14" t="n"/>
      <c r="D91" s="14" t="n"/>
      <c r="E91" s="14" t="n"/>
    </row>
    <row r="92">
      <c r="A92" t="n">
        <v>9</v>
      </c>
      <c r="B92" s="16" t="inlineStr">
        <is>
          <t>Are data owners trained on masking requirements?</t>
        </is>
      </c>
      <c r="C92" s="14" t="n"/>
      <c r="D92" s="14" t="n"/>
      <c r="E92" s="14" t="n"/>
    </row>
    <row r="93">
      <c r="A93" t="n">
        <v>10</v>
      </c>
      <c r="B93" s="16" t="inlineStr">
        <is>
          <t>Do data owners approve masking techniques?</t>
        </is>
      </c>
      <c r="C93" s="14" t="n"/>
      <c r="D93" s="14" t="n"/>
      <c r="E93" s="14" t="n"/>
    </row>
  </sheetData>
  <mergeCells count="7">
    <mergeCell ref="A3:N3"/>
    <mergeCell ref="A82:E82"/>
    <mergeCell ref="A2:N2"/>
    <mergeCell ref="A6:F6"/>
    <mergeCell ref="A19:N19"/>
    <mergeCell ref="A73:C73"/>
    <mergeCell ref="A1:N1"/>
  </mergeCells>
  <dataValidations count="3">
    <dataValidation sqref="G21 G22 G23 G24 G25 G26 G27 G28 G29 G30 G31 G32 G33 G34 G35 G36 G37 G38 G39 G40 G41 G42 G43 G44 G45 G46 G47 G48 G49 G50 G51 G52 G53 G54 G55 G56 G57 G58 G59 G60 G61 G62 G63 G64 G65 G66 G67 G68 G69 G70 G71" showDropDown="0" showInputMessage="0" showErrorMessage="0" allowBlank="0" type="list">
      <formula1>"Yes,No,Partial"</formula1>
    </dataValidation>
    <dataValidation sqref="B4" showDropDown="0" showInputMessage="0" showErrorMessage="0" allowBlank="0" type="list">
      <formula1>"Yes,No,Partial,Planned,N/A"</formula1>
    </dataValidation>
    <dataValidation sqref="C84 C85 C86 C87 C88 C89 C90 C91 C92 C93" showDropDown="0" showInputMessage="0" showErrorMessage="0" allowBlank="0" type="list">
      <formula1>"✅ Complete,⚠️ Partial,❌ Missing,ὌB Planned,N/A"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86"/>
  <sheetViews>
    <sheetView showGridLines="0" workbookViewId="0">
      <pane ySplit="14" topLeftCell="A15" activePane="bottomLeft" state="frozen"/>
      <selection pane="bottomLeft" activeCell="A1" sqref="A1"/>
    </sheetView>
  </sheetViews>
  <sheetFormatPr baseColWidth="8" defaultRowHeight="15"/>
  <cols>
    <col width="15" customWidth="1" min="1" max="1"/>
    <col width="45" customWidth="1" min="2" max="2"/>
    <col width="12" customWidth="1" min="3" max="3"/>
    <col width="12" customWidth="1" min="4" max="4"/>
    <col width="12" customWidth="1" min="5" max="5"/>
    <col width="12" customWidth="1" min="6" max="6"/>
    <col width="12" customWidth="1" min="7" max="7"/>
    <col width="12" customWidth="1" min="8" max="8"/>
    <col width="15" customWidth="1" min="9" max="9"/>
    <col width="12" customWidth="1" min="10" max="10"/>
    <col width="18" customWidth="1" min="11" max="11"/>
    <col width="18" customWidth="1" min="12" max="12"/>
    <col width="20" customWidth="1" min="13" max="13"/>
    <col width="18" customWidth="1" min="14" max="14"/>
    <col width="25" customWidth="1" min="15" max="15"/>
    <col width="30" customWidth="1" min="16" max="16"/>
  </cols>
  <sheetData>
    <row r="1" ht="35" customHeight="1">
      <c r="A1" s="1" t="inlineStr">
        <is>
          <t>MASKING PRIORITY &amp; RISK ASSESSMENT</t>
        </is>
      </c>
    </row>
    <row r="2">
      <c r="A2" s="11" t="inlineStr">
        <is>
          <t>Prioritise masking efforts based on risk, compliance, and business impact</t>
        </is>
      </c>
    </row>
    <row r="3">
      <c r="A3" s="15" t="inlineStr">
        <is>
          <t>Has your organisation prioritised masking implementation based on risk assessment?</t>
        </is>
      </c>
    </row>
    <row r="4">
      <c r="A4" s="13" t="inlineStr">
        <is>
          <t>Response:</t>
        </is>
      </c>
      <c r="B4" s="14" t="n"/>
    </row>
    <row r="6">
      <c r="A6" s="17" t="inlineStr">
        <is>
          <t>PRIORITY SCORE FORMULA: (Sensitivity × 3) + (Exposure Risk × 2) + (Regulatory Weight × 2) + (Volume Factor × 1)</t>
        </is>
      </c>
    </row>
    <row r="8">
      <c r="A8" s="13" t="inlineStr">
        <is>
          <t>Priority Tiers:</t>
        </is>
      </c>
    </row>
    <row r="9">
      <c r="A9" t="inlineStr">
        <is>
          <t>P1 (Critical): Score ≥ 35 — Immediate action required</t>
        </is>
      </c>
    </row>
    <row r="10">
      <c r="A10" t="inlineStr">
        <is>
          <t>P2 (High): Score 25-34 — Implement within 3 months</t>
        </is>
      </c>
    </row>
    <row r="11">
      <c r="A11" t="inlineStr">
        <is>
          <t>P3 (Medium): Score 15-24 — Implement within 6 months</t>
        </is>
      </c>
    </row>
    <row r="12">
      <c r="A12" t="inlineStr">
        <is>
          <t>P4 (Low): Score &lt; 15 — Risk-based timeline</t>
        </is>
      </c>
    </row>
    <row r="13">
      <c r="A13" s="15" t="inlineStr">
        <is>
          <t>PRIORITY ASSESSMENT (51 rows: 1 sample + 50 empty)</t>
        </is>
      </c>
    </row>
    <row r="14">
      <c r="A14" s="5" t="inlineStr">
        <is>
          <t>Data Element ID</t>
        </is>
      </c>
      <c r="B14" s="5" t="inlineStr">
        <is>
          <t>System Name</t>
        </is>
      </c>
      <c r="C14" s="5" t="inlineStr">
        <is>
          <t>Field Name</t>
        </is>
      </c>
      <c r="D14" s="5" t="inlineStr">
        <is>
          <t>Data Category</t>
        </is>
      </c>
      <c r="E14" s="5" t="inlineStr">
        <is>
          <t>Sensitivity Score (1-5)</t>
        </is>
      </c>
      <c r="F14" s="5" t="inlineStr">
        <is>
          <t>Exposure Risk (1-5)</t>
        </is>
      </c>
      <c r="G14" s="5" t="inlineStr">
        <is>
          <t>Regulatory Score (1-5)</t>
        </is>
      </c>
      <c r="H14" s="5" t="inlineStr">
        <is>
          <t>Volume Score (1-5)</t>
        </is>
      </c>
      <c r="I14" s="5" t="inlineStr">
        <is>
          <t>Total Priority Score</t>
        </is>
      </c>
      <c r="J14" s="5" t="inlineStr">
        <is>
          <t>Priority Tier</t>
        </is>
      </c>
      <c r="K14" s="5" t="inlineStr">
        <is>
          <t>Current Masking Status</t>
        </is>
      </c>
      <c r="L14" s="5" t="inlineStr">
        <is>
          <t>Target Implementation Date</t>
        </is>
      </c>
      <c r="M14" s="5" t="inlineStr">
        <is>
          <t>Assigned To</t>
        </is>
      </c>
      <c r="N14" s="5" t="inlineStr">
        <is>
          <t>Implementation Status</t>
        </is>
      </c>
      <c r="O14" s="5" t="inlineStr">
        <is>
          <t>Blocking Issues</t>
        </is>
      </c>
      <c r="P14" s="5" t="inlineStr">
        <is>
          <t>Notes</t>
        </is>
      </c>
    </row>
    <row r="15">
      <c r="A15" s="14" t="inlineStr">
        <is>
          <t>DE-001</t>
        </is>
      </c>
      <c r="B15" s="14" t="inlineStr">
        <is>
          <t>Customer CRM System</t>
        </is>
      </c>
      <c r="C15" s="14" t="inlineStr">
        <is>
          <t>email_address</t>
        </is>
      </c>
      <c r="D15" s="14" t="inlineStr">
        <is>
          <t>CAT-PII-D</t>
        </is>
      </c>
      <c r="E15" s="14" t="inlineStr">
        <is>
          <t>5</t>
        </is>
      </c>
      <c r="F15" s="14" t="inlineStr">
        <is>
          <t>5</t>
        </is>
      </c>
      <c r="G15" s="14" t="inlineStr">
        <is>
          <t>5</t>
        </is>
      </c>
      <c r="H15" s="14" t="inlineStr">
        <is>
          <t>5</t>
        </is>
      </c>
      <c r="I15" s="14" t="inlineStr">
        <is>
          <t>40</t>
        </is>
      </c>
      <c r="J15" s="14" t="inlineStr">
        <is>
          <t>P1</t>
        </is>
      </c>
      <c r="K15" s="14" t="inlineStr">
        <is>
          <t>Not Masked</t>
        </is>
      </c>
      <c r="L15" s="14" t="inlineStr">
        <is>
          <t>31.01.2026</t>
        </is>
      </c>
      <c r="M15" s="14" t="inlineStr">
        <is>
          <t>Data Engineering</t>
        </is>
      </c>
      <c r="N15" s="14" t="inlineStr">
        <is>
          <t>In Progress</t>
        </is>
      </c>
      <c r="O15" s="14" t="inlineStr"/>
      <c r="P15" s="14" t="inlineStr">
        <is>
          <t>Critical P1 - production unmasked data</t>
        </is>
      </c>
    </row>
    <row r="16">
      <c r="A16" s="14" t="n"/>
      <c r="B16" s="14" t="n"/>
      <c r="C16" s="14" t="n"/>
      <c r="D16" s="14" t="n"/>
      <c r="E16" s="14" t="n"/>
      <c r="F16" s="14" t="n"/>
      <c r="G16" s="14" t="n"/>
      <c r="H16" s="14" t="n"/>
      <c r="I16" s="14" t="inlineStr"/>
      <c r="J16" s="14" t="inlineStr"/>
      <c r="K16" s="14" t="n"/>
      <c r="L16" s="14" t="n"/>
      <c r="M16" s="14" t="n"/>
      <c r="N16" s="14" t="n"/>
      <c r="O16" s="14" t="n"/>
      <c r="P16" s="14" t="n"/>
    </row>
    <row r="17">
      <c r="A17" s="14" t="n"/>
      <c r="B17" s="14" t="n"/>
      <c r="C17" s="14" t="n"/>
      <c r="D17" s="14" t="n"/>
      <c r="E17" s="14" t="n"/>
      <c r="F17" s="14" t="n"/>
      <c r="G17" s="14" t="n"/>
      <c r="H17" s="14" t="n"/>
      <c r="I17" s="14" t="inlineStr"/>
      <c r="J17" s="14" t="inlineStr"/>
      <c r="K17" s="14" t="n"/>
      <c r="L17" s="14" t="n"/>
      <c r="M17" s="14" t="n"/>
      <c r="N17" s="14" t="n"/>
      <c r="O17" s="14" t="n"/>
      <c r="P17" s="14" t="n"/>
    </row>
    <row r="18">
      <c r="A18" s="14" t="n"/>
      <c r="B18" s="14" t="n"/>
      <c r="C18" s="14" t="n"/>
      <c r="D18" s="14" t="n"/>
      <c r="E18" s="14" t="n"/>
      <c r="F18" s="14" t="n"/>
      <c r="G18" s="14" t="n"/>
      <c r="H18" s="14" t="n"/>
      <c r="I18" s="14" t="inlineStr"/>
      <c r="J18" s="14" t="inlineStr"/>
      <c r="K18" s="14" t="n"/>
      <c r="L18" s="14" t="n"/>
      <c r="M18" s="14" t="n"/>
      <c r="N18" s="14" t="n"/>
      <c r="O18" s="14" t="n"/>
      <c r="P18" s="14" t="n"/>
    </row>
    <row r="19">
      <c r="A19" s="14" t="n"/>
      <c r="B19" s="14" t="n"/>
      <c r="C19" s="14" t="n"/>
      <c r="D19" s="14" t="n"/>
      <c r="E19" s="14" t="n"/>
      <c r="F19" s="14" t="n"/>
      <c r="G19" s="14" t="n"/>
      <c r="H19" s="14" t="n"/>
      <c r="I19" s="14" t="inlineStr"/>
      <c r="J19" s="14" t="inlineStr"/>
      <c r="K19" s="14" t="n"/>
      <c r="L19" s="14" t="n"/>
      <c r="M19" s="14" t="n"/>
      <c r="N19" s="14" t="n"/>
      <c r="O19" s="14" t="n"/>
      <c r="P19" s="14" t="n"/>
    </row>
    <row r="20">
      <c r="A20" s="14" t="n"/>
      <c r="B20" s="14" t="n"/>
      <c r="C20" s="14" t="n"/>
      <c r="D20" s="14" t="n"/>
      <c r="E20" s="14" t="n"/>
      <c r="F20" s="14" t="n"/>
      <c r="G20" s="14" t="n"/>
      <c r="H20" s="14" t="n"/>
      <c r="I20" s="14" t="inlineStr"/>
      <c r="J20" s="14" t="inlineStr"/>
      <c r="K20" s="14" t="n"/>
      <c r="L20" s="14" t="n"/>
      <c r="M20" s="14" t="n"/>
      <c r="N20" s="14" t="n"/>
      <c r="O20" s="14" t="n"/>
      <c r="P20" s="14" t="n"/>
    </row>
    <row r="21">
      <c r="A21" s="14" t="n"/>
      <c r="B21" s="14" t="n"/>
      <c r="C21" s="14" t="n"/>
      <c r="D21" s="14" t="n"/>
      <c r="E21" s="14" t="n"/>
      <c r="F21" s="14" t="n"/>
      <c r="G21" s="14" t="n"/>
      <c r="H21" s="14" t="n"/>
      <c r="I21" s="14" t="inlineStr"/>
      <c r="J21" s="14" t="inlineStr"/>
      <c r="K21" s="14" t="n"/>
      <c r="L21" s="14" t="n"/>
      <c r="M21" s="14" t="n"/>
      <c r="N21" s="14" t="n"/>
      <c r="O21" s="14" t="n"/>
      <c r="P21" s="14" t="n"/>
    </row>
    <row r="22">
      <c r="A22" s="14" t="n"/>
      <c r="B22" s="14" t="n"/>
      <c r="C22" s="14" t="n"/>
      <c r="D22" s="14" t="n"/>
      <c r="E22" s="14" t="n"/>
      <c r="F22" s="14" t="n"/>
      <c r="G22" s="14" t="n"/>
      <c r="H22" s="14" t="n"/>
      <c r="I22" s="14" t="inlineStr"/>
      <c r="J22" s="14" t="inlineStr"/>
      <c r="K22" s="14" t="n"/>
      <c r="L22" s="14" t="n"/>
      <c r="M22" s="14" t="n"/>
      <c r="N22" s="14" t="n"/>
      <c r="O22" s="14" t="n"/>
      <c r="P22" s="14" t="n"/>
    </row>
    <row r="23">
      <c r="A23" s="14" t="n"/>
      <c r="B23" s="14" t="n"/>
      <c r="C23" s="14" t="n"/>
      <c r="D23" s="14" t="n"/>
      <c r="E23" s="14" t="n"/>
      <c r="F23" s="14" t="n"/>
      <c r="G23" s="14" t="n"/>
      <c r="H23" s="14" t="n"/>
      <c r="I23" s="14" t="inlineStr"/>
      <c r="J23" s="14" t="inlineStr"/>
      <c r="K23" s="14" t="n"/>
      <c r="L23" s="14" t="n"/>
      <c r="M23" s="14" t="n"/>
      <c r="N23" s="14" t="n"/>
      <c r="O23" s="14" t="n"/>
      <c r="P23" s="14" t="n"/>
    </row>
    <row r="24">
      <c r="A24" s="14" t="n"/>
      <c r="B24" s="14" t="n"/>
      <c r="C24" s="14" t="n"/>
      <c r="D24" s="14" t="n"/>
      <c r="E24" s="14" t="n"/>
      <c r="F24" s="14" t="n"/>
      <c r="G24" s="14" t="n"/>
      <c r="H24" s="14" t="n"/>
      <c r="I24" s="14" t="inlineStr"/>
      <c r="J24" s="14" t="inlineStr"/>
      <c r="K24" s="14" t="n"/>
      <c r="L24" s="14" t="n"/>
      <c r="M24" s="14" t="n"/>
      <c r="N24" s="14" t="n"/>
      <c r="O24" s="14" t="n"/>
      <c r="P24" s="14" t="n"/>
    </row>
    <row r="25">
      <c r="A25" s="14" t="n"/>
      <c r="B25" s="14" t="n"/>
      <c r="C25" s="14" t="n"/>
      <c r="D25" s="14" t="n"/>
      <c r="E25" s="14" t="n"/>
      <c r="F25" s="14" t="n"/>
      <c r="G25" s="14" t="n"/>
      <c r="H25" s="14" t="n"/>
      <c r="I25" s="14" t="inlineStr"/>
      <c r="J25" s="14" t="inlineStr"/>
      <c r="K25" s="14" t="n"/>
      <c r="L25" s="14" t="n"/>
      <c r="M25" s="14" t="n"/>
      <c r="N25" s="14" t="n"/>
      <c r="O25" s="14" t="n"/>
      <c r="P25" s="14" t="n"/>
    </row>
    <row r="26">
      <c r="A26" s="14" t="n"/>
      <c r="B26" s="14" t="n"/>
      <c r="C26" s="14" t="n"/>
      <c r="D26" s="14" t="n"/>
      <c r="E26" s="14" t="n"/>
      <c r="F26" s="14" t="n"/>
      <c r="G26" s="14" t="n"/>
      <c r="H26" s="14" t="n"/>
      <c r="I26" s="14" t="inlineStr"/>
      <c r="J26" s="14" t="inlineStr"/>
      <c r="K26" s="14" t="n"/>
      <c r="L26" s="14" t="n"/>
      <c r="M26" s="14" t="n"/>
      <c r="N26" s="14" t="n"/>
      <c r="O26" s="14" t="n"/>
      <c r="P26" s="14" t="n"/>
    </row>
    <row r="27">
      <c r="A27" s="14" t="n"/>
      <c r="B27" s="14" t="n"/>
      <c r="C27" s="14" t="n"/>
      <c r="D27" s="14" t="n"/>
      <c r="E27" s="14" t="n"/>
      <c r="F27" s="14" t="n"/>
      <c r="G27" s="14" t="n"/>
      <c r="H27" s="14" t="n"/>
      <c r="I27" s="14" t="inlineStr"/>
      <c r="J27" s="14" t="inlineStr"/>
      <c r="K27" s="14" t="n"/>
      <c r="L27" s="14" t="n"/>
      <c r="M27" s="14" t="n"/>
      <c r="N27" s="14" t="n"/>
      <c r="O27" s="14" t="n"/>
      <c r="P27" s="14" t="n"/>
    </row>
    <row r="28">
      <c r="A28" s="14" t="n"/>
      <c r="B28" s="14" t="n"/>
      <c r="C28" s="14" t="n"/>
      <c r="D28" s="14" t="n"/>
      <c r="E28" s="14" t="n"/>
      <c r="F28" s="14" t="n"/>
      <c r="G28" s="14" t="n"/>
      <c r="H28" s="14" t="n"/>
      <c r="I28" s="14" t="inlineStr"/>
      <c r="J28" s="14" t="inlineStr"/>
      <c r="K28" s="14" t="n"/>
      <c r="L28" s="14" t="n"/>
      <c r="M28" s="14" t="n"/>
      <c r="N28" s="14" t="n"/>
      <c r="O28" s="14" t="n"/>
      <c r="P28" s="14" t="n"/>
    </row>
    <row r="29">
      <c r="A29" s="14" t="n"/>
      <c r="B29" s="14" t="n"/>
      <c r="C29" s="14" t="n"/>
      <c r="D29" s="14" t="n"/>
      <c r="E29" s="14" t="n"/>
      <c r="F29" s="14" t="n"/>
      <c r="G29" s="14" t="n"/>
      <c r="H29" s="14" t="n"/>
      <c r="I29" s="14" t="inlineStr"/>
      <c r="J29" s="14" t="inlineStr"/>
      <c r="K29" s="14" t="n"/>
      <c r="L29" s="14" t="n"/>
      <c r="M29" s="14" t="n"/>
      <c r="N29" s="14" t="n"/>
      <c r="O29" s="14" t="n"/>
      <c r="P29" s="14" t="n"/>
    </row>
    <row r="30">
      <c r="A30" s="14" t="n"/>
      <c r="B30" s="14" t="n"/>
      <c r="C30" s="14" t="n"/>
      <c r="D30" s="14" t="n"/>
      <c r="E30" s="14" t="n"/>
      <c r="F30" s="14" t="n"/>
      <c r="G30" s="14" t="n"/>
      <c r="H30" s="14" t="n"/>
      <c r="I30" s="14" t="inlineStr"/>
      <c r="J30" s="14" t="inlineStr"/>
      <c r="K30" s="14" t="n"/>
      <c r="L30" s="14" t="n"/>
      <c r="M30" s="14" t="n"/>
      <c r="N30" s="14" t="n"/>
      <c r="O30" s="14" t="n"/>
      <c r="P30" s="14" t="n"/>
    </row>
    <row r="31">
      <c r="A31" s="14" t="n"/>
      <c r="B31" s="14" t="n"/>
      <c r="C31" s="14" t="n"/>
      <c r="D31" s="14" t="n"/>
      <c r="E31" s="14" t="n"/>
      <c r="F31" s="14" t="n"/>
      <c r="G31" s="14" t="n"/>
      <c r="H31" s="14" t="n"/>
      <c r="I31" s="14" t="inlineStr"/>
      <c r="J31" s="14" t="inlineStr"/>
      <c r="K31" s="14" t="n"/>
      <c r="L31" s="14" t="n"/>
      <c r="M31" s="14" t="n"/>
      <c r="N31" s="14" t="n"/>
      <c r="O31" s="14" t="n"/>
      <c r="P31" s="14" t="n"/>
    </row>
    <row r="32">
      <c r="A32" s="14" t="n"/>
      <c r="B32" s="14" t="n"/>
      <c r="C32" s="14" t="n"/>
      <c r="D32" s="14" t="n"/>
      <c r="E32" s="14" t="n"/>
      <c r="F32" s="14" t="n"/>
      <c r="G32" s="14" t="n"/>
      <c r="H32" s="14" t="n"/>
      <c r="I32" s="14" t="inlineStr"/>
      <c r="J32" s="14" t="inlineStr"/>
      <c r="K32" s="14" t="n"/>
      <c r="L32" s="14" t="n"/>
      <c r="M32" s="14" t="n"/>
      <c r="N32" s="14" t="n"/>
      <c r="O32" s="14" t="n"/>
      <c r="P32" s="14" t="n"/>
    </row>
    <row r="33">
      <c r="A33" s="14" t="n"/>
      <c r="B33" s="14" t="n"/>
      <c r="C33" s="14" t="n"/>
      <c r="D33" s="14" t="n"/>
      <c r="E33" s="14" t="n"/>
      <c r="F33" s="14" t="n"/>
      <c r="G33" s="14" t="n"/>
      <c r="H33" s="14" t="n"/>
      <c r="I33" s="14" t="inlineStr"/>
      <c r="J33" s="14" t="inlineStr"/>
      <c r="K33" s="14" t="n"/>
      <c r="L33" s="14" t="n"/>
      <c r="M33" s="14" t="n"/>
      <c r="N33" s="14" t="n"/>
      <c r="O33" s="14" t="n"/>
      <c r="P33" s="14" t="n"/>
    </row>
    <row r="34">
      <c r="A34" s="14" t="n"/>
      <c r="B34" s="14" t="n"/>
      <c r="C34" s="14" t="n"/>
      <c r="D34" s="14" t="n"/>
      <c r="E34" s="14" t="n"/>
      <c r="F34" s="14" t="n"/>
      <c r="G34" s="14" t="n"/>
      <c r="H34" s="14" t="n"/>
      <c r="I34" s="14" t="inlineStr"/>
      <c r="J34" s="14" t="inlineStr"/>
      <c r="K34" s="14" t="n"/>
      <c r="L34" s="14" t="n"/>
      <c r="M34" s="14" t="n"/>
      <c r="N34" s="14" t="n"/>
      <c r="O34" s="14" t="n"/>
      <c r="P34" s="14" t="n"/>
    </row>
    <row r="35">
      <c r="A35" s="14" t="n"/>
      <c r="B35" s="14" t="n"/>
      <c r="C35" s="14" t="n"/>
      <c r="D35" s="14" t="n"/>
      <c r="E35" s="14" t="n"/>
      <c r="F35" s="14" t="n"/>
      <c r="G35" s="14" t="n"/>
      <c r="H35" s="14" t="n"/>
      <c r="I35" s="14" t="inlineStr"/>
      <c r="J35" s="14" t="inlineStr"/>
      <c r="K35" s="14" t="n"/>
      <c r="L35" s="14" t="n"/>
      <c r="M35" s="14" t="n"/>
      <c r="N35" s="14" t="n"/>
      <c r="O35" s="14" t="n"/>
      <c r="P35" s="14" t="n"/>
    </row>
    <row r="36">
      <c r="A36" s="14" t="n"/>
      <c r="B36" s="14" t="n"/>
      <c r="C36" s="14" t="n"/>
      <c r="D36" s="14" t="n"/>
      <c r="E36" s="14" t="n"/>
      <c r="F36" s="14" t="n"/>
      <c r="G36" s="14" t="n"/>
      <c r="H36" s="14" t="n"/>
      <c r="I36" s="14" t="inlineStr"/>
      <c r="J36" s="14" t="inlineStr"/>
      <c r="K36" s="14" t="n"/>
      <c r="L36" s="14" t="n"/>
      <c r="M36" s="14" t="n"/>
      <c r="N36" s="14" t="n"/>
      <c r="O36" s="14" t="n"/>
      <c r="P36" s="14" t="n"/>
    </row>
    <row r="37">
      <c r="A37" s="14" t="n"/>
      <c r="B37" s="14" t="n"/>
      <c r="C37" s="14" t="n"/>
      <c r="D37" s="14" t="n"/>
      <c r="E37" s="14" t="n"/>
      <c r="F37" s="14" t="n"/>
      <c r="G37" s="14" t="n"/>
      <c r="H37" s="14" t="n"/>
      <c r="I37" s="14" t="inlineStr"/>
      <c r="J37" s="14" t="inlineStr"/>
      <c r="K37" s="14" t="n"/>
      <c r="L37" s="14" t="n"/>
      <c r="M37" s="14" t="n"/>
      <c r="N37" s="14" t="n"/>
      <c r="O37" s="14" t="n"/>
      <c r="P37" s="14" t="n"/>
    </row>
    <row r="38">
      <c r="A38" s="14" t="n"/>
      <c r="B38" s="14" t="n"/>
      <c r="C38" s="14" t="n"/>
      <c r="D38" s="14" t="n"/>
      <c r="E38" s="14" t="n"/>
      <c r="F38" s="14" t="n"/>
      <c r="G38" s="14" t="n"/>
      <c r="H38" s="14" t="n"/>
      <c r="I38" s="14" t="inlineStr"/>
      <c r="J38" s="14" t="inlineStr"/>
      <c r="K38" s="14" t="n"/>
      <c r="L38" s="14" t="n"/>
      <c r="M38" s="14" t="n"/>
      <c r="N38" s="14" t="n"/>
      <c r="O38" s="14" t="n"/>
      <c r="P38" s="14" t="n"/>
    </row>
    <row r="39">
      <c r="A39" s="14" t="n"/>
      <c r="B39" s="14" t="n"/>
      <c r="C39" s="14" t="n"/>
      <c r="D39" s="14" t="n"/>
      <c r="E39" s="14" t="n"/>
      <c r="F39" s="14" t="n"/>
      <c r="G39" s="14" t="n"/>
      <c r="H39" s="14" t="n"/>
      <c r="I39" s="14" t="inlineStr"/>
      <c r="J39" s="14" t="inlineStr"/>
      <c r="K39" s="14" t="n"/>
      <c r="L39" s="14" t="n"/>
      <c r="M39" s="14" t="n"/>
      <c r="N39" s="14" t="n"/>
      <c r="O39" s="14" t="n"/>
      <c r="P39" s="14" t="n"/>
    </row>
    <row r="40">
      <c r="A40" s="14" t="n"/>
      <c r="B40" s="14" t="n"/>
      <c r="C40" s="14" t="n"/>
      <c r="D40" s="14" t="n"/>
      <c r="E40" s="14" t="n"/>
      <c r="F40" s="14" t="n"/>
      <c r="G40" s="14" t="n"/>
      <c r="H40" s="14" t="n"/>
      <c r="I40" s="14" t="inlineStr"/>
      <c r="J40" s="14" t="inlineStr"/>
      <c r="K40" s="14" t="n"/>
      <c r="L40" s="14" t="n"/>
      <c r="M40" s="14" t="n"/>
      <c r="N40" s="14" t="n"/>
      <c r="O40" s="14" t="n"/>
      <c r="P40" s="14" t="n"/>
    </row>
    <row r="41">
      <c r="A41" s="14" t="n"/>
      <c r="B41" s="14" t="n"/>
      <c r="C41" s="14" t="n"/>
      <c r="D41" s="14" t="n"/>
      <c r="E41" s="14" t="n"/>
      <c r="F41" s="14" t="n"/>
      <c r="G41" s="14" t="n"/>
      <c r="H41" s="14" t="n"/>
      <c r="I41" s="14" t="inlineStr"/>
      <c r="J41" s="14" t="inlineStr"/>
      <c r="K41" s="14" t="n"/>
      <c r="L41" s="14" t="n"/>
      <c r="M41" s="14" t="n"/>
      <c r="N41" s="14" t="n"/>
      <c r="O41" s="14" t="n"/>
      <c r="P41" s="14" t="n"/>
    </row>
    <row r="42">
      <c r="A42" s="14" t="n"/>
      <c r="B42" s="14" t="n"/>
      <c r="C42" s="14" t="n"/>
      <c r="D42" s="14" t="n"/>
      <c r="E42" s="14" t="n"/>
      <c r="F42" s="14" t="n"/>
      <c r="G42" s="14" t="n"/>
      <c r="H42" s="14" t="n"/>
      <c r="I42" s="14" t="inlineStr"/>
      <c r="J42" s="14" t="inlineStr"/>
      <c r="K42" s="14" t="n"/>
      <c r="L42" s="14" t="n"/>
      <c r="M42" s="14" t="n"/>
      <c r="N42" s="14" t="n"/>
      <c r="O42" s="14" t="n"/>
      <c r="P42" s="14" t="n"/>
    </row>
    <row r="43">
      <c r="A43" s="14" t="n"/>
      <c r="B43" s="14" t="n"/>
      <c r="C43" s="14" t="n"/>
      <c r="D43" s="14" t="n"/>
      <c r="E43" s="14" t="n"/>
      <c r="F43" s="14" t="n"/>
      <c r="G43" s="14" t="n"/>
      <c r="H43" s="14" t="n"/>
      <c r="I43" s="14" t="inlineStr"/>
      <c r="J43" s="14" t="inlineStr"/>
      <c r="K43" s="14" t="n"/>
      <c r="L43" s="14" t="n"/>
      <c r="M43" s="14" t="n"/>
      <c r="N43" s="14" t="n"/>
      <c r="O43" s="14" t="n"/>
      <c r="P43" s="14" t="n"/>
    </row>
    <row r="44">
      <c r="A44" s="14" t="n"/>
      <c r="B44" s="14" t="n"/>
      <c r="C44" s="14" t="n"/>
      <c r="D44" s="14" t="n"/>
      <c r="E44" s="14" t="n"/>
      <c r="F44" s="14" t="n"/>
      <c r="G44" s="14" t="n"/>
      <c r="H44" s="14" t="n"/>
      <c r="I44" s="14" t="inlineStr"/>
      <c r="J44" s="14" t="inlineStr"/>
      <c r="K44" s="14" t="n"/>
      <c r="L44" s="14" t="n"/>
      <c r="M44" s="14" t="n"/>
      <c r="N44" s="14" t="n"/>
      <c r="O44" s="14" t="n"/>
      <c r="P44" s="14" t="n"/>
    </row>
    <row r="45">
      <c r="A45" s="14" t="n"/>
      <c r="B45" s="14" t="n"/>
      <c r="C45" s="14" t="n"/>
      <c r="D45" s="14" t="n"/>
      <c r="E45" s="14" t="n"/>
      <c r="F45" s="14" t="n"/>
      <c r="G45" s="14" t="n"/>
      <c r="H45" s="14" t="n"/>
      <c r="I45" s="14" t="inlineStr"/>
      <c r="J45" s="14" t="inlineStr"/>
      <c r="K45" s="14" t="n"/>
      <c r="L45" s="14" t="n"/>
      <c r="M45" s="14" t="n"/>
      <c r="N45" s="14" t="n"/>
      <c r="O45" s="14" t="n"/>
      <c r="P45" s="14" t="n"/>
    </row>
    <row r="46">
      <c r="A46" s="14" t="n"/>
      <c r="B46" s="14" t="n"/>
      <c r="C46" s="14" t="n"/>
      <c r="D46" s="14" t="n"/>
      <c r="E46" s="14" t="n"/>
      <c r="F46" s="14" t="n"/>
      <c r="G46" s="14" t="n"/>
      <c r="H46" s="14" t="n"/>
      <c r="I46" s="14" t="inlineStr"/>
      <c r="J46" s="14" t="inlineStr"/>
      <c r="K46" s="14" t="n"/>
      <c r="L46" s="14" t="n"/>
      <c r="M46" s="14" t="n"/>
      <c r="N46" s="14" t="n"/>
      <c r="O46" s="14" t="n"/>
      <c r="P46" s="14" t="n"/>
    </row>
    <row r="47">
      <c r="A47" s="14" t="n"/>
      <c r="B47" s="14" t="n"/>
      <c r="C47" s="14" t="n"/>
      <c r="D47" s="14" t="n"/>
      <c r="E47" s="14" t="n"/>
      <c r="F47" s="14" t="n"/>
      <c r="G47" s="14" t="n"/>
      <c r="H47" s="14" t="n"/>
      <c r="I47" s="14" t="inlineStr"/>
      <c r="J47" s="14" t="inlineStr"/>
      <c r="K47" s="14" t="n"/>
      <c r="L47" s="14" t="n"/>
      <c r="M47" s="14" t="n"/>
      <c r="N47" s="14" t="n"/>
      <c r="O47" s="14" t="n"/>
      <c r="P47" s="14" t="n"/>
    </row>
    <row r="48">
      <c r="A48" s="14" t="n"/>
      <c r="B48" s="14" t="n"/>
      <c r="C48" s="14" t="n"/>
      <c r="D48" s="14" t="n"/>
      <c r="E48" s="14" t="n"/>
      <c r="F48" s="14" t="n"/>
      <c r="G48" s="14" t="n"/>
      <c r="H48" s="14" t="n"/>
      <c r="I48" s="14" t="inlineStr"/>
      <c r="J48" s="14" t="inlineStr"/>
      <c r="K48" s="14" t="n"/>
      <c r="L48" s="14" t="n"/>
      <c r="M48" s="14" t="n"/>
      <c r="N48" s="14" t="n"/>
      <c r="O48" s="14" t="n"/>
      <c r="P48" s="14" t="n"/>
    </row>
    <row r="49">
      <c r="A49" s="14" t="n"/>
      <c r="B49" s="14" t="n"/>
      <c r="C49" s="14" t="n"/>
      <c r="D49" s="14" t="n"/>
      <c r="E49" s="14" t="n"/>
      <c r="F49" s="14" t="n"/>
      <c r="G49" s="14" t="n"/>
      <c r="H49" s="14" t="n"/>
      <c r="I49" s="14" t="inlineStr"/>
      <c r="J49" s="14" t="inlineStr"/>
      <c r="K49" s="14" t="n"/>
      <c r="L49" s="14" t="n"/>
      <c r="M49" s="14" t="n"/>
      <c r="N49" s="14" t="n"/>
      <c r="O49" s="14" t="n"/>
      <c r="P49" s="14" t="n"/>
    </row>
    <row r="50">
      <c r="A50" s="14" t="n"/>
      <c r="B50" s="14" t="n"/>
      <c r="C50" s="14" t="n"/>
      <c r="D50" s="14" t="n"/>
      <c r="E50" s="14" t="n"/>
      <c r="F50" s="14" t="n"/>
      <c r="G50" s="14" t="n"/>
      <c r="H50" s="14" t="n"/>
      <c r="I50" s="14" t="inlineStr"/>
      <c r="J50" s="14" t="inlineStr"/>
      <c r="K50" s="14" t="n"/>
      <c r="L50" s="14" t="n"/>
      <c r="M50" s="14" t="n"/>
      <c r="N50" s="14" t="n"/>
      <c r="O50" s="14" t="n"/>
      <c r="P50" s="14" t="n"/>
    </row>
    <row r="51">
      <c r="A51" s="14" t="n"/>
      <c r="B51" s="14" t="n"/>
      <c r="C51" s="14" t="n"/>
      <c r="D51" s="14" t="n"/>
      <c r="E51" s="14" t="n"/>
      <c r="F51" s="14" t="n"/>
      <c r="G51" s="14" t="n"/>
      <c r="H51" s="14" t="n"/>
      <c r="I51" s="14" t="inlineStr"/>
      <c r="J51" s="14" t="inlineStr"/>
      <c r="K51" s="14" t="n"/>
      <c r="L51" s="14" t="n"/>
      <c r="M51" s="14" t="n"/>
      <c r="N51" s="14" t="n"/>
      <c r="O51" s="14" t="n"/>
      <c r="P51" s="14" t="n"/>
    </row>
    <row r="52">
      <c r="A52" s="14" t="n"/>
      <c r="B52" s="14" t="n"/>
      <c r="C52" s="14" t="n"/>
      <c r="D52" s="14" t="n"/>
      <c r="E52" s="14" t="n"/>
      <c r="F52" s="14" t="n"/>
      <c r="G52" s="14" t="n"/>
      <c r="H52" s="14" t="n"/>
      <c r="I52" s="14" t="inlineStr"/>
      <c r="J52" s="14" t="inlineStr"/>
      <c r="K52" s="14" t="n"/>
      <c r="L52" s="14" t="n"/>
      <c r="M52" s="14" t="n"/>
      <c r="N52" s="14" t="n"/>
      <c r="O52" s="14" t="n"/>
      <c r="P52" s="14" t="n"/>
    </row>
    <row r="53">
      <c r="A53" s="14" t="n"/>
      <c r="B53" s="14" t="n"/>
      <c r="C53" s="14" t="n"/>
      <c r="D53" s="14" t="n"/>
      <c r="E53" s="14" t="n"/>
      <c r="F53" s="14" t="n"/>
      <c r="G53" s="14" t="n"/>
      <c r="H53" s="14" t="n"/>
      <c r="I53" s="14" t="inlineStr"/>
      <c r="J53" s="14" t="inlineStr"/>
      <c r="K53" s="14" t="n"/>
      <c r="L53" s="14" t="n"/>
      <c r="M53" s="14" t="n"/>
      <c r="N53" s="14" t="n"/>
      <c r="O53" s="14" t="n"/>
      <c r="P53" s="14" t="n"/>
    </row>
    <row r="54">
      <c r="A54" s="14" t="n"/>
      <c r="B54" s="14" t="n"/>
      <c r="C54" s="14" t="n"/>
      <c r="D54" s="14" t="n"/>
      <c r="E54" s="14" t="n"/>
      <c r="F54" s="14" t="n"/>
      <c r="G54" s="14" t="n"/>
      <c r="H54" s="14" t="n"/>
      <c r="I54" s="14" t="inlineStr"/>
      <c r="J54" s="14" t="inlineStr"/>
      <c r="K54" s="14" t="n"/>
      <c r="L54" s="14" t="n"/>
      <c r="M54" s="14" t="n"/>
      <c r="N54" s="14" t="n"/>
      <c r="O54" s="14" t="n"/>
      <c r="P54" s="14" t="n"/>
    </row>
    <row r="55">
      <c r="A55" s="14" t="n"/>
      <c r="B55" s="14" t="n"/>
      <c r="C55" s="14" t="n"/>
      <c r="D55" s="14" t="n"/>
      <c r="E55" s="14" t="n"/>
      <c r="F55" s="14" t="n"/>
      <c r="G55" s="14" t="n"/>
      <c r="H55" s="14" t="n"/>
      <c r="I55" s="14" t="inlineStr"/>
      <c r="J55" s="14" t="inlineStr"/>
      <c r="K55" s="14" t="n"/>
      <c r="L55" s="14" t="n"/>
      <c r="M55" s="14" t="n"/>
      <c r="N55" s="14" t="n"/>
      <c r="O55" s="14" t="n"/>
      <c r="P55" s="14" t="n"/>
    </row>
    <row r="56">
      <c r="A56" s="14" t="n"/>
      <c r="B56" s="14" t="n"/>
      <c r="C56" s="14" t="n"/>
      <c r="D56" s="14" t="n"/>
      <c r="E56" s="14" t="n"/>
      <c r="F56" s="14" t="n"/>
      <c r="G56" s="14" t="n"/>
      <c r="H56" s="14" t="n"/>
      <c r="I56" s="14" t="inlineStr"/>
      <c r="J56" s="14" t="inlineStr"/>
      <c r="K56" s="14" t="n"/>
      <c r="L56" s="14" t="n"/>
      <c r="M56" s="14" t="n"/>
      <c r="N56" s="14" t="n"/>
      <c r="O56" s="14" t="n"/>
      <c r="P56" s="14" t="n"/>
    </row>
    <row r="57">
      <c r="A57" s="14" t="n"/>
      <c r="B57" s="14" t="n"/>
      <c r="C57" s="14" t="n"/>
      <c r="D57" s="14" t="n"/>
      <c r="E57" s="14" t="n"/>
      <c r="F57" s="14" t="n"/>
      <c r="G57" s="14" t="n"/>
      <c r="H57" s="14" t="n"/>
      <c r="I57" s="14" t="inlineStr"/>
      <c r="J57" s="14" t="inlineStr"/>
      <c r="K57" s="14" t="n"/>
      <c r="L57" s="14" t="n"/>
      <c r="M57" s="14" t="n"/>
      <c r="N57" s="14" t="n"/>
      <c r="O57" s="14" t="n"/>
      <c r="P57" s="14" t="n"/>
    </row>
    <row r="58">
      <c r="A58" s="14" t="n"/>
      <c r="B58" s="14" t="n"/>
      <c r="C58" s="14" t="n"/>
      <c r="D58" s="14" t="n"/>
      <c r="E58" s="14" t="n"/>
      <c r="F58" s="14" t="n"/>
      <c r="G58" s="14" t="n"/>
      <c r="H58" s="14" t="n"/>
      <c r="I58" s="14" t="inlineStr"/>
      <c r="J58" s="14" t="inlineStr"/>
      <c r="K58" s="14" t="n"/>
      <c r="L58" s="14" t="n"/>
      <c r="M58" s="14" t="n"/>
      <c r="N58" s="14" t="n"/>
      <c r="O58" s="14" t="n"/>
      <c r="P58" s="14" t="n"/>
    </row>
    <row r="59">
      <c r="A59" s="14" t="n"/>
      <c r="B59" s="14" t="n"/>
      <c r="C59" s="14" t="n"/>
      <c r="D59" s="14" t="n"/>
      <c r="E59" s="14" t="n"/>
      <c r="F59" s="14" t="n"/>
      <c r="G59" s="14" t="n"/>
      <c r="H59" s="14" t="n"/>
      <c r="I59" s="14" t="inlineStr"/>
      <c r="J59" s="14" t="inlineStr"/>
      <c r="K59" s="14" t="n"/>
      <c r="L59" s="14" t="n"/>
      <c r="M59" s="14" t="n"/>
      <c r="N59" s="14" t="n"/>
      <c r="O59" s="14" t="n"/>
      <c r="P59" s="14" t="n"/>
    </row>
    <row r="60">
      <c r="A60" s="14" t="n"/>
      <c r="B60" s="14" t="n"/>
      <c r="C60" s="14" t="n"/>
      <c r="D60" s="14" t="n"/>
      <c r="E60" s="14" t="n"/>
      <c r="F60" s="14" t="n"/>
      <c r="G60" s="14" t="n"/>
      <c r="H60" s="14" t="n"/>
      <c r="I60" s="14" t="inlineStr"/>
      <c r="J60" s="14" t="inlineStr"/>
      <c r="K60" s="14" t="n"/>
      <c r="L60" s="14" t="n"/>
      <c r="M60" s="14" t="n"/>
      <c r="N60" s="14" t="n"/>
      <c r="O60" s="14" t="n"/>
      <c r="P60" s="14" t="n"/>
    </row>
    <row r="61">
      <c r="A61" s="14" t="n"/>
      <c r="B61" s="14" t="n"/>
      <c r="C61" s="14" t="n"/>
      <c r="D61" s="14" t="n"/>
      <c r="E61" s="14" t="n"/>
      <c r="F61" s="14" t="n"/>
      <c r="G61" s="14" t="n"/>
      <c r="H61" s="14" t="n"/>
      <c r="I61" s="14" t="inlineStr"/>
      <c r="J61" s="14" t="inlineStr"/>
      <c r="K61" s="14" t="n"/>
      <c r="L61" s="14" t="n"/>
      <c r="M61" s="14" t="n"/>
      <c r="N61" s="14" t="n"/>
      <c r="O61" s="14" t="n"/>
      <c r="P61" s="14" t="n"/>
    </row>
    <row r="62">
      <c r="A62" s="14" t="n"/>
      <c r="B62" s="14" t="n"/>
      <c r="C62" s="14" t="n"/>
      <c r="D62" s="14" t="n"/>
      <c r="E62" s="14" t="n"/>
      <c r="F62" s="14" t="n"/>
      <c r="G62" s="14" t="n"/>
      <c r="H62" s="14" t="n"/>
      <c r="I62" s="14" t="inlineStr"/>
      <c r="J62" s="14" t="inlineStr"/>
      <c r="K62" s="14" t="n"/>
      <c r="L62" s="14" t="n"/>
      <c r="M62" s="14" t="n"/>
      <c r="N62" s="14" t="n"/>
      <c r="O62" s="14" t="n"/>
      <c r="P62" s="14" t="n"/>
    </row>
    <row r="63">
      <c r="A63" s="14" t="n"/>
      <c r="B63" s="14" t="n"/>
      <c r="C63" s="14" t="n"/>
      <c r="D63" s="14" t="n"/>
      <c r="E63" s="14" t="n"/>
      <c r="F63" s="14" t="n"/>
      <c r="G63" s="14" t="n"/>
      <c r="H63" s="14" t="n"/>
      <c r="I63" s="14" t="inlineStr"/>
      <c r="J63" s="14" t="inlineStr"/>
      <c r="K63" s="14" t="n"/>
      <c r="L63" s="14" t="n"/>
      <c r="M63" s="14" t="n"/>
      <c r="N63" s="14" t="n"/>
      <c r="O63" s="14" t="n"/>
      <c r="P63" s="14" t="n"/>
    </row>
    <row r="64">
      <c r="A64" s="14" t="n"/>
      <c r="B64" s="14" t="n"/>
      <c r="C64" s="14" t="n"/>
      <c r="D64" s="14" t="n"/>
      <c r="E64" s="14" t="n"/>
      <c r="F64" s="14" t="n"/>
      <c r="G64" s="14" t="n"/>
      <c r="H64" s="14" t="n"/>
      <c r="I64" s="14" t="inlineStr"/>
      <c r="J64" s="14" t="inlineStr"/>
      <c r="K64" s="14" t="n"/>
      <c r="L64" s="14" t="n"/>
      <c r="M64" s="14" t="n"/>
      <c r="N64" s="14" t="n"/>
      <c r="O64" s="14" t="n"/>
      <c r="P64" s="14" t="n"/>
    </row>
    <row r="65">
      <c r="A65" s="14" t="n"/>
      <c r="B65" s="14" t="n"/>
      <c r="C65" s="14" t="n"/>
      <c r="D65" s="14" t="n"/>
      <c r="E65" s="14" t="n"/>
      <c r="F65" s="14" t="n"/>
      <c r="G65" s="14" t="n"/>
      <c r="H65" s="14" t="n"/>
      <c r="I65" s="14" t="inlineStr"/>
      <c r="J65" s="14" t="inlineStr"/>
      <c r="K65" s="14" t="n"/>
      <c r="L65" s="14" t="n"/>
      <c r="M65" s="14" t="n"/>
      <c r="N65" s="14" t="n"/>
      <c r="O65" s="14" t="n"/>
      <c r="P65" s="14" t="n"/>
    </row>
    <row r="67">
      <c r="A67" s="15" t="inlineStr">
        <is>
          <t>PRIORITY TIER SUMMARY</t>
        </is>
      </c>
    </row>
    <row r="68">
      <c r="A68" s="5" t="inlineStr">
        <is>
          <t>Priority Tier</t>
        </is>
      </c>
      <c r="B68" s="5" t="inlineStr">
        <is>
          <t>Count</t>
        </is>
      </c>
      <c r="C68" s="5" t="inlineStr">
        <is>
          <t>% of Total</t>
        </is>
      </c>
      <c r="D68" s="5" t="inlineStr">
        <is>
          <t>Avg Score</t>
        </is>
      </c>
      <c r="E68" s="5" t="inlineStr">
        <is>
          <t>Complete</t>
        </is>
      </c>
      <c r="F68" s="5" t="inlineStr">
        <is>
          <t>In Progress</t>
        </is>
      </c>
      <c r="G68" s="5" t="inlineStr">
        <is>
          <t>Not Started</t>
        </is>
      </c>
    </row>
    <row r="69">
      <c r="A69" t="inlineStr">
        <is>
          <t>P1 (Critical)</t>
        </is>
      </c>
      <c r="B69" t="inlineStr"/>
      <c r="C69" t="inlineStr"/>
      <c r="D69" t="inlineStr"/>
      <c r="E69" t="inlineStr"/>
      <c r="F69" t="inlineStr"/>
      <c r="G69" t="inlineStr"/>
    </row>
    <row r="70">
      <c r="A70" t="inlineStr">
        <is>
          <t>P2 (High)</t>
        </is>
      </c>
      <c r="B70" t="inlineStr"/>
      <c r="C70" t="inlineStr"/>
      <c r="D70" t="inlineStr"/>
      <c r="E70" t="inlineStr"/>
      <c r="F70" t="inlineStr"/>
      <c r="G70" t="inlineStr"/>
    </row>
    <row r="71">
      <c r="A71" t="inlineStr">
        <is>
          <t>P3 (Medium)</t>
        </is>
      </c>
      <c r="B71" t="inlineStr"/>
      <c r="C71" t="inlineStr"/>
      <c r="D71" t="inlineStr"/>
      <c r="E71" t="inlineStr"/>
      <c r="F71" t="inlineStr"/>
      <c r="G71" t="inlineStr"/>
    </row>
    <row r="72">
      <c r="A72" t="inlineStr">
        <is>
          <t>P4 (Low)</t>
        </is>
      </c>
      <c r="B72" t="inlineStr"/>
      <c r="C72" t="inlineStr"/>
      <c r="D72" t="inlineStr"/>
      <c r="E72" t="inlineStr"/>
      <c r="F72" t="inlineStr"/>
      <c r="G72" t="inlineStr"/>
    </row>
    <row r="73">
      <c r="A73" t="inlineStr">
        <is>
          <t>TOTAL</t>
        </is>
      </c>
      <c r="B73" t="inlineStr"/>
      <c r="C73" t="inlineStr"/>
      <c r="D73" t="inlineStr"/>
      <c r="E73" t="inlineStr"/>
      <c r="F73" t="inlineStr"/>
      <c r="G73" t="inlineStr"/>
    </row>
    <row r="75">
      <c r="A75" s="15" t="inlineStr">
        <is>
          <t>PRIORITY CHECKLIST</t>
        </is>
      </c>
    </row>
    <row r="76">
      <c r="A76" s="5" t="inlineStr">
        <is>
          <t>#</t>
        </is>
      </c>
      <c r="B76" s="5" t="inlineStr">
        <is>
          <t>Checklist Item</t>
        </is>
      </c>
      <c r="C76" s="5" t="inlineStr">
        <is>
          <t>Status</t>
        </is>
      </c>
      <c r="D76" s="5" t="inlineStr">
        <is>
          <t>Evidence</t>
        </is>
      </c>
      <c r="E76" s="5" t="inlineStr">
        <is>
          <t>Notes</t>
        </is>
      </c>
    </row>
    <row r="77">
      <c r="A77" t="n">
        <v>1</v>
      </c>
      <c r="B77" s="16" t="inlineStr">
        <is>
          <t>Is risk-based prioritization performed?</t>
        </is>
      </c>
      <c r="C77" s="14" t="n"/>
      <c r="D77" s="14" t="n"/>
      <c r="E77" s="14" t="n"/>
    </row>
    <row r="78">
      <c r="A78" t="n">
        <v>2</v>
      </c>
      <c r="B78" s="16" t="inlineStr">
        <is>
          <t>Are sensitivity levels factored into priority?</t>
        </is>
      </c>
      <c r="C78" s="14" t="n"/>
      <c r="D78" s="14" t="n"/>
      <c r="E78" s="14" t="n"/>
    </row>
    <row r="79">
      <c r="A79" t="n">
        <v>3</v>
      </c>
      <c r="B79" s="16" t="inlineStr">
        <is>
          <t>Is exposure risk assessed per field?</t>
        </is>
      </c>
      <c r="C79" s="14" t="n"/>
      <c r="D79" s="14" t="n"/>
      <c r="E79" s="14" t="n"/>
    </row>
    <row r="80">
      <c r="A80" t="n">
        <v>4</v>
      </c>
      <c r="B80" s="16" t="inlineStr">
        <is>
          <t>Are regulatory mandates weighted?</t>
        </is>
      </c>
      <c r="C80" s="14" t="n"/>
      <c r="D80" s="14" t="n"/>
      <c r="E80" s="14" t="n"/>
    </row>
    <row r="81">
      <c r="A81" t="n">
        <v>5</v>
      </c>
      <c r="B81" s="16" t="inlineStr">
        <is>
          <t>Is data volume considered?</t>
        </is>
      </c>
      <c r="C81" s="14" t="n"/>
      <c r="D81" s="14" t="n"/>
      <c r="E81" s="14" t="n"/>
    </row>
    <row r="82">
      <c r="A82" t="n">
        <v>6</v>
      </c>
      <c r="B82" s="16" t="inlineStr">
        <is>
          <t>Are P1 items addressed immediately?</t>
        </is>
      </c>
      <c r="C82" s="14" t="n"/>
      <c r="D82" s="14" t="n"/>
      <c r="E82" s="14" t="n"/>
    </row>
    <row r="83">
      <c r="A83" t="n">
        <v>7</v>
      </c>
      <c r="B83" s="16" t="inlineStr">
        <is>
          <t>Are target dates assigned per priority?</t>
        </is>
      </c>
      <c r="C83" s="14" t="n"/>
      <c r="D83" s="14" t="n"/>
      <c r="E83" s="14" t="n"/>
    </row>
    <row r="84">
      <c r="A84" t="n">
        <v>8</v>
      </c>
      <c r="B84" s="16" t="inlineStr">
        <is>
          <t>Are responsible parties assigned?</t>
        </is>
      </c>
      <c r="C84" s="14" t="n"/>
      <c r="D84" s="14" t="n"/>
      <c r="E84" s="14" t="n"/>
    </row>
    <row r="85">
      <c r="A85" t="n">
        <v>9</v>
      </c>
      <c r="B85" s="16" t="inlineStr">
        <is>
          <t>Is implementation status tracked?</t>
        </is>
      </c>
      <c r="C85" s="14" t="n"/>
      <c r="D85" s="14" t="n"/>
      <c r="E85" s="14" t="n"/>
    </row>
    <row r="86">
      <c r="A86" t="n">
        <v>10</v>
      </c>
      <c r="B86" s="16" t="inlineStr">
        <is>
          <t>Are blocking issues documented?</t>
        </is>
      </c>
      <c r="C86" s="14" t="n"/>
      <c r="D86" s="14" t="n"/>
      <c r="E86" s="14" t="n"/>
    </row>
  </sheetData>
  <mergeCells count="7">
    <mergeCell ref="A13:P13"/>
    <mergeCell ref="A67:G67"/>
    <mergeCell ref="A1:P1"/>
    <mergeCell ref="A6:P6"/>
    <mergeCell ref="A75:E75"/>
    <mergeCell ref="A3:P3"/>
    <mergeCell ref="A2:P2"/>
  </mergeCells>
  <dataValidations count="4">
    <dataValidation sqref="B4" showDropDown="0" showInputMessage="0" showErrorMessage="0" allowBlank="0" type="list">
      <formula1>"Yes,No,Partial,Planned,N/A"</formula1>
    </dataValidation>
    <dataValidation sqref="C77 C78 C79 C80 C81 C82 C83 C84 C85 C86" showDropDown="0" showInputMessage="0" showErrorMessage="0" allowBlank="0" type="list">
      <formula1>"✅ Complete,⚠️ Partial,❌ Missing,ὌB Planned,N/A"</formula1>
    </dataValidation>
    <dataValidation sqref="F15 F16 F17 F18 F19 F20 F21 F22 F23 F24 F25 F26 F27 F28 F29 F30 F31 F32 F33 F34 F35 F36 F37 F38 F39 F40 F41 F42 F43 F44 F45 F46 F47 F48 F49 F50 F51 F52 F53 F54 F55 F56 F57 F58 F59 F60 F61 F62 F63 F64 F65" showDropDown="0" showInputMessage="0" showErrorMessage="0" allowBlank="0" type="list">
      <formula1>"Very High,High,Medium,Low,Very Low"</formula1>
    </dataValidation>
    <dataValidation sqref="N15 N16 N17 N18 N19 N20 N21 N22 N23 N24 N25 N26 N27 N28 N29 N30 N31 N32 N33 N34 N35 N36 N37 N38 N39 N40 N41 N42 N43 N44 N45 N46 N47 N48 N49 N50 N51 N52 N53 N54 N55 N56 N57 N58 N59 N60 N61 N62 N63 N64 N65" showDropDown="0" showInputMessage="0" showErrorMessage="0" allowBlank="0" type="list">
      <formula1>"Not Started,In Progress,Complete,Blocked"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81"/>
  <sheetViews>
    <sheetView showGridLines="0" workbookViewId="0">
      <pane ySplit="15" topLeftCell="A16" activePane="bottomLeft" state="frozen"/>
      <selection pane="bottomLeft" activeCell="A1" sqref="A1"/>
    </sheetView>
  </sheetViews>
  <sheetFormatPr baseColWidth="8" defaultRowHeight="15"/>
  <cols>
    <col width="12" customWidth="1" min="1" max="1"/>
    <col width="45" customWidth="1" min="2" max="2"/>
    <col width="25" customWidth="1" min="3" max="3"/>
    <col width="25" customWidth="1" min="4" max="4"/>
    <col width="35" customWidth="1" min="5" max="5"/>
    <col width="12" customWidth="1" min="6" max="6"/>
    <col width="30" customWidth="1" min="7" max="7"/>
    <col width="25" customWidth="1" min="8" max="8"/>
    <col width="30" customWidth="1" min="9" max="9"/>
    <col width="20" customWidth="1" min="10" max="10"/>
    <col width="15" customWidth="1" min="11" max="11"/>
    <col width="15" customWidth="1" min="12" max="12"/>
    <col width="15" customWidth="1" min="13" max="13"/>
    <col width="20" customWidth="1" min="14" max="14"/>
    <col width="30" customWidth="1" min="15" max="15"/>
  </cols>
  <sheetData>
    <row r="1" ht="35" customHeight="1">
      <c r="A1" s="1" t="inlineStr">
        <is>
          <t>DATA INVENTORY &amp; CLASSIFICATION GAP ANALYSIS</t>
        </is>
      </c>
    </row>
    <row r="2">
      <c r="A2" s="11" t="inlineStr">
        <is>
          <t>Identify missing inventory, classification, ownership, or masking</t>
        </is>
      </c>
    </row>
    <row r="4">
      <c r="A4" s="15" t="inlineStr">
        <is>
          <t>GAP SUMMARY</t>
        </is>
      </c>
    </row>
    <row r="5">
      <c r="A5" s="5" t="inlineStr">
        <is>
          <t>Gap Category</t>
        </is>
      </c>
      <c r="B5" s="5" t="inlineStr">
        <is>
          <t>Count</t>
        </is>
      </c>
      <c r="C5" s="5" t="inlineStr">
        <is>
          <t>% of Total</t>
        </is>
      </c>
      <c r="D5" s="5" t="inlineStr">
        <is>
          <t>Risk Level</t>
        </is>
      </c>
      <c r="E5" s="5" t="inlineStr">
        <is>
          <t>Remediation Owner</t>
        </is>
      </c>
      <c r="F5" s="5" t="inlineStr">
        <is>
          <t>Target Date</t>
        </is>
      </c>
    </row>
    <row r="6">
      <c r="A6" t="inlineStr">
        <is>
          <t>Systems not inventoried</t>
        </is>
      </c>
      <c r="B6" s="14" t="n"/>
      <c r="C6" s="14" t="n"/>
      <c r="D6" s="14" t="n"/>
      <c r="E6" s="14" t="n"/>
      <c r="F6" s="14" t="n"/>
    </row>
    <row r="7">
      <c r="A7" t="inlineStr">
        <is>
          <t>Systems with unknown sensitive data</t>
        </is>
      </c>
      <c r="B7" s="14" t="n"/>
      <c r="C7" s="14" t="n"/>
      <c r="D7" s="14" t="n"/>
      <c r="E7" s="14" t="n"/>
      <c r="F7" s="14" t="n"/>
    </row>
    <row r="8">
      <c r="A8" t="inlineStr">
        <is>
          <t>Fields not classified</t>
        </is>
      </c>
      <c r="B8" s="14" t="n"/>
      <c r="C8" s="14" t="n"/>
      <c r="D8" s="14" t="n"/>
      <c r="E8" s="14" t="n"/>
      <c r="F8" s="14" t="n"/>
    </row>
    <row r="9">
      <c r="A9" t="inlineStr">
        <is>
          <t>Fields without data owner</t>
        </is>
      </c>
      <c r="B9" s="14" t="n"/>
      <c r="C9" s="14" t="n"/>
      <c r="D9" s="14" t="n"/>
      <c r="E9" s="14" t="n"/>
      <c r="F9" s="14" t="n"/>
    </row>
    <row r="10">
      <c r="A10" t="inlineStr">
        <is>
          <t>Regulatory mapping incomplete</t>
        </is>
      </c>
      <c r="B10" s="14" t="n"/>
      <c r="C10" s="14" t="n"/>
      <c r="D10" s="14" t="n"/>
      <c r="E10" s="14" t="n"/>
      <c r="F10" s="14" t="n"/>
    </row>
    <row r="11">
      <c r="A11" t="inlineStr">
        <is>
          <t>Masking required but not implemented</t>
        </is>
      </c>
      <c r="B11" s="14" t="n"/>
      <c r="C11" s="14" t="n"/>
      <c r="D11" s="14" t="n"/>
      <c r="E11" s="14" t="n"/>
      <c r="F11" s="14" t="n"/>
    </row>
    <row r="12">
      <c r="A12" t="inlineStr">
        <is>
          <t>Masking status unknown</t>
        </is>
      </c>
      <c r="B12" s="14" t="n"/>
      <c r="C12" s="14" t="n"/>
      <c r="D12" s="14" t="n"/>
      <c r="E12" s="14" t="n"/>
      <c r="F12" s="14" t="n"/>
    </row>
    <row r="14">
      <c r="A14" s="15" t="inlineStr">
        <is>
          <t>DETAILED GAP REGISTER (51 rows: 1 sample + 50 empty)</t>
        </is>
      </c>
    </row>
    <row r="15">
      <c r="A15" s="5" t="inlineStr">
        <is>
          <t>Gap ID</t>
        </is>
      </c>
      <c r="B15" s="5" t="inlineStr">
        <is>
          <t>Gap Category</t>
        </is>
      </c>
      <c r="C15" s="5" t="inlineStr">
        <is>
          <t>System Name</t>
        </is>
      </c>
      <c r="D15" s="5" t="inlineStr">
        <is>
          <t>Field/Data Element</t>
        </is>
      </c>
      <c r="E15" s="5" t="inlineStr">
        <is>
          <t>Gap Description</t>
        </is>
      </c>
      <c r="F15" s="5" t="inlineStr">
        <is>
          <t>Risk Level</t>
        </is>
      </c>
      <c r="G15" s="5" t="inlineStr">
        <is>
          <t>Impact if Not Remediated</t>
        </is>
      </c>
      <c r="H15" s="5" t="inlineStr">
        <is>
          <t>Root Cause</t>
        </is>
      </c>
      <c r="I15" s="5" t="inlineStr">
        <is>
          <t>Remediation Action</t>
        </is>
      </c>
      <c r="J15" s="5" t="inlineStr">
        <is>
          <t>Remediation Owner</t>
        </is>
      </c>
      <c r="K15" s="5" t="inlineStr">
        <is>
          <t>Target Completion Date</t>
        </is>
      </c>
      <c r="L15" s="5" t="inlineStr">
        <is>
          <t>Status</t>
        </is>
      </c>
      <c r="M15" s="5" t="inlineStr">
        <is>
          <t>Actual Completion Date</t>
        </is>
      </c>
      <c r="N15" s="5" t="inlineStr">
        <is>
          <t>Verification Method</t>
        </is>
      </c>
      <c r="O15" s="5" t="inlineStr">
        <is>
          <t>Notes</t>
        </is>
      </c>
    </row>
    <row r="16">
      <c r="A16" s="14" t="inlineStr">
        <is>
          <t>GAP-001</t>
        </is>
      </c>
      <c r="B16" s="14" t="inlineStr">
        <is>
          <t>Masking Missing</t>
        </is>
      </c>
      <c r="C16" s="14" t="inlineStr">
        <is>
          <t>HR Payroll System</t>
        </is>
      </c>
      <c r="D16" s="14" t="inlineStr">
        <is>
          <t>employee_bank_account</t>
        </is>
      </c>
      <c r="E16" s="14" t="inlineStr">
        <is>
          <t>Bank account numbers not masked in test environment - real employee data visible</t>
        </is>
      </c>
      <c r="F16" s="14" t="inlineStr">
        <is>
          <t>High</t>
        </is>
      </c>
      <c r="G16" s="14" t="inlineStr">
        <is>
          <t>Potential data breach if test environment compromised; GDPR/FADP violation</t>
        </is>
      </c>
      <c r="H16" s="14" t="inlineStr">
        <is>
          <t>Masking not configured during initial deployment in 2024</t>
        </is>
      </c>
      <c r="I16" s="14" t="inlineStr">
        <is>
          <t>Implement static data masking for bank_account field using format-preserving encryption</t>
        </is>
      </c>
      <c r="J16" s="14" t="inlineStr">
        <is>
          <t>Data Engineering Team</t>
        </is>
      </c>
      <c r="K16" s="14" t="inlineStr">
        <is>
          <t>31.03.2026</t>
        </is>
      </c>
      <c r="L16" s="14" t="inlineStr">
        <is>
          <t>In Progress</t>
        </is>
      </c>
      <c r="M16" s="14" t="inlineStr"/>
      <c r="N16" s="14" t="inlineStr">
        <is>
          <t>Manual testing post-implementation</t>
        </is>
      </c>
      <c r="O16" s="14" t="inlineStr">
        <is>
          <t>Approved by DPO 15.01.2026; high priority P1</t>
        </is>
      </c>
    </row>
    <row r="17">
      <c r="A17" s="14" t="n"/>
      <c r="B17" s="14" t="n"/>
      <c r="C17" s="14" t="n"/>
      <c r="D17" s="14" t="n"/>
      <c r="E17" s="14" t="n"/>
      <c r="F17" s="14" t="n"/>
      <c r="G17" s="14" t="n"/>
      <c r="H17" s="14" t="n"/>
      <c r="I17" s="14" t="n"/>
      <c r="J17" s="14" t="n"/>
      <c r="K17" s="14" t="n"/>
      <c r="L17" s="14" t="n"/>
      <c r="M17" s="14" t="n"/>
      <c r="N17" s="14" t="n"/>
      <c r="O17" s="14" t="n"/>
    </row>
    <row r="18">
      <c r="A18" s="14" t="n"/>
      <c r="B18" s="14" t="n"/>
      <c r="C18" s="14" t="n"/>
      <c r="D18" s="14" t="n"/>
      <c r="E18" s="14" t="n"/>
      <c r="F18" s="14" t="n"/>
      <c r="G18" s="14" t="n"/>
      <c r="H18" s="14" t="n"/>
      <c r="I18" s="14" t="n"/>
      <c r="J18" s="14" t="n"/>
      <c r="K18" s="14" t="n"/>
      <c r="L18" s="14" t="n"/>
      <c r="M18" s="14" t="n"/>
      <c r="N18" s="14" t="n"/>
      <c r="O18" s="14" t="n"/>
    </row>
    <row r="19">
      <c r="A19" s="14" t="n"/>
      <c r="B19" s="14" t="n"/>
      <c r="C19" s="14" t="n"/>
      <c r="D19" s="14" t="n"/>
      <c r="E19" s="14" t="n"/>
      <c r="F19" s="14" t="n"/>
      <c r="G19" s="14" t="n"/>
      <c r="H19" s="14" t="n"/>
      <c r="I19" s="14" t="n"/>
      <c r="J19" s="14" t="n"/>
      <c r="K19" s="14" t="n"/>
      <c r="L19" s="14" t="n"/>
      <c r="M19" s="14" t="n"/>
      <c r="N19" s="14" t="n"/>
      <c r="O19" s="14" t="n"/>
    </row>
    <row r="20">
      <c r="A20" s="14" t="n"/>
      <c r="B20" s="14" t="n"/>
      <c r="C20" s="14" t="n"/>
      <c r="D20" s="14" t="n"/>
      <c r="E20" s="14" t="n"/>
      <c r="F20" s="14" t="n"/>
      <c r="G20" s="14" t="n"/>
      <c r="H20" s="14" t="n"/>
      <c r="I20" s="14" t="n"/>
      <c r="J20" s="14" t="n"/>
      <c r="K20" s="14" t="n"/>
      <c r="L20" s="14" t="n"/>
      <c r="M20" s="14" t="n"/>
      <c r="N20" s="14" t="n"/>
      <c r="O20" s="14" t="n"/>
    </row>
    <row r="21">
      <c r="A21" s="14" t="n"/>
      <c r="B21" s="14" t="n"/>
      <c r="C21" s="14" t="n"/>
      <c r="D21" s="14" t="n"/>
      <c r="E21" s="14" t="n"/>
      <c r="F21" s="14" t="n"/>
      <c r="G21" s="14" t="n"/>
      <c r="H21" s="14" t="n"/>
      <c r="I21" s="14" t="n"/>
      <c r="J21" s="14" t="n"/>
      <c r="K21" s="14" t="n"/>
      <c r="L21" s="14" t="n"/>
      <c r="M21" s="14" t="n"/>
      <c r="N21" s="14" t="n"/>
      <c r="O21" s="14" t="n"/>
    </row>
    <row r="22">
      <c r="A22" s="14" t="n"/>
      <c r="B22" s="14" t="n"/>
      <c r="C22" s="14" t="n"/>
      <c r="D22" s="14" t="n"/>
      <c r="E22" s="14" t="n"/>
      <c r="F22" s="14" t="n"/>
      <c r="G22" s="14" t="n"/>
      <c r="H22" s="14" t="n"/>
      <c r="I22" s="14" t="n"/>
      <c r="J22" s="14" t="n"/>
      <c r="K22" s="14" t="n"/>
      <c r="L22" s="14" t="n"/>
      <c r="M22" s="14" t="n"/>
      <c r="N22" s="14" t="n"/>
      <c r="O22" s="14" t="n"/>
    </row>
    <row r="23">
      <c r="A23" s="14" t="n"/>
      <c r="B23" s="14" t="n"/>
      <c r="C23" s="14" t="n"/>
      <c r="D23" s="14" t="n"/>
      <c r="E23" s="14" t="n"/>
      <c r="F23" s="14" t="n"/>
      <c r="G23" s="14" t="n"/>
      <c r="H23" s="14" t="n"/>
      <c r="I23" s="14" t="n"/>
      <c r="J23" s="14" t="n"/>
      <c r="K23" s="14" t="n"/>
      <c r="L23" s="14" t="n"/>
      <c r="M23" s="14" t="n"/>
      <c r="N23" s="14" t="n"/>
      <c r="O23" s="14" t="n"/>
    </row>
    <row r="24">
      <c r="A24" s="14" t="n"/>
      <c r="B24" s="14" t="n"/>
      <c r="C24" s="14" t="n"/>
      <c r="D24" s="14" t="n"/>
      <c r="E24" s="14" t="n"/>
      <c r="F24" s="14" t="n"/>
      <c r="G24" s="14" t="n"/>
      <c r="H24" s="14" t="n"/>
      <c r="I24" s="14" t="n"/>
      <c r="J24" s="14" t="n"/>
      <c r="K24" s="14" t="n"/>
      <c r="L24" s="14" t="n"/>
      <c r="M24" s="14" t="n"/>
      <c r="N24" s="14" t="n"/>
      <c r="O24" s="14" t="n"/>
    </row>
    <row r="25">
      <c r="A25" s="14" t="n"/>
      <c r="B25" s="14" t="n"/>
      <c r="C25" s="14" t="n"/>
      <c r="D25" s="14" t="n"/>
      <c r="E25" s="14" t="n"/>
      <c r="F25" s="14" t="n"/>
      <c r="G25" s="14" t="n"/>
      <c r="H25" s="14" t="n"/>
      <c r="I25" s="14" t="n"/>
      <c r="J25" s="14" t="n"/>
      <c r="K25" s="14" t="n"/>
      <c r="L25" s="14" t="n"/>
      <c r="M25" s="14" t="n"/>
      <c r="N25" s="14" t="n"/>
      <c r="O25" s="14" t="n"/>
    </row>
    <row r="26">
      <c r="A26" s="14" t="n"/>
      <c r="B26" s="14" t="n"/>
      <c r="C26" s="14" t="n"/>
      <c r="D26" s="14" t="n"/>
      <c r="E26" s="14" t="n"/>
      <c r="F26" s="14" t="n"/>
      <c r="G26" s="14" t="n"/>
      <c r="H26" s="14" t="n"/>
      <c r="I26" s="14" t="n"/>
      <c r="J26" s="14" t="n"/>
      <c r="K26" s="14" t="n"/>
      <c r="L26" s="14" t="n"/>
      <c r="M26" s="14" t="n"/>
      <c r="N26" s="14" t="n"/>
      <c r="O26" s="14" t="n"/>
    </row>
    <row r="27">
      <c r="A27" s="14" t="n"/>
      <c r="B27" s="14" t="n"/>
      <c r="C27" s="14" t="n"/>
      <c r="D27" s="14" t="n"/>
      <c r="E27" s="14" t="n"/>
      <c r="F27" s="14" t="n"/>
      <c r="G27" s="14" t="n"/>
      <c r="H27" s="14" t="n"/>
      <c r="I27" s="14" t="n"/>
      <c r="J27" s="14" t="n"/>
      <c r="K27" s="14" t="n"/>
      <c r="L27" s="14" t="n"/>
      <c r="M27" s="14" t="n"/>
      <c r="N27" s="14" t="n"/>
      <c r="O27" s="14" t="n"/>
    </row>
    <row r="28">
      <c r="A28" s="14" t="n"/>
      <c r="B28" s="14" t="n"/>
      <c r="C28" s="14" t="n"/>
      <c r="D28" s="14" t="n"/>
      <c r="E28" s="14" t="n"/>
      <c r="F28" s="14" t="n"/>
      <c r="G28" s="14" t="n"/>
      <c r="H28" s="14" t="n"/>
      <c r="I28" s="14" t="n"/>
      <c r="J28" s="14" t="n"/>
      <c r="K28" s="14" t="n"/>
      <c r="L28" s="14" t="n"/>
      <c r="M28" s="14" t="n"/>
      <c r="N28" s="14" t="n"/>
      <c r="O28" s="14" t="n"/>
    </row>
    <row r="29">
      <c r="A29" s="14" t="n"/>
      <c r="B29" s="14" t="n"/>
      <c r="C29" s="14" t="n"/>
      <c r="D29" s="14" t="n"/>
      <c r="E29" s="14" t="n"/>
      <c r="F29" s="14" t="n"/>
      <c r="G29" s="14" t="n"/>
      <c r="H29" s="14" t="n"/>
      <c r="I29" s="14" t="n"/>
      <c r="J29" s="14" t="n"/>
      <c r="K29" s="14" t="n"/>
      <c r="L29" s="14" t="n"/>
      <c r="M29" s="14" t="n"/>
      <c r="N29" s="14" t="n"/>
      <c r="O29" s="14" t="n"/>
    </row>
    <row r="30">
      <c r="A30" s="14" t="n"/>
      <c r="B30" s="14" t="n"/>
      <c r="C30" s="14" t="n"/>
      <c r="D30" s="14" t="n"/>
      <c r="E30" s="14" t="n"/>
      <c r="F30" s="14" t="n"/>
      <c r="G30" s="14" t="n"/>
      <c r="H30" s="14" t="n"/>
      <c r="I30" s="14" t="n"/>
      <c r="J30" s="14" t="n"/>
      <c r="K30" s="14" t="n"/>
      <c r="L30" s="14" t="n"/>
      <c r="M30" s="14" t="n"/>
      <c r="N30" s="14" t="n"/>
      <c r="O30" s="14" t="n"/>
    </row>
    <row r="31">
      <c r="A31" s="14" t="n"/>
      <c r="B31" s="14" t="n"/>
      <c r="C31" s="14" t="n"/>
      <c r="D31" s="14" t="n"/>
      <c r="E31" s="14" t="n"/>
      <c r="F31" s="14" t="n"/>
      <c r="G31" s="14" t="n"/>
      <c r="H31" s="14" t="n"/>
      <c r="I31" s="14" t="n"/>
      <c r="J31" s="14" t="n"/>
      <c r="K31" s="14" t="n"/>
      <c r="L31" s="14" t="n"/>
      <c r="M31" s="14" t="n"/>
      <c r="N31" s="14" t="n"/>
      <c r="O31" s="14" t="n"/>
    </row>
    <row r="32">
      <c r="A32" s="14" t="n"/>
      <c r="B32" s="14" t="n"/>
      <c r="C32" s="14" t="n"/>
      <c r="D32" s="14" t="n"/>
      <c r="E32" s="14" t="n"/>
      <c r="F32" s="14" t="n"/>
      <c r="G32" s="14" t="n"/>
      <c r="H32" s="14" t="n"/>
      <c r="I32" s="14" t="n"/>
      <c r="J32" s="14" t="n"/>
      <c r="K32" s="14" t="n"/>
      <c r="L32" s="14" t="n"/>
      <c r="M32" s="14" t="n"/>
      <c r="N32" s="14" t="n"/>
      <c r="O32" s="14" t="n"/>
    </row>
    <row r="33">
      <c r="A33" s="14" t="n"/>
      <c r="B33" s="14" t="n"/>
      <c r="C33" s="14" t="n"/>
      <c r="D33" s="14" t="n"/>
      <c r="E33" s="14" t="n"/>
      <c r="F33" s="14" t="n"/>
      <c r="G33" s="14" t="n"/>
      <c r="H33" s="14" t="n"/>
      <c r="I33" s="14" t="n"/>
      <c r="J33" s="14" t="n"/>
      <c r="K33" s="14" t="n"/>
      <c r="L33" s="14" t="n"/>
      <c r="M33" s="14" t="n"/>
      <c r="N33" s="14" t="n"/>
      <c r="O33" s="14" t="n"/>
    </row>
    <row r="34">
      <c r="A34" s="14" t="n"/>
      <c r="B34" s="14" t="n"/>
      <c r="C34" s="14" t="n"/>
      <c r="D34" s="14" t="n"/>
      <c r="E34" s="14" t="n"/>
      <c r="F34" s="14" t="n"/>
      <c r="G34" s="14" t="n"/>
      <c r="H34" s="14" t="n"/>
      <c r="I34" s="14" t="n"/>
      <c r="J34" s="14" t="n"/>
      <c r="K34" s="14" t="n"/>
      <c r="L34" s="14" t="n"/>
      <c r="M34" s="14" t="n"/>
      <c r="N34" s="14" t="n"/>
      <c r="O34" s="14" t="n"/>
    </row>
    <row r="35">
      <c r="A35" s="14" t="n"/>
      <c r="B35" s="14" t="n"/>
      <c r="C35" s="14" t="n"/>
      <c r="D35" s="14" t="n"/>
      <c r="E35" s="14" t="n"/>
      <c r="F35" s="14" t="n"/>
      <c r="G35" s="14" t="n"/>
      <c r="H35" s="14" t="n"/>
      <c r="I35" s="14" t="n"/>
      <c r="J35" s="14" t="n"/>
      <c r="K35" s="14" t="n"/>
      <c r="L35" s="14" t="n"/>
      <c r="M35" s="14" t="n"/>
      <c r="N35" s="14" t="n"/>
      <c r="O35" s="14" t="n"/>
    </row>
    <row r="36">
      <c r="A36" s="14" t="n"/>
      <c r="B36" s="14" t="n"/>
      <c r="C36" s="14" t="n"/>
      <c r="D36" s="14" t="n"/>
      <c r="E36" s="14" t="n"/>
      <c r="F36" s="14" t="n"/>
      <c r="G36" s="14" t="n"/>
      <c r="H36" s="14" t="n"/>
      <c r="I36" s="14" t="n"/>
      <c r="J36" s="14" t="n"/>
      <c r="K36" s="14" t="n"/>
      <c r="L36" s="14" t="n"/>
      <c r="M36" s="14" t="n"/>
      <c r="N36" s="14" t="n"/>
      <c r="O36" s="14" t="n"/>
    </row>
    <row r="37">
      <c r="A37" s="14" t="n"/>
      <c r="B37" s="14" t="n"/>
      <c r="C37" s="14" t="n"/>
      <c r="D37" s="14" t="n"/>
      <c r="E37" s="14" t="n"/>
      <c r="F37" s="14" t="n"/>
      <c r="G37" s="14" t="n"/>
      <c r="H37" s="14" t="n"/>
      <c r="I37" s="14" t="n"/>
      <c r="J37" s="14" t="n"/>
      <c r="K37" s="14" t="n"/>
      <c r="L37" s="14" t="n"/>
      <c r="M37" s="14" t="n"/>
      <c r="N37" s="14" t="n"/>
      <c r="O37" s="14" t="n"/>
    </row>
    <row r="38">
      <c r="A38" s="14" t="n"/>
      <c r="B38" s="14" t="n"/>
      <c r="C38" s="14" t="n"/>
      <c r="D38" s="14" t="n"/>
      <c r="E38" s="14" t="n"/>
      <c r="F38" s="14" t="n"/>
      <c r="G38" s="14" t="n"/>
      <c r="H38" s="14" t="n"/>
      <c r="I38" s="14" t="n"/>
      <c r="J38" s="14" t="n"/>
      <c r="K38" s="14" t="n"/>
      <c r="L38" s="14" t="n"/>
      <c r="M38" s="14" t="n"/>
      <c r="N38" s="14" t="n"/>
      <c r="O38" s="14" t="n"/>
    </row>
    <row r="39">
      <c r="A39" s="14" t="n"/>
      <c r="B39" s="14" t="n"/>
      <c r="C39" s="14" t="n"/>
      <c r="D39" s="14" t="n"/>
      <c r="E39" s="14" t="n"/>
      <c r="F39" s="14" t="n"/>
      <c r="G39" s="14" t="n"/>
      <c r="H39" s="14" t="n"/>
      <c r="I39" s="14" t="n"/>
      <c r="J39" s="14" t="n"/>
      <c r="K39" s="14" t="n"/>
      <c r="L39" s="14" t="n"/>
      <c r="M39" s="14" t="n"/>
      <c r="N39" s="14" t="n"/>
      <c r="O39" s="14" t="n"/>
    </row>
    <row r="40">
      <c r="A40" s="14" t="n"/>
      <c r="B40" s="14" t="n"/>
      <c r="C40" s="14" t="n"/>
      <c r="D40" s="14" t="n"/>
      <c r="E40" s="14" t="n"/>
      <c r="F40" s="14" t="n"/>
      <c r="G40" s="14" t="n"/>
      <c r="H40" s="14" t="n"/>
      <c r="I40" s="14" t="n"/>
      <c r="J40" s="14" t="n"/>
      <c r="K40" s="14" t="n"/>
      <c r="L40" s="14" t="n"/>
      <c r="M40" s="14" t="n"/>
      <c r="N40" s="14" t="n"/>
      <c r="O40" s="14" t="n"/>
    </row>
    <row r="41">
      <c r="A41" s="14" t="n"/>
      <c r="B41" s="14" t="n"/>
      <c r="C41" s="14" t="n"/>
      <c r="D41" s="14" t="n"/>
      <c r="E41" s="14" t="n"/>
      <c r="F41" s="14" t="n"/>
      <c r="G41" s="14" t="n"/>
      <c r="H41" s="14" t="n"/>
      <c r="I41" s="14" t="n"/>
      <c r="J41" s="14" t="n"/>
      <c r="K41" s="14" t="n"/>
      <c r="L41" s="14" t="n"/>
      <c r="M41" s="14" t="n"/>
      <c r="N41" s="14" t="n"/>
      <c r="O41" s="14" t="n"/>
    </row>
    <row r="42">
      <c r="A42" s="14" t="n"/>
      <c r="B42" s="14" t="n"/>
      <c r="C42" s="14" t="n"/>
      <c r="D42" s="14" t="n"/>
      <c r="E42" s="14" t="n"/>
      <c r="F42" s="14" t="n"/>
      <c r="G42" s="14" t="n"/>
      <c r="H42" s="14" t="n"/>
      <c r="I42" s="14" t="n"/>
      <c r="J42" s="14" t="n"/>
      <c r="K42" s="14" t="n"/>
      <c r="L42" s="14" t="n"/>
      <c r="M42" s="14" t="n"/>
      <c r="N42" s="14" t="n"/>
      <c r="O42" s="14" t="n"/>
    </row>
    <row r="43">
      <c r="A43" s="14" t="n"/>
      <c r="B43" s="14" t="n"/>
      <c r="C43" s="14" t="n"/>
      <c r="D43" s="14" t="n"/>
      <c r="E43" s="14" t="n"/>
      <c r="F43" s="14" t="n"/>
      <c r="G43" s="14" t="n"/>
      <c r="H43" s="14" t="n"/>
      <c r="I43" s="14" t="n"/>
      <c r="J43" s="14" t="n"/>
      <c r="K43" s="14" t="n"/>
      <c r="L43" s="14" t="n"/>
      <c r="M43" s="14" t="n"/>
      <c r="N43" s="14" t="n"/>
      <c r="O43" s="14" t="n"/>
    </row>
    <row r="44">
      <c r="A44" s="14" t="n"/>
      <c r="B44" s="14" t="n"/>
      <c r="C44" s="14" t="n"/>
      <c r="D44" s="14" t="n"/>
      <c r="E44" s="14" t="n"/>
      <c r="F44" s="14" t="n"/>
      <c r="G44" s="14" t="n"/>
      <c r="H44" s="14" t="n"/>
      <c r="I44" s="14" t="n"/>
      <c r="J44" s="14" t="n"/>
      <c r="K44" s="14" t="n"/>
      <c r="L44" s="14" t="n"/>
      <c r="M44" s="14" t="n"/>
      <c r="N44" s="14" t="n"/>
      <c r="O44" s="14" t="n"/>
    </row>
    <row r="45">
      <c r="A45" s="14" t="n"/>
      <c r="B45" s="14" t="n"/>
      <c r="C45" s="14" t="n"/>
      <c r="D45" s="14" t="n"/>
      <c r="E45" s="14" t="n"/>
      <c r="F45" s="14" t="n"/>
      <c r="G45" s="14" t="n"/>
      <c r="H45" s="14" t="n"/>
      <c r="I45" s="14" t="n"/>
      <c r="J45" s="14" t="n"/>
      <c r="K45" s="14" t="n"/>
      <c r="L45" s="14" t="n"/>
      <c r="M45" s="14" t="n"/>
      <c r="N45" s="14" t="n"/>
      <c r="O45" s="14" t="n"/>
    </row>
    <row r="46">
      <c r="A46" s="14" t="n"/>
      <c r="B46" s="14" t="n"/>
      <c r="C46" s="14" t="n"/>
      <c r="D46" s="14" t="n"/>
      <c r="E46" s="14" t="n"/>
      <c r="F46" s="14" t="n"/>
      <c r="G46" s="14" t="n"/>
      <c r="H46" s="14" t="n"/>
      <c r="I46" s="14" t="n"/>
      <c r="J46" s="14" t="n"/>
      <c r="K46" s="14" t="n"/>
      <c r="L46" s="14" t="n"/>
      <c r="M46" s="14" t="n"/>
      <c r="N46" s="14" t="n"/>
      <c r="O46" s="14" t="n"/>
    </row>
    <row r="47">
      <c r="A47" s="14" t="n"/>
      <c r="B47" s="14" t="n"/>
      <c r="C47" s="14" t="n"/>
      <c r="D47" s="14" t="n"/>
      <c r="E47" s="14" t="n"/>
      <c r="F47" s="14" t="n"/>
      <c r="G47" s="14" t="n"/>
      <c r="H47" s="14" t="n"/>
      <c r="I47" s="14" t="n"/>
      <c r="J47" s="14" t="n"/>
      <c r="K47" s="14" t="n"/>
      <c r="L47" s="14" t="n"/>
      <c r="M47" s="14" t="n"/>
      <c r="N47" s="14" t="n"/>
      <c r="O47" s="14" t="n"/>
    </row>
    <row r="48">
      <c r="A48" s="14" t="n"/>
      <c r="B48" s="14" t="n"/>
      <c r="C48" s="14" t="n"/>
      <c r="D48" s="14" t="n"/>
      <c r="E48" s="14" t="n"/>
      <c r="F48" s="14" t="n"/>
      <c r="G48" s="14" t="n"/>
      <c r="H48" s="14" t="n"/>
      <c r="I48" s="14" t="n"/>
      <c r="J48" s="14" t="n"/>
      <c r="K48" s="14" t="n"/>
      <c r="L48" s="14" t="n"/>
      <c r="M48" s="14" t="n"/>
      <c r="N48" s="14" t="n"/>
      <c r="O48" s="14" t="n"/>
    </row>
    <row r="49">
      <c r="A49" s="14" t="n"/>
      <c r="B49" s="14" t="n"/>
      <c r="C49" s="14" t="n"/>
      <c r="D49" s="14" t="n"/>
      <c r="E49" s="14" t="n"/>
      <c r="F49" s="14" t="n"/>
      <c r="G49" s="14" t="n"/>
      <c r="H49" s="14" t="n"/>
      <c r="I49" s="14" t="n"/>
      <c r="J49" s="14" t="n"/>
      <c r="K49" s="14" t="n"/>
      <c r="L49" s="14" t="n"/>
      <c r="M49" s="14" t="n"/>
      <c r="N49" s="14" t="n"/>
      <c r="O49" s="14" t="n"/>
    </row>
    <row r="50">
      <c r="A50" s="14" t="n"/>
      <c r="B50" s="14" t="n"/>
      <c r="C50" s="14" t="n"/>
      <c r="D50" s="14" t="n"/>
      <c r="E50" s="14" t="n"/>
      <c r="F50" s="14" t="n"/>
      <c r="G50" s="14" t="n"/>
      <c r="H50" s="14" t="n"/>
      <c r="I50" s="14" t="n"/>
      <c r="J50" s="14" t="n"/>
      <c r="K50" s="14" t="n"/>
      <c r="L50" s="14" t="n"/>
      <c r="M50" s="14" t="n"/>
      <c r="N50" s="14" t="n"/>
      <c r="O50" s="14" t="n"/>
    </row>
    <row r="51">
      <c r="A51" s="14" t="n"/>
      <c r="B51" s="14" t="n"/>
      <c r="C51" s="14" t="n"/>
      <c r="D51" s="14" t="n"/>
      <c r="E51" s="14" t="n"/>
      <c r="F51" s="14" t="n"/>
      <c r="G51" s="14" t="n"/>
      <c r="H51" s="14" t="n"/>
      <c r="I51" s="14" t="n"/>
      <c r="J51" s="14" t="n"/>
      <c r="K51" s="14" t="n"/>
      <c r="L51" s="14" t="n"/>
      <c r="M51" s="14" t="n"/>
      <c r="N51" s="14" t="n"/>
      <c r="O51" s="14" t="n"/>
    </row>
    <row r="52">
      <c r="A52" s="14" t="n"/>
      <c r="B52" s="14" t="n"/>
      <c r="C52" s="14" t="n"/>
      <c r="D52" s="14" t="n"/>
      <c r="E52" s="14" t="n"/>
      <c r="F52" s="14" t="n"/>
      <c r="G52" s="14" t="n"/>
      <c r="H52" s="14" t="n"/>
      <c r="I52" s="14" t="n"/>
      <c r="J52" s="14" t="n"/>
      <c r="K52" s="14" t="n"/>
      <c r="L52" s="14" t="n"/>
      <c r="M52" s="14" t="n"/>
      <c r="N52" s="14" t="n"/>
      <c r="O52" s="14" t="n"/>
    </row>
    <row r="53">
      <c r="A53" s="14" t="n"/>
      <c r="B53" s="14" t="n"/>
      <c r="C53" s="14" t="n"/>
      <c r="D53" s="14" t="n"/>
      <c r="E53" s="14" t="n"/>
      <c r="F53" s="14" t="n"/>
      <c r="G53" s="14" t="n"/>
      <c r="H53" s="14" t="n"/>
      <c r="I53" s="14" t="n"/>
      <c r="J53" s="14" t="n"/>
      <c r="K53" s="14" t="n"/>
      <c r="L53" s="14" t="n"/>
      <c r="M53" s="14" t="n"/>
      <c r="N53" s="14" t="n"/>
      <c r="O53" s="14" t="n"/>
    </row>
    <row r="54">
      <c r="A54" s="14" t="n"/>
      <c r="B54" s="14" t="n"/>
      <c r="C54" s="14" t="n"/>
      <c r="D54" s="14" t="n"/>
      <c r="E54" s="14" t="n"/>
      <c r="F54" s="14" t="n"/>
      <c r="G54" s="14" t="n"/>
      <c r="H54" s="14" t="n"/>
      <c r="I54" s="14" t="n"/>
      <c r="J54" s="14" t="n"/>
      <c r="K54" s="14" t="n"/>
      <c r="L54" s="14" t="n"/>
      <c r="M54" s="14" t="n"/>
      <c r="N54" s="14" t="n"/>
      <c r="O54" s="14" t="n"/>
    </row>
    <row r="55">
      <c r="A55" s="14" t="n"/>
      <c r="B55" s="14" t="n"/>
      <c r="C55" s="14" t="n"/>
      <c r="D55" s="14" t="n"/>
      <c r="E55" s="14" t="n"/>
      <c r="F55" s="14" t="n"/>
      <c r="G55" s="14" t="n"/>
      <c r="H55" s="14" t="n"/>
      <c r="I55" s="14" t="n"/>
      <c r="J55" s="14" t="n"/>
      <c r="K55" s="14" t="n"/>
      <c r="L55" s="14" t="n"/>
      <c r="M55" s="14" t="n"/>
      <c r="N55" s="14" t="n"/>
      <c r="O55" s="14" t="n"/>
    </row>
    <row r="56">
      <c r="A56" s="14" t="n"/>
      <c r="B56" s="14" t="n"/>
      <c r="C56" s="14" t="n"/>
      <c r="D56" s="14" t="n"/>
      <c r="E56" s="14" t="n"/>
      <c r="F56" s="14" t="n"/>
      <c r="G56" s="14" t="n"/>
      <c r="H56" s="14" t="n"/>
      <c r="I56" s="14" t="n"/>
      <c r="J56" s="14" t="n"/>
      <c r="K56" s="14" t="n"/>
      <c r="L56" s="14" t="n"/>
      <c r="M56" s="14" t="n"/>
      <c r="N56" s="14" t="n"/>
      <c r="O56" s="14" t="n"/>
    </row>
    <row r="57">
      <c r="A57" s="14" t="n"/>
      <c r="B57" s="14" t="n"/>
      <c r="C57" s="14" t="n"/>
      <c r="D57" s="14" t="n"/>
      <c r="E57" s="14" t="n"/>
      <c r="F57" s="14" t="n"/>
      <c r="G57" s="14" t="n"/>
      <c r="H57" s="14" t="n"/>
      <c r="I57" s="14" t="n"/>
      <c r="J57" s="14" t="n"/>
      <c r="K57" s="14" t="n"/>
      <c r="L57" s="14" t="n"/>
      <c r="M57" s="14" t="n"/>
      <c r="N57" s="14" t="n"/>
      <c r="O57" s="14" t="n"/>
    </row>
    <row r="58">
      <c r="A58" s="14" t="n"/>
      <c r="B58" s="14" t="n"/>
      <c r="C58" s="14" t="n"/>
      <c r="D58" s="14" t="n"/>
      <c r="E58" s="14" t="n"/>
      <c r="F58" s="14" t="n"/>
      <c r="G58" s="14" t="n"/>
      <c r="H58" s="14" t="n"/>
      <c r="I58" s="14" t="n"/>
      <c r="J58" s="14" t="n"/>
      <c r="K58" s="14" t="n"/>
      <c r="L58" s="14" t="n"/>
      <c r="M58" s="14" t="n"/>
      <c r="N58" s="14" t="n"/>
      <c r="O58" s="14" t="n"/>
    </row>
    <row r="59">
      <c r="A59" s="14" t="n"/>
      <c r="B59" s="14" t="n"/>
      <c r="C59" s="14" t="n"/>
      <c r="D59" s="14" t="n"/>
      <c r="E59" s="14" t="n"/>
      <c r="F59" s="14" t="n"/>
      <c r="G59" s="14" t="n"/>
      <c r="H59" s="14" t="n"/>
      <c r="I59" s="14" t="n"/>
      <c r="J59" s="14" t="n"/>
      <c r="K59" s="14" t="n"/>
      <c r="L59" s="14" t="n"/>
      <c r="M59" s="14" t="n"/>
      <c r="N59" s="14" t="n"/>
      <c r="O59" s="14" t="n"/>
    </row>
    <row r="60">
      <c r="A60" s="14" t="n"/>
      <c r="B60" s="14" t="n"/>
      <c r="C60" s="14" t="n"/>
      <c r="D60" s="14" t="n"/>
      <c r="E60" s="14" t="n"/>
      <c r="F60" s="14" t="n"/>
      <c r="G60" s="14" t="n"/>
      <c r="H60" s="14" t="n"/>
      <c r="I60" s="14" t="n"/>
      <c r="J60" s="14" t="n"/>
      <c r="K60" s="14" t="n"/>
      <c r="L60" s="14" t="n"/>
      <c r="M60" s="14" t="n"/>
      <c r="N60" s="14" t="n"/>
      <c r="O60" s="14" t="n"/>
    </row>
    <row r="61">
      <c r="A61" s="14" t="n"/>
      <c r="B61" s="14" t="n"/>
      <c r="C61" s="14" t="n"/>
      <c r="D61" s="14" t="n"/>
      <c r="E61" s="14" t="n"/>
      <c r="F61" s="14" t="n"/>
      <c r="G61" s="14" t="n"/>
      <c r="H61" s="14" t="n"/>
      <c r="I61" s="14" t="n"/>
      <c r="J61" s="14" t="n"/>
      <c r="K61" s="14" t="n"/>
      <c r="L61" s="14" t="n"/>
      <c r="M61" s="14" t="n"/>
      <c r="N61" s="14" t="n"/>
      <c r="O61" s="14" t="n"/>
    </row>
    <row r="62">
      <c r="A62" s="14" t="n"/>
      <c r="B62" s="14" t="n"/>
      <c r="C62" s="14" t="n"/>
      <c r="D62" s="14" t="n"/>
      <c r="E62" s="14" t="n"/>
      <c r="F62" s="14" t="n"/>
      <c r="G62" s="14" t="n"/>
      <c r="H62" s="14" t="n"/>
      <c r="I62" s="14" t="n"/>
      <c r="J62" s="14" t="n"/>
      <c r="K62" s="14" t="n"/>
      <c r="L62" s="14" t="n"/>
      <c r="M62" s="14" t="n"/>
      <c r="N62" s="14" t="n"/>
      <c r="O62" s="14" t="n"/>
    </row>
    <row r="63">
      <c r="A63" s="14" t="n"/>
      <c r="B63" s="14" t="n"/>
      <c r="C63" s="14" t="n"/>
      <c r="D63" s="14" t="n"/>
      <c r="E63" s="14" t="n"/>
      <c r="F63" s="14" t="n"/>
      <c r="G63" s="14" t="n"/>
      <c r="H63" s="14" t="n"/>
      <c r="I63" s="14" t="n"/>
      <c r="J63" s="14" t="n"/>
      <c r="K63" s="14" t="n"/>
      <c r="L63" s="14" t="n"/>
      <c r="M63" s="14" t="n"/>
      <c r="N63" s="14" t="n"/>
      <c r="O63" s="14" t="n"/>
    </row>
    <row r="64">
      <c r="A64" s="14" t="n"/>
      <c r="B64" s="14" t="n"/>
      <c r="C64" s="14" t="n"/>
      <c r="D64" s="14" t="n"/>
      <c r="E64" s="14" t="n"/>
      <c r="F64" s="14" t="n"/>
      <c r="G64" s="14" t="n"/>
      <c r="H64" s="14" t="n"/>
      <c r="I64" s="14" t="n"/>
      <c r="J64" s="14" t="n"/>
      <c r="K64" s="14" t="n"/>
      <c r="L64" s="14" t="n"/>
      <c r="M64" s="14" t="n"/>
      <c r="N64" s="14" t="n"/>
      <c r="O64" s="14" t="n"/>
    </row>
    <row r="65">
      <c r="A65" s="14" t="n"/>
      <c r="B65" s="14" t="n"/>
      <c r="C65" s="14" t="n"/>
      <c r="D65" s="14" t="n"/>
      <c r="E65" s="14" t="n"/>
      <c r="F65" s="14" t="n"/>
      <c r="G65" s="14" t="n"/>
      <c r="H65" s="14" t="n"/>
      <c r="I65" s="14" t="n"/>
      <c r="J65" s="14" t="n"/>
      <c r="K65" s="14" t="n"/>
      <c r="L65" s="14" t="n"/>
      <c r="M65" s="14" t="n"/>
      <c r="N65" s="14" t="n"/>
      <c r="O65" s="14" t="n"/>
    </row>
    <row r="66">
      <c r="A66" s="14" t="n"/>
      <c r="B66" s="14" t="n"/>
      <c r="C66" s="14" t="n"/>
      <c r="D66" s="14" t="n"/>
      <c r="E66" s="14" t="n"/>
      <c r="F66" s="14" t="n"/>
      <c r="G66" s="14" t="n"/>
      <c r="H66" s="14" t="n"/>
      <c r="I66" s="14" t="n"/>
      <c r="J66" s="14" t="n"/>
      <c r="K66" s="14" t="n"/>
      <c r="L66" s="14" t="n"/>
      <c r="M66" s="14" t="n"/>
      <c r="N66" s="14" t="n"/>
      <c r="O66" s="14" t="n"/>
    </row>
    <row r="68">
      <c r="A68" s="15" t="inlineStr">
        <is>
          <t>GAP ANALYSIS CHECKLIST</t>
        </is>
      </c>
    </row>
    <row r="69">
      <c r="A69" s="5" t="inlineStr">
        <is>
          <t>#</t>
        </is>
      </c>
      <c r="B69" s="5" t="inlineStr">
        <is>
          <t>Checklist Item</t>
        </is>
      </c>
      <c r="C69" s="5" t="inlineStr">
        <is>
          <t>Status</t>
        </is>
      </c>
      <c r="D69" s="5" t="inlineStr">
        <is>
          <t>Evidence</t>
        </is>
      </c>
      <c r="E69" s="5" t="inlineStr">
        <is>
          <t>Notes</t>
        </is>
      </c>
    </row>
    <row r="70">
      <c r="A70" t="n">
        <v>1</v>
      </c>
      <c r="B70" s="16" t="inlineStr">
        <is>
          <t>Is gap analysis performed quarterly?</t>
        </is>
      </c>
      <c r="C70" s="14" t="n"/>
      <c r="D70" s="14" t="n"/>
      <c r="E70" s="14" t="n"/>
    </row>
    <row r="71">
      <c r="A71" t="n">
        <v>2</v>
      </c>
      <c r="B71" s="16" t="inlineStr">
        <is>
          <t>Are missing inventories identified?</t>
        </is>
      </c>
      <c r="C71" s="14" t="n"/>
      <c r="D71" s="14" t="n"/>
      <c r="E71" s="14" t="n"/>
    </row>
    <row r="72">
      <c r="A72" t="n">
        <v>3</v>
      </c>
      <c r="B72" s="16" t="inlineStr">
        <is>
          <t>Are unclassified systems identified?</t>
        </is>
      </c>
      <c r="C72" s="14" t="n"/>
      <c r="D72" s="14" t="n"/>
      <c r="E72" s="14" t="n"/>
    </row>
    <row r="73">
      <c r="A73" t="n">
        <v>4</v>
      </c>
      <c r="B73" s="16" t="inlineStr">
        <is>
          <t>Are fields without owners identified?</t>
        </is>
      </c>
      <c r="C73" s="14" t="n"/>
      <c r="D73" s="14" t="n"/>
      <c r="E73" s="14" t="n"/>
    </row>
    <row r="74">
      <c r="A74" t="n">
        <v>5</v>
      </c>
      <c r="B74" s="16" t="inlineStr">
        <is>
          <t>Are regulatory gaps documented?</t>
        </is>
      </c>
      <c r="C74" s="14" t="n"/>
      <c r="D74" s="14" t="n"/>
      <c r="E74" s="14" t="n"/>
    </row>
    <row r="75">
      <c r="A75" t="n">
        <v>6</v>
      </c>
      <c r="B75" s="16" t="inlineStr">
        <is>
          <t>Are masking gaps prioritised?</t>
        </is>
      </c>
      <c r="C75" s="14" t="n"/>
      <c r="D75" s="14" t="n"/>
      <c r="E75" s="14" t="n"/>
    </row>
    <row r="76">
      <c r="A76" t="n">
        <v>7</v>
      </c>
      <c r="B76" s="16" t="inlineStr">
        <is>
          <t>Are root causes analysed?</t>
        </is>
      </c>
      <c r="C76" s="14" t="n"/>
      <c r="D76" s="14" t="n"/>
      <c r="E76" s="14" t="n"/>
    </row>
    <row r="77">
      <c r="A77" t="n">
        <v>8</v>
      </c>
      <c r="B77" s="16" t="inlineStr">
        <is>
          <t>Are remediation actions defined?</t>
        </is>
      </c>
      <c r="C77" s="14" t="n"/>
      <c r="D77" s="14" t="n"/>
      <c r="E77" s="14" t="n"/>
    </row>
    <row r="78">
      <c r="A78" t="n">
        <v>9</v>
      </c>
      <c r="B78" s="16" t="inlineStr">
        <is>
          <t>Are remediation owners assigned?</t>
        </is>
      </c>
      <c r="C78" s="14" t="n"/>
      <c r="D78" s="14" t="n"/>
      <c r="E78" s="14" t="n"/>
    </row>
    <row r="79">
      <c r="A79" t="n">
        <v>10</v>
      </c>
      <c r="B79" s="16" t="inlineStr">
        <is>
          <t>Are target dates realistic?</t>
        </is>
      </c>
      <c r="C79" s="14" t="n"/>
      <c r="D79" s="14" t="n"/>
      <c r="E79" s="14" t="n"/>
    </row>
    <row r="80">
      <c r="A80" t="n">
        <v>11</v>
      </c>
      <c r="B80" s="16" t="inlineStr">
        <is>
          <t>Is gap closure tracked?</t>
        </is>
      </c>
      <c r="C80" s="14" t="n"/>
      <c r="D80" s="14" t="n"/>
      <c r="E80" s="14" t="n"/>
    </row>
    <row r="81">
      <c r="A81" t="n">
        <v>12</v>
      </c>
      <c r="B81" s="16" t="inlineStr">
        <is>
          <t>Are accepted risks documented?</t>
        </is>
      </c>
      <c r="C81" s="14" t="n"/>
      <c r="D81" s="14" t="n"/>
      <c r="E81" s="14" t="n"/>
    </row>
  </sheetData>
  <mergeCells count="5">
    <mergeCell ref="A2:O2"/>
    <mergeCell ref="A14:O14"/>
    <mergeCell ref="A68:E68"/>
    <mergeCell ref="A1:O1"/>
    <mergeCell ref="A4:F4"/>
  </mergeCells>
  <dataValidations count="4">
    <dataValidation sqref="C70 C71 C72 C73 C74 C75 C76 C77 C78 C79 C80 C81" showDropDown="0" showInputMessage="0" showErrorMessage="0" allowBlank="0" type="list">
      <formula1>"✅ Complete,⚠️ Partial,❌ Missing,ὌB Planned,N/A"</formula1>
    </dataValidation>
    <dataValidation sqref="D6 D7 D8 D9 D10 D11 D12 F16 F17 F18 F19 F20 F21 F22 F23 F24 F25 F26 F27 F28 F29 F30 F31 F32 F33 F34 F35 F36 F37 F38 F39 F40 F41 F42 F43 F44 F45 F46 F47 F48 F49 F50 F51 F52 F53 F54 F55 F56 F57 F58 F59 F60 F61 F62 F63 F64 F65 F66" showDropDown="0" showInputMessage="0" showErrorMessage="0" allowBlank="0" type="list">
      <formula1>"Critical,High,Medium,Low"</formula1>
    </dataValidation>
    <dataValidation sqref="B16 B17 B18 B19 B20 B21 B22 B23 B24 B25 B26 B27 B28 B29 B30 B31 B32 B33 B34 B35 B36 B37 B38 B39 B40 B41 B42 B43 B44 B45 B46 B47 B48 B49 B50 B51 B52 B53 B54 B55 B56 B57 B58 B59 B60 B61 B62 B63 B64 B65 B66" showDropDown="0" showInputMessage="0" showErrorMessage="0" allowBlank="0" type="list">
      <formula1>"Inventory Missing,Classification Missing,Ownership Missing,Masking Missing,Regulatory Unknown,Other"</formula1>
    </dataValidation>
    <dataValidation sqref="L16 L17 L18 L19 L20 L21 L22 L23 L24 L25 L26 L27 L28 L29 L30 L31 L32 L33 L34 L35 L36 L37 L38 L39 L40 L41 L42 L43 L44 L45 L46 L47 L48 L49 L50 L51 L52 L53 L54 L55 L56 L57 L58 L59 L60 L61 L62 L63 L64 L65 L66" showDropDown="0" showInputMessage="0" showErrorMessage="0" allowBlank="0" type="list">
      <formula1>"Open,In Progress,Complete,Accepted Risk"</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15" customWidth="1" min="1" max="1"/>
    <col width="20" customWidth="1" min="2" max="2"/>
    <col width="40" customWidth="1" min="3" max="3"/>
    <col width="25" customWidth="1" min="4" max="4"/>
    <col width="15" customWidth="1" min="5" max="5"/>
    <col width="20" customWidth="1" min="6" max="6"/>
    <col width="15" customWidth="1" min="7" max="7"/>
    <col width="30" customWidth="1" min="8" max="8"/>
  </cols>
  <sheetData>
    <row r="1" ht="35" customHeight="1">
      <c r="A1" s="1" t="inlineStr">
        <is>
          <t>EVIDENCE REGISTER</t>
        </is>
      </c>
    </row>
    <row r="2">
      <c r="A2" s="18" t="inlineStr">
        <is>
          <t>List all evidence files/documents referenced in this assessment (ISMS-IMP-A.8.11.1).</t>
        </is>
      </c>
    </row>
    <row r="4">
      <c r="A4" s="19" t="inlineStr">
        <is>
          <t>Evidence ID</t>
        </is>
      </c>
      <c r="B4" s="19" t="inlineStr">
        <is>
          <t>Category</t>
        </is>
      </c>
      <c r="C4" s="19" t="inlineStr">
        <is>
          <t>Description</t>
        </is>
      </c>
      <c r="D4" s="19" t="inlineStr">
        <is>
          <t>Source/Location</t>
        </is>
      </c>
      <c r="E4" s="19" t="inlineStr">
        <is>
          <t>Date Collected</t>
        </is>
      </c>
      <c r="F4" s="19" t="inlineStr">
        <is>
          <t>Collected By</t>
        </is>
      </c>
      <c r="G4" s="19" t="inlineStr">
        <is>
          <t>Status</t>
        </is>
      </c>
      <c r="H4" s="19" t="inlineStr">
        <is>
          <t>Notes</t>
        </is>
      </c>
    </row>
    <row r="5">
      <c r="A5" s="14" t="inlineStr">
        <is>
          <t>EV-001</t>
        </is>
      </c>
      <c r="B5" s="14" t="inlineStr">
        <is>
          <t>Data Discovery Report</t>
        </is>
      </c>
      <c r="C5" s="14" t="inlineStr">
        <is>
          <t>Sensitive data inventory scan results for Q1 2026</t>
        </is>
      </c>
      <c r="D5" s="14" t="inlineStr">
        <is>
          <t>/evidence/data-discovery-q1-2026.xlsx</t>
        </is>
      </c>
      <c r="E5" s="14" t="inlineStr">
        <is>
          <t>15.01.2026</t>
        </is>
      </c>
      <c r="F5" s="14" t="inlineStr">
        <is>
          <t>Data Protection Team</t>
        </is>
      </c>
      <c r="G5" s="14" t="inlineStr">
        <is>
          <t>Verified</t>
        </is>
      </c>
      <c r="H5" s="14" t="inlineStr">
        <is>
          <t>Quarterly scan covering all production databases</t>
        </is>
      </c>
    </row>
    <row r="6">
      <c r="A6" s="14" t="n"/>
      <c r="B6" s="14" t="n"/>
      <c r="C6" s="14" t="n"/>
      <c r="D6" s="14" t="n"/>
      <c r="E6" s="14" t="n"/>
      <c r="F6" s="14" t="n"/>
      <c r="G6" s="14" t="n"/>
      <c r="H6" s="14" t="n"/>
    </row>
    <row r="7">
      <c r="A7" s="14" t="n"/>
      <c r="B7" s="14" t="n"/>
      <c r="C7" s="14" t="n"/>
      <c r="D7" s="14" t="n"/>
      <c r="E7" s="14" t="n"/>
      <c r="F7" s="14" t="n"/>
      <c r="G7" s="14" t="n"/>
      <c r="H7" s="14" t="n"/>
    </row>
    <row r="8">
      <c r="A8" s="14" t="n"/>
      <c r="B8" s="14" t="n"/>
      <c r="C8" s="14" t="n"/>
      <c r="D8" s="14" t="n"/>
      <c r="E8" s="14" t="n"/>
      <c r="F8" s="14" t="n"/>
      <c r="G8" s="14" t="n"/>
      <c r="H8" s="14" t="n"/>
    </row>
    <row r="9">
      <c r="A9" s="14" t="n"/>
      <c r="B9" s="14" t="n"/>
      <c r="C9" s="14" t="n"/>
      <c r="D9" s="14" t="n"/>
      <c r="E9" s="14" t="n"/>
      <c r="F9" s="14" t="n"/>
      <c r="G9" s="14" t="n"/>
      <c r="H9" s="14" t="n"/>
    </row>
    <row r="10">
      <c r="A10" s="14" t="n"/>
      <c r="B10" s="14" t="n"/>
      <c r="C10" s="14" t="n"/>
      <c r="D10" s="14" t="n"/>
      <c r="E10" s="14" t="n"/>
      <c r="F10" s="14" t="n"/>
      <c r="G10" s="14" t="n"/>
      <c r="H10" s="14" t="n"/>
    </row>
    <row r="11">
      <c r="A11" s="14" t="n"/>
      <c r="B11" s="14" t="n"/>
      <c r="C11" s="14" t="n"/>
      <c r="D11" s="14" t="n"/>
      <c r="E11" s="14" t="n"/>
      <c r="F11" s="14" t="n"/>
      <c r="G11" s="14" t="n"/>
      <c r="H11" s="14" t="n"/>
    </row>
    <row r="12">
      <c r="A12" s="14" t="n"/>
      <c r="B12" s="14" t="n"/>
      <c r="C12" s="14" t="n"/>
      <c r="D12" s="14" t="n"/>
      <c r="E12" s="14" t="n"/>
      <c r="F12" s="14" t="n"/>
      <c r="G12" s="14" t="n"/>
      <c r="H12" s="14" t="n"/>
    </row>
    <row r="13">
      <c r="A13" s="14" t="n"/>
      <c r="B13" s="14" t="n"/>
      <c r="C13" s="14" t="n"/>
      <c r="D13" s="14" t="n"/>
      <c r="E13" s="14" t="n"/>
      <c r="F13" s="14" t="n"/>
      <c r="G13" s="14" t="n"/>
      <c r="H13" s="14" t="n"/>
    </row>
    <row r="14">
      <c r="A14" s="14" t="n"/>
      <c r="B14" s="14" t="n"/>
      <c r="C14" s="14" t="n"/>
      <c r="D14" s="14" t="n"/>
      <c r="E14" s="14" t="n"/>
      <c r="F14" s="14" t="n"/>
      <c r="G14" s="14" t="n"/>
      <c r="H14" s="14" t="n"/>
    </row>
    <row r="15">
      <c r="A15" s="14" t="n"/>
      <c r="B15" s="14" t="n"/>
      <c r="C15" s="14" t="n"/>
      <c r="D15" s="14" t="n"/>
      <c r="E15" s="14" t="n"/>
      <c r="F15" s="14" t="n"/>
      <c r="G15" s="14" t="n"/>
      <c r="H15" s="14" t="n"/>
    </row>
    <row r="16">
      <c r="A16" s="14" t="n"/>
      <c r="B16" s="14" t="n"/>
      <c r="C16" s="14" t="n"/>
      <c r="D16" s="14" t="n"/>
      <c r="E16" s="14" t="n"/>
      <c r="F16" s="14" t="n"/>
      <c r="G16" s="14" t="n"/>
      <c r="H16" s="14" t="n"/>
    </row>
    <row r="17">
      <c r="A17" s="14" t="n"/>
      <c r="B17" s="14" t="n"/>
      <c r="C17" s="14" t="n"/>
      <c r="D17" s="14" t="n"/>
      <c r="E17" s="14" t="n"/>
      <c r="F17" s="14" t="n"/>
      <c r="G17" s="14" t="n"/>
      <c r="H17" s="14" t="n"/>
    </row>
    <row r="18">
      <c r="A18" s="14" t="n"/>
      <c r="B18" s="14" t="n"/>
      <c r="C18" s="14" t="n"/>
      <c r="D18" s="14" t="n"/>
      <c r="E18" s="14" t="n"/>
      <c r="F18" s="14" t="n"/>
      <c r="G18" s="14" t="n"/>
      <c r="H18" s="14" t="n"/>
    </row>
    <row r="19">
      <c r="A19" s="14" t="n"/>
      <c r="B19" s="14" t="n"/>
      <c r="C19" s="14" t="n"/>
      <c r="D19" s="14" t="n"/>
      <c r="E19" s="14" t="n"/>
      <c r="F19" s="14" t="n"/>
      <c r="G19" s="14" t="n"/>
      <c r="H19" s="14" t="n"/>
    </row>
    <row r="20">
      <c r="A20" s="14" t="n"/>
      <c r="B20" s="14" t="n"/>
      <c r="C20" s="14" t="n"/>
      <c r="D20" s="14" t="n"/>
      <c r="E20" s="14" t="n"/>
      <c r="F20" s="14" t="n"/>
      <c r="G20" s="14" t="n"/>
      <c r="H20" s="14" t="n"/>
    </row>
    <row r="21">
      <c r="A21" s="14" t="n"/>
      <c r="B21" s="14" t="n"/>
      <c r="C21" s="14" t="n"/>
      <c r="D21" s="14" t="n"/>
      <c r="E21" s="14" t="n"/>
      <c r="F21" s="14" t="n"/>
      <c r="G21" s="14" t="n"/>
      <c r="H21" s="14" t="n"/>
    </row>
    <row r="22">
      <c r="A22" s="14" t="n"/>
      <c r="B22" s="14" t="n"/>
      <c r="C22" s="14" t="n"/>
      <c r="D22" s="14" t="n"/>
      <c r="E22" s="14" t="n"/>
      <c r="F22" s="14" t="n"/>
      <c r="G22" s="14" t="n"/>
      <c r="H22" s="14" t="n"/>
    </row>
    <row r="23">
      <c r="A23" s="14" t="n"/>
      <c r="B23" s="14" t="n"/>
      <c r="C23" s="14" t="n"/>
      <c r="D23" s="14" t="n"/>
      <c r="E23" s="14" t="n"/>
      <c r="F23" s="14" t="n"/>
      <c r="G23" s="14" t="n"/>
      <c r="H23" s="14" t="n"/>
    </row>
    <row r="24">
      <c r="A24" s="14" t="n"/>
      <c r="B24" s="14" t="n"/>
      <c r="C24" s="14" t="n"/>
      <c r="D24" s="14" t="n"/>
      <c r="E24" s="14" t="n"/>
      <c r="F24" s="14" t="n"/>
      <c r="G24" s="14" t="n"/>
      <c r="H24" s="14" t="n"/>
    </row>
    <row r="25">
      <c r="A25" s="14" t="n"/>
      <c r="B25" s="14" t="n"/>
      <c r="C25" s="14" t="n"/>
      <c r="D25" s="14" t="n"/>
      <c r="E25" s="14" t="n"/>
      <c r="F25" s="14" t="n"/>
      <c r="G25" s="14" t="n"/>
      <c r="H25" s="14" t="n"/>
    </row>
    <row r="26">
      <c r="A26" s="14" t="n"/>
      <c r="B26" s="14" t="n"/>
      <c r="C26" s="14" t="n"/>
      <c r="D26" s="14" t="n"/>
      <c r="E26" s="14" t="n"/>
      <c r="F26" s="14" t="n"/>
      <c r="G26" s="14" t="n"/>
      <c r="H26" s="14" t="n"/>
    </row>
    <row r="27">
      <c r="A27" s="14" t="n"/>
      <c r="B27" s="14" t="n"/>
      <c r="C27" s="14" t="n"/>
      <c r="D27" s="14" t="n"/>
      <c r="E27" s="14" t="n"/>
      <c r="F27" s="14" t="n"/>
      <c r="G27" s="14" t="n"/>
      <c r="H27" s="14" t="n"/>
    </row>
    <row r="28">
      <c r="A28" s="14" t="n"/>
      <c r="B28" s="14" t="n"/>
      <c r="C28" s="14" t="n"/>
      <c r="D28" s="14" t="n"/>
      <c r="E28" s="14" t="n"/>
      <c r="F28" s="14" t="n"/>
      <c r="G28" s="14" t="n"/>
      <c r="H28" s="14" t="n"/>
    </row>
    <row r="29">
      <c r="A29" s="14" t="n"/>
      <c r="B29" s="14" t="n"/>
      <c r="C29" s="14" t="n"/>
      <c r="D29" s="14" t="n"/>
      <c r="E29" s="14" t="n"/>
      <c r="F29" s="14" t="n"/>
      <c r="G29" s="14" t="n"/>
      <c r="H29" s="14" t="n"/>
    </row>
    <row r="30">
      <c r="A30" s="14" t="n"/>
      <c r="B30" s="14" t="n"/>
      <c r="C30" s="14" t="n"/>
      <c r="D30" s="14" t="n"/>
      <c r="E30" s="14" t="n"/>
      <c r="F30" s="14" t="n"/>
      <c r="G30" s="14" t="n"/>
      <c r="H30" s="14" t="n"/>
    </row>
    <row r="31">
      <c r="A31" s="14" t="n"/>
      <c r="B31" s="14" t="n"/>
      <c r="C31" s="14" t="n"/>
      <c r="D31" s="14" t="n"/>
      <c r="E31" s="14" t="n"/>
      <c r="F31" s="14" t="n"/>
      <c r="G31" s="14" t="n"/>
      <c r="H31" s="14" t="n"/>
    </row>
    <row r="32">
      <c r="A32" s="14" t="n"/>
      <c r="B32" s="14" t="n"/>
      <c r="C32" s="14" t="n"/>
      <c r="D32" s="14" t="n"/>
      <c r="E32" s="14" t="n"/>
      <c r="F32" s="14" t="n"/>
      <c r="G32" s="14" t="n"/>
      <c r="H32" s="14" t="n"/>
    </row>
    <row r="33">
      <c r="A33" s="14" t="n"/>
      <c r="B33" s="14" t="n"/>
      <c r="C33" s="14" t="n"/>
      <c r="D33" s="14" t="n"/>
      <c r="E33" s="14" t="n"/>
      <c r="F33" s="14" t="n"/>
      <c r="G33" s="14" t="n"/>
      <c r="H33" s="14" t="n"/>
    </row>
    <row r="34">
      <c r="A34" s="14" t="n"/>
      <c r="B34" s="14" t="n"/>
      <c r="C34" s="14" t="n"/>
      <c r="D34" s="14" t="n"/>
      <c r="E34" s="14" t="n"/>
      <c r="F34" s="14" t="n"/>
      <c r="G34" s="14" t="n"/>
      <c r="H34" s="14" t="n"/>
    </row>
    <row r="35">
      <c r="A35" s="14" t="n"/>
      <c r="B35" s="14" t="n"/>
      <c r="C35" s="14" t="n"/>
      <c r="D35" s="14" t="n"/>
      <c r="E35" s="14" t="n"/>
      <c r="F35" s="14" t="n"/>
      <c r="G35" s="14" t="n"/>
      <c r="H35" s="14" t="n"/>
    </row>
    <row r="36">
      <c r="A36" s="14" t="n"/>
      <c r="B36" s="14" t="n"/>
      <c r="C36" s="14" t="n"/>
      <c r="D36" s="14" t="n"/>
      <c r="E36" s="14" t="n"/>
      <c r="F36" s="14" t="n"/>
      <c r="G36" s="14" t="n"/>
      <c r="H36" s="14" t="n"/>
    </row>
    <row r="37">
      <c r="A37" s="14" t="n"/>
      <c r="B37" s="14" t="n"/>
      <c r="C37" s="14" t="n"/>
      <c r="D37" s="14" t="n"/>
      <c r="E37" s="14" t="n"/>
      <c r="F37" s="14" t="n"/>
      <c r="G37" s="14" t="n"/>
      <c r="H37" s="14" t="n"/>
    </row>
    <row r="38">
      <c r="A38" s="14" t="n"/>
      <c r="B38" s="14" t="n"/>
      <c r="C38" s="14" t="n"/>
      <c r="D38" s="14" t="n"/>
      <c r="E38" s="14" t="n"/>
      <c r="F38" s="14" t="n"/>
      <c r="G38" s="14" t="n"/>
      <c r="H38" s="14" t="n"/>
    </row>
    <row r="39">
      <c r="A39" s="14" t="n"/>
      <c r="B39" s="14" t="n"/>
      <c r="C39" s="14" t="n"/>
      <c r="D39" s="14" t="n"/>
      <c r="E39" s="14" t="n"/>
      <c r="F39" s="14" t="n"/>
      <c r="G39" s="14" t="n"/>
      <c r="H39" s="14" t="n"/>
    </row>
    <row r="40">
      <c r="A40" s="14" t="n"/>
      <c r="B40" s="14" t="n"/>
      <c r="C40" s="14" t="n"/>
      <c r="D40" s="14" t="n"/>
      <c r="E40" s="14" t="n"/>
      <c r="F40" s="14" t="n"/>
      <c r="G40" s="14" t="n"/>
      <c r="H40" s="14" t="n"/>
    </row>
    <row r="41">
      <c r="A41" s="14" t="n"/>
      <c r="B41" s="14" t="n"/>
      <c r="C41" s="14" t="n"/>
      <c r="D41" s="14" t="n"/>
      <c r="E41" s="14" t="n"/>
      <c r="F41" s="14" t="n"/>
      <c r="G41" s="14" t="n"/>
      <c r="H41" s="14" t="n"/>
    </row>
    <row r="42">
      <c r="A42" s="14" t="n"/>
      <c r="B42" s="14" t="n"/>
      <c r="C42" s="14" t="n"/>
      <c r="D42" s="14" t="n"/>
      <c r="E42" s="14" t="n"/>
      <c r="F42" s="14" t="n"/>
      <c r="G42" s="14" t="n"/>
      <c r="H42" s="14" t="n"/>
    </row>
    <row r="43">
      <c r="A43" s="14" t="n"/>
      <c r="B43" s="14" t="n"/>
      <c r="C43" s="14" t="n"/>
      <c r="D43" s="14" t="n"/>
      <c r="E43" s="14" t="n"/>
      <c r="F43" s="14" t="n"/>
      <c r="G43" s="14" t="n"/>
      <c r="H43" s="14" t="n"/>
    </row>
    <row r="44">
      <c r="A44" s="14" t="n"/>
      <c r="B44" s="14" t="n"/>
      <c r="C44" s="14" t="n"/>
      <c r="D44" s="14" t="n"/>
      <c r="E44" s="14" t="n"/>
      <c r="F44" s="14" t="n"/>
      <c r="G44" s="14" t="n"/>
      <c r="H44" s="14" t="n"/>
    </row>
    <row r="45">
      <c r="A45" s="14" t="n"/>
      <c r="B45" s="14" t="n"/>
      <c r="C45" s="14" t="n"/>
      <c r="D45" s="14" t="n"/>
      <c r="E45" s="14" t="n"/>
      <c r="F45" s="14" t="n"/>
      <c r="G45" s="14" t="n"/>
      <c r="H45" s="14" t="n"/>
    </row>
    <row r="46">
      <c r="A46" s="14" t="n"/>
      <c r="B46" s="14" t="n"/>
      <c r="C46" s="14" t="n"/>
      <c r="D46" s="14" t="n"/>
      <c r="E46" s="14" t="n"/>
      <c r="F46" s="14" t="n"/>
      <c r="G46" s="14" t="n"/>
      <c r="H46" s="14" t="n"/>
    </row>
    <row r="47">
      <c r="A47" s="14" t="n"/>
      <c r="B47" s="14" t="n"/>
      <c r="C47" s="14" t="n"/>
      <c r="D47" s="14" t="n"/>
      <c r="E47" s="14" t="n"/>
      <c r="F47" s="14" t="n"/>
      <c r="G47" s="14" t="n"/>
      <c r="H47" s="14" t="n"/>
    </row>
    <row r="48">
      <c r="A48" s="14" t="n"/>
      <c r="B48" s="14" t="n"/>
      <c r="C48" s="14" t="n"/>
      <c r="D48" s="14" t="n"/>
      <c r="E48" s="14" t="n"/>
      <c r="F48" s="14" t="n"/>
      <c r="G48" s="14" t="n"/>
      <c r="H48" s="14" t="n"/>
    </row>
    <row r="49">
      <c r="A49" s="14" t="n"/>
      <c r="B49" s="14" t="n"/>
      <c r="C49" s="14" t="n"/>
      <c r="D49" s="14" t="n"/>
      <c r="E49" s="14" t="n"/>
      <c r="F49" s="14" t="n"/>
      <c r="G49" s="14" t="n"/>
      <c r="H49" s="14" t="n"/>
    </row>
    <row r="50">
      <c r="A50" s="14" t="n"/>
      <c r="B50" s="14" t="n"/>
      <c r="C50" s="14" t="n"/>
      <c r="D50" s="14" t="n"/>
      <c r="E50" s="14" t="n"/>
      <c r="F50" s="14" t="n"/>
      <c r="G50" s="14" t="n"/>
      <c r="H50" s="14" t="n"/>
    </row>
    <row r="51">
      <c r="A51" s="14" t="n"/>
      <c r="B51" s="14" t="n"/>
      <c r="C51" s="14" t="n"/>
      <c r="D51" s="14" t="n"/>
      <c r="E51" s="14" t="n"/>
      <c r="F51" s="14" t="n"/>
      <c r="G51" s="14" t="n"/>
      <c r="H51" s="14" t="n"/>
    </row>
    <row r="52">
      <c r="A52" s="14" t="n"/>
      <c r="B52" s="14" t="n"/>
      <c r="C52" s="14" t="n"/>
      <c r="D52" s="14" t="n"/>
      <c r="E52" s="14" t="n"/>
      <c r="F52" s="14" t="n"/>
      <c r="G52" s="14" t="n"/>
      <c r="H52" s="14" t="n"/>
    </row>
    <row r="53">
      <c r="A53" s="14" t="n"/>
      <c r="B53" s="14" t="n"/>
      <c r="C53" s="14" t="n"/>
      <c r="D53" s="14" t="n"/>
      <c r="E53" s="14" t="n"/>
      <c r="F53" s="14" t="n"/>
      <c r="G53" s="14" t="n"/>
      <c r="H53" s="14" t="n"/>
    </row>
    <row r="54">
      <c r="A54" s="14" t="n"/>
      <c r="B54" s="14" t="n"/>
      <c r="C54" s="14" t="n"/>
      <c r="D54" s="14" t="n"/>
      <c r="E54" s="14" t="n"/>
      <c r="F54" s="14" t="n"/>
      <c r="G54" s="14" t="n"/>
      <c r="H54" s="14" t="n"/>
    </row>
    <row r="55">
      <c r="A55" s="14" t="n"/>
      <c r="B55" s="14" t="n"/>
      <c r="C55" s="14" t="n"/>
      <c r="D55" s="14" t="n"/>
      <c r="E55" s="14" t="n"/>
      <c r="F55" s="14" t="n"/>
      <c r="G55" s="14" t="n"/>
      <c r="H55" s="14" t="n"/>
    </row>
    <row r="56">
      <c r="A56" s="14" t="n"/>
      <c r="B56" s="14" t="n"/>
      <c r="C56" s="14" t="n"/>
      <c r="D56" s="14" t="n"/>
      <c r="E56" s="14" t="n"/>
      <c r="F56" s="14" t="n"/>
      <c r="G56" s="14" t="n"/>
      <c r="H56" s="14" t="n"/>
    </row>
    <row r="57">
      <c r="A57" s="14" t="n"/>
      <c r="B57" s="14" t="n"/>
      <c r="C57" s="14" t="n"/>
      <c r="D57" s="14" t="n"/>
      <c r="E57" s="14" t="n"/>
      <c r="F57" s="14" t="n"/>
      <c r="G57" s="14" t="n"/>
      <c r="H57" s="14" t="n"/>
    </row>
    <row r="58">
      <c r="A58" s="14" t="n"/>
      <c r="B58" s="14" t="n"/>
      <c r="C58" s="14" t="n"/>
      <c r="D58" s="14" t="n"/>
      <c r="E58" s="14" t="n"/>
      <c r="F58" s="14" t="n"/>
      <c r="G58" s="14" t="n"/>
      <c r="H58" s="14" t="n"/>
    </row>
    <row r="59">
      <c r="A59" s="14" t="n"/>
      <c r="B59" s="14" t="n"/>
      <c r="C59" s="14" t="n"/>
      <c r="D59" s="14" t="n"/>
      <c r="E59" s="14" t="n"/>
      <c r="F59" s="14" t="n"/>
      <c r="G59" s="14" t="n"/>
      <c r="H59" s="14" t="n"/>
    </row>
    <row r="60">
      <c r="A60" s="14" t="n"/>
      <c r="B60" s="14" t="n"/>
      <c r="C60" s="14" t="n"/>
      <c r="D60" s="14" t="n"/>
      <c r="E60" s="14" t="n"/>
      <c r="F60" s="14" t="n"/>
      <c r="G60" s="14" t="n"/>
      <c r="H60" s="14" t="n"/>
    </row>
    <row r="61">
      <c r="A61" s="14" t="n"/>
      <c r="B61" s="14" t="n"/>
      <c r="C61" s="14" t="n"/>
      <c r="D61" s="14" t="n"/>
      <c r="E61" s="14" t="n"/>
      <c r="F61" s="14" t="n"/>
      <c r="G61" s="14" t="n"/>
      <c r="H61" s="14" t="n"/>
    </row>
    <row r="62">
      <c r="A62" s="14" t="n"/>
      <c r="B62" s="14" t="n"/>
      <c r="C62" s="14" t="n"/>
      <c r="D62" s="14" t="n"/>
      <c r="E62" s="14" t="n"/>
      <c r="F62" s="14" t="n"/>
      <c r="G62" s="14" t="n"/>
      <c r="H62" s="14" t="n"/>
    </row>
    <row r="63">
      <c r="A63" s="14" t="n"/>
      <c r="B63" s="14" t="n"/>
      <c r="C63" s="14" t="n"/>
      <c r="D63" s="14" t="n"/>
      <c r="E63" s="14" t="n"/>
      <c r="F63" s="14" t="n"/>
      <c r="G63" s="14" t="n"/>
      <c r="H63" s="14" t="n"/>
    </row>
    <row r="64">
      <c r="A64" s="14" t="n"/>
      <c r="B64" s="14" t="n"/>
      <c r="C64" s="14" t="n"/>
      <c r="D64" s="14" t="n"/>
      <c r="E64" s="14" t="n"/>
      <c r="F64" s="14" t="n"/>
      <c r="G64" s="14" t="n"/>
      <c r="H64" s="14" t="n"/>
    </row>
    <row r="65">
      <c r="A65" s="14" t="n"/>
      <c r="B65" s="14" t="n"/>
      <c r="C65" s="14" t="n"/>
      <c r="D65" s="14" t="n"/>
      <c r="E65" s="14" t="n"/>
      <c r="F65" s="14" t="n"/>
      <c r="G65" s="14" t="n"/>
      <c r="H65" s="14" t="n"/>
    </row>
    <row r="66">
      <c r="A66" s="14" t="n"/>
      <c r="B66" s="14" t="n"/>
      <c r="C66" s="14" t="n"/>
      <c r="D66" s="14" t="n"/>
      <c r="E66" s="14" t="n"/>
      <c r="F66" s="14" t="n"/>
      <c r="G66" s="14" t="n"/>
      <c r="H66" s="14" t="n"/>
    </row>
    <row r="67">
      <c r="A67" s="14" t="n"/>
      <c r="B67" s="14" t="n"/>
      <c r="C67" s="14" t="n"/>
      <c r="D67" s="14" t="n"/>
      <c r="E67" s="14" t="n"/>
      <c r="F67" s="14" t="n"/>
      <c r="G67" s="14" t="n"/>
      <c r="H67" s="14" t="n"/>
    </row>
    <row r="68">
      <c r="A68" s="14" t="n"/>
      <c r="B68" s="14" t="n"/>
      <c r="C68" s="14" t="n"/>
      <c r="D68" s="14" t="n"/>
      <c r="E68" s="14" t="n"/>
      <c r="F68" s="14" t="n"/>
      <c r="G68" s="14" t="n"/>
      <c r="H68" s="14" t="n"/>
    </row>
    <row r="69">
      <c r="A69" s="14" t="n"/>
      <c r="B69" s="14" t="n"/>
      <c r="C69" s="14" t="n"/>
      <c r="D69" s="14" t="n"/>
      <c r="E69" s="14" t="n"/>
      <c r="F69" s="14" t="n"/>
      <c r="G69" s="14" t="n"/>
      <c r="H69" s="14" t="n"/>
    </row>
    <row r="70">
      <c r="A70" s="14" t="n"/>
      <c r="B70" s="14" t="n"/>
      <c r="C70" s="14" t="n"/>
      <c r="D70" s="14" t="n"/>
      <c r="E70" s="14" t="n"/>
      <c r="F70" s="14" t="n"/>
      <c r="G70" s="14" t="n"/>
      <c r="H70" s="14" t="n"/>
    </row>
    <row r="71">
      <c r="A71" s="14" t="n"/>
      <c r="B71" s="14" t="n"/>
      <c r="C71" s="14" t="n"/>
      <c r="D71" s="14" t="n"/>
      <c r="E71" s="14" t="n"/>
      <c r="F71" s="14" t="n"/>
      <c r="G71" s="14" t="n"/>
      <c r="H71" s="14" t="n"/>
    </row>
    <row r="72">
      <c r="A72" s="14" t="n"/>
      <c r="B72" s="14" t="n"/>
      <c r="C72" s="14" t="n"/>
      <c r="D72" s="14" t="n"/>
      <c r="E72" s="14" t="n"/>
      <c r="F72" s="14" t="n"/>
      <c r="G72" s="14" t="n"/>
      <c r="H72" s="14" t="n"/>
    </row>
    <row r="73">
      <c r="A73" s="14" t="n"/>
      <c r="B73" s="14" t="n"/>
      <c r="C73" s="14" t="n"/>
      <c r="D73" s="14" t="n"/>
      <c r="E73" s="14" t="n"/>
      <c r="F73" s="14" t="n"/>
      <c r="G73" s="14" t="n"/>
      <c r="H73" s="14" t="n"/>
    </row>
    <row r="74">
      <c r="A74" s="14" t="n"/>
      <c r="B74" s="14" t="n"/>
      <c r="C74" s="14" t="n"/>
      <c r="D74" s="14" t="n"/>
      <c r="E74" s="14" t="n"/>
      <c r="F74" s="14" t="n"/>
      <c r="G74" s="14" t="n"/>
      <c r="H74" s="14" t="n"/>
    </row>
    <row r="75">
      <c r="A75" s="14" t="n"/>
      <c r="B75" s="14" t="n"/>
      <c r="C75" s="14" t="n"/>
      <c r="D75" s="14" t="n"/>
      <c r="E75" s="14" t="n"/>
      <c r="F75" s="14" t="n"/>
      <c r="G75" s="14" t="n"/>
      <c r="H75" s="14" t="n"/>
    </row>
    <row r="76">
      <c r="A76" s="14" t="n"/>
      <c r="B76" s="14" t="n"/>
      <c r="C76" s="14" t="n"/>
      <c r="D76" s="14" t="n"/>
      <c r="E76" s="14" t="n"/>
      <c r="F76" s="14" t="n"/>
      <c r="G76" s="14" t="n"/>
      <c r="H76" s="14" t="n"/>
    </row>
    <row r="77">
      <c r="A77" s="14" t="n"/>
      <c r="B77" s="14" t="n"/>
      <c r="C77" s="14" t="n"/>
      <c r="D77" s="14" t="n"/>
      <c r="E77" s="14" t="n"/>
      <c r="F77" s="14" t="n"/>
      <c r="G77" s="14" t="n"/>
      <c r="H77" s="14" t="n"/>
    </row>
    <row r="78">
      <c r="A78" s="14" t="n"/>
      <c r="B78" s="14" t="n"/>
      <c r="C78" s="14" t="n"/>
      <c r="D78" s="14" t="n"/>
      <c r="E78" s="14" t="n"/>
      <c r="F78" s="14" t="n"/>
      <c r="G78" s="14" t="n"/>
      <c r="H78" s="14" t="n"/>
    </row>
    <row r="79">
      <c r="A79" s="14" t="n"/>
      <c r="B79" s="14" t="n"/>
      <c r="C79" s="14" t="n"/>
      <c r="D79" s="14" t="n"/>
      <c r="E79" s="14" t="n"/>
      <c r="F79" s="14" t="n"/>
      <c r="G79" s="14" t="n"/>
      <c r="H79" s="14" t="n"/>
    </row>
    <row r="80">
      <c r="A80" s="14" t="n"/>
      <c r="B80" s="14" t="n"/>
      <c r="C80" s="14" t="n"/>
      <c r="D80" s="14" t="n"/>
      <c r="E80" s="14" t="n"/>
      <c r="F80" s="14" t="n"/>
      <c r="G80" s="14" t="n"/>
      <c r="H80" s="14" t="n"/>
    </row>
    <row r="81">
      <c r="A81" s="14" t="n"/>
      <c r="B81" s="14" t="n"/>
      <c r="C81" s="14" t="n"/>
      <c r="D81" s="14" t="n"/>
      <c r="E81" s="14" t="n"/>
      <c r="F81" s="14" t="n"/>
      <c r="G81" s="14" t="n"/>
      <c r="H81" s="14" t="n"/>
    </row>
    <row r="82">
      <c r="A82" s="14" t="n"/>
      <c r="B82" s="14" t="n"/>
      <c r="C82" s="14" t="n"/>
      <c r="D82" s="14" t="n"/>
      <c r="E82" s="14" t="n"/>
      <c r="F82" s="14" t="n"/>
      <c r="G82" s="14" t="n"/>
      <c r="H82" s="14" t="n"/>
    </row>
    <row r="83">
      <c r="A83" s="14" t="n"/>
      <c r="B83" s="14" t="n"/>
      <c r="C83" s="14" t="n"/>
      <c r="D83" s="14" t="n"/>
      <c r="E83" s="14" t="n"/>
      <c r="F83" s="14" t="n"/>
      <c r="G83" s="14" t="n"/>
      <c r="H83" s="14" t="n"/>
    </row>
    <row r="84">
      <c r="A84" s="14" t="n"/>
      <c r="B84" s="14" t="n"/>
      <c r="C84" s="14" t="n"/>
      <c r="D84" s="14" t="n"/>
      <c r="E84" s="14" t="n"/>
      <c r="F84" s="14" t="n"/>
      <c r="G84" s="14" t="n"/>
      <c r="H84" s="14" t="n"/>
    </row>
    <row r="85">
      <c r="A85" s="14" t="n"/>
      <c r="B85" s="14" t="n"/>
      <c r="C85" s="14" t="n"/>
      <c r="D85" s="14" t="n"/>
      <c r="E85" s="14" t="n"/>
      <c r="F85" s="14" t="n"/>
      <c r="G85" s="14" t="n"/>
      <c r="H85" s="14" t="n"/>
    </row>
    <row r="86">
      <c r="A86" s="14" t="n"/>
      <c r="B86" s="14" t="n"/>
      <c r="C86" s="14" t="n"/>
      <c r="D86" s="14" t="n"/>
      <c r="E86" s="14" t="n"/>
      <c r="F86" s="14" t="n"/>
      <c r="G86" s="14" t="n"/>
      <c r="H86" s="14" t="n"/>
    </row>
    <row r="87">
      <c r="A87" s="14" t="n"/>
      <c r="B87" s="14" t="n"/>
      <c r="C87" s="14" t="n"/>
      <c r="D87" s="14" t="n"/>
      <c r="E87" s="14" t="n"/>
      <c r="F87" s="14" t="n"/>
      <c r="G87" s="14" t="n"/>
      <c r="H87" s="14" t="n"/>
    </row>
    <row r="88">
      <c r="A88" s="14" t="n"/>
      <c r="B88" s="14" t="n"/>
      <c r="C88" s="14" t="n"/>
      <c r="D88" s="14" t="n"/>
      <c r="E88" s="14" t="n"/>
      <c r="F88" s="14" t="n"/>
      <c r="G88" s="14" t="n"/>
      <c r="H88" s="14" t="n"/>
    </row>
    <row r="89">
      <c r="A89" s="14" t="n"/>
      <c r="B89" s="14" t="n"/>
      <c r="C89" s="14" t="n"/>
      <c r="D89" s="14" t="n"/>
      <c r="E89" s="14" t="n"/>
      <c r="F89" s="14" t="n"/>
      <c r="G89" s="14" t="n"/>
      <c r="H89" s="14" t="n"/>
    </row>
    <row r="90">
      <c r="A90" s="14" t="n"/>
      <c r="B90" s="14" t="n"/>
      <c r="C90" s="14" t="n"/>
      <c r="D90" s="14" t="n"/>
      <c r="E90" s="14" t="n"/>
      <c r="F90" s="14" t="n"/>
      <c r="G90" s="14" t="n"/>
      <c r="H90" s="14" t="n"/>
    </row>
    <row r="91">
      <c r="A91" s="14" t="n"/>
      <c r="B91" s="14" t="n"/>
      <c r="C91" s="14" t="n"/>
      <c r="D91" s="14" t="n"/>
      <c r="E91" s="14" t="n"/>
      <c r="F91" s="14" t="n"/>
      <c r="G91" s="14" t="n"/>
      <c r="H91" s="14" t="n"/>
    </row>
    <row r="92">
      <c r="A92" s="14" t="n"/>
      <c r="B92" s="14" t="n"/>
      <c r="C92" s="14" t="n"/>
      <c r="D92" s="14" t="n"/>
      <c r="E92" s="14" t="n"/>
      <c r="F92" s="14" t="n"/>
      <c r="G92" s="14" t="n"/>
      <c r="H92" s="14" t="n"/>
    </row>
    <row r="93">
      <c r="A93" s="14" t="n"/>
      <c r="B93" s="14" t="n"/>
      <c r="C93" s="14" t="n"/>
      <c r="D93" s="14" t="n"/>
      <c r="E93" s="14" t="n"/>
      <c r="F93" s="14" t="n"/>
      <c r="G93" s="14" t="n"/>
      <c r="H93" s="14" t="n"/>
    </row>
    <row r="94">
      <c r="A94" s="14" t="n"/>
      <c r="B94" s="14" t="n"/>
      <c r="C94" s="14" t="n"/>
      <c r="D94" s="14" t="n"/>
      <c r="E94" s="14" t="n"/>
      <c r="F94" s="14" t="n"/>
      <c r="G94" s="14" t="n"/>
      <c r="H94" s="14" t="n"/>
    </row>
    <row r="95">
      <c r="A95" s="14" t="n"/>
      <c r="B95" s="14" t="n"/>
      <c r="C95" s="14" t="n"/>
      <c r="D95" s="14" t="n"/>
      <c r="E95" s="14" t="n"/>
      <c r="F95" s="14" t="n"/>
      <c r="G95" s="14" t="n"/>
      <c r="H95" s="14" t="n"/>
    </row>
    <row r="96">
      <c r="A96" s="14" t="n"/>
      <c r="B96" s="14" t="n"/>
      <c r="C96" s="14" t="n"/>
      <c r="D96" s="14" t="n"/>
      <c r="E96" s="14" t="n"/>
      <c r="F96" s="14" t="n"/>
      <c r="G96" s="14" t="n"/>
      <c r="H96" s="14" t="n"/>
    </row>
    <row r="97">
      <c r="A97" s="14" t="n"/>
      <c r="B97" s="14" t="n"/>
      <c r="C97" s="14" t="n"/>
      <c r="D97" s="14" t="n"/>
      <c r="E97" s="14" t="n"/>
      <c r="F97" s="14" t="n"/>
      <c r="G97" s="14" t="n"/>
      <c r="H97" s="14" t="n"/>
    </row>
    <row r="98">
      <c r="A98" s="14" t="n"/>
      <c r="B98" s="14" t="n"/>
      <c r="C98" s="14" t="n"/>
      <c r="D98" s="14" t="n"/>
      <c r="E98" s="14" t="n"/>
      <c r="F98" s="14" t="n"/>
      <c r="G98" s="14" t="n"/>
      <c r="H98" s="14" t="n"/>
    </row>
    <row r="99">
      <c r="A99" s="14" t="n"/>
      <c r="B99" s="14" t="n"/>
      <c r="C99" s="14" t="n"/>
      <c r="D99" s="14" t="n"/>
      <c r="E99" s="14" t="n"/>
      <c r="F99" s="14" t="n"/>
      <c r="G99" s="14" t="n"/>
      <c r="H99" s="14" t="n"/>
    </row>
    <row r="100">
      <c r="A100" s="14" t="n"/>
      <c r="B100" s="14" t="n"/>
      <c r="C100" s="14" t="n"/>
      <c r="D100" s="14" t="n"/>
      <c r="E100" s="14" t="n"/>
      <c r="F100" s="14" t="n"/>
      <c r="G100" s="14" t="n"/>
      <c r="H100" s="14" t="n"/>
    </row>
    <row r="101">
      <c r="A101" s="14" t="n"/>
      <c r="B101" s="14" t="n"/>
      <c r="C101" s="14" t="n"/>
      <c r="D101" s="14" t="n"/>
      <c r="E101" s="14" t="n"/>
      <c r="F101" s="14" t="n"/>
      <c r="G101" s="14" t="n"/>
      <c r="H101" s="14" t="n"/>
    </row>
    <row r="102">
      <c r="A102" s="14" t="n"/>
      <c r="B102" s="14" t="n"/>
      <c r="C102" s="14" t="n"/>
      <c r="D102" s="14" t="n"/>
      <c r="E102" s="14" t="n"/>
      <c r="F102" s="14" t="n"/>
      <c r="G102" s="14" t="n"/>
      <c r="H102" s="14" t="n"/>
    </row>
    <row r="103">
      <c r="A103" s="14" t="n"/>
      <c r="B103" s="14" t="n"/>
      <c r="C103" s="14" t="n"/>
      <c r="D103" s="14" t="n"/>
      <c r="E103" s="14" t="n"/>
      <c r="F103" s="14" t="n"/>
      <c r="G103" s="14" t="n"/>
      <c r="H103" s="14" t="n"/>
    </row>
    <row r="104">
      <c r="A104" s="14" t="n"/>
      <c r="B104" s="14" t="n"/>
      <c r="C104" s="14" t="n"/>
      <c r="D104" s="14" t="n"/>
      <c r="E104" s="14" t="n"/>
      <c r="F104" s="14" t="n"/>
      <c r="G104" s="14" t="n"/>
      <c r="H104" s="14" t="n"/>
    </row>
  </sheetData>
  <mergeCells count="2">
    <mergeCell ref="A2:H2"/>
    <mergeCell ref="A1:H1"/>
  </mergeCells>
  <dataValidations count="2">
    <dataValidation sqref="B5:B104" showDropDown="0" showInputMessage="0" showErrorMessage="0" allowBlank="1" type="list">
      <formula1>"Data Discovery Report,Schema Documentation,DPIA,Data Flow Diagram,Classification Review,RACI Matrix,Meeting Minutes,Approval Email,Tool Report,Other"</formula1>
    </dataValidation>
    <dataValidation sqref="G5:G104" showDropDown="0" showInputMessage="0" showErrorMessage="0" allowBlank="1" type="list">
      <formula1>"Verified,Pending verification,Not verified,Requires update"</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40" customWidth="1" min="1" max="1"/>
    <col width="15" customWidth="1" min="2" max="2"/>
    <col width="12" customWidth="1" min="3" max="3"/>
    <col width="12" customWidth="1" min="4" max="4"/>
    <col width="12" customWidth="1" min="5" max="5"/>
    <col width="12" customWidth="1" min="6" max="6"/>
    <col width="15" customWidth="1" min="7" max="7"/>
  </cols>
  <sheetData>
    <row r="1" ht="35" customHeight="1">
      <c r="A1" s="1" t="inlineStr">
        <is>
          <t>Data Inventory &amp; Classification Assessment — SUMMARY DASHBOARD</t>
        </is>
      </c>
    </row>
    <row r="2">
      <c r="A2" s="20" t="inlineStr">
        <is>
          <t>Summary Dashboard  |  Data Inventory &amp; Classification Assessment  |  Generated: 07.03.2026</t>
        </is>
      </c>
    </row>
    <row r="4">
      <c r="A4" s="21" t="inlineStr">
        <is>
          <t>TABLE 1 – COMPLIANCE ASSESSMENT SUMMARY</t>
        </is>
      </c>
    </row>
    <row r="5">
      <c r="A5" s="5" t="inlineStr">
        <is>
          <t>Assessment Area</t>
        </is>
      </c>
      <c r="B5" s="5" t="inlineStr">
        <is>
          <t>Total Items</t>
        </is>
      </c>
      <c r="C5" s="5" t="inlineStr">
        <is>
          <t>Compliant</t>
        </is>
      </c>
      <c r="D5" s="5" t="inlineStr">
        <is>
          <t>Partial</t>
        </is>
      </c>
      <c r="E5" s="5" t="inlineStr">
        <is>
          <t>Non-Compliant</t>
        </is>
      </c>
      <c r="F5" s="5" t="inlineStr">
        <is>
          <t>N/A</t>
        </is>
      </c>
      <c r="G5" s="5" t="inlineStr">
        <is>
          <t>Compliance %</t>
        </is>
      </c>
    </row>
    <row r="6">
      <c r="A6" s="22" t="inlineStr">
        <is>
          <t>Sensitive Data Inventory</t>
        </is>
      </c>
      <c r="B6" s="23">
        <f>COUNTA('Sensitive Data Inventory'!B8:B100)</f>
        <v/>
      </c>
      <c r="C6" s="23">
        <f>COUNTIF('Sensitive Data Inventory'!M8:M100,"Masked")+COUNTIF('Sensitive Data Inventory'!M8:M100,"Encrypted")</f>
        <v/>
      </c>
      <c r="D6" s="23">
        <f>COUNTIF('Sensitive Data Inventory'!M8:M100,"Partially Masked")</f>
        <v/>
      </c>
      <c r="E6" s="23">
        <f>COUNTIF('Sensitive Data Inventory'!M8:M100,"Not Masked")</f>
        <v/>
      </c>
      <c r="F6" s="23">
        <f>COUNTIF('Sensitive Data Inventory'!M8:M100,"Planned")</f>
        <v/>
      </c>
      <c r="G6" s="24">
        <f>IF((B6-F6)=0,0,C6/(B6-F6))</f>
        <v/>
      </c>
    </row>
    <row r="7">
      <c r="A7" s="22" t="inlineStr">
        <is>
          <t>System Inventory</t>
        </is>
      </c>
      <c r="B7" s="23">
        <f>COUNTA('System Inventory'!B8:B100)</f>
        <v/>
      </c>
      <c r="C7" s="23">
        <f>COUNTIF('System Inventory'!J8:J100,"✅ Complete")</f>
        <v/>
      </c>
      <c r="D7" s="23">
        <f>COUNTIF('System Inventory'!J8:J100,"⚠️ Partial")</f>
        <v/>
      </c>
      <c r="E7" s="23">
        <f>COUNTIF('System Inventory'!J8:J100,"❌ Missing")</f>
        <v/>
      </c>
      <c r="F7" s="23">
        <f>COUNTIF('System Inventory'!J8:J100,"N/A")</f>
        <v/>
      </c>
      <c r="G7" s="24">
        <f>IF((B7-F7)=0,0,C7/(B7-F7))</f>
        <v/>
      </c>
    </row>
    <row r="8">
      <c r="A8" s="22" t="inlineStr">
        <is>
          <t>Classification Matrix</t>
        </is>
      </c>
      <c r="B8" s="23">
        <f>COUNTA('Classification Matrix'!B17:B100)</f>
        <v/>
      </c>
      <c r="C8" s="23">
        <f>COUNTA('Classification Matrix'!F17:F100)</f>
        <v/>
      </c>
      <c r="D8" s="23">
        <f>0</f>
        <v/>
      </c>
      <c r="E8" s="23">
        <f>0</f>
        <v/>
      </c>
      <c r="F8" s="23">
        <f>0</f>
        <v/>
      </c>
      <c r="G8" s="24">
        <f>IF((B8-F8)=0,0,C8/(B8-F8))</f>
        <v/>
      </c>
    </row>
    <row r="9">
      <c r="A9" s="22" t="inlineStr">
        <is>
          <t>Masking Priority Matrix</t>
        </is>
      </c>
      <c r="B9" s="23">
        <f>COUNTA('Masking Priority Matrix'!B16:B100)</f>
        <v/>
      </c>
      <c r="C9" s="23">
        <f>COUNTIF('Masking Priority Matrix'!N16:N100,"Complete")</f>
        <v/>
      </c>
      <c r="D9" s="23">
        <f>COUNTIF('Masking Priority Matrix'!N16:N100,"In Progress")</f>
        <v/>
      </c>
      <c r="E9" s="23">
        <f>COUNTIF('Masking Priority Matrix'!N16:N100,"Not Started")+COUNTIF('Masking Priority Matrix'!N16:N100,"Blocked")</f>
        <v/>
      </c>
      <c r="F9" s="23">
        <f>0</f>
        <v/>
      </c>
      <c r="G9" s="24">
        <f>IF((B9-F9)=0,0,C9/(B9-F9))</f>
        <v/>
      </c>
    </row>
    <row r="10">
      <c r="A10" s="22" t="inlineStr">
        <is>
          <t>Gap Analysis</t>
        </is>
      </c>
      <c r="B10" s="23">
        <f>COUNTA('Gap Analysis'!B17:B100)</f>
        <v/>
      </c>
      <c r="C10" s="23">
        <f>COUNTIF('Gap Analysis'!L17:L100,"Complete")+COUNTIF('Gap Analysis'!L17:L100,"Accepted Risk")</f>
        <v/>
      </c>
      <c r="D10" s="23">
        <f>COUNTIF('Gap Analysis'!L17:L100,"In Progress")</f>
        <v/>
      </c>
      <c r="E10" s="23">
        <f>COUNTIF('Gap Analysis'!L17:L100,"Open")</f>
        <v/>
      </c>
      <c r="F10" s="23">
        <f>0</f>
        <v/>
      </c>
      <c r="G10" s="24">
        <f>IF((B10-F10)=0,0,C10/(B10-F10))</f>
        <v/>
      </c>
    </row>
    <row r="11">
      <c r="A11" s="25" t="inlineStr">
        <is>
          <t>TOTAL</t>
        </is>
      </c>
      <c r="B11" s="26">
        <f>SUM(B6:B10)</f>
        <v/>
      </c>
      <c r="C11" s="26">
        <f>SUM(C6:C10)</f>
        <v/>
      </c>
      <c r="D11" s="26">
        <f>SUM(D6:D10)</f>
        <v/>
      </c>
      <c r="E11" s="26">
        <f>SUM(E6:E10)</f>
        <v/>
      </c>
      <c r="F11" s="26">
        <f>SUM(F6:F10)</f>
        <v/>
      </c>
      <c r="G11" s="27">
        <f>IF((B11-F11)=0,0,C11/(B11-F11))</f>
        <v/>
      </c>
    </row>
    <row r="13">
      <c r="A13" s="21" t="inlineStr">
        <is>
          <t>TABLE 2 – KEY METRICS</t>
        </is>
      </c>
    </row>
    <row r="14">
      <c r="A14" s="5" t="inlineStr">
        <is>
          <t>Metric</t>
        </is>
      </c>
      <c r="B14" s="5" t="inlineStr">
        <is>
          <t>Value</t>
        </is>
      </c>
      <c r="C14" s="5" t="inlineStr">
        <is>
          <t>Target</t>
        </is>
      </c>
    </row>
    <row r="15">
      <c r="A15" s="28" t="inlineStr">
        <is>
          <t>Sensitive Data Fields Masked (%)</t>
        </is>
      </c>
      <c r="B15" s="29">
        <f>IF(COUNTA('Sensitive Data Inventory'!M8:M100)=0,"N/A",TEXT((COUNTIF('Sensitive Data Inventory'!M8:M100,"Masked")+COUNTIF('Sensitive Data Inventory'!M8:M100,"Encrypted"))/COUNTA('Sensitive Data Inventory'!M8:M100),"0.0%"))</f>
        <v/>
      </c>
      <c r="C15" s="29" t="inlineStr">
        <is>
          <t>100%</t>
        </is>
      </c>
    </row>
    <row r="16">
      <c r="A16" s="28" t="inlineStr">
        <is>
          <t>Systems Fully Inventoried (%)</t>
        </is>
      </c>
      <c r="B16" s="29">
        <f>IF(COUNTA('System Inventory'!J8:J100)=0,"N/A",TEXT(COUNTIF('System Inventory'!J8:J100,"✅ Complete")/COUNTA('System Inventory'!J8:J100),"0.0%"))</f>
        <v/>
      </c>
      <c r="C16" s="29" t="inlineStr">
        <is>
          <t>100%</t>
        </is>
      </c>
    </row>
    <row r="17">
      <c r="A17" s="28" t="inlineStr">
        <is>
          <t>Data Fields Classified (%)</t>
        </is>
      </c>
      <c r="B17" s="29">
        <f>IF(COUNTA('Classification Matrix'!A17:A100)=0,"N/A",TEXT(COUNTA('Classification Matrix'!F17:F100)/COUNTA('Classification Matrix'!A17:A100),"0.0%"))</f>
        <v/>
      </c>
      <c r="C17" s="29" t="inlineStr">
        <is>
          <t>100%</t>
        </is>
      </c>
    </row>
    <row r="18">
      <c r="A18" s="28" t="inlineStr">
        <is>
          <t>P1 Gaps Remediated (%)</t>
        </is>
      </c>
      <c r="B18" s="29">
        <f>IF(COUNTA('Gap Analysis'!A17:A100)=0,"N/A",TEXT((COUNTIF('Gap Analysis'!L17:L100,"Complete")+COUNTIF('Gap Analysis'!L17:L100,"Accepted Risk"))/COUNTA('Gap Analysis'!A17:A100),"0.0%"))</f>
        <v/>
      </c>
      <c r="C18" s="29" t="inlineStr">
        <is>
          <t>100%</t>
        </is>
      </c>
    </row>
    <row r="19">
      <c r="A19" s="28" t="inlineStr">
        <is>
          <t>Open Critical Gaps (Count)</t>
        </is>
      </c>
      <c r="B19" s="29">
        <f>COUNTIF('Gap Analysis'!L17:L100,"Open")</f>
        <v/>
      </c>
      <c r="C19" s="29" t="inlineStr">
        <is>
          <t>0</t>
        </is>
      </c>
    </row>
    <row r="20">
      <c r="A20" s="28" t="inlineStr">
        <is>
          <t>Masking Implementation Complete (%)</t>
        </is>
      </c>
      <c r="B20" s="29">
        <f>IF(COUNTA('Masking Priority Matrix'!N16:N100)=0,"N/A",TEXT(COUNTIF('Masking Priority Matrix'!N16:N100,"Complete")/COUNTA('Masking Priority Matrix'!N16:N100),"0.0%"))</f>
        <v/>
      </c>
      <c r="C20" s="29" t="inlineStr">
        <is>
          <t>100%</t>
        </is>
      </c>
    </row>
    <row r="22">
      <c r="A22" s="30" t="inlineStr">
        <is>
          <t>TABLE 3 – KEY FINDINGS &amp; RECOMMENDATIONS</t>
        </is>
      </c>
    </row>
    <row r="23">
      <c r="A23" s="5" t="inlineStr">
        <is>
          <t>#</t>
        </is>
      </c>
      <c r="B23" s="5" t="inlineStr">
        <is>
          <t>Finding</t>
        </is>
      </c>
      <c r="C23" s="5" t="inlineStr">
        <is>
          <t>Impact</t>
        </is>
      </c>
      <c r="D23" s="5" t="inlineStr">
        <is>
          <t>Recommendation</t>
        </is>
      </c>
      <c r="E23" s="5" t="inlineStr">
        <is>
          <t>Priority</t>
        </is>
      </c>
      <c r="F23" s="5" t="inlineStr">
        <is>
          <t>Status</t>
        </is>
      </c>
      <c r="G23" s="5" t="inlineStr">
        <is>
          <t>Notes</t>
        </is>
      </c>
    </row>
    <row r="24">
      <c r="A24" s="31" t="inlineStr">
        <is>
          <t>1</t>
        </is>
      </c>
      <c r="B24" s="31" t="inlineStr">
        <is>
          <t>Sensitive data fields not yet masked in non-production environments</t>
        </is>
      </c>
      <c r="C24" s="31" t="inlineStr">
        <is>
          <t>High — GDPR/FADP non-compliance risk</t>
        </is>
      </c>
      <c r="D24" s="31" t="inlineStr">
        <is>
          <t>Implement Static Data Masking (SDM) in all non-production data refresh pipelines</t>
        </is>
      </c>
      <c r="E24" s="31" t="inlineStr">
        <is>
          <t>P1</t>
        </is>
      </c>
      <c r="F24" s="31" t="inlineStr">
        <is>
          <t>Open</t>
        </is>
      </c>
      <c r="G24" s="31" t="inlineStr"/>
    </row>
    <row r="25">
      <c r="A25" s="31" t="inlineStr">
        <is>
          <t>2</t>
        </is>
      </c>
      <c r="B25" s="31" t="inlineStr">
        <is>
          <t>Data classification incomplete for some systems</t>
        </is>
      </c>
      <c r="C25" s="31" t="inlineStr">
        <is>
          <t>Medium — masking priorities cannot be set without classification</t>
        </is>
      </c>
      <c r="D25" s="31" t="inlineStr">
        <is>
          <t>Complete classification matrix for all inventoried systems; assign data owners</t>
        </is>
      </c>
      <c r="E25" s="31" t="inlineStr">
        <is>
          <t>P2</t>
        </is>
      </c>
      <c r="F25" s="31" t="inlineStr">
        <is>
          <t>In Progress</t>
        </is>
      </c>
      <c r="G25" s="31" t="inlineStr"/>
    </row>
    <row r="26">
      <c r="A26" s="31" t="inlineStr">
        <is>
          <t>3</t>
        </is>
      </c>
      <c r="B26" s="31" t="inlineStr">
        <is>
          <t>Data owner assignments missing for several systems</t>
        </is>
      </c>
      <c r="C26" s="31" t="inlineStr">
        <is>
          <t>Medium — accountability gap; masking decisions require owner approval</t>
        </is>
      </c>
      <c r="D26" s="31" t="inlineStr">
        <is>
          <t>Conduct data ownership workshops; RACI matrix to be approved by CISO</t>
        </is>
      </c>
      <c r="E26" s="31" t="inlineStr">
        <is>
          <t>P2</t>
        </is>
      </c>
      <c r="F26" s="31" t="inlineStr">
        <is>
          <t>Open</t>
        </is>
      </c>
      <c r="G26" s="31" t="inlineStr"/>
    </row>
    <row r="27">
      <c r="A27" s="31" t="inlineStr">
        <is>
          <t>4</t>
        </is>
      </c>
      <c r="B27" s="31" t="inlineStr">
        <is>
          <t>Gap analysis items not all remediated</t>
        </is>
      </c>
      <c r="C27" s="31" t="inlineStr">
        <is>
          <t>Medium — open gaps indicate unprotected sensitive data</t>
        </is>
      </c>
      <c r="D27" s="31" t="inlineStr">
        <is>
          <t>Prioritise P1 gaps; establish 30/60/90 day remediation milestones</t>
        </is>
      </c>
      <c r="E27" s="31" t="inlineStr">
        <is>
          <t>P2</t>
        </is>
      </c>
      <c r="F27" s="31" t="inlineStr">
        <is>
          <t>In Progress</t>
        </is>
      </c>
      <c r="G27" s="31" t="inlineStr"/>
    </row>
  </sheetData>
  <mergeCells count="5">
    <mergeCell ref="A13:G13"/>
    <mergeCell ref="A1:G1"/>
    <mergeCell ref="A22:G22"/>
    <mergeCell ref="A4:G4"/>
    <mergeCell ref="A2:G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9"/>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2" t="inlineStr">
        <is>
          <t>ASSESSMENT APPROVAL AND SIGN-OFF</t>
        </is>
      </c>
    </row>
    <row r="3">
      <c r="A3" s="33" t="inlineStr">
        <is>
          <t>ASSESSMENT SUMMARY</t>
        </is>
      </c>
    </row>
    <row r="4">
      <c r="A4" s="3" t="inlineStr">
        <is>
          <t>Document:</t>
        </is>
      </c>
      <c r="B4" s="6" t="inlineStr">
        <is>
          <t>ISMS-IMP-A.8.11.1 - Data Inventory &amp; Classification Assessment</t>
        </is>
      </c>
    </row>
    <row r="5">
      <c r="A5" s="3" t="inlineStr">
        <is>
          <t>Assessment Period:</t>
        </is>
      </c>
      <c r="B5" s="4" t="inlineStr"/>
    </row>
    <row r="6">
      <c r="A6" s="3" t="inlineStr">
        <is>
          <t>Overall Compliance:</t>
        </is>
      </c>
      <c r="B6" s="34">
        <f>IFERROR(AVERAGE('Summary Dashboard'!G6:G10),"")</f>
        <v/>
      </c>
    </row>
    <row r="7">
      <c r="A7" s="3" t="inlineStr">
        <is>
          <t>Assessment Status:</t>
        </is>
      </c>
      <c r="B7" s="4" t="inlineStr"/>
    </row>
    <row r="10">
      <c r="A10" s="33" t="inlineStr">
        <is>
          <t>PREPARED BY (DATA GOVERNANCE)</t>
        </is>
      </c>
    </row>
    <row r="11">
      <c r="A11" s="3" t="inlineStr">
        <is>
          <t>Name:</t>
        </is>
      </c>
      <c r="B11" s="4" t="n"/>
    </row>
    <row r="12">
      <c r="A12" s="3" t="inlineStr">
        <is>
          <t>Title:</t>
        </is>
      </c>
      <c r="B12" s="4" t="n"/>
    </row>
    <row r="13">
      <c r="A13" s="3" t="inlineStr">
        <is>
          <t>Date:</t>
        </is>
      </c>
      <c r="B13" s="4" t="n"/>
    </row>
    <row r="14">
      <c r="A14" s="3" t="inlineStr">
        <is>
          <t>Signature:</t>
        </is>
      </c>
      <c r="B14" s="4" t="n"/>
    </row>
    <row r="15">
      <c r="A15" s="3" t="inlineStr">
        <is>
          <t>Comments:</t>
        </is>
      </c>
      <c r="B15" s="4" t="n"/>
    </row>
    <row r="17">
      <c r="A17" s="33" t="inlineStr">
        <is>
          <t>REVIEWED BY (DPO / ISO)</t>
        </is>
      </c>
    </row>
    <row r="18">
      <c r="A18" s="3" t="inlineStr">
        <is>
          <t>Name:</t>
        </is>
      </c>
      <c r="B18" s="4" t="n"/>
    </row>
    <row r="19">
      <c r="A19" s="3" t="inlineStr">
        <is>
          <t>Title:</t>
        </is>
      </c>
      <c r="B19" s="4" t="n"/>
    </row>
    <row r="20">
      <c r="A20" s="3" t="inlineStr">
        <is>
          <t>Date:</t>
        </is>
      </c>
      <c r="B20" s="4" t="n"/>
    </row>
    <row r="21">
      <c r="A21" s="3" t="inlineStr">
        <is>
          <t>Signature:</t>
        </is>
      </c>
      <c r="B21" s="4" t="n"/>
    </row>
    <row r="22">
      <c r="A22" s="3" t="inlineStr">
        <is>
          <t>Comments:</t>
        </is>
      </c>
      <c r="B22" s="4" t="n"/>
    </row>
    <row r="24">
      <c r="A24" s="35" t="inlineStr">
        <is>
          <t>APPROVED BY (CISO)</t>
        </is>
      </c>
    </row>
    <row r="25">
      <c r="A25" s="3" t="inlineStr">
        <is>
          <t>Name:</t>
        </is>
      </c>
      <c r="B25" s="4" t="n"/>
    </row>
    <row r="26">
      <c r="A26" s="3" t="inlineStr">
        <is>
          <t>Title:</t>
        </is>
      </c>
      <c r="B26" s="4" t="n"/>
    </row>
    <row r="27">
      <c r="A27" s="3" t="inlineStr">
        <is>
          <t>Date:</t>
        </is>
      </c>
      <c r="B27" s="4" t="n"/>
    </row>
    <row r="28">
      <c r="A28" s="3" t="inlineStr">
        <is>
          <t>Signature:</t>
        </is>
      </c>
      <c r="B28" s="4" t="n"/>
    </row>
    <row r="29">
      <c r="A29" s="3" t="inlineStr">
        <is>
          <t>Comments:</t>
        </is>
      </c>
      <c r="B29" s="4" t="n"/>
    </row>
    <row r="31">
      <c r="A31" s="36" t="inlineStr">
        <is>
          <t>FINAL ASSESSMENT DECISION</t>
        </is>
      </c>
    </row>
    <row r="32">
      <c r="A32" s="3" t="inlineStr">
        <is>
          <t>Decision:</t>
        </is>
      </c>
      <c r="B32" s="4" t="n"/>
    </row>
    <row r="35">
      <c r="A35" s="33" t="inlineStr">
        <is>
          <t>NEXT REVIEW DETAILS</t>
        </is>
      </c>
    </row>
    <row r="36">
      <c r="A36" s="3" t="inlineStr">
        <is>
          <t>Recommended Date:</t>
        </is>
      </c>
      <c r="B36" s="4" t="n"/>
    </row>
    <row r="37">
      <c r="A37" s="3" t="inlineStr">
        <is>
          <t>Review Frequency:</t>
        </is>
      </c>
      <c r="B37" s="4" t="n"/>
    </row>
    <row r="38">
      <c r="A38" s="3" t="inlineStr">
        <is>
          <t>Assigned Reviewer:</t>
        </is>
      </c>
      <c r="B38" s="4" t="n"/>
    </row>
    <row r="39">
      <c r="A39" s="3" t="inlineStr">
        <is>
          <t>Notes:</t>
        </is>
      </c>
      <c r="B39" s="4" t="n"/>
    </row>
  </sheetData>
  <mergeCells count="30">
    <mergeCell ref="A24:E24"/>
    <mergeCell ref="B6:E6"/>
    <mergeCell ref="B15:E15"/>
    <mergeCell ref="A1:E1"/>
    <mergeCell ref="B5:E5"/>
    <mergeCell ref="B20:E20"/>
    <mergeCell ref="B36:E36"/>
    <mergeCell ref="B32:E32"/>
    <mergeCell ref="B26:E26"/>
    <mergeCell ref="B4:E4"/>
    <mergeCell ref="B7:E7"/>
    <mergeCell ref="B25:E25"/>
    <mergeCell ref="B22:E22"/>
    <mergeCell ref="A3:E3"/>
    <mergeCell ref="B18:E18"/>
    <mergeCell ref="B27:E27"/>
    <mergeCell ref="B12:E12"/>
    <mergeCell ref="B21:E21"/>
    <mergeCell ref="B39:E39"/>
    <mergeCell ref="B11:E11"/>
    <mergeCell ref="A17:E17"/>
    <mergeCell ref="B14:E14"/>
    <mergeCell ref="A35:E35"/>
    <mergeCell ref="A10:E10"/>
    <mergeCell ref="B13:E13"/>
    <mergeCell ref="B38:E38"/>
    <mergeCell ref="B29:E29"/>
    <mergeCell ref="B19:E19"/>
    <mergeCell ref="B37:E37"/>
    <mergeCell ref="B28:E28"/>
  </mergeCells>
  <dataValidations count="3">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Conditions,Not Approved,Deferred"</formula1>
    </dataValidation>
    <dataValidation sqref="B37" showDropDown="0" showInputMessage="0" showErrorMessage="0" allowBlank="1" type="list">
      <formula1>"Annual,Semi-Annual,Quarterly,As-Needed"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ISMS-IMP-A.8.11.1 — Data Inventory &amp; Classification Assessment</dc:title>
  <dc:description xmlns:dc="http://purl.org/dc/elements/1.1/">ISMS Implementation Workbook — ISMS-IMP-A.8.11.1</dc:description>
  <dc:subject xmlns:dc="http://purl.org/dc/elements/1.1/">ISO/IEC 27001:2022 — Control A.8.11: Data Masking</dc:subject>
  <dcterms:created xmlns:dcterms="http://purl.org/dc/terms/" xmlns:xsi="http://www.w3.org/2001/XMLSchema-instance" xsi:type="dcterms:W3CDTF">2026-03-07T11:28:03Z</dcterms:created>
  <dcterms:modified xmlns:dcterms="http://purl.org/dc/terms/" xmlns:xsi="http://www.w3.org/2001/XMLSchema-instance" xsi:type="dcterms:W3CDTF">2026-03-07T11:28:03Z</dcterms:modified>
</cp:coreProperties>
</file>