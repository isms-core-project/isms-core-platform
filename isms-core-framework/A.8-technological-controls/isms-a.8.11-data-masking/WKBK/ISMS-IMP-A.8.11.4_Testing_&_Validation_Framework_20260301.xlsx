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sting Procedures" sheetId="2" state="visible" r:id="rId2"/>
    <sheet xmlns:r="http://schemas.openxmlformats.org/officeDocument/2006/relationships" name="PreDeployment Tests" sheetId="3" state="visible" r:id="rId3"/>
    <sheet xmlns:r="http://schemas.openxmlformats.org/officeDocument/2006/relationships" name="PostDeployment Validation" sheetId="4" state="visible" r:id="rId4"/>
    <sheet xmlns:r="http://schemas.openxmlformats.org/officeDocument/2006/relationships" name="Completeness Testing" sheetId="5" state="visible" r:id="rId5"/>
    <sheet xmlns:r="http://schemas.openxmlformats.org/officeDocument/2006/relationships" name="Format Preservation" sheetId="6" state="visible" r:id="rId6"/>
    <sheet xmlns:r="http://schemas.openxmlformats.org/officeDocument/2006/relationships" name="Referential Integrity" sheetId="7" state="visible" r:id="rId7"/>
    <sheet xmlns:r="http://schemas.openxmlformats.org/officeDocument/2006/relationships" name="ReIdentification Risk" sheetId="8" state="visible" r:id="rId8"/>
    <sheet xmlns:r="http://schemas.openxmlformats.org/officeDocument/2006/relationships" name="Data Utility Validation" sheetId="9" state="visible" r:id="rId9"/>
    <sheet xmlns:r="http://schemas.openxmlformats.org/officeDocument/2006/relationships" name="Performance Testing" sheetId="10" state="visible" r:id="rId10"/>
    <sheet xmlns:r="http://schemas.openxmlformats.org/officeDocument/2006/relationships" name="Ongoing Monitoring" sheetId="11" state="visible" r:id="rId11"/>
    <sheet xmlns:r="http://schemas.openxmlformats.org/officeDocument/2006/relationships" name="Gap Analysis" sheetId="12" state="visible" r:id="rId12"/>
    <sheet xmlns:r="http://schemas.openxmlformats.org/officeDocument/2006/relationships" name="Evidence Register" sheetId="13" state="visible" r:id="rId13"/>
    <sheet xmlns:r="http://schemas.openxmlformats.org/officeDocument/2006/relationships" name="Summary Dashboard" sheetId="14" state="visible" r:id="rId14"/>
    <sheet xmlns:r="http://schemas.openxmlformats.org/officeDocument/2006/relationships" name="Approval Sign-Off" sheetId="15" state="visible" r:id="rId15"/>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color rgb="00FFFFFF"/>
      <sz val="11"/>
    </font>
    <font>
      <b val="1"/>
      <sz val="11"/>
    </font>
    <font>
      <name val="Calibri"/>
      <b val="1"/>
      <sz val="10"/>
    </font>
    <font>
      <b val="1"/>
      <color rgb="00FFFFFF"/>
      <sz val="14"/>
    </font>
    <font>
      <i val="1"/>
    </font>
    <font>
      <b val="1"/>
      <color rgb="00FFFFFF"/>
    </font>
    <font>
      <name val="Calibri"/>
      <i val="1"/>
      <color rgb="00003366"/>
      <sz val="10"/>
    </font>
    <font>
      <name val="Calibri"/>
      <b val="1"/>
      <color rgb="00FFFFFF"/>
      <sz val="12"/>
    </font>
    <font>
      <name val="Calibri"/>
      <color rgb="00000000"/>
      <sz val="10"/>
    </font>
    <font>
      <name val="Calibri"/>
      <b val="1"/>
      <color rgb="00000000"/>
      <sz val="10"/>
    </font>
    <font>
      <name val="Calibri"/>
      <sz val="10"/>
    </font>
    <font>
      <b val="1"/>
      <color rgb="00FFFFFF"/>
      <sz val="11"/>
    </font>
    <font>
      <b val="1"/>
    </font>
  </fonts>
  <fills count="11">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3"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4" fillId="8" borderId="0" applyAlignment="1" pivotButton="0" quotePrefix="0" xfId="0">
      <alignment horizontal="center" vertical="center" wrapText="1"/>
    </xf>
    <xf numFmtId="0" fontId="5" fillId="0" borderId="0" pivotButton="0" quotePrefix="0" xfId="0"/>
    <xf numFmtId="0" fontId="6" fillId="4" borderId="1" applyAlignment="1" pivotButton="0" quotePrefix="0" xfId="0">
      <alignment horizontal="center" vertical="center" wrapText="1"/>
    </xf>
    <xf numFmtId="0" fontId="0" fillId="9" borderId="1" pivotButton="0" quotePrefix="0" xfId="0"/>
    <xf numFmtId="0" fontId="7" fillId="2" borderId="0" applyAlignment="1" pivotButton="0" quotePrefix="0" xfId="0">
      <alignment horizontal="center" vertical="center"/>
    </xf>
    <xf numFmtId="0" fontId="8" fillId="0" borderId="0" applyAlignment="1" pivotButton="0" quotePrefix="0" xfId="0">
      <alignment horizontal="left" vertical="center"/>
    </xf>
    <xf numFmtId="0" fontId="9" fillId="2" borderId="1" pivotButton="0" quotePrefix="0" xfId="0"/>
    <xf numFmtId="0" fontId="0" fillId="3" borderId="1" applyAlignment="1" pivotButton="0" quotePrefix="0" xfId="0">
      <alignment horizontal="left" vertical="center" wrapText="1"/>
    </xf>
    <xf numFmtId="0" fontId="10" fillId="0" borderId="0" applyAlignment="1" pivotButton="0" quotePrefix="0" xfId="0">
      <alignment horizontal="left" vertical="center"/>
    </xf>
    <xf numFmtId="0" fontId="11" fillId="2" borderId="0" applyAlignment="1" pivotButton="0" quotePrefix="0" xfId="0">
      <alignment horizontal="left" vertical="center"/>
    </xf>
    <xf numFmtId="0" fontId="12" fillId="0" borderId="1" applyAlignment="1" pivotButton="0" quotePrefix="0" xfId="0">
      <alignment horizontal="left" vertical="center"/>
    </xf>
    <xf numFmtId="0" fontId="12" fillId="0" borderId="1" applyAlignment="1" pivotButton="0" quotePrefix="0" xfId="0">
      <alignment horizontal="center" vertical="center"/>
    </xf>
    <xf numFmtId="164" fontId="12" fillId="0" borderId="1" applyAlignment="1" pivotButton="0" quotePrefix="0" xfId="0">
      <alignment horizontal="center" vertical="center"/>
    </xf>
    <xf numFmtId="0" fontId="13" fillId="4" borderId="1" applyAlignment="1" pivotButton="0" quotePrefix="0" xfId="0">
      <alignment horizontal="center" vertical="center"/>
    </xf>
    <xf numFmtId="0" fontId="6" fillId="4" borderId="1" applyAlignment="1" pivotButton="0" quotePrefix="0" xfId="0">
      <alignment horizontal="center" vertical="center"/>
    </xf>
    <xf numFmtId="164" fontId="6" fillId="4" borderId="1" applyAlignment="1" pivotButton="0" quotePrefix="0" xfId="0">
      <alignment horizontal="center" vertical="center"/>
    </xf>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11" fillId="10" borderId="0" applyAlignment="1" pivotButton="0" quotePrefix="0" xfId="0">
      <alignment horizontal="left" vertical="center"/>
    </xf>
    <xf numFmtId="0" fontId="14" fillId="3" borderId="1" applyAlignment="1" pivotButton="0" quotePrefix="0" xfId="0">
      <alignment horizontal="left" vertical="center" wrapText="1"/>
    </xf>
    <xf numFmtId="0" fontId="7" fillId="2" borderId="1" applyAlignment="1" pivotButton="0" quotePrefix="0" xfId="0">
      <alignment horizontal="center" vertical="center"/>
    </xf>
    <xf numFmtId="0" fontId="15" fillId="8" borderId="1" pivotButton="0" quotePrefix="0" xfId="0"/>
    <xf numFmtId="0" fontId="16" fillId="0" borderId="0"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ISMS-IMP-A.8.11.4  -  Testing &amp; Validation Framework
ISO/IEC 27001:2022 - Control A.8.11: Data Masking</t>
        </is>
      </c>
    </row>
    <row r="3">
      <c r="A3" s="2" t="inlineStr">
        <is>
          <t>Document Information</t>
        </is>
      </c>
    </row>
    <row r="4">
      <c r="A4" s="3" t="inlineStr">
        <is>
          <t>Document ID</t>
        </is>
      </c>
      <c r="B4" t="inlineStr">
        <is>
          <t>ISMS-IMP-A.8.11.4</t>
        </is>
      </c>
    </row>
    <row r="5">
      <c r="A5" s="3" t="inlineStr">
        <is>
          <t>Assessment Area</t>
        </is>
      </c>
      <c r="B5" t="inlineStr">
        <is>
          <t>Masking Testing &amp; Validation</t>
        </is>
      </c>
    </row>
    <row r="6">
      <c r="A6" s="3" t="inlineStr">
        <is>
          <t>Related Policy</t>
        </is>
      </c>
      <c r="B6" t="inlineStr">
        <is>
          <t>ISMS-POL-A.8.11</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2" t="inlineStr">
        <is>
          <t>Instructions</t>
        </is>
      </c>
    </row>
    <row r="14">
      <c r="A14" t="inlineStr">
        <is>
          <t>1. Define your test strategy and scope in the Testing Procedures sheet.</t>
        </is>
      </c>
    </row>
    <row r="15">
      <c r="A15" t="inlineStr">
        <is>
          <t>2. Execute pre-deployment validation tests and record results.</t>
        </is>
      </c>
    </row>
    <row r="16">
      <c r="A16" t="inlineStr">
        <is>
          <t>3. Conduct post-deployment verification within 24 hours of deployment.</t>
        </is>
      </c>
    </row>
    <row r="17">
      <c r="A17" t="inlineStr">
        <is>
          <t>4. Validate masking completeness across all sensitive fields.</t>
        </is>
      </c>
    </row>
    <row r="18">
      <c r="A18" t="inlineStr">
        <is>
          <t>5. Test format preservation and referential integrity.</t>
        </is>
      </c>
    </row>
    <row r="19">
      <c r="A19" t="inlineStr">
        <is>
          <t>6. Assess re-identification risk and data utility.</t>
        </is>
      </c>
    </row>
    <row r="20">
      <c r="A20" t="inlineStr">
        <is>
          <t>7. Measure performance impact and document findings.</t>
        </is>
      </c>
    </row>
    <row r="21">
      <c r="A21" t="inlineStr">
        <is>
          <t>8. Configure ongoing monitoring and continuous validation.</t>
        </is>
      </c>
    </row>
    <row r="22">
      <c r="A22" t="inlineStr">
        <is>
          <t>9. Document all test results in the Evidence Register for audit traceability.</t>
        </is>
      </c>
    </row>
    <row r="23">
      <c r="A23" t="inlineStr">
        <is>
          <t>10. Obtain final approval and sign-off from IT Security, ISO, and CISO.</t>
        </is>
      </c>
    </row>
    <row r="25">
      <c r="A25" s="2" t="inlineStr">
        <is>
          <t>Status Legend</t>
        </is>
      </c>
    </row>
    <row r="26">
      <c r="A26" s="5" t="inlineStr">
        <is>
          <t>Symbol</t>
        </is>
      </c>
      <c r="B26" s="5" t="inlineStr">
        <is>
          <t>Status</t>
        </is>
      </c>
      <c r="C26" s="5" t="inlineStr">
        <is>
          <t>Description</t>
        </is>
      </c>
    </row>
    <row r="27">
      <c r="A27" s="6" t="inlineStr">
        <is>
          <t>✅</t>
        </is>
      </c>
      <c r="B27" s="7" t="inlineStr">
        <is>
          <t>Compliant</t>
        </is>
      </c>
      <c r="C27" s="8" t="inlineStr">
        <is>
          <t>Requirement fully met with evidence</t>
        </is>
      </c>
    </row>
    <row r="28">
      <c r="A28" s="6" t="inlineStr">
        <is>
          <t>⚠</t>
        </is>
      </c>
      <c r="B28" s="9" t="inlineStr">
        <is>
          <t>Partial</t>
        </is>
      </c>
      <c r="C28" s="8" t="inlineStr">
        <is>
          <t>Partially implemented, gaps identified</t>
        </is>
      </c>
    </row>
    <row r="29">
      <c r="A29" s="6" t="inlineStr">
        <is>
          <t>❌</t>
        </is>
      </c>
      <c r="B29" s="10" t="inlineStr">
        <is>
          <t>Non-Compliant</t>
        </is>
      </c>
      <c r="C29" s="8" t="inlineStr">
        <is>
          <t>Requirement not met, remediation needed</t>
        </is>
      </c>
    </row>
    <row r="30">
      <c r="A30" s="6" t="inlineStr">
        <is>
          <t>—</t>
        </is>
      </c>
      <c r="B30" s="8" t="inlineStr">
        <is>
          <t>Not Applicable</t>
        </is>
      </c>
      <c r="C30" s="8" t="inlineStr">
        <is>
          <t>Not applicable to this organisation</t>
        </is>
      </c>
    </row>
    <row r="32">
      <c r="A32" s="2" t="inlineStr">
        <is>
          <t>TESTING DIMENSIONS</t>
        </is>
      </c>
    </row>
    <row r="33">
      <c r="A33" s="5" t="inlineStr">
        <is>
          <t>Dimension</t>
        </is>
      </c>
      <c r="B33" s="5" t="inlineStr">
        <is>
          <t>Key Question</t>
        </is>
      </c>
      <c r="C33" s="5" t="inlineStr">
        <is>
          <t>Success Criteria</t>
        </is>
      </c>
      <c r="D33" s="5" t="inlineStr">
        <is>
          <t>Target</t>
        </is>
      </c>
    </row>
    <row r="34">
      <c r="A34" s="6" t="inlineStr">
        <is>
          <t>Effectiveness</t>
        </is>
      </c>
      <c r="B34" s="6" t="inlineStr">
        <is>
          <t>Is data actually masked?</t>
        </is>
      </c>
      <c r="C34" s="6" t="inlineStr">
        <is>
          <t>Original data not visible</t>
        </is>
      </c>
      <c r="D34" s="6" t="inlineStr">
        <is>
          <t>100% fields masked</t>
        </is>
      </c>
    </row>
    <row r="35">
      <c r="A35" s="6" t="inlineStr">
        <is>
          <t>Completeness</t>
        </is>
      </c>
      <c r="B35" s="6" t="inlineStr">
        <is>
          <t>Are ALL sensitive fields masked?</t>
        </is>
      </c>
      <c r="C35" s="6" t="inlineStr">
        <is>
          <t>Coverage = 100%</t>
        </is>
      </c>
      <c r="D35" s="6" t="inlineStr">
        <is>
          <t>100%</t>
        </is>
      </c>
    </row>
    <row r="36">
      <c r="A36" s="6" t="inlineStr">
        <is>
          <t>Re-identification Risk</t>
        </is>
      </c>
      <c r="B36" s="6" t="inlineStr">
        <is>
          <t>Can original data be inferred?</t>
        </is>
      </c>
      <c r="C36" s="6" t="inlineStr">
        <is>
          <t>Re-ID attempts fail</t>
        </is>
      </c>
      <c r="D36" s="6" t="inlineStr">
        <is>
          <t>0% re-ID rate</t>
        </is>
      </c>
    </row>
    <row r="37">
      <c r="A37" s="6" t="inlineStr">
        <is>
          <t>Data Utility</t>
        </is>
      </c>
      <c r="B37" s="6" t="inlineStr">
        <is>
          <t>Does masked data still work?</t>
        </is>
      </c>
      <c r="C37" s="6" t="inlineStr">
        <is>
          <t>Apps function correctly</t>
        </is>
      </c>
      <c r="D37" s="6" t="inlineStr">
        <is>
          <t>≥95% utility</t>
        </is>
      </c>
    </row>
    <row r="38">
      <c r="A38" s="6" t="inlineStr">
        <is>
          <t>Performance</t>
        </is>
      </c>
      <c r="B38" s="6" t="inlineStr">
        <is>
          <t>Does masking slow things down?</t>
        </is>
      </c>
      <c r="C38" s="6" t="inlineStr">
        <is>
          <t>Acceptable impact</t>
        </is>
      </c>
      <c r="D38" s="6" t="inlineStr">
        <is>
          <t>&lt;10% degradation</t>
        </is>
      </c>
    </row>
    <row r="40">
      <c r="A40" s="2" t="inlineStr">
        <is>
          <t>ACCEPTABLE EVIDENCE (examples)</t>
        </is>
      </c>
    </row>
    <row r="41">
      <c r="A41" t="inlineStr">
        <is>
          <t>✓ Pre-deployment test reports and pass/fail summaries</t>
        </is>
      </c>
    </row>
    <row r="42">
      <c r="A42" t="inlineStr">
        <is>
          <t>✓ Post-deployment validation screenshots and logs</t>
        </is>
      </c>
    </row>
    <row r="43">
      <c r="A43" t="inlineStr">
        <is>
          <t>✓ Masking coverage analysis reports</t>
        </is>
      </c>
    </row>
    <row r="44">
      <c r="A44" t="inlineStr">
        <is>
          <t>✓ Re-identification risk assessment results</t>
        </is>
      </c>
    </row>
    <row r="45">
      <c r="A45" t="inlineStr">
        <is>
          <t>✓ Data utility validation test suite results</t>
        </is>
      </c>
    </row>
    <row r="46">
      <c r="A46" t="inlineStr">
        <is>
          <t>✓ Performance impact benchmarks (before/after)</t>
        </is>
      </c>
    </row>
    <row r="47">
      <c r="A47" t="inlineStr">
        <is>
          <t>✓ Schema drift detection scan outputs</t>
        </is>
      </c>
    </row>
    <row r="48">
      <c r="A48" t="inlineStr">
        <is>
          <t>✓ Referential integrity check results</t>
        </is>
      </c>
    </row>
    <row r="49">
      <c r="A49" t="inlineStr">
        <is>
          <t>✓ Automated monitoring alert configurations</t>
        </is>
      </c>
    </row>
    <row r="50">
      <c r="A50" t="inlineStr">
        <is>
          <t>✓ Gap analysis and remediation tracking records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7"/>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5" customWidth="1" min="4" max="4"/>
    <col width="20" customWidth="1" min="5" max="5"/>
    <col width="20" customWidth="1" min="6" max="6"/>
    <col width="25" customWidth="1" min="7" max="7"/>
    <col width="30" customWidth="1" min="8" max="8"/>
    <col width="15" customWidth="1" min="9" max="9"/>
    <col width="30" customWidth="1" min="10" max="10"/>
    <col width="18" customWidth="1" min="11" max="11"/>
    <col width="15" customWidth="1" min="12" max="12"/>
    <col width="30" customWidth="1" min="13" max="13"/>
  </cols>
  <sheetData>
    <row r="1" ht="35" customHeight="1">
      <c r="A1" s="1" t="inlineStr">
        <is>
          <t>TESTING PROCEDURES DOCUMENTATION</t>
        </is>
      </c>
    </row>
    <row r="2">
      <c r="A2" s="11" t="inlineStr">
        <is>
          <t>Testing procedures must be documented and followed consistently (ISMS-POL-A.8.11-S2.4 Section 3)</t>
        </is>
      </c>
    </row>
    <row r="3">
      <c r="A3" s="12" t="inlineStr">
        <is>
          <t>Are formal testing procedures documented for validating masking effectiveness?</t>
        </is>
      </c>
      <c r="B3" s="4" t="n"/>
    </row>
    <row r="6">
      <c r="A6" s="13" t="inlineStr">
        <is>
          <t>Procedure ID</t>
        </is>
      </c>
      <c r="B6" s="13" t="inlineStr">
        <is>
          <t>Procedure Name</t>
        </is>
      </c>
      <c r="C6" s="13" t="inlineStr">
        <is>
          <t>Test Type</t>
        </is>
      </c>
      <c r="D6" s="13" t="inlineStr">
        <is>
          <t>When Performed</t>
        </is>
      </c>
      <c r="E6" s="13" t="inlineStr">
        <is>
          <t>Responsible Role</t>
        </is>
      </c>
      <c r="F6" s="13" t="inlineStr">
        <is>
          <t>Test Method</t>
        </is>
      </c>
      <c r="G6" s="13" t="inlineStr">
        <is>
          <t>Tools Used</t>
        </is>
      </c>
      <c r="H6" s="13" t="inlineStr">
        <is>
          <t>Pass Criteria</t>
        </is>
      </c>
      <c r="I6" s="13" t="inlineStr">
        <is>
          <t>Frequency</t>
        </is>
      </c>
      <c r="J6" s="13" t="inlineStr">
        <is>
          <t>Documentation Required</t>
        </is>
      </c>
      <c r="K6" s="13" t="inlineStr">
        <is>
          <t>Procedure Status</t>
        </is>
      </c>
      <c r="L6" s="13" t="inlineStr">
        <is>
          <t>Last Updated</t>
        </is>
      </c>
      <c r="M6" s="13" t="inlineStr">
        <is>
          <t>Notes</t>
        </is>
      </c>
    </row>
    <row r="7">
      <c r="A7" s="4" t="inlineStr">
        <is>
          <t>PROC-001</t>
        </is>
      </c>
      <c r="B7" s="4" t="inlineStr">
        <is>
          <t>Visual Inspection of Masked Data</t>
        </is>
      </c>
      <c r="C7" s="4" t="inlineStr">
        <is>
          <t>Pre-Deployment</t>
        </is>
      </c>
      <c r="D7" s="4" t="inlineStr">
        <is>
          <t>Before each data refresh to non-prod</t>
        </is>
      </c>
      <c r="E7" s="4" t="inlineStr">
        <is>
          <t>Data Engineer</t>
        </is>
      </c>
      <c r="F7" s="4" t="inlineStr">
        <is>
          <t>Manual Review</t>
        </is>
      </c>
      <c r="G7" s="4" t="inlineStr">
        <is>
          <t>Database client (DBeaver, pgAdmin)</t>
        </is>
      </c>
      <c r="H7" s="4" t="inlineStr">
        <is>
          <t>No plaintext PII visible in sample of 100 records</t>
        </is>
      </c>
      <c r="I7" s="4" t="inlineStr">
        <is>
          <t>Per Refresh</t>
        </is>
      </c>
      <c r="J7" s="4" t="inlineStr">
        <is>
          <t>Screenshot evidence + sign-off email</t>
        </is>
      </c>
      <c r="K7" s="4" t="inlineStr">
        <is>
          <t>✅ Active</t>
        </is>
      </c>
      <c r="L7" s="4" t="inlineStr">
        <is>
          <t>15.01.2026</t>
        </is>
      </c>
      <c r="M7" s="4" t="inlineStr">
        <is>
          <t>Standard procedure for all environments</t>
        </is>
      </c>
    </row>
    <row r="8">
      <c r="A8" s="4" t="n"/>
      <c r="B8" s="4" t="n"/>
      <c r="C8" s="4" t="n"/>
      <c r="D8" s="4" t="n"/>
      <c r="E8" s="4" t="n"/>
      <c r="F8" s="4" t="n"/>
      <c r="G8" s="4" t="n"/>
      <c r="H8" s="4" t="n"/>
      <c r="I8" s="4" t="n"/>
      <c r="J8" s="4" t="n"/>
      <c r="K8" s="4" t="n"/>
      <c r="L8" s="4" t="n"/>
      <c r="M8" s="4" t="n"/>
    </row>
    <row r="9">
      <c r="A9" s="4" t="n"/>
      <c r="B9" s="4" t="n"/>
      <c r="C9" s="4" t="n"/>
      <c r="D9" s="4" t="n"/>
      <c r="E9" s="4" t="n"/>
      <c r="F9" s="4" t="n"/>
      <c r="G9" s="4" t="n"/>
      <c r="H9" s="4" t="n"/>
      <c r="I9" s="4" t="n"/>
      <c r="J9" s="4" t="n"/>
      <c r="K9" s="4" t="n"/>
      <c r="L9" s="4" t="n"/>
      <c r="M9" s="4" t="n"/>
    </row>
    <row r="10">
      <c r="A10" s="4" t="n"/>
      <c r="B10" s="4" t="n"/>
      <c r="C10" s="4" t="n"/>
      <c r="D10" s="4" t="n"/>
      <c r="E10" s="4" t="n"/>
      <c r="F10" s="4" t="n"/>
      <c r="G10" s="4" t="n"/>
      <c r="H10" s="4" t="n"/>
      <c r="I10" s="4" t="n"/>
      <c r="J10" s="4" t="n"/>
      <c r="K10" s="4" t="n"/>
      <c r="L10" s="4" t="n"/>
      <c r="M10" s="4" t="n"/>
    </row>
    <row r="11">
      <c r="A11" s="4" t="n"/>
      <c r="B11" s="4" t="n"/>
      <c r="C11" s="4" t="n"/>
      <c r="D11" s="4" t="n"/>
      <c r="E11" s="4" t="n"/>
      <c r="F11" s="4" t="n"/>
      <c r="G11" s="4" t="n"/>
      <c r="H11" s="4" t="n"/>
      <c r="I11" s="4" t="n"/>
      <c r="J11" s="4" t="n"/>
      <c r="K11" s="4" t="n"/>
      <c r="L11" s="4" t="n"/>
      <c r="M11" s="4" t="n"/>
    </row>
    <row r="12">
      <c r="A12" s="4" t="n"/>
      <c r="B12" s="4" t="n"/>
      <c r="C12" s="4" t="n"/>
      <c r="D12" s="4" t="n"/>
      <c r="E12" s="4" t="n"/>
      <c r="F12" s="4" t="n"/>
      <c r="G12" s="4" t="n"/>
      <c r="H12" s="4" t="n"/>
      <c r="I12" s="4" t="n"/>
      <c r="J12" s="4" t="n"/>
      <c r="K12" s="4" t="n"/>
      <c r="L12" s="4" t="n"/>
      <c r="M12" s="4" t="n"/>
    </row>
    <row r="13">
      <c r="A13" s="4" t="n"/>
      <c r="B13" s="4" t="n"/>
      <c r="C13" s="4" t="n"/>
      <c r="D13" s="4" t="n"/>
      <c r="E13" s="4" t="n"/>
      <c r="F13" s="4" t="n"/>
      <c r="G13" s="4" t="n"/>
      <c r="H13" s="4" t="n"/>
      <c r="I13" s="4" t="n"/>
      <c r="J13" s="4" t="n"/>
      <c r="K13" s="4" t="n"/>
      <c r="L13" s="4" t="n"/>
      <c r="M13" s="4" t="n"/>
    </row>
    <row r="14">
      <c r="A14" s="4" t="n"/>
      <c r="B14" s="4" t="n"/>
      <c r="C14" s="4" t="n"/>
      <c r="D14" s="4" t="n"/>
      <c r="E14" s="4" t="n"/>
      <c r="F14" s="4" t="n"/>
      <c r="G14" s="4" t="n"/>
      <c r="H14" s="4" t="n"/>
      <c r="I14" s="4" t="n"/>
      <c r="J14" s="4" t="n"/>
      <c r="K14" s="4" t="n"/>
      <c r="L14" s="4" t="n"/>
      <c r="M14" s="4" t="n"/>
    </row>
    <row r="15">
      <c r="A15" s="4" t="n"/>
      <c r="B15" s="4" t="n"/>
      <c r="C15" s="4" t="n"/>
      <c r="D15" s="4" t="n"/>
      <c r="E15" s="4" t="n"/>
      <c r="F15" s="4" t="n"/>
      <c r="G15" s="4" t="n"/>
      <c r="H15" s="4" t="n"/>
      <c r="I15" s="4" t="n"/>
      <c r="J15" s="4" t="n"/>
      <c r="K15" s="4" t="n"/>
      <c r="L15" s="4" t="n"/>
      <c r="M15" s="4" t="n"/>
    </row>
    <row r="16">
      <c r="A16" s="4" t="n"/>
      <c r="B16" s="4" t="n"/>
      <c r="C16" s="4" t="n"/>
      <c r="D16" s="4" t="n"/>
      <c r="E16" s="4" t="n"/>
      <c r="F16" s="4" t="n"/>
      <c r="G16" s="4" t="n"/>
      <c r="H16" s="4" t="n"/>
      <c r="I16" s="4" t="n"/>
      <c r="J16" s="4" t="n"/>
      <c r="K16" s="4" t="n"/>
      <c r="L16" s="4" t="n"/>
      <c r="M16" s="4" t="n"/>
    </row>
    <row r="17">
      <c r="A17" s="4" t="n"/>
      <c r="B17" s="4" t="n"/>
      <c r="C17" s="4" t="n"/>
      <c r="D17" s="4" t="n"/>
      <c r="E17" s="4" t="n"/>
      <c r="F17" s="4" t="n"/>
      <c r="G17" s="4" t="n"/>
      <c r="H17" s="4" t="n"/>
      <c r="I17" s="4" t="n"/>
      <c r="J17" s="4" t="n"/>
      <c r="K17" s="4" t="n"/>
      <c r="L17" s="4" t="n"/>
      <c r="M17" s="4" t="n"/>
    </row>
    <row r="18">
      <c r="A18" s="4" t="n"/>
      <c r="B18" s="4" t="n"/>
      <c r="C18" s="4" t="n"/>
      <c r="D18" s="4" t="n"/>
      <c r="E18" s="4" t="n"/>
      <c r="F18" s="4" t="n"/>
      <c r="G18" s="4" t="n"/>
      <c r="H18" s="4" t="n"/>
      <c r="I18" s="4" t="n"/>
      <c r="J18" s="4" t="n"/>
      <c r="K18" s="4" t="n"/>
      <c r="L18" s="4" t="n"/>
      <c r="M18" s="4" t="n"/>
    </row>
    <row r="19">
      <c r="A19" s="4" t="n"/>
      <c r="B19" s="4" t="n"/>
      <c r="C19" s="4" t="n"/>
      <c r="D19" s="4" t="n"/>
      <c r="E19" s="4" t="n"/>
      <c r="F19" s="4" t="n"/>
      <c r="G19" s="4" t="n"/>
      <c r="H19" s="4" t="n"/>
      <c r="I19" s="4" t="n"/>
      <c r="J19" s="4" t="n"/>
      <c r="K19" s="4" t="n"/>
      <c r="L19" s="4" t="n"/>
      <c r="M19" s="4" t="n"/>
    </row>
    <row r="20">
      <c r="A20" s="4" t="n"/>
      <c r="B20" s="4" t="n"/>
      <c r="C20" s="4" t="n"/>
      <c r="D20" s="4" t="n"/>
      <c r="E20" s="4" t="n"/>
      <c r="F20" s="4" t="n"/>
      <c r="G20" s="4" t="n"/>
      <c r="H20" s="4" t="n"/>
      <c r="I20" s="4" t="n"/>
      <c r="J20" s="4" t="n"/>
      <c r="K20" s="4" t="n"/>
      <c r="L20" s="4" t="n"/>
      <c r="M20" s="4" t="n"/>
    </row>
    <row r="21">
      <c r="A21" s="4" t="n"/>
      <c r="B21" s="4" t="n"/>
      <c r="C21" s="4" t="n"/>
      <c r="D21" s="4" t="n"/>
      <c r="E21" s="4" t="n"/>
      <c r="F21" s="4" t="n"/>
      <c r="G21" s="4" t="n"/>
      <c r="H21" s="4" t="n"/>
      <c r="I21" s="4" t="n"/>
      <c r="J21" s="4" t="n"/>
      <c r="K21" s="4" t="n"/>
      <c r="L21" s="4" t="n"/>
      <c r="M21" s="4" t="n"/>
    </row>
    <row r="22">
      <c r="A22" s="4" t="n"/>
      <c r="B22" s="4" t="n"/>
      <c r="C22" s="4" t="n"/>
      <c r="D22" s="4" t="n"/>
      <c r="E22" s="4" t="n"/>
      <c r="F22" s="4" t="n"/>
      <c r="G22" s="4" t="n"/>
      <c r="H22" s="4" t="n"/>
      <c r="I22" s="4" t="n"/>
      <c r="J22" s="4" t="n"/>
      <c r="K22" s="4" t="n"/>
      <c r="L22" s="4" t="n"/>
      <c r="M22" s="4" t="n"/>
    </row>
    <row r="23">
      <c r="A23" s="4" t="n"/>
      <c r="B23" s="4" t="n"/>
      <c r="C23" s="4" t="n"/>
      <c r="D23" s="4" t="n"/>
      <c r="E23" s="4" t="n"/>
      <c r="F23" s="4" t="n"/>
      <c r="G23" s="4" t="n"/>
      <c r="H23" s="4" t="n"/>
      <c r="I23" s="4" t="n"/>
      <c r="J23" s="4" t="n"/>
      <c r="K23" s="4" t="n"/>
      <c r="L23" s="4" t="n"/>
      <c r="M23" s="4" t="n"/>
    </row>
    <row r="24">
      <c r="A24" s="4" t="n"/>
      <c r="B24" s="4" t="n"/>
      <c r="C24" s="4" t="n"/>
      <c r="D24" s="4" t="n"/>
      <c r="E24" s="4" t="n"/>
      <c r="F24" s="4" t="n"/>
      <c r="G24" s="4" t="n"/>
      <c r="H24" s="4" t="n"/>
      <c r="I24" s="4" t="n"/>
      <c r="J24" s="4" t="n"/>
      <c r="K24" s="4" t="n"/>
      <c r="L24" s="4" t="n"/>
      <c r="M24" s="4" t="n"/>
    </row>
    <row r="25">
      <c r="A25" s="4" t="n"/>
      <c r="B25" s="4" t="n"/>
      <c r="C25" s="4" t="n"/>
      <c r="D25" s="4" t="n"/>
      <c r="E25" s="4" t="n"/>
      <c r="F25" s="4" t="n"/>
      <c r="G25" s="4" t="n"/>
      <c r="H25" s="4" t="n"/>
      <c r="I25" s="4" t="n"/>
      <c r="J25" s="4" t="n"/>
      <c r="K25" s="4" t="n"/>
      <c r="L25" s="4" t="n"/>
      <c r="M25" s="4" t="n"/>
    </row>
    <row r="26">
      <c r="A26" s="4" t="n"/>
      <c r="B26" s="4" t="n"/>
      <c r="C26" s="4" t="n"/>
      <c r="D26" s="4" t="n"/>
      <c r="E26" s="4" t="n"/>
      <c r="F26" s="4" t="n"/>
      <c r="G26" s="4" t="n"/>
      <c r="H26" s="4" t="n"/>
      <c r="I26" s="4" t="n"/>
      <c r="J26" s="4" t="n"/>
      <c r="K26" s="4" t="n"/>
      <c r="L26" s="4" t="n"/>
      <c r="M26" s="4" t="n"/>
    </row>
    <row r="27">
      <c r="A27" s="4" t="n"/>
      <c r="B27" s="4" t="n"/>
      <c r="C27" s="4" t="n"/>
      <c r="D27" s="4" t="n"/>
      <c r="E27" s="4" t="n"/>
      <c r="F27" s="4" t="n"/>
      <c r="G27" s="4" t="n"/>
      <c r="H27" s="4" t="n"/>
      <c r="I27" s="4" t="n"/>
      <c r="J27" s="4" t="n"/>
      <c r="K27" s="4" t="n"/>
      <c r="L27" s="4" t="n"/>
      <c r="M27" s="4" t="n"/>
    </row>
    <row r="28">
      <c r="A28" s="4" t="n"/>
      <c r="B28" s="4" t="n"/>
      <c r="C28" s="4" t="n"/>
      <c r="D28" s="4" t="n"/>
      <c r="E28" s="4" t="n"/>
      <c r="F28" s="4" t="n"/>
      <c r="G28" s="4" t="n"/>
      <c r="H28" s="4" t="n"/>
      <c r="I28" s="4" t="n"/>
      <c r="J28" s="4" t="n"/>
      <c r="K28" s="4" t="n"/>
      <c r="L28" s="4" t="n"/>
      <c r="M28" s="4" t="n"/>
    </row>
    <row r="29">
      <c r="A29" s="4" t="n"/>
      <c r="B29" s="4" t="n"/>
      <c r="C29" s="4" t="n"/>
      <c r="D29" s="4" t="n"/>
      <c r="E29" s="4" t="n"/>
      <c r="F29" s="4" t="n"/>
      <c r="G29" s="4" t="n"/>
      <c r="H29" s="4" t="n"/>
      <c r="I29" s="4" t="n"/>
      <c r="J29" s="4" t="n"/>
      <c r="K29" s="4" t="n"/>
      <c r="L29" s="4" t="n"/>
      <c r="M29" s="4" t="n"/>
    </row>
    <row r="30">
      <c r="A30" s="4" t="n"/>
      <c r="B30" s="4" t="n"/>
      <c r="C30" s="4" t="n"/>
      <c r="D30" s="4" t="n"/>
      <c r="E30" s="4" t="n"/>
      <c r="F30" s="4" t="n"/>
      <c r="G30" s="4" t="n"/>
      <c r="H30" s="4" t="n"/>
      <c r="I30" s="4" t="n"/>
      <c r="J30" s="4" t="n"/>
      <c r="K30" s="4" t="n"/>
      <c r="L30" s="4" t="n"/>
      <c r="M30" s="4" t="n"/>
    </row>
    <row r="31">
      <c r="A31" s="4" t="n"/>
      <c r="B31" s="4" t="n"/>
      <c r="C31" s="4" t="n"/>
      <c r="D31" s="4" t="n"/>
      <c r="E31" s="4" t="n"/>
      <c r="F31" s="4" t="n"/>
      <c r="G31" s="4" t="n"/>
      <c r="H31" s="4" t="n"/>
      <c r="I31" s="4" t="n"/>
      <c r="J31" s="4" t="n"/>
      <c r="K31" s="4" t="n"/>
      <c r="L31" s="4" t="n"/>
      <c r="M31" s="4" t="n"/>
    </row>
    <row r="32">
      <c r="A32" s="4" t="n"/>
      <c r="B32" s="4" t="n"/>
      <c r="C32" s="4" t="n"/>
      <c r="D32" s="4" t="n"/>
      <c r="E32" s="4" t="n"/>
      <c r="F32" s="4" t="n"/>
      <c r="G32" s="4" t="n"/>
      <c r="H32" s="4" t="n"/>
      <c r="I32" s="4" t="n"/>
      <c r="J32" s="4" t="n"/>
      <c r="K32" s="4" t="n"/>
      <c r="L32" s="4" t="n"/>
      <c r="M32" s="4" t="n"/>
    </row>
    <row r="33">
      <c r="A33" s="4" t="n"/>
      <c r="B33" s="4" t="n"/>
      <c r="C33" s="4" t="n"/>
      <c r="D33" s="4" t="n"/>
      <c r="E33" s="4" t="n"/>
      <c r="F33" s="4" t="n"/>
      <c r="G33" s="4" t="n"/>
      <c r="H33" s="4" t="n"/>
      <c r="I33" s="4" t="n"/>
      <c r="J33" s="4" t="n"/>
      <c r="K33" s="4" t="n"/>
      <c r="L33" s="4" t="n"/>
      <c r="M33" s="4" t="n"/>
    </row>
    <row r="34">
      <c r="A34" s="4" t="n"/>
      <c r="B34" s="4" t="n"/>
      <c r="C34" s="4" t="n"/>
      <c r="D34" s="4" t="n"/>
      <c r="E34" s="4" t="n"/>
      <c r="F34" s="4" t="n"/>
      <c r="G34" s="4" t="n"/>
      <c r="H34" s="4" t="n"/>
      <c r="I34" s="4" t="n"/>
      <c r="J34" s="4" t="n"/>
      <c r="K34" s="4" t="n"/>
      <c r="L34" s="4" t="n"/>
      <c r="M34" s="4" t="n"/>
    </row>
    <row r="35">
      <c r="A35" s="4" t="n"/>
      <c r="B35" s="4" t="n"/>
      <c r="C35" s="4" t="n"/>
      <c r="D35" s="4" t="n"/>
      <c r="E35" s="4" t="n"/>
      <c r="F35" s="4" t="n"/>
      <c r="G35" s="4" t="n"/>
      <c r="H35" s="4" t="n"/>
      <c r="I35" s="4" t="n"/>
      <c r="J35" s="4" t="n"/>
      <c r="K35" s="4" t="n"/>
      <c r="L35" s="4" t="n"/>
      <c r="M35" s="4" t="n"/>
    </row>
    <row r="36">
      <c r="A36" s="4" t="n"/>
      <c r="B36" s="4" t="n"/>
      <c r="C36" s="4" t="n"/>
      <c r="D36" s="4" t="n"/>
      <c r="E36" s="4" t="n"/>
      <c r="F36" s="4" t="n"/>
      <c r="G36" s="4" t="n"/>
      <c r="H36" s="4" t="n"/>
      <c r="I36" s="4" t="n"/>
      <c r="J36" s="4" t="n"/>
      <c r="K36" s="4" t="n"/>
      <c r="L36" s="4" t="n"/>
      <c r="M36" s="4" t="n"/>
    </row>
    <row r="37">
      <c r="A37" s="4" t="n"/>
      <c r="B37" s="4" t="n"/>
      <c r="C37" s="4" t="n"/>
      <c r="D37" s="4" t="n"/>
      <c r="E37" s="4" t="n"/>
      <c r="F37" s="4" t="n"/>
      <c r="G37" s="4" t="n"/>
      <c r="H37" s="4" t="n"/>
      <c r="I37" s="4" t="n"/>
      <c r="J37" s="4" t="n"/>
      <c r="K37" s="4" t="n"/>
      <c r="L37" s="4" t="n"/>
      <c r="M37" s="4" t="n"/>
    </row>
    <row r="38">
      <c r="A38" s="4" t="n"/>
      <c r="B38" s="4" t="n"/>
      <c r="C38" s="4" t="n"/>
      <c r="D38" s="4" t="n"/>
      <c r="E38" s="4" t="n"/>
      <c r="F38" s="4" t="n"/>
      <c r="G38" s="4" t="n"/>
      <c r="H38" s="4" t="n"/>
      <c r="I38" s="4" t="n"/>
      <c r="J38" s="4" t="n"/>
      <c r="K38" s="4" t="n"/>
      <c r="L38" s="4" t="n"/>
      <c r="M38" s="4" t="n"/>
    </row>
    <row r="39">
      <c r="A39" s="4" t="n"/>
      <c r="B39" s="4" t="n"/>
      <c r="C39" s="4" t="n"/>
      <c r="D39" s="4" t="n"/>
      <c r="E39" s="4" t="n"/>
      <c r="F39" s="4" t="n"/>
      <c r="G39" s="4" t="n"/>
      <c r="H39" s="4" t="n"/>
      <c r="I39" s="4" t="n"/>
      <c r="J39" s="4" t="n"/>
      <c r="K39" s="4" t="n"/>
      <c r="L39" s="4" t="n"/>
      <c r="M39" s="4" t="n"/>
    </row>
    <row r="40">
      <c r="A40" s="4" t="n"/>
      <c r="B40" s="4" t="n"/>
      <c r="C40" s="4" t="n"/>
      <c r="D40" s="4" t="n"/>
      <c r="E40" s="4" t="n"/>
      <c r="F40" s="4" t="n"/>
      <c r="G40" s="4" t="n"/>
      <c r="H40" s="4" t="n"/>
      <c r="I40" s="4" t="n"/>
      <c r="J40" s="4" t="n"/>
      <c r="K40" s="4" t="n"/>
      <c r="L40" s="4" t="n"/>
      <c r="M40" s="4" t="n"/>
    </row>
    <row r="41">
      <c r="A41" s="4" t="n"/>
      <c r="B41" s="4" t="n"/>
      <c r="C41" s="4" t="n"/>
      <c r="D41" s="4" t="n"/>
      <c r="E41" s="4" t="n"/>
      <c r="F41" s="4" t="n"/>
      <c r="G41" s="4" t="n"/>
      <c r="H41" s="4" t="n"/>
      <c r="I41" s="4" t="n"/>
      <c r="J41" s="4" t="n"/>
      <c r="K41" s="4" t="n"/>
      <c r="L41" s="4" t="n"/>
      <c r="M41" s="4" t="n"/>
    </row>
    <row r="42">
      <c r="A42" s="4" t="n"/>
      <c r="B42" s="4" t="n"/>
      <c r="C42" s="4" t="n"/>
      <c r="D42" s="4" t="n"/>
      <c r="E42" s="4" t="n"/>
      <c r="F42" s="4" t="n"/>
      <c r="G42" s="4" t="n"/>
      <c r="H42" s="4" t="n"/>
      <c r="I42" s="4" t="n"/>
      <c r="J42" s="4" t="n"/>
      <c r="K42" s="4" t="n"/>
      <c r="L42" s="4" t="n"/>
      <c r="M42" s="4" t="n"/>
    </row>
    <row r="43">
      <c r="A43" s="4" t="n"/>
      <c r="B43" s="4" t="n"/>
      <c r="C43" s="4" t="n"/>
      <c r="D43" s="4" t="n"/>
      <c r="E43" s="4" t="n"/>
      <c r="F43" s="4" t="n"/>
      <c r="G43" s="4" t="n"/>
      <c r="H43" s="4" t="n"/>
      <c r="I43" s="4" t="n"/>
      <c r="J43" s="4" t="n"/>
      <c r="K43" s="4" t="n"/>
      <c r="L43" s="4" t="n"/>
      <c r="M43" s="4" t="n"/>
    </row>
    <row r="44">
      <c r="A44" s="4" t="n"/>
      <c r="B44" s="4" t="n"/>
      <c r="C44" s="4" t="n"/>
      <c r="D44" s="4" t="n"/>
      <c r="E44" s="4" t="n"/>
      <c r="F44" s="4" t="n"/>
      <c r="G44" s="4" t="n"/>
      <c r="H44" s="4" t="n"/>
      <c r="I44" s="4" t="n"/>
      <c r="J44" s="4" t="n"/>
      <c r="K44" s="4" t="n"/>
      <c r="L44" s="4" t="n"/>
      <c r="M44" s="4" t="n"/>
    </row>
    <row r="45">
      <c r="A45" s="4" t="n"/>
      <c r="B45" s="4" t="n"/>
      <c r="C45" s="4" t="n"/>
      <c r="D45" s="4" t="n"/>
      <c r="E45" s="4" t="n"/>
      <c r="F45" s="4" t="n"/>
      <c r="G45" s="4" t="n"/>
      <c r="H45" s="4" t="n"/>
      <c r="I45" s="4" t="n"/>
      <c r="J45" s="4" t="n"/>
      <c r="K45" s="4" t="n"/>
      <c r="L45" s="4" t="n"/>
      <c r="M45" s="4" t="n"/>
    </row>
    <row r="46">
      <c r="A46" s="4" t="n"/>
      <c r="B46" s="4" t="n"/>
      <c r="C46" s="4" t="n"/>
      <c r="D46" s="4" t="n"/>
      <c r="E46" s="4" t="n"/>
      <c r="F46" s="4" t="n"/>
      <c r="G46" s="4" t="n"/>
      <c r="H46" s="4" t="n"/>
      <c r="I46" s="4" t="n"/>
      <c r="J46" s="4" t="n"/>
      <c r="K46" s="4" t="n"/>
      <c r="L46" s="4" t="n"/>
      <c r="M46" s="4" t="n"/>
    </row>
    <row r="47">
      <c r="A47" s="4" t="n"/>
      <c r="B47" s="4" t="n"/>
      <c r="C47" s="4" t="n"/>
      <c r="D47" s="4" t="n"/>
      <c r="E47" s="4" t="n"/>
      <c r="F47" s="4" t="n"/>
      <c r="G47" s="4" t="n"/>
      <c r="H47" s="4" t="n"/>
      <c r="I47" s="4" t="n"/>
      <c r="J47" s="4" t="n"/>
      <c r="K47" s="4" t="n"/>
      <c r="L47" s="4" t="n"/>
      <c r="M47" s="4" t="n"/>
    </row>
    <row r="48">
      <c r="A48" s="4" t="n"/>
      <c r="B48" s="4" t="n"/>
      <c r="C48" s="4" t="n"/>
      <c r="D48" s="4" t="n"/>
      <c r="E48" s="4" t="n"/>
      <c r="F48" s="4" t="n"/>
      <c r="G48" s="4" t="n"/>
      <c r="H48" s="4" t="n"/>
      <c r="I48" s="4" t="n"/>
      <c r="J48" s="4" t="n"/>
      <c r="K48" s="4" t="n"/>
      <c r="L48" s="4" t="n"/>
      <c r="M48" s="4" t="n"/>
    </row>
    <row r="49">
      <c r="A49" s="4" t="n"/>
      <c r="B49" s="4" t="n"/>
      <c r="C49" s="4" t="n"/>
      <c r="D49" s="4" t="n"/>
      <c r="E49" s="4" t="n"/>
      <c r="F49" s="4" t="n"/>
      <c r="G49" s="4" t="n"/>
      <c r="H49" s="4" t="n"/>
      <c r="I49" s="4" t="n"/>
      <c r="J49" s="4" t="n"/>
      <c r="K49" s="4" t="n"/>
      <c r="L49" s="4" t="n"/>
      <c r="M49" s="4" t="n"/>
    </row>
    <row r="50">
      <c r="A50" s="4" t="n"/>
      <c r="B50" s="4" t="n"/>
      <c r="C50" s="4" t="n"/>
      <c r="D50" s="4" t="n"/>
      <c r="E50" s="4" t="n"/>
      <c r="F50" s="4" t="n"/>
      <c r="G50" s="4" t="n"/>
      <c r="H50" s="4" t="n"/>
      <c r="I50" s="4" t="n"/>
      <c r="J50" s="4" t="n"/>
      <c r="K50" s="4" t="n"/>
      <c r="L50" s="4" t="n"/>
      <c r="M50" s="4" t="n"/>
    </row>
    <row r="51">
      <c r="A51" s="4" t="n"/>
      <c r="B51" s="4" t="n"/>
      <c r="C51" s="4" t="n"/>
      <c r="D51" s="4" t="n"/>
      <c r="E51" s="4" t="n"/>
      <c r="F51" s="4" t="n"/>
      <c r="G51" s="4" t="n"/>
      <c r="H51" s="4" t="n"/>
      <c r="I51" s="4" t="n"/>
      <c r="J51" s="4" t="n"/>
      <c r="K51" s="4" t="n"/>
      <c r="L51" s="4" t="n"/>
      <c r="M51" s="4" t="n"/>
    </row>
    <row r="52">
      <c r="A52" s="4" t="n"/>
      <c r="B52" s="4" t="n"/>
      <c r="C52" s="4" t="n"/>
      <c r="D52" s="4" t="n"/>
      <c r="E52" s="4" t="n"/>
      <c r="F52" s="4" t="n"/>
      <c r="G52" s="4" t="n"/>
      <c r="H52" s="4" t="n"/>
      <c r="I52" s="4" t="n"/>
      <c r="J52" s="4" t="n"/>
      <c r="K52" s="4" t="n"/>
      <c r="L52" s="4" t="n"/>
      <c r="M52" s="4" t="n"/>
    </row>
    <row r="53">
      <c r="A53" s="4" t="n"/>
      <c r="B53" s="4" t="n"/>
      <c r="C53" s="4" t="n"/>
      <c r="D53" s="4" t="n"/>
      <c r="E53" s="4" t="n"/>
      <c r="F53" s="4" t="n"/>
      <c r="G53" s="4" t="n"/>
      <c r="H53" s="4" t="n"/>
      <c r="I53" s="4" t="n"/>
      <c r="J53" s="4" t="n"/>
      <c r="K53" s="4" t="n"/>
      <c r="L53" s="4" t="n"/>
      <c r="M53" s="4" t="n"/>
    </row>
    <row r="54">
      <c r="A54" s="4" t="n"/>
      <c r="B54" s="4" t="n"/>
      <c r="C54" s="4" t="n"/>
      <c r="D54" s="4" t="n"/>
      <c r="E54" s="4" t="n"/>
      <c r="F54" s="4" t="n"/>
      <c r="G54" s="4" t="n"/>
      <c r="H54" s="4" t="n"/>
      <c r="I54" s="4" t="n"/>
      <c r="J54" s="4" t="n"/>
      <c r="K54" s="4" t="n"/>
      <c r="L54" s="4" t="n"/>
      <c r="M54" s="4" t="n"/>
    </row>
    <row r="55">
      <c r="A55" s="4" t="n"/>
      <c r="B55" s="4" t="n"/>
      <c r="C55" s="4" t="n"/>
      <c r="D55" s="4" t="n"/>
      <c r="E55" s="4" t="n"/>
      <c r="F55" s="4" t="n"/>
      <c r="G55" s="4" t="n"/>
      <c r="H55" s="4" t="n"/>
      <c r="I55" s="4" t="n"/>
      <c r="J55" s="4" t="n"/>
      <c r="K55" s="4" t="n"/>
      <c r="L55" s="4" t="n"/>
      <c r="M55" s="4" t="n"/>
    </row>
    <row r="56">
      <c r="A56" s="4" t="n"/>
      <c r="B56" s="4" t="n"/>
      <c r="C56" s="4" t="n"/>
      <c r="D56" s="4" t="n"/>
      <c r="E56" s="4" t="n"/>
      <c r="F56" s="4" t="n"/>
      <c r="G56" s="4" t="n"/>
      <c r="H56" s="4" t="n"/>
      <c r="I56" s="4" t="n"/>
      <c r="J56" s="4" t="n"/>
      <c r="K56" s="4" t="n"/>
      <c r="L56" s="4" t="n"/>
      <c r="M56" s="4" t="n"/>
    </row>
    <row r="57">
      <c r="A57" s="4" t="n"/>
      <c r="B57" s="4" t="n"/>
      <c r="C57" s="4" t="n"/>
      <c r="D57" s="4" t="n"/>
      <c r="E57" s="4" t="n"/>
      <c r="F57" s="4" t="n"/>
      <c r="G57" s="4" t="n"/>
      <c r="H57" s="4" t="n"/>
      <c r="I57" s="4" t="n"/>
      <c r="J57" s="4" t="n"/>
      <c r="K57" s="4" t="n"/>
      <c r="L57" s="4" t="n"/>
      <c r="M57" s="4" t="n"/>
    </row>
  </sheetData>
  <mergeCells count="2">
    <mergeCell ref="A2:M2"/>
    <mergeCell ref="A1:M1"/>
  </mergeCells>
  <dataValidations count="1">
    <dataValidation sqref="B3" showDropDown="0" showInputMessage="0" showErrorMessage="0" allowBlank="0" type="list">
      <formula1>"Yes,No,Partial,Planned,N/A"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72"/>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15" customWidth="1" min="18" max="18"/>
    <col width="15" customWidth="1" min="19" max="19"/>
    <col width="15" customWidth="1" min="20" max="20"/>
    <col width="15" customWidth="1" min="21" max="21"/>
    <col width="15" customWidth="1" min="22" max="22"/>
  </cols>
  <sheetData>
    <row r="1" ht="35" customHeight="1">
      <c r="A1" s="1" t="inlineStr">
        <is>
          <t>PRE-DEPLOYMENT TESTING</t>
        </is>
      </c>
    </row>
    <row r="2">
      <c r="A2" s="11" t="inlineStr">
        <is>
          <t>Policy Reference: Before deploying masked data, verify effectiveness through visual inspection, automated validation, and comparison testing (ISMS-POL-A.8.11-S2.4 Section 4.1)</t>
        </is>
      </c>
    </row>
    <row r="3">
      <c r="A3" s="12" t="inlineStr">
        <is>
          <t>Are pre-deployment tests performed BEFORE masked data is deployed to target environments?</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Visual Inspection Done?</t>
        </is>
      </c>
      <c r="S6" s="13" t="inlineStr">
        <is>
          <t>Automated Validation Done?</t>
        </is>
      </c>
      <c r="T6" s="13" t="inlineStr">
        <is>
          <t>Comparison Test Done?</t>
        </is>
      </c>
      <c r="U6" s="13" t="inlineStr">
        <is>
          <t>Sample Size Tested</t>
        </is>
      </c>
      <c r="V6" s="13" t="inlineStr">
        <is>
          <t>Approval to Deploy?</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PRE-DEPLOYMENT CHECKLIST</t>
        </is>
      </c>
    </row>
    <row r="61">
      <c r="A61" t="inlineStr">
        <is>
          <t>☐</t>
        </is>
      </c>
      <c r="B61" t="inlineStr">
        <is>
          <t>Visual inspection performed on sample masked records</t>
        </is>
      </c>
      <c r="C61" s="4" t="n"/>
    </row>
    <row r="62">
      <c r="A62" t="inlineStr">
        <is>
          <t>☐</t>
        </is>
      </c>
      <c r="B62" t="inlineStr">
        <is>
          <t>No plaintext PII visible in masked data</t>
        </is>
      </c>
      <c r="C62" s="4" t="n"/>
    </row>
    <row r="63">
      <c r="A63" t="inlineStr">
        <is>
          <t>☐</t>
        </is>
      </c>
      <c r="B63" t="inlineStr">
        <is>
          <t>Automated validation scripts executed</t>
        </is>
      </c>
      <c r="C63" s="4" t="n"/>
    </row>
    <row r="64">
      <c r="A64" t="inlineStr">
        <is>
          <t>☐</t>
        </is>
      </c>
      <c r="B64" t="inlineStr">
        <is>
          <t>100% of identified sensitive fields masked</t>
        </is>
      </c>
      <c r="C64" s="4" t="n"/>
    </row>
    <row r="65">
      <c r="A65" t="inlineStr">
        <is>
          <t>☐</t>
        </is>
      </c>
      <c r="B65" t="inlineStr">
        <is>
          <t>No NULL values where masking expected</t>
        </is>
      </c>
      <c r="C65" s="4" t="n"/>
    </row>
    <row r="66">
      <c r="A66" t="inlineStr">
        <is>
          <t>☐</t>
        </is>
      </c>
      <c r="B66" t="inlineStr">
        <is>
          <t>Format validation passed (emails, phones, dates, etc.)</t>
        </is>
      </c>
      <c r="C66" s="4" t="n"/>
    </row>
    <row r="67">
      <c r="A67" t="inlineStr">
        <is>
          <t>☐</t>
        </is>
      </c>
      <c r="B67" t="inlineStr">
        <is>
          <t>Comparison test: NO matching values with production</t>
        </is>
      </c>
      <c r="C67" s="4" t="n"/>
    </row>
    <row r="68">
      <c r="A68" t="inlineStr">
        <is>
          <t>☐</t>
        </is>
      </c>
      <c r="B68" t="inlineStr">
        <is>
          <t>Referential integrity preserved (if required)</t>
        </is>
      </c>
      <c r="C68" s="4" t="n"/>
    </row>
    <row r="69">
      <c r="A69" t="inlineStr">
        <is>
          <t>☐</t>
        </is>
      </c>
      <c r="B69" t="inlineStr">
        <is>
          <t>Test results documented</t>
        </is>
      </c>
      <c r="C69" s="4" t="n"/>
    </row>
    <row r="70">
      <c r="A70" t="inlineStr">
        <is>
          <t>☐</t>
        </is>
      </c>
      <c r="B70" t="inlineStr">
        <is>
          <t>Failed tests remediated before deployment</t>
        </is>
      </c>
      <c r="C70" s="4" t="n"/>
    </row>
    <row r="71">
      <c r="A71" t="inlineStr">
        <is>
          <t>☐</t>
        </is>
      </c>
      <c r="B71" t="inlineStr">
        <is>
          <t>Approval obtained to deploy masked data</t>
        </is>
      </c>
      <c r="C71" s="4" t="n"/>
    </row>
    <row r="72">
      <c r="A72" t="inlineStr">
        <is>
          <t>☐</t>
        </is>
      </c>
      <c r="B72" t="inlineStr">
        <is>
          <t>Deployment blocked if ANY test fails</t>
        </is>
      </c>
      <c r="C72"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0"/>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18" customWidth="1" min="18" max="18"/>
    <col width="15" customWidth="1" min="19" max="19"/>
    <col width="15" customWidth="1" min="20" max="20"/>
    <col width="15" customWidth="1" min="21" max="21"/>
    <col width="15" customWidth="1" min="22" max="22"/>
  </cols>
  <sheetData>
    <row r="1" ht="35" customHeight="1">
      <c r="A1" s="1" t="inlineStr">
        <is>
          <t>POST-DEPLOYMENT VALIDATION</t>
        </is>
      </c>
    </row>
    <row r="2">
      <c r="A2" s="11" t="inlineStr">
        <is>
          <t>Policy Reference: After deploying masked data, immediate validation (within 24 hours) and periodic validation (monthly/quarterly) required (ISMS-POL-A.8.11-S2.4 Section 4.2)</t>
        </is>
      </c>
    </row>
    <row r="3">
      <c r="A3" s="12" t="inlineStr">
        <is>
          <t>Is post-deployment validation performed to verify masking effectiveness in the target environment?</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Validation Timing</t>
        </is>
      </c>
      <c r="S6" s="13" t="inlineStr">
        <is>
          <t>Schema Change Impact?</t>
        </is>
      </c>
      <c r="T6" s="13" t="inlineStr">
        <is>
          <t>User Feedback Reviewed?</t>
        </is>
      </c>
      <c r="U6" s="13" t="inlineStr">
        <is>
          <t>Issues Reported by Users?</t>
        </is>
      </c>
      <c r="V6" s="13" t="inlineStr">
        <is>
          <t>Next Validation Date</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POST-DEPLOYMENT CHECKLIST</t>
        </is>
      </c>
    </row>
    <row r="61">
      <c r="A61" t="inlineStr">
        <is>
          <t>☐</t>
        </is>
      </c>
      <c r="B61" t="inlineStr">
        <is>
          <t>Immediate validation performed within 24 hours of deployment</t>
        </is>
      </c>
      <c r="C61" s="4" t="n"/>
    </row>
    <row r="62">
      <c r="A62" t="inlineStr">
        <is>
          <t>☐</t>
        </is>
      </c>
      <c r="B62" t="inlineStr">
        <is>
          <t>Masking verified in target environment</t>
        </is>
      </c>
      <c r="C62" s="4" t="n"/>
    </row>
    <row r="63">
      <c r="A63" t="inlineStr">
        <is>
          <t>☐</t>
        </is>
      </c>
      <c r="B63" t="inlineStr">
        <is>
          <t>Application functionality tested (if applicable)</t>
        </is>
      </c>
      <c r="C63" s="4" t="n"/>
    </row>
    <row r="64">
      <c r="A64" t="inlineStr">
        <is>
          <t>☐</t>
        </is>
      </c>
      <c r="B64" t="inlineStr">
        <is>
          <t>User feedback reviewed for masking issues</t>
        </is>
      </c>
      <c r="C64" s="4" t="n"/>
    </row>
    <row r="65">
      <c r="A65" t="inlineStr">
        <is>
          <t>☐</t>
        </is>
      </c>
      <c r="B65" t="inlineStr">
        <is>
          <t>No reports of visible PII from users</t>
        </is>
      </c>
      <c r="C65" s="4" t="n"/>
    </row>
    <row r="66">
      <c r="A66" t="inlineStr">
        <is>
          <t>☐</t>
        </is>
      </c>
      <c r="B66" t="inlineStr">
        <is>
          <t>Periodic validation scheduled (monthly/quarterly)</t>
        </is>
      </c>
      <c r="C66" s="4" t="n"/>
    </row>
    <row r="67">
      <c r="A67" t="inlineStr">
        <is>
          <t>☐</t>
        </is>
      </c>
      <c r="B67" t="inlineStr">
        <is>
          <t>Schema change impact assessed after every schema update</t>
        </is>
      </c>
      <c r="C67" s="4" t="n"/>
    </row>
    <row r="68">
      <c r="A68" t="inlineStr">
        <is>
          <t>☐</t>
        </is>
      </c>
      <c r="B68" t="inlineStr">
        <is>
          <t>Monitoring logs reviewed for masking failures</t>
        </is>
      </c>
      <c r="C68" s="4" t="n"/>
    </row>
    <row r="69">
      <c r="A69" t="inlineStr">
        <is>
          <t>☐</t>
        </is>
      </c>
      <c r="B69" t="inlineStr">
        <is>
          <t>Failed validations escalated to ISO</t>
        </is>
      </c>
      <c r="C69" s="4" t="n"/>
    </row>
    <row r="70">
      <c r="A70" t="inlineStr">
        <is>
          <t>☐</t>
        </is>
      </c>
      <c r="B70" t="inlineStr">
        <is>
          <t>Re-testing performed after remediation</t>
        </is>
      </c>
      <c r="C70"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showDropDown="0" showInputMessage="0" showErrorMessage="0" allowBlank="0" type="list">
      <formula1>"✅ Complete,⚠️ Partial,❌ Missing,N/A"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2"/>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15" customWidth="1" min="18" max="18"/>
    <col width="15" customWidth="1" min="19" max="19"/>
    <col width="12" customWidth="1" min="20" max="20"/>
    <col width="15" customWidth="1" min="21" max="21"/>
    <col width="15" customWidth="1" min="22" max="22"/>
    <col width="15" customWidth="1" min="23" max="23"/>
    <col width="15" customWidth="1" min="24" max="24"/>
  </cols>
  <sheetData>
    <row r="1" ht="35" customHeight="1">
      <c r="A1" s="1" t="inlineStr">
        <is>
          <t>COMPLETENESS TESTING &amp; COVERAGE VALIDATION</t>
        </is>
      </c>
    </row>
    <row r="2">
      <c r="A2" s="11" t="inlineStr">
        <is>
          <t>Policy Reference: 100% of identified sensitive fields must be masked. Schema drift detection required. (ISMS-POL-A.8.11-S2.4 Section 5)</t>
        </is>
      </c>
    </row>
    <row r="3">
      <c r="A3" s="12" t="inlineStr">
        <is>
          <t>Is masking completeness tested to ensure 100% of sensitive fields are masked?</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Total Sensitive Fields</t>
        </is>
      </c>
      <c r="S6" s="13" t="inlineStr">
        <is>
          <t>Masked Fields Count</t>
        </is>
      </c>
      <c r="T6" s="13" t="inlineStr">
        <is>
          <t>Coverage %</t>
        </is>
      </c>
      <c r="U6" s="13" t="inlineStr">
        <is>
          <t>Unmasked Fields Found</t>
        </is>
      </c>
      <c r="V6" s="13" t="inlineStr">
        <is>
          <t>Schema Drift Detected?</t>
        </is>
      </c>
      <c r="W6" s="13" t="inlineStr">
        <is>
          <t>New Columns Added?</t>
        </is>
      </c>
      <c r="X6" s="13" t="inlineStr">
        <is>
          <t>Masking Rules Updated?</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12" t="inlineStr">
        <is>
          <t>COMPLETENESS CHECKLIST</t>
        </is>
      </c>
    </row>
    <row r="61">
      <c r="A61" t="inlineStr">
        <is>
          <t>☐</t>
        </is>
      </c>
      <c r="B61" t="inlineStr">
        <is>
          <t>Sensitive fields inventory maintained</t>
        </is>
      </c>
      <c r="C61" s="4" t="n"/>
    </row>
    <row r="62">
      <c r="A62" t="inlineStr">
        <is>
          <t>☐</t>
        </is>
      </c>
      <c r="B62" t="inlineStr">
        <is>
          <t>Coverage calculated: (Masked Fields / Total Sensitive Fields) × 100</t>
        </is>
      </c>
      <c r="C62" s="4" t="n"/>
    </row>
    <row r="63">
      <c r="A63" t="inlineStr">
        <is>
          <t>☐</t>
        </is>
      </c>
      <c r="B63" t="inlineStr">
        <is>
          <t>Coverage target: 100% (with documented exceptions only)</t>
        </is>
      </c>
      <c r="C63" s="4" t="n"/>
    </row>
    <row r="64">
      <c r="A64" t="inlineStr">
        <is>
          <t>☐</t>
        </is>
      </c>
      <c r="B64" t="inlineStr">
        <is>
          <t>Schema comparison performed before every data refresh</t>
        </is>
      </c>
      <c r="C64" s="4" t="n"/>
    </row>
    <row r="65">
      <c r="A65" t="inlineStr">
        <is>
          <t>☐</t>
        </is>
      </c>
      <c r="B65" t="inlineStr">
        <is>
          <t>New columns detected and assessed for sensitivity</t>
        </is>
      </c>
      <c r="C65" s="4" t="n"/>
    </row>
    <row r="66">
      <c r="A66" t="inlineStr">
        <is>
          <t>☐</t>
        </is>
      </c>
      <c r="B66" t="inlineStr">
        <is>
          <t>Masking rules updated within 5 days for new sensitive columns</t>
        </is>
      </c>
      <c r="C66" s="4" t="n"/>
    </row>
    <row r="67">
      <c r="A67" t="inlineStr">
        <is>
          <t>☐</t>
        </is>
      </c>
      <c r="B67" t="inlineStr">
        <is>
          <t>Re-testing performed after masking rule updates</t>
        </is>
      </c>
      <c r="C67" s="4" t="n"/>
    </row>
    <row r="68">
      <c r="A68" t="inlineStr">
        <is>
          <t>☐</t>
        </is>
      </c>
      <c r="B68" t="inlineStr">
        <is>
          <t>Unmasked sensitive fields flagged for remediation</t>
        </is>
      </c>
      <c r="C68" s="4" t="n"/>
    </row>
    <row r="69">
      <c r="A69" t="inlineStr">
        <is>
          <t>☐</t>
        </is>
      </c>
      <c r="B69" t="inlineStr">
        <is>
          <t>Coverage gaps escalated to Data Owner and ISO</t>
        </is>
      </c>
      <c r="C69" s="4" t="n"/>
    </row>
    <row r="70">
      <c r="A70" t="inlineStr">
        <is>
          <t>☐</t>
        </is>
      </c>
      <c r="B70" t="inlineStr">
        <is>
          <t>Coverage metrics tracked over time</t>
        </is>
      </c>
      <c r="C70" s="4" t="n"/>
    </row>
    <row r="71">
      <c r="A71" t="inlineStr">
        <is>
          <t>☐</t>
        </is>
      </c>
      <c r="B71" t="inlineStr">
        <is>
          <t>Automated schema drift detection in place</t>
        </is>
      </c>
      <c r="C71" s="4" t="n"/>
    </row>
    <row r="72">
      <c r="A72" t="inlineStr">
        <is>
          <t>☐</t>
        </is>
      </c>
      <c r="B72" t="inlineStr">
        <is>
          <t>Coverage audit performed quarterly</t>
        </is>
      </c>
      <c r="C72"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70"/>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18" customWidth="1" min="18" max="18"/>
    <col width="20" customWidth="1" min="19" max="19"/>
    <col width="25" customWidth="1" min="20" max="20"/>
    <col width="12" customWidth="1" min="21" max="21"/>
    <col width="15" customWidth="1" min="22" max="22"/>
  </cols>
  <sheetData>
    <row r="1" ht="35" customHeight="1">
      <c r="A1" s="1" t="inlineStr">
        <is>
          <t>FORMAT &amp; TYPE PRESERVATION VALIDATION</t>
        </is>
      </c>
    </row>
    <row r="2">
      <c r="A2" s="11" t="inlineStr">
        <is>
          <t>Policy Reference: Masked data must maintain correct format (email, phone, date, etc.) per validation requirements (ISMS-POL-A.8.11-S2.4 Section 7.3)</t>
        </is>
      </c>
    </row>
    <row r="3">
      <c r="A3" s="12" t="inlineStr">
        <is>
          <t>Is format preservation validated to ensure masked data matches expected data types/formats?</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Field Data Type</t>
        </is>
      </c>
      <c r="S6" s="13" t="inlineStr">
        <is>
          <t>Format Validation Method</t>
        </is>
      </c>
      <c r="T6" s="13" t="inlineStr">
        <is>
          <t>Expected Format</t>
        </is>
      </c>
      <c r="U6" s="13" t="inlineStr">
        <is>
          <t>Format Pass Rate %</t>
        </is>
      </c>
      <c r="V6" s="13" t="inlineStr">
        <is>
          <t>Format Failures Count</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FORMAT CHECKLIST</t>
        </is>
      </c>
    </row>
    <row r="61">
      <c r="A61" t="inlineStr">
        <is>
          <t>☐</t>
        </is>
      </c>
      <c r="B61" t="inlineStr">
        <is>
          <t>Email format validation: Masked emails match email regex</t>
        </is>
      </c>
      <c r="C61" s="4" t="n"/>
    </row>
    <row r="62">
      <c r="A62" t="inlineStr">
        <is>
          <t>☐</t>
        </is>
      </c>
      <c r="B62" t="inlineStr">
        <is>
          <t>Phone format validation: Masked phones match phone format</t>
        </is>
      </c>
      <c r="C62" s="4" t="n"/>
    </row>
    <row r="63">
      <c r="A63" t="inlineStr">
        <is>
          <t>☐</t>
        </is>
      </c>
      <c r="B63" t="inlineStr">
        <is>
          <t>Credit card format validation: Masked cards pass Luhn (if required)</t>
        </is>
      </c>
      <c r="C63" s="4" t="n"/>
    </row>
    <row r="64">
      <c r="A64" t="inlineStr">
        <is>
          <t>☐</t>
        </is>
      </c>
      <c r="B64" t="inlineStr">
        <is>
          <t>Date format validation: Masked dates are valid dates</t>
        </is>
      </c>
      <c r="C64" s="4" t="n"/>
    </row>
    <row r="65">
      <c r="A65" t="inlineStr">
        <is>
          <t>☐</t>
        </is>
      </c>
      <c r="B65" t="inlineStr">
        <is>
          <t>ZIP code format validation: Masked ZIPs are valid format</t>
        </is>
      </c>
      <c r="C65" s="4" t="n"/>
    </row>
    <row r="66">
      <c r="A66" t="inlineStr">
        <is>
          <t>☐</t>
        </is>
      </c>
      <c r="B66" t="inlineStr">
        <is>
          <t>SSN format validation: Masked SSNs match SSN format</t>
        </is>
      </c>
      <c r="C66" s="4" t="n"/>
    </row>
    <row r="67">
      <c r="A67" t="inlineStr">
        <is>
          <t>☐</t>
        </is>
      </c>
      <c r="B67" t="inlineStr">
        <is>
          <t>Custom format validation performed (domain-specific)</t>
        </is>
      </c>
      <c r="C67" s="4" t="n"/>
    </row>
    <row r="68">
      <c r="A68" t="inlineStr">
        <is>
          <t>☐</t>
        </is>
      </c>
      <c r="B68" t="inlineStr">
        <is>
          <t>Format failures logged and remediated</t>
        </is>
      </c>
      <c r="C68" s="4" t="n"/>
    </row>
    <row r="69">
      <c r="A69" t="inlineStr">
        <is>
          <t>☐</t>
        </is>
      </c>
      <c r="B69" t="inlineStr">
        <is>
          <t>Format pass rate target: ≥99%</t>
        </is>
      </c>
      <c r="C69" s="4" t="n"/>
    </row>
    <row r="70">
      <c r="A70" t="inlineStr">
        <is>
          <t>☐</t>
        </is>
      </c>
      <c r="B70" t="inlineStr">
        <is>
          <t>Automated format validation scripts in place</t>
        </is>
      </c>
      <c r="C70"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showDropDown="0" showInputMessage="0" showErrorMessage="0" allowBlank="0" type="list">
      <formula1>"✅ Complete,⚠️ Partial,❌ Missing,N/A"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68"/>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0" customWidth="1" min="18" max="18"/>
    <col width="20" customWidth="1" min="19" max="19"/>
    <col width="20" customWidth="1" min="20" max="20"/>
    <col width="15" customWidth="1" min="21" max="21"/>
    <col width="15" customWidth="1" min="22" max="22"/>
  </cols>
  <sheetData>
    <row r="1" ht="35" customHeight="1">
      <c r="A1" s="1" t="inlineStr">
        <is>
          <t>REFERENTIAL INTEGRITY TESTING</t>
        </is>
      </c>
    </row>
    <row r="2">
      <c r="A2" s="11" t="inlineStr">
        <is>
          <t>Policy Reference: Foreign key constraints and data consistency must be preserved across related tables (ISMS-POL-A.8.11-S2.4 Section 7.2)</t>
        </is>
      </c>
    </row>
    <row r="3">
      <c r="A3" s="12" t="inlineStr">
        <is>
          <t>Is referential integrity validated to ensure relationships preserved after masking?</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Parent Table</t>
        </is>
      </c>
      <c r="S6" s="13" t="inlineStr">
        <is>
          <t>Child Table</t>
        </is>
      </c>
      <c r="T6" s="13" t="inlineStr">
        <is>
          <t>Foreign Key Field</t>
        </is>
      </c>
      <c r="U6" s="13" t="inlineStr">
        <is>
          <t>FK Violations Found</t>
        </is>
      </c>
      <c r="V6" s="13" t="inlineStr">
        <is>
          <t>Consistency Maintained?</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REFERENTIAL CHECKLIST</t>
        </is>
      </c>
    </row>
    <row r="61">
      <c r="A61" t="inlineStr">
        <is>
          <t>☐</t>
        </is>
      </c>
      <c r="B61" t="inlineStr">
        <is>
          <t>Foreign key constraints validated after masking</t>
        </is>
      </c>
      <c r="C61" s="4" t="n"/>
    </row>
    <row r="62">
      <c r="A62" t="inlineStr">
        <is>
          <t>☐</t>
        </is>
      </c>
      <c r="B62" t="inlineStr">
        <is>
          <t>Related records can be joined correctly</t>
        </is>
      </c>
      <c r="C62" s="4" t="n"/>
    </row>
    <row r="63">
      <c r="A63" t="inlineStr">
        <is>
          <t>☐</t>
        </is>
      </c>
      <c r="B63" t="inlineStr">
        <is>
          <t>Consistent masking across related tables (same ID → same masked value)</t>
        </is>
      </c>
      <c r="C63" s="4" t="n"/>
    </row>
    <row r="64">
      <c r="A64" t="inlineStr">
        <is>
          <t>☐</t>
        </is>
      </c>
      <c r="B64" t="inlineStr">
        <is>
          <t>Database integrity checks executed</t>
        </is>
      </c>
      <c r="C64" s="4" t="n"/>
    </row>
    <row r="65">
      <c r="A65" t="inlineStr">
        <is>
          <t>☐</t>
        </is>
      </c>
      <c r="B65" t="inlineStr">
        <is>
          <t>Zero foreign key violations</t>
        </is>
      </c>
      <c r="C65" s="4" t="n"/>
    </row>
    <row r="66">
      <c r="A66" t="inlineStr">
        <is>
          <t>☐</t>
        </is>
      </c>
      <c r="B66" t="inlineStr">
        <is>
          <t>Orphaned records identified and remediated</t>
        </is>
      </c>
      <c r="C66" s="4" t="n"/>
    </row>
    <row r="67">
      <c r="A67" t="inlineStr">
        <is>
          <t>☐</t>
        </is>
      </c>
      <c r="B67" t="inlineStr">
        <is>
          <t>Automated integrity validation scripts in place</t>
        </is>
      </c>
      <c r="C67" s="4" t="n"/>
    </row>
    <row r="68">
      <c r="A68" t="inlineStr">
        <is>
          <t>☐</t>
        </is>
      </c>
      <c r="B68" t="inlineStr">
        <is>
          <t>Integrity failures block data deployment</t>
        </is>
      </c>
      <c r="C68"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showDropDown="0" showInputMessage="0" showErrorMessage="0" allowBlank="0" type="list">
      <formula1>"✅ Complete,⚠️ Partial,❌ Missing,N/A"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75"/>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2" customWidth="1" min="18" max="18"/>
    <col width="15" customWidth="1" min="19" max="19"/>
    <col width="15" customWidth="1" min="20" max="20"/>
    <col width="12" customWidth="1" min="21" max="21"/>
    <col width="12" customWidth="1" min="22" max="22"/>
    <col width="12" customWidth="1" min="23" max="23"/>
    <col width="15" customWidth="1" min="24" max="24"/>
  </cols>
  <sheetData>
    <row r="1" ht="35" customHeight="1">
      <c r="A1" s="1" t="inlineStr">
        <is>
          <t>RE-IDENTIFICATION RISK ASSESSMENT</t>
        </is>
      </c>
    </row>
    <row r="2">
      <c r="A2" s="11" t="inlineStr">
        <is>
          <t>Policy Reference: Re-identification testing must be performed to verify masked data cannot be re-identified. Target: 0% re-ID rate. (ISMS-POL-A.8.11-S2.4 Section 6)</t>
        </is>
      </c>
    </row>
    <row r="3">
      <c r="A3" s="12" t="inlineStr">
        <is>
          <t>Is re-identification risk testing performed to verify masked data cannot be re-identified?</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Re-ID Technique Used</t>
        </is>
      </c>
      <c r="S6" s="13" t="inlineStr">
        <is>
          <t>Re-ID Attempts</t>
        </is>
      </c>
      <c r="T6" s="13" t="inlineStr">
        <is>
          <t>Successful Re-IDs</t>
        </is>
      </c>
      <c r="U6" s="13" t="inlineStr">
        <is>
          <t>Re-ID Success Rate %</t>
        </is>
      </c>
      <c r="V6" s="13" t="inlineStr">
        <is>
          <t>Risk Level</t>
        </is>
      </c>
      <c r="W6" s="13" t="inlineStr">
        <is>
          <t>K-Anonymity Value</t>
        </is>
      </c>
      <c r="X6" s="13" t="inlineStr">
        <is>
          <t>Mitigation Required?</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12" t="inlineStr">
        <is>
          <t>RE-IDENTIFICATION CHECKLIST</t>
        </is>
      </c>
    </row>
    <row r="61">
      <c r="A61" t="inlineStr">
        <is>
          <t>☐</t>
        </is>
      </c>
      <c r="B61" t="inlineStr">
        <is>
          <t>Direct matching test: No matches between masked and production</t>
        </is>
      </c>
      <c r="C61" s="4" t="n"/>
    </row>
    <row r="62">
      <c r="A62" t="inlineStr">
        <is>
          <t>☐</t>
        </is>
      </c>
      <c r="B62" t="inlineStr">
        <is>
          <t>Quasi-identifier combination test performed</t>
        </is>
      </c>
      <c r="C62" s="4" t="n"/>
    </row>
    <row r="63">
      <c r="A63" t="inlineStr">
        <is>
          <t>☐</t>
        </is>
      </c>
      <c r="B63" t="inlineStr">
        <is>
          <t>Statistical inference test performed</t>
        </is>
      </c>
      <c r="C63" s="4" t="n"/>
    </row>
    <row r="64">
      <c r="A64" t="inlineStr">
        <is>
          <t>☐</t>
        </is>
      </c>
      <c r="B64" t="inlineStr">
        <is>
          <t>External data correlation test performed</t>
        </is>
      </c>
      <c r="C64" s="4" t="n"/>
    </row>
    <row r="65">
      <c r="A65" t="inlineStr">
        <is>
          <t>☐</t>
        </is>
      </c>
      <c r="B65" t="inlineStr">
        <is>
          <t>Re-identification success rate calculated</t>
        </is>
      </c>
      <c r="C65" s="4" t="n"/>
    </row>
    <row r="66">
      <c r="A66" t="inlineStr">
        <is>
          <t>☐</t>
        </is>
      </c>
      <c r="B66" t="inlineStr">
        <is>
          <t>Re-ID rate target: 0% (zero successful re-identifications)</t>
        </is>
      </c>
      <c r="C66" s="4" t="n"/>
    </row>
    <row r="67">
      <c r="A67" t="inlineStr">
        <is>
          <t>☐</t>
        </is>
      </c>
      <c r="B67" t="inlineStr">
        <is>
          <t>If 1-5% re-ID rate: Mitigation applied (additional masking/aggregation)</t>
        </is>
      </c>
      <c r="C67" s="4" t="n"/>
    </row>
    <row r="68">
      <c r="A68" t="inlineStr">
        <is>
          <t>☐</t>
        </is>
      </c>
      <c r="B68" t="inlineStr">
        <is>
          <t>If &gt;5% re-ID rate: Immediate remediation (re-design masking)</t>
        </is>
      </c>
      <c r="C68" s="4" t="n"/>
    </row>
    <row r="69">
      <c r="A69" t="inlineStr">
        <is>
          <t>☐</t>
        </is>
      </c>
      <c r="B69" t="inlineStr">
        <is>
          <t>K-anonymity assessment performed (optional but recommended)</t>
        </is>
      </c>
      <c r="C69" s="4" t="n"/>
    </row>
    <row r="70">
      <c r="A70" t="inlineStr">
        <is>
          <t>☐</t>
        </is>
      </c>
      <c r="B70" t="inlineStr">
        <is>
          <t>K-anonymity value: k ≥ 5 (if applicable)</t>
        </is>
      </c>
      <c r="C70" s="4" t="n"/>
    </row>
    <row r="71">
      <c r="A71" t="inlineStr">
        <is>
          <t>☐</t>
        </is>
      </c>
      <c r="B71" t="inlineStr">
        <is>
          <t>Quasi-identifiers documented</t>
        </is>
      </c>
      <c r="C71" s="4" t="n"/>
    </row>
    <row r="72">
      <c r="A72" t="inlineStr">
        <is>
          <t>☐</t>
        </is>
      </c>
      <c r="B72" t="inlineStr">
        <is>
          <t>Re-ID test scenarios documented</t>
        </is>
      </c>
      <c r="C72" s="4" t="n"/>
    </row>
    <row r="73">
      <c r="A73" t="inlineStr">
        <is>
          <t>☐</t>
        </is>
      </c>
      <c r="B73" t="inlineStr">
        <is>
          <t>Re-ID test results documented with evidence</t>
        </is>
      </c>
      <c r="C73" s="4" t="n"/>
    </row>
    <row r="74">
      <c r="A74" t="inlineStr">
        <is>
          <t>☐</t>
        </is>
      </c>
      <c r="B74" t="inlineStr">
        <is>
          <t>High re-ID risk escalated to CISO and DPO</t>
        </is>
      </c>
      <c r="C74" s="4" t="n"/>
    </row>
    <row r="75">
      <c r="A75" t="inlineStr">
        <is>
          <t>☐</t>
        </is>
      </c>
      <c r="B75" t="inlineStr">
        <is>
          <t>Re-ID testing performed quarterly</t>
        </is>
      </c>
      <c r="C75"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C73 C74 C75" showDropDown="0" showInputMessage="0" showErrorMessage="0" allowBlank="0" type="list">
      <formula1>"✅ Complete,⚠️ Partial,❌ Missing,N/A"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72"/>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2" customWidth="1" min="18" max="18"/>
    <col width="15" customWidth="1" min="19" max="19"/>
    <col width="12" customWidth="1" min="20" max="20"/>
    <col width="12" customWidth="1" min="21" max="21"/>
    <col width="12" customWidth="1" min="22" max="22"/>
    <col width="15" customWidth="1" min="23" max="23"/>
    <col width="15" customWidth="1" min="24" max="24"/>
  </cols>
  <sheetData>
    <row r="1" ht="35" customHeight="1">
      <c r="A1" s="1" t="inlineStr">
        <is>
          <t>DATA UTILITY VALIDATION</t>
        </is>
      </c>
    </row>
    <row r="2">
      <c r="A2" s="11" t="inlineStr">
        <is>
          <t>Policy Reference: Masked data must support intended use cases. Target: ≥95% utility. (ISMS-POL-A.8.11-S2.4 Section 7)</t>
        </is>
      </c>
    </row>
    <row r="3">
      <c r="A3" s="12" t="inlineStr">
        <is>
          <t>Is data utility validated to ensure applications/analytics work correctly with masked data?</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Use Case Type</t>
        </is>
      </c>
      <c r="S6" s="13" t="inlineStr">
        <is>
          <t>Test Suite Executed?</t>
        </is>
      </c>
      <c r="T6" s="13" t="inlineStr">
        <is>
          <t>Tests Passed Count</t>
        </is>
      </c>
      <c r="U6" s="13" t="inlineStr">
        <is>
          <t>Tests Failed Count</t>
        </is>
      </c>
      <c r="V6" s="13" t="inlineStr">
        <is>
          <t>Utility Score %</t>
        </is>
      </c>
      <c r="W6" s="13" t="inlineStr">
        <is>
          <t>Expected Failures?</t>
        </is>
      </c>
      <c r="X6" s="13" t="inlineStr">
        <is>
          <t>Acceptable?</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12" t="inlineStr">
        <is>
          <t>DATA CHECKLIST</t>
        </is>
      </c>
    </row>
    <row r="61">
      <c r="A61" t="inlineStr">
        <is>
          <t>☐</t>
        </is>
      </c>
      <c r="B61" t="inlineStr">
        <is>
          <t>Application test suite executed with masked data</t>
        </is>
      </c>
      <c r="C61" s="4" t="n"/>
    </row>
    <row r="62">
      <c r="A62" t="inlineStr">
        <is>
          <t>☐</t>
        </is>
      </c>
      <c r="B62" t="inlineStr">
        <is>
          <t>All critical tests pass (or expected failures documented)</t>
        </is>
      </c>
      <c r="C62" s="4" t="n"/>
    </row>
    <row r="63">
      <c r="A63" t="inlineStr">
        <is>
          <t>☐</t>
        </is>
      </c>
      <c r="B63" t="inlineStr">
        <is>
          <t>Performance testing with masked data acceptable</t>
        </is>
      </c>
      <c r="C63" s="4" t="n"/>
    </row>
    <row r="64">
      <c r="A64" t="inlineStr">
        <is>
          <t>☐</t>
        </is>
      </c>
      <c r="B64" t="inlineStr">
        <is>
          <t>UAT completed successfully with masked data</t>
        </is>
      </c>
      <c r="C64" s="4" t="n"/>
    </row>
    <row r="65">
      <c r="A65" t="inlineStr">
        <is>
          <t>☐</t>
        </is>
      </c>
      <c r="B65" t="inlineStr">
        <is>
          <t>Training exercises work with masked data</t>
        </is>
      </c>
      <c r="C65" s="4" t="n"/>
    </row>
    <row r="66">
      <c r="A66" t="inlineStr">
        <is>
          <t>☐</t>
        </is>
      </c>
      <c r="B66" t="inlineStr">
        <is>
          <t>Statistical analysis results comparable (±acceptable margin)</t>
        </is>
      </c>
      <c r="C66" s="4" t="n"/>
    </row>
    <row r="67">
      <c r="A67" t="inlineStr">
        <is>
          <t>☐</t>
        </is>
      </c>
      <c r="B67" t="inlineStr">
        <is>
          <t>ML model accuracy acceptable when trained on masked data</t>
        </is>
      </c>
      <c r="C67" s="4" t="n"/>
    </row>
    <row r="68">
      <c r="A68" t="inlineStr">
        <is>
          <t>☐</t>
        </is>
      </c>
      <c r="B68" t="inlineStr">
        <is>
          <t>Reports render correctly with masked data</t>
        </is>
      </c>
      <c r="C68" s="4" t="n"/>
    </row>
    <row r="69">
      <c r="A69" t="inlineStr">
        <is>
          <t>☐</t>
        </is>
      </c>
      <c r="B69" t="inlineStr">
        <is>
          <t>Aggregations produce valid results</t>
        </is>
      </c>
      <c r="C69" s="4" t="n"/>
    </row>
    <row r="70">
      <c r="A70" t="inlineStr">
        <is>
          <t>☐</t>
        </is>
      </c>
      <c r="B70" t="inlineStr">
        <is>
          <t>Utility score calculated: % of use cases that work correctly</t>
        </is>
      </c>
      <c r="C70" s="4" t="n"/>
    </row>
    <row r="71">
      <c r="A71" t="inlineStr">
        <is>
          <t>☐</t>
        </is>
      </c>
      <c r="B71" t="inlineStr">
        <is>
          <t>Utility score target: ≥95%</t>
        </is>
      </c>
      <c r="C71" s="4" t="n"/>
    </row>
    <row r="72">
      <c r="A72" t="inlineStr">
        <is>
          <t>☐</t>
        </is>
      </c>
      <c r="B72" t="inlineStr">
        <is>
          <t>Utility failures documented and remediated</t>
        </is>
      </c>
      <c r="C72"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70"/>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0" customWidth="1" min="18" max="18"/>
    <col width="15" customWidth="1" min="19" max="19"/>
    <col width="15" customWidth="1" min="20" max="20"/>
    <col width="12" customWidth="1" min="21" max="21"/>
    <col width="15" customWidth="1" min="22" max="22"/>
    <col width="15" customWidth="1" min="23" max="23"/>
    <col width="15" customWidth="1" min="24" max="24"/>
  </cols>
  <sheetData>
    <row r="1" ht="35" customHeight="1">
      <c r="A1" s="1" t="inlineStr">
        <is>
          <t>PERFORMANCE IMPACT TESTING</t>
        </is>
      </c>
    </row>
    <row r="2">
      <c r="A2" s="11" t="inlineStr">
        <is>
          <t>Policy Reference: Masking performance impact must be measured. Target: &lt;10% degradation. (ISMS-POL-A.8.11-S2.4 Section 8)</t>
        </is>
      </c>
    </row>
    <row r="3">
      <c r="A3" s="12" t="inlineStr">
        <is>
          <t>Is performance impact tested to ensure masking overhead is acceptable?</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Metric Type</t>
        </is>
      </c>
      <c r="S6" s="13" t="inlineStr">
        <is>
          <t>Baseline (Unmasked)</t>
        </is>
      </c>
      <c r="T6" s="13" t="inlineStr">
        <is>
          <t>With Masking</t>
        </is>
      </c>
      <c r="U6" s="13" t="inlineStr">
        <is>
          <t>Performance Impact %</t>
        </is>
      </c>
      <c r="V6" s="13" t="inlineStr">
        <is>
          <t>Acceptable?</t>
        </is>
      </c>
      <c r="W6" s="13" t="inlineStr">
        <is>
          <t>Optimization Needed?</t>
        </is>
      </c>
      <c r="X6" s="13" t="inlineStr">
        <is>
          <t>Optimization Applied?</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12" t="inlineStr">
        <is>
          <t>PERFORMANCE CHECKLIST</t>
        </is>
      </c>
    </row>
    <row r="61">
      <c r="A61" t="inlineStr">
        <is>
          <t>☐</t>
        </is>
      </c>
      <c r="B61" t="inlineStr">
        <is>
          <t>Baseline performance measured (without masking)</t>
        </is>
      </c>
      <c r="C61" s="4" t="n"/>
    </row>
    <row r="62">
      <c r="A62" t="inlineStr">
        <is>
          <t>☐</t>
        </is>
      </c>
      <c r="B62" t="inlineStr">
        <is>
          <t>Performance measured with masking enabled</t>
        </is>
      </c>
      <c r="C62" s="4" t="n"/>
    </row>
    <row r="63">
      <c r="A63" t="inlineStr">
        <is>
          <t>☐</t>
        </is>
      </c>
      <c r="B63" t="inlineStr">
        <is>
          <t>Performance impact calculated: ((Masked - Baseline) / Baseline) × 100</t>
        </is>
      </c>
      <c r="C63" s="4" t="n"/>
    </row>
    <row r="64">
      <c r="A64" t="inlineStr">
        <is>
          <t>☐</t>
        </is>
      </c>
      <c r="B64" t="inlineStr">
        <is>
          <t>Performance impact target: &lt;10% degradation</t>
        </is>
      </c>
      <c r="C64" s="4" t="n"/>
    </row>
    <row r="65">
      <c r="A65" t="inlineStr">
        <is>
          <t>☐</t>
        </is>
      </c>
      <c r="B65" t="inlineStr">
        <is>
          <t>Query performance tested</t>
        </is>
      </c>
      <c r="C65" s="4" t="n"/>
    </row>
    <row r="66">
      <c r="A66" t="inlineStr">
        <is>
          <t>☐</t>
        </is>
      </c>
      <c r="B66" t="inlineStr">
        <is>
          <t>Data load/refresh performance tested</t>
        </is>
      </c>
      <c r="C66" s="4" t="n"/>
    </row>
    <row r="67">
      <c r="A67" t="inlineStr">
        <is>
          <t>☐</t>
        </is>
      </c>
      <c r="B67" t="inlineStr">
        <is>
          <t>Report generation performance tested</t>
        </is>
      </c>
      <c r="C67" s="4" t="n"/>
    </row>
    <row r="68">
      <c r="A68" t="inlineStr">
        <is>
          <t>☐</t>
        </is>
      </c>
      <c r="B68" t="inlineStr">
        <is>
          <t>If impact ≥10%: Optimization strategies implemented</t>
        </is>
      </c>
      <c r="C68" s="4" t="n"/>
    </row>
    <row r="69">
      <c r="A69" t="inlineStr">
        <is>
          <t>☐</t>
        </is>
      </c>
      <c r="B69" t="inlineStr">
        <is>
          <t>Performance re-tested after optimization</t>
        </is>
      </c>
      <c r="C69" s="4" t="n"/>
    </row>
    <row r="70">
      <c r="A70" t="inlineStr">
        <is>
          <t>☐</t>
        </is>
      </c>
      <c r="B70" t="inlineStr">
        <is>
          <t>Performance metrics tracked over time</t>
        </is>
      </c>
      <c r="C70"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showDropDown="0" showInputMessage="0" showErrorMessage="0" allowBlank="0" type="list">
      <formula1>"✅ Complete,⚠️ Partial,❌ Missing,N/A"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72"/>
  <sheetViews>
    <sheetView showGridLines="0" workbookViewId="0">
      <pane ySplit="6" topLeftCell="A7" activePane="bottomLeft" state="frozen"/>
      <selection pane="bottomLeft" activeCell="A1" sqref="A1"/>
    </sheetView>
  </sheetViews>
  <sheetFormatPr baseColWidth="8" defaultRowHeight="15"/>
  <cols>
    <col width="15" customWidth="1" min="1" max="1"/>
    <col width="30" customWidth="1" min="2" max="2"/>
    <col width="20" customWidth="1" min="3" max="3"/>
    <col width="20" customWidth="1" min="4" max="4"/>
    <col width="20" customWidth="1" min="5" max="5"/>
    <col width="15" customWidth="1" min="6" max="6"/>
    <col width="20" customWidth="1" min="7" max="7"/>
    <col width="25" customWidth="1" min="8" max="8"/>
    <col width="18" customWidth="1" min="9" max="9"/>
    <col width="30" customWidth="1" min="10" max="10"/>
    <col width="30" customWidth="1" min="11" max="11"/>
    <col width="30" customWidth="1" min="12" max="12"/>
    <col width="15" customWidth="1" min="13" max="13"/>
    <col width="18" customWidth="1" min="14" max="14"/>
    <col width="15" customWidth="1" min="15" max="15"/>
    <col width="30" customWidth="1" min="16" max="16"/>
    <col width="15" customWidth="1" min="17" max="17"/>
    <col width="20" customWidth="1" min="18" max="18"/>
    <col width="15" customWidth="1" min="19" max="19"/>
    <col width="15" customWidth="1" min="20" max="20"/>
    <col width="12" customWidth="1" min="21" max="21"/>
    <col width="15" customWidth="1" min="22" max="22"/>
  </cols>
  <sheetData>
    <row r="1" ht="35" customHeight="1">
      <c r="A1" s="1" t="inlineStr">
        <is>
          <t>ONGOING MONITORING &amp; CONTINUOUS VALIDATION</t>
        </is>
      </c>
    </row>
    <row r="2">
      <c r="A2" s="11" t="inlineStr">
        <is>
          <t>Policy Reference: Continuous monitoring and periodic re-testing required to detect masking degradation (ISMS-POL-A.8.11-S2.4 Section 9)</t>
        </is>
      </c>
    </row>
    <row r="3">
      <c r="A3" s="12" t="inlineStr">
        <is>
          <t>Is ongoing monitoring in place to continuously validate masking effectiveness?</t>
        </is>
      </c>
      <c r="B3" s="4" t="n"/>
    </row>
    <row r="6">
      <c r="A6" s="13" t="inlineStr">
        <is>
          <t>Test ID</t>
        </is>
      </c>
      <c r="B6" s="13" t="inlineStr">
        <is>
          <t>Test Name/Description</t>
        </is>
      </c>
      <c r="C6" s="13" t="inlineStr">
        <is>
          <t>Environment Tested</t>
        </is>
      </c>
      <c r="D6" s="13" t="inlineStr">
        <is>
          <t>Data Category Tested</t>
        </is>
      </c>
      <c r="E6" s="13" t="inlineStr">
        <is>
          <t>Test Type</t>
        </is>
      </c>
      <c r="F6" s="13" t="inlineStr">
        <is>
          <t>Test Date</t>
        </is>
      </c>
      <c r="G6" s="13" t="inlineStr">
        <is>
          <t>Tester Name</t>
        </is>
      </c>
      <c r="H6" s="13" t="inlineStr">
        <is>
          <t>Test Method</t>
        </is>
      </c>
      <c r="I6" s="13" t="inlineStr">
        <is>
          <t>Test Result</t>
        </is>
      </c>
      <c r="J6" s="13" t="inlineStr">
        <is>
          <t>Pass Criteria</t>
        </is>
      </c>
      <c r="K6" s="13" t="inlineStr">
        <is>
          <t>Actual Outcome</t>
        </is>
      </c>
      <c r="L6" s="13" t="inlineStr">
        <is>
          <t>Issues Found</t>
        </is>
      </c>
      <c r="M6" s="13" t="inlineStr">
        <is>
          <t>Remediation Required?</t>
        </is>
      </c>
      <c r="N6" s="13" t="inlineStr">
        <is>
          <t>Remediation Status</t>
        </is>
      </c>
      <c r="O6" s="13" t="inlineStr">
        <is>
          <t>Retest Date</t>
        </is>
      </c>
      <c r="P6" s="13" t="inlineStr">
        <is>
          <t>Notes/Comments</t>
        </is>
      </c>
      <c r="Q6" s="13" t="inlineStr">
        <is>
          <t>Evidence ID</t>
        </is>
      </c>
      <c r="R6" s="13" t="inlineStr">
        <is>
          <t>Monitoring Type</t>
        </is>
      </c>
      <c r="S6" s="13" t="inlineStr">
        <is>
          <t>Monitoring Frequency</t>
        </is>
      </c>
      <c r="T6" s="13" t="inlineStr">
        <is>
          <t>Alert Configured?</t>
        </is>
      </c>
      <c r="U6" s="13" t="inlineStr">
        <is>
          <t>Incidents Detected</t>
        </is>
      </c>
      <c r="V6" s="13" t="inlineStr">
        <is>
          <t>Incident Response Time</t>
        </is>
      </c>
    </row>
    <row r="7">
      <c r="A7" s="4" t="inlineStr">
        <is>
          <t>TEST-001</t>
        </is>
      </c>
      <c r="B7" s="4" t="inlineStr">
        <is>
          <t>Customer CRM</t>
        </is>
      </c>
      <c r="C7" s="4" t="inlineStr">
        <is>
          <t>Production</t>
        </is>
      </c>
      <c r="D7" s="4" t="inlineStr">
        <is>
          <t>CAT-PII-D</t>
        </is>
      </c>
      <c r="E7" s="4" t="inlineStr">
        <is>
          <t>Format Preservation</t>
        </is>
      </c>
      <c r="F7" s="4" t="inlineStr">
        <is>
          <t>15.01.2026</t>
        </is>
      </c>
      <c r="G7" s="4" t="inlineStr">
        <is>
          <t>Data Engineer</t>
        </is>
      </c>
      <c r="H7" s="4" t="inlineStr">
        <is>
          <t>Manual inspection</t>
        </is>
      </c>
      <c r="I7" s="4" t="inlineStr">
        <is>
          <t>Pass</t>
        </is>
      </c>
      <c r="J7" s="4" t="inlineStr">
        <is>
          <t>Email fields maintain @domain format after masking</t>
        </is>
      </c>
      <c r="K7" s="4" t="inlineStr">
        <is>
          <t>Test Plan v1.0</t>
        </is>
      </c>
      <c r="L7" s="4" t="inlineStr">
        <is>
          <t>EV-001</t>
        </is>
      </c>
      <c r="M7" s="4" t="inlineStr">
        <is>
          <t>No</t>
        </is>
      </c>
      <c r="N7" s="4" t="inlineStr">
        <is>
          <t>N/A</t>
        </is>
      </c>
      <c r="O7" s="4" t="inlineStr">
        <is>
          <t>15.01.2026</t>
        </is>
      </c>
      <c r="P7" s="4" t="inlineStr">
        <is>
          <t>Validated and approved</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row>
    <row r="60">
      <c r="A60" s="12" t="inlineStr">
        <is>
          <t>ONGOING CHECKLIST</t>
        </is>
      </c>
    </row>
    <row r="61">
      <c r="A61" t="inlineStr">
        <is>
          <t>☐</t>
        </is>
      </c>
      <c r="B61" t="inlineStr">
        <is>
          <t>Automated monitoring enabled for masking failures</t>
        </is>
      </c>
      <c r="C61" s="4" t="n"/>
    </row>
    <row r="62">
      <c r="A62" t="inlineStr">
        <is>
          <t>☐</t>
        </is>
      </c>
      <c r="B62" t="inlineStr">
        <is>
          <t>Alerts configured for masking rule violations</t>
        </is>
      </c>
      <c r="C62" s="4" t="n"/>
    </row>
    <row r="63">
      <c r="A63" t="inlineStr">
        <is>
          <t>☐</t>
        </is>
      </c>
      <c r="B63" t="inlineStr">
        <is>
          <t>Monitoring logs reviewed regularly (daily/weekly)</t>
        </is>
      </c>
      <c r="C63" s="4" t="n"/>
    </row>
    <row r="64">
      <c r="A64" t="inlineStr">
        <is>
          <t>☐</t>
        </is>
      </c>
      <c r="B64" t="inlineStr">
        <is>
          <t>Schema change alerts configured</t>
        </is>
      </c>
      <c r="C64" s="4" t="n"/>
    </row>
    <row r="65">
      <c r="A65" t="inlineStr">
        <is>
          <t>☐</t>
        </is>
      </c>
      <c r="B65" t="inlineStr">
        <is>
          <t>Periodic re-testing scheduled (monthly/quarterly)</t>
        </is>
      </c>
      <c r="C65" s="4" t="n"/>
    </row>
    <row r="66">
      <c r="A66" t="inlineStr">
        <is>
          <t>☐</t>
        </is>
      </c>
      <c r="B66" t="inlineStr">
        <is>
          <t>Re-testing performed after every data refresh</t>
        </is>
      </c>
      <c r="C66" s="4" t="n"/>
    </row>
    <row r="67">
      <c r="A67" t="inlineStr">
        <is>
          <t>☐</t>
        </is>
      </c>
      <c r="B67" t="inlineStr">
        <is>
          <t>Re-testing performed after every schema change</t>
        </is>
      </c>
      <c r="C67" s="4" t="n"/>
    </row>
    <row r="68">
      <c r="A68" t="inlineStr">
        <is>
          <t>☐</t>
        </is>
      </c>
      <c r="B68" t="inlineStr">
        <is>
          <t>Incident response time tracked (target: &lt;24 hours)</t>
        </is>
      </c>
      <c r="C68" s="4" t="n"/>
    </row>
    <row r="69">
      <c r="A69" t="inlineStr">
        <is>
          <t>☐</t>
        </is>
      </c>
      <c r="B69" t="inlineStr">
        <is>
          <t>Masking failures escalated to ISO</t>
        </is>
      </c>
      <c r="C69" s="4" t="n"/>
    </row>
    <row r="70">
      <c r="A70" t="inlineStr">
        <is>
          <t>☐</t>
        </is>
      </c>
      <c r="B70" t="inlineStr">
        <is>
          <t>Root cause analysis performed for failures</t>
        </is>
      </c>
      <c r="C70" s="4" t="n"/>
    </row>
    <row r="71">
      <c r="A71" t="inlineStr">
        <is>
          <t>☐</t>
        </is>
      </c>
      <c r="B71" t="inlineStr">
        <is>
          <t>Monitoring metrics tracked over time</t>
        </is>
      </c>
      <c r="C71" s="4" t="n"/>
    </row>
    <row r="72">
      <c r="A72" t="inlineStr">
        <is>
          <t>☐</t>
        </is>
      </c>
      <c r="B72" t="inlineStr">
        <is>
          <t>Annual comprehensive masking audit performed</t>
        </is>
      </c>
      <c r="C72" s="4" t="n"/>
    </row>
  </sheetData>
  <mergeCells count="2">
    <mergeCell ref="A2:Q2"/>
    <mergeCell ref="A1:Q1"/>
  </mergeCells>
  <dataValidations count="9">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"Production,Development,Testing,UAT,Analytics,Cloud,Other"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"PII,Financial,Health,Credentials,Proprietary,Mixed"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"Pre-Deployment,Post-Deployment,Completeness,Re-ID,Utility,Performance"</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"Manual,Automated,Hybrid"</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 Pass,❌ Fail,⚠️ Partial,Blocked,N/A"</formula1>
    </dataValidation>
    <dataValidation sqref="B3" showDropDown="0" showInputMessage="0" showErrorMessage="0" allowBlank="0" type="list">
      <formula1>"Yes,No,Partial,Planned,N/A"</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"Yes,No,N/A"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"Not Started,In Progress,Completed,Blocked"</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35" customWidth="1" min="3" max="3"/>
    <col width="25" customWidth="1" min="4" max="4"/>
    <col width="25" customWidth="1" min="5" max="5"/>
    <col width="12" customWidth="1" min="6" max="6"/>
    <col width="25" customWidth="1" min="7" max="7"/>
    <col width="35" customWidth="1" min="8" max="8"/>
    <col width="20" customWidth="1" min="9" max="9"/>
    <col width="15" customWidth="1" min="10" max="10"/>
    <col width="15" customWidth="1" min="11" max="11"/>
    <col width="15" customWidth="1" min="12" max="12"/>
  </cols>
  <sheetData>
    <row r="1" ht="35" customHeight="1">
      <c r="A1" s="1" t="inlineStr">
        <is>
          <t>TESTING GAP ANALYSIS &amp; REMEDIATION PLAN</t>
        </is>
      </c>
    </row>
    <row r="2">
      <c r="A2" s="11" t="inlineStr">
        <is>
          <t>Identify gaps in testing validation processes (51 rows: 1 sample + 50 empty)</t>
        </is>
      </c>
    </row>
    <row r="3">
      <c r="A3" s="13" t="inlineStr">
        <is>
          <t>Gap ID</t>
        </is>
      </c>
      <c r="B3" s="13" t="inlineStr">
        <is>
          <t>Test Type</t>
        </is>
      </c>
      <c r="C3" s="13" t="inlineStr">
        <is>
          <t>Gap Description</t>
        </is>
      </c>
      <c r="D3" s="13" t="inlineStr">
        <is>
          <t>Current State</t>
        </is>
      </c>
      <c r="E3" s="13" t="inlineStr">
        <is>
          <t>Target State</t>
        </is>
      </c>
      <c r="F3" s="13" t="inlineStr">
        <is>
          <t>Risk Level</t>
        </is>
      </c>
      <c r="G3" s="13" t="inlineStr">
        <is>
          <t>Impact</t>
        </is>
      </c>
      <c r="H3" s="13" t="inlineStr">
        <is>
          <t>Remediation Action</t>
        </is>
      </c>
      <c r="I3" s="13" t="inlineStr">
        <is>
          <t>Owner</t>
        </is>
      </c>
      <c r="J3" s="13" t="inlineStr">
        <is>
          <t>Target Date</t>
        </is>
      </c>
      <c r="K3" s="13" t="inlineStr">
        <is>
          <t>Status</t>
        </is>
      </c>
      <c r="L3" s="13" t="inlineStr">
        <is>
          <t>Evidence ID</t>
        </is>
      </c>
    </row>
    <row r="4">
      <c r="A4" s="14" t="inlineStr">
        <is>
          <t>GAP-001</t>
        </is>
      </c>
      <c r="B4" s="14" t="inlineStr">
        <is>
          <t>Format Preservation</t>
        </is>
      </c>
      <c r="C4" s="14" t="inlineStr">
        <is>
          <t>Email masking does not preserve format (@ symbol position varies)</t>
        </is>
      </c>
      <c r="D4" s="14" t="inlineStr">
        <is>
          <t>Email masked as random string</t>
        </is>
      </c>
      <c r="E4" s="14" t="inlineStr">
        <is>
          <t>Email format preserved (user@domain structure maintained)</t>
        </is>
      </c>
      <c r="F4" s="14" t="inlineStr">
        <is>
          <t>Medium</t>
        </is>
      </c>
      <c r="G4" s="14" t="inlineStr">
        <is>
          <t>Validation tests fail; masked data breaks application logic</t>
        </is>
      </c>
      <c r="H4" s="14" t="inlineStr">
        <is>
          <t>Implement format-preserving masking function for email fields</t>
        </is>
      </c>
      <c r="I4" s="14" t="inlineStr">
        <is>
          <t>Data Engineering</t>
        </is>
      </c>
      <c r="J4" s="14" t="inlineStr">
        <is>
          <t>31.03.2026</t>
        </is>
      </c>
      <c r="K4" s="14" t="inlineStr">
        <is>
          <t>In Progress</t>
        </is>
      </c>
      <c r="L4" s="14" t="inlineStr">
        <is>
          <t>EV-001</t>
        </is>
      </c>
    </row>
    <row r="5">
      <c r="A5" s="4" t="n"/>
      <c r="B5" s="4" t="n"/>
      <c r="C5" s="4" t="n"/>
      <c r="D5" s="4" t="n"/>
      <c r="E5" s="4" t="n"/>
      <c r="F5" s="4" t="n"/>
      <c r="G5" s="4" t="n"/>
      <c r="H5" s="4" t="n"/>
      <c r="I5" s="4" t="n"/>
      <c r="J5" s="4" t="n"/>
      <c r="K5" s="4" t="n"/>
      <c r="L5" s="4" t="n"/>
    </row>
    <row r="6">
      <c r="A6" s="4" t="n"/>
      <c r="B6" s="4" t="n"/>
      <c r="C6" s="4" t="n"/>
      <c r="D6" s="4" t="n"/>
      <c r="E6" s="4" t="n"/>
      <c r="F6" s="4" t="n"/>
      <c r="G6" s="4" t="n"/>
      <c r="H6" s="4" t="n"/>
      <c r="I6" s="4" t="n"/>
      <c r="J6" s="4" t="n"/>
      <c r="K6" s="4" t="n"/>
      <c r="L6" s="4" t="n"/>
    </row>
    <row r="7">
      <c r="A7" s="4" t="n"/>
      <c r="B7" s="4" t="n"/>
      <c r="C7" s="4" t="n"/>
      <c r="D7" s="4" t="n"/>
      <c r="E7" s="4" t="n"/>
      <c r="F7" s="4" t="n"/>
      <c r="G7" s="4" t="n"/>
      <c r="H7" s="4" t="n"/>
      <c r="I7" s="4" t="n"/>
      <c r="J7" s="4" t="n"/>
      <c r="K7" s="4" t="n"/>
      <c r="L7" s="4" t="n"/>
    </row>
    <row r="8">
      <c r="A8" s="4" t="n"/>
      <c r="B8" s="4" t="n"/>
      <c r="C8" s="4" t="n"/>
      <c r="D8" s="4" t="n"/>
      <c r="E8" s="4" t="n"/>
      <c r="F8" s="4" t="n"/>
      <c r="G8" s="4" t="n"/>
      <c r="H8" s="4" t="n"/>
      <c r="I8" s="4" t="n"/>
      <c r="J8" s="4" t="n"/>
      <c r="K8" s="4" t="n"/>
      <c r="L8" s="4" t="n"/>
    </row>
    <row r="9">
      <c r="A9" s="4" t="n"/>
      <c r="B9" s="4" t="n"/>
      <c r="C9" s="4" t="n"/>
      <c r="D9" s="4" t="n"/>
      <c r="E9" s="4" t="n"/>
      <c r="F9" s="4" t="n"/>
      <c r="G9" s="4" t="n"/>
      <c r="H9" s="4" t="n"/>
      <c r="I9" s="4" t="n"/>
      <c r="J9" s="4" t="n"/>
      <c r="K9" s="4" t="n"/>
      <c r="L9" s="4" t="n"/>
    </row>
    <row r="10">
      <c r="A10" s="4" t="n"/>
      <c r="B10" s="4" t="n"/>
      <c r="C10" s="4" t="n"/>
      <c r="D10" s="4" t="n"/>
      <c r="E10" s="4" t="n"/>
      <c r="F10" s="4" t="n"/>
      <c r="G10" s="4" t="n"/>
      <c r="H10" s="4" t="n"/>
      <c r="I10" s="4" t="n"/>
      <c r="J10" s="4" t="n"/>
      <c r="K10" s="4" t="n"/>
      <c r="L10" s="4" t="n"/>
    </row>
    <row r="11">
      <c r="A11" s="4" t="n"/>
      <c r="B11" s="4" t="n"/>
      <c r="C11" s="4" t="n"/>
      <c r="D11" s="4" t="n"/>
      <c r="E11" s="4" t="n"/>
      <c r="F11" s="4" t="n"/>
      <c r="G11" s="4" t="n"/>
      <c r="H11" s="4" t="n"/>
      <c r="I11" s="4" t="n"/>
      <c r="J11" s="4" t="n"/>
      <c r="K11" s="4" t="n"/>
      <c r="L11" s="4" t="n"/>
    </row>
    <row r="12">
      <c r="A12" s="4" t="n"/>
      <c r="B12" s="4" t="n"/>
      <c r="C12" s="4" t="n"/>
      <c r="D12" s="4" t="n"/>
      <c r="E12" s="4" t="n"/>
      <c r="F12" s="4" t="n"/>
      <c r="G12" s="4" t="n"/>
      <c r="H12" s="4" t="n"/>
      <c r="I12" s="4" t="n"/>
      <c r="J12" s="4" t="n"/>
      <c r="K12" s="4" t="n"/>
      <c r="L12" s="4" t="n"/>
    </row>
    <row r="13">
      <c r="A13" s="4" t="n"/>
      <c r="B13" s="4" t="n"/>
      <c r="C13" s="4" t="n"/>
      <c r="D13" s="4" t="n"/>
      <c r="E13" s="4" t="n"/>
      <c r="F13" s="4" t="n"/>
      <c r="G13" s="4" t="n"/>
      <c r="H13" s="4" t="n"/>
      <c r="I13" s="4" t="n"/>
      <c r="J13" s="4" t="n"/>
      <c r="K13" s="4" t="n"/>
      <c r="L13" s="4" t="n"/>
    </row>
    <row r="14">
      <c r="A14" s="4" t="n"/>
      <c r="B14" s="4" t="n"/>
      <c r="C14" s="4" t="n"/>
      <c r="D14" s="4" t="n"/>
      <c r="E14" s="4" t="n"/>
      <c r="F14" s="4" t="n"/>
      <c r="G14" s="4" t="n"/>
      <c r="H14" s="4" t="n"/>
      <c r="I14" s="4" t="n"/>
      <c r="J14" s="4" t="n"/>
      <c r="K14" s="4" t="n"/>
      <c r="L14" s="4" t="n"/>
    </row>
    <row r="15">
      <c r="A15" s="4" t="n"/>
      <c r="B15" s="4" t="n"/>
      <c r="C15" s="4" t="n"/>
      <c r="D15" s="4" t="n"/>
      <c r="E15" s="4" t="n"/>
      <c r="F15" s="4" t="n"/>
      <c r="G15" s="4" t="n"/>
      <c r="H15" s="4" t="n"/>
      <c r="I15" s="4" t="n"/>
      <c r="J15" s="4" t="n"/>
      <c r="K15" s="4" t="n"/>
      <c r="L15" s="4" t="n"/>
    </row>
    <row r="16">
      <c r="A16" s="4" t="n"/>
      <c r="B16" s="4" t="n"/>
      <c r="C16" s="4" t="n"/>
      <c r="D16" s="4" t="n"/>
      <c r="E16" s="4" t="n"/>
      <c r="F16" s="4" t="n"/>
      <c r="G16" s="4" t="n"/>
      <c r="H16" s="4" t="n"/>
      <c r="I16" s="4" t="n"/>
      <c r="J16" s="4" t="n"/>
      <c r="K16" s="4" t="n"/>
      <c r="L16" s="4" t="n"/>
    </row>
    <row r="17">
      <c r="A17" s="4" t="n"/>
      <c r="B17" s="4" t="n"/>
      <c r="C17" s="4" t="n"/>
      <c r="D17" s="4"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4" t="n"/>
      <c r="B19" s="4" t="n"/>
      <c r="C19" s="4" t="n"/>
      <c r="D19" s="4" t="n"/>
      <c r="E19" s="4" t="n"/>
      <c r="F19" s="4" t="n"/>
      <c r="G19" s="4" t="n"/>
      <c r="H19" s="4" t="n"/>
      <c r="I19" s="4" t="n"/>
      <c r="J19" s="4" t="n"/>
      <c r="K19" s="4" t="n"/>
      <c r="L19" s="4" t="n"/>
    </row>
    <row r="20">
      <c r="A20" s="4" t="n"/>
      <c r="B20" s="4" t="n"/>
      <c r="C20" s="4" t="n"/>
      <c r="D20" s="4" t="n"/>
      <c r="E20" s="4" t="n"/>
      <c r="F20" s="4" t="n"/>
      <c r="G20" s="4" t="n"/>
      <c r="H20" s="4" t="n"/>
      <c r="I20" s="4" t="n"/>
      <c r="J20" s="4" t="n"/>
      <c r="K20" s="4" t="n"/>
      <c r="L20" s="4" t="n"/>
    </row>
    <row r="21">
      <c r="A21" s="4" t="n"/>
      <c r="B21" s="4" t="n"/>
      <c r="C21" s="4" t="n"/>
      <c r="D21" s="4" t="n"/>
      <c r="E21" s="4" t="n"/>
      <c r="F21" s="4" t="n"/>
      <c r="G21" s="4" t="n"/>
      <c r="H21" s="4" t="n"/>
      <c r="I21" s="4" t="n"/>
      <c r="J21" s="4" t="n"/>
      <c r="K21" s="4" t="n"/>
      <c r="L21" s="4" t="n"/>
    </row>
    <row r="22">
      <c r="A22" s="4" t="n"/>
      <c r="B22" s="4" t="n"/>
      <c r="C22" s="4" t="n"/>
      <c r="D22" s="4" t="n"/>
      <c r="E22" s="4" t="n"/>
      <c r="F22" s="4" t="n"/>
      <c r="G22" s="4" t="n"/>
      <c r="H22" s="4" t="n"/>
      <c r="I22" s="4" t="n"/>
      <c r="J22" s="4" t="n"/>
      <c r="K22" s="4" t="n"/>
      <c r="L22" s="4" t="n"/>
    </row>
    <row r="23">
      <c r="A23" s="4" t="n"/>
      <c r="B23" s="4" t="n"/>
      <c r="C23" s="4" t="n"/>
      <c r="D23" s="4" t="n"/>
      <c r="E23" s="4" t="n"/>
      <c r="F23" s="4" t="n"/>
      <c r="G23" s="4" t="n"/>
      <c r="H23" s="4" t="n"/>
      <c r="I23" s="4" t="n"/>
      <c r="J23" s="4" t="n"/>
      <c r="K23" s="4" t="n"/>
      <c r="L23" s="4" t="n"/>
    </row>
    <row r="24">
      <c r="A24" s="4" t="n"/>
      <c r="B24" s="4" t="n"/>
      <c r="C24" s="4" t="n"/>
      <c r="D24" s="4" t="n"/>
      <c r="E24" s="4" t="n"/>
      <c r="F24" s="4" t="n"/>
      <c r="G24" s="4" t="n"/>
      <c r="H24" s="4" t="n"/>
      <c r="I24" s="4" t="n"/>
      <c r="J24" s="4" t="n"/>
      <c r="K24" s="4" t="n"/>
      <c r="L24" s="4" t="n"/>
    </row>
    <row r="25">
      <c r="A25" s="4" t="n"/>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4" t="n"/>
      <c r="B27" s="4" t="n"/>
      <c r="C27" s="4" t="n"/>
      <c r="D27" s="4" t="n"/>
      <c r="E27" s="4" t="n"/>
      <c r="F27" s="4" t="n"/>
      <c r="G27" s="4" t="n"/>
      <c r="H27" s="4" t="n"/>
      <c r="I27" s="4" t="n"/>
      <c r="J27" s="4" t="n"/>
      <c r="K27" s="4" t="n"/>
      <c r="L27" s="4" t="n"/>
    </row>
    <row r="28">
      <c r="A28" s="4" t="n"/>
      <c r="B28" s="4" t="n"/>
      <c r="C28" s="4" t="n"/>
      <c r="D28" s="4" t="n"/>
      <c r="E28" s="4" t="n"/>
      <c r="F28" s="4" t="n"/>
      <c r="G28" s="4" t="n"/>
      <c r="H28" s="4" t="n"/>
      <c r="I28" s="4" t="n"/>
      <c r="J28" s="4" t="n"/>
      <c r="K28" s="4" t="n"/>
      <c r="L28" s="4" t="n"/>
    </row>
    <row r="29">
      <c r="A29" s="4" t="n"/>
      <c r="B29" s="4" t="n"/>
      <c r="C29" s="4" t="n"/>
      <c r="D29" s="4" t="n"/>
      <c r="E29" s="4" t="n"/>
      <c r="F29" s="4" t="n"/>
      <c r="G29" s="4" t="n"/>
      <c r="H29" s="4" t="n"/>
      <c r="I29" s="4" t="n"/>
      <c r="J29" s="4" t="n"/>
      <c r="K29" s="4" t="n"/>
      <c r="L29" s="4" t="n"/>
    </row>
    <row r="30">
      <c r="A30" s="4" t="n"/>
      <c r="B30" s="4" t="n"/>
      <c r="C30" s="4" t="n"/>
      <c r="D30" s="4" t="n"/>
      <c r="E30" s="4" t="n"/>
      <c r="F30" s="4" t="n"/>
      <c r="G30" s="4" t="n"/>
      <c r="H30" s="4" t="n"/>
      <c r="I30" s="4" t="n"/>
      <c r="J30" s="4" t="n"/>
      <c r="K30" s="4" t="n"/>
      <c r="L30" s="4" t="n"/>
    </row>
    <row r="31">
      <c r="A31" s="4" t="n"/>
      <c r="B31" s="4" t="n"/>
      <c r="C31" s="4" t="n"/>
      <c r="D31" s="4" t="n"/>
      <c r="E31" s="4" t="n"/>
      <c r="F31" s="4" t="n"/>
      <c r="G31" s="4" t="n"/>
      <c r="H31" s="4" t="n"/>
      <c r="I31" s="4" t="n"/>
      <c r="J31" s="4" t="n"/>
      <c r="K31" s="4" t="n"/>
      <c r="L31" s="4" t="n"/>
    </row>
    <row r="32">
      <c r="A32" s="4" t="n"/>
      <c r="B32" s="4" t="n"/>
      <c r="C32" s="4" t="n"/>
      <c r="D32" s="4" t="n"/>
      <c r="E32" s="4" t="n"/>
      <c r="F32" s="4" t="n"/>
      <c r="G32" s="4" t="n"/>
      <c r="H32" s="4" t="n"/>
      <c r="I32" s="4" t="n"/>
      <c r="J32" s="4" t="n"/>
      <c r="K32" s="4" t="n"/>
      <c r="L32" s="4" t="n"/>
    </row>
    <row r="33">
      <c r="A33" s="4" t="n"/>
      <c r="B33" s="4" t="n"/>
      <c r="C33" s="4" t="n"/>
      <c r="D33" s="4" t="n"/>
      <c r="E33" s="4" t="n"/>
      <c r="F33" s="4" t="n"/>
      <c r="G33" s="4" t="n"/>
      <c r="H33" s="4" t="n"/>
      <c r="I33" s="4" t="n"/>
      <c r="J33" s="4" t="n"/>
      <c r="K33" s="4" t="n"/>
      <c r="L33" s="4" t="n"/>
    </row>
    <row r="34">
      <c r="A34" s="4" t="n"/>
      <c r="B34" s="4" t="n"/>
      <c r="C34" s="4" t="n"/>
      <c r="D34" s="4" t="n"/>
      <c r="E34" s="4" t="n"/>
      <c r="F34" s="4" t="n"/>
      <c r="G34" s="4" t="n"/>
      <c r="H34" s="4" t="n"/>
      <c r="I34" s="4" t="n"/>
      <c r="J34" s="4" t="n"/>
      <c r="K34" s="4" t="n"/>
      <c r="L34" s="4" t="n"/>
    </row>
    <row r="35">
      <c r="A35" s="4" t="n"/>
      <c r="B35" s="4" t="n"/>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row r="50">
      <c r="A50" s="4" t="n"/>
      <c r="B50" s="4" t="n"/>
      <c r="C50" s="4" t="n"/>
      <c r="D50" s="4" t="n"/>
      <c r="E50" s="4" t="n"/>
      <c r="F50" s="4" t="n"/>
      <c r="G50" s="4" t="n"/>
      <c r="H50" s="4" t="n"/>
      <c r="I50" s="4" t="n"/>
      <c r="J50" s="4" t="n"/>
      <c r="K50" s="4" t="n"/>
      <c r="L50" s="4" t="n"/>
    </row>
    <row r="51">
      <c r="A51" s="4" t="n"/>
      <c r="B51" s="4" t="n"/>
      <c r="C51" s="4" t="n"/>
      <c r="D51" s="4" t="n"/>
      <c r="E51" s="4" t="n"/>
      <c r="F51" s="4" t="n"/>
      <c r="G51" s="4" t="n"/>
      <c r="H51" s="4" t="n"/>
      <c r="I51" s="4" t="n"/>
      <c r="J51" s="4" t="n"/>
      <c r="K51" s="4" t="n"/>
      <c r="L51" s="4" t="n"/>
    </row>
    <row r="52">
      <c r="A52" s="4" t="n"/>
      <c r="B52" s="4" t="n"/>
      <c r="C52" s="4" t="n"/>
      <c r="D52" s="4" t="n"/>
      <c r="E52" s="4" t="n"/>
      <c r="F52" s="4" t="n"/>
      <c r="G52" s="4" t="n"/>
      <c r="H52" s="4" t="n"/>
      <c r="I52" s="4" t="n"/>
      <c r="J52" s="4" t="n"/>
      <c r="K52" s="4" t="n"/>
      <c r="L52" s="4" t="n"/>
    </row>
    <row r="53">
      <c r="A53" s="4" t="n"/>
      <c r="B53" s="4" t="n"/>
      <c r="C53" s="4" t="n"/>
      <c r="D53" s="4" t="n"/>
      <c r="E53" s="4" t="n"/>
      <c r="F53" s="4" t="n"/>
      <c r="G53" s="4" t="n"/>
      <c r="H53" s="4" t="n"/>
      <c r="I53" s="4" t="n"/>
      <c r="J53" s="4" t="n"/>
      <c r="K53" s="4" t="n"/>
      <c r="L53" s="4" t="n"/>
    </row>
    <row r="54">
      <c r="A54" s="4" t="n"/>
      <c r="B54" s="4" t="n"/>
      <c r="C54" s="4" t="n"/>
      <c r="D54" s="4" t="n"/>
      <c r="E54" s="4" t="n"/>
      <c r="F54" s="4" t="n"/>
      <c r="G54" s="4" t="n"/>
      <c r="H54" s="4" t="n"/>
      <c r="I54" s="4" t="n"/>
      <c r="J54" s="4" t="n"/>
      <c r="K54" s="4" t="n"/>
      <c r="L54" s="4" t="n"/>
    </row>
  </sheetData>
  <mergeCells count="2">
    <mergeCell ref="A2:L2"/>
    <mergeCell ref="A1:L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40" customWidth="1" min="3" max="3"/>
    <col width="25" customWidth="1" min="4" max="4"/>
    <col width="15" customWidth="1" min="5" max="5"/>
    <col width="20" customWidth="1" min="6" max="6"/>
    <col width="15" customWidth="1" min="7" max="7"/>
    <col width="30" customWidth="1" min="8" max="8"/>
  </cols>
  <sheetData>
    <row r="1" ht="35" customHeight="1">
      <c r="A1" s="15" t="inlineStr">
        <is>
          <t>EVIDENCE REGISTER</t>
        </is>
      </c>
    </row>
    <row r="2">
      <c r="A2" s="16" t="inlineStr">
        <is>
          <t>List all evidence files/documents referenced in this assessment (audit traceability).</t>
        </is>
      </c>
    </row>
    <row r="4">
      <c r="A4" s="17" t="inlineStr">
        <is>
          <t>Evidence ID</t>
        </is>
      </c>
      <c r="B4" s="17" t="inlineStr">
        <is>
          <t>Category</t>
        </is>
      </c>
      <c r="C4" s="17" t="inlineStr">
        <is>
          <t>Description</t>
        </is>
      </c>
      <c r="D4" s="17" t="inlineStr">
        <is>
          <t>Source/Location</t>
        </is>
      </c>
      <c r="E4" s="17" t="inlineStr">
        <is>
          <t>Date Collected</t>
        </is>
      </c>
      <c r="F4" s="17" t="inlineStr">
        <is>
          <t>Collected By</t>
        </is>
      </c>
      <c r="G4" s="17" t="inlineStr">
        <is>
          <t>Status</t>
        </is>
      </c>
      <c r="H4" s="17" t="inlineStr">
        <is>
          <t>Notes</t>
        </is>
      </c>
    </row>
    <row r="5">
      <c r="A5" s="18" t="inlineStr">
        <is>
          <t>EV-001</t>
        </is>
      </c>
      <c r="B5" s="18" t="inlineStr">
        <is>
          <t>Test report</t>
        </is>
      </c>
      <c r="C5" s="18" t="inlineStr">
        <is>
          <t>Data masking validation test results for production migration</t>
        </is>
      </c>
      <c r="D5" s="18" t="inlineStr">
        <is>
          <t>/evidence/masking-validation-prod-migration.pdf</t>
        </is>
      </c>
      <c r="E5" s="18" t="inlineStr">
        <is>
          <t>15.01.2026</t>
        </is>
      </c>
      <c r="F5" s="18" t="inlineStr">
        <is>
          <t>QA Team</t>
        </is>
      </c>
      <c r="G5" s="18" t="inlineStr">
        <is>
          <t>Verified</t>
        </is>
      </c>
      <c r="H5" s="18" t="inlineStr">
        <is>
          <t>Pre-deployment validation completed successfully</t>
        </is>
      </c>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sheetData>
  <mergeCells count="2">
    <mergeCell ref="A2:H2"/>
    <mergeCell ref="A1:H1"/>
  </mergeCells>
  <dataValidations count="2">
    <dataValidation sqref="B5:B104" showDropDown="0" showInputMessage="0" showErrorMessage="0" allowBlank="1" type="list">
      <formula1>"Test report,Screenshot,Scan output,Configuration file,Log extract,Risk assessment,Monitoring alert,Remediation record,Audit evidence,Other"</formula1>
    </dataValidation>
    <dataValidation sqref="G5:G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1" t="inlineStr">
        <is>
          <t>Testing &amp; Validation Framework — SUMMARY DASHBOARD</t>
        </is>
      </c>
    </row>
    <row r="2">
      <c r="A2" s="19" t="inlineStr">
        <is>
          <t>Summary Dashboard  |  Testing &amp; Validation Framework  |  Generated: 01.03.2026</t>
        </is>
      </c>
    </row>
    <row r="4">
      <c r="A4" s="20" t="inlineStr">
        <is>
          <t>TABLE 1 – COMPLIANCE ASSESSMENT SUMMARY</t>
        </is>
      </c>
    </row>
    <row r="5">
      <c r="A5" s="13" t="inlineStr">
        <is>
          <t>Assessment Area</t>
        </is>
      </c>
      <c r="B5" s="13" t="inlineStr">
        <is>
          <t>Total Items</t>
        </is>
      </c>
      <c r="C5" s="13" t="inlineStr">
        <is>
          <t>Compliant</t>
        </is>
      </c>
      <c r="D5" s="13" t="inlineStr">
        <is>
          <t>Partial</t>
        </is>
      </c>
      <c r="E5" s="13" t="inlineStr">
        <is>
          <t>Non-Compliant</t>
        </is>
      </c>
      <c r="F5" s="13" t="inlineStr">
        <is>
          <t>N/A</t>
        </is>
      </c>
      <c r="G5" s="13" t="inlineStr">
        <is>
          <t>Compliance %</t>
        </is>
      </c>
    </row>
    <row r="6">
      <c r="A6" s="21" t="inlineStr">
        <is>
          <t>Pre-Deployment Tests</t>
        </is>
      </c>
      <c r="B6" s="22">
        <f>C6+D6+E6+F6</f>
        <v/>
      </c>
      <c r="C6" s="22">
        <f>COUNTIF('PreDeployment Tests'!I8:I100,"✅ Pass")</f>
        <v/>
      </c>
      <c r="D6" s="22">
        <f>COUNTIF('PreDeployment Tests'!I8:I100,"⚠️ Partial")</f>
        <v/>
      </c>
      <c r="E6" s="22">
        <f>COUNTIF('PreDeployment Tests'!I8:I100,"❌ Fail")+COUNTIF('PreDeployment Tests'!I8:I100,"Blocked")</f>
        <v/>
      </c>
      <c r="F6" s="22">
        <f>COUNTIF('PreDeployment Tests'!I8:I100,"N/A")</f>
        <v/>
      </c>
      <c r="G6" s="23">
        <f>IF((B6-F6)=0,0,C6/(B6-F6))</f>
        <v/>
      </c>
    </row>
    <row r="7">
      <c r="A7" s="21" t="inlineStr">
        <is>
          <t>Post-Deployment Validation</t>
        </is>
      </c>
      <c r="B7" s="22">
        <f>C7+D7+E7+F7</f>
        <v/>
      </c>
      <c r="C7" s="22">
        <f>COUNTIF('PostDeployment Validation'!I8:I100,"✅ Pass")</f>
        <v/>
      </c>
      <c r="D7" s="22">
        <f>COUNTIF('PostDeployment Validation'!I8:I100,"⚠️ Partial")</f>
        <v/>
      </c>
      <c r="E7" s="22">
        <f>COUNTIF('PostDeployment Validation'!I8:I100,"❌ Fail")+COUNTIF('PostDeployment Validation'!I8:I100,"Blocked")</f>
        <v/>
      </c>
      <c r="F7" s="22">
        <f>COUNTIF('PostDeployment Validation'!I8:I100,"N/A")</f>
        <v/>
      </c>
      <c r="G7" s="23">
        <f>IF((B7-F7)=0,0,C7/(B7-F7))</f>
        <v/>
      </c>
    </row>
    <row r="8">
      <c r="A8" s="21" t="inlineStr">
        <is>
          <t>Completeness Testing</t>
        </is>
      </c>
      <c r="B8" s="22">
        <f>C8+D8+E8+F8</f>
        <v/>
      </c>
      <c r="C8" s="22">
        <f>COUNTIF('Completeness Testing'!I8:I100,"✅ Pass")</f>
        <v/>
      </c>
      <c r="D8" s="22">
        <f>COUNTIF('Completeness Testing'!I8:I100,"⚠️ Partial")</f>
        <v/>
      </c>
      <c r="E8" s="22">
        <f>COUNTIF('Completeness Testing'!I8:I100,"❌ Fail")+COUNTIF('Completeness Testing'!I8:I100,"Blocked")</f>
        <v/>
      </c>
      <c r="F8" s="22">
        <f>COUNTIF('Completeness Testing'!I8:I100,"N/A")</f>
        <v/>
      </c>
      <c r="G8" s="23">
        <f>IF((B8-F8)=0,0,C8/(B8-F8))</f>
        <v/>
      </c>
    </row>
    <row r="9">
      <c r="A9" s="21" t="inlineStr">
        <is>
          <t>Format Preservation</t>
        </is>
      </c>
      <c r="B9" s="22">
        <f>C9+D9+E9+F9</f>
        <v/>
      </c>
      <c r="C9" s="22">
        <f>COUNTIF('Format Preservation'!I8:I100,"✅ Pass")</f>
        <v/>
      </c>
      <c r="D9" s="22">
        <f>COUNTIF('Format Preservation'!I8:I100,"⚠️ Partial")</f>
        <v/>
      </c>
      <c r="E9" s="22">
        <f>COUNTIF('Format Preservation'!I8:I100,"❌ Fail")+COUNTIF('Format Preservation'!I8:I100,"Blocked")</f>
        <v/>
      </c>
      <c r="F9" s="22">
        <f>COUNTIF('Format Preservation'!I8:I100,"N/A")</f>
        <v/>
      </c>
      <c r="G9" s="23">
        <f>IF((B9-F9)=0,0,C9/(B9-F9))</f>
        <v/>
      </c>
    </row>
    <row r="10">
      <c r="A10" s="21" t="inlineStr">
        <is>
          <t>Referential Integrity</t>
        </is>
      </c>
      <c r="B10" s="22">
        <f>C10+D10+E10+F10</f>
        <v/>
      </c>
      <c r="C10" s="22">
        <f>COUNTIF('Referential Integrity'!I8:I100,"✅ Pass")</f>
        <v/>
      </c>
      <c r="D10" s="22">
        <f>COUNTIF('Referential Integrity'!I8:I100,"⚠️ Partial")</f>
        <v/>
      </c>
      <c r="E10" s="22">
        <f>COUNTIF('Referential Integrity'!I8:I100,"❌ Fail")+COUNTIF('Referential Integrity'!I8:I100,"Blocked")</f>
        <v/>
      </c>
      <c r="F10" s="22">
        <f>COUNTIF('Referential Integrity'!I8:I100,"N/A")</f>
        <v/>
      </c>
      <c r="G10" s="23">
        <f>IF((B10-F10)=0,0,C10/(B10-F10))</f>
        <v/>
      </c>
    </row>
    <row r="11">
      <c r="A11" s="21" t="inlineStr">
        <is>
          <t>Re-Identification Risk</t>
        </is>
      </c>
      <c r="B11" s="22">
        <f>C11+D11+E11+F11</f>
        <v/>
      </c>
      <c r="C11" s="22">
        <f>COUNTIF('ReIdentification Risk'!I8:I100,"✅ Pass")</f>
        <v/>
      </c>
      <c r="D11" s="22">
        <f>COUNTIF('ReIdentification Risk'!I8:I100,"⚠️ Partial")</f>
        <v/>
      </c>
      <c r="E11" s="22">
        <f>COUNTIF('ReIdentification Risk'!I8:I100,"❌ Fail")+COUNTIF('ReIdentification Risk'!I8:I100,"Blocked")</f>
        <v/>
      </c>
      <c r="F11" s="22">
        <f>COUNTIF('ReIdentification Risk'!I8:I100,"N/A")</f>
        <v/>
      </c>
      <c r="G11" s="23">
        <f>IF((B11-F11)=0,0,C11/(B11-F11))</f>
        <v/>
      </c>
    </row>
    <row r="12">
      <c r="A12" s="21" t="inlineStr">
        <is>
          <t>Data Utility Validation</t>
        </is>
      </c>
      <c r="B12" s="22">
        <f>C12+D12+E12+F12</f>
        <v/>
      </c>
      <c r="C12" s="22">
        <f>COUNTIF('Data Utility Validation'!I8:I100,"✅ Pass")</f>
        <v/>
      </c>
      <c r="D12" s="22">
        <f>COUNTIF('Data Utility Validation'!I8:I100,"⚠️ Partial")</f>
        <v/>
      </c>
      <c r="E12" s="22">
        <f>COUNTIF('Data Utility Validation'!I8:I100,"❌ Fail")+COUNTIF('Data Utility Validation'!I8:I100,"Blocked")</f>
        <v/>
      </c>
      <c r="F12" s="22">
        <f>COUNTIF('Data Utility Validation'!I8:I100,"N/A")</f>
        <v/>
      </c>
      <c r="G12" s="23">
        <f>IF((B12-F12)=0,0,C12/(B12-F12))</f>
        <v/>
      </c>
    </row>
    <row r="13">
      <c r="A13" s="21" t="inlineStr">
        <is>
          <t>Performance Testing</t>
        </is>
      </c>
      <c r="B13" s="22">
        <f>C13+D13+E13+F13</f>
        <v/>
      </c>
      <c r="C13" s="22">
        <f>COUNTIF('Performance Testing'!I8:I100,"✅ Pass")</f>
        <v/>
      </c>
      <c r="D13" s="22">
        <f>COUNTIF('Performance Testing'!I8:I100,"⚠️ Partial")</f>
        <v/>
      </c>
      <c r="E13" s="22">
        <f>COUNTIF('Performance Testing'!I8:I100,"❌ Fail")+COUNTIF('Performance Testing'!I8:I100,"Blocked")</f>
        <v/>
      </c>
      <c r="F13" s="22">
        <f>COUNTIF('Performance Testing'!I8:I100,"N/A")</f>
        <v/>
      </c>
      <c r="G13" s="23">
        <f>IF((B13-F13)=0,0,C13/(B13-F13))</f>
        <v/>
      </c>
    </row>
    <row r="14">
      <c r="A14" s="21" t="inlineStr">
        <is>
          <t>Ongoing Monitoring</t>
        </is>
      </c>
      <c r="B14" s="22">
        <f>C14+D14+E14+F14</f>
        <v/>
      </c>
      <c r="C14" s="22">
        <f>COUNTIF('Ongoing Monitoring'!I8:I100,"✅ Pass")</f>
        <v/>
      </c>
      <c r="D14" s="22">
        <f>COUNTIF('Ongoing Monitoring'!I8:I100,"⚠️ Partial")</f>
        <v/>
      </c>
      <c r="E14" s="22">
        <f>COUNTIF('Ongoing Monitoring'!I8:I100,"❌ Fail")+COUNTIF('Ongoing Monitoring'!I8:I100,"Blocked")</f>
        <v/>
      </c>
      <c r="F14" s="22">
        <f>COUNTIF('Ongoing Monitoring'!I8:I100,"N/A")</f>
        <v/>
      </c>
      <c r="G14" s="23">
        <f>IF((B14-F14)=0,0,C14/(B14-F14))</f>
        <v/>
      </c>
    </row>
    <row r="15">
      <c r="A15" s="24" t="inlineStr">
        <is>
          <t>TOTAL</t>
        </is>
      </c>
      <c r="B15" s="25">
        <f>SUM(B6:B14)</f>
        <v/>
      </c>
      <c r="C15" s="25">
        <f>SUM(C6:C14)</f>
        <v/>
      </c>
      <c r="D15" s="25">
        <f>SUM(D6:D14)</f>
        <v/>
      </c>
      <c r="E15" s="25">
        <f>SUM(E6:E14)</f>
        <v/>
      </c>
      <c r="F15" s="25">
        <f>SUM(F6:F14)</f>
        <v/>
      </c>
      <c r="G15" s="26">
        <f>IF((B15-F15)=0,0,C15/(B15-F15))</f>
        <v/>
      </c>
    </row>
    <row r="17">
      <c r="A17" s="20" t="inlineStr">
        <is>
          <t>TABLE 2 – KEY METRICS</t>
        </is>
      </c>
    </row>
    <row r="18">
      <c r="A18" s="13" t="inlineStr">
        <is>
          <t>Metric</t>
        </is>
      </c>
      <c r="B18" s="13" t="inlineStr">
        <is>
          <t>Value</t>
        </is>
      </c>
      <c r="C18" s="13" t="inlineStr">
        <is>
          <t>Target</t>
        </is>
      </c>
    </row>
    <row r="19">
      <c r="A19" s="27" t="inlineStr">
        <is>
          <t>Pre-Deployment Test Pass Rate (%)</t>
        </is>
      </c>
      <c r="B19" s="28">
        <f>IF(COUNTA('PreDeployment Tests'!I8:I100)=0,"N/A",TEXT(COUNTIF('PreDeployment Tests'!I8:I100,"✅ Pass")/COUNTA('PreDeployment Tests'!I8:I100),"0.0%"))</f>
        <v/>
      </c>
      <c r="C19" s="28" t="inlineStr">
        <is>
          <t>100%</t>
        </is>
      </c>
    </row>
    <row r="20">
      <c r="A20" s="27" t="inlineStr">
        <is>
          <t>Post-Deployment Validation Pass Rate (%)</t>
        </is>
      </c>
      <c r="B20" s="28">
        <f>IF(COUNTA('PostDeployment Validation'!I8:I100)=0,"N/A",TEXT(COUNTIF('PostDeployment Validation'!I8:I100,"✅ Pass")/COUNTA('PostDeployment Validation'!I8:I100),"0.0%"))</f>
        <v/>
      </c>
      <c r="C20" s="28" t="inlineStr">
        <is>
          <t>100%</t>
        </is>
      </c>
    </row>
    <row r="21">
      <c r="A21" s="27" t="inlineStr">
        <is>
          <t>Re-Identification Risk Test Pass Rate (%)</t>
        </is>
      </c>
      <c r="B21" s="28">
        <f>IF(COUNTA('ReIdentification Risk'!I8:I100)=0,"N/A",TEXT(COUNTIF('ReIdentification Risk'!I8:I100,"✅ Pass")/COUNTA('ReIdentification Risk'!I8:I100),"0.0%"))</f>
        <v/>
      </c>
      <c r="C21" s="28" t="inlineStr">
        <is>
          <t>100%</t>
        </is>
      </c>
    </row>
    <row r="22">
      <c r="A22" s="27" t="inlineStr">
        <is>
          <t>Data Utility Validation Pass Rate (%)</t>
        </is>
      </c>
      <c r="B22" s="28">
        <f>IF(COUNTA('Data Utility Validation'!I8:I100)=0,"N/A",TEXT(COUNTIF('Data Utility Validation'!I8:I100,"✅ Pass")/COUNTA('Data Utility Validation'!I8:I100),"0.0%"))</f>
        <v/>
      </c>
      <c r="C22" s="28" t="inlineStr">
        <is>
          <t>&gt;=95%</t>
        </is>
      </c>
    </row>
    <row r="23">
      <c r="A23" s="27" t="inlineStr">
        <is>
          <t>Performance Impact Tests Within Threshold (%)</t>
        </is>
      </c>
      <c r="B23" s="28">
        <f>IF(COUNTA('Performance Testing'!I8:I100)=0,"N/A",TEXT(COUNTIF('Performance Testing'!I8:I100,"✅ Pass")/COUNTA('Performance Testing'!I8:I100),"0.0%"))</f>
        <v/>
      </c>
      <c r="C23" s="28" t="inlineStr">
        <is>
          <t>&gt;=90%</t>
        </is>
      </c>
    </row>
    <row r="24">
      <c r="A24" s="27" t="inlineStr">
        <is>
          <t>Overall Test Pass Rate (%)</t>
        </is>
      </c>
      <c r="B24" s="28">
        <f>IF(B15-F15=0,"N/A",TEXT(C15/(B15-F15),"0.0%"))</f>
        <v/>
      </c>
      <c r="C24" s="28" t="inlineStr">
        <is>
          <t>100%</t>
        </is>
      </c>
    </row>
    <row r="26">
      <c r="A26" s="29" t="inlineStr">
        <is>
          <t>TABLE 3 – KEY FINDINGS &amp; RECOMMENDATIONS</t>
        </is>
      </c>
    </row>
    <row r="27">
      <c r="A27" s="13" t="inlineStr">
        <is>
          <t>#</t>
        </is>
      </c>
      <c r="B27" s="13" t="inlineStr">
        <is>
          <t>Finding</t>
        </is>
      </c>
      <c r="C27" s="13" t="inlineStr">
        <is>
          <t>Impact</t>
        </is>
      </c>
      <c r="D27" s="13" t="inlineStr">
        <is>
          <t>Recommendation</t>
        </is>
      </c>
      <c r="E27" s="13" t="inlineStr">
        <is>
          <t>Priority</t>
        </is>
      </c>
      <c r="F27" s="13" t="inlineStr">
        <is>
          <t>Status</t>
        </is>
      </c>
      <c r="G27" s="13" t="inlineStr">
        <is>
          <t>Notes</t>
        </is>
      </c>
    </row>
    <row r="28">
      <c r="A28" s="30" t="inlineStr">
        <is>
          <t>1</t>
        </is>
      </c>
      <c r="B28" s="30" t="inlineStr">
        <is>
          <t>Pre-deployment validation tests not consistently documented or signed off</t>
        </is>
      </c>
      <c r="C28" s="30" t="inlineStr">
        <is>
          <t>High — unvalidated masking deployments risk real data reaching non-production</t>
        </is>
      </c>
      <c r="D28" s="30" t="inlineStr">
        <is>
          <t>Define mandatory pre-deployment checklist; block data refresh without sign-off evidence</t>
        </is>
      </c>
      <c r="E28" s="30" t="inlineStr">
        <is>
          <t>P1</t>
        </is>
      </c>
      <c r="F28" s="30" t="inlineStr">
        <is>
          <t>Open</t>
        </is>
      </c>
      <c r="G28" s="30" t="inlineStr"/>
    </row>
    <row r="29">
      <c r="A29" s="30" t="inlineStr">
        <is>
          <t>2</t>
        </is>
      </c>
      <c r="B29" s="30" t="inlineStr">
        <is>
          <t>Re-identification risk testing not performed for all data categories</t>
        </is>
      </c>
      <c r="C29" s="30" t="inlineStr">
        <is>
          <t>High — masked data may still be re-identifiable via quasi-identifier combinations</t>
        </is>
      </c>
      <c r="D29" s="30" t="inlineStr">
        <is>
          <t>Conduct re-ID risk assessment for all data categories; document k-anonymity values</t>
        </is>
      </c>
      <c r="E29" s="30" t="inlineStr">
        <is>
          <t>P1</t>
        </is>
      </c>
      <c r="F29" s="30" t="inlineStr">
        <is>
          <t>Open</t>
        </is>
      </c>
      <c r="G29" s="30" t="inlineStr"/>
    </row>
    <row r="30">
      <c r="A30" s="30" t="inlineStr">
        <is>
          <t>3</t>
        </is>
      </c>
      <c r="B30" s="30" t="inlineStr">
        <is>
          <t>Format preservation failures for email and phone masking detected</t>
        </is>
      </c>
      <c r="C30" s="30" t="inlineStr">
        <is>
          <t>Medium — application logic fails when masked data breaks expected format constraints</t>
        </is>
      </c>
      <c r="D30" s="30" t="inlineStr">
        <is>
          <t>Implement format-preserving masking functions; add automated regex validation to test pipeline</t>
        </is>
      </c>
      <c r="E30" s="30" t="inlineStr">
        <is>
          <t>P2</t>
        </is>
      </c>
      <c r="F30" s="30" t="inlineStr">
        <is>
          <t>In Progress</t>
        </is>
      </c>
      <c r="G30" s="30" t="inlineStr"/>
    </row>
    <row r="31">
      <c r="A31" s="30" t="inlineStr">
        <is>
          <t>4</t>
        </is>
      </c>
      <c r="B31" s="30" t="inlineStr">
        <is>
          <t>Ongoing monitoring alerts not configured for all masking rules</t>
        </is>
      </c>
      <c r="C31" s="30" t="inlineStr">
        <is>
          <t>Medium — masking failures may go undetected between periodic test cycles</t>
        </is>
      </c>
      <c r="D31" s="30" t="inlineStr">
        <is>
          <t>Configure automated alerts for masking rule violations; integrate with SIEM; define SLA for response</t>
        </is>
      </c>
      <c r="E31" s="30" t="inlineStr">
        <is>
          <t>P2</t>
        </is>
      </c>
      <c r="F31" s="30" t="inlineStr">
        <is>
          <t>Open</t>
        </is>
      </c>
      <c r="G31" s="30" t="inlineStr"/>
    </row>
  </sheetData>
  <mergeCells count="5">
    <mergeCell ref="A1:G1"/>
    <mergeCell ref="A17:G17"/>
    <mergeCell ref="A4:G4"/>
    <mergeCell ref="A26:G26"/>
    <mergeCell ref="A2:G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1" t="inlineStr">
        <is>
          <t>ASSESSMENT APPROVAL AND SIGN-OFF</t>
        </is>
      </c>
    </row>
    <row r="3">
      <c r="A3" s="32" t="inlineStr">
        <is>
          <t>ASSESSMENT SUMMARY</t>
        </is>
      </c>
    </row>
    <row r="4">
      <c r="A4" s="33" t="inlineStr">
        <is>
          <t>Document:</t>
        </is>
      </c>
      <c r="B4" s="6" t="inlineStr">
        <is>
          <t>ISMS-IMP-A.8.11.4 - Testing &amp; Validation Framework</t>
        </is>
      </c>
    </row>
    <row r="5">
      <c r="A5" s="33" t="inlineStr">
        <is>
          <t>Assessment Period:</t>
        </is>
      </c>
      <c r="B5" s="4" t="inlineStr"/>
    </row>
    <row r="6">
      <c r="A6" s="33" t="inlineStr">
        <is>
          <t>Overall Compliance:</t>
        </is>
      </c>
      <c r="B6" s="34">
        <f>IFERROR(AVERAGE('Summary Dashboard'!G6:G14),"")</f>
        <v/>
      </c>
    </row>
    <row r="7">
      <c r="A7" s="33" t="inlineStr">
        <is>
          <t>Assessment Status:</t>
        </is>
      </c>
      <c r="B7" s="4" t="inlineStr"/>
    </row>
    <row r="10">
      <c r="A10" s="32" t="inlineStr">
        <is>
          <t>PREPARED BY (IT SECURITY)</t>
        </is>
      </c>
    </row>
    <row r="11">
      <c r="A11" s="33" t="inlineStr">
        <is>
          <t>Name:</t>
        </is>
      </c>
      <c r="B11" s="4" t="n"/>
    </row>
    <row r="12">
      <c r="A12" s="33" t="inlineStr">
        <is>
          <t>Title:</t>
        </is>
      </c>
      <c r="B12" s="4" t="n"/>
    </row>
    <row r="13">
      <c r="A13" s="33" t="inlineStr">
        <is>
          <t>Date:</t>
        </is>
      </c>
      <c r="B13" s="4" t="n"/>
    </row>
    <row r="14">
      <c r="A14" s="33" t="inlineStr">
        <is>
          <t>Signature:</t>
        </is>
      </c>
      <c r="B14" s="4" t="n"/>
    </row>
    <row r="15">
      <c r="A15" s="33" t="inlineStr">
        <is>
          <t>Comments:</t>
        </is>
      </c>
      <c r="B15" s="4" t="n"/>
    </row>
    <row r="17">
      <c r="A17" s="32" t="inlineStr">
        <is>
          <t>REVIEWED BY (ISO)</t>
        </is>
      </c>
    </row>
    <row r="18">
      <c r="A18" s="33" t="inlineStr">
        <is>
          <t>Name:</t>
        </is>
      </c>
      <c r="B18" s="4" t="n"/>
    </row>
    <row r="19">
      <c r="A19" s="33" t="inlineStr">
        <is>
          <t>Title:</t>
        </is>
      </c>
      <c r="B19" s="4" t="n"/>
    </row>
    <row r="20">
      <c r="A20" s="33" t="inlineStr">
        <is>
          <t>Date:</t>
        </is>
      </c>
      <c r="B20" s="4" t="n"/>
    </row>
    <row r="21">
      <c r="A21" s="33" t="inlineStr">
        <is>
          <t>Signature:</t>
        </is>
      </c>
      <c r="B21" s="4" t="n"/>
    </row>
    <row r="22">
      <c r="A22" s="33" t="inlineStr">
        <is>
          <t>Comments:</t>
        </is>
      </c>
      <c r="B22" s="4" t="n"/>
    </row>
    <row r="24">
      <c r="A24" s="32" t="inlineStr">
        <is>
          <t>APPROVED BY (CISO)</t>
        </is>
      </c>
    </row>
    <row r="25">
      <c r="A25" s="33" t="inlineStr">
        <is>
          <t>Name:</t>
        </is>
      </c>
      <c r="B25" s="4" t="n"/>
    </row>
    <row r="26">
      <c r="A26" s="33" t="inlineStr">
        <is>
          <t>Title:</t>
        </is>
      </c>
      <c r="B26" s="4" t="n"/>
    </row>
    <row r="27">
      <c r="A27" s="33" t="inlineStr">
        <is>
          <t>Date:</t>
        </is>
      </c>
      <c r="B27" s="4" t="n"/>
    </row>
    <row r="28">
      <c r="A28" s="33" t="inlineStr">
        <is>
          <t>Signature:</t>
        </is>
      </c>
      <c r="B28" s="4" t="n"/>
    </row>
    <row r="29">
      <c r="A29" s="33" t="inlineStr">
        <is>
          <t>Comments:</t>
        </is>
      </c>
      <c r="B29" s="4" t="n"/>
    </row>
    <row r="31">
      <c r="A31" s="33" t="inlineStr">
        <is>
          <t>FINAL ASSESSMENT DECISION:</t>
        </is>
      </c>
      <c r="B31" s="4" t="n"/>
    </row>
    <row r="34">
      <c r="A34" s="32" t="inlineStr">
        <is>
          <t>NEXT REVIEW DETAILS</t>
        </is>
      </c>
    </row>
    <row r="35">
      <c r="A35" s="33" t="inlineStr">
        <is>
          <t>Next Review Date:</t>
        </is>
      </c>
      <c r="B35" s="4" t="n"/>
    </row>
    <row r="36">
      <c r="A36" s="33" t="inlineStr">
        <is>
          <t>Review Responsible:</t>
        </is>
      </c>
      <c r="B36" s="4" t="n"/>
    </row>
    <row r="37">
      <c r="A37" s="33" t="inlineStr">
        <is>
          <t>Special Considerations:</t>
        </is>
      </c>
      <c r="B37" s="4"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ISMS-IMP-A.8.11.4 — Testing &amp; Validation Framework</dc:title>
  <dc:description xmlns:dc="http://purl.org/dc/elements/1.1/">ISMS Implementation Workbook — ISMS-IMP-A.8.11.4</dc:description>
  <dc:subject xmlns:dc="http://purl.org/dc/elements/1.1/">ISO/IEC 27001:2022 — Control A.8.11: Data Masking</dc:subject>
  <dcterms:created xmlns:dcterms="http://purl.org/dc/terms/" xmlns:xsi="http://www.w3.org/2001/XMLSchema-instance" xsi:type="dcterms:W3CDTF">2026-03-01T10:49:15Z</dcterms:created>
  <dcterms:modified xmlns:dcterms="http://purl.org/dc/terms/" xmlns:xsi="http://www.w3.org/2001/XMLSchema-instance" xsi:type="dcterms:W3CDTF">2026-03-01T10:49:15Z</dcterms:modified>
</cp:coreProperties>
</file>