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Techniques" sheetId="2" state="visible" r:id="rId2"/>
    <sheet xmlns:r="http://schemas.openxmlformats.org/officeDocument/2006/relationships" name="Technique Selection Matrix" sheetId="3" state="visible" r:id="rId3"/>
    <sheet xmlns:r="http://schemas.openxmlformats.org/officeDocument/2006/relationships" name="Static Masking SDM" sheetId="4" state="visible" r:id="rId4"/>
    <sheet xmlns:r="http://schemas.openxmlformats.org/officeDocument/2006/relationships" name="Dynamic Masking DDM" sheetId="5" state="visible" r:id="rId5"/>
    <sheet xmlns:r="http://schemas.openxmlformats.org/officeDocument/2006/relationships" name="Tokenisation Implementation" sheetId="6" state="visible" r:id="rId6"/>
    <sheet xmlns:r="http://schemas.openxmlformats.org/officeDocument/2006/relationships" name="Encryption for Masking" sheetId="7" state="visible" r:id="rId7"/>
    <sheet xmlns:r="http://schemas.openxmlformats.org/officeDocument/2006/relationships" name="Masking Tool Inventory" sheetId="8" state="visible" r:id="rId8"/>
    <sheet xmlns:r="http://schemas.openxmlformats.org/officeDocument/2006/relationships" name="Configuration Standard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color rgb="00FFFFFF"/>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0" applyAlignment="1" pivotButton="0" quotePrefix="0" xfId="0">
      <alignment wrapText="1"/>
    </xf>
    <xf numFmtId="0" fontId="0" fillId="3" borderId="1" applyAlignment="1" pivotButton="0" quotePrefix="0" xfId="0">
      <alignment horizontal="left" vertical="center" wrapText="1"/>
    </xf>
    <xf numFmtId="0" fontId="0" fillId="6" borderId="1" applyAlignment="1" pivotButton="0" quotePrefix="0" xfId="0">
      <alignment horizontal="left" vertical="center" wrapText="1"/>
    </xf>
    <xf numFmtId="0" fontId="6" fillId="2" borderId="0" applyAlignment="1" pivotButton="0" quotePrefix="0" xfId="0">
      <alignment horizontal="center" vertical="center"/>
    </xf>
    <xf numFmtId="0" fontId="7" fillId="0" borderId="0" applyAlignment="1" pivotButton="0" quotePrefix="0" xfId="0">
      <alignment horizontal="left" vertical="center"/>
    </xf>
    <xf numFmtId="0" fontId="8" fillId="2" borderId="1" pivotButton="0" quotePrefix="0" xfId="0"/>
    <xf numFmtId="0" fontId="9" fillId="0" borderId="0" applyAlignment="1" pivotButton="0" quotePrefix="0" xfId="0">
      <alignment horizontal="left" vertical="center"/>
    </xf>
    <xf numFmtId="0" fontId="10" fillId="2" borderId="0" applyAlignment="1" pivotButton="0" quotePrefix="0" xfId="0">
      <alignment horizontal="left" vertical="center"/>
    </xf>
    <xf numFmtId="0" fontId="11" fillId="0" borderId="1" applyAlignment="1" pivotButton="0" quotePrefix="0" xfId="0">
      <alignment horizontal="left" vertical="center"/>
    </xf>
    <xf numFmtId="0" fontId="11" fillId="0" borderId="1" applyAlignment="1" pivotButton="0" quotePrefix="0" xfId="0">
      <alignment horizontal="center" vertical="center"/>
    </xf>
    <xf numFmtId="164" fontId="11" fillId="0" borderId="1" applyAlignment="1" pivotButton="0" quotePrefix="0" xfId="0">
      <alignment horizontal="center" vertical="center"/>
    </xf>
    <xf numFmtId="0" fontId="12" fillId="4" borderId="1" applyAlignment="1" pivotButton="0" quotePrefix="0" xfId="0">
      <alignment horizontal="center" vertical="center"/>
    </xf>
    <xf numFmtId="0" fontId="5" fillId="4" borderId="1" applyAlignment="1" pivotButton="0" quotePrefix="0" xfId="0">
      <alignment horizontal="center" vertical="center"/>
    </xf>
    <xf numFmtId="164" fontId="5" fillId="4" borderId="1" applyAlignment="1" pivotButton="0" quotePrefix="0" xfId="0">
      <alignment horizontal="center"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0" fontId="10" fillId="7" borderId="0" applyAlignment="1" pivotButton="0" quotePrefix="0" xfId="0">
      <alignment horizontal="left" vertical="center"/>
    </xf>
    <xf numFmtId="0" fontId="13"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4" fillId="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ISMS-IMP-A.8.11.2  -  Masking Technique Selection &amp; Requirements
ISO/IEC 27001:2022 - Control A.8.11: Data Masking</t>
        </is>
      </c>
    </row>
    <row r="3">
      <c r="A3" s="2" t="inlineStr">
        <is>
          <t>Document Information</t>
        </is>
      </c>
    </row>
    <row r="4">
      <c r="A4" s="3" t="inlineStr">
        <is>
          <t>Document ID</t>
        </is>
      </c>
      <c r="B4" t="inlineStr">
        <is>
          <t>ISMS-IMP-A.8.11.2</t>
        </is>
      </c>
    </row>
    <row r="5">
      <c r="A5" s="3" t="inlineStr">
        <is>
          <t>Assessment Area</t>
        </is>
      </c>
      <c r="B5" t="inlineStr">
        <is>
          <t>Masking Technique Selection</t>
        </is>
      </c>
    </row>
    <row r="6">
      <c r="A6" s="3" t="inlineStr">
        <is>
          <t>Related Policy</t>
        </is>
      </c>
      <c r="B6" t="inlineStr">
        <is>
          <t>ISMS-POL-A.8.11-S2.2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Semi-Annual</t>
        </is>
      </c>
    </row>
    <row r="13">
      <c r="A13" s="2" t="inlineStr">
        <is>
          <t>Instructions</t>
        </is>
      </c>
    </row>
    <row r="14">
      <c r="A14" t="inlineStr">
        <is>
          <t>1. Review Approved Techniques sheet for organisation-approved masking methods.</t>
        </is>
      </c>
    </row>
    <row r="15">
      <c r="A15" t="inlineStr">
        <is>
          <t>2. Complete Technique Selection Matrix mapping data types to techniques.</t>
        </is>
      </c>
    </row>
    <row r="16">
      <c r="A16" t="inlineStr">
        <is>
          <t>3. Document SDM/DDM implementations in respective sheets.</t>
        </is>
      </c>
    </row>
    <row r="17">
      <c r="A17" t="inlineStr">
        <is>
          <t>4. If using tokenisation/encryption, complete those sheets.</t>
        </is>
      </c>
    </row>
    <row r="18">
      <c r="A18" t="inlineStr">
        <is>
          <t>5. Document tools in Masking Tool Inventory.</t>
        </is>
      </c>
    </row>
    <row r="19">
      <c r="A19" t="inlineStr">
        <is>
          <t>6. Review Configuration Standards for each masking tool.</t>
        </is>
      </c>
    </row>
    <row r="20">
      <c r="A20" t="inlineStr">
        <is>
          <t>7. Identify gaps in Gap Analysis.</t>
        </is>
      </c>
    </row>
    <row r="21">
      <c r="A21" t="inlineStr">
        <is>
          <t>8. Maintain Evidence Register with all supporting documentation.</t>
        </is>
      </c>
    </row>
    <row r="22">
      <c r="A22" t="inlineStr">
        <is>
          <t>9. Obtain approvals via the Approval Sign-Off sheet.</t>
        </is>
      </c>
    </row>
    <row r="23">
      <c r="A23" t="inlineStr">
        <is>
          <t>10. Review Summary Dashboard for consolidated status.</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7" t="inlineStr">
        <is>
          <t>Requirement fully met with evidence</t>
        </is>
      </c>
    </row>
    <row r="28">
      <c r="A28" s="6" t="inlineStr">
        <is>
          <t>⚠</t>
        </is>
      </c>
      <c r="B28" s="7" t="inlineStr">
        <is>
          <t>Partial</t>
        </is>
      </c>
      <c r="C28" s="7" t="inlineStr">
        <is>
          <t>Partially implemented, gaps identified</t>
        </is>
      </c>
    </row>
    <row r="29">
      <c r="A29" s="6" t="inlineStr">
        <is>
          <t>❌</t>
        </is>
      </c>
      <c r="B29" s="7" t="inlineStr">
        <is>
          <t>Non-Compliant</t>
        </is>
      </c>
      <c r="C29" s="7" t="inlineStr">
        <is>
          <t>Requirement not met, remediation needed</t>
        </is>
      </c>
    </row>
    <row r="30">
      <c r="A30" s="6" t="inlineStr">
        <is>
          <t>—</t>
        </is>
      </c>
      <c r="B30" s="7" t="inlineStr">
        <is>
          <t>N/A</t>
        </is>
      </c>
      <c r="C30" s="7" t="inlineStr">
        <is>
          <t>Not applicable to this organisation</t>
        </is>
      </c>
    </row>
    <row r="32">
      <c r="A32" s="2" t="inlineStr">
        <is>
          <t>ACCEPTABLE EVIDENCE (examples)</t>
        </is>
      </c>
    </row>
    <row r="33">
      <c r="A33" t="inlineStr">
        <is>
          <t>✓ Masking tool configuration exports</t>
        </is>
      </c>
    </row>
    <row r="34">
      <c r="A34" t="inlineStr">
        <is>
          <t>✓ Data masking rule documentation</t>
        </is>
      </c>
    </row>
    <row r="35">
      <c r="A35" t="inlineStr">
        <is>
          <t>✓ Technique evaluation reports</t>
        </is>
      </c>
    </row>
    <row r="36">
      <c r="A36" t="inlineStr">
        <is>
          <t>✓ Test/validation results for masked data</t>
        </is>
      </c>
    </row>
    <row r="37">
      <c r="A37" t="inlineStr">
        <is>
          <t>✓ Vendor certification documents</t>
        </is>
      </c>
    </row>
    <row r="38">
      <c r="A38" t="inlineStr">
        <is>
          <t>✓ Implementation project artefacts</t>
        </is>
      </c>
    </row>
    <row r="39">
      <c r="A39" t="inlineStr">
        <is>
          <t>✓ Compliance audit reports</t>
        </is>
      </c>
    </row>
    <row r="40">
      <c r="A40" t="inlineStr">
        <is>
          <t>✓ Performance benchmark results</t>
        </is>
      </c>
    </row>
    <row r="41">
      <c r="A41" t="inlineStr">
        <is>
          <t>✓ Key management procedures (tokenisation/encryption)</t>
        </is>
      </c>
    </row>
    <row r="42">
      <c r="A42" t="inlineStr">
        <is>
          <t>✓ Referential integrity test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45" customWidth="1" min="3" max="3"/>
    <col width="12" customWidth="1" min="4" max="4"/>
    <col width="18" customWidth="1" min="5" max="5"/>
    <col width="40" customWidth="1" min="6" max="6"/>
    <col width="15" customWidth="1" min="7" max="7"/>
    <col width="20" customWidth="1" min="8" max="8"/>
    <col width="18" customWidth="1" min="9" max="9"/>
  </cols>
  <sheetData>
    <row r="1" ht="35" customHeight="1">
      <c r="A1" s="1" t="inlineStr">
        <is>
          <t>APPROVED MASKING TECHNIQUES</t>
        </is>
      </c>
    </row>
    <row r="2">
      <c r="A2" s="8" t="inlineStr">
        <is>
          <t>Organisation-approved techniques from ISMS-POL-A.8.11-S2.2</t>
        </is>
      </c>
    </row>
    <row r="6">
      <c r="A6" s="9" t="inlineStr">
        <is>
          <t>Technique ID</t>
        </is>
      </c>
      <c r="B6" s="9" t="inlineStr">
        <is>
          <t>Technique Name</t>
        </is>
      </c>
      <c r="C6" s="9" t="inlineStr">
        <is>
          <t>Description</t>
        </is>
      </c>
      <c r="D6" s="9" t="inlineStr">
        <is>
          <t>Reversible?</t>
        </is>
      </c>
      <c r="E6" s="9" t="inlineStr">
        <is>
          <t>Format-Preserving?</t>
        </is>
      </c>
      <c r="F6" s="9" t="inlineStr">
        <is>
          <t>Primary Use Cases</t>
        </is>
      </c>
      <c r="G6" s="9" t="inlineStr">
        <is>
          <t>Approved for Use?</t>
        </is>
      </c>
      <c r="H6" s="9" t="inlineStr">
        <is>
          <t>Policy Reference</t>
        </is>
      </c>
      <c r="I6" s="9" t="inlineStr">
        <is>
          <t>Implementation Status</t>
        </is>
      </c>
    </row>
    <row r="7">
      <c r="A7" t="inlineStr">
        <is>
          <t>TECH-SDM</t>
        </is>
      </c>
      <c r="B7" t="inlineStr">
        <is>
          <t>Static Data Masking</t>
        </is>
      </c>
      <c r="C7" s="10" t="inlineStr">
        <is>
          <t>Permanent replacement with realistic fictitious data</t>
        </is>
      </c>
      <c r="D7" t="inlineStr">
        <is>
          <t>No</t>
        </is>
      </c>
      <c r="E7" t="inlineStr">
        <is>
          <t>Yes</t>
        </is>
      </c>
      <c r="F7" s="10" t="inlineStr">
        <is>
          <t>Non-production environments</t>
        </is>
      </c>
      <c r="G7" s="11" t="n"/>
      <c r="H7" t="inlineStr">
        <is>
          <t>ISMS-POL-A.8.11-S2.2 §2.1</t>
        </is>
      </c>
      <c r="I7" s="11" t="n"/>
    </row>
    <row r="8">
      <c r="A8" t="inlineStr">
        <is>
          <t>TECH-DDM</t>
        </is>
      </c>
      <c r="B8" t="inlineStr">
        <is>
          <t>Dynamic Data Masking</t>
        </is>
      </c>
      <c r="C8" s="10" t="inlineStr">
        <is>
          <t>Real-time masking based on user privileges</t>
        </is>
      </c>
      <c r="D8" t="inlineStr">
        <is>
          <t>N/A</t>
        </is>
      </c>
      <c r="E8" t="inlineStr">
        <is>
          <t>Yes</t>
        </is>
      </c>
      <c r="F8" s="10" t="inlineStr">
        <is>
          <t>Production role-based access</t>
        </is>
      </c>
      <c r="G8" s="11" t="n"/>
      <c r="H8" t="inlineStr">
        <is>
          <t>ISMS-POL-A.8.11-S2.2 §2.2</t>
        </is>
      </c>
      <c r="I8" s="11" t="n"/>
    </row>
    <row r="9">
      <c r="A9" t="inlineStr">
        <is>
          <t>TECH-RED</t>
        </is>
      </c>
      <c r="B9" t="inlineStr">
        <is>
          <t>Redaction/Nullification</t>
        </is>
      </c>
      <c r="C9" s="10" t="inlineStr">
        <is>
          <t>Complete removal or placeholder replacement</t>
        </is>
      </c>
      <c r="D9" t="inlineStr">
        <is>
          <t>No</t>
        </is>
      </c>
      <c r="E9" t="inlineStr">
        <is>
          <t>No</t>
        </is>
      </c>
      <c r="F9" s="10" t="inlineStr">
        <is>
          <t>External reports, screenshots</t>
        </is>
      </c>
      <c r="G9" s="11" t="n"/>
      <c r="H9" t="inlineStr">
        <is>
          <t>ISMS-POL-A.8.11-S2.2 §2.3</t>
        </is>
      </c>
      <c r="I9" s="11" t="n"/>
    </row>
    <row r="10">
      <c r="A10" t="inlineStr">
        <is>
          <t>TECH-TOK</t>
        </is>
      </c>
      <c r="B10" t="inlineStr">
        <is>
          <t>Tokenisation</t>
        </is>
      </c>
      <c r="C10" s="10" t="inlineStr">
        <is>
          <t>Replacement with tokens, secure vault mapping</t>
        </is>
      </c>
      <c r="D10" t="inlineStr">
        <is>
          <t>Yes</t>
        </is>
      </c>
      <c r="E10" t="inlineStr">
        <is>
          <t>Optional</t>
        </is>
      </c>
      <c r="F10" s="10" t="inlineStr">
        <is>
          <t>Payment processing, PCI-DSS</t>
        </is>
      </c>
      <c r="G10" s="11" t="n"/>
      <c r="H10" t="inlineStr">
        <is>
          <t>ISMS-POL-A.8.11-S2.2 §2.4</t>
        </is>
      </c>
      <c r="I10" s="11" t="n"/>
    </row>
    <row r="11">
      <c r="A11" t="inlineStr">
        <is>
          <t>TECH-SUB</t>
        </is>
      </c>
      <c r="B11" t="inlineStr">
        <is>
          <t>Data Substitution</t>
        </is>
      </c>
      <c r="C11" s="10" t="inlineStr">
        <is>
          <t>Realistic but entirely fictional data</t>
        </is>
      </c>
      <c r="D11" t="inlineStr">
        <is>
          <t>No</t>
        </is>
      </c>
      <c r="E11" t="inlineStr">
        <is>
          <t>Yes</t>
        </is>
      </c>
      <c r="F11" s="10" t="inlineStr">
        <is>
          <t>AI/ML training, analytics</t>
        </is>
      </c>
      <c r="G11" s="11" t="n"/>
      <c r="H11" t="inlineStr">
        <is>
          <t>ISMS-POL-A.8.11-S2.2 §2.5</t>
        </is>
      </c>
      <c r="I11" s="11" t="n"/>
    </row>
    <row r="12">
      <c r="A12" t="inlineStr">
        <is>
          <t>TECH-ENC</t>
        </is>
      </c>
      <c r="B12" t="inlineStr">
        <is>
          <t>Encryption</t>
        </is>
      </c>
      <c r="C12" s="10" t="inlineStr">
        <is>
          <t>Cryptographic transformation</t>
        </is>
      </c>
      <c r="D12" t="inlineStr">
        <is>
          <t>Yes</t>
        </is>
      </c>
      <c r="E12" t="inlineStr">
        <is>
          <t>No</t>
        </is>
      </c>
      <c r="F12" s="10" t="inlineStr">
        <is>
          <t>Data at rest, backups</t>
        </is>
      </c>
      <c r="G12" s="11" t="n"/>
      <c r="H12" t="inlineStr">
        <is>
          <t>ISMS-POL-A.8.11-S2.2 §2.6</t>
        </is>
      </c>
      <c r="I12" s="11" t="n"/>
    </row>
    <row r="13">
      <c r="A13" t="inlineStr">
        <is>
          <t>TECH-SHF</t>
        </is>
      </c>
      <c r="B13" t="inlineStr">
        <is>
          <t>Data Shuffling</t>
        </is>
      </c>
      <c r="C13" s="10" t="inlineStr">
        <is>
          <t>Rearrangement breaking associations</t>
        </is>
      </c>
      <c r="D13" t="inlineStr">
        <is>
          <t>No</t>
        </is>
      </c>
      <c r="E13" t="inlineStr">
        <is>
          <t>Yes</t>
        </is>
      </c>
      <c r="F13" s="10" t="inlineStr">
        <is>
          <t>Analytics preserving statistics</t>
        </is>
      </c>
      <c r="G13" s="11" t="n"/>
      <c r="H13" t="inlineStr">
        <is>
          <t>ISMS-POL-A.8.11-S2.2 §2.7</t>
        </is>
      </c>
      <c r="I13" s="11" t="n"/>
    </row>
    <row r="14">
      <c r="A14" t="inlineStr">
        <is>
          <t>TECH-HSH</t>
        </is>
      </c>
      <c r="B14" t="inlineStr">
        <is>
          <t>Hashing</t>
        </is>
      </c>
      <c r="C14" s="10" t="inlineStr">
        <is>
          <t>One-way cryptographic hash</t>
        </is>
      </c>
      <c r="D14" t="inlineStr">
        <is>
          <t>No</t>
        </is>
      </c>
      <c r="E14" t="inlineStr">
        <is>
          <t>No</t>
        </is>
      </c>
      <c r="F14" s="10" t="inlineStr">
        <is>
          <t>Password storage, matching</t>
        </is>
      </c>
      <c r="G14" s="11" t="n"/>
      <c r="H14" t="inlineStr">
        <is>
          <t>ISMS-POL-A.8.11-S2.2 §2.8</t>
        </is>
      </c>
      <c r="I14" s="11" t="n"/>
    </row>
  </sheetData>
  <mergeCells count="2">
    <mergeCell ref="A1:I1"/>
    <mergeCell ref="A2:I2"/>
  </mergeCells>
  <dataValidations count="2">
    <dataValidation sqref="G7 G8 G9 G10 G11 G12 G13 G14" showDropDown="0" showInputMessage="0" showErrorMessage="0" allowBlank="0" type="list">
      <formula1>"Yes,No,Partial,Planned,N/A"</formula1>
    </dataValidation>
    <dataValidation sqref="I7 I8 I9 I10 I11 I12 I13 I14" showDropDown="0" showInputMessage="0" showErrorMessage="0" allowBlank="0" type="list">
      <formula1>"✅ Implemented,⚠️ Partial,❌ Not Implemented,Planned,N/A"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workbookViewId="0">
      <pane ySplit="6" topLeftCell="A7" activePane="bottomLeft" state="frozen"/>
      <selection pane="bottomLeft" activeCell="A1" sqref="A1"/>
    </sheetView>
  </sheetViews>
  <sheetFormatPr baseColWidth="8" defaultRowHeight="15"/>
  <cols>
    <col width="20" customWidth="1" min="1" max="1"/>
    <col width="30" customWidth="1" min="2" max="2"/>
    <col width="15" customWidth="1" min="3" max="3"/>
    <col width="20" customWidth="1" min="4" max="4"/>
    <col width="20" customWidth="1" min="5" max="5"/>
    <col width="15" customWidth="1" min="6" max="6"/>
    <col width="15" customWidth="1" min="7" max="7"/>
    <col width="25" customWidth="1" min="8" max="8"/>
    <col width="35" customWidth="1" min="9" max="9"/>
    <col width="20" customWidth="1" min="10" max="10"/>
    <col width="18" customWidth="1" min="11" max="11"/>
    <col width="30" customWidth="1" min="12" max="12"/>
  </cols>
  <sheetData>
    <row r="1" ht="35" customHeight="1">
      <c r="A1" s="1" t="inlineStr">
        <is>
          <t>TECHNIQUE SELECTION MATRIX</t>
        </is>
      </c>
    </row>
    <row r="2">
      <c r="A2" s="8" t="inlineStr">
        <is>
          <t>Select appropriate masking techniques for each data category (51 rows: 1 sample + 50 empty)</t>
        </is>
      </c>
    </row>
    <row r="6">
      <c r="A6" s="9" t="inlineStr">
        <is>
          <t>Data Category</t>
        </is>
      </c>
      <c r="B6" s="9" t="inlineStr">
        <is>
          <t>Data Type Example</t>
        </is>
      </c>
      <c r="C6" s="9" t="inlineStr">
        <is>
          <t>Sensitivity Level</t>
        </is>
      </c>
      <c r="D6" s="9" t="inlineStr">
        <is>
          <t>Primary Technique</t>
        </is>
      </c>
      <c r="E6" s="9" t="inlineStr">
        <is>
          <t>Secondary Technique</t>
        </is>
      </c>
      <c r="F6" s="9" t="inlineStr">
        <is>
          <t>Format Must Preserve?</t>
        </is>
      </c>
      <c r="G6" s="9" t="inlineStr">
        <is>
          <t>Reversibility Required?</t>
        </is>
      </c>
      <c r="H6" s="9" t="inlineStr">
        <is>
          <t>Environment(s)</t>
        </is>
      </c>
      <c r="I6" s="9" t="inlineStr">
        <is>
          <t>Selection Rationale</t>
        </is>
      </c>
      <c r="J6" s="9" t="inlineStr">
        <is>
          <t>Regulatory Driver</t>
        </is>
      </c>
      <c r="K6" s="9" t="inlineStr">
        <is>
          <t>Implementation Status</t>
        </is>
      </c>
      <c r="L6" s="9" t="inlineStr">
        <is>
          <t>Notes</t>
        </is>
      </c>
    </row>
    <row r="7">
      <c r="A7" s="11" t="inlineStr">
        <is>
          <t>CAT-PII-D</t>
        </is>
      </c>
      <c r="B7" s="11" t="inlineStr">
        <is>
          <t>Email addresses</t>
        </is>
      </c>
      <c r="C7" s="11" t="inlineStr">
        <is>
          <t>High</t>
        </is>
      </c>
      <c r="D7" s="11" t="inlineStr">
        <is>
          <t>TECH-SDM</t>
        </is>
      </c>
      <c r="E7" s="11" t="inlineStr">
        <is>
          <t>TECH-TOK</t>
        </is>
      </c>
      <c r="F7" s="11" t="inlineStr">
        <is>
          <t>Yes</t>
        </is>
      </c>
      <c r="G7" s="11" t="inlineStr">
        <is>
          <t>No</t>
        </is>
      </c>
      <c r="H7" s="11" t="inlineStr">
        <is>
          <t>Test, QA</t>
        </is>
      </c>
      <c r="I7" s="11" t="inlineStr">
        <is>
          <t>Email must preserve format for validation testing; static masking sufficient</t>
        </is>
      </c>
      <c r="J7" s="11" t="inlineStr">
        <is>
          <t>GDPR Art.4(1), FADP</t>
        </is>
      </c>
      <c r="K7" s="11" t="inlineStr">
        <is>
          <t>✅ Deployed</t>
        </is>
      </c>
      <c r="L7" s="11" t="inlineStr">
        <is>
          <t>Validated Q1 2026</t>
        </is>
      </c>
    </row>
    <row r="8">
      <c r="A8" s="11" t="n"/>
      <c r="B8" s="11" t="n"/>
      <c r="C8" s="11" t="n"/>
      <c r="D8" s="11" t="n"/>
      <c r="E8" s="11" t="n"/>
      <c r="F8" s="11" t="n"/>
      <c r="G8" s="11" t="n"/>
      <c r="H8" s="11" t="n"/>
      <c r="I8" s="11" t="n"/>
      <c r="J8" s="11" t="n"/>
      <c r="K8" s="11" t="n"/>
      <c r="L8" s="11" t="n"/>
    </row>
    <row r="9">
      <c r="A9" s="11" t="n"/>
      <c r="B9" s="11" t="n"/>
      <c r="C9" s="11" t="n"/>
      <c r="D9" s="11" t="n"/>
      <c r="E9" s="11" t="n"/>
      <c r="F9" s="11" t="n"/>
      <c r="G9" s="11" t="n"/>
      <c r="H9" s="11" t="n"/>
      <c r="I9" s="11" t="n"/>
      <c r="J9" s="11" t="n"/>
      <c r="K9" s="11" t="n"/>
      <c r="L9" s="11" t="n"/>
    </row>
    <row r="10">
      <c r="A10" s="11" t="n"/>
      <c r="B10" s="11" t="n"/>
      <c r="C10" s="11" t="n"/>
      <c r="D10" s="11" t="n"/>
      <c r="E10" s="11" t="n"/>
      <c r="F10" s="11" t="n"/>
      <c r="G10" s="11" t="n"/>
      <c r="H10" s="11" t="n"/>
      <c r="I10" s="11" t="n"/>
      <c r="J10" s="11" t="n"/>
      <c r="K10" s="11" t="n"/>
      <c r="L10" s="11" t="n"/>
    </row>
    <row r="11">
      <c r="A11" s="11" t="n"/>
      <c r="B11" s="11" t="n"/>
      <c r="C11" s="11" t="n"/>
      <c r="D11" s="11" t="n"/>
      <c r="E11" s="11" t="n"/>
      <c r="F11" s="11" t="n"/>
      <c r="G11" s="11" t="n"/>
      <c r="H11" s="11" t="n"/>
      <c r="I11" s="11" t="n"/>
      <c r="J11" s="11" t="n"/>
      <c r="K11" s="11" t="n"/>
      <c r="L11" s="11" t="n"/>
    </row>
    <row r="12">
      <c r="A12" s="11" t="n"/>
      <c r="B12" s="11" t="n"/>
      <c r="C12" s="11" t="n"/>
      <c r="D12" s="11" t="n"/>
      <c r="E12" s="11" t="n"/>
      <c r="F12" s="11" t="n"/>
      <c r="G12" s="11" t="n"/>
      <c r="H12" s="11" t="n"/>
      <c r="I12" s="11" t="n"/>
      <c r="J12" s="11" t="n"/>
      <c r="K12" s="11" t="n"/>
      <c r="L12" s="11" t="n"/>
    </row>
    <row r="13">
      <c r="A13" s="11" t="n"/>
      <c r="B13" s="11" t="n"/>
      <c r="C13" s="11" t="n"/>
      <c r="D13" s="11" t="n"/>
      <c r="E13" s="11" t="n"/>
      <c r="F13" s="11" t="n"/>
      <c r="G13" s="11" t="n"/>
      <c r="H13" s="11" t="n"/>
      <c r="I13" s="11" t="n"/>
      <c r="J13" s="11" t="n"/>
      <c r="K13" s="11" t="n"/>
      <c r="L13" s="11" t="n"/>
    </row>
    <row r="14">
      <c r="A14" s="11" t="n"/>
      <c r="B14" s="11" t="n"/>
      <c r="C14" s="11" t="n"/>
      <c r="D14" s="11" t="n"/>
      <c r="E14" s="11" t="n"/>
      <c r="F14" s="11" t="n"/>
      <c r="G14" s="11" t="n"/>
      <c r="H14" s="11" t="n"/>
      <c r="I14" s="11" t="n"/>
      <c r="J14" s="11" t="n"/>
      <c r="K14" s="11" t="n"/>
      <c r="L14" s="11" t="n"/>
    </row>
    <row r="15">
      <c r="A15" s="11" t="n"/>
      <c r="B15" s="11" t="n"/>
      <c r="C15" s="11" t="n"/>
      <c r="D15" s="11" t="n"/>
      <c r="E15" s="11" t="n"/>
      <c r="F15" s="11" t="n"/>
      <c r="G15" s="11" t="n"/>
      <c r="H15" s="11" t="n"/>
      <c r="I15" s="11" t="n"/>
      <c r="J15" s="11" t="n"/>
      <c r="K15" s="11" t="n"/>
      <c r="L15" s="11" t="n"/>
    </row>
    <row r="16">
      <c r="A16" s="11" t="n"/>
      <c r="B16" s="11" t="n"/>
      <c r="C16" s="11" t="n"/>
      <c r="D16" s="11" t="n"/>
      <c r="E16" s="11" t="n"/>
      <c r="F16" s="11" t="n"/>
      <c r="G16" s="11" t="n"/>
      <c r="H16" s="11" t="n"/>
      <c r="I16" s="11" t="n"/>
      <c r="J16" s="11" t="n"/>
      <c r="K16" s="11" t="n"/>
      <c r="L16" s="11" t="n"/>
    </row>
    <row r="17">
      <c r="A17" s="11" t="n"/>
      <c r="B17" s="11" t="n"/>
      <c r="C17" s="11" t="n"/>
      <c r="D17" s="11" t="n"/>
      <c r="E17" s="11" t="n"/>
      <c r="F17" s="11" t="n"/>
      <c r="G17" s="11" t="n"/>
      <c r="H17" s="11" t="n"/>
      <c r="I17" s="11" t="n"/>
      <c r="J17" s="11" t="n"/>
      <c r="K17" s="11" t="n"/>
      <c r="L17" s="11" t="n"/>
    </row>
    <row r="18">
      <c r="A18" s="11" t="n"/>
      <c r="B18" s="11" t="n"/>
      <c r="C18" s="11" t="n"/>
      <c r="D18" s="11" t="n"/>
      <c r="E18" s="11" t="n"/>
      <c r="F18" s="11" t="n"/>
      <c r="G18" s="11" t="n"/>
      <c r="H18" s="11" t="n"/>
      <c r="I18" s="11" t="n"/>
      <c r="J18" s="11" t="n"/>
      <c r="K18" s="11" t="n"/>
      <c r="L18" s="11" t="n"/>
    </row>
    <row r="19">
      <c r="A19" s="11" t="n"/>
      <c r="B19" s="11" t="n"/>
      <c r="C19" s="11" t="n"/>
      <c r="D19" s="11" t="n"/>
      <c r="E19" s="11" t="n"/>
      <c r="F19" s="11" t="n"/>
      <c r="G19" s="11" t="n"/>
      <c r="H19" s="11" t="n"/>
      <c r="I19" s="11" t="n"/>
      <c r="J19" s="11" t="n"/>
      <c r="K19" s="11" t="n"/>
      <c r="L19" s="11" t="n"/>
    </row>
    <row r="20">
      <c r="A20" s="11" t="n"/>
      <c r="B20" s="11" t="n"/>
      <c r="C20" s="11" t="n"/>
      <c r="D20" s="11" t="n"/>
      <c r="E20" s="11" t="n"/>
      <c r="F20" s="11" t="n"/>
      <c r="G20" s="11" t="n"/>
      <c r="H20" s="11" t="n"/>
      <c r="I20" s="11" t="n"/>
      <c r="J20" s="11" t="n"/>
      <c r="K20" s="11" t="n"/>
      <c r="L20" s="11" t="n"/>
    </row>
    <row r="21">
      <c r="A21" s="11" t="n"/>
      <c r="B21" s="11" t="n"/>
      <c r="C21" s="11" t="n"/>
      <c r="D21" s="11" t="n"/>
      <c r="E21" s="11" t="n"/>
      <c r="F21" s="11" t="n"/>
      <c r="G21" s="11" t="n"/>
      <c r="H21" s="11" t="n"/>
      <c r="I21" s="11" t="n"/>
      <c r="J21" s="11" t="n"/>
      <c r="K21" s="11" t="n"/>
      <c r="L21" s="11" t="n"/>
    </row>
    <row r="22">
      <c r="A22" s="11" t="n"/>
      <c r="B22" s="11" t="n"/>
      <c r="C22" s="11" t="n"/>
      <c r="D22" s="11" t="n"/>
      <c r="E22" s="11" t="n"/>
      <c r="F22" s="11" t="n"/>
      <c r="G22" s="11" t="n"/>
      <c r="H22" s="11" t="n"/>
      <c r="I22" s="11" t="n"/>
      <c r="J22" s="11" t="n"/>
      <c r="K22" s="11" t="n"/>
      <c r="L22" s="11" t="n"/>
    </row>
    <row r="23">
      <c r="A23" s="11" t="n"/>
      <c r="B23" s="11" t="n"/>
      <c r="C23" s="11" t="n"/>
      <c r="D23" s="11" t="n"/>
      <c r="E23" s="11" t="n"/>
      <c r="F23" s="11" t="n"/>
      <c r="G23" s="11" t="n"/>
      <c r="H23" s="11" t="n"/>
      <c r="I23" s="11" t="n"/>
      <c r="J23" s="11" t="n"/>
      <c r="K23" s="11" t="n"/>
      <c r="L23" s="11" t="n"/>
    </row>
    <row r="24">
      <c r="A24" s="11" t="n"/>
      <c r="B24" s="11" t="n"/>
      <c r="C24" s="11" t="n"/>
      <c r="D24" s="11" t="n"/>
      <c r="E24" s="11" t="n"/>
      <c r="F24" s="11" t="n"/>
      <c r="G24" s="11" t="n"/>
      <c r="H24" s="11" t="n"/>
      <c r="I24" s="11" t="n"/>
      <c r="J24" s="11" t="n"/>
      <c r="K24" s="11" t="n"/>
      <c r="L24" s="11" t="n"/>
    </row>
    <row r="25">
      <c r="A25" s="11" t="n"/>
      <c r="B25" s="11" t="n"/>
      <c r="C25" s="11" t="n"/>
      <c r="D25" s="11" t="n"/>
      <c r="E25" s="11" t="n"/>
      <c r="F25" s="11" t="n"/>
      <c r="G25" s="11" t="n"/>
      <c r="H25" s="11" t="n"/>
      <c r="I25" s="11" t="n"/>
      <c r="J25" s="11" t="n"/>
      <c r="K25" s="11" t="n"/>
      <c r="L25" s="11" t="n"/>
    </row>
    <row r="26">
      <c r="A26" s="11" t="n"/>
      <c r="B26" s="11" t="n"/>
      <c r="C26" s="11" t="n"/>
      <c r="D26" s="11" t="n"/>
      <c r="E26" s="11" t="n"/>
      <c r="F26" s="11" t="n"/>
      <c r="G26" s="11" t="n"/>
      <c r="H26" s="11" t="n"/>
      <c r="I26" s="11" t="n"/>
      <c r="J26" s="11" t="n"/>
      <c r="K26" s="11" t="n"/>
      <c r="L26" s="11" t="n"/>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0">
      <c r="A30" s="11" t="n"/>
      <c r="B30" s="11" t="n"/>
      <c r="C30" s="11" t="n"/>
      <c r="D30" s="11" t="n"/>
      <c r="E30" s="11" t="n"/>
      <c r="F30" s="11" t="n"/>
      <c r="G30" s="11" t="n"/>
      <c r="H30" s="11" t="n"/>
      <c r="I30" s="11" t="n"/>
      <c r="J30" s="11" t="n"/>
      <c r="K30" s="11" t="n"/>
      <c r="L30" s="11" t="n"/>
    </row>
    <row r="31">
      <c r="A31" s="11" t="n"/>
      <c r="B31" s="11" t="n"/>
      <c r="C31" s="11" t="n"/>
      <c r="D31" s="11" t="n"/>
      <c r="E31" s="11" t="n"/>
      <c r="F31" s="11" t="n"/>
      <c r="G31" s="11" t="n"/>
      <c r="H31" s="11" t="n"/>
      <c r="I31" s="11" t="n"/>
      <c r="J31" s="11" t="n"/>
      <c r="K31" s="11" t="n"/>
      <c r="L31" s="11" t="n"/>
    </row>
    <row r="32">
      <c r="A32" s="11" t="n"/>
      <c r="B32" s="11" t="n"/>
      <c r="C32" s="11" t="n"/>
      <c r="D32" s="11" t="n"/>
      <c r="E32" s="11" t="n"/>
      <c r="F32" s="11" t="n"/>
      <c r="G32" s="11" t="n"/>
      <c r="H32" s="11" t="n"/>
      <c r="I32" s="11" t="n"/>
      <c r="J32" s="11" t="n"/>
      <c r="K32" s="11" t="n"/>
      <c r="L32" s="11" t="n"/>
    </row>
    <row r="33">
      <c r="A33" s="11" t="n"/>
      <c r="B33" s="11" t="n"/>
      <c r="C33" s="11" t="n"/>
      <c r="D33" s="11" t="n"/>
      <c r="E33" s="11" t="n"/>
      <c r="F33" s="11" t="n"/>
      <c r="G33" s="11" t="n"/>
      <c r="H33" s="11" t="n"/>
      <c r="I33" s="11" t="n"/>
      <c r="J33" s="11" t="n"/>
      <c r="K33" s="11" t="n"/>
      <c r="L33" s="11" t="n"/>
    </row>
    <row r="34">
      <c r="A34" s="11" t="n"/>
      <c r="B34" s="11" t="n"/>
      <c r="C34" s="11" t="n"/>
      <c r="D34" s="11" t="n"/>
      <c r="E34" s="11" t="n"/>
      <c r="F34" s="11" t="n"/>
      <c r="G34" s="11" t="n"/>
      <c r="H34" s="11" t="n"/>
      <c r="I34" s="11" t="n"/>
      <c r="J34" s="11" t="n"/>
      <c r="K34" s="11" t="n"/>
      <c r="L34" s="11" t="n"/>
    </row>
    <row r="35">
      <c r="A35" s="11" t="n"/>
      <c r="B35" s="11" t="n"/>
      <c r="C35" s="11" t="n"/>
      <c r="D35" s="11" t="n"/>
      <c r="E35" s="11" t="n"/>
      <c r="F35" s="11" t="n"/>
      <c r="G35" s="11" t="n"/>
      <c r="H35" s="11" t="n"/>
      <c r="I35" s="11" t="n"/>
      <c r="J35" s="11" t="n"/>
      <c r="K35" s="11" t="n"/>
      <c r="L35" s="11" t="n"/>
    </row>
    <row r="36">
      <c r="A36" s="11" t="n"/>
      <c r="B36" s="11" t="n"/>
      <c r="C36" s="11" t="n"/>
      <c r="D36" s="11" t="n"/>
      <c r="E36" s="11" t="n"/>
      <c r="F36" s="11" t="n"/>
      <c r="G36" s="11" t="n"/>
      <c r="H36" s="11" t="n"/>
      <c r="I36" s="11" t="n"/>
      <c r="J36" s="11" t="n"/>
      <c r="K36" s="11" t="n"/>
      <c r="L36" s="11" t="n"/>
    </row>
    <row r="37">
      <c r="A37" s="11" t="n"/>
      <c r="B37" s="11" t="n"/>
      <c r="C37" s="11" t="n"/>
      <c r="D37" s="11" t="n"/>
      <c r="E37" s="11" t="n"/>
      <c r="F37" s="11" t="n"/>
      <c r="G37" s="11" t="n"/>
      <c r="H37" s="11" t="n"/>
      <c r="I37" s="11" t="n"/>
      <c r="J37" s="11" t="n"/>
      <c r="K37" s="11" t="n"/>
      <c r="L37" s="11" t="n"/>
    </row>
    <row r="38">
      <c r="A38" s="11" t="n"/>
      <c r="B38" s="11" t="n"/>
      <c r="C38" s="11" t="n"/>
      <c r="D38" s="11" t="n"/>
      <c r="E38" s="11" t="n"/>
      <c r="F38" s="11" t="n"/>
      <c r="G38" s="11" t="n"/>
      <c r="H38" s="11" t="n"/>
      <c r="I38" s="11" t="n"/>
      <c r="J38" s="11" t="n"/>
      <c r="K38" s="11" t="n"/>
      <c r="L38" s="11" t="n"/>
    </row>
    <row r="39">
      <c r="A39" s="11" t="n"/>
      <c r="B39" s="11" t="n"/>
      <c r="C39" s="11" t="n"/>
      <c r="D39" s="11" t="n"/>
      <c r="E39" s="11" t="n"/>
      <c r="F39" s="11" t="n"/>
      <c r="G39" s="11" t="n"/>
      <c r="H39" s="11" t="n"/>
      <c r="I39" s="11" t="n"/>
      <c r="J39" s="11" t="n"/>
      <c r="K39" s="11" t="n"/>
      <c r="L39" s="11" t="n"/>
    </row>
    <row r="40">
      <c r="A40" s="11" t="n"/>
      <c r="B40" s="11" t="n"/>
      <c r="C40" s="11" t="n"/>
      <c r="D40" s="11" t="n"/>
      <c r="E40" s="11" t="n"/>
      <c r="F40" s="11" t="n"/>
      <c r="G40" s="11" t="n"/>
      <c r="H40" s="11" t="n"/>
      <c r="I40" s="11" t="n"/>
      <c r="J40" s="11" t="n"/>
      <c r="K40" s="11" t="n"/>
      <c r="L40" s="11" t="n"/>
    </row>
    <row r="41">
      <c r="A41" s="11" t="n"/>
      <c r="B41" s="11" t="n"/>
      <c r="C41" s="11" t="n"/>
      <c r="D41" s="11" t="n"/>
      <c r="E41" s="11" t="n"/>
      <c r="F41" s="11" t="n"/>
      <c r="G41" s="11" t="n"/>
      <c r="H41" s="11" t="n"/>
      <c r="I41" s="11" t="n"/>
      <c r="J41" s="11" t="n"/>
      <c r="K41" s="11" t="n"/>
      <c r="L41" s="11" t="n"/>
    </row>
    <row r="42">
      <c r="A42" s="11" t="n"/>
      <c r="B42" s="11" t="n"/>
      <c r="C42" s="11" t="n"/>
      <c r="D42" s="11" t="n"/>
      <c r="E42" s="11" t="n"/>
      <c r="F42" s="11" t="n"/>
      <c r="G42" s="11" t="n"/>
      <c r="H42" s="11" t="n"/>
      <c r="I42" s="11" t="n"/>
      <c r="J42" s="11" t="n"/>
      <c r="K42" s="11" t="n"/>
      <c r="L42" s="11" t="n"/>
    </row>
    <row r="43">
      <c r="A43" s="11" t="n"/>
      <c r="B43" s="11" t="n"/>
      <c r="C43" s="11" t="n"/>
      <c r="D43" s="11" t="n"/>
      <c r="E43" s="11" t="n"/>
      <c r="F43" s="11" t="n"/>
      <c r="G43" s="11" t="n"/>
      <c r="H43" s="11" t="n"/>
      <c r="I43" s="11" t="n"/>
      <c r="J43" s="11" t="n"/>
      <c r="K43" s="11" t="n"/>
      <c r="L43" s="11" t="n"/>
    </row>
    <row r="44">
      <c r="A44" s="11" t="n"/>
      <c r="B44" s="11" t="n"/>
      <c r="C44" s="11" t="n"/>
      <c r="D44" s="11" t="n"/>
      <c r="E44" s="11" t="n"/>
      <c r="F44" s="11" t="n"/>
      <c r="G44" s="11" t="n"/>
      <c r="H44" s="11" t="n"/>
      <c r="I44" s="11" t="n"/>
      <c r="J44" s="11" t="n"/>
      <c r="K44" s="11" t="n"/>
      <c r="L44" s="11" t="n"/>
    </row>
    <row r="45">
      <c r="A45" s="11" t="n"/>
      <c r="B45" s="11" t="n"/>
      <c r="C45" s="11" t="n"/>
      <c r="D45" s="11" t="n"/>
      <c r="E45" s="11" t="n"/>
      <c r="F45" s="11" t="n"/>
      <c r="G45" s="11" t="n"/>
      <c r="H45" s="11" t="n"/>
      <c r="I45" s="11" t="n"/>
      <c r="J45" s="11" t="n"/>
      <c r="K45" s="11" t="n"/>
      <c r="L45" s="11" t="n"/>
    </row>
    <row r="46">
      <c r="A46" s="11" t="n"/>
      <c r="B46" s="11" t="n"/>
      <c r="C46" s="11" t="n"/>
      <c r="D46" s="11" t="n"/>
      <c r="E46" s="11" t="n"/>
      <c r="F46" s="11" t="n"/>
      <c r="G46" s="11" t="n"/>
      <c r="H46" s="11" t="n"/>
      <c r="I46" s="11" t="n"/>
      <c r="J46" s="11" t="n"/>
      <c r="K46" s="11" t="n"/>
      <c r="L46" s="11" t="n"/>
    </row>
    <row r="47">
      <c r="A47" s="11" t="n"/>
      <c r="B47" s="11" t="n"/>
      <c r="C47" s="11" t="n"/>
      <c r="D47" s="11" t="n"/>
      <c r="E47" s="11" t="n"/>
      <c r="F47" s="11" t="n"/>
      <c r="G47" s="11" t="n"/>
      <c r="H47" s="11" t="n"/>
      <c r="I47" s="11" t="n"/>
      <c r="J47" s="11" t="n"/>
      <c r="K47" s="11" t="n"/>
      <c r="L47" s="11" t="n"/>
    </row>
    <row r="48">
      <c r="A48" s="11" t="n"/>
      <c r="B48" s="11" t="n"/>
      <c r="C48" s="11" t="n"/>
      <c r="D48" s="11" t="n"/>
      <c r="E48" s="11" t="n"/>
      <c r="F48" s="11" t="n"/>
      <c r="G48" s="11" t="n"/>
      <c r="H48" s="11" t="n"/>
      <c r="I48" s="11" t="n"/>
      <c r="J48" s="11" t="n"/>
      <c r="K48" s="11" t="n"/>
      <c r="L48" s="11" t="n"/>
    </row>
    <row r="49">
      <c r="A49" s="11" t="n"/>
      <c r="B49" s="11" t="n"/>
      <c r="C49" s="11" t="n"/>
      <c r="D49" s="11" t="n"/>
      <c r="E49" s="11" t="n"/>
      <c r="F49" s="11" t="n"/>
      <c r="G49" s="11" t="n"/>
      <c r="H49" s="11" t="n"/>
      <c r="I49" s="11" t="n"/>
      <c r="J49" s="11" t="n"/>
      <c r="K49" s="11" t="n"/>
      <c r="L49" s="11" t="n"/>
    </row>
    <row r="50">
      <c r="A50" s="11" t="n"/>
      <c r="B50" s="11" t="n"/>
      <c r="C50" s="11" t="n"/>
      <c r="D50" s="11" t="n"/>
      <c r="E50" s="11" t="n"/>
      <c r="F50" s="11" t="n"/>
      <c r="G50" s="11" t="n"/>
      <c r="H50" s="11" t="n"/>
      <c r="I50" s="11" t="n"/>
      <c r="J50" s="11" t="n"/>
      <c r="K50" s="11" t="n"/>
      <c r="L50" s="11" t="n"/>
    </row>
    <row r="51">
      <c r="A51" s="11" t="n"/>
      <c r="B51" s="11" t="n"/>
      <c r="C51" s="11" t="n"/>
      <c r="D51" s="11" t="n"/>
      <c r="E51" s="11" t="n"/>
      <c r="F51" s="11" t="n"/>
      <c r="G51" s="11" t="n"/>
      <c r="H51" s="11" t="n"/>
      <c r="I51" s="11" t="n"/>
      <c r="J51" s="11" t="n"/>
      <c r="K51" s="11" t="n"/>
      <c r="L51" s="11" t="n"/>
    </row>
    <row r="52">
      <c r="A52" s="11" t="n"/>
      <c r="B52" s="11" t="n"/>
      <c r="C52" s="11" t="n"/>
      <c r="D52" s="11" t="n"/>
      <c r="E52" s="11" t="n"/>
      <c r="F52" s="11" t="n"/>
      <c r="G52" s="11" t="n"/>
      <c r="H52" s="11" t="n"/>
      <c r="I52" s="11" t="n"/>
      <c r="J52" s="11" t="n"/>
      <c r="K52" s="11" t="n"/>
      <c r="L52" s="11" t="n"/>
    </row>
    <row r="53">
      <c r="A53" s="11" t="n"/>
      <c r="B53" s="11" t="n"/>
      <c r="C53" s="11" t="n"/>
      <c r="D53" s="11" t="n"/>
      <c r="E53" s="11" t="n"/>
      <c r="F53" s="11" t="n"/>
      <c r="G53" s="11" t="n"/>
      <c r="H53" s="11" t="n"/>
      <c r="I53" s="11" t="n"/>
      <c r="J53" s="11" t="n"/>
      <c r="K53" s="11" t="n"/>
      <c r="L53" s="11" t="n"/>
    </row>
    <row r="54">
      <c r="A54" s="11" t="n"/>
      <c r="B54" s="11" t="n"/>
      <c r="C54" s="11" t="n"/>
      <c r="D54" s="11" t="n"/>
      <c r="E54" s="11" t="n"/>
      <c r="F54" s="11" t="n"/>
      <c r="G54" s="11" t="n"/>
      <c r="H54" s="11" t="n"/>
      <c r="I54" s="11" t="n"/>
      <c r="J54" s="11" t="n"/>
      <c r="K54" s="11" t="n"/>
      <c r="L54" s="11" t="n"/>
    </row>
    <row r="55">
      <c r="A55" s="11" t="n"/>
      <c r="B55" s="11" t="n"/>
      <c r="C55" s="11" t="n"/>
      <c r="D55" s="11" t="n"/>
      <c r="E55" s="11" t="n"/>
      <c r="F55" s="11" t="n"/>
      <c r="G55" s="11" t="n"/>
      <c r="H55" s="11" t="n"/>
      <c r="I55" s="11" t="n"/>
      <c r="J55" s="11" t="n"/>
      <c r="K55" s="11" t="n"/>
      <c r="L55" s="11" t="n"/>
    </row>
    <row r="56">
      <c r="A56" s="11" t="n"/>
      <c r="B56" s="11" t="n"/>
      <c r="C56" s="11" t="n"/>
      <c r="D56" s="11" t="n"/>
      <c r="E56" s="11" t="n"/>
      <c r="F56" s="11" t="n"/>
      <c r="G56" s="11" t="n"/>
      <c r="H56" s="11" t="n"/>
      <c r="I56" s="11" t="n"/>
      <c r="J56" s="11" t="n"/>
      <c r="K56" s="11" t="n"/>
      <c r="L56" s="11" t="n"/>
    </row>
    <row r="57">
      <c r="A57" s="11" t="n"/>
      <c r="B57" s="11" t="n"/>
      <c r="C57" s="11" t="n"/>
      <c r="D57" s="11" t="n"/>
      <c r="E57" s="11" t="n"/>
      <c r="F57" s="11" t="n"/>
      <c r="G57" s="11" t="n"/>
      <c r="H57" s="11" t="n"/>
      <c r="I57" s="11" t="n"/>
      <c r="J57" s="11" t="n"/>
      <c r="K57" s="11" t="n"/>
      <c r="L57" s="11" t="n"/>
    </row>
  </sheetData>
  <mergeCells count="2">
    <mergeCell ref="A2:L2"/>
    <mergeCell ref="A1:L1"/>
  </mergeCells>
  <dataValidations count="4">
    <dataValidation sqref="K7 K8 K9 K10 K11 K12 K13 K14 K15 K16 K17 K18 K19 K20 K21 K22 K23 K24 K25 K26 K27 K28 K29 K30 K31 K32 K33 K34 K35 K36 K37 K38 K39 K40 K41 K42 K43 K44 K45 K46 K47 K48 K49 K50 K51 K52 K53 K54 K55 K56 K57" showDropDown="0" showInputMessage="0" showErrorMessage="0" allowBlank="0" type="list">
      <formula1>"✅ Implemented,⚠️ Partial,❌ Not Implemented,Planned,N/A"</formula1>
    </dataValidation>
    <dataValidation sqref="D7 D8 D9 D10 D11 D12 D13 D14 D15 D16 D17 D18 D19 D20 D21 D22 D23 D24 D25 D26 D27 D28 D29 D30 D31 D32 D33 D34 D35 D36 D37 D38 D39 D40 D41 D42 D43 D44 D45 D46 D47 D48 D49 D50 D51 D52 D53 D54 D55 D56 D57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"TECH-SDM,TECH-DDM,TECH-RED,TECH-TOK,TECH-SUB,TECH-ENC,TECH-SHF,TECH-HSH"</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"Critical,High,Medium,Low"</formula1>
    </dataValidation>
    <dataValidation sqref="F7 F8 F9 F10 F11 F12 F13 F14 F15 F16 F17 F18 F19 F20 F21 F22 F23 F24 F25 F26 F27 F28 F29 F30 F31 F32 F33 F34 F35 F36 F37 F38 F39 F40 F41 F42 F43 F44 F45 F46 F47 F48 F49 F50 F51 F52 F53 F54 F55 F56 F57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STATIC DATA MASKING (SDM)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DYNAMIC DATA MASKING (DDM)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TOKENISATION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ENCRYPTION FOR MASKING</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MASKING TOOL/SOLUTION INVENTORY</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MASKING CONFIGURATION STANDARDS</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35" customWidth="1" min="4" max="4"/>
    <col width="12" customWidth="1" min="5" max="5"/>
    <col width="30" customWidth="1" min="6" max="6"/>
    <col width="25" customWidth="1" min="7" max="7"/>
    <col width="30" customWidth="1" min="8" max="8"/>
    <col width="20" customWidth="1" min="9" max="9"/>
    <col width="15" customWidth="1" min="10" max="10"/>
    <col width="15" customWidth="1" min="11" max="11"/>
    <col width="15" customWidth="1" min="12" max="12"/>
    <col width="20" customWidth="1" min="13" max="13"/>
    <col width="30" customWidth="1" min="14" max="14"/>
  </cols>
  <sheetData>
    <row r="1" ht="35" customHeight="1">
      <c r="A1" s="1" t="inlineStr">
        <is>
          <t>MASKING TECHNIQUE IMPLEMENTATION GAP ANALYSIS</t>
        </is>
      </c>
    </row>
    <row r="2">
      <c r="A2" s="8" t="inlineStr">
        <is>
          <t>Identify gaps in masking technique implementation (51 rows: 1 sample + 50 empty)</t>
        </is>
      </c>
    </row>
    <row r="3">
      <c r="A3" s="9" t="inlineStr">
        <is>
          <t>Gap ID</t>
        </is>
      </c>
      <c r="B3" s="9" t="inlineStr">
        <is>
          <t>Gap Category</t>
        </is>
      </c>
      <c r="C3" s="9" t="inlineStr">
        <is>
          <t>Affected System</t>
        </is>
      </c>
      <c r="D3" s="9" t="inlineStr">
        <is>
          <t>Gap Description</t>
        </is>
      </c>
      <c r="E3" s="9" t="inlineStr">
        <is>
          <t>Risk Level</t>
        </is>
      </c>
      <c r="F3" s="9" t="inlineStr">
        <is>
          <t>Impact</t>
        </is>
      </c>
      <c r="G3" s="9" t="inlineStr">
        <is>
          <t>Root Cause</t>
        </is>
      </c>
      <c r="H3" s="9" t="inlineStr">
        <is>
          <t>Remediation Action</t>
        </is>
      </c>
      <c r="I3" s="9" t="inlineStr">
        <is>
          <t>Owner</t>
        </is>
      </c>
      <c r="J3" s="9" t="inlineStr">
        <is>
          <t>Target Date</t>
        </is>
      </c>
      <c r="K3" s="9" t="inlineStr">
        <is>
          <t>Status</t>
        </is>
      </c>
      <c r="L3" s="9" t="inlineStr">
        <is>
          <t>Completion Date</t>
        </is>
      </c>
      <c r="M3" s="9" t="inlineStr">
        <is>
          <t>Verification</t>
        </is>
      </c>
      <c r="N3" s="9" t="inlineStr">
        <is>
          <t>Notes</t>
        </is>
      </c>
    </row>
    <row r="4">
      <c r="A4" s="12" t="inlineStr">
        <is>
          <t>GAP-001</t>
        </is>
      </c>
      <c r="B4" s="12" t="inlineStr">
        <is>
          <t>Missing Masking</t>
        </is>
      </c>
      <c r="C4" s="12" t="inlineStr">
        <is>
          <t>HR System - Payroll DB</t>
        </is>
      </c>
      <c r="D4" s="12" t="inlineStr">
        <is>
          <t>Bank account numbers in payroll tables not masked in test environments</t>
        </is>
      </c>
      <c r="E4" s="12" t="inlineStr">
        <is>
          <t>High</t>
        </is>
      </c>
      <c r="F4" s="12" t="inlineStr">
        <is>
          <t>Test data contains real employee bank details - GDPR/FADP violation risk</t>
        </is>
      </c>
      <c r="G4" s="12" t="inlineStr">
        <is>
          <t>Masking not configured during initial deployment</t>
        </is>
      </c>
      <c r="H4" s="12" t="inlineStr">
        <is>
          <t>Implement static masking for bank_account field using format-preserving encryption</t>
        </is>
      </c>
      <c r="I4" s="12" t="inlineStr">
        <is>
          <t>Data Engineering Team</t>
        </is>
      </c>
      <c r="J4" s="12" t="inlineStr">
        <is>
          <t>31.03.2026</t>
        </is>
      </c>
      <c r="K4" s="12" t="inlineStr">
        <is>
          <t>In Progress</t>
        </is>
      </c>
      <c r="L4" s="12" t="inlineStr"/>
      <c r="M4" s="12" t="inlineStr">
        <is>
          <t>Evidence pending</t>
        </is>
      </c>
      <c r="N4" s="12" t="inlineStr">
        <is>
          <t>Action plan approved by DPO 15.01.2026</t>
        </is>
      </c>
    </row>
    <row r="5">
      <c r="A5" s="11" t="n"/>
      <c r="B5" s="11" t="n"/>
      <c r="C5" s="11" t="n"/>
      <c r="D5" s="11" t="n"/>
      <c r="E5" s="11" t="n"/>
      <c r="F5" s="11" t="n"/>
      <c r="G5" s="11" t="n"/>
      <c r="H5" s="11" t="n"/>
      <c r="I5" s="11" t="n"/>
      <c r="J5" s="11" t="n"/>
      <c r="K5" s="11" t="n"/>
      <c r="L5" s="11" t="n"/>
      <c r="M5" s="11" t="n"/>
      <c r="N5" s="11" t="n"/>
    </row>
    <row r="6">
      <c r="A6" s="11" t="n"/>
      <c r="B6" s="11" t="n"/>
      <c r="C6" s="11" t="n"/>
      <c r="D6" s="11" t="n"/>
      <c r="E6" s="11" t="n"/>
      <c r="F6" s="11" t="n"/>
      <c r="G6" s="11" t="n"/>
      <c r="H6" s="11" t="n"/>
      <c r="I6" s="11" t="n"/>
      <c r="J6" s="11" t="n"/>
      <c r="K6" s="11" t="n"/>
      <c r="L6" s="11" t="n"/>
      <c r="M6" s="11" t="n"/>
      <c r="N6" s="11" t="n"/>
    </row>
    <row r="7">
      <c r="A7" s="11" t="n"/>
      <c r="B7" s="11" t="n"/>
      <c r="C7" s="11" t="n"/>
      <c r="D7" s="11" t="n"/>
      <c r="E7" s="11" t="n"/>
      <c r="F7" s="11" t="n"/>
      <c r="G7" s="11" t="n"/>
      <c r="H7" s="11" t="n"/>
      <c r="I7" s="11" t="n"/>
      <c r="J7" s="11" t="n"/>
      <c r="K7" s="11" t="n"/>
      <c r="L7" s="11" t="n"/>
      <c r="M7" s="11" t="n"/>
      <c r="N7" s="11" t="n"/>
    </row>
    <row r="8">
      <c r="A8" s="11" t="n"/>
      <c r="B8" s="11" t="n"/>
      <c r="C8" s="11" t="n"/>
      <c r="D8" s="11" t="n"/>
      <c r="E8" s="11" t="n"/>
      <c r="F8" s="11" t="n"/>
      <c r="G8" s="11" t="n"/>
      <c r="H8" s="11" t="n"/>
      <c r="I8" s="11" t="n"/>
      <c r="J8" s="11" t="n"/>
      <c r="K8" s="11" t="n"/>
      <c r="L8" s="11" t="n"/>
      <c r="M8" s="11" t="n"/>
      <c r="N8" s="11" t="n"/>
    </row>
    <row r="9">
      <c r="A9" s="11" t="n"/>
      <c r="B9" s="11" t="n"/>
      <c r="C9" s="11" t="n"/>
      <c r="D9" s="11" t="n"/>
      <c r="E9" s="11" t="n"/>
      <c r="F9" s="11" t="n"/>
      <c r="G9" s="11" t="n"/>
      <c r="H9" s="11" t="n"/>
      <c r="I9" s="11" t="n"/>
      <c r="J9" s="11" t="n"/>
      <c r="K9" s="11" t="n"/>
      <c r="L9" s="11" t="n"/>
      <c r="M9" s="11" t="n"/>
      <c r="N9" s="11" t="n"/>
    </row>
    <row r="10">
      <c r="A10" s="11" t="n"/>
      <c r="B10" s="11" t="n"/>
      <c r="C10" s="11" t="n"/>
      <c r="D10" s="11" t="n"/>
      <c r="E10" s="11" t="n"/>
      <c r="F10" s="11" t="n"/>
      <c r="G10" s="11" t="n"/>
      <c r="H10" s="11" t="n"/>
      <c r="I10" s="11" t="n"/>
      <c r="J10" s="11" t="n"/>
      <c r="K10" s="11" t="n"/>
      <c r="L10" s="11" t="n"/>
      <c r="M10" s="11" t="n"/>
      <c r="N10" s="11" t="n"/>
    </row>
    <row r="11">
      <c r="A11" s="11" t="n"/>
      <c r="B11" s="11" t="n"/>
      <c r="C11" s="11" t="n"/>
      <c r="D11" s="11" t="n"/>
      <c r="E11" s="11" t="n"/>
      <c r="F11" s="11" t="n"/>
      <c r="G11" s="11" t="n"/>
      <c r="H11" s="11" t="n"/>
      <c r="I11" s="11" t="n"/>
      <c r="J11" s="11" t="n"/>
      <c r="K11" s="11" t="n"/>
      <c r="L11" s="11" t="n"/>
      <c r="M11" s="11" t="n"/>
      <c r="N11" s="11" t="n"/>
    </row>
    <row r="12">
      <c r="A12" s="11" t="n"/>
      <c r="B12" s="11" t="n"/>
      <c r="C12" s="11" t="n"/>
      <c r="D12" s="11" t="n"/>
      <c r="E12" s="11" t="n"/>
      <c r="F12" s="11" t="n"/>
      <c r="G12" s="11" t="n"/>
      <c r="H12" s="11" t="n"/>
      <c r="I12" s="11" t="n"/>
      <c r="J12" s="11" t="n"/>
      <c r="K12" s="11" t="n"/>
      <c r="L12" s="11" t="n"/>
      <c r="M12" s="11" t="n"/>
      <c r="N12" s="11" t="n"/>
    </row>
    <row r="13">
      <c r="A13" s="11" t="n"/>
      <c r="B13" s="11" t="n"/>
      <c r="C13" s="11" t="n"/>
      <c r="D13" s="11" t="n"/>
      <c r="E13" s="11" t="n"/>
      <c r="F13" s="11" t="n"/>
      <c r="G13" s="11" t="n"/>
      <c r="H13" s="11" t="n"/>
      <c r="I13" s="11" t="n"/>
      <c r="J13" s="11" t="n"/>
      <c r="K13" s="11" t="n"/>
      <c r="L13" s="11" t="n"/>
      <c r="M13" s="11" t="n"/>
      <c r="N13" s="11" t="n"/>
    </row>
    <row r="14">
      <c r="A14" s="11" t="n"/>
      <c r="B14" s="11" t="n"/>
      <c r="C14" s="11" t="n"/>
      <c r="D14" s="11" t="n"/>
      <c r="E14" s="11" t="n"/>
      <c r="F14" s="11" t="n"/>
      <c r="G14" s="11" t="n"/>
      <c r="H14" s="11" t="n"/>
      <c r="I14" s="11" t="n"/>
      <c r="J14" s="11" t="n"/>
      <c r="K14" s="11" t="n"/>
      <c r="L14" s="11" t="n"/>
      <c r="M14" s="11" t="n"/>
      <c r="N14" s="11" t="n"/>
    </row>
    <row r="15">
      <c r="A15" s="11" t="n"/>
      <c r="B15" s="11" t="n"/>
      <c r="C15" s="11" t="n"/>
      <c r="D15" s="11" t="n"/>
      <c r="E15" s="11" t="n"/>
      <c r="F15" s="11" t="n"/>
      <c r="G15" s="11" t="n"/>
      <c r="H15" s="11" t="n"/>
      <c r="I15" s="11" t="n"/>
      <c r="J15" s="11" t="n"/>
      <c r="K15" s="11" t="n"/>
      <c r="L15" s="11" t="n"/>
      <c r="M15" s="11" t="n"/>
      <c r="N15" s="11" t="n"/>
    </row>
    <row r="16">
      <c r="A16" s="11" t="n"/>
      <c r="B16" s="11" t="n"/>
      <c r="C16" s="11" t="n"/>
      <c r="D16" s="11" t="n"/>
      <c r="E16" s="11" t="n"/>
      <c r="F16" s="11" t="n"/>
      <c r="G16" s="11" t="n"/>
      <c r="H16" s="11" t="n"/>
      <c r="I16" s="11" t="n"/>
      <c r="J16" s="11" t="n"/>
      <c r="K16" s="11" t="n"/>
      <c r="L16" s="11" t="n"/>
      <c r="M16" s="11" t="n"/>
      <c r="N16" s="11" t="n"/>
    </row>
    <row r="17">
      <c r="A17" s="11" t="n"/>
      <c r="B17" s="11" t="n"/>
      <c r="C17" s="11" t="n"/>
      <c r="D17" s="11" t="n"/>
      <c r="E17" s="11" t="n"/>
      <c r="F17" s="11" t="n"/>
      <c r="G17" s="11" t="n"/>
      <c r="H17" s="11" t="n"/>
      <c r="I17" s="11" t="n"/>
      <c r="J17" s="11" t="n"/>
      <c r="K17" s="11" t="n"/>
      <c r="L17" s="11" t="n"/>
      <c r="M17" s="11" t="n"/>
      <c r="N17" s="11" t="n"/>
    </row>
    <row r="18">
      <c r="A18" s="11" t="n"/>
      <c r="B18" s="11" t="n"/>
      <c r="C18" s="11" t="n"/>
      <c r="D18" s="11" t="n"/>
      <c r="E18" s="11" t="n"/>
      <c r="F18" s="11" t="n"/>
      <c r="G18" s="11" t="n"/>
      <c r="H18" s="11" t="n"/>
      <c r="I18" s="11" t="n"/>
      <c r="J18" s="11" t="n"/>
      <c r="K18" s="11" t="n"/>
      <c r="L18" s="11" t="n"/>
      <c r="M18" s="11" t="n"/>
      <c r="N18" s="11" t="n"/>
    </row>
    <row r="19">
      <c r="A19" s="11" t="n"/>
      <c r="B19" s="11" t="n"/>
      <c r="C19" s="11" t="n"/>
      <c r="D19" s="11" t="n"/>
      <c r="E19" s="11" t="n"/>
      <c r="F19" s="11" t="n"/>
      <c r="G19" s="11" t="n"/>
      <c r="H19" s="11" t="n"/>
      <c r="I19" s="11" t="n"/>
      <c r="J19" s="11" t="n"/>
      <c r="K19" s="11" t="n"/>
      <c r="L19" s="11" t="n"/>
      <c r="M19" s="11" t="n"/>
      <c r="N19" s="11" t="n"/>
    </row>
    <row r="20">
      <c r="A20" s="11" t="n"/>
      <c r="B20" s="11" t="n"/>
      <c r="C20" s="11" t="n"/>
      <c r="D20" s="11" t="n"/>
      <c r="E20" s="11" t="n"/>
      <c r="F20" s="11" t="n"/>
      <c r="G20" s="11" t="n"/>
      <c r="H20" s="11" t="n"/>
      <c r="I20" s="11" t="n"/>
      <c r="J20" s="11" t="n"/>
      <c r="K20" s="11" t="n"/>
      <c r="L20" s="11" t="n"/>
      <c r="M20" s="11" t="n"/>
      <c r="N20" s="11" t="n"/>
    </row>
    <row r="21">
      <c r="A21" s="11" t="n"/>
      <c r="B21" s="11" t="n"/>
      <c r="C21" s="11" t="n"/>
      <c r="D21" s="11" t="n"/>
      <c r="E21" s="11" t="n"/>
      <c r="F21" s="11" t="n"/>
      <c r="G21" s="11" t="n"/>
      <c r="H21" s="11" t="n"/>
      <c r="I21" s="11" t="n"/>
      <c r="J21" s="11" t="n"/>
      <c r="K21" s="11" t="n"/>
      <c r="L21" s="11" t="n"/>
      <c r="M21" s="11" t="n"/>
      <c r="N21" s="11" t="n"/>
    </row>
    <row r="22">
      <c r="A22" s="11" t="n"/>
      <c r="B22" s="11" t="n"/>
      <c r="C22" s="11" t="n"/>
      <c r="D22" s="11" t="n"/>
      <c r="E22" s="11" t="n"/>
      <c r="F22" s="11" t="n"/>
      <c r="G22" s="11" t="n"/>
      <c r="H22" s="11" t="n"/>
      <c r="I22" s="11" t="n"/>
      <c r="J22" s="11" t="n"/>
      <c r="K22" s="11" t="n"/>
      <c r="L22" s="11" t="n"/>
      <c r="M22" s="11" t="n"/>
      <c r="N22" s="11" t="n"/>
    </row>
    <row r="23">
      <c r="A23" s="11" t="n"/>
      <c r="B23" s="11" t="n"/>
      <c r="C23" s="11" t="n"/>
      <c r="D23" s="11" t="n"/>
      <c r="E23" s="11" t="n"/>
      <c r="F23" s="11" t="n"/>
      <c r="G23" s="11" t="n"/>
      <c r="H23" s="11" t="n"/>
      <c r="I23" s="11" t="n"/>
      <c r="J23" s="11" t="n"/>
      <c r="K23" s="11" t="n"/>
      <c r="L23" s="11" t="n"/>
      <c r="M23" s="11" t="n"/>
      <c r="N23" s="11" t="n"/>
    </row>
    <row r="24">
      <c r="A24" s="11" t="n"/>
      <c r="B24" s="11" t="n"/>
      <c r="C24" s="11" t="n"/>
      <c r="D24" s="11" t="n"/>
      <c r="E24" s="11" t="n"/>
      <c r="F24" s="11" t="n"/>
      <c r="G24" s="11" t="n"/>
      <c r="H24" s="11" t="n"/>
      <c r="I24" s="11" t="n"/>
      <c r="J24" s="11" t="n"/>
      <c r="K24" s="11" t="n"/>
      <c r="L24" s="11" t="n"/>
      <c r="M24" s="11" t="n"/>
      <c r="N24" s="11" t="n"/>
    </row>
    <row r="25">
      <c r="A25" s="11" t="n"/>
      <c r="B25" s="11" t="n"/>
      <c r="C25" s="11" t="n"/>
      <c r="D25" s="11" t="n"/>
      <c r="E25" s="11" t="n"/>
      <c r="F25" s="11" t="n"/>
      <c r="G25" s="11" t="n"/>
      <c r="H25" s="11" t="n"/>
      <c r="I25" s="11" t="n"/>
      <c r="J25" s="11" t="n"/>
      <c r="K25" s="11" t="n"/>
      <c r="L25" s="11" t="n"/>
      <c r="M25" s="11" t="n"/>
      <c r="N25" s="11" t="n"/>
    </row>
    <row r="26">
      <c r="A26" s="11" t="n"/>
      <c r="B26" s="11" t="n"/>
      <c r="C26" s="11" t="n"/>
      <c r="D26" s="11" t="n"/>
      <c r="E26" s="11" t="n"/>
      <c r="F26" s="11" t="n"/>
      <c r="G26" s="11" t="n"/>
      <c r="H26" s="11" t="n"/>
      <c r="I26" s="11" t="n"/>
      <c r="J26" s="11" t="n"/>
      <c r="K26" s="11" t="n"/>
      <c r="L26" s="11" t="n"/>
      <c r="M26" s="11" t="n"/>
      <c r="N26" s="11" t="n"/>
    </row>
    <row r="27">
      <c r="A27" s="11" t="n"/>
      <c r="B27" s="11" t="n"/>
      <c r="C27" s="11" t="n"/>
      <c r="D27" s="11" t="n"/>
      <c r="E27" s="11" t="n"/>
      <c r="F27" s="11" t="n"/>
      <c r="G27" s="11" t="n"/>
      <c r="H27" s="11" t="n"/>
      <c r="I27" s="11" t="n"/>
      <c r="J27" s="11" t="n"/>
      <c r="K27" s="11" t="n"/>
      <c r="L27" s="11" t="n"/>
      <c r="M27" s="11" t="n"/>
      <c r="N27" s="11" t="n"/>
    </row>
    <row r="28">
      <c r="A28" s="11" t="n"/>
      <c r="B28" s="11" t="n"/>
      <c r="C28" s="11" t="n"/>
      <c r="D28" s="11" t="n"/>
      <c r="E28" s="11" t="n"/>
      <c r="F28" s="11" t="n"/>
      <c r="G28" s="11" t="n"/>
      <c r="H28" s="11" t="n"/>
      <c r="I28" s="11" t="n"/>
      <c r="J28" s="11" t="n"/>
      <c r="K28" s="11" t="n"/>
      <c r="L28" s="11" t="n"/>
      <c r="M28" s="11" t="n"/>
      <c r="N28" s="11" t="n"/>
    </row>
    <row r="29">
      <c r="A29" s="11" t="n"/>
      <c r="B29" s="11" t="n"/>
      <c r="C29" s="11" t="n"/>
      <c r="D29" s="11" t="n"/>
      <c r="E29" s="11" t="n"/>
      <c r="F29" s="11" t="n"/>
      <c r="G29" s="11" t="n"/>
      <c r="H29" s="11" t="n"/>
      <c r="I29" s="11" t="n"/>
      <c r="J29" s="11" t="n"/>
      <c r="K29" s="11" t="n"/>
      <c r="L29" s="11" t="n"/>
      <c r="M29" s="11" t="n"/>
      <c r="N29" s="11" t="n"/>
    </row>
    <row r="30">
      <c r="A30" s="11" t="n"/>
      <c r="B30" s="11" t="n"/>
      <c r="C30" s="11" t="n"/>
      <c r="D30" s="11" t="n"/>
      <c r="E30" s="11" t="n"/>
      <c r="F30" s="11" t="n"/>
      <c r="G30" s="11" t="n"/>
      <c r="H30" s="11" t="n"/>
      <c r="I30" s="11" t="n"/>
      <c r="J30" s="11" t="n"/>
      <c r="K30" s="11" t="n"/>
      <c r="L30" s="11" t="n"/>
      <c r="M30" s="11" t="n"/>
      <c r="N30" s="11" t="n"/>
    </row>
    <row r="31">
      <c r="A31" s="11" t="n"/>
      <c r="B31" s="11" t="n"/>
      <c r="C31" s="11" t="n"/>
      <c r="D31" s="11" t="n"/>
      <c r="E31" s="11" t="n"/>
      <c r="F31" s="11" t="n"/>
      <c r="G31" s="11" t="n"/>
      <c r="H31" s="11" t="n"/>
      <c r="I31" s="11" t="n"/>
      <c r="J31" s="11" t="n"/>
      <c r="K31" s="11" t="n"/>
      <c r="L31" s="11" t="n"/>
      <c r="M31" s="11" t="n"/>
      <c r="N31" s="11" t="n"/>
    </row>
    <row r="32">
      <c r="A32" s="11" t="n"/>
      <c r="B32" s="11" t="n"/>
      <c r="C32" s="11" t="n"/>
      <c r="D32" s="11" t="n"/>
      <c r="E32" s="11" t="n"/>
      <c r="F32" s="11" t="n"/>
      <c r="G32" s="11" t="n"/>
      <c r="H32" s="11" t="n"/>
      <c r="I32" s="11" t="n"/>
      <c r="J32" s="11" t="n"/>
      <c r="K32" s="11" t="n"/>
      <c r="L32" s="11" t="n"/>
      <c r="M32" s="11" t="n"/>
      <c r="N32" s="11" t="n"/>
    </row>
    <row r="33">
      <c r="A33" s="11" t="n"/>
      <c r="B33" s="11" t="n"/>
      <c r="C33" s="11" t="n"/>
      <c r="D33" s="11" t="n"/>
      <c r="E33" s="11" t="n"/>
      <c r="F33" s="11" t="n"/>
      <c r="G33" s="11" t="n"/>
      <c r="H33" s="11" t="n"/>
      <c r="I33" s="11" t="n"/>
      <c r="J33" s="11" t="n"/>
      <c r="K33" s="11" t="n"/>
      <c r="L33" s="11" t="n"/>
      <c r="M33" s="11" t="n"/>
      <c r="N33" s="11" t="n"/>
    </row>
    <row r="34">
      <c r="A34" s="11" t="n"/>
      <c r="B34" s="11" t="n"/>
      <c r="C34" s="11" t="n"/>
      <c r="D34" s="11" t="n"/>
      <c r="E34" s="11" t="n"/>
      <c r="F34" s="11" t="n"/>
      <c r="G34" s="11" t="n"/>
      <c r="H34" s="11" t="n"/>
      <c r="I34" s="11" t="n"/>
      <c r="J34" s="11" t="n"/>
      <c r="K34" s="11" t="n"/>
      <c r="L34" s="11" t="n"/>
      <c r="M34" s="11" t="n"/>
      <c r="N34" s="11" t="n"/>
    </row>
    <row r="35">
      <c r="A35" s="11" t="n"/>
      <c r="B35" s="11" t="n"/>
      <c r="C35" s="11" t="n"/>
      <c r="D35" s="11" t="n"/>
      <c r="E35" s="11" t="n"/>
      <c r="F35" s="11" t="n"/>
      <c r="G35" s="11" t="n"/>
      <c r="H35" s="11" t="n"/>
      <c r="I35" s="11" t="n"/>
      <c r="J35" s="11" t="n"/>
      <c r="K35" s="11" t="n"/>
      <c r="L35" s="11" t="n"/>
      <c r="M35" s="11" t="n"/>
      <c r="N35" s="11" t="n"/>
    </row>
    <row r="36">
      <c r="A36" s="11" t="n"/>
      <c r="B36" s="11" t="n"/>
      <c r="C36" s="11" t="n"/>
      <c r="D36" s="11" t="n"/>
      <c r="E36" s="11" t="n"/>
      <c r="F36" s="11" t="n"/>
      <c r="G36" s="11" t="n"/>
      <c r="H36" s="11" t="n"/>
      <c r="I36" s="11" t="n"/>
      <c r="J36" s="11" t="n"/>
      <c r="K36" s="11" t="n"/>
      <c r="L36" s="11" t="n"/>
      <c r="M36" s="11" t="n"/>
      <c r="N36" s="11" t="n"/>
    </row>
    <row r="37">
      <c r="A37" s="11" t="n"/>
      <c r="B37" s="11" t="n"/>
      <c r="C37" s="11" t="n"/>
      <c r="D37" s="11" t="n"/>
      <c r="E37" s="11" t="n"/>
      <c r="F37" s="11" t="n"/>
      <c r="G37" s="11" t="n"/>
      <c r="H37" s="11" t="n"/>
      <c r="I37" s="11" t="n"/>
      <c r="J37" s="11" t="n"/>
      <c r="K37" s="11" t="n"/>
      <c r="L37" s="11" t="n"/>
      <c r="M37" s="11" t="n"/>
      <c r="N37" s="11" t="n"/>
    </row>
    <row r="38">
      <c r="A38" s="11" t="n"/>
      <c r="B38" s="11" t="n"/>
      <c r="C38" s="11" t="n"/>
      <c r="D38" s="11" t="n"/>
      <c r="E38" s="11" t="n"/>
      <c r="F38" s="11" t="n"/>
      <c r="G38" s="11" t="n"/>
      <c r="H38" s="11" t="n"/>
      <c r="I38" s="11" t="n"/>
      <c r="J38" s="11" t="n"/>
      <c r="K38" s="11" t="n"/>
      <c r="L38" s="11" t="n"/>
      <c r="M38" s="11" t="n"/>
      <c r="N38" s="11" t="n"/>
    </row>
    <row r="39">
      <c r="A39" s="11" t="n"/>
      <c r="B39" s="11" t="n"/>
      <c r="C39" s="11" t="n"/>
      <c r="D39" s="11" t="n"/>
      <c r="E39" s="11" t="n"/>
      <c r="F39" s="11" t="n"/>
      <c r="G39" s="11" t="n"/>
      <c r="H39" s="11" t="n"/>
      <c r="I39" s="11" t="n"/>
      <c r="J39" s="11" t="n"/>
      <c r="K39" s="11" t="n"/>
      <c r="L39" s="11" t="n"/>
      <c r="M39" s="11" t="n"/>
      <c r="N39" s="11" t="n"/>
    </row>
    <row r="40">
      <c r="A40" s="11" t="n"/>
      <c r="B40" s="11" t="n"/>
      <c r="C40" s="11" t="n"/>
      <c r="D40" s="11" t="n"/>
      <c r="E40" s="11" t="n"/>
      <c r="F40" s="11" t="n"/>
      <c r="G40" s="11" t="n"/>
      <c r="H40" s="11" t="n"/>
      <c r="I40" s="11" t="n"/>
      <c r="J40" s="11" t="n"/>
      <c r="K40" s="11" t="n"/>
      <c r="L40" s="11" t="n"/>
      <c r="M40" s="11" t="n"/>
      <c r="N40" s="11" t="n"/>
    </row>
    <row r="41">
      <c r="A41" s="11" t="n"/>
      <c r="B41" s="11" t="n"/>
      <c r="C41" s="11" t="n"/>
      <c r="D41" s="11" t="n"/>
      <c r="E41" s="11" t="n"/>
      <c r="F41" s="11" t="n"/>
      <c r="G41" s="11" t="n"/>
      <c r="H41" s="11" t="n"/>
      <c r="I41" s="11" t="n"/>
      <c r="J41" s="11" t="n"/>
      <c r="K41" s="11" t="n"/>
      <c r="L41" s="11" t="n"/>
      <c r="M41" s="11" t="n"/>
      <c r="N41" s="11" t="n"/>
    </row>
    <row r="42">
      <c r="A42" s="11" t="n"/>
      <c r="B42" s="11" t="n"/>
      <c r="C42" s="11" t="n"/>
      <c r="D42" s="11" t="n"/>
      <c r="E42" s="11" t="n"/>
      <c r="F42" s="11" t="n"/>
      <c r="G42" s="11" t="n"/>
      <c r="H42" s="11" t="n"/>
      <c r="I42" s="11" t="n"/>
      <c r="J42" s="11" t="n"/>
      <c r="K42" s="11" t="n"/>
      <c r="L42" s="11" t="n"/>
      <c r="M42" s="11" t="n"/>
      <c r="N42" s="11" t="n"/>
    </row>
    <row r="43">
      <c r="A43" s="11" t="n"/>
      <c r="B43" s="11" t="n"/>
      <c r="C43" s="11" t="n"/>
      <c r="D43" s="11" t="n"/>
      <c r="E43" s="11" t="n"/>
      <c r="F43" s="11" t="n"/>
      <c r="G43" s="11" t="n"/>
      <c r="H43" s="11" t="n"/>
      <c r="I43" s="11" t="n"/>
      <c r="J43" s="11" t="n"/>
      <c r="K43" s="11" t="n"/>
      <c r="L43" s="11" t="n"/>
      <c r="M43" s="11" t="n"/>
      <c r="N43" s="11" t="n"/>
    </row>
    <row r="44">
      <c r="A44" s="11" t="n"/>
      <c r="B44" s="11" t="n"/>
      <c r="C44" s="11" t="n"/>
      <c r="D44" s="11" t="n"/>
      <c r="E44" s="11" t="n"/>
      <c r="F44" s="11" t="n"/>
      <c r="G44" s="11" t="n"/>
      <c r="H44" s="11" t="n"/>
      <c r="I44" s="11" t="n"/>
      <c r="J44" s="11" t="n"/>
      <c r="K44" s="11" t="n"/>
      <c r="L44" s="11" t="n"/>
      <c r="M44" s="11" t="n"/>
      <c r="N44" s="11" t="n"/>
    </row>
    <row r="45">
      <c r="A45" s="11" t="n"/>
      <c r="B45" s="11" t="n"/>
      <c r="C45" s="11" t="n"/>
      <c r="D45" s="11" t="n"/>
      <c r="E45" s="11" t="n"/>
      <c r="F45" s="11" t="n"/>
      <c r="G45" s="11" t="n"/>
      <c r="H45" s="11" t="n"/>
      <c r="I45" s="11" t="n"/>
      <c r="J45" s="11" t="n"/>
      <c r="K45" s="11" t="n"/>
      <c r="L45" s="11" t="n"/>
      <c r="M45" s="11" t="n"/>
      <c r="N45" s="11" t="n"/>
    </row>
    <row r="46">
      <c r="A46" s="11" t="n"/>
      <c r="B46" s="11" t="n"/>
      <c r="C46" s="11" t="n"/>
      <c r="D46" s="11" t="n"/>
      <c r="E46" s="11" t="n"/>
      <c r="F46" s="11" t="n"/>
      <c r="G46" s="11" t="n"/>
      <c r="H46" s="11" t="n"/>
      <c r="I46" s="11" t="n"/>
      <c r="J46" s="11" t="n"/>
      <c r="K46" s="11" t="n"/>
      <c r="L46" s="11" t="n"/>
      <c r="M46" s="11" t="n"/>
      <c r="N46" s="11" t="n"/>
    </row>
    <row r="47">
      <c r="A47" s="11" t="n"/>
      <c r="B47" s="11" t="n"/>
      <c r="C47" s="11" t="n"/>
      <c r="D47" s="11" t="n"/>
      <c r="E47" s="11" t="n"/>
      <c r="F47" s="11" t="n"/>
      <c r="G47" s="11" t="n"/>
      <c r="H47" s="11" t="n"/>
      <c r="I47" s="11" t="n"/>
      <c r="J47" s="11" t="n"/>
      <c r="K47" s="11" t="n"/>
      <c r="L47" s="11" t="n"/>
      <c r="M47" s="11" t="n"/>
      <c r="N47" s="11" t="n"/>
    </row>
    <row r="48">
      <c r="A48" s="11" t="n"/>
      <c r="B48" s="11" t="n"/>
      <c r="C48" s="11" t="n"/>
      <c r="D48" s="11" t="n"/>
      <c r="E48" s="11" t="n"/>
      <c r="F48" s="11" t="n"/>
      <c r="G48" s="11" t="n"/>
      <c r="H48" s="11" t="n"/>
      <c r="I48" s="11" t="n"/>
      <c r="J48" s="11" t="n"/>
      <c r="K48" s="11" t="n"/>
      <c r="L48" s="11" t="n"/>
      <c r="M48" s="11" t="n"/>
      <c r="N48" s="11" t="n"/>
    </row>
    <row r="49">
      <c r="A49" s="11" t="n"/>
      <c r="B49" s="11" t="n"/>
      <c r="C49" s="11" t="n"/>
      <c r="D49" s="11" t="n"/>
      <c r="E49" s="11" t="n"/>
      <c r="F49" s="11" t="n"/>
      <c r="G49" s="11" t="n"/>
      <c r="H49" s="11" t="n"/>
      <c r="I49" s="11" t="n"/>
      <c r="J49" s="11" t="n"/>
      <c r="K49" s="11" t="n"/>
      <c r="L49" s="11" t="n"/>
      <c r="M49" s="11" t="n"/>
      <c r="N49" s="11" t="n"/>
    </row>
    <row r="50">
      <c r="A50" s="11" t="n"/>
      <c r="B50" s="11" t="n"/>
      <c r="C50" s="11" t="n"/>
      <c r="D50" s="11" t="n"/>
      <c r="E50" s="11" t="n"/>
      <c r="F50" s="11" t="n"/>
      <c r="G50" s="11" t="n"/>
      <c r="H50" s="11" t="n"/>
      <c r="I50" s="11" t="n"/>
      <c r="J50" s="11" t="n"/>
      <c r="K50" s="11" t="n"/>
      <c r="L50" s="11" t="n"/>
      <c r="M50" s="11" t="n"/>
      <c r="N50" s="11" t="n"/>
    </row>
    <row r="51">
      <c r="A51" s="11" t="n"/>
      <c r="B51" s="11" t="n"/>
      <c r="C51" s="11" t="n"/>
      <c r="D51" s="11" t="n"/>
      <c r="E51" s="11" t="n"/>
      <c r="F51" s="11" t="n"/>
      <c r="G51" s="11" t="n"/>
      <c r="H51" s="11" t="n"/>
      <c r="I51" s="11" t="n"/>
      <c r="J51" s="11" t="n"/>
      <c r="K51" s="11" t="n"/>
      <c r="L51" s="11" t="n"/>
      <c r="M51" s="11" t="n"/>
      <c r="N51" s="11" t="n"/>
    </row>
    <row r="52">
      <c r="A52" s="11" t="n"/>
      <c r="B52" s="11" t="n"/>
      <c r="C52" s="11" t="n"/>
      <c r="D52" s="11" t="n"/>
      <c r="E52" s="11" t="n"/>
      <c r="F52" s="11" t="n"/>
      <c r="G52" s="11" t="n"/>
      <c r="H52" s="11" t="n"/>
      <c r="I52" s="11" t="n"/>
      <c r="J52" s="11" t="n"/>
      <c r="K52" s="11" t="n"/>
      <c r="L52" s="11" t="n"/>
      <c r="M52" s="11" t="n"/>
      <c r="N52" s="11" t="n"/>
    </row>
    <row r="53">
      <c r="A53" s="11" t="n"/>
      <c r="B53" s="11" t="n"/>
      <c r="C53" s="11" t="n"/>
      <c r="D53" s="11" t="n"/>
      <c r="E53" s="11" t="n"/>
      <c r="F53" s="11" t="n"/>
      <c r="G53" s="11" t="n"/>
      <c r="H53" s="11" t="n"/>
      <c r="I53" s="11" t="n"/>
      <c r="J53" s="11" t="n"/>
      <c r="K53" s="11" t="n"/>
      <c r="L53" s="11" t="n"/>
      <c r="M53" s="11" t="n"/>
      <c r="N53" s="11" t="n"/>
    </row>
    <row r="54">
      <c r="A54" s="11" t="n"/>
      <c r="B54" s="11" t="n"/>
      <c r="C54" s="11" t="n"/>
      <c r="D54" s="11" t="n"/>
      <c r="E54" s="11" t="n"/>
      <c r="F54" s="11" t="n"/>
      <c r="G54" s="11" t="n"/>
      <c r="H54" s="11" t="n"/>
      <c r="I54" s="11" t="n"/>
      <c r="J54" s="11" t="n"/>
      <c r="K54" s="11" t="n"/>
      <c r="L54" s="11" t="n"/>
      <c r="M54" s="11" t="n"/>
      <c r="N54" s="11" t="n"/>
    </row>
  </sheetData>
  <mergeCells count="2">
    <mergeCell ref="A2:N2"/>
    <mergeCell ref="A1:N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Progress,Complete,Accepted Risk"</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3" t="inlineStr">
        <is>
          <t>EVIDENCE REGISTER</t>
        </is>
      </c>
    </row>
    <row r="2">
      <c r="A2" s="14" t="inlineStr">
        <is>
          <t>List all evidence files/documents referenced in this assessment (audit traceability).</t>
        </is>
      </c>
    </row>
    <row r="4">
      <c r="A4" s="15" t="inlineStr">
        <is>
          <t>Evidence ID</t>
        </is>
      </c>
      <c r="B4" s="15" t="inlineStr">
        <is>
          <t>Category</t>
        </is>
      </c>
      <c r="C4" s="15" t="inlineStr">
        <is>
          <t>Description</t>
        </is>
      </c>
      <c r="D4" s="15" t="inlineStr">
        <is>
          <t>Source/Location</t>
        </is>
      </c>
      <c r="E4" s="15" t="inlineStr">
        <is>
          <t>Date Collected</t>
        </is>
      </c>
      <c r="F4" s="15" t="inlineStr">
        <is>
          <t>Collected By</t>
        </is>
      </c>
      <c r="G4" s="15" t="inlineStr">
        <is>
          <t>Status</t>
        </is>
      </c>
      <c r="H4" s="15" t="inlineStr">
        <is>
          <t>Notes</t>
        </is>
      </c>
    </row>
    <row r="5">
      <c r="A5" s="11" t="inlineStr">
        <is>
          <t>EV-001</t>
        </is>
      </c>
      <c r="B5" s="11" t="inlineStr">
        <is>
          <t>Configuration file</t>
        </is>
      </c>
      <c r="C5" s="11" t="inlineStr">
        <is>
          <t>Data masking configuration for production database</t>
        </is>
      </c>
      <c r="D5" s="11" t="inlineStr">
        <is>
          <t>/evidence/masking-config-prod-db.json</t>
        </is>
      </c>
      <c r="E5" s="11" t="inlineStr">
        <is>
          <t>15.01.2026</t>
        </is>
      </c>
      <c r="F5" s="11" t="inlineStr">
        <is>
          <t>Security Team</t>
        </is>
      </c>
      <c r="G5" s="11" t="inlineStr">
        <is>
          <t>Verified</t>
        </is>
      </c>
      <c r="H5" s="11" t="inlineStr">
        <is>
          <t>Quarterly review completed</t>
        </is>
      </c>
    </row>
    <row r="6">
      <c r="A6" s="11" t="n"/>
      <c r="B6" s="11" t="n"/>
      <c r="C6" s="11" t="n"/>
      <c r="D6" s="11" t="n"/>
      <c r="E6" s="11" t="n"/>
      <c r="F6" s="11" t="n"/>
      <c r="G6" s="11" t="n"/>
      <c r="H6" s="11" t="n"/>
    </row>
    <row r="7">
      <c r="A7" s="11" t="n"/>
      <c r="B7" s="11" t="n"/>
      <c r="C7" s="11" t="n"/>
      <c r="D7" s="11" t="n"/>
      <c r="E7" s="11" t="n"/>
      <c r="F7" s="11" t="n"/>
      <c r="G7" s="11" t="n"/>
      <c r="H7" s="11" t="n"/>
    </row>
    <row r="8">
      <c r="A8" s="11" t="n"/>
      <c r="B8" s="11" t="n"/>
      <c r="C8" s="11" t="n"/>
      <c r="D8" s="11" t="n"/>
      <c r="E8" s="11" t="n"/>
      <c r="F8" s="11" t="n"/>
      <c r="G8" s="11" t="n"/>
      <c r="H8" s="11" t="n"/>
    </row>
    <row r="9">
      <c r="A9" s="11" t="n"/>
      <c r="B9" s="11" t="n"/>
      <c r="C9" s="11" t="n"/>
      <c r="D9" s="11" t="n"/>
      <c r="E9" s="11" t="n"/>
      <c r="F9" s="11" t="n"/>
      <c r="G9" s="11" t="n"/>
      <c r="H9" s="11" t="n"/>
    </row>
    <row r="10">
      <c r="A10" s="11" t="n"/>
      <c r="B10" s="11" t="n"/>
      <c r="C10" s="11" t="n"/>
      <c r="D10" s="11" t="n"/>
      <c r="E10" s="11" t="n"/>
      <c r="F10" s="11" t="n"/>
      <c r="G10" s="11" t="n"/>
      <c r="H10" s="11" t="n"/>
    </row>
    <row r="11">
      <c r="A11" s="11" t="n"/>
      <c r="B11" s="11" t="n"/>
      <c r="C11" s="11" t="n"/>
      <c r="D11" s="11" t="n"/>
      <c r="E11" s="11" t="n"/>
      <c r="F11" s="11" t="n"/>
      <c r="G11" s="11" t="n"/>
      <c r="H11" s="11" t="n"/>
    </row>
    <row r="12">
      <c r="A12" s="11" t="n"/>
      <c r="B12" s="11" t="n"/>
      <c r="C12" s="11" t="n"/>
      <c r="D12" s="11" t="n"/>
      <c r="E12" s="11" t="n"/>
      <c r="F12" s="11" t="n"/>
      <c r="G12" s="11" t="n"/>
      <c r="H12" s="11" t="n"/>
    </row>
    <row r="13">
      <c r="A13" s="11" t="n"/>
      <c r="B13" s="11" t="n"/>
      <c r="C13" s="11" t="n"/>
      <c r="D13" s="11" t="n"/>
      <c r="E13" s="11" t="n"/>
      <c r="F13" s="11" t="n"/>
      <c r="G13" s="11" t="n"/>
      <c r="H13" s="11" t="n"/>
    </row>
    <row r="14">
      <c r="A14" s="11" t="n"/>
      <c r="B14" s="11" t="n"/>
      <c r="C14" s="11" t="n"/>
      <c r="D14" s="11" t="n"/>
      <c r="E14" s="11" t="n"/>
      <c r="F14" s="11" t="n"/>
      <c r="G14" s="11" t="n"/>
      <c r="H14" s="11" t="n"/>
    </row>
    <row r="15">
      <c r="A15" s="11" t="n"/>
      <c r="B15" s="11" t="n"/>
      <c r="C15" s="11" t="n"/>
      <c r="D15" s="11" t="n"/>
      <c r="E15" s="11" t="n"/>
      <c r="F15" s="11" t="n"/>
      <c r="G15" s="11" t="n"/>
      <c r="H15" s="11" t="n"/>
    </row>
    <row r="16">
      <c r="A16" s="11" t="n"/>
      <c r="B16" s="11" t="n"/>
      <c r="C16" s="11" t="n"/>
      <c r="D16" s="11" t="n"/>
      <c r="E16" s="11" t="n"/>
      <c r="F16" s="11" t="n"/>
      <c r="G16" s="11" t="n"/>
      <c r="H16" s="11" t="n"/>
    </row>
    <row r="17">
      <c r="A17" s="11" t="n"/>
      <c r="B17" s="11" t="n"/>
      <c r="C17" s="11" t="n"/>
      <c r="D17" s="11" t="n"/>
      <c r="E17" s="11" t="n"/>
      <c r="F17" s="11" t="n"/>
      <c r="G17" s="11" t="n"/>
      <c r="H17" s="11" t="n"/>
    </row>
    <row r="18">
      <c r="A18" s="11" t="n"/>
      <c r="B18" s="11" t="n"/>
      <c r="C18" s="11" t="n"/>
      <c r="D18" s="11" t="n"/>
      <c r="E18" s="11" t="n"/>
      <c r="F18" s="11" t="n"/>
      <c r="G18" s="11" t="n"/>
      <c r="H18" s="11" t="n"/>
    </row>
    <row r="19">
      <c r="A19" s="11" t="n"/>
      <c r="B19" s="11" t="n"/>
      <c r="C19" s="11" t="n"/>
      <c r="D19" s="11" t="n"/>
      <c r="E19" s="11" t="n"/>
      <c r="F19" s="11" t="n"/>
      <c r="G19" s="11" t="n"/>
      <c r="H19" s="11" t="n"/>
    </row>
    <row r="20">
      <c r="A20" s="11" t="n"/>
      <c r="B20" s="11" t="n"/>
      <c r="C20" s="11" t="n"/>
      <c r="D20" s="11" t="n"/>
      <c r="E20" s="11" t="n"/>
      <c r="F20" s="11" t="n"/>
      <c r="G20" s="11" t="n"/>
      <c r="H20" s="11" t="n"/>
    </row>
    <row r="21">
      <c r="A21" s="11" t="n"/>
      <c r="B21" s="11" t="n"/>
      <c r="C21" s="11" t="n"/>
      <c r="D21" s="11" t="n"/>
      <c r="E21" s="11" t="n"/>
      <c r="F21" s="11" t="n"/>
      <c r="G21" s="11" t="n"/>
      <c r="H21" s="11" t="n"/>
    </row>
    <row r="22">
      <c r="A22" s="11" t="n"/>
      <c r="B22" s="11" t="n"/>
      <c r="C22" s="11" t="n"/>
      <c r="D22" s="11" t="n"/>
      <c r="E22" s="11" t="n"/>
      <c r="F22" s="11" t="n"/>
      <c r="G22" s="11" t="n"/>
      <c r="H22" s="11" t="n"/>
    </row>
    <row r="23">
      <c r="A23" s="11" t="n"/>
      <c r="B23" s="11" t="n"/>
      <c r="C23" s="11" t="n"/>
      <c r="D23" s="11" t="n"/>
      <c r="E23" s="11" t="n"/>
      <c r="F23" s="11" t="n"/>
      <c r="G23" s="11" t="n"/>
      <c r="H23" s="11" t="n"/>
    </row>
    <row r="24">
      <c r="A24" s="11" t="n"/>
      <c r="B24" s="11" t="n"/>
      <c r="C24" s="11" t="n"/>
      <c r="D24" s="11" t="n"/>
      <c r="E24" s="11" t="n"/>
      <c r="F24" s="11" t="n"/>
      <c r="G24" s="11" t="n"/>
      <c r="H24" s="11" t="n"/>
    </row>
    <row r="25">
      <c r="A25" s="11" t="n"/>
      <c r="B25" s="11" t="n"/>
      <c r="C25" s="11" t="n"/>
      <c r="D25" s="11" t="n"/>
      <c r="E25" s="11" t="n"/>
      <c r="F25" s="11" t="n"/>
      <c r="G25" s="11" t="n"/>
      <c r="H25" s="11" t="n"/>
    </row>
    <row r="26">
      <c r="A26" s="11" t="n"/>
      <c r="B26" s="11" t="n"/>
      <c r="C26" s="11" t="n"/>
      <c r="D26" s="11" t="n"/>
      <c r="E26" s="11" t="n"/>
      <c r="F26" s="11" t="n"/>
      <c r="G26" s="11" t="n"/>
      <c r="H26" s="11" t="n"/>
    </row>
    <row r="27">
      <c r="A27" s="11" t="n"/>
      <c r="B27" s="11" t="n"/>
      <c r="C27" s="11" t="n"/>
      <c r="D27" s="11" t="n"/>
      <c r="E27" s="11" t="n"/>
      <c r="F27" s="11" t="n"/>
      <c r="G27" s="11" t="n"/>
      <c r="H27" s="11" t="n"/>
    </row>
    <row r="28">
      <c r="A28" s="11" t="n"/>
      <c r="B28" s="11" t="n"/>
      <c r="C28" s="11" t="n"/>
      <c r="D28" s="11" t="n"/>
      <c r="E28" s="11" t="n"/>
      <c r="F28" s="11" t="n"/>
      <c r="G28" s="11" t="n"/>
      <c r="H28" s="11" t="n"/>
    </row>
    <row r="29">
      <c r="A29" s="11" t="n"/>
      <c r="B29" s="11" t="n"/>
      <c r="C29" s="11" t="n"/>
      <c r="D29" s="11" t="n"/>
      <c r="E29" s="11" t="n"/>
      <c r="F29" s="11" t="n"/>
      <c r="G29" s="11" t="n"/>
      <c r="H29" s="11" t="n"/>
    </row>
    <row r="30">
      <c r="A30" s="11" t="n"/>
      <c r="B30" s="11" t="n"/>
      <c r="C30" s="11" t="n"/>
      <c r="D30" s="11" t="n"/>
      <c r="E30" s="11" t="n"/>
      <c r="F30" s="11" t="n"/>
      <c r="G30" s="11" t="n"/>
      <c r="H30" s="11" t="n"/>
    </row>
    <row r="31">
      <c r="A31" s="11" t="n"/>
      <c r="B31" s="11" t="n"/>
      <c r="C31" s="11" t="n"/>
      <c r="D31" s="11" t="n"/>
      <c r="E31" s="11" t="n"/>
      <c r="F31" s="11" t="n"/>
      <c r="G31" s="11" t="n"/>
      <c r="H31" s="11" t="n"/>
    </row>
    <row r="32">
      <c r="A32" s="11" t="n"/>
      <c r="B32" s="11" t="n"/>
      <c r="C32" s="11" t="n"/>
      <c r="D32" s="11" t="n"/>
      <c r="E32" s="11" t="n"/>
      <c r="F32" s="11" t="n"/>
      <c r="G32" s="11" t="n"/>
      <c r="H32" s="11" t="n"/>
    </row>
    <row r="33">
      <c r="A33" s="11" t="n"/>
      <c r="B33" s="11" t="n"/>
      <c r="C33" s="11" t="n"/>
      <c r="D33" s="11" t="n"/>
      <c r="E33" s="11" t="n"/>
      <c r="F33" s="11" t="n"/>
      <c r="G33" s="11" t="n"/>
      <c r="H33" s="11" t="n"/>
    </row>
    <row r="34">
      <c r="A34" s="11" t="n"/>
      <c r="B34" s="11" t="n"/>
      <c r="C34" s="11" t="n"/>
      <c r="D34" s="11" t="n"/>
      <c r="E34" s="11" t="n"/>
      <c r="F34" s="11" t="n"/>
      <c r="G34" s="11" t="n"/>
      <c r="H34" s="11" t="n"/>
    </row>
    <row r="35">
      <c r="A35" s="11" t="n"/>
      <c r="B35" s="11" t="n"/>
      <c r="C35" s="11" t="n"/>
      <c r="D35" s="11" t="n"/>
      <c r="E35" s="11" t="n"/>
      <c r="F35" s="11" t="n"/>
      <c r="G35" s="11" t="n"/>
      <c r="H35" s="11" t="n"/>
    </row>
    <row r="36">
      <c r="A36" s="11" t="n"/>
      <c r="B36" s="11" t="n"/>
      <c r="C36" s="11" t="n"/>
      <c r="D36" s="11" t="n"/>
      <c r="E36" s="11" t="n"/>
      <c r="F36" s="11" t="n"/>
      <c r="G36" s="11" t="n"/>
      <c r="H36" s="11" t="n"/>
    </row>
    <row r="37">
      <c r="A37" s="11" t="n"/>
      <c r="B37" s="11" t="n"/>
      <c r="C37" s="11" t="n"/>
      <c r="D37" s="11" t="n"/>
      <c r="E37" s="11" t="n"/>
      <c r="F37" s="11" t="n"/>
      <c r="G37" s="11" t="n"/>
      <c r="H37" s="11" t="n"/>
    </row>
    <row r="38">
      <c r="A38" s="11" t="n"/>
      <c r="B38" s="11" t="n"/>
      <c r="C38" s="11" t="n"/>
      <c r="D38" s="11" t="n"/>
      <c r="E38" s="11" t="n"/>
      <c r="F38" s="11" t="n"/>
      <c r="G38" s="11" t="n"/>
      <c r="H38" s="11" t="n"/>
    </row>
    <row r="39">
      <c r="A39" s="11" t="n"/>
      <c r="B39" s="11" t="n"/>
      <c r="C39" s="11" t="n"/>
      <c r="D39" s="11" t="n"/>
      <c r="E39" s="11" t="n"/>
      <c r="F39" s="11" t="n"/>
      <c r="G39" s="11" t="n"/>
      <c r="H39" s="11" t="n"/>
    </row>
    <row r="40">
      <c r="A40" s="11" t="n"/>
      <c r="B40" s="11" t="n"/>
      <c r="C40" s="11" t="n"/>
      <c r="D40" s="11" t="n"/>
      <c r="E40" s="11" t="n"/>
      <c r="F40" s="11" t="n"/>
      <c r="G40" s="11" t="n"/>
      <c r="H40" s="11" t="n"/>
    </row>
    <row r="41">
      <c r="A41" s="11" t="n"/>
      <c r="B41" s="11" t="n"/>
      <c r="C41" s="11" t="n"/>
      <c r="D41" s="11" t="n"/>
      <c r="E41" s="11" t="n"/>
      <c r="F41" s="11" t="n"/>
      <c r="G41" s="11" t="n"/>
      <c r="H41" s="11" t="n"/>
    </row>
    <row r="42">
      <c r="A42" s="11" t="n"/>
      <c r="B42" s="11" t="n"/>
      <c r="C42" s="11" t="n"/>
      <c r="D42" s="11" t="n"/>
      <c r="E42" s="11" t="n"/>
      <c r="F42" s="11" t="n"/>
      <c r="G42" s="11" t="n"/>
      <c r="H42" s="11" t="n"/>
    </row>
    <row r="43">
      <c r="A43" s="11" t="n"/>
      <c r="B43" s="11" t="n"/>
      <c r="C43" s="11" t="n"/>
      <c r="D43" s="11" t="n"/>
      <c r="E43" s="11" t="n"/>
      <c r="F43" s="11" t="n"/>
      <c r="G43" s="11" t="n"/>
      <c r="H43" s="11" t="n"/>
    </row>
    <row r="44">
      <c r="A44" s="11" t="n"/>
      <c r="B44" s="11" t="n"/>
      <c r="C44" s="11" t="n"/>
      <c r="D44" s="11" t="n"/>
      <c r="E44" s="11" t="n"/>
      <c r="F44" s="11" t="n"/>
      <c r="G44" s="11" t="n"/>
      <c r="H44" s="11" t="n"/>
    </row>
    <row r="45">
      <c r="A45" s="11" t="n"/>
      <c r="B45" s="11" t="n"/>
      <c r="C45" s="11" t="n"/>
      <c r="D45" s="11" t="n"/>
      <c r="E45" s="11" t="n"/>
      <c r="F45" s="11" t="n"/>
      <c r="G45" s="11" t="n"/>
      <c r="H45" s="11" t="n"/>
    </row>
    <row r="46">
      <c r="A46" s="11" t="n"/>
      <c r="B46" s="11" t="n"/>
      <c r="C46" s="11" t="n"/>
      <c r="D46" s="11" t="n"/>
      <c r="E46" s="11" t="n"/>
      <c r="F46" s="11" t="n"/>
      <c r="G46" s="11" t="n"/>
      <c r="H46" s="11" t="n"/>
    </row>
    <row r="47">
      <c r="A47" s="11" t="n"/>
      <c r="B47" s="11" t="n"/>
      <c r="C47" s="11" t="n"/>
      <c r="D47" s="11" t="n"/>
      <c r="E47" s="11" t="n"/>
      <c r="F47" s="11" t="n"/>
      <c r="G47" s="11" t="n"/>
      <c r="H47" s="11" t="n"/>
    </row>
    <row r="48">
      <c r="A48" s="11" t="n"/>
      <c r="B48" s="11" t="n"/>
      <c r="C48" s="11" t="n"/>
      <c r="D48" s="11" t="n"/>
      <c r="E48" s="11" t="n"/>
      <c r="F48" s="11" t="n"/>
      <c r="G48" s="11" t="n"/>
      <c r="H48" s="11" t="n"/>
    </row>
    <row r="49">
      <c r="A49" s="11" t="n"/>
      <c r="B49" s="11" t="n"/>
      <c r="C49" s="11" t="n"/>
      <c r="D49" s="11" t="n"/>
      <c r="E49" s="11" t="n"/>
      <c r="F49" s="11" t="n"/>
      <c r="G49" s="11" t="n"/>
      <c r="H49" s="11" t="n"/>
    </row>
    <row r="50">
      <c r="A50" s="11" t="n"/>
      <c r="B50" s="11" t="n"/>
      <c r="C50" s="11" t="n"/>
      <c r="D50" s="11" t="n"/>
      <c r="E50" s="11" t="n"/>
      <c r="F50" s="11" t="n"/>
      <c r="G50" s="11" t="n"/>
      <c r="H50" s="11" t="n"/>
    </row>
    <row r="51">
      <c r="A51" s="11" t="n"/>
      <c r="B51" s="11" t="n"/>
      <c r="C51" s="11" t="n"/>
      <c r="D51" s="11" t="n"/>
      <c r="E51" s="11" t="n"/>
      <c r="F51" s="11" t="n"/>
      <c r="G51" s="11" t="n"/>
      <c r="H51" s="11" t="n"/>
    </row>
    <row r="52">
      <c r="A52" s="11" t="n"/>
      <c r="B52" s="11" t="n"/>
      <c r="C52" s="11" t="n"/>
      <c r="D52" s="11" t="n"/>
      <c r="E52" s="11" t="n"/>
      <c r="F52" s="11" t="n"/>
      <c r="G52" s="11" t="n"/>
      <c r="H52" s="11" t="n"/>
    </row>
    <row r="53">
      <c r="A53" s="11" t="n"/>
      <c r="B53" s="11" t="n"/>
      <c r="C53" s="11" t="n"/>
      <c r="D53" s="11" t="n"/>
      <c r="E53" s="11" t="n"/>
      <c r="F53" s="11" t="n"/>
      <c r="G53" s="11" t="n"/>
      <c r="H53" s="11" t="n"/>
    </row>
    <row r="54">
      <c r="A54" s="11" t="n"/>
      <c r="B54" s="11" t="n"/>
      <c r="C54" s="11" t="n"/>
      <c r="D54" s="11" t="n"/>
      <c r="E54" s="11" t="n"/>
      <c r="F54" s="11" t="n"/>
      <c r="G54" s="11" t="n"/>
      <c r="H54" s="11" t="n"/>
    </row>
    <row r="55">
      <c r="A55" s="11" t="n"/>
      <c r="B55" s="11" t="n"/>
      <c r="C55" s="11" t="n"/>
      <c r="D55" s="11" t="n"/>
      <c r="E55" s="11" t="n"/>
      <c r="F55" s="11" t="n"/>
      <c r="G55" s="11" t="n"/>
      <c r="H55" s="11" t="n"/>
    </row>
    <row r="56">
      <c r="A56" s="11" t="n"/>
      <c r="B56" s="11" t="n"/>
      <c r="C56" s="11" t="n"/>
      <c r="D56" s="11" t="n"/>
      <c r="E56" s="11" t="n"/>
      <c r="F56" s="11" t="n"/>
      <c r="G56" s="11" t="n"/>
      <c r="H56" s="11" t="n"/>
    </row>
    <row r="57">
      <c r="A57" s="11" t="n"/>
      <c r="B57" s="11" t="n"/>
      <c r="C57" s="11" t="n"/>
      <c r="D57" s="11" t="n"/>
      <c r="E57" s="11" t="n"/>
      <c r="F57" s="11" t="n"/>
      <c r="G57" s="11" t="n"/>
      <c r="H57" s="11" t="n"/>
    </row>
    <row r="58">
      <c r="A58" s="11" t="n"/>
      <c r="B58" s="11" t="n"/>
      <c r="C58" s="11" t="n"/>
      <c r="D58" s="11" t="n"/>
      <c r="E58" s="11" t="n"/>
      <c r="F58" s="11" t="n"/>
      <c r="G58" s="11" t="n"/>
      <c r="H58" s="11" t="n"/>
    </row>
    <row r="59">
      <c r="A59" s="11" t="n"/>
      <c r="B59" s="11" t="n"/>
      <c r="C59" s="11" t="n"/>
      <c r="D59" s="11" t="n"/>
      <c r="E59" s="11" t="n"/>
      <c r="F59" s="11" t="n"/>
      <c r="G59" s="11" t="n"/>
      <c r="H59" s="11" t="n"/>
    </row>
    <row r="60">
      <c r="A60" s="11" t="n"/>
      <c r="B60" s="11" t="n"/>
      <c r="C60" s="11" t="n"/>
      <c r="D60" s="11" t="n"/>
      <c r="E60" s="11" t="n"/>
      <c r="F60" s="11" t="n"/>
      <c r="G60" s="11" t="n"/>
      <c r="H60" s="11" t="n"/>
    </row>
    <row r="61">
      <c r="A61" s="11" t="n"/>
      <c r="B61" s="11" t="n"/>
      <c r="C61" s="11" t="n"/>
      <c r="D61" s="11" t="n"/>
      <c r="E61" s="11" t="n"/>
      <c r="F61" s="11" t="n"/>
      <c r="G61" s="11" t="n"/>
      <c r="H61" s="11" t="n"/>
    </row>
    <row r="62">
      <c r="A62" s="11" t="n"/>
      <c r="B62" s="11" t="n"/>
      <c r="C62" s="11" t="n"/>
      <c r="D62" s="11" t="n"/>
      <c r="E62" s="11" t="n"/>
      <c r="F62" s="11" t="n"/>
      <c r="G62" s="11" t="n"/>
      <c r="H62" s="11" t="n"/>
    </row>
    <row r="63">
      <c r="A63" s="11" t="n"/>
      <c r="B63" s="11" t="n"/>
      <c r="C63" s="11" t="n"/>
      <c r="D63" s="11" t="n"/>
      <c r="E63" s="11" t="n"/>
      <c r="F63" s="11" t="n"/>
      <c r="G63" s="11" t="n"/>
      <c r="H63" s="11" t="n"/>
    </row>
    <row r="64">
      <c r="A64" s="11" t="n"/>
      <c r="B64" s="11" t="n"/>
      <c r="C64" s="11" t="n"/>
      <c r="D64" s="11" t="n"/>
      <c r="E64" s="11" t="n"/>
      <c r="F64" s="11" t="n"/>
      <c r="G64" s="11" t="n"/>
      <c r="H64" s="11" t="n"/>
    </row>
    <row r="65">
      <c r="A65" s="11" t="n"/>
      <c r="B65" s="11" t="n"/>
      <c r="C65" s="11" t="n"/>
      <c r="D65" s="11" t="n"/>
      <c r="E65" s="11" t="n"/>
      <c r="F65" s="11" t="n"/>
      <c r="G65" s="11" t="n"/>
      <c r="H65" s="11" t="n"/>
    </row>
    <row r="66">
      <c r="A66" s="11" t="n"/>
      <c r="B66" s="11" t="n"/>
      <c r="C66" s="11" t="n"/>
      <c r="D66" s="11" t="n"/>
      <c r="E66" s="11" t="n"/>
      <c r="F66" s="11" t="n"/>
      <c r="G66" s="11" t="n"/>
      <c r="H66" s="11" t="n"/>
    </row>
    <row r="67">
      <c r="A67" s="11" t="n"/>
      <c r="B67" s="11" t="n"/>
      <c r="C67" s="11" t="n"/>
      <c r="D67" s="11" t="n"/>
      <c r="E67" s="11" t="n"/>
      <c r="F67" s="11" t="n"/>
      <c r="G67" s="11" t="n"/>
      <c r="H67" s="11" t="n"/>
    </row>
    <row r="68">
      <c r="A68" s="11" t="n"/>
      <c r="B68" s="11" t="n"/>
      <c r="C68" s="11" t="n"/>
      <c r="D68" s="11" t="n"/>
      <c r="E68" s="11" t="n"/>
      <c r="F68" s="11" t="n"/>
      <c r="G68" s="11" t="n"/>
      <c r="H68" s="11" t="n"/>
    </row>
    <row r="69">
      <c r="A69" s="11" t="n"/>
      <c r="B69" s="11" t="n"/>
      <c r="C69" s="11" t="n"/>
      <c r="D69" s="11" t="n"/>
      <c r="E69" s="11" t="n"/>
      <c r="F69" s="11" t="n"/>
      <c r="G69" s="11" t="n"/>
      <c r="H69" s="11" t="n"/>
    </row>
    <row r="70">
      <c r="A70" s="11" t="n"/>
      <c r="B70" s="11" t="n"/>
      <c r="C70" s="11" t="n"/>
      <c r="D70" s="11" t="n"/>
      <c r="E70" s="11" t="n"/>
      <c r="F70" s="11" t="n"/>
      <c r="G70" s="11" t="n"/>
      <c r="H70" s="11" t="n"/>
    </row>
    <row r="71">
      <c r="A71" s="11" t="n"/>
      <c r="B71" s="11" t="n"/>
      <c r="C71" s="11" t="n"/>
      <c r="D71" s="11" t="n"/>
      <c r="E71" s="11" t="n"/>
      <c r="F71" s="11" t="n"/>
      <c r="G71" s="11" t="n"/>
      <c r="H71" s="11" t="n"/>
    </row>
    <row r="72">
      <c r="A72" s="11" t="n"/>
      <c r="B72" s="11" t="n"/>
      <c r="C72" s="11" t="n"/>
      <c r="D72" s="11" t="n"/>
      <c r="E72" s="11" t="n"/>
      <c r="F72" s="11" t="n"/>
      <c r="G72" s="11" t="n"/>
      <c r="H72" s="11" t="n"/>
    </row>
    <row r="73">
      <c r="A73" s="11" t="n"/>
      <c r="B73" s="11" t="n"/>
      <c r="C73" s="11" t="n"/>
      <c r="D73" s="11" t="n"/>
      <c r="E73" s="11" t="n"/>
      <c r="F73" s="11" t="n"/>
      <c r="G73" s="11" t="n"/>
      <c r="H73" s="11" t="n"/>
    </row>
    <row r="74">
      <c r="A74" s="11" t="n"/>
      <c r="B74" s="11" t="n"/>
      <c r="C74" s="11" t="n"/>
      <c r="D74" s="11" t="n"/>
      <c r="E74" s="11" t="n"/>
      <c r="F74" s="11" t="n"/>
      <c r="G74" s="11" t="n"/>
      <c r="H74" s="11" t="n"/>
    </row>
    <row r="75">
      <c r="A75" s="11" t="n"/>
      <c r="B75" s="11" t="n"/>
      <c r="C75" s="11" t="n"/>
      <c r="D75" s="11" t="n"/>
      <c r="E75" s="11" t="n"/>
      <c r="F75" s="11" t="n"/>
      <c r="G75" s="11" t="n"/>
      <c r="H75" s="11" t="n"/>
    </row>
    <row r="76">
      <c r="A76" s="11" t="n"/>
      <c r="B76" s="11" t="n"/>
      <c r="C76" s="11" t="n"/>
      <c r="D76" s="11" t="n"/>
      <c r="E76" s="11" t="n"/>
      <c r="F76" s="11" t="n"/>
      <c r="G76" s="11" t="n"/>
      <c r="H76" s="11" t="n"/>
    </row>
    <row r="77">
      <c r="A77" s="11" t="n"/>
      <c r="B77" s="11" t="n"/>
      <c r="C77" s="11" t="n"/>
      <c r="D77" s="11" t="n"/>
      <c r="E77" s="11" t="n"/>
      <c r="F77" s="11" t="n"/>
      <c r="G77" s="11" t="n"/>
      <c r="H77" s="11" t="n"/>
    </row>
    <row r="78">
      <c r="A78" s="11" t="n"/>
      <c r="B78" s="11" t="n"/>
      <c r="C78" s="11" t="n"/>
      <c r="D78" s="11" t="n"/>
      <c r="E78" s="11" t="n"/>
      <c r="F78" s="11" t="n"/>
      <c r="G78" s="11" t="n"/>
      <c r="H78" s="11" t="n"/>
    </row>
    <row r="79">
      <c r="A79" s="11" t="n"/>
      <c r="B79" s="11" t="n"/>
      <c r="C79" s="11" t="n"/>
      <c r="D79" s="11" t="n"/>
      <c r="E79" s="11" t="n"/>
      <c r="F79" s="11" t="n"/>
      <c r="G79" s="11" t="n"/>
      <c r="H79" s="11" t="n"/>
    </row>
    <row r="80">
      <c r="A80" s="11" t="n"/>
      <c r="B80" s="11" t="n"/>
      <c r="C80" s="11" t="n"/>
      <c r="D80" s="11" t="n"/>
      <c r="E80" s="11" t="n"/>
      <c r="F80" s="11" t="n"/>
      <c r="G80" s="11" t="n"/>
      <c r="H80" s="11" t="n"/>
    </row>
    <row r="81">
      <c r="A81" s="11" t="n"/>
      <c r="B81" s="11" t="n"/>
      <c r="C81" s="11" t="n"/>
      <c r="D81" s="11" t="n"/>
      <c r="E81" s="11" t="n"/>
      <c r="F81" s="11" t="n"/>
      <c r="G81" s="11" t="n"/>
      <c r="H81" s="11" t="n"/>
    </row>
    <row r="82">
      <c r="A82" s="11" t="n"/>
      <c r="B82" s="11" t="n"/>
      <c r="C82" s="11" t="n"/>
      <c r="D82" s="11" t="n"/>
      <c r="E82" s="11" t="n"/>
      <c r="F82" s="11" t="n"/>
      <c r="G82" s="11" t="n"/>
      <c r="H82" s="11" t="n"/>
    </row>
    <row r="83">
      <c r="A83" s="11" t="n"/>
      <c r="B83" s="11" t="n"/>
      <c r="C83" s="11" t="n"/>
      <c r="D83" s="11" t="n"/>
      <c r="E83" s="11" t="n"/>
      <c r="F83" s="11" t="n"/>
      <c r="G83" s="11" t="n"/>
      <c r="H83" s="11" t="n"/>
    </row>
    <row r="84">
      <c r="A84" s="11" t="n"/>
      <c r="B84" s="11" t="n"/>
      <c r="C84" s="11" t="n"/>
      <c r="D84" s="11" t="n"/>
      <c r="E84" s="11" t="n"/>
      <c r="F84" s="11" t="n"/>
      <c r="G84" s="11" t="n"/>
      <c r="H84" s="11" t="n"/>
    </row>
    <row r="85">
      <c r="A85" s="11" t="n"/>
      <c r="B85" s="11" t="n"/>
      <c r="C85" s="11" t="n"/>
      <c r="D85" s="11" t="n"/>
      <c r="E85" s="11" t="n"/>
      <c r="F85" s="11" t="n"/>
      <c r="G85" s="11" t="n"/>
      <c r="H85" s="11" t="n"/>
    </row>
    <row r="86">
      <c r="A86" s="11" t="n"/>
      <c r="B86" s="11" t="n"/>
      <c r="C86" s="11" t="n"/>
      <c r="D86" s="11" t="n"/>
      <c r="E86" s="11" t="n"/>
      <c r="F86" s="11" t="n"/>
      <c r="G86" s="11" t="n"/>
      <c r="H86" s="11" t="n"/>
    </row>
    <row r="87">
      <c r="A87" s="11" t="n"/>
      <c r="B87" s="11" t="n"/>
      <c r="C87" s="11" t="n"/>
      <c r="D87" s="11" t="n"/>
      <c r="E87" s="11" t="n"/>
      <c r="F87" s="11" t="n"/>
      <c r="G87" s="11" t="n"/>
      <c r="H87" s="11" t="n"/>
    </row>
    <row r="88">
      <c r="A88" s="11" t="n"/>
      <c r="B88" s="11" t="n"/>
      <c r="C88" s="11" t="n"/>
      <c r="D88" s="11" t="n"/>
      <c r="E88" s="11" t="n"/>
      <c r="F88" s="11" t="n"/>
      <c r="G88" s="11" t="n"/>
      <c r="H88" s="11" t="n"/>
    </row>
    <row r="89">
      <c r="A89" s="11" t="n"/>
      <c r="B89" s="11" t="n"/>
      <c r="C89" s="11" t="n"/>
      <c r="D89" s="11" t="n"/>
      <c r="E89" s="11" t="n"/>
      <c r="F89" s="11" t="n"/>
      <c r="G89" s="11" t="n"/>
      <c r="H89" s="11" t="n"/>
    </row>
    <row r="90">
      <c r="A90" s="11" t="n"/>
      <c r="B90" s="11" t="n"/>
      <c r="C90" s="11" t="n"/>
      <c r="D90" s="11" t="n"/>
      <c r="E90" s="11" t="n"/>
      <c r="F90" s="11" t="n"/>
      <c r="G90" s="11" t="n"/>
      <c r="H90" s="11" t="n"/>
    </row>
    <row r="91">
      <c r="A91" s="11" t="n"/>
      <c r="B91" s="11" t="n"/>
      <c r="C91" s="11" t="n"/>
      <c r="D91" s="11" t="n"/>
      <c r="E91" s="11" t="n"/>
      <c r="F91" s="11" t="n"/>
      <c r="G91" s="11" t="n"/>
      <c r="H91" s="11" t="n"/>
    </row>
    <row r="92">
      <c r="A92" s="11" t="n"/>
      <c r="B92" s="11" t="n"/>
      <c r="C92" s="11" t="n"/>
      <c r="D92" s="11" t="n"/>
      <c r="E92" s="11" t="n"/>
      <c r="F92" s="11" t="n"/>
      <c r="G92" s="11" t="n"/>
      <c r="H92" s="11" t="n"/>
    </row>
    <row r="93">
      <c r="A93" s="11" t="n"/>
      <c r="B93" s="11" t="n"/>
      <c r="C93" s="11" t="n"/>
      <c r="D93" s="11" t="n"/>
      <c r="E93" s="11" t="n"/>
      <c r="F93" s="11" t="n"/>
      <c r="G93" s="11" t="n"/>
      <c r="H93" s="11" t="n"/>
    </row>
    <row r="94">
      <c r="A94" s="11" t="n"/>
      <c r="B94" s="11" t="n"/>
      <c r="C94" s="11" t="n"/>
      <c r="D94" s="11" t="n"/>
      <c r="E94" s="11" t="n"/>
      <c r="F94" s="11" t="n"/>
      <c r="G94" s="11" t="n"/>
      <c r="H94" s="11" t="n"/>
    </row>
    <row r="95">
      <c r="A95" s="11" t="n"/>
      <c r="B95" s="11" t="n"/>
      <c r="C95" s="11" t="n"/>
      <c r="D95" s="11" t="n"/>
      <c r="E95" s="11" t="n"/>
      <c r="F95" s="11" t="n"/>
      <c r="G95" s="11" t="n"/>
      <c r="H95" s="11" t="n"/>
    </row>
    <row r="96">
      <c r="A96" s="11" t="n"/>
      <c r="B96" s="11" t="n"/>
      <c r="C96" s="11" t="n"/>
      <c r="D96" s="11" t="n"/>
      <c r="E96" s="11" t="n"/>
      <c r="F96" s="11" t="n"/>
      <c r="G96" s="11" t="n"/>
      <c r="H96" s="11" t="n"/>
    </row>
    <row r="97">
      <c r="A97" s="11" t="n"/>
      <c r="B97" s="11" t="n"/>
      <c r="C97" s="11" t="n"/>
      <c r="D97" s="11" t="n"/>
      <c r="E97" s="11" t="n"/>
      <c r="F97" s="11" t="n"/>
      <c r="G97" s="11" t="n"/>
      <c r="H97" s="11" t="n"/>
    </row>
    <row r="98">
      <c r="A98" s="11" t="n"/>
      <c r="B98" s="11" t="n"/>
      <c r="C98" s="11" t="n"/>
      <c r="D98" s="11" t="n"/>
      <c r="E98" s="11" t="n"/>
      <c r="F98" s="11" t="n"/>
      <c r="G98" s="11" t="n"/>
      <c r="H98" s="11" t="n"/>
    </row>
    <row r="99">
      <c r="A99" s="11" t="n"/>
      <c r="B99" s="11" t="n"/>
      <c r="C99" s="11" t="n"/>
      <c r="D99" s="11" t="n"/>
      <c r="E99" s="11" t="n"/>
      <c r="F99" s="11" t="n"/>
      <c r="G99" s="11" t="n"/>
      <c r="H99" s="11" t="n"/>
    </row>
    <row r="100">
      <c r="A100" s="11" t="n"/>
      <c r="B100" s="11" t="n"/>
      <c r="C100" s="11" t="n"/>
      <c r="D100" s="11" t="n"/>
      <c r="E100" s="11" t="n"/>
      <c r="F100" s="11" t="n"/>
      <c r="G100" s="11" t="n"/>
      <c r="H100" s="11" t="n"/>
    </row>
    <row r="101">
      <c r="A101" s="11" t="n"/>
      <c r="B101" s="11" t="n"/>
      <c r="C101" s="11" t="n"/>
      <c r="D101" s="11" t="n"/>
      <c r="E101" s="11" t="n"/>
      <c r="F101" s="11" t="n"/>
      <c r="G101" s="11" t="n"/>
      <c r="H101" s="11" t="n"/>
    </row>
    <row r="102">
      <c r="A102" s="11" t="n"/>
      <c r="B102" s="11" t="n"/>
      <c r="C102" s="11" t="n"/>
      <c r="D102" s="11" t="n"/>
      <c r="E102" s="11" t="n"/>
      <c r="F102" s="11" t="n"/>
      <c r="G102" s="11" t="n"/>
      <c r="H102" s="11" t="n"/>
    </row>
    <row r="103">
      <c r="A103" s="11" t="n"/>
      <c r="B103" s="11" t="n"/>
      <c r="C103" s="11" t="n"/>
      <c r="D103" s="11" t="n"/>
      <c r="E103" s="11" t="n"/>
      <c r="F103" s="11" t="n"/>
      <c r="G103" s="11" t="n"/>
      <c r="H103" s="11" t="n"/>
    </row>
    <row r="104">
      <c r="A104" s="11" t="n"/>
      <c r="B104" s="11" t="n"/>
      <c r="C104" s="11" t="n"/>
      <c r="D104" s="11" t="n"/>
      <c r="E104" s="11" t="n"/>
      <c r="F104" s="11" t="n"/>
      <c r="G104" s="11" t="n"/>
      <c r="H104" s="11" t="n"/>
    </row>
  </sheetData>
  <mergeCells count="2">
    <mergeCell ref="A2:H2"/>
    <mergeCell ref="A1:H1"/>
  </mergeCells>
  <dataValidations count="2">
    <dataValidation sqref="B5:B104" showDropDown="0" showInputMessage="0" showErrorMessage="0" allowBlank="1" type="list">
      <formula1>"Configuration file,Screenshot,Masking rule export,Documentation,Vendor spec,Test results,Audit log,Compliance report,Other"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Masking Technique Selection &amp; Requirements — SUMMARY DASHBOARD</t>
        </is>
      </c>
    </row>
    <row r="2">
      <c r="A2" s="16" t="inlineStr">
        <is>
          <t>Summary Dashboard  |  Masking Technique Selection  |  Generated: 07.03.2026</t>
        </is>
      </c>
    </row>
    <row r="4">
      <c r="A4" s="17" t="inlineStr">
        <is>
          <t>TABLE 1 – COMPLIANCE ASSESSMENT SUMMARY</t>
        </is>
      </c>
    </row>
    <row r="5">
      <c r="A5" s="9" t="inlineStr">
        <is>
          <t>Assessment Area</t>
        </is>
      </c>
      <c r="B5" s="9" t="inlineStr">
        <is>
          <t>Total Items</t>
        </is>
      </c>
      <c r="C5" s="9" t="inlineStr">
        <is>
          <t>Compliant</t>
        </is>
      </c>
      <c r="D5" s="9" t="inlineStr">
        <is>
          <t>Partial</t>
        </is>
      </c>
      <c r="E5" s="9" t="inlineStr">
        <is>
          <t>Non-Compliant</t>
        </is>
      </c>
      <c r="F5" s="9" t="inlineStr">
        <is>
          <t>N/A</t>
        </is>
      </c>
      <c r="G5" s="9" t="inlineStr">
        <is>
          <t>Compliance %</t>
        </is>
      </c>
    </row>
    <row r="6">
      <c r="A6" s="18" t="inlineStr">
        <is>
          <t>Approved Techniques</t>
        </is>
      </c>
      <c r="B6" s="19">
        <f>C6+D6+E6+F6</f>
        <v/>
      </c>
      <c r="C6" s="19">
        <f>COUNTIF('Approved Techniques'!I7:I100,"✅ Implemented")</f>
        <v/>
      </c>
      <c r="D6" s="19">
        <f>COUNTIF('Approved Techniques'!I7:I100,"⚠️ Partial")</f>
        <v/>
      </c>
      <c r="E6" s="19">
        <f>COUNTIF('Approved Techniques'!I7:I100,"❌ Not Implemented")</f>
        <v/>
      </c>
      <c r="F6" s="19">
        <f>COUNTIF('Approved Techniques'!I7:I100,"N/A")+COUNTIF('Approved Techniques'!I7:I100,"Planned")</f>
        <v/>
      </c>
      <c r="G6" s="20">
        <f>IF((B6-F6)=0,0,C6/(B6-F6))</f>
        <v/>
      </c>
    </row>
    <row r="7">
      <c r="A7" s="18" t="inlineStr">
        <is>
          <t>Technique Selection Matrix</t>
        </is>
      </c>
      <c r="B7" s="19">
        <f>C7+D7+E7+F7</f>
        <v/>
      </c>
      <c r="C7" s="19">
        <f>COUNTIF('Technique Selection Matrix'!K8:K100,"✅ Implemented")</f>
        <v/>
      </c>
      <c r="D7" s="19">
        <f>COUNTIF('Technique Selection Matrix'!K8:K100,"⚠️ Partial")</f>
        <v/>
      </c>
      <c r="E7" s="19">
        <f>COUNTIF('Technique Selection Matrix'!K8:K100,"❌ Not Implemented")</f>
        <v/>
      </c>
      <c r="F7" s="19">
        <f>COUNTIF('Technique Selection Matrix'!K8:K100,"N/A")+COUNTIF('Technique Selection Matrix'!K8:K100,"Planned")</f>
        <v/>
      </c>
      <c r="G7" s="20">
        <f>IF((B7-F7)=0,0,C7/(B7-F7))</f>
        <v/>
      </c>
    </row>
    <row r="8">
      <c r="A8" s="18" t="inlineStr">
        <is>
          <t>Static Masking SDM</t>
        </is>
      </c>
      <c r="B8" s="19">
        <f>C8+D8+E8+F8</f>
        <v/>
      </c>
      <c r="C8" s="19">
        <f>COUNTIF('Static Masking SDM'!L5:L100,"✅ Implemented")</f>
        <v/>
      </c>
      <c r="D8" s="19">
        <f>COUNTIF('Static Masking SDM'!L5:L100,"⚠️ Partial")</f>
        <v/>
      </c>
      <c r="E8" s="19">
        <f>COUNTIF('Static Masking SDM'!L5:L100,"❌ Not Implemented")</f>
        <v/>
      </c>
      <c r="F8" s="19">
        <f>COUNTIF('Static Masking SDM'!L5:L100,"N/A")+COUNTIF('Static Masking SDM'!L5:L100,"Planned")</f>
        <v/>
      </c>
      <c r="G8" s="20">
        <f>IF((B8-F8)=0,0,C8/(B8-F8))</f>
        <v/>
      </c>
    </row>
    <row r="9">
      <c r="A9" s="18" t="inlineStr">
        <is>
          <t>Dynamic Masking DDM</t>
        </is>
      </c>
      <c r="B9" s="19">
        <f>C9+D9+E9+F9</f>
        <v/>
      </c>
      <c r="C9" s="19">
        <f>COUNTIF('Dynamic Masking DDM'!L5:L100,"✅ Implemented")</f>
        <v/>
      </c>
      <c r="D9" s="19">
        <f>COUNTIF('Dynamic Masking DDM'!L5:L100,"⚠️ Partial")</f>
        <v/>
      </c>
      <c r="E9" s="19">
        <f>COUNTIF('Dynamic Masking DDM'!L5:L100,"❌ Not Implemented")</f>
        <v/>
      </c>
      <c r="F9" s="19">
        <f>COUNTIF('Dynamic Masking DDM'!L5:L100,"N/A")+COUNTIF('Dynamic Masking DDM'!L5:L100,"Planned")</f>
        <v/>
      </c>
      <c r="G9" s="20">
        <f>IF((B9-F9)=0,0,C9/(B9-F9))</f>
        <v/>
      </c>
    </row>
    <row r="10">
      <c r="A10" s="18" t="inlineStr">
        <is>
          <t>Tokenisation / Encryption</t>
        </is>
      </c>
      <c r="B10" s="19">
        <f>C10+D10+E10+F10</f>
        <v/>
      </c>
      <c r="C10" s="19">
        <f>COUNTIF('Tokenisation Implementation'!L5:L100,"✅ Implemented")+COUNTIF('Encryption for Masking'!L5:L100,"✅ Implemented")</f>
        <v/>
      </c>
      <c r="D10" s="19">
        <f>COUNTIF('Tokenisation Implementation'!L5:L100,"⚠️ Partial")+COUNTIF('Encryption for Masking'!L5:L100,"⚠️ Partial")</f>
        <v/>
      </c>
      <c r="E10" s="19">
        <f>COUNTIF('Tokenisation Implementation'!L5:L100,"❌ Not Implemented")+COUNTIF('Encryption for Masking'!L5:L100,"❌ Not Implemented")</f>
        <v/>
      </c>
      <c r="F10" s="19">
        <f>COUNTIF('Tokenisation Implementation'!L5:L100,"N/A")+COUNTIF('Encryption for Masking'!L5:L100,"N/A")</f>
        <v/>
      </c>
      <c r="G10" s="20">
        <f>IF((B10-F10)=0,0,C10/(B10-F10))</f>
        <v/>
      </c>
    </row>
    <row r="11">
      <c r="A11" s="18" t="inlineStr">
        <is>
          <t>Gap Analysis</t>
        </is>
      </c>
      <c r="B11" s="19">
        <f>C11+D11+E11+F11</f>
        <v/>
      </c>
      <c r="C11" s="19">
        <f>COUNTIF('Gap Analysis'!K5:K100,"Complete")+COUNTIF('Gap Analysis'!K5:K100,"Accepted Risk")</f>
        <v/>
      </c>
      <c r="D11" s="19">
        <f>COUNTIF('Gap Analysis'!K5:K100,"In Progress")</f>
        <v/>
      </c>
      <c r="E11" s="19">
        <f>COUNTIF('Gap Analysis'!K5:K100,"Open")</f>
        <v/>
      </c>
      <c r="F11" s="19">
        <f>0</f>
        <v/>
      </c>
      <c r="G11" s="20">
        <f>IF((B11-F11)=0,0,C11/(B11-F11))</f>
        <v/>
      </c>
    </row>
    <row r="12">
      <c r="A12" s="21" t="inlineStr">
        <is>
          <t>TOTAL</t>
        </is>
      </c>
      <c r="B12" s="22">
        <f>SUM(B6:B11)</f>
        <v/>
      </c>
      <c r="C12" s="22">
        <f>SUM(C6:C11)</f>
        <v/>
      </c>
      <c r="D12" s="22">
        <f>SUM(D6:D11)</f>
        <v/>
      </c>
      <c r="E12" s="22">
        <f>SUM(E6:E11)</f>
        <v/>
      </c>
      <c r="F12" s="22">
        <f>SUM(F6:F11)</f>
        <v/>
      </c>
      <c r="G12" s="23">
        <f>IF((B12-F12)=0,0,C12/(B12-F12))</f>
        <v/>
      </c>
    </row>
    <row r="14">
      <c r="A14" s="17" t="inlineStr">
        <is>
          <t>TABLE 2 – KEY METRICS</t>
        </is>
      </c>
    </row>
    <row r="15">
      <c r="A15" s="9" t="inlineStr">
        <is>
          <t>Metric</t>
        </is>
      </c>
      <c r="B15" s="9" t="inlineStr">
        <is>
          <t>Value</t>
        </is>
      </c>
      <c r="C15" s="9" t="inlineStr">
        <is>
          <t>Target</t>
        </is>
      </c>
    </row>
    <row r="16">
      <c r="A16" s="24" t="inlineStr">
        <is>
          <t>Approved Techniques Implemented (%)</t>
        </is>
      </c>
      <c r="B16" s="25">
        <f>IF(COUNTA('Approved Techniques'!I7:I100)=0,"N/A",TEXT(COUNTIF('Approved Techniques'!I7:I100,"✅ Implemented")/COUNTA('Approved Techniques'!I7:I100),"0.0%"))</f>
        <v/>
      </c>
      <c r="C16" s="25" t="inlineStr">
        <is>
          <t>100%</t>
        </is>
      </c>
    </row>
    <row r="17">
      <c r="A17" s="24" t="inlineStr">
        <is>
          <t>Selection Matrix Entries Completed (%)</t>
        </is>
      </c>
      <c r="B17" s="25">
        <f>IF(COUNTA('Technique Selection Matrix'!A8:A100)=0,"N/A",TEXT(COUNTIF('Technique Selection Matrix'!K8:K100,"✅ Implemented")/COUNTA('Technique Selection Matrix'!A8:A100),"0.0%"))</f>
        <v/>
      </c>
      <c r="C17" s="25" t="inlineStr">
        <is>
          <t>100%</t>
        </is>
      </c>
    </row>
    <row r="18">
      <c r="A18" s="24" t="inlineStr">
        <is>
          <t>Static Masking (SDM) Deployed (%)</t>
        </is>
      </c>
      <c r="B18" s="25">
        <f>IF(COUNTA('Static Masking SDM'!A5:A100)=0,"N/A",TEXT(COUNTIF('Static Masking SDM'!L5:L100,"✅ Implemented")/COUNTA('Static Masking SDM'!A5:A100),"0.0%"))</f>
        <v/>
      </c>
      <c r="C18" s="25" t="inlineStr">
        <is>
          <t>100%</t>
        </is>
      </c>
    </row>
    <row r="19">
      <c r="A19" s="24" t="inlineStr">
        <is>
          <t>Dynamic Masking (DDM) Deployed (%)</t>
        </is>
      </c>
      <c r="B19" s="25">
        <f>IF(COUNTA('Dynamic Masking DDM'!A5:A100)=0,"N/A",TEXT(COUNTIF('Dynamic Masking DDM'!L5:L100,"✅ Implemented")/COUNTA('Dynamic Masking DDM'!A5:A100),"0.0%"))</f>
        <v/>
      </c>
      <c r="C19" s="25" t="inlineStr">
        <is>
          <t>&gt;=90%</t>
        </is>
      </c>
    </row>
    <row r="20">
      <c r="A20" s="24" t="inlineStr">
        <is>
          <t>Open Technique Gaps (Count)</t>
        </is>
      </c>
      <c r="B20" s="25">
        <f>COUNTIF('Gap Analysis'!K5:K100,"Open")</f>
        <v/>
      </c>
      <c r="C20" s="25" t="inlineStr">
        <is>
          <t>0</t>
        </is>
      </c>
    </row>
    <row r="21">
      <c r="A21" s="24" t="inlineStr">
        <is>
          <t>Techniques with Partial Implementation</t>
        </is>
      </c>
      <c r="B21" s="25">
        <f>COUNTIF('Approved Techniques'!I7:I100,"⚠️ Partial")</f>
        <v/>
      </c>
      <c r="C21" s="25" t="inlineStr">
        <is>
          <t>0</t>
        </is>
      </c>
    </row>
    <row r="23">
      <c r="A23" s="26" t="inlineStr">
        <is>
          <t>TABLE 3 – KEY FINDINGS &amp; RECOMMENDATIONS</t>
        </is>
      </c>
    </row>
    <row r="24">
      <c r="A24" s="9" t="inlineStr">
        <is>
          <t>#</t>
        </is>
      </c>
      <c r="B24" s="9" t="inlineStr">
        <is>
          <t>Finding</t>
        </is>
      </c>
      <c r="C24" s="9" t="inlineStr">
        <is>
          <t>Impact</t>
        </is>
      </c>
      <c r="D24" s="9" t="inlineStr">
        <is>
          <t>Recommendation</t>
        </is>
      </c>
      <c r="E24" s="9" t="inlineStr">
        <is>
          <t>Priority</t>
        </is>
      </c>
      <c r="F24" s="9" t="inlineStr">
        <is>
          <t>Status</t>
        </is>
      </c>
      <c r="G24" s="9" t="inlineStr">
        <is>
          <t>Notes</t>
        </is>
      </c>
    </row>
    <row r="25">
      <c r="A25" s="27" t="inlineStr">
        <is>
          <t>1</t>
        </is>
      </c>
      <c r="B25" s="27" t="inlineStr">
        <is>
          <t>Dynamic Data Masking (DDM) not yet fully deployed in production</t>
        </is>
      </c>
      <c r="C25" s="27" t="inlineStr">
        <is>
          <t>High — sensitive data accessible to non-privileged production users</t>
        </is>
      </c>
      <c r="D25" s="27" t="inlineStr">
        <is>
          <t>Deploy DDM rules in production CRM and ERP databases for customer-facing roles</t>
        </is>
      </c>
      <c r="E25" s="27" t="inlineStr">
        <is>
          <t>P1</t>
        </is>
      </c>
      <c r="F25" s="27" t="inlineStr">
        <is>
          <t>Open</t>
        </is>
      </c>
      <c r="G25" s="27" t="inlineStr"/>
    </row>
    <row r="26">
      <c r="A26" s="27" t="inlineStr">
        <is>
          <t>2</t>
        </is>
      </c>
      <c r="B26" s="27" t="inlineStr">
        <is>
          <t>Static Data Masking not integrated into automated data refresh pipeline</t>
        </is>
      </c>
      <c r="C26" s="27" t="inlineStr">
        <is>
          <t>High — manual masking creates risk of non-production environments receiving real data</t>
        </is>
      </c>
      <c r="D26" s="27" t="inlineStr">
        <is>
          <t>Integrate SDM tooling into CI/CD data refresh pipelines; automate before environment provisioning</t>
        </is>
      </c>
      <c r="E26" s="27" t="inlineStr">
        <is>
          <t>P1</t>
        </is>
      </c>
      <c r="F26" s="27" t="inlineStr">
        <is>
          <t>In Progress</t>
        </is>
      </c>
      <c r="G26" s="27" t="inlineStr"/>
    </row>
    <row r="27">
      <c r="A27" s="27" t="inlineStr">
        <is>
          <t>3</t>
        </is>
      </c>
      <c r="B27" s="27" t="inlineStr">
        <is>
          <t>Technique Selection Matrix incomplete for all data categories</t>
        </is>
      </c>
      <c r="C27" s="27" t="inlineStr">
        <is>
          <t>Medium — some data types lack approved masking technique assignment</t>
        </is>
      </c>
      <c r="D27" s="27" t="inlineStr">
        <is>
          <t>Complete technique selection for all data categories; review format preservation requirements</t>
        </is>
      </c>
      <c r="E27" s="27" t="inlineStr">
        <is>
          <t>P2</t>
        </is>
      </c>
      <c r="F27" s="27" t="inlineStr">
        <is>
          <t>Open</t>
        </is>
      </c>
      <c r="G27" s="27" t="inlineStr"/>
    </row>
    <row r="28">
      <c r="A28" s="27" t="inlineStr">
        <is>
          <t>4</t>
        </is>
      </c>
      <c r="B28" s="27" t="inlineStr">
        <is>
          <t>Tokenisation vault management procedures not documented</t>
        </is>
      </c>
      <c r="C28" s="27" t="inlineStr">
        <is>
          <t>Medium — key management gaps create reversibility risk</t>
        </is>
      </c>
      <c r="D28" s="27" t="inlineStr">
        <is>
          <t>Document token vault procedures; define key custodians and emergency access controls</t>
        </is>
      </c>
      <c r="E28" s="27" t="inlineStr">
        <is>
          <t>P2</t>
        </is>
      </c>
      <c r="F28" s="27" t="inlineStr">
        <is>
          <t>Open</t>
        </is>
      </c>
      <c r="G28" s="27" t="inlineStr"/>
    </row>
  </sheetData>
  <mergeCells count="5">
    <mergeCell ref="A14:G14"/>
    <mergeCell ref="A1:G1"/>
    <mergeCell ref="A4:G4"/>
    <mergeCell ref="A2:G2"/>
    <mergeCell ref="A23:G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ASSESSMENT APPROVAL AND SIGN-OFF</t>
        </is>
      </c>
    </row>
    <row r="3">
      <c r="A3" s="29" t="inlineStr">
        <is>
          <t>ASSESSMENT SUMMARY</t>
        </is>
      </c>
    </row>
    <row r="4">
      <c r="A4" s="3" t="inlineStr">
        <is>
          <t>Document:</t>
        </is>
      </c>
      <c r="B4" s="6" t="inlineStr">
        <is>
          <t>ISMS-IMP-A.8.11.2 - Masking Technique Selection &amp; Requirements</t>
        </is>
      </c>
    </row>
    <row r="5">
      <c r="A5" s="3" t="inlineStr">
        <is>
          <t>Assessment Period:</t>
        </is>
      </c>
      <c r="B5" s="4" t="inlineStr"/>
    </row>
    <row r="6">
      <c r="A6" s="3" t="inlineStr">
        <is>
          <t>Overall Compliance:</t>
        </is>
      </c>
      <c r="B6" s="30">
        <f>IFERROR(AVERAGE('Summary Dashboard'!G6:G11),"")</f>
        <v/>
      </c>
    </row>
    <row r="7">
      <c r="A7" s="3" t="inlineStr">
        <is>
          <t>Assessment Status:</t>
        </is>
      </c>
      <c r="B7" s="4" t="inlineStr"/>
    </row>
    <row r="10">
      <c r="A10" s="29" t="inlineStr">
        <is>
          <t>PREPARED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9" t="inlineStr">
        <is>
          <t>REVIEWED BY (ISO)</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9"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ASSESSMENT DECISION:</t>
        </is>
      </c>
      <c r="B31" s="4" t="n"/>
    </row>
    <row r="34">
      <c r="A34" s="29"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ISMS-IMP-A.8.11.2 — Masking Technique Selection &amp; Requirements</dc:title>
  <dc:description xmlns:dc="http://purl.org/dc/elements/1.1/">ISMS Implementation Workbook — ISMS-IMP-A.8.11.2</dc:description>
  <dc:subject xmlns:dc="http://purl.org/dc/elements/1.1/">ISO/IEC 27001:2022 — Control A.8.11: Data Masking</dc:subject>
  <dcterms:created xmlns:dcterms="http://purl.org/dc/terms/" xmlns:xsi="http://www.w3.org/2001/XMLSchema-instance" xsi:type="dcterms:W3CDTF">2026-03-07T11:28:04Z</dcterms:created>
  <dcterms:modified xmlns:dcterms="http://purl.org/dc/terms/" xmlns:xsi="http://www.w3.org/2001/XMLSchema-instance" xsi:type="dcterms:W3CDTF">2026-03-07T11:28:04Z</dcterms:modified>
</cp:coreProperties>
</file>