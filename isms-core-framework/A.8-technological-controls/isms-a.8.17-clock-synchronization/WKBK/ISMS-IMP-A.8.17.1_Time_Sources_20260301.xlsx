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Time Sources" sheetId="2" state="visible" r:id="rId2"/>
    <sheet xmlns:r="http://schemas.openxmlformats.org/officeDocument/2006/relationships" name="Internal NTP Servers" sheetId="3" state="visible" r:id="rId3"/>
    <sheet xmlns:r="http://schemas.openxmlformats.org/officeDocument/2006/relationships" name="Hierarchy" sheetId="4" state="visible" r:id="rId4"/>
    <sheet xmlns:r="http://schemas.openxmlformats.org/officeDocument/2006/relationships" name="Evidence Register" sheetId="5" state="visible" r:id="rId5"/>
    <sheet xmlns:r="http://schemas.openxmlformats.org/officeDocument/2006/relationships" name="Summary Dashboard" sheetId="6" state="visible" r:id="rId6"/>
    <sheet xmlns:r="http://schemas.openxmlformats.org/officeDocument/2006/relationships" name="Approval Sign-Off"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i val="1"/>
    </font>
    <font>
      <name val="Calibri"/>
    </font>
    <font>
      <name val="Calibri"/>
      <b val="1"/>
      <color rgb="00003366"/>
      <sz val="12"/>
    </font>
    <font>
      <name val="Calibri"/>
      <b val="1"/>
      <color rgb="00FFFFFF"/>
    </font>
    <font>
      <name val="Calibri"/>
      <color rgb="00808080"/>
      <sz val="10"/>
    </font>
    <font>
      <name val="Calibri"/>
      <i val="1"/>
      <color rgb="00003366"/>
      <sz val="10"/>
    </font>
    <font>
      <name val="Calibri"/>
      <b val="1"/>
      <color rgb="00FFFFFF"/>
      <sz val="11"/>
    </font>
    <font>
      <name val="Calibri"/>
      <color rgb="00000000"/>
    </font>
    <font>
      <b val="1"/>
      <color rgb="00FFFFFF"/>
      <sz val="14"/>
    </font>
    <font>
      <b val="1"/>
      <color rgb="00FFFFFF"/>
      <sz val="11"/>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pivotButton="0" quotePrefix="0" xfId="0"/>
    <xf numFmtId="0" fontId="1" fillId="8" borderId="1" applyAlignment="1" pivotButton="0" quotePrefix="0" xfId="0">
      <alignment horizontal="center" vertical="center" wrapText="1"/>
    </xf>
    <xf numFmtId="0" fontId="6" fillId="9" borderId="1" applyAlignment="1" pivotButton="0" quotePrefix="0" xfId="0">
      <alignment horizontal="left" vertical="center"/>
    </xf>
    <xf numFmtId="0" fontId="6" fillId="9" borderId="1" applyAlignment="1" pivotButton="0" quotePrefix="0" xfId="0">
      <alignment horizontal="center" vertical="center"/>
    </xf>
    <xf numFmtId="0" fontId="7" fillId="10" borderId="1" pivotButton="0" quotePrefix="0" xfId="0"/>
    <xf numFmtId="0" fontId="7" fillId="0" borderId="1" applyAlignment="1" pivotButton="0" quotePrefix="0" xfId="0">
      <alignment horizontal="left" vertical="center" wrapText="1"/>
    </xf>
    <xf numFmtId="0" fontId="8" fillId="0" borderId="0" pivotButton="0" quotePrefix="0" xfId="0"/>
    <xf numFmtId="0" fontId="9" fillId="8" borderId="0" applyAlignment="1" pivotButton="0" quotePrefix="0" xfId="0">
      <alignment horizontal="center" wrapText="1"/>
    </xf>
    <xf numFmtId="0" fontId="10" fillId="9" borderId="1" applyAlignment="1" pivotButton="0" quotePrefix="0" xfId="0">
      <alignment horizontal="left" vertical="center" wrapText="1"/>
    </xf>
    <xf numFmtId="0" fontId="11" fillId="0" borderId="0" applyAlignment="1" pivotButton="0" quotePrefix="0" xfId="0">
      <alignment horizontal="left" vertical="center"/>
    </xf>
    <xf numFmtId="0" fontId="12" fillId="8" borderId="0" applyAlignment="1" pivotButton="0" quotePrefix="0" xfId="0">
      <alignment horizontal="left" vertical="center"/>
    </xf>
    <xf numFmtId="0" fontId="3" fillId="11" borderId="1" applyAlignment="1" pivotButton="0" quotePrefix="0" xfId="0">
      <alignment horizontal="center" vertical="center"/>
    </xf>
    <xf numFmtId="0" fontId="13" fillId="0" borderId="1" applyAlignment="1" pivotButton="0" quotePrefix="0" xfId="0">
      <alignment horizontal="left" vertical="center"/>
    </xf>
    <xf numFmtId="0" fontId="13" fillId="0" borderId="1" applyAlignment="1" pivotButton="0" quotePrefix="0" xfId="0">
      <alignment horizontal="center" vertical="center"/>
    </xf>
    <xf numFmtId="0" fontId="3" fillId="11" borderId="1" applyAlignment="1" pivotButton="0" quotePrefix="0" xfId="0">
      <alignment horizontal="left" vertical="center"/>
    </xf>
    <xf numFmtId="164" fontId="3" fillId="11" borderId="1" applyAlignment="1" pivotButton="0" quotePrefix="0" xfId="0">
      <alignment horizontal="center" vertical="center"/>
    </xf>
    <xf numFmtId="0" fontId="7" fillId="0" borderId="1" applyAlignment="1" pivotButton="0" quotePrefix="0" xfId="0">
      <alignment horizontal="left" vertical="center"/>
    </xf>
    <xf numFmtId="0" fontId="7" fillId="0" borderId="1" applyAlignment="1" pivotButton="0" quotePrefix="0" xfId="0">
      <alignment horizontal="center" vertical="center"/>
    </xf>
    <xf numFmtId="0" fontId="12" fillId="12" borderId="0" applyAlignment="1" pivotButton="0" quotePrefix="0" xfId="0">
      <alignment horizontal="left" vertical="center"/>
    </xf>
    <xf numFmtId="0" fontId="7" fillId="10" borderId="1" applyAlignment="1" pivotButton="0" quotePrefix="0" xfId="0">
      <alignment horizontal="left" vertical="center"/>
    </xf>
    <xf numFmtId="0" fontId="0" fillId="10" borderId="1" pivotButton="0" quotePrefix="0" xfId="0"/>
    <xf numFmtId="0" fontId="0" fillId="11" borderId="1" pivotButton="0" quotePrefix="0" xfId="0"/>
    <xf numFmtId="0" fontId="14" fillId="8" borderId="1" applyAlignment="1" pivotButton="0" quotePrefix="0" xfId="0">
      <alignment horizontal="center" vertical="center" wrapText="1"/>
    </xf>
    <xf numFmtId="0" fontId="15" fillId="13" borderId="1" pivotButton="0" quotePrefix="0" xfId="0"/>
    <xf numFmtId="0" fontId="16" fillId="0" borderId="0" pivotButton="0" quotePrefix="0" xfId="0"/>
    <xf numFmtId="164" fontId="0" fillId="0" borderId="1" pivotButton="0" quotePrefix="0" xfId="0"/>
    <xf numFmtId="0" fontId="15"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ISMS-IMP-A.8.17.1  -  Time Sources
ISO/IEC 27001:2022 - Control A.8.17: Clock Synchronisation</t>
        </is>
      </c>
    </row>
    <row r="3">
      <c r="A3" s="2" t="inlineStr">
        <is>
          <t>Document Information</t>
        </is>
      </c>
    </row>
    <row r="4">
      <c r="A4" s="3" t="inlineStr">
        <is>
          <t>Document ID</t>
        </is>
      </c>
      <c r="B4" t="inlineStr">
        <is>
          <t>ISMS-IMP-A.8.17.1</t>
        </is>
      </c>
    </row>
    <row r="5">
      <c r="A5" s="3" t="inlineStr">
        <is>
          <t>Workbook Title</t>
        </is>
      </c>
      <c r="B5" t="inlineStr">
        <is>
          <t>Time Sources</t>
        </is>
      </c>
    </row>
    <row r="6">
      <c r="A6" s="3" t="inlineStr">
        <is>
          <t>Control Reference</t>
        </is>
      </c>
      <c r="B6" t="inlineStr">
        <is>
          <t>ISO/IEC 27001:2022 - Control A.8.17: Clock Synchronisation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the Time Sources sheet for external NTP source configuration.</t>
        </is>
      </c>
    </row>
    <row r="14">
      <c r="A14" t="inlineStr">
        <is>
          <t>2. Document internal NTP servers in the Internal NTP Servers sheet.</t>
        </is>
      </c>
    </row>
    <row r="15">
      <c r="A15" t="inlineStr">
        <is>
          <t>3. Verify the time source hierarchy in the Hierarchy sheet.</t>
        </is>
      </c>
    </row>
    <row r="16">
      <c r="A16" t="inlineStr">
        <is>
          <t>4. Check compliance status in the Summary Dashboard sheet.</t>
        </is>
      </c>
    </row>
    <row r="17">
      <c r="A17" t="inlineStr">
        <is>
          <t>5. Record all evidence in the Evidence Register sheet.</t>
        </is>
      </c>
    </row>
    <row r="18">
      <c r="A18" t="inlineStr">
        <is>
          <t>6. Complete the Approval Sign-Off sheet when assessment is finished.</t>
        </is>
      </c>
    </row>
    <row r="19">
      <c r="A19" t="inlineStr">
        <is>
          <t>7. Use dropdown lists where provided for consistent data entry.</t>
        </is>
      </c>
    </row>
    <row r="20">
      <c r="A20" t="inlineStr">
        <is>
          <t>8. Add rows as needed — formulas auto-extend for new data.</t>
        </is>
      </c>
    </row>
    <row r="21">
      <c r="A21" t="inlineStr">
        <is>
          <t>9. Save completed workbook with date suffix for version tracking.</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25" customWidth="1" min="1" max="1"/>
    <col width="18" customWidth="1" min="2" max="2"/>
    <col width="30" customWidth="1" min="3" max="3"/>
    <col width="10" customWidth="1" min="4" max="4"/>
    <col width="20" customWidth="1" min="5" max="5"/>
    <col width="20" customWidth="1" min="6" max="6"/>
    <col width="18" customWidth="1" min="7" max="7"/>
    <col width="15" customWidth="1" min="8" max="8"/>
    <col width="12" customWidth="1" min="9" max="9"/>
    <col width="40" customWidth="1" min="10" max="10"/>
  </cols>
  <sheetData>
    <row r="1" ht="35" customHeight="1">
      <c r="A1" s="11" t="inlineStr">
        <is>
          <t>TIME SOURCES</t>
        </is>
      </c>
    </row>
    <row r="2">
      <c r="A2" s="12" t="inlineStr">
        <is>
          <t>External authoritative time sources inventory</t>
        </is>
      </c>
    </row>
    <row r="3">
      <c r="A3" s="13" t="inlineStr">
        <is>
          <t>Source Name [*]</t>
        </is>
      </c>
      <c r="B3" s="13" t="inlineStr">
        <is>
          <t>Type [*]</t>
        </is>
      </c>
      <c r="C3" s="13" t="inlineStr">
        <is>
          <t>IP/Hostname [*]</t>
        </is>
      </c>
      <c r="D3" s="13" t="inlineStr">
        <is>
          <t>Stratum [*]</t>
        </is>
      </c>
      <c r="E3" s="13" t="inlineStr">
        <is>
          <t>Geographic Location</t>
        </is>
      </c>
      <c r="F3" s="13" t="inlineStr">
        <is>
          <t>Provider</t>
        </is>
      </c>
      <c r="G3" s="13" t="inlineStr">
        <is>
          <t>Availability SLA</t>
        </is>
      </c>
      <c r="H3" s="13" t="inlineStr">
        <is>
          <t>Last Verified [*]</t>
        </is>
      </c>
      <c r="I3" s="13" t="inlineStr">
        <is>
          <t>Status</t>
        </is>
      </c>
      <c r="J3" s="13" t="inlineStr">
        <is>
          <t>Notes</t>
        </is>
      </c>
    </row>
    <row r="4">
      <c r="A4" s="14" t="inlineStr">
        <is>
          <t>time.nist.gov</t>
        </is>
      </c>
      <c r="B4" s="14" t="inlineStr">
        <is>
          <t>NIST</t>
        </is>
      </c>
      <c r="C4" s="14" t="inlineStr">
        <is>
          <t>time.nist.gov</t>
        </is>
      </c>
      <c r="D4" s="15" t="inlineStr">
        <is>
          <t>1</t>
        </is>
      </c>
      <c r="E4" s="14" t="inlineStr">
        <is>
          <t>United States</t>
        </is>
      </c>
      <c r="F4" s="14" t="inlineStr">
        <is>
          <t>NIST</t>
        </is>
      </c>
      <c r="G4" s="14" t="inlineStr">
        <is>
          <t>Public (no SLA)</t>
        </is>
      </c>
      <c r="H4" s="14" t="inlineStr">
        <is>
          <t>01.03.2026</t>
        </is>
      </c>
      <c r="I4" s="14" t="inlineStr">
        <is>
          <t>✅ Active</t>
        </is>
      </c>
      <c r="J4" s="14" t="inlineStr">
        <is>
          <t>Primary authoritative source (sample row)</t>
        </is>
      </c>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sheetData>
  <mergeCells count="2">
    <mergeCell ref="A1:J1"/>
    <mergeCell ref="A2:J2"/>
  </mergeCells>
  <dataValidations count="3">
    <dataValidation sqref="B5:B100" showDropDown="0" showInputMessage="0" showErrorMessage="0" allowBlank="0" errorTitle="Invalid Type" error="Please select a valid time source type" type="list">
      <formula1>"GPS,NIST,NTP Pool,Cloudflare,Google,Regional Government,Atomic Clock,Cloud Provider,Other"</formula1>
    </dataValidation>
    <dataValidation sqref="D5:D100" showDropDown="0" showInputMessage="0" showErrorMessage="0" allowBlank="0" errorTitle="Invalid Stratum" error="External sources should be Stratum 0, 1, or 2" type="list">
      <formula1>"0,1,2"</formula1>
    </dataValidation>
    <dataValidation sqref="I5:I100" showDropDown="0" showInputMessage="0" showErrorMessage="0" allowBlank="0" errorTitle="Invalid Status" error="Please select a valid status" type="list">
      <formula1>"✅ Active,❌ Inactive,⚠ Testing,Decommissioned"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25" customWidth="1" min="1" max="1"/>
    <col width="18" customWidth="1" min="2" max="2"/>
    <col width="10" customWidth="1" min="3" max="3"/>
    <col width="35" customWidth="1" min="4" max="4"/>
    <col width="22" customWidth="1" min="5" max="5"/>
    <col width="18" customWidth="1" min="6" max="6"/>
    <col width="30" customWidth="1" min="7" max="7"/>
    <col width="18" customWidth="1" min="8" max="8"/>
    <col width="18" customWidth="1" min="9" max="9"/>
    <col width="12" customWidth="1" min="10" max="10"/>
    <col width="40" customWidth="1" min="11" max="11"/>
  </cols>
  <sheetData>
    <row r="1" ht="35" customHeight="1">
      <c r="A1" s="11" t="inlineStr">
        <is>
          <t>INTERNAL NTP SERVERS</t>
        </is>
      </c>
    </row>
    <row r="2">
      <c r="A2" s="12" t="inlineStr">
        <is>
          <t>Internal NTP server infrastructure documentation</t>
        </is>
      </c>
    </row>
    <row r="3">
      <c r="A3" s="13" t="inlineStr">
        <is>
          <t>Server Name [*]</t>
        </is>
      </c>
      <c r="B3" s="13" t="inlineStr">
        <is>
          <t>IP Address [*]</t>
        </is>
      </c>
      <c r="C3" s="13" t="inlineStr">
        <is>
          <t>Stratum [*]</t>
        </is>
      </c>
      <c r="D3" s="13" t="inlineStr">
        <is>
          <t>Upstream Sources [*]</t>
        </is>
      </c>
      <c r="E3" s="13" t="inlineStr">
        <is>
          <t>Location/Datacenter [*]</t>
        </is>
      </c>
      <c r="F3" s="13" t="inlineStr">
        <is>
          <t>Redundancy Group</t>
        </is>
      </c>
      <c r="G3" s="13" t="inlineStr">
        <is>
          <t>Peer Servers</t>
        </is>
      </c>
      <c r="H3" s="13" t="inlineStr">
        <is>
          <t>Monitoring Status</t>
        </is>
      </c>
      <c r="I3" s="13" t="inlineStr">
        <is>
          <t>Last Health Check [*]</t>
        </is>
      </c>
      <c r="J3" s="13" t="inlineStr">
        <is>
          <t>Status</t>
        </is>
      </c>
      <c r="K3" s="13" t="inlineStr">
        <is>
          <t>Notes</t>
        </is>
      </c>
    </row>
    <row r="4">
      <c r="A4" s="14" t="inlineStr">
        <is>
          <t>ntp1.dc1.org.local</t>
        </is>
      </c>
      <c r="B4" s="14" t="inlineStr">
        <is>
          <t>10.0.1.10</t>
        </is>
      </c>
      <c r="C4" s="15" t="inlineStr">
        <is>
          <t>2</t>
        </is>
      </c>
      <c r="D4" s="14" t="inlineStr">
        <is>
          <t>time.nist.gov, time.cloudflare.com</t>
        </is>
      </c>
      <c r="E4" s="14" t="inlineStr">
        <is>
          <t>Datacenter 1</t>
        </is>
      </c>
      <c r="F4" s="14" t="inlineStr">
        <is>
          <t>Primary DC</t>
        </is>
      </c>
      <c r="G4" s="14" t="inlineStr">
        <is>
          <t>ntp2.dc1.org.local</t>
        </is>
      </c>
      <c r="H4" s="14" t="inlineStr">
        <is>
          <t>✅ Monitored with Alerting</t>
        </is>
      </c>
      <c r="I4" s="14" t="inlineStr">
        <is>
          <t>01.03.2026</t>
        </is>
      </c>
      <c r="J4" s="14" t="inlineStr">
        <is>
          <t>✅ Active</t>
        </is>
      </c>
      <c r="K4" s="14" t="inlineStr">
        <is>
          <t>Primary NTP server (sample row)</t>
        </is>
      </c>
    </row>
    <row r="5">
      <c r="A5" s="16" t="n"/>
      <c r="B5" s="16" t="n"/>
      <c r="C5" s="16" t="n"/>
      <c r="D5" s="16" t="n"/>
      <c r="E5" s="16" t="n"/>
      <c r="F5" s="16" t="n"/>
      <c r="G5" s="16" t="n"/>
      <c r="H5" s="16" t="n"/>
      <c r="I5" s="16" t="n"/>
      <c r="J5" s="16" t="n"/>
      <c r="K5" s="16" t="n"/>
    </row>
    <row r="6">
      <c r="A6" s="16" t="n"/>
      <c r="B6" s="16" t="n"/>
      <c r="C6" s="16" t="n"/>
      <c r="D6" s="16" t="n"/>
      <c r="E6" s="16" t="n"/>
      <c r="F6" s="16" t="n"/>
      <c r="G6" s="16" t="n"/>
      <c r="H6" s="16" t="n"/>
      <c r="I6" s="16" t="n"/>
      <c r="J6" s="16" t="n"/>
      <c r="K6" s="16" t="n"/>
    </row>
    <row r="7">
      <c r="A7" s="16" t="n"/>
      <c r="B7" s="16" t="n"/>
      <c r="C7" s="16" t="n"/>
      <c r="D7" s="16" t="n"/>
      <c r="E7" s="16" t="n"/>
      <c r="F7" s="16" t="n"/>
      <c r="G7" s="16" t="n"/>
      <c r="H7" s="16" t="n"/>
      <c r="I7" s="16" t="n"/>
      <c r="J7" s="16" t="n"/>
      <c r="K7" s="16" t="n"/>
    </row>
    <row r="8">
      <c r="A8" s="16" t="n"/>
      <c r="B8" s="16" t="n"/>
      <c r="C8" s="16" t="n"/>
      <c r="D8" s="16" t="n"/>
      <c r="E8" s="16" t="n"/>
      <c r="F8" s="16" t="n"/>
      <c r="G8" s="16" t="n"/>
      <c r="H8" s="16" t="n"/>
      <c r="I8" s="16" t="n"/>
      <c r="J8" s="16" t="n"/>
      <c r="K8" s="16" t="n"/>
    </row>
    <row r="9">
      <c r="A9" s="16" t="n"/>
      <c r="B9" s="16" t="n"/>
      <c r="C9" s="16" t="n"/>
      <c r="D9" s="16" t="n"/>
      <c r="E9" s="16" t="n"/>
      <c r="F9" s="16" t="n"/>
      <c r="G9" s="16" t="n"/>
      <c r="H9" s="16" t="n"/>
      <c r="I9" s="16" t="n"/>
      <c r="J9" s="16" t="n"/>
      <c r="K9" s="16" t="n"/>
    </row>
    <row r="10">
      <c r="A10" s="16" t="n"/>
      <c r="B10" s="16" t="n"/>
      <c r="C10" s="16" t="n"/>
      <c r="D10" s="16" t="n"/>
      <c r="E10" s="16" t="n"/>
      <c r="F10" s="16" t="n"/>
      <c r="G10" s="16" t="n"/>
      <c r="H10" s="16" t="n"/>
      <c r="I10" s="16" t="n"/>
      <c r="J10" s="16" t="n"/>
      <c r="K10" s="16" t="n"/>
    </row>
    <row r="11">
      <c r="A11" s="16" t="n"/>
      <c r="B11" s="16" t="n"/>
      <c r="C11" s="16" t="n"/>
      <c r="D11" s="16" t="n"/>
      <c r="E11" s="16" t="n"/>
      <c r="F11" s="16" t="n"/>
      <c r="G11" s="16" t="n"/>
      <c r="H11" s="16" t="n"/>
      <c r="I11" s="16" t="n"/>
      <c r="J11" s="16" t="n"/>
      <c r="K11" s="16" t="n"/>
    </row>
    <row r="12">
      <c r="A12" s="16" t="n"/>
      <c r="B12" s="16" t="n"/>
      <c r="C12" s="16" t="n"/>
      <c r="D12" s="16" t="n"/>
      <c r="E12" s="16" t="n"/>
      <c r="F12" s="16" t="n"/>
      <c r="G12" s="16" t="n"/>
      <c r="H12" s="16" t="n"/>
      <c r="I12" s="16" t="n"/>
      <c r="J12" s="16" t="n"/>
      <c r="K12" s="16" t="n"/>
    </row>
    <row r="13">
      <c r="A13" s="16" t="n"/>
      <c r="B13" s="16" t="n"/>
      <c r="C13" s="16" t="n"/>
      <c r="D13" s="16" t="n"/>
      <c r="E13" s="16" t="n"/>
      <c r="F13" s="16" t="n"/>
      <c r="G13" s="16" t="n"/>
      <c r="H13" s="16" t="n"/>
      <c r="I13" s="16" t="n"/>
      <c r="J13" s="16" t="n"/>
      <c r="K13" s="16" t="n"/>
    </row>
    <row r="14">
      <c r="A14" s="16" t="n"/>
      <c r="B14" s="16" t="n"/>
      <c r="C14" s="16" t="n"/>
      <c r="D14" s="16" t="n"/>
      <c r="E14" s="16" t="n"/>
      <c r="F14" s="16" t="n"/>
      <c r="G14" s="16" t="n"/>
      <c r="H14" s="16" t="n"/>
      <c r="I14" s="16" t="n"/>
      <c r="J14" s="16" t="n"/>
      <c r="K14" s="16" t="n"/>
    </row>
    <row r="15">
      <c r="A15" s="16" t="n"/>
      <c r="B15" s="16" t="n"/>
      <c r="C15" s="16" t="n"/>
      <c r="D15" s="16" t="n"/>
      <c r="E15" s="16" t="n"/>
      <c r="F15" s="16" t="n"/>
      <c r="G15" s="16" t="n"/>
      <c r="H15" s="16" t="n"/>
      <c r="I15" s="16" t="n"/>
      <c r="J15" s="16" t="n"/>
      <c r="K15" s="16" t="n"/>
    </row>
    <row r="16">
      <c r="A16" s="16" t="n"/>
      <c r="B16" s="16" t="n"/>
      <c r="C16" s="16" t="n"/>
      <c r="D16" s="16" t="n"/>
      <c r="E16" s="16" t="n"/>
      <c r="F16" s="16" t="n"/>
      <c r="G16" s="16" t="n"/>
      <c r="H16" s="16" t="n"/>
      <c r="I16" s="16" t="n"/>
      <c r="J16" s="16" t="n"/>
      <c r="K16" s="16" t="n"/>
    </row>
    <row r="17">
      <c r="A17" s="16" t="n"/>
      <c r="B17" s="16" t="n"/>
      <c r="C17" s="16" t="n"/>
      <c r="D17" s="16" t="n"/>
      <c r="E17" s="16" t="n"/>
      <c r="F17" s="16" t="n"/>
      <c r="G17" s="16" t="n"/>
      <c r="H17" s="16" t="n"/>
      <c r="I17" s="16" t="n"/>
      <c r="J17" s="16" t="n"/>
      <c r="K17" s="16" t="n"/>
    </row>
    <row r="18">
      <c r="A18" s="16" t="n"/>
      <c r="B18" s="16" t="n"/>
      <c r="C18" s="16" t="n"/>
      <c r="D18" s="16" t="n"/>
      <c r="E18" s="16" t="n"/>
      <c r="F18" s="16" t="n"/>
      <c r="G18" s="16" t="n"/>
      <c r="H18" s="16" t="n"/>
      <c r="I18" s="16" t="n"/>
      <c r="J18" s="16" t="n"/>
      <c r="K18" s="16" t="n"/>
    </row>
    <row r="19">
      <c r="A19" s="16" t="n"/>
      <c r="B19" s="16" t="n"/>
      <c r="C19" s="16" t="n"/>
      <c r="D19" s="16" t="n"/>
      <c r="E19" s="16" t="n"/>
      <c r="F19" s="16" t="n"/>
      <c r="G19" s="16" t="n"/>
      <c r="H19" s="16" t="n"/>
      <c r="I19" s="16" t="n"/>
      <c r="J19" s="16" t="n"/>
      <c r="K19" s="16" t="n"/>
    </row>
    <row r="20">
      <c r="A20" s="16" t="n"/>
      <c r="B20" s="16" t="n"/>
      <c r="C20" s="16" t="n"/>
      <c r="D20" s="16" t="n"/>
      <c r="E20" s="16" t="n"/>
      <c r="F20" s="16" t="n"/>
      <c r="G20" s="16" t="n"/>
      <c r="H20" s="16" t="n"/>
      <c r="I20" s="16" t="n"/>
      <c r="J20" s="16" t="n"/>
      <c r="K20" s="16" t="n"/>
    </row>
    <row r="21">
      <c r="A21" s="16" t="n"/>
      <c r="B21" s="16" t="n"/>
      <c r="C21" s="16" t="n"/>
      <c r="D21" s="16" t="n"/>
      <c r="E21" s="16" t="n"/>
      <c r="F21" s="16" t="n"/>
      <c r="G21" s="16" t="n"/>
      <c r="H21" s="16" t="n"/>
      <c r="I21" s="16" t="n"/>
      <c r="J21" s="16" t="n"/>
      <c r="K21" s="16" t="n"/>
    </row>
    <row r="22">
      <c r="A22" s="16" t="n"/>
      <c r="B22" s="16" t="n"/>
      <c r="C22" s="16" t="n"/>
      <c r="D22" s="16" t="n"/>
      <c r="E22" s="16" t="n"/>
      <c r="F22" s="16" t="n"/>
      <c r="G22" s="16" t="n"/>
      <c r="H22" s="16" t="n"/>
      <c r="I22" s="16" t="n"/>
      <c r="J22" s="16" t="n"/>
      <c r="K22" s="16" t="n"/>
    </row>
    <row r="23">
      <c r="A23" s="16" t="n"/>
      <c r="B23" s="16" t="n"/>
      <c r="C23" s="16" t="n"/>
      <c r="D23" s="16" t="n"/>
      <c r="E23" s="16" t="n"/>
      <c r="F23" s="16" t="n"/>
      <c r="G23" s="16" t="n"/>
      <c r="H23" s="16" t="n"/>
      <c r="I23" s="16" t="n"/>
      <c r="J23" s="16" t="n"/>
      <c r="K23" s="16" t="n"/>
    </row>
    <row r="24">
      <c r="A24" s="16" t="n"/>
      <c r="B24" s="16" t="n"/>
      <c r="C24" s="16" t="n"/>
      <c r="D24" s="16" t="n"/>
      <c r="E24" s="16" t="n"/>
      <c r="F24" s="16" t="n"/>
      <c r="G24" s="16" t="n"/>
      <c r="H24" s="16" t="n"/>
      <c r="I24" s="16" t="n"/>
      <c r="J24" s="16" t="n"/>
      <c r="K24" s="16" t="n"/>
    </row>
    <row r="25">
      <c r="A25" s="16" t="n"/>
      <c r="B25" s="16" t="n"/>
      <c r="C25" s="16" t="n"/>
      <c r="D25" s="16" t="n"/>
      <c r="E25" s="16" t="n"/>
      <c r="F25" s="16" t="n"/>
      <c r="G25" s="16" t="n"/>
      <c r="H25" s="16" t="n"/>
      <c r="I25" s="16" t="n"/>
      <c r="J25" s="16" t="n"/>
      <c r="K25" s="16" t="n"/>
    </row>
    <row r="26">
      <c r="A26" s="16" t="n"/>
      <c r="B26" s="16" t="n"/>
      <c r="C26" s="16" t="n"/>
      <c r="D26" s="16" t="n"/>
      <c r="E26" s="16" t="n"/>
      <c r="F26" s="16" t="n"/>
      <c r="G26" s="16" t="n"/>
      <c r="H26" s="16" t="n"/>
      <c r="I26" s="16" t="n"/>
      <c r="J26" s="16" t="n"/>
      <c r="K26" s="16" t="n"/>
    </row>
    <row r="27">
      <c r="A27" s="16" t="n"/>
      <c r="B27" s="16" t="n"/>
      <c r="C27" s="16" t="n"/>
      <c r="D27" s="16" t="n"/>
      <c r="E27" s="16" t="n"/>
      <c r="F27" s="16" t="n"/>
      <c r="G27" s="16" t="n"/>
      <c r="H27" s="16" t="n"/>
      <c r="I27" s="16" t="n"/>
      <c r="J27" s="16" t="n"/>
      <c r="K27" s="16" t="n"/>
    </row>
    <row r="28">
      <c r="A28" s="16" t="n"/>
      <c r="B28" s="16" t="n"/>
      <c r="C28" s="16" t="n"/>
      <c r="D28" s="16" t="n"/>
      <c r="E28" s="16" t="n"/>
      <c r="F28" s="16" t="n"/>
      <c r="G28" s="16" t="n"/>
      <c r="H28" s="16" t="n"/>
      <c r="I28" s="16" t="n"/>
      <c r="J28" s="16" t="n"/>
      <c r="K28" s="16" t="n"/>
    </row>
    <row r="29">
      <c r="A29" s="16" t="n"/>
      <c r="B29" s="16" t="n"/>
      <c r="C29" s="16" t="n"/>
      <c r="D29" s="16" t="n"/>
      <c r="E29" s="16" t="n"/>
      <c r="F29" s="16" t="n"/>
      <c r="G29" s="16" t="n"/>
      <c r="H29" s="16" t="n"/>
      <c r="I29" s="16" t="n"/>
      <c r="J29" s="16" t="n"/>
      <c r="K29" s="16" t="n"/>
    </row>
    <row r="30">
      <c r="A30" s="16" t="n"/>
      <c r="B30" s="16" t="n"/>
      <c r="C30" s="16" t="n"/>
      <c r="D30" s="16" t="n"/>
      <c r="E30" s="16" t="n"/>
      <c r="F30" s="16" t="n"/>
      <c r="G30" s="16" t="n"/>
      <c r="H30" s="16" t="n"/>
      <c r="I30" s="16" t="n"/>
      <c r="J30" s="16" t="n"/>
      <c r="K30" s="16" t="n"/>
    </row>
    <row r="31">
      <c r="A31" s="16" t="n"/>
      <c r="B31" s="16" t="n"/>
      <c r="C31" s="16" t="n"/>
      <c r="D31" s="16" t="n"/>
      <c r="E31" s="16" t="n"/>
      <c r="F31" s="16" t="n"/>
      <c r="G31" s="16" t="n"/>
      <c r="H31" s="16" t="n"/>
      <c r="I31" s="16" t="n"/>
      <c r="J31" s="16" t="n"/>
      <c r="K31" s="16" t="n"/>
    </row>
    <row r="32">
      <c r="A32" s="16" t="n"/>
      <c r="B32" s="16" t="n"/>
      <c r="C32" s="16" t="n"/>
      <c r="D32" s="16" t="n"/>
      <c r="E32" s="16" t="n"/>
      <c r="F32" s="16" t="n"/>
      <c r="G32" s="16" t="n"/>
      <c r="H32" s="16" t="n"/>
      <c r="I32" s="16" t="n"/>
      <c r="J32" s="16" t="n"/>
      <c r="K32" s="16" t="n"/>
    </row>
    <row r="33">
      <c r="A33" s="16" t="n"/>
      <c r="B33" s="16" t="n"/>
      <c r="C33" s="16" t="n"/>
      <c r="D33" s="16" t="n"/>
      <c r="E33" s="16" t="n"/>
      <c r="F33" s="16" t="n"/>
      <c r="G33" s="16" t="n"/>
      <c r="H33" s="16" t="n"/>
      <c r="I33" s="16" t="n"/>
      <c r="J33" s="16" t="n"/>
      <c r="K33" s="16" t="n"/>
    </row>
    <row r="34">
      <c r="A34" s="16" t="n"/>
      <c r="B34" s="16" t="n"/>
      <c r="C34" s="16" t="n"/>
      <c r="D34" s="16" t="n"/>
      <c r="E34" s="16" t="n"/>
      <c r="F34" s="16" t="n"/>
      <c r="G34" s="16" t="n"/>
      <c r="H34" s="16" t="n"/>
      <c r="I34" s="16" t="n"/>
      <c r="J34" s="16" t="n"/>
      <c r="K34" s="16" t="n"/>
    </row>
    <row r="35">
      <c r="A35" s="16" t="n"/>
      <c r="B35" s="16" t="n"/>
      <c r="C35" s="16" t="n"/>
      <c r="D35" s="16" t="n"/>
      <c r="E35" s="16" t="n"/>
      <c r="F35" s="16" t="n"/>
      <c r="G35" s="16" t="n"/>
      <c r="H35" s="16" t="n"/>
      <c r="I35" s="16" t="n"/>
      <c r="J35" s="16" t="n"/>
      <c r="K35" s="16" t="n"/>
    </row>
    <row r="36">
      <c r="A36" s="16" t="n"/>
      <c r="B36" s="16" t="n"/>
      <c r="C36" s="16" t="n"/>
      <c r="D36" s="16" t="n"/>
      <c r="E36" s="16" t="n"/>
      <c r="F36" s="16" t="n"/>
      <c r="G36" s="16" t="n"/>
      <c r="H36" s="16" t="n"/>
      <c r="I36" s="16" t="n"/>
      <c r="J36" s="16" t="n"/>
      <c r="K36" s="16" t="n"/>
    </row>
    <row r="37">
      <c r="A37" s="16" t="n"/>
      <c r="B37" s="16" t="n"/>
      <c r="C37" s="16" t="n"/>
      <c r="D37" s="16" t="n"/>
      <c r="E37" s="16" t="n"/>
      <c r="F37" s="16" t="n"/>
      <c r="G37" s="16" t="n"/>
      <c r="H37" s="16" t="n"/>
      <c r="I37" s="16" t="n"/>
      <c r="J37" s="16" t="n"/>
      <c r="K37" s="16" t="n"/>
    </row>
    <row r="38">
      <c r="A38" s="16" t="n"/>
      <c r="B38" s="16" t="n"/>
      <c r="C38" s="16" t="n"/>
      <c r="D38" s="16" t="n"/>
      <c r="E38" s="16" t="n"/>
      <c r="F38" s="16" t="n"/>
      <c r="G38" s="16" t="n"/>
      <c r="H38" s="16" t="n"/>
      <c r="I38" s="16" t="n"/>
      <c r="J38" s="16" t="n"/>
      <c r="K38" s="16" t="n"/>
    </row>
    <row r="39">
      <c r="A39" s="16" t="n"/>
      <c r="B39" s="16" t="n"/>
      <c r="C39" s="16" t="n"/>
      <c r="D39" s="16" t="n"/>
      <c r="E39" s="16" t="n"/>
      <c r="F39" s="16" t="n"/>
      <c r="G39" s="16" t="n"/>
      <c r="H39" s="16" t="n"/>
      <c r="I39" s="16" t="n"/>
      <c r="J39" s="16" t="n"/>
      <c r="K39" s="16" t="n"/>
    </row>
    <row r="40">
      <c r="A40" s="16" t="n"/>
      <c r="B40" s="16" t="n"/>
      <c r="C40" s="16" t="n"/>
      <c r="D40" s="16" t="n"/>
      <c r="E40" s="16" t="n"/>
      <c r="F40" s="16" t="n"/>
      <c r="G40" s="16" t="n"/>
      <c r="H40" s="16" t="n"/>
      <c r="I40" s="16" t="n"/>
      <c r="J40" s="16" t="n"/>
      <c r="K40" s="16" t="n"/>
    </row>
    <row r="41">
      <c r="A41" s="16" t="n"/>
      <c r="B41" s="16" t="n"/>
      <c r="C41" s="16" t="n"/>
      <c r="D41" s="16" t="n"/>
      <c r="E41" s="16" t="n"/>
      <c r="F41" s="16" t="n"/>
      <c r="G41" s="16" t="n"/>
      <c r="H41" s="16" t="n"/>
      <c r="I41" s="16" t="n"/>
      <c r="J41" s="16" t="n"/>
      <c r="K41" s="16" t="n"/>
    </row>
    <row r="42">
      <c r="A42" s="16" t="n"/>
      <c r="B42" s="16" t="n"/>
      <c r="C42" s="16" t="n"/>
      <c r="D42" s="16" t="n"/>
      <c r="E42" s="16" t="n"/>
      <c r="F42" s="16" t="n"/>
      <c r="G42" s="16" t="n"/>
      <c r="H42" s="16" t="n"/>
      <c r="I42" s="16" t="n"/>
      <c r="J42" s="16" t="n"/>
      <c r="K42" s="16" t="n"/>
    </row>
    <row r="43">
      <c r="A43" s="16" t="n"/>
      <c r="B43" s="16" t="n"/>
      <c r="C43" s="16" t="n"/>
      <c r="D43" s="16" t="n"/>
      <c r="E43" s="16" t="n"/>
      <c r="F43" s="16" t="n"/>
      <c r="G43" s="16" t="n"/>
      <c r="H43" s="16" t="n"/>
      <c r="I43" s="16" t="n"/>
      <c r="J43" s="16" t="n"/>
      <c r="K43" s="16" t="n"/>
    </row>
    <row r="44">
      <c r="A44" s="16" t="n"/>
      <c r="B44" s="16" t="n"/>
      <c r="C44" s="16" t="n"/>
      <c r="D44" s="16" t="n"/>
      <c r="E44" s="16" t="n"/>
      <c r="F44" s="16" t="n"/>
      <c r="G44" s="16" t="n"/>
      <c r="H44" s="16" t="n"/>
      <c r="I44" s="16" t="n"/>
      <c r="J44" s="16" t="n"/>
      <c r="K44" s="16" t="n"/>
    </row>
    <row r="45">
      <c r="A45" s="16" t="n"/>
      <c r="B45" s="16" t="n"/>
      <c r="C45" s="16" t="n"/>
      <c r="D45" s="16" t="n"/>
      <c r="E45" s="16" t="n"/>
      <c r="F45" s="16" t="n"/>
      <c r="G45" s="16" t="n"/>
      <c r="H45" s="16" t="n"/>
      <c r="I45" s="16" t="n"/>
      <c r="J45" s="16" t="n"/>
      <c r="K45" s="16" t="n"/>
    </row>
    <row r="46">
      <c r="A46" s="16" t="n"/>
      <c r="B46" s="16" t="n"/>
      <c r="C46" s="16" t="n"/>
      <c r="D46" s="16" t="n"/>
      <c r="E46" s="16" t="n"/>
      <c r="F46" s="16" t="n"/>
      <c r="G46" s="16" t="n"/>
      <c r="H46" s="16" t="n"/>
      <c r="I46" s="16" t="n"/>
      <c r="J46" s="16" t="n"/>
      <c r="K46" s="16" t="n"/>
    </row>
    <row r="47">
      <c r="A47" s="16" t="n"/>
      <c r="B47" s="16" t="n"/>
      <c r="C47" s="16" t="n"/>
      <c r="D47" s="16" t="n"/>
      <c r="E47" s="16" t="n"/>
      <c r="F47" s="16" t="n"/>
      <c r="G47" s="16" t="n"/>
      <c r="H47" s="16" t="n"/>
      <c r="I47" s="16" t="n"/>
      <c r="J47" s="16" t="n"/>
      <c r="K47" s="16" t="n"/>
    </row>
    <row r="48">
      <c r="A48" s="16" t="n"/>
      <c r="B48" s="16" t="n"/>
      <c r="C48" s="16" t="n"/>
      <c r="D48" s="16" t="n"/>
      <c r="E48" s="16" t="n"/>
      <c r="F48" s="16" t="n"/>
      <c r="G48" s="16" t="n"/>
      <c r="H48" s="16" t="n"/>
      <c r="I48" s="16" t="n"/>
      <c r="J48" s="16" t="n"/>
      <c r="K48" s="16" t="n"/>
    </row>
    <row r="49">
      <c r="A49" s="16" t="n"/>
      <c r="B49" s="16" t="n"/>
      <c r="C49" s="16" t="n"/>
      <c r="D49" s="16" t="n"/>
      <c r="E49" s="16" t="n"/>
      <c r="F49" s="16" t="n"/>
      <c r="G49" s="16" t="n"/>
      <c r="H49" s="16" t="n"/>
      <c r="I49" s="16" t="n"/>
      <c r="J49" s="16" t="n"/>
      <c r="K49" s="16" t="n"/>
    </row>
    <row r="50">
      <c r="A50" s="16" t="n"/>
      <c r="B50" s="16" t="n"/>
      <c r="C50" s="16" t="n"/>
      <c r="D50" s="16" t="n"/>
      <c r="E50" s="16" t="n"/>
      <c r="F50" s="16" t="n"/>
      <c r="G50" s="16" t="n"/>
      <c r="H50" s="16" t="n"/>
      <c r="I50" s="16" t="n"/>
      <c r="J50" s="16" t="n"/>
      <c r="K50" s="16" t="n"/>
    </row>
    <row r="51">
      <c r="A51" s="16" t="n"/>
      <c r="B51" s="16" t="n"/>
      <c r="C51" s="16" t="n"/>
      <c r="D51" s="16" t="n"/>
      <c r="E51" s="16" t="n"/>
      <c r="F51" s="16" t="n"/>
      <c r="G51" s="16" t="n"/>
      <c r="H51" s="16" t="n"/>
      <c r="I51" s="16" t="n"/>
      <c r="J51" s="16" t="n"/>
      <c r="K51" s="16" t="n"/>
    </row>
    <row r="52">
      <c r="A52" s="16" t="n"/>
      <c r="B52" s="16" t="n"/>
      <c r="C52" s="16" t="n"/>
      <c r="D52" s="16" t="n"/>
      <c r="E52" s="16" t="n"/>
      <c r="F52" s="16" t="n"/>
      <c r="G52" s="16" t="n"/>
      <c r="H52" s="16" t="n"/>
      <c r="I52" s="16" t="n"/>
      <c r="J52" s="16" t="n"/>
      <c r="K52" s="16" t="n"/>
    </row>
    <row r="53">
      <c r="A53" s="16" t="n"/>
      <c r="B53" s="16" t="n"/>
      <c r="C53" s="16" t="n"/>
      <c r="D53" s="16" t="n"/>
      <c r="E53" s="16" t="n"/>
      <c r="F53" s="16" t="n"/>
      <c r="G53" s="16" t="n"/>
      <c r="H53" s="16" t="n"/>
      <c r="I53" s="16" t="n"/>
      <c r="J53" s="16" t="n"/>
      <c r="K53" s="16" t="n"/>
    </row>
    <row r="54">
      <c r="A54" s="16" t="n"/>
      <c r="B54" s="16" t="n"/>
      <c r="C54" s="16" t="n"/>
      <c r="D54" s="16" t="n"/>
      <c r="E54" s="16" t="n"/>
      <c r="F54" s="16" t="n"/>
      <c r="G54" s="16" t="n"/>
      <c r="H54" s="16" t="n"/>
      <c r="I54" s="16" t="n"/>
      <c r="J54" s="16" t="n"/>
      <c r="K54" s="16" t="n"/>
    </row>
  </sheetData>
  <mergeCells count="2">
    <mergeCell ref="A2:K2"/>
    <mergeCell ref="A1:K1"/>
  </mergeCells>
  <dataValidations count="3">
    <dataValidation sqref="C5:C100" showDropDown="0" showInputMessage="0" showErrorMessage="0" allowBlank="0" errorTitle="Invalid Stratum" error="Internal NTP servers should be Stratum 2 or 3" type="list">
      <formula1>"2,3"</formula1>
    </dataValidation>
    <dataValidation sqref="H5:H100" showDropDown="0" showInputMessage="0" showErrorMessage="0" allowBlank="0" errorTitle="Invalid Monitoring Status" error="Please select a valid monitoring status" type="list">
      <formula1>"✅ Monitored with Alerting,⚠ Monitored (No Alerting),❌ Not Monitored,Not Configured"</formula1>
    </dataValidation>
    <dataValidation sqref="J5:J100" showDropDown="0" showInputMessage="0" showErrorMessage="0" allowBlank="0" errorTitle="Invalid Status" error="Please select a valid status" type="list">
      <formula1>"✅ Active,❌ Inactive,Maintenance,⚠ Failed"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showGridLines="0" workbookViewId="0">
      <selection activeCell="A1" sqref="A1"/>
    </sheetView>
  </sheetViews>
  <sheetFormatPr baseColWidth="8" defaultRowHeight="15"/>
  <cols>
    <col width="20" customWidth="1" min="1" max="1"/>
    <col width="15" customWidth="1" min="2" max="2"/>
    <col width="50" customWidth="1" min="3" max="3"/>
    <col width="12" customWidth="1" min="4" max="4"/>
    <col width="40" customWidth="1" min="5" max="5"/>
  </cols>
  <sheetData>
    <row r="1" ht="35" customHeight="1">
      <c r="A1" s="11" t="inlineStr">
        <is>
          <t>TIME SYNCHRONISATION HIERARCHY</t>
        </is>
      </c>
    </row>
    <row r="2">
      <c r="A2" s="12" t="inlineStr">
        <is>
          <t>Stratum levels represent distance from authoritative time source (lower is better)</t>
        </is>
      </c>
    </row>
    <row r="4">
      <c r="A4" s="17" t="inlineStr"/>
      <c r="B4" s="17" t="inlineStr"/>
      <c r="C4" s="17" t="inlineStr"/>
      <c r="D4" s="17" t="inlineStr"/>
      <c r="E4" s="17" t="inlineStr"/>
    </row>
    <row r="5">
      <c r="A5" s="13" t="inlineStr">
        <is>
          <t>Stratum</t>
        </is>
      </c>
      <c r="B5" s="13" t="inlineStr">
        <is>
          <t>Level</t>
        </is>
      </c>
      <c r="C5" s="13" t="inlineStr">
        <is>
          <t>Description</t>
        </is>
      </c>
      <c r="D5" s="13" t="inlineStr">
        <is>
          <t>Examples</t>
        </is>
      </c>
      <c r="E5" s="13" t="inlineStr">
        <is>
          <t>Typical Accuracy</t>
        </is>
      </c>
    </row>
    <row r="6">
      <c r="A6" s="17" t="inlineStr">
        <is>
          <t>0</t>
        </is>
      </c>
      <c r="B6" s="17" t="inlineStr">
        <is>
          <t>Reference Clock</t>
        </is>
      </c>
      <c r="C6" s="17" t="inlineStr">
        <is>
          <t>Primary time source (not network accessible)</t>
        </is>
      </c>
      <c r="D6" s="17" t="inlineStr">
        <is>
          <t>GPS receiver, Atomic clock, Radio time signal</t>
        </is>
      </c>
      <c r="E6" s="17" t="inlineStr">
        <is>
          <t>&lt;1 microsecond</t>
        </is>
      </c>
    </row>
    <row r="7">
      <c r="A7" s="17" t="inlineStr">
        <is>
          <t>1</t>
        </is>
      </c>
      <c r="B7" s="17" t="inlineStr">
        <is>
          <t>Primary Time Server</t>
        </is>
      </c>
      <c r="C7" s="17" t="inlineStr">
        <is>
          <t>Directly connected to Stratum 0 device</t>
        </is>
      </c>
      <c r="D7" s="17" t="inlineStr">
        <is>
          <t>GPS NTP appliance, NIST servers, Government time services</t>
        </is>
      </c>
      <c r="E7" s="17" t="inlineStr">
        <is>
          <t>&lt;10 microseconds</t>
        </is>
      </c>
    </row>
    <row r="8">
      <c r="A8" s="17" t="inlineStr">
        <is>
          <t>2</t>
        </is>
      </c>
      <c r="B8" s="17" t="inlineStr">
        <is>
          <t>Secondary Time Server</t>
        </is>
      </c>
      <c r="C8" s="17" t="inlineStr">
        <is>
          <t>Synchronized to Stratum 1 servers</t>
        </is>
      </c>
      <c r="D8" s="17" t="inlineStr">
        <is>
          <t>Internal organisational NTP servers</t>
        </is>
      </c>
      <c r="E8" s="17" t="inlineStr">
        <is>
          <t>&lt;100 microseconds</t>
        </is>
      </c>
    </row>
    <row r="9">
      <c r="A9" s="17" t="inlineStr">
        <is>
          <t>3+</t>
        </is>
      </c>
      <c r="B9" s="17" t="inlineStr">
        <is>
          <t>Client Systems</t>
        </is>
      </c>
      <c r="C9" s="17" t="inlineStr">
        <is>
          <t>Synchronized to Stratum 2 servers</t>
        </is>
      </c>
      <c r="D9" s="17" t="inlineStr">
        <is>
          <t>Servers, workstations, network devices</t>
        </is>
      </c>
      <c r="E9" s="17" t="inlineStr">
        <is>
          <t>&lt;1 millisecond</t>
        </is>
      </c>
    </row>
    <row r="10">
      <c r="A10" s="17" t="inlineStr">
        <is>
          <t>16</t>
        </is>
      </c>
      <c r="B10" s="17" t="inlineStr">
        <is>
          <t>Unsynchronized</t>
        </is>
      </c>
      <c r="C10" s="17" t="inlineStr">
        <is>
          <t>Not synchronized to any time source</t>
        </is>
      </c>
      <c r="D10" s="17" t="inlineStr">
        <is>
          <t>Misconfigured or failed systems</t>
        </is>
      </c>
      <c r="E10" s="17" t="inlineStr">
        <is>
          <t>N/A - FAILURE</t>
        </is>
      </c>
    </row>
    <row r="13">
      <c r="A13" s="18" t="inlineStr">
        <is>
          <t>Organisation's Time Synchronisation Architecture</t>
        </is>
      </c>
    </row>
    <row r="14">
      <c r="A14" s="12" t="inlineStr">
        <is>
          <t>(Complete this section based on Time Sources and Internal NTP Servers sheets)</t>
        </is>
      </c>
    </row>
    <row r="16">
      <c r="A16" s="13" t="inlineStr">
        <is>
          <t>Layer</t>
        </is>
      </c>
      <c r="B16" s="13" t="inlineStr">
        <is>
          <t>Stratum</t>
        </is>
      </c>
      <c r="C16" s="13" t="inlineStr">
        <is>
          <t>Systems</t>
        </is>
      </c>
      <c r="D16" s="13" t="inlineStr">
        <is>
          <t>Count</t>
        </is>
      </c>
      <c r="E16" s="13" t="inlineStr">
        <is>
          <t>Notes</t>
        </is>
      </c>
    </row>
    <row r="17">
      <c r="A17" s="17" t="inlineStr">
        <is>
          <t>External Sources</t>
        </is>
      </c>
      <c r="B17" s="17" t="inlineStr">
        <is>
          <t>0/1</t>
        </is>
      </c>
      <c r="C17" s="17" t="inlineStr">
        <is>
          <t>[List from Time Sources sheet]</t>
        </is>
      </c>
      <c r="D17" s="17">
        <f>COUNTA('Time Sources'!A5:A100)</f>
        <v/>
      </c>
      <c r="E17" s="17" t="inlineStr">
        <is>
          <t>Authoritative references</t>
        </is>
      </c>
    </row>
    <row r="18">
      <c r="A18" s="17" t="inlineStr">
        <is>
          <t>Internal NTP Servers</t>
        </is>
      </c>
      <c r="B18" s="17" t="inlineStr">
        <is>
          <t>2</t>
        </is>
      </c>
      <c r="C18" s="17" t="inlineStr">
        <is>
          <t>[List from Internal NTP Servers sheet]</t>
        </is>
      </c>
      <c r="D18" s="17">
        <f>COUNTA('Internal NTP Servers'!A5:A100)</f>
        <v/>
      </c>
      <c r="E18" s="17" t="inlineStr">
        <is>
          <t>Organisational infrastructure</t>
        </is>
      </c>
    </row>
    <row r="19">
      <c r="A19" s="17" t="inlineStr">
        <is>
          <t>Client Systems</t>
        </is>
      </c>
      <c r="B19" s="17" t="inlineStr">
        <is>
          <t>3+</t>
        </is>
      </c>
      <c r="C19" s="17" t="inlineStr">
        <is>
          <t>[From A.8.17 Assessment 2]</t>
        </is>
      </c>
      <c r="D19" s="17" t="inlineStr">
        <is>
          <t>[To be counted]</t>
        </is>
      </c>
      <c r="E19" s="17" t="inlineStr">
        <is>
          <t>All systems requiring sync</t>
        </is>
      </c>
    </row>
  </sheetData>
  <mergeCells count="4">
    <mergeCell ref="A2:E2"/>
    <mergeCell ref="A1:E1"/>
    <mergeCell ref="A13:E13"/>
    <mergeCell ref="A14:E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18" customWidth="1" min="3" max="3"/>
    <col width="40" customWidth="1" min="4" max="4"/>
    <col width="30" customWidth="1" min="5" max="5"/>
    <col width="15" customWidth="1" min="6" max="6"/>
    <col width="15" customWidth="1" min="7" max="7"/>
    <col width="18" customWidth="1" min="8" max="8"/>
  </cols>
  <sheetData>
    <row r="1" ht="35" customHeight="1">
      <c r="A1" s="11" t="inlineStr">
        <is>
          <t>EVIDENCE REGISTER</t>
        </is>
      </c>
    </row>
    <row r="2">
      <c r="A2" s="12" t="inlineStr">
        <is>
          <t>Assessment Evidence Tracking — Time Source Configuration</t>
        </is>
      </c>
    </row>
    <row r="4">
      <c r="A4" s="19" t="inlineStr">
        <is>
          <t>Evidence ID</t>
        </is>
      </c>
      <c r="B4" s="19" t="inlineStr">
        <is>
          <t>Assessment Area</t>
        </is>
      </c>
      <c r="C4" s="19" t="inlineStr">
        <is>
          <t>Evidence Type</t>
        </is>
      </c>
      <c r="D4" s="19" t="inlineStr">
        <is>
          <t>Description</t>
        </is>
      </c>
      <c r="E4" s="19" t="inlineStr">
        <is>
          <t>Location/Path</t>
        </is>
      </c>
      <c r="F4" s="19" t="inlineStr">
        <is>
          <t>Date Collected</t>
        </is>
      </c>
      <c r="G4" s="19" t="inlineStr">
        <is>
          <t>Collected By</t>
        </is>
      </c>
      <c r="H4" s="19" t="inlineStr">
        <is>
          <t>Verification Status</t>
        </is>
      </c>
    </row>
    <row r="5">
      <c r="A5" s="20" t="inlineStr">
        <is>
          <t>EV-001</t>
        </is>
      </c>
      <c r="B5" s="20" t="inlineStr">
        <is>
          <t>NTP Server Configuration Export</t>
        </is>
      </c>
      <c r="C5" s="20" t="inlineStr">
        <is>
          <t>Configuration File</t>
        </is>
      </c>
      <c r="D5" s="20" t="inlineStr">
        <is>
          <t>NTP server config showing pool.ntp.org sources</t>
        </is>
      </c>
      <c r="E5" s="20" t="inlineStr">
        <is>
          <t>/evidence/ntp/server-config-export-20250115.txt</t>
        </is>
      </c>
      <c r="F5" s="20" t="inlineStr">
        <is>
          <t>15.01.2025</t>
        </is>
      </c>
      <c r="G5" s="20" t="inlineStr">
        <is>
          <t>Infrastructure Team</t>
        </is>
      </c>
      <c r="H5" s="20" t="inlineStr">
        <is>
          <t>Verified</t>
        </is>
      </c>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sheetData>
  <mergeCells count="1">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errorTitle="Invalid Type" error="Select a valid evidence type" type="list">
      <formula1>"Configuration File,Screenshot,Report,Log Extract,Policy Document,Audit Record,Test Result,Other"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errorTitle="Invalid Status" error="Select a valid status" type="list">
      <formula1>"Verified,Pending Review,Insufficient,Not Submitted"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35" customWidth="1" min="1" max="1"/>
    <col width="25" customWidth="1" min="2" max="2"/>
    <col width="25" customWidth="1" min="3" max="3"/>
    <col width="25" customWidth="1" min="4" max="4"/>
    <col width="25" customWidth="1" min="5" max="5"/>
    <col width="12" customWidth="1" min="6" max="6"/>
    <col width="12" customWidth="1" min="7" max="7"/>
  </cols>
  <sheetData>
    <row r="1" ht="35" customHeight="1">
      <c r="A1" s="11" t="inlineStr">
        <is>
          <t>TIME SOURCES — SUMMARY DASHBOARD</t>
        </is>
      </c>
    </row>
    <row r="2">
      <c r="A2" s="21" t="inlineStr">
        <is>
          <t>Time Source Infrastructure Assessment — ISMS-IMP-A.8.17.1</t>
        </is>
      </c>
    </row>
    <row r="4">
      <c r="A4" s="22" t="inlineStr">
        <is>
          <t>TABLE 1 — COMPLIANCE SUMMARY</t>
        </is>
      </c>
    </row>
    <row r="5">
      <c r="A5" s="23" t="inlineStr">
        <is>
          <t>Assessment Area</t>
        </is>
      </c>
      <c r="B5" s="23" t="inlineStr">
        <is>
          <t>Total Items</t>
        </is>
      </c>
      <c r="C5" s="23" t="inlineStr">
        <is>
          <t>Compliant</t>
        </is>
      </c>
      <c r="D5" s="23" t="inlineStr">
        <is>
          <t>Partial</t>
        </is>
      </c>
      <c r="E5" s="23" t="inlineStr">
        <is>
          <t>Non-Compliant</t>
        </is>
      </c>
      <c r="F5" s="23" t="inlineStr">
        <is>
          <t>N/A</t>
        </is>
      </c>
      <c r="G5" s="23" t="inlineStr">
        <is>
          <t>Compliance %</t>
        </is>
      </c>
    </row>
    <row r="6">
      <c r="A6" s="24" t="inlineStr">
        <is>
          <t>Time Sources (External)</t>
        </is>
      </c>
      <c r="B6" s="25">
        <f>COUNTA('Time Sources'!A5:A100)</f>
        <v/>
      </c>
      <c r="C6" s="25">
        <f>COUNTIF('Time Sources'!I5:I100,"✅ Active")</f>
        <v/>
      </c>
      <c r="D6" s="25">
        <f>COUNTIF('Time Sources'!I5:I100,"⚠ Testing")</f>
        <v/>
      </c>
      <c r="E6" s="25">
        <f>COUNTIF('Time Sources'!I5:I100,"❌ Inactive")+COUNTIF('Time Sources'!I5:I100,"Decommissioned")</f>
        <v/>
      </c>
      <c r="F6" s="25" t="inlineStr">
        <is>
          <t>0</t>
        </is>
      </c>
      <c r="G6" s="25">
        <f>IF((B8-F8)=0,0,C8/(B8-F8))</f>
        <v/>
      </c>
    </row>
    <row r="7">
      <c r="A7" s="24" t="inlineStr">
        <is>
          <t>Internal NTP Servers</t>
        </is>
      </c>
      <c r="B7" s="25">
        <f>COUNTA('Internal NTP Servers'!A5:A100)</f>
        <v/>
      </c>
      <c r="C7" s="25">
        <f>COUNTIF('Internal NTP Servers'!J5:J100,"✅ Active")</f>
        <v/>
      </c>
      <c r="D7" s="25">
        <f>COUNTIF('Internal NTP Servers'!J5:J100,"Maintenance")</f>
        <v/>
      </c>
      <c r="E7" s="25">
        <f>COUNTIF('Internal NTP Servers'!J5:J100,"❌ Inactive")+COUNTIF('Internal NTP Servers'!J5:J100,"⚠ Failed")</f>
        <v/>
      </c>
      <c r="F7" s="25" t="inlineStr">
        <is>
          <t>0</t>
        </is>
      </c>
      <c r="G7" s="25">
        <f>IF((B8-F8)=0,0,C8/(B8-F8))</f>
        <v/>
      </c>
    </row>
    <row r="8">
      <c r="A8" s="26" t="inlineStr">
        <is>
          <t>TOTAL</t>
        </is>
      </c>
      <c r="B8" s="23">
        <f>B6+B7</f>
        <v/>
      </c>
      <c r="C8" s="23">
        <f>C6+C7</f>
        <v/>
      </c>
      <c r="D8" s="23">
        <f>D6+D7</f>
        <v/>
      </c>
      <c r="E8" s="23">
        <f>E6+E7</f>
        <v/>
      </c>
      <c r="F8" s="23">
        <f>F6+F7</f>
        <v/>
      </c>
      <c r="G8" s="27">
        <f>IF((B8-F8)=0,0,C8/(B8-F8))</f>
        <v/>
      </c>
    </row>
    <row r="10">
      <c r="A10" s="22" t="inlineStr">
        <is>
          <t>TABLE 2 — KPI &amp; METRICS</t>
        </is>
      </c>
    </row>
    <row r="11">
      <c r="A11" s="23" t="inlineStr">
        <is>
          <t>KPI</t>
        </is>
      </c>
      <c r="B11" s="23" t="inlineStr">
        <is>
          <t>Current Value</t>
        </is>
      </c>
      <c r="C11" s="23" t="inlineStr">
        <is>
          <t>Target</t>
        </is>
      </c>
      <c r="D11" s="23" t="inlineStr">
        <is>
          <t>Status</t>
        </is>
      </c>
      <c r="E11" s="23" t="inlineStr">
        <is>
          <t>Last Updated</t>
        </is>
      </c>
      <c r="F11" s="23" t="inlineStr">
        <is>
          <t>Owner</t>
        </is>
      </c>
      <c r="G11" s="23" t="inlineStr">
        <is>
          <t>Notes</t>
        </is>
      </c>
    </row>
    <row r="12">
      <c r="A12" s="28" t="inlineStr">
        <is>
          <t>External Time Sources (Active)</t>
        </is>
      </c>
      <c r="B12" s="6" t="n"/>
      <c r="C12" s="29" t="inlineStr">
        <is>
          <t>≥ 2</t>
        </is>
      </c>
      <c r="D12" s="6" t="n"/>
      <c r="E12" s="6" t="n"/>
      <c r="F12" s="6" t="n"/>
      <c r="G12" s="6" t="n"/>
    </row>
    <row r="13">
      <c r="A13" s="28" t="inlineStr">
        <is>
          <t>Internal NTP Servers (Active)</t>
        </is>
      </c>
      <c r="B13" s="6" t="n"/>
      <c r="C13" s="29" t="inlineStr">
        <is>
          <t>≥ 2</t>
        </is>
      </c>
      <c r="D13" s="6" t="n"/>
      <c r="E13" s="6" t="n"/>
      <c r="F13" s="6" t="n"/>
      <c r="G13" s="6" t="n"/>
    </row>
    <row r="14">
      <c r="A14" s="28" t="inlineStr">
        <is>
          <t>External Source Availability Rate</t>
        </is>
      </c>
      <c r="B14" s="6" t="n"/>
      <c r="C14" s="29" t="inlineStr">
        <is>
          <t>100%</t>
        </is>
      </c>
      <c r="D14" s="6" t="n"/>
      <c r="E14" s="6" t="n"/>
      <c r="F14" s="6" t="n"/>
      <c r="G14" s="6" t="n"/>
    </row>
    <row r="15">
      <c r="A15" s="28" t="inlineStr">
        <is>
          <t>Internal Server Availability Rate</t>
        </is>
      </c>
      <c r="B15" s="6" t="n"/>
      <c r="C15" s="29" t="inlineStr">
        <is>
          <t>≥ 95%</t>
        </is>
      </c>
      <c r="D15" s="6" t="n"/>
      <c r="E15" s="6" t="n"/>
      <c r="F15" s="6" t="n"/>
      <c r="G15" s="6" t="n"/>
    </row>
    <row r="16">
      <c r="A16" s="28" t="inlineStr">
        <is>
          <t>NTP Monitoring Coverage (with Alerting)</t>
        </is>
      </c>
      <c r="B16" s="6" t="n"/>
      <c r="C16" s="29" t="inlineStr">
        <is>
          <t>100%</t>
        </is>
      </c>
      <c r="D16" s="6" t="n"/>
      <c r="E16" s="6" t="n"/>
      <c r="F16" s="6" t="n"/>
      <c r="G16" s="6" t="n"/>
    </row>
    <row r="17">
      <c r="A17" s="28" t="inlineStr">
        <is>
          <t>Stratum Level Compliance (≤ Stratum 2 external)</t>
        </is>
      </c>
      <c r="B17" s="6" t="n"/>
      <c r="C17" s="29" t="inlineStr">
        <is>
          <t>100%</t>
        </is>
      </c>
      <c r="D17" s="6" t="n"/>
      <c r="E17" s="6" t="n"/>
      <c r="F17" s="6" t="n"/>
      <c r="G17" s="6" t="n"/>
    </row>
    <row r="18">
      <c r="A18" s="28" t="inlineStr">
        <is>
          <t>Geographic / DC Diversity</t>
        </is>
      </c>
      <c r="B18" s="6" t="n"/>
      <c r="C18" s="29" t="inlineStr">
        <is>
          <t>≥ 2 sites</t>
        </is>
      </c>
      <c r="D18" s="6" t="n"/>
      <c r="E18" s="6" t="n"/>
      <c r="F18" s="6" t="n"/>
      <c r="G18" s="6" t="n"/>
    </row>
    <row r="19">
      <c r="A19" s="28" t="inlineStr">
        <is>
          <t>Infrastructure Redundancy Groups</t>
        </is>
      </c>
      <c r="B19" s="6" t="n"/>
      <c r="C19" s="29" t="inlineStr">
        <is>
          <t>≥ 2 groups</t>
        </is>
      </c>
      <c r="D19" s="6" t="n"/>
      <c r="E19" s="6" t="n"/>
      <c r="F19" s="6" t="n"/>
      <c r="G19" s="6" t="n"/>
    </row>
    <row r="21">
      <c r="A21" s="30" t="inlineStr">
        <is>
          <t>TABLE 3 — CRITICAL FINDINGS: Non-Active NTP Servers</t>
        </is>
      </c>
    </row>
    <row r="22">
      <c r="A22" s="23" t="inlineStr">
        <is>
          <t>Assessment Area</t>
        </is>
      </c>
      <c r="B22" s="23" t="inlineStr">
        <is>
          <t>Server Name</t>
        </is>
      </c>
      <c r="C22" s="23" t="inlineStr">
        <is>
          <t>Status / Issue</t>
        </is>
      </c>
      <c r="D22" s="23" t="inlineStr">
        <is>
          <t>Monitoring</t>
        </is>
      </c>
      <c r="E22" s="23" t="inlineStr">
        <is>
          <t>Notes</t>
        </is>
      </c>
      <c r="F22" s="23" t="inlineStr"/>
      <c r="G22" s="23" t="inlineStr"/>
    </row>
    <row r="23">
      <c r="A23" s="31" t="inlineStr">
        <is>
          <t>Internal NTP Servers</t>
        </is>
      </c>
      <c r="B23" s="16">
        <f>IFERROR(INDEX('Internal NTP Servers'!A$5:A$100,SMALL(IF('Internal NTP Servers'!J$5:J$100&lt;&gt;"✅ Active",ROW('Internal NTP Servers'!J$5:J$100)-ROW('Internal NTP Servers'!J$5)+1),1)),"")</f>
        <v/>
      </c>
      <c r="C23" s="16">
        <f>IFERROR(INDEX('Internal NTP Servers'!J$5:J$100,SMALL(IF('Internal NTP Servers'!J$5:J$100&lt;&gt;"✅ Active",ROW('Internal NTP Servers'!J$5:J$100)-ROW('Internal NTP Servers'!J$5)+1),1)),"")</f>
        <v/>
      </c>
      <c r="D23" s="16">
        <f>IFERROR(INDEX('Internal NTP Servers'!H$5:H$100,SMALL(IF('Internal NTP Servers'!J$5:J$100&lt;&gt;"✅ Active",ROW('Internal NTP Servers'!J$5:J$100)-ROW('Internal NTP Servers'!J$5)+1),1)),"")</f>
        <v/>
      </c>
      <c r="E23" s="16">
        <f>IFERROR(INDEX('Internal NTP Servers'!K$5:K$100,SMALL(IF('Internal NTP Servers'!J$5:J$100&lt;&gt;"✅ Active",ROW('Internal NTP Servers'!J$5:J$100)-ROW('Internal NTP Servers'!J$5)+1),1)),"")</f>
        <v/>
      </c>
      <c r="F23" s="32" t="n"/>
      <c r="G23" s="32" t="n"/>
    </row>
    <row r="24">
      <c r="A24" s="31" t="inlineStr">
        <is>
          <t>Internal NTP Servers</t>
        </is>
      </c>
      <c r="B24" s="16">
        <f>IFERROR(INDEX('Internal NTP Servers'!A$5:A$100,SMALL(IF('Internal NTP Servers'!J$5:J$100&lt;&gt;"✅ Active",ROW('Internal NTP Servers'!J$5:J$100)-ROW('Internal NTP Servers'!J$5)+1),2)),"")</f>
        <v/>
      </c>
      <c r="C24" s="16">
        <f>IFERROR(INDEX('Internal NTP Servers'!J$5:J$100,SMALL(IF('Internal NTP Servers'!J$5:J$100&lt;&gt;"✅ Active",ROW('Internal NTP Servers'!J$5:J$100)-ROW('Internal NTP Servers'!J$5)+1),2)),"")</f>
        <v/>
      </c>
      <c r="D24" s="16">
        <f>IFERROR(INDEX('Internal NTP Servers'!H$5:H$100,SMALL(IF('Internal NTP Servers'!J$5:J$100&lt;&gt;"✅ Active",ROW('Internal NTP Servers'!J$5:J$100)-ROW('Internal NTP Servers'!J$5)+1),2)),"")</f>
        <v/>
      </c>
      <c r="E24" s="16">
        <f>IFERROR(INDEX('Internal NTP Servers'!K$5:K$100,SMALL(IF('Internal NTP Servers'!J$5:J$100&lt;&gt;"✅ Active",ROW('Internal NTP Servers'!J$5:J$100)-ROW('Internal NTP Servers'!J$5)+1),2)),"")</f>
        <v/>
      </c>
      <c r="F24" s="32" t="n"/>
      <c r="G24" s="32" t="n"/>
    </row>
    <row r="25">
      <c r="A25" s="31" t="inlineStr">
        <is>
          <t>Internal NTP Servers</t>
        </is>
      </c>
      <c r="B25" s="16">
        <f>IFERROR(INDEX('Internal NTP Servers'!A$5:A$100,SMALL(IF('Internal NTP Servers'!J$5:J$100&lt;&gt;"✅ Active",ROW('Internal NTP Servers'!J$5:J$100)-ROW('Internal NTP Servers'!J$5)+1),3)),"")</f>
        <v/>
      </c>
      <c r="C25" s="16">
        <f>IFERROR(INDEX('Internal NTP Servers'!J$5:J$100,SMALL(IF('Internal NTP Servers'!J$5:J$100&lt;&gt;"✅ Active",ROW('Internal NTP Servers'!J$5:J$100)-ROW('Internal NTP Servers'!J$5)+1),3)),"")</f>
        <v/>
      </c>
      <c r="D25" s="16">
        <f>IFERROR(INDEX('Internal NTP Servers'!H$5:H$100,SMALL(IF('Internal NTP Servers'!J$5:J$100&lt;&gt;"✅ Active",ROW('Internal NTP Servers'!J$5:J$100)-ROW('Internal NTP Servers'!J$5)+1),3)),"")</f>
        <v/>
      </c>
      <c r="E25" s="16">
        <f>IFERROR(INDEX('Internal NTP Servers'!K$5:K$100,SMALL(IF('Internal NTP Servers'!J$5:J$100&lt;&gt;"✅ Active",ROW('Internal NTP Servers'!J$5:J$100)-ROW('Internal NTP Servers'!J$5)+1),3)),"")</f>
        <v/>
      </c>
      <c r="F25" s="32" t="n"/>
      <c r="G25" s="32" t="n"/>
    </row>
    <row r="26">
      <c r="A26" s="31" t="inlineStr">
        <is>
          <t>Internal NTP Servers</t>
        </is>
      </c>
      <c r="B26" s="16">
        <f>IFERROR(INDEX('Internal NTP Servers'!A$5:A$100,SMALL(IF('Internal NTP Servers'!J$5:J$100&lt;&gt;"✅ Active",ROW('Internal NTP Servers'!J$5:J$100)-ROW('Internal NTP Servers'!J$5)+1),4)),"")</f>
        <v/>
      </c>
      <c r="C26" s="16">
        <f>IFERROR(INDEX('Internal NTP Servers'!J$5:J$100,SMALL(IF('Internal NTP Servers'!J$5:J$100&lt;&gt;"✅ Active",ROW('Internal NTP Servers'!J$5:J$100)-ROW('Internal NTP Servers'!J$5)+1),4)),"")</f>
        <v/>
      </c>
      <c r="D26" s="16">
        <f>IFERROR(INDEX('Internal NTP Servers'!H$5:H$100,SMALL(IF('Internal NTP Servers'!J$5:J$100&lt;&gt;"✅ Active",ROW('Internal NTP Servers'!J$5:J$100)-ROW('Internal NTP Servers'!J$5)+1),4)),"")</f>
        <v/>
      </c>
      <c r="E26" s="16">
        <f>IFERROR(INDEX('Internal NTP Servers'!K$5:K$100,SMALL(IF('Internal NTP Servers'!J$5:J$100&lt;&gt;"✅ Active",ROW('Internal NTP Servers'!J$5:J$100)-ROW('Internal NTP Servers'!J$5)+1),4)),"")</f>
        <v/>
      </c>
      <c r="F26" s="32" t="n"/>
      <c r="G26" s="32" t="n"/>
    </row>
    <row r="27">
      <c r="A27" s="31" t="inlineStr">
        <is>
          <t>Internal NTP Servers</t>
        </is>
      </c>
      <c r="B27" s="16">
        <f>IFERROR(INDEX('Internal NTP Servers'!A$5:A$100,SMALL(IF('Internal NTP Servers'!J$5:J$100&lt;&gt;"✅ Active",ROW('Internal NTP Servers'!J$5:J$100)-ROW('Internal NTP Servers'!J$5)+1),5)),"")</f>
        <v/>
      </c>
      <c r="C27" s="16">
        <f>IFERROR(INDEX('Internal NTP Servers'!J$5:J$100,SMALL(IF('Internal NTP Servers'!J$5:J$100&lt;&gt;"✅ Active",ROW('Internal NTP Servers'!J$5:J$100)-ROW('Internal NTP Servers'!J$5)+1),5)),"")</f>
        <v/>
      </c>
      <c r="D27" s="16">
        <f>IFERROR(INDEX('Internal NTP Servers'!H$5:H$100,SMALL(IF('Internal NTP Servers'!J$5:J$100&lt;&gt;"✅ Active",ROW('Internal NTP Servers'!J$5:J$100)-ROW('Internal NTP Servers'!J$5)+1),5)),"")</f>
        <v/>
      </c>
      <c r="E27" s="16">
        <f>IFERROR(INDEX('Internal NTP Servers'!K$5:K$100,SMALL(IF('Internal NTP Servers'!J$5:J$100&lt;&gt;"✅ Active",ROW('Internal NTP Servers'!J$5:J$100)-ROW('Internal NTP Servers'!J$5)+1),5)),"")</f>
        <v/>
      </c>
      <c r="F27" s="32" t="n"/>
      <c r="G27" s="32" t="n"/>
    </row>
    <row r="28">
      <c r="A28" s="31" t="inlineStr">
        <is>
          <t>Internal NTP Servers</t>
        </is>
      </c>
      <c r="B28" s="16">
        <f>IFERROR(INDEX('Internal NTP Servers'!A$5:A$100,SMALL(IF('Internal NTP Servers'!J$5:J$100&lt;&gt;"✅ Active",ROW('Internal NTP Servers'!J$5:J$100)-ROW('Internal NTP Servers'!J$5)+1),6)),"")</f>
        <v/>
      </c>
      <c r="C28" s="16">
        <f>IFERROR(INDEX('Internal NTP Servers'!J$5:J$100,SMALL(IF('Internal NTP Servers'!J$5:J$100&lt;&gt;"✅ Active",ROW('Internal NTP Servers'!J$5:J$100)-ROW('Internal NTP Servers'!J$5)+1),6)),"")</f>
        <v/>
      </c>
      <c r="D28" s="16">
        <f>IFERROR(INDEX('Internal NTP Servers'!H$5:H$100,SMALL(IF('Internal NTP Servers'!J$5:J$100&lt;&gt;"✅ Active",ROW('Internal NTP Servers'!J$5:J$100)-ROW('Internal NTP Servers'!J$5)+1),6)),"")</f>
        <v/>
      </c>
      <c r="E28" s="16">
        <f>IFERROR(INDEX('Internal NTP Servers'!K$5:K$100,SMALL(IF('Internal NTP Servers'!J$5:J$100&lt;&gt;"✅ Active",ROW('Internal NTP Servers'!J$5:J$100)-ROW('Internal NTP Servers'!J$5)+1),6)),"")</f>
        <v/>
      </c>
      <c r="F28" s="32" t="n"/>
      <c r="G28" s="32" t="n"/>
    </row>
    <row r="29">
      <c r="A29" s="31" t="inlineStr">
        <is>
          <t>Internal NTP Servers</t>
        </is>
      </c>
      <c r="B29" s="16">
        <f>IFERROR(INDEX('Internal NTP Servers'!A$5:A$100,SMALL(IF('Internal NTP Servers'!J$5:J$100&lt;&gt;"✅ Active",ROW('Internal NTP Servers'!J$5:J$100)-ROW('Internal NTP Servers'!J$5)+1),7)),"")</f>
        <v/>
      </c>
      <c r="C29" s="16">
        <f>IFERROR(INDEX('Internal NTP Servers'!J$5:J$100,SMALL(IF('Internal NTP Servers'!J$5:J$100&lt;&gt;"✅ Active",ROW('Internal NTP Servers'!J$5:J$100)-ROW('Internal NTP Servers'!J$5)+1),7)),"")</f>
        <v/>
      </c>
      <c r="D29" s="16">
        <f>IFERROR(INDEX('Internal NTP Servers'!H$5:H$100,SMALL(IF('Internal NTP Servers'!J$5:J$100&lt;&gt;"✅ Active",ROW('Internal NTP Servers'!J$5:J$100)-ROW('Internal NTP Servers'!J$5)+1),7)),"")</f>
        <v/>
      </c>
      <c r="E29" s="16">
        <f>IFERROR(INDEX('Internal NTP Servers'!K$5:K$100,SMALL(IF('Internal NTP Servers'!J$5:J$100&lt;&gt;"✅ Active",ROW('Internal NTP Servers'!J$5:J$100)-ROW('Internal NTP Servers'!J$5)+1),7)),"")</f>
        <v/>
      </c>
      <c r="F29" s="32" t="n"/>
      <c r="G29" s="32" t="n"/>
    </row>
    <row r="30">
      <c r="A30" s="31" t="inlineStr">
        <is>
          <t>Internal NTP Servers</t>
        </is>
      </c>
      <c r="B30" s="16">
        <f>IFERROR(INDEX('Internal NTP Servers'!A$5:A$100,SMALL(IF('Internal NTP Servers'!J$5:J$100&lt;&gt;"✅ Active",ROW('Internal NTP Servers'!J$5:J$100)-ROW('Internal NTP Servers'!J$5)+1),8)),"")</f>
        <v/>
      </c>
      <c r="C30" s="16">
        <f>IFERROR(INDEX('Internal NTP Servers'!J$5:J$100,SMALL(IF('Internal NTP Servers'!J$5:J$100&lt;&gt;"✅ Active",ROW('Internal NTP Servers'!J$5:J$100)-ROW('Internal NTP Servers'!J$5)+1),8)),"")</f>
        <v/>
      </c>
      <c r="D30" s="16">
        <f>IFERROR(INDEX('Internal NTP Servers'!H$5:H$100,SMALL(IF('Internal NTP Servers'!J$5:J$100&lt;&gt;"✅ Active",ROW('Internal NTP Servers'!J$5:J$100)-ROW('Internal NTP Servers'!J$5)+1),8)),"")</f>
        <v/>
      </c>
      <c r="E30" s="16">
        <f>IFERROR(INDEX('Internal NTP Servers'!K$5:K$100,SMALL(IF('Internal NTP Servers'!J$5:J$100&lt;&gt;"✅ Active",ROW('Internal NTP Servers'!J$5:J$100)-ROW('Internal NTP Servers'!J$5)+1),8)),"")</f>
        <v/>
      </c>
      <c r="F30" s="32" t="n"/>
      <c r="G30" s="32" t="n"/>
    </row>
    <row r="31">
      <c r="A31" s="31" t="inlineStr">
        <is>
          <t>Internal NTP Servers</t>
        </is>
      </c>
      <c r="B31" s="16">
        <f>IFERROR(INDEX('Internal NTP Servers'!A$5:A$100,SMALL(IF('Internal NTP Servers'!J$5:J$100&lt;&gt;"✅ Active",ROW('Internal NTP Servers'!J$5:J$100)-ROW('Internal NTP Servers'!J$5)+1),9)),"")</f>
        <v/>
      </c>
      <c r="C31" s="16">
        <f>IFERROR(INDEX('Internal NTP Servers'!J$5:J$100,SMALL(IF('Internal NTP Servers'!J$5:J$100&lt;&gt;"✅ Active",ROW('Internal NTP Servers'!J$5:J$100)-ROW('Internal NTP Servers'!J$5)+1),9)),"")</f>
        <v/>
      </c>
      <c r="D31" s="16">
        <f>IFERROR(INDEX('Internal NTP Servers'!H$5:H$100,SMALL(IF('Internal NTP Servers'!J$5:J$100&lt;&gt;"✅ Active",ROW('Internal NTP Servers'!J$5:J$100)-ROW('Internal NTP Servers'!J$5)+1),9)),"")</f>
        <v/>
      </c>
      <c r="E31" s="16">
        <f>IFERROR(INDEX('Internal NTP Servers'!K$5:K$100,SMALL(IF('Internal NTP Servers'!J$5:J$100&lt;&gt;"✅ Active",ROW('Internal NTP Servers'!J$5:J$100)-ROW('Internal NTP Servers'!J$5)+1),9)),"")</f>
        <v/>
      </c>
      <c r="F31" s="32" t="n"/>
      <c r="G31" s="32" t="n"/>
    </row>
    <row r="32">
      <c r="A32" s="31" t="inlineStr">
        <is>
          <t>Internal NTP Servers</t>
        </is>
      </c>
      <c r="B32" s="16">
        <f>IFERROR(INDEX('Internal NTP Servers'!A$5:A$100,SMALL(IF('Internal NTP Servers'!J$5:J$100&lt;&gt;"✅ Active",ROW('Internal NTP Servers'!J$5:J$100)-ROW('Internal NTP Servers'!J$5)+1),10)),"")</f>
        <v/>
      </c>
      <c r="C32" s="16">
        <f>IFERROR(INDEX('Internal NTP Servers'!J$5:J$100,SMALL(IF('Internal NTP Servers'!J$5:J$100&lt;&gt;"✅ Active",ROW('Internal NTP Servers'!J$5:J$100)-ROW('Internal NTP Servers'!J$5)+1),10)),"")</f>
        <v/>
      </c>
      <c r="D32" s="16">
        <f>IFERROR(INDEX('Internal NTP Servers'!H$5:H$100,SMALL(IF('Internal NTP Servers'!J$5:J$100&lt;&gt;"✅ Active",ROW('Internal NTP Servers'!J$5:J$100)-ROW('Internal NTP Servers'!J$5)+1),10)),"")</f>
        <v/>
      </c>
      <c r="E32" s="16">
        <f>IFERROR(INDEX('Internal NTP Servers'!K$5:K$100,SMALL(IF('Internal NTP Servers'!J$5:J$100&lt;&gt;"✅ Active",ROW('Internal NTP Servers'!J$5:J$100)-ROW('Internal NTP Servers'!J$5)+1),10)),"")</f>
        <v/>
      </c>
      <c r="F32" s="32" t="n"/>
      <c r="G32" s="32" t="n"/>
    </row>
    <row r="33">
      <c r="A33" s="26" t="inlineStr">
        <is>
          <t>TOTAL Non-Active NTP Servers</t>
        </is>
      </c>
      <c r="B33" s="23">
        <f>SUMPRODUCT(('Internal NTP Servers'!J5:J100&lt;&gt;"✅ Active")*('Internal NTP Servers'!J5:J100&lt;&gt;""))</f>
        <v/>
      </c>
      <c r="C33" s="33" t="n"/>
      <c r="D33" s="33" t="n"/>
      <c r="E33" s="33" t="n"/>
      <c r="F33" s="33" t="n"/>
      <c r="G33" s="33" t="n"/>
    </row>
  </sheetData>
  <mergeCells count="4">
    <mergeCell ref="A21:G21"/>
    <mergeCell ref="A1:G1"/>
    <mergeCell ref="A10:G10"/>
    <mergeCell ref="A4:G4"/>
  </mergeCells>
  <dataValidations count="1">
    <dataValidation sqref="D12 D13 D14 D15 D16 D17 D18 D19" showDropDown="0" showInputMessage="0" showErrorMessage="0" allowBlank="1" type="list">
      <formula1>"✅ On Target,⚠ At Risk,❌ Below Target"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4" t="inlineStr">
        <is>
          <t>ASSESSMENT APPROVAL AND SIGN-OFF</t>
        </is>
      </c>
    </row>
    <row r="3">
      <c r="A3" s="35" t="inlineStr">
        <is>
          <t>ASSESSMENT SUMMARY</t>
        </is>
      </c>
    </row>
    <row r="4">
      <c r="A4" s="36" t="inlineStr">
        <is>
          <t>Document:</t>
        </is>
      </c>
      <c r="B4" s="6" t="inlineStr">
        <is>
          <t>ISMS-IMP-A.8.17.1 - Time Sources</t>
        </is>
      </c>
    </row>
    <row r="5">
      <c r="A5" s="36" t="inlineStr">
        <is>
          <t>Assessment Period:</t>
        </is>
      </c>
      <c r="B5" s="32" t="inlineStr"/>
    </row>
    <row r="6">
      <c r="A6" s="36" t="inlineStr">
        <is>
          <t>Overall Compliance:</t>
        </is>
      </c>
      <c r="B6" s="37">
        <f>IFERROR(AVERAGE('Summary Dashboard'!G6:G7),"")</f>
        <v/>
      </c>
    </row>
    <row r="7">
      <c r="A7" s="36" t="inlineStr">
        <is>
          <t>Assessment Status:</t>
        </is>
      </c>
      <c r="B7" s="32" t="inlineStr"/>
    </row>
    <row r="10">
      <c r="A10" s="35" t="inlineStr">
        <is>
          <t>COMPLETED BY (ASSESSOR)</t>
        </is>
      </c>
    </row>
    <row r="11">
      <c r="A11" s="36" t="inlineStr">
        <is>
          <t>Name:</t>
        </is>
      </c>
      <c r="B11" s="32" t="n"/>
    </row>
    <row r="12">
      <c r="A12" s="36" t="inlineStr">
        <is>
          <t>Title:</t>
        </is>
      </c>
      <c r="B12" s="32" t="n"/>
    </row>
    <row r="13">
      <c r="A13" s="36" t="inlineStr">
        <is>
          <t>Date:</t>
        </is>
      </c>
      <c r="B13" s="32" t="n"/>
    </row>
    <row r="14">
      <c r="A14" s="36" t="inlineStr">
        <is>
          <t>Signature:</t>
        </is>
      </c>
      <c r="B14" s="32" t="n"/>
    </row>
    <row r="15">
      <c r="A15" s="36" t="inlineStr">
        <is>
          <t>Comments:</t>
        </is>
      </c>
      <c r="B15" s="32" t="n"/>
    </row>
    <row r="17">
      <c r="A17" s="35" t="inlineStr">
        <is>
          <t>REVIEWED BY (INFORMATION SECURITY OFFICER)</t>
        </is>
      </c>
    </row>
    <row r="18">
      <c r="A18" s="36" t="inlineStr">
        <is>
          <t>Name:</t>
        </is>
      </c>
      <c r="B18" s="32" t="n"/>
    </row>
    <row r="19">
      <c r="A19" s="36" t="inlineStr">
        <is>
          <t>Title:</t>
        </is>
      </c>
      <c r="B19" s="32" t="n"/>
    </row>
    <row r="20">
      <c r="A20" s="36" t="inlineStr">
        <is>
          <t>Date:</t>
        </is>
      </c>
      <c r="B20" s="32" t="n"/>
    </row>
    <row r="21">
      <c r="A21" s="36" t="inlineStr">
        <is>
          <t>Signature:</t>
        </is>
      </c>
      <c r="B21" s="32" t="n"/>
    </row>
    <row r="22">
      <c r="A22" s="36" t="inlineStr">
        <is>
          <t>Comments:</t>
        </is>
      </c>
      <c r="B22" s="32" t="n"/>
    </row>
    <row r="24">
      <c r="A24" s="38" t="inlineStr">
        <is>
          <t>APPROVED BY (CISO)</t>
        </is>
      </c>
    </row>
    <row r="25">
      <c r="A25" s="36" t="inlineStr">
        <is>
          <t>Name:</t>
        </is>
      </c>
      <c r="B25" s="32" t="n"/>
    </row>
    <row r="26">
      <c r="A26" s="36" t="inlineStr">
        <is>
          <t>Title:</t>
        </is>
      </c>
      <c r="B26" s="32" t="n"/>
    </row>
    <row r="27">
      <c r="A27" s="36" t="inlineStr">
        <is>
          <t>Date:</t>
        </is>
      </c>
      <c r="B27" s="32" t="n"/>
    </row>
    <row r="28">
      <c r="A28" s="36" t="inlineStr">
        <is>
          <t>Signature:</t>
        </is>
      </c>
      <c r="B28" s="32" t="n"/>
    </row>
    <row r="29">
      <c r="A29" s="36" t="inlineStr">
        <is>
          <t>Comments:</t>
        </is>
      </c>
      <c r="B29" s="32" t="n"/>
    </row>
    <row r="31">
      <c r="A31" s="36" t="inlineStr">
        <is>
          <t>FINAL DECISION:</t>
        </is>
      </c>
      <c r="B31" s="32" t="n"/>
    </row>
    <row r="34">
      <c r="A34" s="35" t="inlineStr">
        <is>
          <t>NEXT REVIEW DETAILS</t>
        </is>
      </c>
    </row>
    <row r="35">
      <c r="A35" s="36" t="inlineStr">
        <is>
          <t>Next Review Date:</t>
        </is>
      </c>
      <c r="B35" s="32" t="n"/>
    </row>
    <row r="36">
      <c r="A36" s="36" t="inlineStr">
        <is>
          <t>Review Responsible:</t>
        </is>
      </c>
      <c r="B36" s="32" t="n"/>
    </row>
    <row r="37">
      <c r="A37" s="36" t="inlineStr">
        <is>
          <t>Special Considerations:</t>
        </is>
      </c>
      <c r="B37" s="32"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ISMS-IMP-A.8.17.1 — Time Sources</dc:title>
  <dc:description xmlns:dc="http://purl.org/dc/elements/1.1/">ISMS Implementation Workbook — ISMS-IMP-A.8.17.1</dc:description>
  <dc:subject xmlns:dc="http://purl.org/dc/elements/1.1/">ISO/IEC 27001:2022 — Control A.8.17: Clock Synchronisation</dc:subject>
  <dcterms:created xmlns:dcterms="http://purl.org/dc/terms/" xmlns:xsi="http://www.w3.org/2001/XMLSchema-instance" xsi:type="dcterms:W3CDTF">2026-03-01T16:58:07Z</dcterms:created>
  <dcterms:modified xmlns:dcterms="http://purl.org/dc/terms/" xmlns:xsi="http://www.w3.org/2001/XMLSchema-instance" xsi:type="dcterms:W3CDTF">2026-03-01T16:58:07Z</dcterms:modified>
</cp:coreProperties>
</file>