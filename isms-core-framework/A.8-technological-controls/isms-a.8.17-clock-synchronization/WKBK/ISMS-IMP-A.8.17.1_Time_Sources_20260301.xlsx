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ime Sources" sheetId="2" state="visible" r:id="rId2"/>
    <sheet xmlns:r="http://schemas.openxmlformats.org/officeDocument/2006/relationships" name="Internal NTP Servers" sheetId="3" state="visible" r:id="rId3"/>
    <sheet xmlns:r="http://schemas.openxmlformats.org/officeDocument/2006/relationships" name="Hierarchy"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font>
    <font>
      <name val="Calibri"/>
      <b val="1"/>
      <color rgb="00003366"/>
      <sz val="12"/>
    </font>
    <font>
      <name val="Calibri"/>
      <b val="1"/>
      <color rgb="00FFFFFF"/>
    </font>
    <font>
      <name val="Calibri"/>
      <color rgb="00808080"/>
      <sz val="10"/>
    </font>
    <font>
      <name val="Calibri"/>
      <i val="1"/>
      <color rgb="00003366"/>
      <sz val="10"/>
    </font>
    <font>
      <name val="Calibri"/>
      <b val="1"/>
      <color rgb="00FFFFFF"/>
      <sz val="11"/>
    </font>
    <font>
      <name val="Calibri"/>
      <color rgb="00000000"/>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1" fillId="8" borderId="1" applyAlignment="1" pivotButton="0" quotePrefix="0" xfId="0">
      <alignment horizontal="center" vertical="center" wrapText="1"/>
    </xf>
    <xf numFmtId="0" fontId="6" fillId="9" borderId="1" applyAlignment="1" pivotButton="0" quotePrefix="0" xfId="0">
      <alignment horizontal="left" vertical="center"/>
    </xf>
    <xf numFmtId="0" fontId="6" fillId="9" borderId="1" applyAlignment="1" pivotButton="0" quotePrefix="0" xfId="0">
      <alignment horizontal="center" vertical="center"/>
    </xf>
    <xf numFmtId="0" fontId="7" fillId="10" borderId="1" pivotButton="0" quotePrefix="0" xfId="0"/>
    <xf numFmtId="0" fontId="7" fillId="0" borderId="1" applyAlignment="1" pivotButton="0" quotePrefix="0" xfId="0">
      <alignment horizontal="left" vertical="center" wrapText="1"/>
    </xf>
    <xf numFmtId="0" fontId="8" fillId="0" borderId="0" pivotButton="0" quotePrefix="0" xfId="0"/>
    <xf numFmtId="0" fontId="9" fillId="8" borderId="0" applyAlignment="1" pivotButton="0" quotePrefix="0" xfId="0">
      <alignment horizontal="center" wrapText="1"/>
    </xf>
    <xf numFmtId="0" fontId="10" fillId="9"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0" applyAlignment="1" pivotButton="0" quotePrefix="0" xfId="0">
      <alignment horizontal="left" vertical="center"/>
    </xf>
    <xf numFmtId="0" fontId="3" fillId="11" borderId="1" applyAlignment="1" pivotButton="0" quotePrefix="0" xfId="0">
      <alignment horizontal="center"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0" fontId="3" fillId="11" borderId="1" applyAlignment="1" pivotButton="0" quotePrefix="0" xfId="0">
      <alignment horizontal="left" vertical="center"/>
    </xf>
    <xf numFmtId="164" fontId="3" fillId="11"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0" fontId="12" fillId="12" borderId="0" applyAlignment="1" pivotButton="0" quotePrefix="0" xfId="0">
      <alignment horizontal="left" vertical="center"/>
    </xf>
    <xf numFmtId="0" fontId="7" fillId="10" borderId="1" applyAlignment="1" pivotButton="0" quotePrefix="0" xfId="0">
      <alignment horizontal="left" vertical="center"/>
    </xf>
    <xf numFmtId="0" fontId="0" fillId="10" borderId="1" pivotButton="0" quotePrefix="0" xfId="0"/>
    <xf numFmtId="0" fontId="0" fillId="11" borderId="1" pivotButton="0" quotePrefix="0" xfId="0"/>
    <xf numFmtId="0" fontId="14" fillId="8" borderId="1" applyAlignment="1" pivotButton="0" quotePrefix="0" xfId="0">
      <alignment horizontal="center" vertical="center" wrapText="1"/>
    </xf>
    <xf numFmtId="0" fontId="15" fillId="13" borderId="1" pivotButton="0" quotePrefix="0" xfId="0"/>
    <xf numFmtId="0" fontId="16" fillId="0" borderId="0"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  -  Time Sources
ISO/IEC 27001:2022 - Control A.8.17: Clock Synchronisation</t>
        </is>
      </c>
    </row>
    <row r="3">
      <c r="A3" s="2" t="inlineStr">
        <is>
          <t>Document Information</t>
        </is>
      </c>
    </row>
    <row r="4">
      <c r="A4" s="3" t="inlineStr">
        <is>
          <t>Document ID</t>
        </is>
      </c>
      <c r="B4" t="inlineStr">
        <is>
          <t>ISMS-IMP-A.8.17.1</t>
        </is>
      </c>
    </row>
    <row r="5">
      <c r="A5" s="3" t="inlineStr">
        <is>
          <t>Workbook Title</t>
        </is>
      </c>
      <c r="B5" t="inlineStr">
        <is>
          <t>Time Sources</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Time Sources sheet for external NTP source configuration.</t>
        </is>
      </c>
    </row>
    <row r="14">
      <c r="A14" t="inlineStr">
        <is>
          <t>2. Document internal NTP servers in the Internal NTP Servers sheet.</t>
        </is>
      </c>
    </row>
    <row r="15">
      <c r="A15" t="inlineStr">
        <is>
          <t>3. Verify the time source hierarchy in the Hierarchy sheet.</t>
        </is>
      </c>
    </row>
    <row r="16">
      <c r="A16" t="inlineStr">
        <is>
          <t>4. Check compliance status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30" customWidth="1" min="3" max="3"/>
    <col width="10" customWidth="1" min="4" max="4"/>
    <col width="20" customWidth="1" min="5" max="5"/>
    <col width="20" customWidth="1" min="6" max="6"/>
    <col width="18" customWidth="1" min="7" max="7"/>
    <col width="15" customWidth="1" min="8" max="8"/>
    <col width="12" customWidth="1" min="9" max="9"/>
    <col width="40" customWidth="1" min="10" max="10"/>
  </cols>
  <sheetData>
    <row r="1" ht="35" customHeight="1">
      <c r="A1" s="11" t="inlineStr">
        <is>
          <t>TIME SOURCES</t>
        </is>
      </c>
    </row>
    <row r="2">
      <c r="A2" s="12" t="inlineStr">
        <is>
          <t>External authoritative time sources inventory</t>
        </is>
      </c>
    </row>
    <row r="3">
      <c r="A3" s="13" t="inlineStr">
        <is>
          <t>Source Name [*]</t>
        </is>
      </c>
      <c r="B3" s="13" t="inlineStr">
        <is>
          <t>Type [*]</t>
        </is>
      </c>
      <c r="C3" s="13" t="inlineStr">
        <is>
          <t>IP/Hostname [*]</t>
        </is>
      </c>
      <c r="D3" s="13" t="inlineStr">
        <is>
          <t>Stratum [*]</t>
        </is>
      </c>
      <c r="E3" s="13" t="inlineStr">
        <is>
          <t>Geographic Location</t>
        </is>
      </c>
      <c r="F3" s="13" t="inlineStr">
        <is>
          <t>Provider</t>
        </is>
      </c>
      <c r="G3" s="13" t="inlineStr">
        <is>
          <t>Availability SLA</t>
        </is>
      </c>
      <c r="H3" s="13" t="inlineStr">
        <is>
          <t>Last Verified [*]</t>
        </is>
      </c>
      <c r="I3" s="13" t="inlineStr">
        <is>
          <t>Status</t>
        </is>
      </c>
      <c r="J3" s="13" t="inlineStr">
        <is>
          <t>Notes</t>
        </is>
      </c>
    </row>
    <row r="4">
      <c r="A4" s="14" t="inlineStr">
        <is>
          <t>time.nist.gov</t>
        </is>
      </c>
      <c r="B4" s="14" t="inlineStr">
        <is>
          <t>NIST</t>
        </is>
      </c>
      <c r="C4" s="14" t="inlineStr">
        <is>
          <t>time.nist.gov</t>
        </is>
      </c>
      <c r="D4" s="15" t="inlineStr">
        <is>
          <t>1</t>
        </is>
      </c>
      <c r="E4" s="14" t="inlineStr">
        <is>
          <t>United States</t>
        </is>
      </c>
      <c r="F4" s="14" t="inlineStr">
        <is>
          <t>NIST</t>
        </is>
      </c>
      <c r="G4" s="14" t="inlineStr">
        <is>
          <t>Public (no SLA)</t>
        </is>
      </c>
      <c r="H4" s="14" t="inlineStr">
        <is>
          <t>01.03.2026</t>
        </is>
      </c>
      <c r="I4" s="14" t="inlineStr">
        <is>
          <t>✅ Active</t>
        </is>
      </c>
      <c r="J4" s="14" t="inlineStr">
        <is>
          <t>Primary authoritative source (sample row)</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3">
    <dataValidation sqref="B5:B100" showDropDown="0" showInputMessage="0" showErrorMessage="0" allowBlank="0" errorTitle="Invalid Type" error="Please select a valid time source type" type="list">
      <formula1>"GPS,NIST,NTP Pool,Cloudflare,Google,Regional Government,Atomic Clock,Cloud Provider,Other"</formula1>
    </dataValidation>
    <dataValidation sqref="D5:D100" showDropDown="0" showInputMessage="0" showErrorMessage="0" allowBlank="0" errorTitle="Invalid Stratum" error="External sources should be Stratum 0, 1, or 2" type="list">
      <formula1>"0,1,2"</formula1>
    </dataValidation>
    <dataValidation sqref="I5:I100" showDropDown="0" showInputMessage="0" showErrorMessage="0" allowBlank="0" errorTitle="Invalid Status" error="Please select a valid status" type="list">
      <formula1>"✅ Active,❌ Inactive,⚠ Testing,Decommissioned"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0" customWidth="1" min="3" max="3"/>
    <col width="35" customWidth="1" min="4" max="4"/>
    <col width="22" customWidth="1" min="5" max="5"/>
    <col width="18" customWidth="1" min="6" max="6"/>
    <col width="30" customWidth="1" min="7" max="7"/>
    <col width="18" customWidth="1" min="8" max="8"/>
    <col width="18" customWidth="1" min="9" max="9"/>
    <col width="12" customWidth="1" min="10" max="10"/>
    <col width="40" customWidth="1" min="11" max="11"/>
  </cols>
  <sheetData>
    <row r="1" ht="35" customHeight="1">
      <c r="A1" s="11" t="inlineStr">
        <is>
          <t>INTERNAL NTP SERVERS</t>
        </is>
      </c>
    </row>
    <row r="2">
      <c r="A2" s="12" t="inlineStr">
        <is>
          <t>Internal NTP server infrastructure documentation</t>
        </is>
      </c>
    </row>
    <row r="3">
      <c r="A3" s="13" t="inlineStr">
        <is>
          <t>Server Name [*]</t>
        </is>
      </c>
      <c r="B3" s="13" t="inlineStr">
        <is>
          <t>IP Address [*]</t>
        </is>
      </c>
      <c r="C3" s="13" t="inlineStr">
        <is>
          <t>Stratum [*]</t>
        </is>
      </c>
      <c r="D3" s="13" t="inlineStr">
        <is>
          <t>Upstream Sources [*]</t>
        </is>
      </c>
      <c r="E3" s="13" t="inlineStr">
        <is>
          <t>Location/Datacenter [*]</t>
        </is>
      </c>
      <c r="F3" s="13" t="inlineStr">
        <is>
          <t>Redundancy Group</t>
        </is>
      </c>
      <c r="G3" s="13" t="inlineStr">
        <is>
          <t>Peer Servers</t>
        </is>
      </c>
      <c r="H3" s="13" t="inlineStr">
        <is>
          <t>Monitoring Status</t>
        </is>
      </c>
      <c r="I3" s="13" t="inlineStr">
        <is>
          <t>Last Health Check [*]</t>
        </is>
      </c>
      <c r="J3" s="13" t="inlineStr">
        <is>
          <t>Status</t>
        </is>
      </c>
      <c r="K3" s="13" t="inlineStr">
        <is>
          <t>Notes</t>
        </is>
      </c>
    </row>
    <row r="4">
      <c r="A4" s="14" t="inlineStr">
        <is>
          <t>ntp1.dc1.org.local</t>
        </is>
      </c>
      <c r="B4" s="14" t="inlineStr">
        <is>
          <t>10.0.1.10</t>
        </is>
      </c>
      <c r="C4" s="15" t="inlineStr">
        <is>
          <t>2</t>
        </is>
      </c>
      <c r="D4" s="14" t="inlineStr">
        <is>
          <t>time.nist.gov, time.cloudflare.com</t>
        </is>
      </c>
      <c r="E4" s="14" t="inlineStr">
        <is>
          <t>Datacenter 1</t>
        </is>
      </c>
      <c r="F4" s="14" t="inlineStr">
        <is>
          <t>Primary DC</t>
        </is>
      </c>
      <c r="G4" s="14" t="inlineStr">
        <is>
          <t>ntp2.dc1.org.local</t>
        </is>
      </c>
      <c r="H4" s="14" t="inlineStr">
        <is>
          <t>✅ Monitored with Alerting</t>
        </is>
      </c>
      <c r="I4" s="14" t="inlineStr">
        <is>
          <t>01.03.2026</t>
        </is>
      </c>
      <c r="J4" s="14" t="inlineStr">
        <is>
          <t>✅ Active</t>
        </is>
      </c>
      <c r="K4" s="14" t="inlineStr">
        <is>
          <t>Primary NTP server (sample row)</t>
        </is>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dataValidations count="3">
    <dataValidation sqref="C5:C100" showDropDown="0" showInputMessage="0" showErrorMessage="0" allowBlank="0" errorTitle="Invalid Stratum" error="Internal NTP servers should be Stratum 2 or 3" type="list">
      <formula1>"2,3"</formula1>
    </dataValidation>
    <dataValidation sqref="H5:H100" showDropDown="0" showInputMessage="0" showErrorMessage="0" allowBlank="0" errorTitle="Invalid Monitoring Status" error="Please select a valid monitoring status" type="list">
      <formula1>"✅ Monitored with Alerting,⚠ Monitored (No Alerting),❌ Not Monitored,Not Configured"</formula1>
    </dataValidation>
    <dataValidation sqref="J5:J100" showDropDown="0" showInputMessage="0" showErrorMessage="0" allowBlank="0" errorTitle="Invalid Status" error="Please select a valid status" type="list">
      <formula1>"✅ Active,❌ Inactive,Maintenance,⚠ Failed"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0" customWidth="1" min="1" max="1"/>
    <col width="15" customWidth="1" min="2" max="2"/>
    <col width="50" customWidth="1" min="3" max="3"/>
    <col width="12" customWidth="1" min="4" max="4"/>
    <col width="40" customWidth="1" min="5" max="5"/>
  </cols>
  <sheetData>
    <row r="1" ht="35" customHeight="1">
      <c r="A1" s="11" t="inlineStr">
        <is>
          <t>TIME SYNCHRONISATION HIERARCHY</t>
        </is>
      </c>
    </row>
    <row r="2">
      <c r="A2" s="12" t="inlineStr">
        <is>
          <t>Stratum levels represent distance from authoritative time source (lower is better)</t>
        </is>
      </c>
    </row>
    <row r="4">
      <c r="A4" s="17" t="inlineStr"/>
      <c r="B4" s="17" t="inlineStr"/>
      <c r="C4" s="17" t="inlineStr"/>
      <c r="D4" s="17" t="inlineStr"/>
      <c r="E4" s="17" t="inlineStr"/>
    </row>
    <row r="5">
      <c r="A5" s="13" t="inlineStr">
        <is>
          <t>Stratum</t>
        </is>
      </c>
      <c r="B5" s="13" t="inlineStr">
        <is>
          <t>Level</t>
        </is>
      </c>
      <c r="C5" s="13" t="inlineStr">
        <is>
          <t>Description</t>
        </is>
      </c>
      <c r="D5" s="13" t="inlineStr">
        <is>
          <t>Examples</t>
        </is>
      </c>
      <c r="E5" s="13" t="inlineStr">
        <is>
          <t>Typical Accuracy</t>
        </is>
      </c>
    </row>
    <row r="6">
      <c r="A6" s="17" t="inlineStr">
        <is>
          <t>0</t>
        </is>
      </c>
      <c r="B6" s="17" t="inlineStr">
        <is>
          <t>Reference Clock</t>
        </is>
      </c>
      <c r="C6" s="17" t="inlineStr">
        <is>
          <t>Primary time source (not network accessible)</t>
        </is>
      </c>
      <c r="D6" s="17" t="inlineStr">
        <is>
          <t>GPS receiver, Atomic clock, Radio time signal</t>
        </is>
      </c>
      <c r="E6" s="17" t="inlineStr">
        <is>
          <t>&lt;1 microsecond</t>
        </is>
      </c>
    </row>
    <row r="7">
      <c r="A7" s="17" t="inlineStr">
        <is>
          <t>1</t>
        </is>
      </c>
      <c r="B7" s="17" t="inlineStr">
        <is>
          <t>Primary Time Server</t>
        </is>
      </c>
      <c r="C7" s="17" t="inlineStr">
        <is>
          <t>Directly connected to Stratum 0 device</t>
        </is>
      </c>
      <c r="D7" s="17" t="inlineStr">
        <is>
          <t>GPS NTP appliance, NIST servers, Government time services</t>
        </is>
      </c>
      <c r="E7" s="17" t="inlineStr">
        <is>
          <t>&lt;10 microseconds</t>
        </is>
      </c>
    </row>
    <row r="8">
      <c r="A8" s="17" t="inlineStr">
        <is>
          <t>2</t>
        </is>
      </c>
      <c r="B8" s="17" t="inlineStr">
        <is>
          <t>Secondary Time Server</t>
        </is>
      </c>
      <c r="C8" s="17" t="inlineStr">
        <is>
          <t>Synchronized to Stratum 1 servers</t>
        </is>
      </c>
      <c r="D8" s="17" t="inlineStr">
        <is>
          <t>Internal organisational NTP servers</t>
        </is>
      </c>
      <c r="E8" s="17" t="inlineStr">
        <is>
          <t>&lt;100 microseconds</t>
        </is>
      </c>
    </row>
    <row r="9">
      <c r="A9" s="17" t="inlineStr">
        <is>
          <t>3+</t>
        </is>
      </c>
      <c r="B9" s="17" t="inlineStr">
        <is>
          <t>Client Systems</t>
        </is>
      </c>
      <c r="C9" s="17" t="inlineStr">
        <is>
          <t>Synchronized to Stratum 2 servers</t>
        </is>
      </c>
      <c r="D9" s="17" t="inlineStr">
        <is>
          <t>Servers, workstations, network devices</t>
        </is>
      </c>
      <c r="E9" s="17" t="inlineStr">
        <is>
          <t>&lt;1 millisecond</t>
        </is>
      </c>
    </row>
    <row r="10">
      <c r="A10" s="17" t="inlineStr">
        <is>
          <t>16</t>
        </is>
      </c>
      <c r="B10" s="17" t="inlineStr">
        <is>
          <t>Unsynchronized</t>
        </is>
      </c>
      <c r="C10" s="17" t="inlineStr">
        <is>
          <t>Not synchronized to any time source</t>
        </is>
      </c>
      <c r="D10" s="17" t="inlineStr">
        <is>
          <t>Misconfigured or failed systems</t>
        </is>
      </c>
      <c r="E10" s="17" t="inlineStr">
        <is>
          <t>N/A - FAILURE</t>
        </is>
      </c>
    </row>
    <row r="13">
      <c r="A13" s="18" t="inlineStr">
        <is>
          <t>Organisation's Time Synchronisation Architecture</t>
        </is>
      </c>
    </row>
    <row r="14">
      <c r="A14" s="12" t="inlineStr">
        <is>
          <t>(Complete this section based on Time Sources and Internal NTP Servers sheets)</t>
        </is>
      </c>
    </row>
    <row r="16">
      <c r="A16" s="13" t="inlineStr">
        <is>
          <t>Layer</t>
        </is>
      </c>
      <c r="B16" s="13" t="inlineStr">
        <is>
          <t>Stratum</t>
        </is>
      </c>
      <c r="C16" s="13" t="inlineStr">
        <is>
          <t>Systems</t>
        </is>
      </c>
      <c r="D16" s="13" t="inlineStr">
        <is>
          <t>Count</t>
        </is>
      </c>
      <c r="E16" s="13" t="inlineStr">
        <is>
          <t>Notes</t>
        </is>
      </c>
    </row>
    <row r="17">
      <c r="A17" s="17" t="inlineStr">
        <is>
          <t>External Sources</t>
        </is>
      </c>
      <c r="B17" s="17" t="inlineStr">
        <is>
          <t>0/1</t>
        </is>
      </c>
      <c r="C17" s="17" t="inlineStr">
        <is>
          <t>[List from Time Sources sheet]</t>
        </is>
      </c>
      <c r="D17" s="17">
        <f>COUNTA('Time Sources'!A5:A100)</f>
        <v/>
      </c>
      <c r="E17" s="17" t="inlineStr">
        <is>
          <t>Authoritative references</t>
        </is>
      </c>
    </row>
    <row r="18">
      <c r="A18" s="17" t="inlineStr">
        <is>
          <t>Internal NTP Servers</t>
        </is>
      </c>
      <c r="B18" s="17" t="inlineStr">
        <is>
          <t>2</t>
        </is>
      </c>
      <c r="C18" s="17" t="inlineStr">
        <is>
          <t>[List from Internal NTP Servers sheet]</t>
        </is>
      </c>
      <c r="D18" s="17">
        <f>COUNTA('Internal NTP Servers'!A5:A100)</f>
        <v/>
      </c>
      <c r="E18" s="17" t="inlineStr">
        <is>
          <t>Organisational infrastructure</t>
        </is>
      </c>
    </row>
    <row r="19">
      <c r="A19" s="17" t="inlineStr">
        <is>
          <t>Client Systems</t>
        </is>
      </c>
      <c r="B19" s="17" t="inlineStr">
        <is>
          <t>3+</t>
        </is>
      </c>
      <c r="C19" s="17" t="inlineStr">
        <is>
          <t>[From A.8.17 Assessment 2]</t>
        </is>
      </c>
      <c r="D19" s="17" t="inlineStr">
        <is>
          <t>[To be counted]</t>
        </is>
      </c>
      <c r="E19" s="17" t="inlineStr">
        <is>
          <t>All systems requiring sync</t>
        </is>
      </c>
    </row>
  </sheetData>
  <mergeCells count="4">
    <mergeCell ref="A2:E2"/>
    <mergeCell ref="A1:E1"/>
    <mergeCell ref="A13:E13"/>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40" customWidth="1" min="4" max="4"/>
    <col width="30" customWidth="1" min="5" max="5"/>
    <col width="15" customWidth="1" min="6" max="6"/>
    <col width="15" customWidth="1" min="7" max="7"/>
    <col width="18" customWidth="1" min="8" max="8"/>
  </cols>
  <sheetData>
    <row r="1" ht="35" customHeight="1">
      <c r="A1" s="11" t="inlineStr">
        <is>
          <t>EVIDENCE REGISTER</t>
        </is>
      </c>
    </row>
    <row r="2">
      <c r="A2" s="12" t="inlineStr">
        <is>
          <t>Assessment Evidence Tracking — Time Source Configuration</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NTP Server Configuration Export</t>
        </is>
      </c>
      <c r="C5" s="20" t="inlineStr">
        <is>
          <t>Configuration File</t>
        </is>
      </c>
      <c r="D5" s="20" t="inlineStr">
        <is>
          <t>NTP server config showing pool.ntp.org sources</t>
        </is>
      </c>
      <c r="E5" s="20" t="inlineStr">
        <is>
          <t>/evidence/ntp/server-config-export-20250115.txt</t>
        </is>
      </c>
      <c r="F5" s="20" t="inlineStr">
        <is>
          <t>15.01.2025</t>
        </is>
      </c>
      <c r="G5" s="20" t="inlineStr">
        <is>
          <t>Infrastructure Team</t>
        </is>
      </c>
      <c r="H5" s="20"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1">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Type" error="Select a valid evidence type" type="list">
      <formula1>"Configuration File,Screenshot,Report,Log Extract,Policy Document,Audit Record,Test Result,Other"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Select a valid status" type="list">
      <formula1>"Verified,Pending Review,Insufficient,Not Submitted"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35" customWidth="1" min="1" max="1"/>
    <col width="25" customWidth="1" min="2" max="2"/>
    <col width="25" customWidth="1" min="3" max="3"/>
    <col width="25" customWidth="1" min="4" max="4"/>
    <col width="25" customWidth="1" min="5" max="5"/>
    <col width="12" customWidth="1" min="6" max="6"/>
    <col width="12" customWidth="1" min="7" max="7"/>
  </cols>
  <sheetData>
    <row r="1" ht="35" customHeight="1">
      <c r="A1" s="11" t="inlineStr">
        <is>
          <t>TIME SOURCES — SUMMARY DASHBOARD</t>
        </is>
      </c>
    </row>
    <row r="2">
      <c r="A2" s="21" t="inlineStr">
        <is>
          <t>Time Source Infrastructure Assessment — ISMS-IMP-A.8.17.1</t>
        </is>
      </c>
    </row>
    <row r="4">
      <c r="A4" s="22" t="inlineStr">
        <is>
          <t>TABLE 1 — COMPLIANCE SUMMARY</t>
        </is>
      </c>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Time Sources (External)</t>
        </is>
      </c>
      <c r="B6" s="25">
        <f>COUNTA('Time Sources'!A5:A100)</f>
        <v/>
      </c>
      <c r="C6" s="25">
        <f>COUNTIF('Time Sources'!I5:I100,"✅ Active")</f>
        <v/>
      </c>
      <c r="D6" s="25">
        <f>COUNTIF('Time Sources'!I5:I100,"⚠ Testing")</f>
        <v/>
      </c>
      <c r="E6" s="25">
        <f>COUNTIF('Time Sources'!I5:I100,"❌ Inactive")+COUNTIF('Time Sources'!I5:I100,"Decommissioned")</f>
        <v/>
      </c>
      <c r="F6" s="25" t="inlineStr">
        <is>
          <t>0</t>
        </is>
      </c>
      <c r="G6" s="25">
        <f>IF((B8-F8)=0,0,C8/(B8-F8))</f>
        <v/>
      </c>
    </row>
    <row r="7">
      <c r="A7" s="24" t="inlineStr">
        <is>
          <t>Internal NTP Servers</t>
        </is>
      </c>
      <c r="B7" s="25">
        <f>COUNTA('Internal NTP Servers'!A5:A100)</f>
        <v/>
      </c>
      <c r="C7" s="25">
        <f>COUNTIF('Internal NTP Servers'!J5:J100,"✅ Active")</f>
        <v/>
      </c>
      <c r="D7" s="25">
        <f>COUNTIF('Internal NTP Servers'!J5:J100,"Maintenance")</f>
        <v/>
      </c>
      <c r="E7" s="25">
        <f>COUNTIF('Internal NTP Servers'!J5:J100,"❌ Inactive")+COUNTIF('Internal NTP Servers'!J5:J100,"⚠ Failed")</f>
        <v/>
      </c>
      <c r="F7" s="25" t="inlineStr">
        <is>
          <t>0</t>
        </is>
      </c>
      <c r="G7" s="25">
        <f>IF((B8-F8)=0,0,C8/(B8-F8))</f>
        <v/>
      </c>
    </row>
    <row r="8">
      <c r="A8" s="26" t="inlineStr">
        <is>
          <t>TOTAL</t>
        </is>
      </c>
      <c r="B8" s="23">
        <f>B6+B7</f>
        <v/>
      </c>
      <c r="C8" s="23">
        <f>C6+C7</f>
        <v/>
      </c>
      <c r="D8" s="23">
        <f>D6+D7</f>
        <v/>
      </c>
      <c r="E8" s="23">
        <f>E6+E7</f>
        <v/>
      </c>
      <c r="F8" s="23">
        <f>F6+F7</f>
        <v/>
      </c>
      <c r="G8" s="27">
        <f>IF((B8-F8)=0,0,C8/(B8-F8))</f>
        <v/>
      </c>
    </row>
    <row r="10">
      <c r="A10" s="22" t="inlineStr">
        <is>
          <t>TABLE 2 — KPI &amp; METRICS</t>
        </is>
      </c>
    </row>
    <row r="11">
      <c r="A11" s="23" t="inlineStr">
        <is>
          <t>KPI</t>
        </is>
      </c>
      <c r="B11" s="23" t="inlineStr">
        <is>
          <t>Current Value</t>
        </is>
      </c>
      <c r="C11" s="23" t="inlineStr">
        <is>
          <t>Target</t>
        </is>
      </c>
      <c r="D11" s="23" t="inlineStr">
        <is>
          <t>Status</t>
        </is>
      </c>
      <c r="E11" s="23" t="inlineStr">
        <is>
          <t>Last Updated</t>
        </is>
      </c>
      <c r="F11" s="23" t="inlineStr">
        <is>
          <t>Owner</t>
        </is>
      </c>
      <c r="G11" s="23" t="inlineStr">
        <is>
          <t>Notes</t>
        </is>
      </c>
    </row>
    <row r="12">
      <c r="A12" s="28" t="inlineStr">
        <is>
          <t>External Time Sources (Active)</t>
        </is>
      </c>
      <c r="B12" s="6" t="n"/>
      <c r="C12" s="29" t="inlineStr">
        <is>
          <t>≥ 2</t>
        </is>
      </c>
      <c r="D12" s="6" t="n"/>
      <c r="E12" s="6" t="n"/>
      <c r="F12" s="6" t="n"/>
      <c r="G12" s="6" t="n"/>
    </row>
    <row r="13">
      <c r="A13" s="28" t="inlineStr">
        <is>
          <t>Internal NTP Servers (Active)</t>
        </is>
      </c>
      <c r="B13" s="6" t="n"/>
      <c r="C13" s="29" t="inlineStr">
        <is>
          <t>≥ 2</t>
        </is>
      </c>
      <c r="D13" s="6" t="n"/>
      <c r="E13" s="6" t="n"/>
      <c r="F13" s="6" t="n"/>
      <c r="G13" s="6" t="n"/>
    </row>
    <row r="14">
      <c r="A14" s="28" t="inlineStr">
        <is>
          <t>External Source Availability Rate</t>
        </is>
      </c>
      <c r="B14" s="6" t="n"/>
      <c r="C14" s="29" t="inlineStr">
        <is>
          <t>100%</t>
        </is>
      </c>
      <c r="D14" s="6" t="n"/>
      <c r="E14" s="6" t="n"/>
      <c r="F14" s="6" t="n"/>
      <c r="G14" s="6" t="n"/>
    </row>
    <row r="15">
      <c r="A15" s="28" t="inlineStr">
        <is>
          <t>Internal Server Availability Rate</t>
        </is>
      </c>
      <c r="B15" s="6" t="n"/>
      <c r="C15" s="29" t="inlineStr">
        <is>
          <t>≥ 95%</t>
        </is>
      </c>
      <c r="D15" s="6" t="n"/>
      <c r="E15" s="6" t="n"/>
      <c r="F15" s="6" t="n"/>
      <c r="G15" s="6" t="n"/>
    </row>
    <row r="16">
      <c r="A16" s="28" t="inlineStr">
        <is>
          <t>NTP Monitoring Coverage (with Alerting)</t>
        </is>
      </c>
      <c r="B16" s="6" t="n"/>
      <c r="C16" s="29" t="inlineStr">
        <is>
          <t>100%</t>
        </is>
      </c>
      <c r="D16" s="6" t="n"/>
      <c r="E16" s="6" t="n"/>
      <c r="F16" s="6" t="n"/>
      <c r="G16" s="6" t="n"/>
    </row>
    <row r="17">
      <c r="A17" s="28" t="inlineStr">
        <is>
          <t>Stratum Level Compliance (≤ Stratum 2 external)</t>
        </is>
      </c>
      <c r="B17" s="6" t="n"/>
      <c r="C17" s="29" t="inlineStr">
        <is>
          <t>100%</t>
        </is>
      </c>
      <c r="D17" s="6" t="n"/>
      <c r="E17" s="6" t="n"/>
      <c r="F17" s="6" t="n"/>
      <c r="G17" s="6" t="n"/>
    </row>
    <row r="18">
      <c r="A18" s="28" t="inlineStr">
        <is>
          <t>Geographic / DC Diversity</t>
        </is>
      </c>
      <c r="B18" s="6" t="n"/>
      <c r="C18" s="29" t="inlineStr">
        <is>
          <t>≥ 2 sites</t>
        </is>
      </c>
      <c r="D18" s="6" t="n"/>
      <c r="E18" s="6" t="n"/>
      <c r="F18" s="6" t="n"/>
      <c r="G18" s="6" t="n"/>
    </row>
    <row r="19">
      <c r="A19" s="28" t="inlineStr">
        <is>
          <t>Infrastructure Redundancy Groups</t>
        </is>
      </c>
      <c r="B19" s="6" t="n"/>
      <c r="C19" s="29" t="inlineStr">
        <is>
          <t>≥ 2 groups</t>
        </is>
      </c>
      <c r="D19" s="6" t="n"/>
      <c r="E19" s="6" t="n"/>
      <c r="F19" s="6" t="n"/>
      <c r="G19" s="6" t="n"/>
    </row>
    <row r="21">
      <c r="A21" s="30" t="inlineStr">
        <is>
          <t>TABLE 3 — CRITICAL FINDINGS: Non-Active NTP Servers</t>
        </is>
      </c>
    </row>
    <row r="22">
      <c r="A22" s="23" t="inlineStr">
        <is>
          <t>Assessment Area</t>
        </is>
      </c>
      <c r="B22" s="23" t="inlineStr">
        <is>
          <t>Server Name</t>
        </is>
      </c>
      <c r="C22" s="23" t="inlineStr">
        <is>
          <t>Status / Issue</t>
        </is>
      </c>
      <c r="D22" s="23" t="inlineStr">
        <is>
          <t>Monitoring</t>
        </is>
      </c>
      <c r="E22" s="23" t="inlineStr">
        <is>
          <t>Notes</t>
        </is>
      </c>
      <c r="F22" s="23" t="inlineStr"/>
      <c r="G22" s="23" t="inlineStr"/>
    </row>
    <row r="23">
      <c r="A23" s="31" t="inlineStr">
        <is>
          <t>Internal NTP Servers</t>
        </is>
      </c>
      <c r="B23" s="16">
        <f>IFERROR(INDEX('Internal NTP Servers'!A$5:A$100,SMALL(IF('Internal NTP Servers'!J$5:J$100&lt;&gt;"✅ Active",ROW('Internal NTP Servers'!J$5:J$100)-ROW('Internal NTP Servers'!J$5)+1),1)),"")</f>
        <v/>
      </c>
      <c r="C23" s="16">
        <f>IFERROR(INDEX('Internal NTP Servers'!J$5:J$100,SMALL(IF('Internal NTP Servers'!J$5:J$100&lt;&gt;"✅ Active",ROW('Internal NTP Servers'!J$5:J$100)-ROW('Internal NTP Servers'!J$5)+1),1)),"")</f>
        <v/>
      </c>
      <c r="D23" s="16">
        <f>IFERROR(INDEX('Internal NTP Servers'!H$5:H$100,SMALL(IF('Internal NTP Servers'!J$5:J$100&lt;&gt;"✅ Active",ROW('Internal NTP Servers'!J$5:J$100)-ROW('Internal NTP Servers'!J$5)+1),1)),"")</f>
        <v/>
      </c>
      <c r="E23" s="16">
        <f>IFERROR(INDEX('Internal NTP Servers'!K$5:K$100,SMALL(IF('Internal NTP Servers'!J$5:J$100&lt;&gt;"✅ Active",ROW('Internal NTP Servers'!J$5:J$100)-ROW('Internal NTP Servers'!J$5)+1),1)),"")</f>
        <v/>
      </c>
      <c r="F23" s="32" t="n"/>
      <c r="G23" s="32" t="n"/>
    </row>
    <row r="24">
      <c r="A24" s="31" t="inlineStr">
        <is>
          <t>Internal NTP Servers</t>
        </is>
      </c>
      <c r="B24" s="16">
        <f>IFERROR(INDEX('Internal NTP Servers'!A$5:A$100,SMALL(IF('Internal NTP Servers'!J$5:J$100&lt;&gt;"✅ Active",ROW('Internal NTP Servers'!J$5:J$100)-ROW('Internal NTP Servers'!J$5)+1),2)),"")</f>
        <v/>
      </c>
      <c r="C24" s="16">
        <f>IFERROR(INDEX('Internal NTP Servers'!J$5:J$100,SMALL(IF('Internal NTP Servers'!J$5:J$100&lt;&gt;"✅ Active",ROW('Internal NTP Servers'!J$5:J$100)-ROW('Internal NTP Servers'!J$5)+1),2)),"")</f>
        <v/>
      </c>
      <c r="D24" s="16">
        <f>IFERROR(INDEX('Internal NTP Servers'!H$5:H$100,SMALL(IF('Internal NTP Servers'!J$5:J$100&lt;&gt;"✅ Active",ROW('Internal NTP Servers'!J$5:J$100)-ROW('Internal NTP Servers'!J$5)+1),2)),"")</f>
        <v/>
      </c>
      <c r="E24" s="16">
        <f>IFERROR(INDEX('Internal NTP Servers'!K$5:K$100,SMALL(IF('Internal NTP Servers'!J$5:J$100&lt;&gt;"✅ Active",ROW('Internal NTP Servers'!J$5:J$100)-ROW('Internal NTP Servers'!J$5)+1),2)),"")</f>
        <v/>
      </c>
      <c r="F24" s="32" t="n"/>
      <c r="G24" s="32" t="n"/>
    </row>
    <row r="25">
      <c r="A25" s="31" t="inlineStr">
        <is>
          <t>Internal NTP Servers</t>
        </is>
      </c>
      <c r="B25" s="16">
        <f>IFERROR(INDEX('Internal NTP Servers'!A$5:A$100,SMALL(IF('Internal NTP Servers'!J$5:J$100&lt;&gt;"✅ Active",ROW('Internal NTP Servers'!J$5:J$100)-ROW('Internal NTP Servers'!J$5)+1),3)),"")</f>
        <v/>
      </c>
      <c r="C25" s="16">
        <f>IFERROR(INDEX('Internal NTP Servers'!J$5:J$100,SMALL(IF('Internal NTP Servers'!J$5:J$100&lt;&gt;"✅ Active",ROW('Internal NTP Servers'!J$5:J$100)-ROW('Internal NTP Servers'!J$5)+1),3)),"")</f>
        <v/>
      </c>
      <c r="D25" s="16">
        <f>IFERROR(INDEX('Internal NTP Servers'!H$5:H$100,SMALL(IF('Internal NTP Servers'!J$5:J$100&lt;&gt;"✅ Active",ROW('Internal NTP Servers'!J$5:J$100)-ROW('Internal NTP Servers'!J$5)+1),3)),"")</f>
        <v/>
      </c>
      <c r="E25" s="16">
        <f>IFERROR(INDEX('Internal NTP Servers'!K$5:K$100,SMALL(IF('Internal NTP Servers'!J$5:J$100&lt;&gt;"✅ Active",ROW('Internal NTP Servers'!J$5:J$100)-ROW('Internal NTP Servers'!J$5)+1),3)),"")</f>
        <v/>
      </c>
      <c r="F25" s="32" t="n"/>
      <c r="G25" s="32" t="n"/>
    </row>
    <row r="26">
      <c r="A26" s="31" t="inlineStr">
        <is>
          <t>Internal NTP Servers</t>
        </is>
      </c>
      <c r="B26" s="16">
        <f>IFERROR(INDEX('Internal NTP Servers'!A$5:A$100,SMALL(IF('Internal NTP Servers'!J$5:J$100&lt;&gt;"✅ Active",ROW('Internal NTP Servers'!J$5:J$100)-ROW('Internal NTP Servers'!J$5)+1),4)),"")</f>
        <v/>
      </c>
      <c r="C26" s="16">
        <f>IFERROR(INDEX('Internal NTP Servers'!J$5:J$100,SMALL(IF('Internal NTP Servers'!J$5:J$100&lt;&gt;"✅ Active",ROW('Internal NTP Servers'!J$5:J$100)-ROW('Internal NTP Servers'!J$5)+1),4)),"")</f>
        <v/>
      </c>
      <c r="D26" s="16">
        <f>IFERROR(INDEX('Internal NTP Servers'!H$5:H$100,SMALL(IF('Internal NTP Servers'!J$5:J$100&lt;&gt;"✅ Active",ROW('Internal NTP Servers'!J$5:J$100)-ROW('Internal NTP Servers'!J$5)+1),4)),"")</f>
        <v/>
      </c>
      <c r="E26" s="16">
        <f>IFERROR(INDEX('Internal NTP Servers'!K$5:K$100,SMALL(IF('Internal NTP Servers'!J$5:J$100&lt;&gt;"✅ Active",ROW('Internal NTP Servers'!J$5:J$100)-ROW('Internal NTP Servers'!J$5)+1),4)),"")</f>
        <v/>
      </c>
      <c r="F26" s="32" t="n"/>
      <c r="G26" s="32" t="n"/>
    </row>
    <row r="27">
      <c r="A27" s="31" t="inlineStr">
        <is>
          <t>Internal NTP Servers</t>
        </is>
      </c>
      <c r="B27" s="16">
        <f>IFERROR(INDEX('Internal NTP Servers'!A$5:A$100,SMALL(IF('Internal NTP Servers'!J$5:J$100&lt;&gt;"✅ Active",ROW('Internal NTP Servers'!J$5:J$100)-ROW('Internal NTP Servers'!J$5)+1),5)),"")</f>
        <v/>
      </c>
      <c r="C27" s="16">
        <f>IFERROR(INDEX('Internal NTP Servers'!J$5:J$100,SMALL(IF('Internal NTP Servers'!J$5:J$100&lt;&gt;"✅ Active",ROW('Internal NTP Servers'!J$5:J$100)-ROW('Internal NTP Servers'!J$5)+1),5)),"")</f>
        <v/>
      </c>
      <c r="D27" s="16">
        <f>IFERROR(INDEX('Internal NTP Servers'!H$5:H$100,SMALL(IF('Internal NTP Servers'!J$5:J$100&lt;&gt;"✅ Active",ROW('Internal NTP Servers'!J$5:J$100)-ROW('Internal NTP Servers'!J$5)+1),5)),"")</f>
        <v/>
      </c>
      <c r="E27" s="16">
        <f>IFERROR(INDEX('Internal NTP Servers'!K$5:K$100,SMALL(IF('Internal NTP Servers'!J$5:J$100&lt;&gt;"✅ Active",ROW('Internal NTP Servers'!J$5:J$100)-ROW('Internal NTP Servers'!J$5)+1),5)),"")</f>
        <v/>
      </c>
      <c r="F27" s="32" t="n"/>
      <c r="G27" s="32" t="n"/>
    </row>
    <row r="28">
      <c r="A28" s="31" t="inlineStr">
        <is>
          <t>Internal NTP Servers</t>
        </is>
      </c>
      <c r="B28" s="16">
        <f>IFERROR(INDEX('Internal NTP Servers'!A$5:A$100,SMALL(IF('Internal NTP Servers'!J$5:J$100&lt;&gt;"✅ Active",ROW('Internal NTP Servers'!J$5:J$100)-ROW('Internal NTP Servers'!J$5)+1),6)),"")</f>
        <v/>
      </c>
      <c r="C28" s="16">
        <f>IFERROR(INDEX('Internal NTP Servers'!J$5:J$100,SMALL(IF('Internal NTP Servers'!J$5:J$100&lt;&gt;"✅ Active",ROW('Internal NTP Servers'!J$5:J$100)-ROW('Internal NTP Servers'!J$5)+1),6)),"")</f>
        <v/>
      </c>
      <c r="D28" s="16">
        <f>IFERROR(INDEX('Internal NTP Servers'!H$5:H$100,SMALL(IF('Internal NTP Servers'!J$5:J$100&lt;&gt;"✅ Active",ROW('Internal NTP Servers'!J$5:J$100)-ROW('Internal NTP Servers'!J$5)+1),6)),"")</f>
        <v/>
      </c>
      <c r="E28" s="16">
        <f>IFERROR(INDEX('Internal NTP Servers'!K$5:K$100,SMALL(IF('Internal NTP Servers'!J$5:J$100&lt;&gt;"✅ Active",ROW('Internal NTP Servers'!J$5:J$100)-ROW('Internal NTP Servers'!J$5)+1),6)),"")</f>
        <v/>
      </c>
      <c r="F28" s="32" t="n"/>
      <c r="G28" s="32" t="n"/>
    </row>
    <row r="29">
      <c r="A29" s="31" t="inlineStr">
        <is>
          <t>Internal NTP Servers</t>
        </is>
      </c>
      <c r="B29" s="16">
        <f>IFERROR(INDEX('Internal NTP Servers'!A$5:A$100,SMALL(IF('Internal NTP Servers'!J$5:J$100&lt;&gt;"✅ Active",ROW('Internal NTP Servers'!J$5:J$100)-ROW('Internal NTP Servers'!J$5)+1),7)),"")</f>
        <v/>
      </c>
      <c r="C29" s="16">
        <f>IFERROR(INDEX('Internal NTP Servers'!J$5:J$100,SMALL(IF('Internal NTP Servers'!J$5:J$100&lt;&gt;"✅ Active",ROW('Internal NTP Servers'!J$5:J$100)-ROW('Internal NTP Servers'!J$5)+1),7)),"")</f>
        <v/>
      </c>
      <c r="D29" s="16">
        <f>IFERROR(INDEX('Internal NTP Servers'!H$5:H$100,SMALL(IF('Internal NTP Servers'!J$5:J$100&lt;&gt;"✅ Active",ROW('Internal NTP Servers'!J$5:J$100)-ROW('Internal NTP Servers'!J$5)+1),7)),"")</f>
        <v/>
      </c>
      <c r="E29" s="16">
        <f>IFERROR(INDEX('Internal NTP Servers'!K$5:K$100,SMALL(IF('Internal NTP Servers'!J$5:J$100&lt;&gt;"✅ Active",ROW('Internal NTP Servers'!J$5:J$100)-ROW('Internal NTP Servers'!J$5)+1),7)),"")</f>
        <v/>
      </c>
      <c r="F29" s="32" t="n"/>
      <c r="G29" s="32" t="n"/>
    </row>
    <row r="30">
      <c r="A30" s="31" t="inlineStr">
        <is>
          <t>Internal NTP Servers</t>
        </is>
      </c>
      <c r="B30" s="16">
        <f>IFERROR(INDEX('Internal NTP Servers'!A$5:A$100,SMALL(IF('Internal NTP Servers'!J$5:J$100&lt;&gt;"✅ Active",ROW('Internal NTP Servers'!J$5:J$100)-ROW('Internal NTP Servers'!J$5)+1),8)),"")</f>
        <v/>
      </c>
      <c r="C30" s="16">
        <f>IFERROR(INDEX('Internal NTP Servers'!J$5:J$100,SMALL(IF('Internal NTP Servers'!J$5:J$100&lt;&gt;"✅ Active",ROW('Internal NTP Servers'!J$5:J$100)-ROW('Internal NTP Servers'!J$5)+1),8)),"")</f>
        <v/>
      </c>
      <c r="D30" s="16">
        <f>IFERROR(INDEX('Internal NTP Servers'!H$5:H$100,SMALL(IF('Internal NTP Servers'!J$5:J$100&lt;&gt;"✅ Active",ROW('Internal NTP Servers'!J$5:J$100)-ROW('Internal NTP Servers'!J$5)+1),8)),"")</f>
        <v/>
      </c>
      <c r="E30" s="16">
        <f>IFERROR(INDEX('Internal NTP Servers'!K$5:K$100,SMALL(IF('Internal NTP Servers'!J$5:J$100&lt;&gt;"✅ Active",ROW('Internal NTP Servers'!J$5:J$100)-ROW('Internal NTP Servers'!J$5)+1),8)),"")</f>
        <v/>
      </c>
      <c r="F30" s="32" t="n"/>
      <c r="G30" s="32" t="n"/>
    </row>
    <row r="31">
      <c r="A31" s="31" t="inlineStr">
        <is>
          <t>Internal NTP Servers</t>
        </is>
      </c>
      <c r="B31" s="16">
        <f>IFERROR(INDEX('Internal NTP Servers'!A$5:A$100,SMALL(IF('Internal NTP Servers'!J$5:J$100&lt;&gt;"✅ Active",ROW('Internal NTP Servers'!J$5:J$100)-ROW('Internal NTP Servers'!J$5)+1),9)),"")</f>
        <v/>
      </c>
      <c r="C31" s="16">
        <f>IFERROR(INDEX('Internal NTP Servers'!J$5:J$100,SMALL(IF('Internal NTP Servers'!J$5:J$100&lt;&gt;"✅ Active",ROW('Internal NTP Servers'!J$5:J$100)-ROW('Internal NTP Servers'!J$5)+1),9)),"")</f>
        <v/>
      </c>
      <c r="D31" s="16">
        <f>IFERROR(INDEX('Internal NTP Servers'!H$5:H$100,SMALL(IF('Internal NTP Servers'!J$5:J$100&lt;&gt;"✅ Active",ROW('Internal NTP Servers'!J$5:J$100)-ROW('Internal NTP Servers'!J$5)+1),9)),"")</f>
        <v/>
      </c>
      <c r="E31" s="16">
        <f>IFERROR(INDEX('Internal NTP Servers'!K$5:K$100,SMALL(IF('Internal NTP Servers'!J$5:J$100&lt;&gt;"✅ Active",ROW('Internal NTP Servers'!J$5:J$100)-ROW('Internal NTP Servers'!J$5)+1),9)),"")</f>
        <v/>
      </c>
      <c r="F31" s="32" t="n"/>
      <c r="G31" s="32" t="n"/>
    </row>
    <row r="32">
      <c r="A32" s="31" t="inlineStr">
        <is>
          <t>Internal NTP Servers</t>
        </is>
      </c>
      <c r="B32" s="16">
        <f>IFERROR(INDEX('Internal NTP Servers'!A$5:A$100,SMALL(IF('Internal NTP Servers'!J$5:J$100&lt;&gt;"✅ Active",ROW('Internal NTP Servers'!J$5:J$100)-ROW('Internal NTP Servers'!J$5)+1),10)),"")</f>
        <v/>
      </c>
      <c r="C32" s="16">
        <f>IFERROR(INDEX('Internal NTP Servers'!J$5:J$100,SMALL(IF('Internal NTP Servers'!J$5:J$100&lt;&gt;"✅ Active",ROW('Internal NTP Servers'!J$5:J$100)-ROW('Internal NTP Servers'!J$5)+1),10)),"")</f>
        <v/>
      </c>
      <c r="D32" s="16">
        <f>IFERROR(INDEX('Internal NTP Servers'!H$5:H$100,SMALL(IF('Internal NTP Servers'!J$5:J$100&lt;&gt;"✅ Active",ROW('Internal NTP Servers'!J$5:J$100)-ROW('Internal NTP Servers'!J$5)+1),10)),"")</f>
        <v/>
      </c>
      <c r="E32" s="16">
        <f>IFERROR(INDEX('Internal NTP Servers'!K$5:K$100,SMALL(IF('Internal NTP Servers'!J$5:J$100&lt;&gt;"✅ Active",ROW('Internal NTP Servers'!J$5:J$100)-ROW('Internal NTP Servers'!J$5)+1),10)),"")</f>
        <v/>
      </c>
      <c r="F32" s="32" t="n"/>
      <c r="G32" s="32" t="n"/>
    </row>
    <row r="33">
      <c r="A33" s="26" t="inlineStr">
        <is>
          <t>TOTAL Non-Active NTP Servers</t>
        </is>
      </c>
      <c r="B33" s="23">
        <f>SUMPRODUCT(('Internal NTP Servers'!J5:J100&lt;&gt;"✅ Active")*('Internal NTP Servers'!J5:J100&lt;&gt;""))</f>
        <v/>
      </c>
      <c r="C33" s="33" t="n"/>
      <c r="D33" s="33" t="n"/>
      <c r="E33" s="33" t="n"/>
      <c r="F33" s="33" t="n"/>
      <c r="G33" s="33" t="n"/>
    </row>
  </sheetData>
  <mergeCells count="4">
    <mergeCell ref="A21:G21"/>
    <mergeCell ref="A1:G1"/>
    <mergeCell ref="A10:G10"/>
    <mergeCell ref="A4:G4"/>
  </mergeCells>
  <dataValidations count="1">
    <dataValidation sqref="D12 D13 D14 D15 D16 D17 D18 D19" showDropDown="0" showInputMessage="0" showErrorMessage="0" allowBlank="1" type="list">
      <formula1>"✅ On Target,⚠ At Risk,❌ Below Target"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row>
    <row r="3">
      <c r="A3" s="35" t="inlineStr">
        <is>
          <t>ASSESSMENT SUMMARY</t>
        </is>
      </c>
    </row>
    <row r="4">
      <c r="A4" s="36" t="inlineStr">
        <is>
          <t>Document:</t>
        </is>
      </c>
      <c r="B4" s="6" t="inlineStr">
        <is>
          <t>ISMS-IMP-A.8.17.1 - Time Sources</t>
        </is>
      </c>
    </row>
    <row r="5">
      <c r="A5" s="36" t="inlineStr">
        <is>
          <t>Assessment Period:</t>
        </is>
      </c>
      <c r="B5" s="32" t="inlineStr"/>
    </row>
    <row r="6">
      <c r="A6" s="36" t="inlineStr">
        <is>
          <t>Overall Compliance:</t>
        </is>
      </c>
      <c r="B6" s="37">
        <f>IFERROR(AVERAGE('Summary Dashboard'!G6:G7),"")</f>
        <v/>
      </c>
    </row>
    <row r="7">
      <c r="A7" s="36" t="inlineStr">
        <is>
          <t>Assessment Status:</t>
        </is>
      </c>
      <c r="B7" s="32" t="inlineStr"/>
    </row>
    <row r="10">
      <c r="A10" s="35" t="inlineStr">
        <is>
          <t>COMPLETED BY (ASSESSOR)</t>
        </is>
      </c>
    </row>
    <row r="11">
      <c r="A11" s="36" t="inlineStr">
        <is>
          <t>Name:</t>
        </is>
      </c>
      <c r="B11" s="32" t="n"/>
    </row>
    <row r="12">
      <c r="A12" s="36" t="inlineStr">
        <is>
          <t>Title:</t>
        </is>
      </c>
      <c r="B12" s="32" t="n"/>
    </row>
    <row r="13">
      <c r="A13" s="36" t="inlineStr">
        <is>
          <t>Date:</t>
        </is>
      </c>
      <c r="B13" s="32" t="n"/>
    </row>
    <row r="14">
      <c r="A14" s="36" t="inlineStr">
        <is>
          <t>Signature:</t>
        </is>
      </c>
      <c r="B14" s="32" t="n"/>
    </row>
    <row r="15">
      <c r="A15" s="36" t="inlineStr">
        <is>
          <t>Comments:</t>
        </is>
      </c>
      <c r="B15" s="32" t="n"/>
    </row>
    <row r="17">
      <c r="A17" s="35" t="inlineStr">
        <is>
          <t>REVIEWED BY (INFORMATION SECURITY OFFICER)</t>
        </is>
      </c>
    </row>
    <row r="18">
      <c r="A18" s="36" t="inlineStr">
        <is>
          <t>Name:</t>
        </is>
      </c>
      <c r="B18" s="32" t="n"/>
    </row>
    <row r="19">
      <c r="A19" s="36" t="inlineStr">
        <is>
          <t>Title:</t>
        </is>
      </c>
      <c r="B19" s="32" t="n"/>
    </row>
    <row r="20">
      <c r="A20" s="36" t="inlineStr">
        <is>
          <t>Date:</t>
        </is>
      </c>
      <c r="B20" s="32" t="n"/>
    </row>
    <row r="21">
      <c r="A21" s="36" t="inlineStr">
        <is>
          <t>Signature:</t>
        </is>
      </c>
      <c r="B21" s="32" t="n"/>
    </row>
    <row r="22">
      <c r="A22" s="36" t="inlineStr">
        <is>
          <t>Comments:</t>
        </is>
      </c>
      <c r="B22" s="32" t="n"/>
    </row>
    <row r="24">
      <c r="A24" s="38" t="inlineStr">
        <is>
          <t>APPROVED BY (CISO)</t>
        </is>
      </c>
    </row>
    <row r="25">
      <c r="A25" s="36" t="inlineStr">
        <is>
          <t>Name:</t>
        </is>
      </c>
      <c r="B25" s="32" t="n"/>
    </row>
    <row r="26">
      <c r="A26" s="36" t="inlineStr">
        <is>
          <t>Title:</t>
        </is>
      </c>
      <c r="B26" s="32" t="n"/>
    </row>
    <row r="27">
      <c r="A27" s="36" t="inlineStr">
        <is>
          <t>Date:</t>
        </is>
      </c>
      <c r="B27" s="32" t="n"/>
    </row>
    <row r="28">
      <c r="A28" s="36" t="inlineStr">
        <is>
          <t>Signature:</t>
        </is>
      </c>
      <c r="B28" s="32" t="n"/>
    </row>
    <row r="29">
      <c r="A29" s="36" t="inlineStr">
        <is>
          <t>Comments:</t>
        </is>
      </c>
      <c r="B29" s="32" t="n"/>
    </row>
    <row r="31">
      <c r="A31" s="36" t="inlineStr">
        <is>
          <t>FINAL DECISION:</t>
        </is>
      </c>
      <c r="B31" s="32" t="n"/>
    </row>
    <row r="34">
      <c r="A34" s="35" t="inlineStr">
        <is>
          <t>NEXT REVIEW DETAILS</t>
        </is>
      </c>
    </row>
    <row r="35">
      <c r="A35" s="36" t="inlineStr">
        <is>
          <t>Next Review Date:</t>
        </is>
      </c>
      <c r="B35" s="32" t="n"/>
    </row>
    <row r="36">
      <c r="A36" s="36" t="inlineStr">
        <is>
          <t>Review Responsible:</t>
        </is>
      </c>
      <c r="B36" s="32" t="n"/>
    </row>
    <row r="37">
      <c r="A37" s="36" t="inlineStr">
        <is>
          <t>Special Considerations:</t>
        </is>
      </c>
      <c r="B37" s="32"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 — Time Sources</dc:title>
  <dc:description xmlns:dc="http://purl.org/dc/elements/1.1/">ISMS Implementation Workbook — ISMS-IMP-A.8.17.1</dc:description>
  <dc:subject xmlns:dc="http://purl.org/dc/elements/1.1/">ISO/IEC 27001:2022 — Control A.8.17: Clock Synchronisation</dc:subject>
  <dcterms:created xmlns:dcterms="http://purl.org/dc/terms/" xmlns:xsi="http://www.w3.org/2001/XMLSchema-instance" xsi:type="dcterms:W3CDTF">2026-03-01T10:19:55Z</dcterms:created>
  <dcterms:modified xmlns:dcterms="http://purl.org/dc/terms/" xmlns:xsi="http://www.w3.org/2001/XMLSchema-instance" xsi:type="dcterms:W3CDTF">2026-03-01T10:19:55Z</dcterms:modified>
</cp:coreProperties>
</file>