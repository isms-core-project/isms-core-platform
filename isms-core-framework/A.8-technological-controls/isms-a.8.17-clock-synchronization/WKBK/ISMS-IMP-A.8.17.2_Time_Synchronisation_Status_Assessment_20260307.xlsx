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System Inventory" sheetId="2" state="visible" r:id="rId2"/>
    <sheet xmlns:r="http://schemas.openxmlformats.org/officeDocument/2006/relationships" name="Drift Analysis" sheetId="3" state="visible" r:id="rId3"/>
    <sheet xmlns:r="http://schemas.openxmlformats.org/officeDocument/2006/relationships" name="Gap Analysis" sheetId="4" state="visible" r:id="rId4"/>
    <sheet xmlns:r="http://schemas.openxmlformats.org/officeDocument/2006/relationships" name="Evidence Register" sheetId="5" state="visible" r:id="rId5"/>
    <sheet xmlns:r="http://schemas.openxmlformats.org/officeDocument/2006/relationships" name="Summary Dashboard" sheetId="6" state="visible" r:id="rId6"/>
    <sheet xmlns:r="http://schemas.openxmlformats.org/officeDocument/2006/relationships" name="Approval Sign-Off" sheetId="7" state="visible" r:id="rId7"/>
  </sheets>
  <definedNames/>
  <calcPr calcId="124519" fullCalcOnLoad="1"/>
</workbook>
</file>

<file path=xl/styles.xml><?xml version="1.0" encoding="utf-8"?>
<styleSheet xmlns="http://schemas.openxmlformats.org/spreadsheetml/2006/main">
  <numFmts count="2">
    <numFmt numFmtId="164" formatCode="0.0&quot;%&quot;"/>
    <numFmt numFmtId="165" formatCode="0.0%"/>
  </numFmts>
  <fonts count="18">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sz val="10"/>
    </font>
    <font>
      <name val="Calibri"/>
      <b val="1"/>
      <color rgb="00003366"/>
      <sz val="12"/>
    </font>
    <font>
      <name val="Calibri"/>
    </font>
    <font>
      <name val="Calibri"/>
      <i val="1"/>
      <color rgb="00C00000"/>
      <sz val="10"/>
    </font>
    <font>
      <name val="Calibri"/>
      <b val="1"/>
      <color rgb="00FFFFFF"/>
      <sz val="10"/>
    </font>
    <font>
      <name val="Calibri"/>
      <color rgb="00808080"/>
      <sz val="10"/>
    </font>
    <font>
      <name val="Calibri"/>
      <i val="1"/>
      <color rgb="00003366"/>
      <sz val="10"/>
    </font>
    <font>
      <name val="Calibri"/>
      <b val="1"/>
      <color rgb="00FFFFFF"/>
      <sz val="11"/>
    </font>
    <font>
      <name val="Calibri"/>
      <color rgb="00000000"/>
    </font>
    <font>
      <name val="Calibri"/>
      <i val="1"/>
      <color rgb="00003366"/>
    </font>
    <font>
      <b val="1"/>
      <color rgb="00FFFFFF"/>
      <sz val="14"/>
    </font>
    <font>
      <b val="1"/>
      <color rgb="00FFFFFF"/>
      <sz val="11"/>
    </font>
    <font>
      <b val="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8">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center" vertical="center"/>
    </xf>
    <xf numFmtId="0" fontId="4" fillId="9" borderId="1" applyAlignment="1" pivotButton="0" quotePrefix="0" xfId="0">
      <alignment horizontal="center" vertical="center" wrapText="1"/>
    </xf>
    <xf numFmtId="0" fontId="0" fillId="10" borderId="1" applyAlignment="1" pivotButton="0" quotePrefix="0" xfId="0">
      <alignment horizontal="left" vertical="center" wrapText="1"/>
    </xf>
    <xf numFmtId="0" fontId="0" fillId="10" borderId="1" applyAlignment="1" pivotButton="0" quotePrefix="0" xfId="0">
      <alignment horizontal="center" vertical="center"/>
    </xf>
    <xf numFmtId="0" fontId="0" fillId="11" borderId="1" applyAlignment="1" pivotButton="0" quotePrefix="0" xfId="0">
      <alignment horizontal="left" vertical="center" wrapText="1"/>
    </xf>
    <xf numFmtId="0" fontId="0" fillId="11" borderId="1" applyAlignment="1" pivotButton="0" quotePrefix="0" xfId="0">
      <alignment horizontal="center" vertical="center"/>
    </xf>
    <xf numFmtId="0" fontId="0" fillId="11" borderId="1" pivotButton="0" quotePrefix="0" xfId="0"/>
    <xf numFmtId="0" fontId="5" fillId="0" borderId="0" pivotButton="0" quotePrefix="0" xfId="0"/>
    <xf numFmtId="0" fontId="6" fillId="0" borderId="0" pivotButton="0" quotePrefix="0" xfId="0"/>
    <xf numFmtId="0" fontId="7" fillId="0" borderId="1" applyAlignment="1" pivotButton="0" quotePrefix="0" xfId="0">
      <alignment horizontal="left" vertical="center" wrapText="1"/>
    </xf>
    <xf numFmtId="164" fontId="7" fillId="0" borderId="1" applyAlignment="1" pivotButton="0" quotePrefix="0" xfId="0">
      <alignment horizontal="left" vertical="center" wrapText="1"/>
    </xf>
    <xf numFmtId="0" fontId="8" fillId="0" borderId="0" applyAlignment="1" pivotButton="0" quotePrefix="0" xfId="0">
      <alignment horizontal="center" vertical="center"/>
    </xf>
    <xf numFmtId="0" fontId="7" fillId="10" borderId="1" applyAlignment="1" pivotButton="0" quotePrefix="0" xfId="0">
      <alignment horizontal="left" vertical="center" wrapText="1"/>
    </xf>
    <xf numFmtId="0" fontId="7" fillId="11" borderId="1" applyAlignment="1" pivotButton="0" quotePrefix="0" xfId="0">
      <alignment horizontal="left" vertical="center" wrapText="1"/>
    </xf>
    <xf numFmtId="0" fontId="9" fillId="8" borderId="1" applyAlignment="1" pivotButton="0" quotePrefix="0" xfId="0">
      <alignment horizontal="center" vertical="center" wrapText="1"/>
    </xf>
    <xf numFmtId="0" fontId="10" fillId="10" borderId="1" applyAlignment="1" pivotButton="0" quotePrefix="0" xfId="0">
      <alignment horizontal="left" vertical="center" wrapText="1"/>
    </xf>
    <xf numFmtId="0" fontId="11" fillId="0" borderId="0" applyAlignment="1" pivotButton="0" quotePrefix="0" xfId="0">
      <alignment horizontal="left" vertical="center"/>
    </xf>
    <xf numFmtId="0" fontId="12" fillId="8" borderId="1" applyAlignment="1" pivotButton="0" quotePrefix="0" xfId="0">
      <alignment horizontal="left" vertical="center"/>
    </xf>
    <xf numFmtId="0" fontId="13" fillId="0" borderId="1" applyAlignment="1" pivotButton="0" quotePrefix="0" xfId="0">
      <alignment horizontal="left" vertical="center"/>
    </xf>
    <xf numFmtId="0" fontId="13" fillId="0" borderId="1" applyAlignment="1" pivotButton="0" quotePrefix="0" xfId="0">
      <alignment horizontal="center" vertical="center"/>
    </xf>
    <xf numFmtId="165" fontId="13" fillId="0" borderId="1" applyAlignment="1" pivotButton="0" quotePrefix="0" xfId="0">
      <alignment horizontal="center" vertical="center"/>
    </xf>
    <xf numFmtId="0" fontId="3" fillId="9" borderId="1" applyAlignment="1" pivotButton="0" quotePrefix="0" xfId="0">
      <alignment horizontal="left" vertical="center"/>
    </xf>
    <xf numFmtId="0" fontId="3" fillId="9" borderId="1" applyAlignment="1" pivotButton="0" quotePrefix="0" xfId="0">
      <alignment horizontal="center" vertical="center"/>
    </xf>
    <xf numFmtId="165" fontId="3" fillId="9" borderId="1" applyAlignment="1" pivotButton="0" quotePrefix="0" xfId="0">
      <alignment horizontal="center" vertical="center"/>
    </xf>
    <xf numFmtId="0" fontId="4" fillId="9" borderId="1" applyAlignment="1" pivotButton="0" quotePrefix="0" xfId="0">
      <alignment horizontal="center" vertical="center"/>
    </xf>
    <xf numFmtId="0" fontId="7" fillId="0" borderId="1" applyAlignment="1" pivotButton="0" quotePrefix="0" xfId="0">
      <alignment horizontal="left" vertical="center"/>
    </xf>
    <xf numFmtId="0" fontId="14" fillId="0" borderId="1" applyAlignment="1" pivotButton="0" quotePrefix="0" xfId="0">
      <alignment horizontal="left" vertical="center"/>
    </xf>
    <xf numFmtId="0" fontId="12" fillId="12" borderId="1" applyAlignment="1" pivotButton="0" quotePrefix="0" xfId="0">
      <alignment horizontal="left" vertical="center"/>
    </xf>
    <xf numFmtId="0" fontId="13" fillId="11" borderId="1" applyAlignment="1" pivotButton="0" quotePrefix="0" xfId="0">
      <alignment horizontal="left" vertical="center" wrapText="1"/>
    </xf>
    <xf numFmtId="0" fontId="3" fillId="9" borderId="1" pivotButton="0" quotePrefix="0" xfId="0"/>
    <xf numFmtId="0" fontId="0" fillId="9" borderId="1" pivotButton="0" quotePrefix="0" xfId="0"/>
    <xf numFmtId="0" fontId="15" fillId="8" borderId="1" applyAlignment="1" pivotButton="0" quotePrefix="0" xfId="0">
      <alignment horizontal="center" vertical="center" wrapText="1"/>
    </xf>
    <xf numFmtId="0" fontId="16" fillId="13" borderId="1" pivotButton="0" quotePrefix="0" xfId="0"/>
    <xf numFmtId="0" fontId="17" fillId="0" borderId="0" pivotButton="0" quotePrefix="0" xfId="0"/>
    <xf numFmtId="165" fontId="0" fillId="0" borderId="1" pivotButton="0" quotePrefix="0" xfId="0"/>
    <xf numFmtId="0" fontId="16"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ISMS-IMP-A.8.17.2  -  Time Synchronisation Status Assessment
ISO/IEC 27001:2022 - Control A.8.17: Clock Synchronisation</t>
        </is>
      </c>
    </row>
    <row r="3">
      <c r="A3" s="2" t="inlineStr">
        <is>
          <t>Document Information</t>
        </is>
      </c>
    </row>
    <row r="4">
      <c r="A4" s="3" t="inlineStr">
        <is>
          <t>Document ID</t>
        </is>
      </c>
      <c r="B4" t="inlineStr">
        <is>
          <t>ISMS-IMP-A.8.17.2</t>
        </is>
      </c>
    </row>
    <row r="5">
      <c r="A5" s="3" t="inlineStr">
        <is>
          <t>Workbook Title</t>
        </is>
      </c>
      <c r="B5" t="inlineStr">
        <is>
          <t>Time Synchronisation Status Assessment</t>
        </is>
      </c>
    </row>
    <row r="6">
      <c r="A6" s="3" t="inlineStr">
        <is>
          <t>Control Reference</t>
        </is>
      </c>
      <c r="B6" t="inlineStr">
        <is>
          <t>ISO/IEC 27001:2022 - Control A.8.17: Clock Synchronisation</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the System Inventory sheet with all time-dependent systems.</t>
        </is>
      </c>
    </row>
    <row r="14">
      <c r="A14" t="inlineStr">
        <is>
          <t>2. Record drift measurements in the Drift Analysis sheet.</t>
        </is>
      </c>
    </row>
    <row r="15">
      <c r="A15" t="inlineStr">
        <is>
          <t>3. Log synchronisation gaps and failures in the Gap Analysis sheet.</t>
        </is>
      </c>
    </row>
    <row r="16">
      <c r="A16" t="inlineStr">
        <is>
          <t>4. Review overall compliance in the Summary Dashboard sheet.</t>
        </is>
      </c>
    </row>
    <row r="17">
      <c r="A17" t="inlineStr">
        <is>
          <t>5. Record all evidence in the Evidence Register sheet.</t>
        </is>
      </c>
    </row>
    <row r="18">
      <c r="A18" t="inlineStr">
        <is>
          <t>6. Complete the Approval Sign-Off sheet when assessment is finished.</t>
        </is>
      </c>
    </row>
    <row r="19">
      <c r="A19" t="inlineStr">
        <is>
          <t>7. Use dropdown lists where provided for consistent data entry.</t>
        </is>
      </c>
    </row>
    <row r="20">
      <c r="A20" t="inlineStr">
        <is>
          <t>8. Add rows as needed — formulas auto-extend for new data.</t>
        </is>
      </c>
    </row>
    <row r="21">
      <c r="A21" t="inlineStr">
        <is>
          <t>9. Save completed workbook with date suffix for version tracking.</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4"/>
  <sheetViews>
    <sheetView showGridLines="0" workbookViewId="0">
      <pane ySplit="3" topLeftCell="A4" activePane="bottomLeft" state="frozen"/>
      <selection pane="bottomLeft" activeCell="A1" sqref="A1"/>
    </sheetView>
  </sheetViews>
  <sheetFormatPr baseColWidth="8" defaultRowHeight="15"/>
  <cols>
    <col width="28" customWidth="1" min="1" max="1"/>
    <col width="12" customWidth="1" min="2" max="2"/>
    <col width="20" customWidth="1" min="3" max="3"/>
    <col width="20" customWidth="1" min="4" max="4"/>
    <col width="12" customWidth="1" min="5" max="5"/>
    <col width="35" customWidth="1" min="6" max="6"/>
    <col width="15" customWidth="1" min="7" max="7"/>
    <col width="10" customWidth="1" min="8" max="8"/>
    <col width="18" customWidth="1" min="9" max="9"/>
    <col width="22" customWidth="1" min="10" max="10"/>
    <col width="15" customWidth="1" min="11" max="11"/>
    <col width="12" customWidth="1" min="12" max="12"/>
    <col width="40" customWidth="1" min="13" max="13"/>
  </cols>
  <sheetData>
    <row r="1" ht="35" customHeight="1">
      <c r="A1" s="11" t="inlineStr">
        <is>
          <t>SYSTEM INVENTORY</t>
        </is>
      </c>
    </row>
    <row r="2">
      <c r="A2" s="12" t="inlineStr">
        <is>
          <t>Record all systems and verify NTP synchronisation status and drift compliance</t>
        </is>
      </c>
    </row>
    <row r="3">
      <c r="A3" s="13" t="inlineStr">
        <is>
          <t>System Name [*]</t>
        </is>
      </c>
      <c r="B3" s="13" t="inlineStr">
        <is>
          <t>Asset ID</t>
        </is>
      </c>
      <c r="C3" s="13" t="inlineStr">
        <is>
          <t>Type [*]</t>
        </is>
      </c>
      <c r="D3" s="13" t="inlineStr">
        <is>
          <t>OS/Platform</t>
        </is>
      </c>
      <c r="E3" s="13" t="inlineStr">
        <is>
          <t>Criticality</t>
        </is>
      </c>
      <c r="F3" s="13" t="inlineStr">
        <is>
          <t>NTP Server(s) Configured [*]</t>
        </is>
      </c>
      <c r="G3" s="13" t="inlineStr">
        <is>
          <t>Sync Status [*]</t>
        </is>
      </c>
      <c r="H3" s="13" t="inlineStr">
        <is>
          <t>Stratum</t>
        </is>
      </c>
      <c r="I3" s="13" t="inlineStr">
        <is>
          <t>Current Drift (ms) [*]</t>
        </is>
      </c>
      <c r="J3" s="13" t="inlineStr">
        <is>
          <t>Last Sync Time</t>
        </is>
      </c>
      <c r="K3" s="13" t="inlineStr">
        <is>
          <t>Last Verified [*]</t>
        </is>
      </c>
      <c r="L3" s="13" t="inlineStr">
        <is>
          <t>Compliance</t>
        </is>
      </c>
      <c r="M3" s="13" t="inlineStr">
        <is>
          <t>Notes</t>
        </is>
      </c>
    </row>
    <row r="4">
      <c r="A4" s="14" t="inlineStr">
        <is>
          <t>web-server-01.org.local</t>
        </is>
      </c>
      <c r="B4" s="14" t="inlineStr">
        <is>
          <t>SRV-001</t>
        </is>
      </c>
      <c r="C4" s="14" t="inlineStr">
        <is>
          <t>Server-Physical</t>
        </is>
      </c>
      <c r="D4" s="14" t="inlineStr">
        <is>
          <t>Ubuntu 22.04</t>
        </is>
      </c>
      <c r="E4" s="14" t="inlineStr">
        <is>
          <t>High</t>
        </is>
      </c>
      <c r="F4" s="14" t="inlineStr">
        <is>
          <t>ntp1.organisation.local, ntp2.organisation.local</t>
        </is>
      </c>
      <c r="G4" s="14" t="inlineStr">
        <is>
          <t>✅ Synced</t>
        </is>
      </c>
      <c r="H4" s="15" t="inlineStr">
        <is>
          <t>3</t>
        </is>
      </c>
      <c r="I4" s="15" t="inlineStr">
        <is>
          <t>0.5</t>
        </is>
      </c>
      <c r="J4" s="14" t="inlineStr">
        <is>
          <t>07.03.2026 12:28:13</t>
        </is>
      </c>
      <c r="K4" s="14" t="inlineStr">
        <is>
          <t>07.03.2026</t>
        </is>
      </c>
      <c r="L4" s="14">
        <f>IF(G8="✅ Synced",IF(E8="Critical",IF(ABS(I8)&lt;=100,"✅ PASS","❌ FAIL"),IF(ABS(I8)&lt;=1000,"✅ PASS","❌ FAIL")),"❌ FAIL")</f>
        <v/>
      </c>
      <c r="M4" s="14" t="inlineStr">
        <is>
          <t>Verified via chronyc tracking</t>
        </is>
      </c>
    </row>
    <row r="5">
      <c r="A5" s="16" t="inlineStr">
        <is>
          <t>db-server-01.org.local</t>
        </is>
      </c>
      <c r="B5" s="16" t="inlineStr">
        <is>
          <t>SRV-002</t>
        </is>
      </c>
      <c r="C5" s="16" t="inlineStr">
        <is>
          <t>Server-Virtual</t>
        </is>
      </c>
      <c r="D5" s="16" t="inlineStr">
        <is>
          <t>Windows Server 2022</t>
        </is>
      </c>
      <c r="E5" s="16" t="inlineStr">
        <is>
          <t>Critical</t>
        </is>
      </c>
      <c r="F5" s="16" t="inlineStr">
        <is>
          <t>ntp1.organisation.local, ntp2.organisation.local</t>
        </is>
      </c>
      <c r="G5" s="16" t="inlineStr">
        <is>
          <t>✅ Synced</t>
        </is>
      </c>
      <c r="H5" s="17" t="inlineStr">
        <is>
          <t>3</t>
        </is>
      </c>
      <c r="I5" s="17" t="inlineStr">
        <is>
          <t>25.3</t>
        </is>
      </c>
      <c r="J5" s="16" t="inlineStr">
        <is>
          <t>07.03.2026 12:28:13</t>
        </is>
      </c>
      <c r="K5" s="16" t="inlineStr">
        <is>
          <t>07.03.2026</t>
        </is>
      </c>
      <c r="L5" s="16">
        <f>IF(G8="✅ Synced",IF(E8="Critical",IF(ABS(I8)&lt;=100,"✅ PASS","❌ FAIL"),IF(ABS(I8)&lt;=1000,"✅ PASS","❌ FAIL")),"❌ FAIL")</f>
        <v/>
      </c>
      <c r="M5" s="16" t="inlineStr">
        <is>
          <t>Verified via w32tm</t>
        </is>
      </c>
    </row>
    <row r="6">
      <c r="A6" s="16" t="inlineStr">
        <is>
          <t>firewall-01.org.local</t>
        </is>
      </c>
      <c r="B6" s="16" t="inlineStr">
        <is>
          <t>NET-001</t>
        </is>
      </c>
      <c r="C6" s="16" t="inlineStr">
        <is>
          <t>Network Device</t>
        </is>
      </c>
      <c r="D6" s="16" t="inlineStr">
        <is>
          <t>Cisco ASA</t>
        </is>
      </c>
      <c r="E6" s="16" t="inlineStr">
        <is>
          <t>Critical</t>
        </is>
      </c>
      <c r="F6" s="16" t="inlineStr">
        <is>
          <t>10.0.1.10, 10.0.1.11</t>
        </is>
      </c>
      <c r="G6" s="16" t="inlineStr">
        <is>
          <t>✅ Synced</t>
        </is>
      </c>
      <c r="H6" s="17" t="inlineStr">
        <is>
          <t>3</t>
        </is>
      </c>
      <c r="I6" s="17" t="inlineStr">
        <is>
          <t>15.7</t>
        </is>
      </c>
      <c r="J6" s="16" t="inlineStr">
        <is>
          <t>07.03.2026 12:28:13</t>
        </is>
      </c>
      <c r="K6" s="16" t="inlineStr">
        <is>
          <t>07.03.2026</t>
        </is>
      </c>
      <c r="L6" s="16">
        <f>IF(G8="✅ Synced",IF(E8="Critical",IF(ABS(I8)&lt;=100,"✅ PASS","❌ FAIL"),IF(ABS(I8)&lt;=1000,"✅ PASS","❌ FAIL")),"❌ FAIL")</f>
        <v/>
      </c>
      <c r="M6" s="16" t="inlineStr">
        <is>
          <t>Verified via show ntp status</t>
        </is>
      </c>
    </row>
    <row r="7">
      <c r="A7" s="16" t="inlineStr">
        <is>
          <t>siem-01.org.local</t>
        </is>
      </c>
      <c r="B7" s="16" t="inlineStr">
        <is>
          <t>SEC-001</t>
        </is>
      </c>
      <c r="C7" s="16" t="inlineStr">
        <is>
          <t>Security Appliance</t>
        </is>
      </c>
      <c r="D7" s="16" t="inlineStr">
        <is>
          <t>Splunk Enterprise</t>
        </is>
      </c>
      <c r="E7" s="16" t="inlineStr">
        <is>
          <t>Critical</t>
        </is>
      </c>
      <c r="F7" s="16" t="inlineStr">
        <is>
          <t>ntp1.organisation.local, ntp2.organisation.local</t>
        </is>
      </c>
      <c r="G7" s="16" t="inlineStr">
        <is>
          <t>❌ Not Synced</t>
        </is>
      </c>
      <c r="H7" s="17" t="inlineStr">
        <is>
          <t>16</t>
        </is>
      </c>
      <c r="I7" s="17" t="inlineStr">
        <is>
          <t>1500.0</t>
        </is>
      </c>
      <c r="J7" s="16" t="inlineStr">
        <is>
          <t>N/A</t>
        </is>
      </c>
      <c r="K7" s="16" t="inlineStr">
        <is>
          <t>07.03.2026</t>
        </is>
      </c>
      <c r="L7" s="16">
        <f>IF(G8="✅ Synced",IF(E8="Critical",IF(ABS(I8)&lt;=100,"✅ PASS","❌ FAIL"),IF(ABS(I8)&lt;=1000,"✅ PASS","❌ FAIL")),"❌ FAIL")</f>
        <v/>
      </c>
      <c r="M7" s="16" t="inlineStr">
        <is>
          <t>NTP service not configured - REQUIRES REMEDIATION</t>
        </is>
      </c>
    </row>
    <row r="8">
      <c r="A8" s="16" t="inlineStr">
        <is>
          <t>app-server-03.org.local</t>
        </is>
      </c>
      <c r="B8" s="16" t="inlineStr">
        <is>
          <t>SRV-005</t>
        </is>
      </c>
      <c r="C8" s="16" t="inlineStr">
        <is>
          <t>Server-Cloud</t>
        </is>
      </c>
      <c r="D8" s="16" t="inlineStr">
        <is>
          <t>Amazon Linux 2</t>
        </is>
      </c>
      <c r="E8" s="16" t="inlineStr">
        <is>
          <t>Medium</t>
        </is>
      </c>
      <c r="F8" s="16" t="inlineStr">
        <is>
          <t>169.254.169.123 (AWS Time Sync)</t>
        </is>
      </c>
      <c r="G8" s="16" t="inlineStr">
        <is>
          <t>✅ Synced</t>
        </is>
      </c>
      <c r="H8" s="17" t="inlineStr">
        <is>
          <t>3</t>
        </is>
      </c>
      <c r="I8" s="17" t="inlineStr">
        <is>
          <t>2.1</t>
        </is>
      </c>
      <c r="J8" s="16" t="inlineStr">
        <is>
          <t>07.03.2026 12:28:13</t>
        </is>
      </c>
      <c r="K8" s="16" t="inlineStr">
        <is>
          <t>07.03.2026</t>
        </is>
      </c>
      <c r="L8" s="16">
        <f>IF(G8="✅ Synced",IF(E8="Critical",IF(ABS(I8)&lt;=100,"✅ PASS","❌ FAIL"),IF(ABS(I8)&lt;=1000,"✅ PASS","❌ FAIL")),"❌ FAIL")</f>
        <v/>
      </c>
      <c r="M8" s="16" t="inlineStr">
        <is>
          <t>Using AWS Time Sync Service</t>
        </is>
      </c>
    </row>
    <row r="9">
      <c r="A9" s="18" t="n"/>
      <c r="B9" s="18" t="n"/>
      <c r="C9" s="18" t="n"/>
      <c r="D9" s="18" t="n"/>
      <c r="E9" s="18" t="n"/>
      <c r="F9" s="18" t="n"/>
      <c r="G9" s="18" t="n"/>
      <c r="H9" s="18" t="n"/>
      <c r="I9" s="18" t="n"/>
      <c r="J9" s="18" t="n"/>
      <c r="K9" s="18" t="n"/>
      <c r="L9" s="18">
        <f>IF(G9="✅ Synced",IF(E9="Critical",IF(ABS(I9)&lt;=100,"✅ PASS","❌ FAIL"),IF(ABS(I9)&lt;=1000,"✅ PASS","❌ FAIL")),"❌ FAIL")</f>
        <v/>
      </c>
      <c r="M9" s="18" t="n"/>
    </row>
    <row r="10">
      <c r="A10" s="18" t="n"/>
      <c r="B10" s="18" t="n"/>
      <c r="C10" s="18" t="n"/>
      <c r="D10" s="18" t="n"/>
      <c r="E10" s="18" t="n"/>
      <c r="F10" s="18" t="n"/>
      <c r="G10" s="18" t="n"/>
      <c r="H10" s="18" t="n"/>
      <c r="I10" s="18" t="n"/>
      <c r="J10" s="18" t="n"/>
      <c r="K10" s="18" t="n"/>
      <c r="L10" s="18">
        <f>IF(G10="✅ Synced",IF(E10="Critical",IF(ABS(I10)&lt;=100,"✅ PASS","❌ FAIL"),IF(ABS(I10)&lt;=1000,"✅ PASS","❌ FAIL")),"❌ FAIL")</f>
        <v/>
      </c>
      <c r="M10" s="18" t="n"/>
    </row>
    <row r="11">
      <c r="A11" s="18" t="n"/>
      <c r="B11" s="18" t="n"/>
      <c r="C11" s="18" t="n"/>
      <c r="D11" s="18" t="n"/>
      <c r="E11" s="18" t="n"/>
      <c r="F11" s="18" t="n"/>
      <c r="G11" s="18" t="n"/>
      <c r="H11" s="18" t="n"/>
      <c r="I11" s="18" t="n"/>
      <c r="J11" s="18" t="n"/>
      <c r="K11" s="18" t="n"/>
      <c r="L11" s="18">
        <f>IF(G11="✅ Synced",IF(E11="Critical",IF(ABS(I11)&lt;=100,"✅ PASS","❌ FAIL"),IF(ABS(I11)&lt;=1000,"✅ PASS","❌ FAIL")),"❌ FAIL")</f>
        <v/>
      </c>
      <c r="M11" s="18" t="n"/>
    </row>
    <row r="12">
      <c r="A12" s="18" t="n"/>
      <c r="B12" s="18" t="n"/>
      <c r="C12" s="18" t="n"/>
      <c r="D12" s="18" t="n"/>
      <c r="E12" s="18" t="n"/>
      <c r="F12" s="18" t="n"/>
      <c r="G12" s="18" t="n"/>
      <c r="H12" s="18" t="n"/>
      <c r="I12" s="18" t="n"/>
      <c r="J12" s="18" t="n"/>
      <c r="K12" s="18" t="n"/>
      <c r="L12" s="18">
        <f>IF(G12="✅ Synced",IF(E12="Critical",IF(ABS(I12)&lt;=100,"✅ PASS","❌ FAIL"),IF(ABS(I12)&lt;=1000,"✅ PASS","❌ FAIL")),"❌ FAIL")</f>
        <v/>
      </c>
      <c r="M12" s="18" t="n"/>
    </row>
    <row r="13">
      <c r="A13" s="18" t="n"/>
      <c r="B13" s="18" t="n"/>
      <c r="C13" s="18" t="n"/>
      <c r="D13" s="18" t="n"/>
      <c r="E13" s="18" t="n"/>
      <c r="F13" s="18" t="n"/>
      <c r="G13" s="18" t="n"/>
      <c r="H13" s="18" t="n"/>
      <c r="I13" s="18" t="n"/>
      <c r="J13" s="18" t="n"/>
      <c r="K13" s="18" t="n"/>
      <c r="L13" s="18">
        <f>IF(G13="✅ Synced",IF(E13="Critical",IF(ABS(I13)&lt;=100,"✅ PASS","❌ FAIL"),IF(ABS(I13)&lt;=1000,"✅ PASS","❌ FAIL")),"❌ FAIL")</f>
        <v/>
      </c>
      <c r="M13" s="18" t="n"/>
    </row>
    <row r="14">
      <c r="A14" s="18" t="n"/>
      <c r="B14" s="18" t="n"/>
      <c r="C14" s="18" t="n"/>
      <c r="D14" s="18" t="n"/>
      <c r="E14" s="18" t="n"/>
      <c r="F14" s="18" t="n"/>
      <c r="G14" s="18" t="n"/>
      <c r="H14" s="18" t="n"/>
      <c r="I14" s="18" t="n"/>
      <c r="J14" s="18" t="n"/>
      <c r="K14" s="18" t="n"/>
      <c r="L14" s="18">
        <f>IF(G14="✅ Synced",IF(E14="Critical",IF(ABS(I14)&lt;=100,"✅ PASS","❌ FAIL"),IF(ABS(I14)&lt;=1000,"✅ PASS","❌ FAIL")),"❌ FAIL")</f>
        <v/>
      </c>
      <c r="M14" s="18" t="n"/>
    </row>
    <row r="15">
      <c r="A15" s="18" t="n"/>
      <c r="B15" s="18" t="n"/>
      <c r="C15" s="18" t="n"/>
      <c r="D15" s="18" t="n"/>
      <c r="E15" s="18" t="n"/>
      <c r="F15" s="18" t="n"/>
      <c r="G15" s="18" t="n"/>
      <c r="H15" s="18" t="n"/>
      <c r="I15" s="18" t="n"/>
      <c r="J15" s="18" t="n"/>
      <c r="K15" s="18" t="n"/>
      <c r="L15" s="18">
        <f>IF(G15="✅ Synced",IF(E15="Critical",IF(ABS(I15)&lt;=100,"✅ PASS","❌ FAIL"),IF(ABS(I15)&lt;=1000,"✅ PASS","❌ FAIL")),"❌ FAIL")</f>
        <v/>
      </c>
      <c r="M15" s="18" t="n"/>
    </row>
    <row r="16">
      <c r="A16" s="18" t="n"/>
      <c r="B16" s="18" t="n"/>
      <c r="C16" s="18" t="n"/>
      <c r="D16" s="18" t="n"/>
      <c r="E16" s="18" t="n"/>
      <c r="F16" s="18" t="n"/>
      <c r="G16" s="18" t="n"/>
      <c r="H16" s="18" t="n"/>
      <c r="I16" s="18" t="n"/>
      <c r="J16" s="18" t="n"/>
      <c r="K16" s="18" t="n"/>
      <c r="L16" s="18">
        <f>IF(G16="✅ Synced",IF(E16="Critical",IF(ABS(I16)&lt;=100,"✅ PASS","❌ FAIL"),IF(ABS(I16)&lt;=1000,"✅ PASS","❌ FAIL")),"❌ FAIL")</f>
        <v/>
      </c>
      <c r="M16" s="18" t="n"/>
    </row>
    <row r="17">
      <c r="A17" s="18" t="n"/>
      <c r="B17" s="18" t="n"/>
      <c r="C17" s="18" t="n"/>
      <c r="D17" s="18" t="n"/>
      <c r="E17" s="18" t="n"/>
      <c r="F17" s="18" t="n"/>
      <c r="G17" s="18" t="n"/>
      <c r="H17" s="18" t="n"/>
      <c r="I17" s="18" t="n"/>
      <c r="J17" s="18" t="n"/>
      <c r="K17" s="18" t="n"/>
      <c r="L17" s="18">
        <f>IF(G17="✅ Synced",IF(E17="Critical",IF(ABS(I17)&lt;=100,"✅ PASS","❌ FAIL"),IF(ABS(I17)&lt;=1000,"✅ PASS","❌ FAIL")),"❌ FAIL")</f>
        <v/>
      </c>
      <c r="M17" s="18" t="n"/>
    </row>
    <row r="18">
      <c r="A18" s="18" t="n"/>
      <c r="B18" s="18" t="n"/>
      <c r="C18" s="18" t="n"/>
      <c r="D18" s="18" t="n"/>
      <c r="E18" s="18" t="n"/>
      <c r="F18" s="18" t="n"/>
      <c r="G18" s="18" t="n"/>
      <c r="H18" s="18" t="n"/>
      <c r="I18" s="18" t="n"/>
      <c r="J18" s="18" t="n"/>
      <c r="K18" s="18" t="n"/>
      <c r="L18" s="18">
        <f>IF(G18="✅ Synced",IF(E18="Critical",IF(ABS(I18)&lt;=100,"✅ PASS","❌ FAIL"),IF(ABS(I18)&lt;=1000,"✅ PASS","❌ FAIL")),"❌ FAIL")</f>
        <v/>
      </c>
      <c r="M18" s="18" t="n"/>
    </row>
    <row r="19">
      <c r="A19" s="18" t="n"/>
      <c r="B19" s="18" t="n"/>
      <c r="C19" s="18" t="n"/>
      <c r="D19" s="18" t="n"/>
      <c r="E19" s="18" t="n"/>
      <c r="F19" s="18" t="n"/>
      <c r="G19" s="18" t="n"/>
      <c r="H19" s="18" t="n"/>
      <c r="I19" s="18" t="n"/>
      <c r="J19" s="18" t="n"/>
      <c r="K19" s="18" t="n"/>
      <c r="L19" s="18">
        <f>IF(G19="✅ Synced",IF(E19="Critical",IF(ABS(I19)&lt;=100,"✅ PASS","❌ FAIL"),IF(ABS(I19)&lt;=1000,"✅ PASS","❌ FAIL")),"❌ FAIL")</f>
        <v/>
      </c>
      <c r="M19" s="18" t="n"/>
    </row>
    <row r="20">
      <c r="A20" s="18" t="n"/>
      <c r="B20" s="18" t="n"/>
      <c r="C20" s="18" t="n"/>
      <c r="D20" s="18" t="n"/>
      <c r="E20" s="18" t="n"/>
      <c r="F20" s="18" t="n"/>
      <c r="G20" s="18" t="n"/>
      <c r="H20" s="18" t="n"/>
      <c r="I20" s="18" t="n"/>
      <c r="J20" s="18" t="n"/>
      <c r="K20" s="18" t="n"/>
      <c r="L20" s="18">
        <f>IF(G20="✅ Synced",IF(E20="Critical",IF(ABS(I20)&lt;=100,"✅ PASS","❌ FAIL"),IF(ABS(I20)&lt;=1000,"✅ PASS","❌ FAIL")),"❌ FAIL")</f>
        <v/>
      </c>
      <c r="M20" s="18" t="n"/>
    </row>
    <row r="21">
      <c r="A21" s="18" t="n"/>
      <c r="B21" s="18" t="n"/>
      <c r="C21" s="18" t="n"/>
      <c r="D21" s="18" t="n"/>
      <c r="E21" s="18" t="n"/>
      <c r="F21" s="18" t="n"/>
      <c r="G21" s="18" t="n"/>
      <c r="H21" s="18" t="n"/>
      <c r="I21" s="18" t="n"/>
      <c r="J21" s="18" t="n"/>
      <c r="K21" s="18" t="n"/>
      <c r="L21" s="18">
        <f>IF(G21="✅ Synced",IF(E21="Critical",IF(ABS(I21)&lt;=100,"✅ PASS","❌ FAIL"),IF(ABS(I21)&lt;=1000,"✅ PASS","❌ FAIL")),"❌ FAIL")</f>
        <v/>
      </c>
      <c r="M21" s="18" t="n"/>
    </row>
    <row r="22">
      <c r="A22" s="18" t="n"/>
      <c r="B22" s="18" t="n"/>
      <c r="C22" s="18" t="n"/>
      <c r="D22" s="18" t="n"/>
      <c r="E22" s="18" t="n"/>
      <c r="F22" s="18" t="n"/>
      <c r="G22" s="18" t="n"/>
      <c r="H22" s="18" t="n"/>
      <c r="I22" s="18" t="n"/>
      <c r="J22" s="18" t="n"/>
      <c r="K22" s="18" t="n"/>
      <c r="L22" s="18">
        <f>IF(G22="✅ Synced",IF(E22="Critical",IF(ABS(I22)&lt;=100,"✅ PASS","❌ FAIL"),IF(ABS(I22)&lt;=1000,"✅ PASS","❌ FAIL")),"❌ FAIL")</f>
        <v/>
      </c>
      <c r="M22" s="18" t="n"/>
    </row>
    <row r="23">
      <c r="A23" s="18" t="n"/>
      <c r="B23" s="18" t="n"/>
      <c r="C23" s="18" t="n"/>
      <c r="D23" s="18" t="n"/>
      <c r="E23" s="18" t="n"/>
      <c r="F23" s="18" t="n"/>
      <c r="G23" s="18" t="n"/>
      <c r="H23" s="18" t="n"/>
      <c r="I23" s="18" t="n"/>
      <c r="J23" s="18" t="n"/>
      <c r="K23" s="18" t="n"/>
      <c r="L23" s="18">
        <f>IF(G23="✅ Synced",IF(E23="Critical",IF(ABS(I23)&lt;=100,"✅ PASS","❌ FAIL"),IF(ABS(I23)&lt;=1000,"✅ PASS","❌ FAIL")),"❌ FAIL")</f>
        <v/>
      </c>
      <c r="M23" s="18" t="n"/>
    </row>
    <row r="24">
      <c r="A24" s="18" t="n"/>
      <c r="B24" s="18" t="n"/>
      <c r="C24" s="18" t="n"/>
      <c r="D24" s="18" t="n"/>
      <c r="E24" s="18" t="n"/>
      <c r="F24" s="18" t="n"/>
      <c r="G24" s="18" t="n"/>
      <c r="H24" s="18" t="n"/>
      <c r="I24" s="18" t="n"/>
      <c r="J24" s="18" t="n"/>
      <c r="K24" s="18" t="n"/>
      <c r="L24" s="18">
        <f>IF(G24="✅ Synced",IF(E24="Critical",IF(ABS(I24)&lt;=100,"✅ PASS","❌ FAIL"),IF(ABS(I24)&lt;=1000,"✅ PASS","❌ FAIL")),"❌ FAIL")</f>
        <v/>
      </c>
      <c r="M24" s="18" t="n"/>
    </row>
    <row r="25">
      <c r="A25" s="18" t="n"/>
      <c r="B25" s="18" t="n"/>
      <c r="C25" s="18" t="n"/>
      <c r="D25" s="18" t="n"/>
      <c r="E25" s="18" t="n"/>
      <c r="F25" s="18" t="n"/>
      <c r="G25" s="18" t="n"/>
      <c r="H25" s="18" t="n"/>
      <c r="I25" s="18" t="n"/>
      <c r="J25" s="18" t="n"/>
      <c r="K25" s="18" t="n"/>
      <c r="L25" s="18">
        <f>IF(G25="✅ Synced",IF(E25="Critical",IF(ABS(I25)&lt;=100,"✅ PASS","❌ FAIL"),IF(ABS(I25)&lt;=1000,"✅ PASS","❌ FAIL")),"❌ FAIL")</f>
        <v/>
      </c>
      <c r="M25" s="18" t="n"/>
    </row>
    <row r="26">
      <c r="A26" s="18" t="n"/>
      <c r="B26" s="18" t="n"/>
      <c r="C26" s="18" t="n"/>
      <c r="D26" s="18" t="n"/>
      <c r="E26" s="18" t="n"/>
      <c r="F26" s="18" t="n"/>
      <c r="G26" s="18" t="n"/>
      <c r="H26" s="18" t="n"/>
      <c r="I26" s="18" t="n"/>
      <c r="J26" s="18" t="n"/>
      <c r="K26" s="18" t="n"/>
      <c r="L26" s="18">
        <f>IF(G26="✅ Synced",IF(E26="Critical",IF(ABS(I26)&lt;=100,"✅ PASS","❌ FAIL"),IF(ABS(I26)&lt;=1000,"✅ PASS","❌ FAIL")),"❌ FAIL")</f>
        <v/>
      </c>
      <c r="M26" s="18" t="n"/>
    </row>
    <row r="27">
      <c r="A27" s="18" t="n"/>
      <c r="B27" s="18" t="n"/>
      <c r="C27" s="18" t="n"/>
      <c r="D27" s="18" t="n"/>
      <c r="E27" s="18" t="n"/>
      <c r="F27" s="18" t="n"/>
      <c r="G27" s="18" t="n"/>
      <c r="H27" s="18" t="n"/>
      <c r="I27" s="18" t="n"/>
      <c r="J27" s="18" t="n"/>
      <c r="K27" s="18" t="n"/>
      <c r="L27" s="18">
        <f>IF(G27="✅ Synced",IF(E27="Critical",IF(ABS(I27)&lt;=100,"✅ PASS","❌ FAIL"),IF(ABS(I27)&lt;=1000,"✅ PASS","❌ FAIL")),"❌ FAIL")</f>
        <v/>
      </c>
      <c r="M27" s="18" t="n"/>
    </row>
    <row r="28">
      <c r="A28" s="18" t="n"/>
      <c r="B28" s="18" t="n"/>
      <c r="C28" s="18" t="n"/>
      <c r="D28" s="18" t="n"/>
      <c r="E28" s="18" t="n"/>
      <c r="F28" s="18" t="n"/>
      <c r="G28" s="18" t="n"/>
      <c r="H28" s="18" t="n"/>
      <c r="I28" s="18" t="n"/>
      <c r="J28" s="18" t="n"/>
      <c r="K28" s="18" t="n"/>
      <c r="L28" s="18">
        <f>IF(G28="✅ Synced",IF(E28="Critical",IF(ABS(I28)&lt;=100,"✅ PASS","❌ FAIL"),IF(ABS(I28)&lt;=1000,"✅ PASS","❌ FAIL")),"❌ FAIL")</f>
        <v/>
      </c>
      <c r="M28" s="18" t="n"/>
    </row>
    <row r="29">
      <c r="A29" s="18" t="n"/>
      <c r="B29" s="18" t="n"/>
      <c r="C29" s="18" t="n"/>
      <c r="D29" s="18" t="n"/>
      <c r="E29" s="18" t="n"/>
      <c r="F29" s="18" t="n"/>
      <c r="G29" s="18" t="n"/>
      <c r="H29" s="18" t="n"/>
      <c r="I29" s="18" t="n"/>
      <c r="J29" s="18" t="n"/>
      <c r="K29" s="18" t="n"/>
      <c r="L29" s="18">
        <f>IF(G29="✅ Synced",IF(E29="Critical",IF(ABS(I29)&lt;=100,"✅ PASS","❌ FAIL"),IF(ABS(I29)&lt;=1000,"✅ PASS","❌ FAIL")),"❌ FAIL")</f>
        <v/>
      </c>
      <c r="M29" s="18" t="n"/>
    </row>
    <row r="30">
      <c r="A30" s="18" t="n"/>
      <c r="B30" s="18" t="n"/>
      <c r="C30" s="18" t="n"/>
      <c r="D30" s="18" t="n"/>
      <c r="E30" s="18" t="n"/>
      <c r="F30" s="18" t="n"/>
      <c r="G30" s="18" t="n"/>
      <c r="H30" s="18" t="n"/>
      <c r="I30" s="18" t="n"/>
      <c r="J30" s="18" t="n"/>
      <c r="K30" s="18" t="n"/>
      <c r="L30" s="18">
        <f>IF(G30="✅ Synced",IF(E30="Critical",IF(ABS(I30)&lt;=100,"✅ PASS","❌ FAIL"),IF(ABS(I30)&lt;=1000,"✅ PASS","❌ FAIL")),"❌ FAIL")</f>
        <v/>
      </c>
      <c r="M30" s="18" t="n"/>
    </row>
    <row r="31">
      <c r="A31" s="18" t="n"/>
      <c r="B31" s="18" t="n"/>
      <c r="C31" s="18" t="n"/>
      <c r="D31" s="18" t="n"/>
      <c r="E31" s="18" t="n"/>
      <c r="F31" s="18" t="n"/>
      <c r="G31" s="18" t="n"/>
      <c r="H31" s="18" t="n"/>
      <c r="I31" s="18" t="n"/>
      <c r="J31" s="18" t="n"/>
      <c r="K31" s="18" t="n"/>
      <c r="L31" s="18">
        <f>IF(G31="✅ Synced",IF(E31="Critical",IF(ABS(I31)&lt;=100,"✅ PASS","❌ FAIL"),IF(ABS(I31)&lt;=1000,"✅ PASS","❌ FAIL")),"❌ FAIL")</f>
        <v/>
      </c>
      <c r="M31" s="18" t="n"/>
    </row>
    <row r="32">
      <c r="A32" s="18" t="n"/>
      <c r="B32" s="18" t="n"/>
      <c r="C32" s="18" t="n"/>
      <c r="D32" s="18" t="n"/>
      <c r="E32" s="18" t="n"/>
      <c r="F32" s="18" t="n"/>
      <c r="G32" s="18" t="n"/>
      <c r="H32" s="18" t="n"/>
      <c r="I32" s="18" t="n"/>
      <c r="J32" s="18" t="n"/>
      <c r="K32" s="18" t="n"/>
      <c r="L32" s="18">
        <f>IF(G32="✅ Synced",IF(E32="Critical",IF(ABS(I32)&lt;=100,"✅ PASS","❌ FAIL"),IF(ABS(I32)&lt;=1000,"✅ PASS","❌ FAIL")),"❌ FAIL")</f>
        <v/>
      </c>
      <c r="M32" s="18" t="n"/>
    </row>
    <row r="33">
      <c r="A33" s="18" t="n"/>
      <c r="B33" s="18" t="n"/>
      <c r="C33" s="18" t="n"/>
      <c r="D33" s="18" t="n"/>
      <c r="E33" s="18" t="n"/>
      <c r="F33" s="18" t="n"/>
      <c r="G33" s="18" t="n"/>
      <c r="H33" s="18" t="n"/>
      <c r="I33" s="18" t="n"/>
      <c r="J33" s="18" t="n"/>
      <c r="K33" s="18" t="n"/>
      <c r="L33" s="18">
        <f>IF(G33="✅ Synced",IF(E33="Critical",IF(ABS(I33)&lt;=100,"✅ PASS","❌ FAIL"),IF(ABS(I33)&lt;=1000,"✅ PASS","❌ FAIL")),"❌ FAIL")</f>
        <v/>
      </c>
      <c r="M33" s="18" t="n"/>
    </row>
    <row r="34">
      <c r="A34" s="18" t="n"/>
      <c r="B34" s="18" t="n"/>
      <c r="C34" s="18" t="n"/>
      <c r="D34" s="18" t="n"/>
      <c r="E34" s="18" t="n"/>
      <c r="F34" s="18" t="n"/>
      <c r="G34" s="18" t="n"/>
      <c r="H34" s="18" t="n"/>
      <c r="I34" s="18" t="n"/>
      <c r="J34" s="18" t="n"/>
      <c r="K34" s="18" t="n"/>
      <c r="L34" s="18">
        <f>IF(G34="✅ Synced",IF(E34="Critical",IF(ABS(I34)&lt;=100,"✅ PASS","❌ FAIL"),IF(ABS(I34)&lt;=1000,"✅ PASS","❌ FAIL")),"❌ FAIL")</f>
        <v/>
      </c>
      <c r="M34" s="18" t="n"/>
    </row>
    <row r="35">
      <c r="A35" s="18" t="n"/>
      <c r="B35" s="18" t="n"/>
      <c r="C35" s="18" t="n"/>
      <c r="D35" s="18" t="n"/>
      <c r="E35" s="18" t="n"/>
      <c r="F35" s="18" t="n"/>
      <c r="G35" s="18" t="n"/>
      <c r="H35" s="18" t="n"/>
      <c r="I35" s="18" t="n"/>
      <c r="J35" s="18" t="n"/>
      <c r="K35" s="18" t="n"/>
      <c r="L35" s="18">
        <f>IF(G35="✅ Synced",IF(E35="Critical",IF(ABS(I35)&lt;=100,"✅ PASS","❌ FAIL"),IF(ABS(I35)&lt;=1000,"✅ PASS","❌ FAIL")),"❌ FAIL")</f>
        <v/>
      </c>
      <c r="M35" s="18" t="n"/>
    </row>
    <row r="36">
      <c r="A36" s="18" t="n"/>
      <c r="B36" s="18" t="n"/>
      <c r="C36" s="18" t="n"/>
      <c r="D36" s="18" t="n"/>
      <c r="E36" s="18" t="n"/>
      <c r="F36" s="18" t="n"/>
      <c r="G36" s="18" t="n"/>
      <c r="H36" s="18" t="n"/>
      <c r="I36" s="18" t="n"/>
      <c r="J36" s="18" t="n"/>
      <c r="K36" s="18" t="n"/>
      <c r="L36" s="18">
        <f>IF(G36="✅ Synced",IF(E36="Critical",IF(ABS(I36)&lt;=100,"✅ PASS","❌ FAIL"),IF(ABS(I36)&lt;=1000,"✅ PASS","❌ FAIL")),"❌ FAIL")</f>
        <v/>
      </c>
      <c r="M36" s="18" t="n"/>
    </row>
    <row r="37">
      <c r="A37" s="18" t="n"/>
      <c r="B37" s="18" t="n"/>
      <c r="C37" s="18" t="n"/>
      <c r="D37" s="18" t="n"/>
      <c r="E37" s="18" t="n"/>
      <c r="F37" s="18" t="n"/>
      <c r="G37" s="18" t="n"/>
      <c r="H37" s="18" t="n"/>
      <c r="I37" s="18" t="n"/>
      <c r="J37" s="18" t="n"/>
      <c r="K37" s="18" t="n"/>
      <c r="L37" s="18">
        <f>IF(G37="✅ Synced",IF(E37="Critical",IF(ABS(I37)&lt;=100,"✅ PASS","❌ FAIL"),IF(ABS(I37)&lt;=1000,"✅ PASS","❌ FAIL")),"❌ FAIL")</f>
        <v/>
      </c>
      <c r="M37" s="18" t="n"/>
    </row>
    <row r="38">
      <c r="A38" s="18" t="n"/>
      <c r="B38" s="18" t="n"/>
      <c r="C38" s="18" t="n"/>
      <c r="D38" s="18" t="n"/>
      <c r="E38" s="18" t="n"/>
      <c r="F38" s="18" t="n"/>
      <c r="G38" s="18" t="n"/>
      <c r="H38" s="18" t="n"/>
      <c r="I38" s="18" t="n"/>
      <c r="J38" s="18" t="n"/>
      <c r="K38" s="18" t="n"/>
      <c r="L38" s="18">
        <f>IF(G38="✅ Synced",IF(E38="Critical",IF(ABS(I38)&lt;=100,"✅ PASS","❌ FAIL"),IF(ABS(I38)&lt;=1000,"✅ PASS","❌ FAIL")),"❌ FAIL")</f>
        <v/>
      </c>
      <c r="M38" s="18" t="n"/>
    </row>
    <row r="39">
      <c r="A39" s="18" t="n"/>
      <c r="B39" s="18" t="n"/>
      <c r="C39" s="18" t="n"/>
      <c r="D39" s="18" t="n"/>
      <c r="E39" s="18" t="n"/>
      <c r="F39" s="18" t="n"/>
      <c r="G39" s="18" t="n"/>
      <c r="H39" s="18" t="n"/>
      <c r="I39" s="18" t="n"/>
      <c r="J39" s="18" t="n"/>
      <c r="K39" s="18" t="n"/>
      <c r="L39" s="18">
        <f>IF(G39="✅ Synced",IF(E39="Critical",IF(ABS(I39)&lt;=100,"✅ PASS","❌ FAIL"),IF(ABS(I39)&lt;=1000,"✅ PASS","❌ FAIL")),"❌ FAIL")</f>
        <v/>
      </c>
      <c r="M39" s="18" t="n"/>
    </row>
    <row r="40">
      <c r="A40" s="18" t="n"/>
      <c r="B40" s="18" t="n"/>
      <c r="C40" s="18" t="n"/>
      <c r="D40" s="18" t="n"/>
      <c r="E40" s="18" t="n"/>
      <c r="F40" s="18" t="n"/>
      <c r="G40" s="18" t="n"/>
      <c r="H40" s="18" t="n"/>
      <c r="I40" s="18" t="n"/>
      <c r="J40" s="18" t="n"/>
      <c r="K40" s="18" t="n"/>
      <c r="L40" s="18">
        <f>IF(G40="✅ Synced",IF(E40="Critical",IF(ABS(I40)&lt;=100,"✅ PASS","❌ FAIL"),IF(ABS(I40)&lt;=1000,"✅ PASS","❌ FAIL")),"❌ FAIL")</f>
        <v/>
      </c>
      <c r="M40" s="18" t="n"/>
    </row>
    <row r="41">
      <c r="A41" s="18" t="n"/>
      <c r="B41" s="18" t="n"/>
      <c r="C41" s="18" t="n"/>
      <c r="D41" s="18" t="n"/>
      <c r="E41" s="18" t="n"/>
      <c r="F41" s="18" t="n"/>
      <c r="G41" s="18" t="n"/>
      <c r="H41" s="18" t="n"/>
      <c r="I41" s="18" t="n"/>
      <c r="J41" s="18" t="n"/>
      <c r="K41" s="18" t="n"/>
      <c r="L41" s="18">
        <f>IF(G41="✅ Synced",IF(E41="Critical",IF(ABS(I41)&lt;=100,"✅ PASS","❌ FAIL"),IF(ABS(I41)&lt;=1000,"✅ PASS","❌ FAIL")),"❌ FAIL")</f>
        <v/>
      </c>
      <c r="M41" s="18" t="n"/>
    </row>
    <row r="42">
      <c r="A42" s="18" t="n"/>
      <c r="B42" s="18" t="n"/>
      <c r="C42" s="18" t="n"/>
      <c r="D42" s="18" t="n"/>
      <c r="E42" s="18" t="n"/>
      <c r="F42" s="18" t="n"/>
      <c r="G42" s="18" t="n"/>
      <c r="H42" s="18" t="n"/>
      <c r="I42" s="18" t="n"/>
      <c r="J42" s="18" t="n"/>
      <c r="K42" s="18" t="n"/>
      <c r="L42" s="18">
        <f>IF(G42="✅ Synced",IF(E42="Critical",IF(ABS(I42)&lt;=100,"✅ PASS","❌ FAIL"),IF(ABS(I42)&lt;=1000,"✅ PASS","❌ FAIL")),"❌ FAIL")</f>
        <v/>
      </c>
      <c r="M42" s="18" t="n"/>
    </row>
    <row r="43">
      <c r="A43" s="18" t="n"/>
      <c r="B43" s="18" t="n"/>
      <c r="C43" s="18" t="n"/>
      <c r="D43" s="18" t="n"/>
      <c r="E43" s="18" t="n"/>
      <c r="F43" s="18" t="n"/>
      <c r="G43" s="18" t="n"/>
      <c r="H43" s="18" t="n"/>
      <c r="I43" s="18" t="n"/>
      <c r="J43" s="18" t="n"/>
      <c r="K43" s="18" t="n"/>
      <c r="L43" s="18">
        <f>IF(G43="✅ Synced",IF(E43="Critical",IF(ABS(I43)&lt;=100,"✅ PASS","❌ FAIL"),IF(ABS(I43)&lt;=1000,"✅ PASS","❌ FAIL")),"❌ FAIL")</f>
        <v/>
      </c>
      <c r="M43" s="18" t="n"/>
    </row>
    <row r="44">
      <c r="A44" s="18" t="n"/>
      <c r="B44" s="18" t="n"/>
      <c r="C44" s="18" t="n"/>
      <c r="D44" s="18" t="n"/>
      <c r="E44" s="18" t="n"/>
      <c r="F44" s="18" t="n"/>
      <c r="G44" s="18" t="n"/>
      <c r="H44" s="18" t="n"/>
      <c r="I44" s="18" t="n"/>
      <c r="J44" s="18" t="n"/>
      <c r="K44" s="18" t="n"/>
      <c r="L44" s="18">
        <f>IF(G44="✅ Synced",IF(E44="Critical",IF(ABS(I44)&lt;=100,"✅ PASS","❌ FAIL"),IF(ABS(I44)&lt;=1000,"✅ PASS","❌ FAIL")),"❌ FAIL")</f>
        <v/>
      </c>
      <c r="M44" s="18" t="n"/>
    </row>
    <row r="45">
      <c r="A45" s="18" t="n"/>
      <c r="B45" s="18" t="n"/>
      <c r="C45" s="18" t="n"/>
      <c r="D45" s="18" t="n"/>
      <c r="E45" s="18" t="n"/>
      <c r="F45" s="18" t="n"/>
      <c r="G45" s="18" t="n"/>
      <c r="H45" s="18" t="n"/>
      <c r="I45" s="18" t="n"/>
      <c r="J45" s="18" t="n"/>
      <c r="K45" s="18" t="n"/>
      <c r="L45" s="18">
        <f>IF(G45="✅ Synced",IF(E45="Critical",IF(ABS(I45)&lt;=100,"✅ PASS","❌ FAIL"),IF(ABS(I45)&lt;=1000,"✅ PASS","❌ FAIL")),"❌ FAIL")</f>
        <v/>
      </c>
      <c r="M45" s="18" t="n"/>
    </row>
    <row r="46">
      <c r="A46" s="18" t="n"/>
      <c r="B46" s="18" t="n"/>
      <c r="C46" s="18" t="n"/>
      <c r="D46" s="18" t="n"/>
      <c r="E46" s="18" t="n"/>
      <c r="F46" s="18" t="n"/>
      <c r="G46" s="18" t="n"/>
      <c r="H46" s="18" t="n"/>
      <c r="I46" s="18" t="n"/>
      <c r="J46" s="18" t="n"/>
      <c r="K46" s="18" t="n"/>
      <c r="L46" s="18">
        <f>IF(G46="✅ Synced",IF(E46="Critical",IF(ABS(I46)&lt;=100,"✅ PASS","❌ FAIL"),IF(ABS(I46)&lt;=1000,"✅ PASS","❌ FAIL")),"❌ FAIL")</f>
        <v/>
      </c>
      <c r="M46" s="18" t="n"/>
    </row>
    <row r="47">
      <c r="A47" s="18" t="n"/>
      <c r="B47" s="18" t="n"/>
      <c r="C47" s="18" t="n"/>
      <c r="D47" s="18" t="n"/>
      <c r="E47" s="18" t="n"/>
      <c r="F47" s="18" t="n"/>
      <c r="G47" s="18" t="n"/>
      <c r="H47" s="18" t="n"/>
      <c r="I47" s="18" t="n"/>
      <c r="J47" s="18" t="n"/>
      <c r="K47" s="18" t="n"/>
      <c r="L47" s="18">
        <f>IF(G47="✅ Synced",IF(E47="Critical",IF(ABS(I47)&lt;=100,"✅ PASS","❌ FAIL"),IF(ABS(I47)&lt;=1000,"✅ PASS","❌ FAIL")),"❌ FAIL")</f>
        <v/>
      </c>
      <c r="M47" s="18" t="n"/>
    </row>
    <row r="48">
      <c r="A48" s="18" t="n"/>
      <c r="B48" s="18" t="n"/>
      <c r="C48" s="18" t="n"/>
      <c r="D48" s="18" t="n"/>
      <c r="E48" s="18" t="n"/>
      <c r="F48" s="18" t="n"/>
      <c r="G48" s="18" t="n"/>
      <c r="H48" s="18" t="n"/>
      <c r="I48" s="18" t="n"/>
      <c r="J48" s="18" t="n"/>
      <c r="K48" s="18" t="n"/>
      <c r="L48" s="18">
        <f>IF(G48="✅ Synced",IF(E48="Critical",IF(ABS(I48)&lt;=100,"✅ PASS","❌ FAIL"),IF(ABS(I48)&lt;=1000,"✅ PASS","❌ FAIL")),"❌ FAIL")</f>
        <v/>
      </c>
      <c r="M48" s="18" t="n"/>
    </row>
    <row r="49">
      <c r="A49" s="18" t="n"/>
      <c r="B49" s="18" t="n"/>
      <c r="C49" s="18" t="n"/>
      <c r="D49" s="18" t="n"/>
      <c r="E49" s="18" t="n"/>
      <c r="F49" s="18" t="n"/>
      <c r="G49" s="18" t="n"/>
      <c r="H49" s="18" t="n"/>
      <c r="I49" s="18" t="n"/>
      <c r="J49" s="18" t="n"/>
      <c r="K49" s="18" t="n"/>
      <c r="L49" s="18">
        <f>IF(G49="✅ Synced",IF(E49="Critical",IF(ABS(I49)&lt;=100,"✅ PASS","❌ FAIL"),IF(ABS(I49)&lt;=1000,"✅ PASS","❌ FAIL")),"❌ FAIL")</f>
        <v/>
      </c>
      <c r="M49" s="18" t="n"/>
    </row>
    <row r="50">
      <c r="A50" s="18" t="n"/>
      <c r="B50" s="18" t="n"/>
      <c r="C50" s="18" t="n"/>
      <c r="D50" s="18" t="n"/>
      <c r="E50" s="18" t="n"/>
      <c r="F50" s="18" t="n"/>
      <c r="G50" s="18" t="n"/>
      <c r="H50" s="18" t="n"/>
      <c r="I50" s="18" t="n"/>
      <c r="J50" s="18" t="n"/>
      <c r="K50" s="18" t="n"/>
      <c r="L50" s="18">
        <f>IF(G50="✅ Synced",IF(E50="Critical",IF(ABS(I50)&lt;=100,"✅ PASS","❌ FAIL"),IF(ABS(I50)&lt;=1000,"✅ PASS","❌ FAIL")),"❌ FAIL")</f>
        <v/>
      </c>
      <c r="M50" s="18" t="n"/>
    </row>
    <row r="51">
      <c r="A51" s="18" t="n"/>
      <c r="B51" s="18" t="n"/>
      <c r="C51" s="18" t="n"/>
      <c r="D51" s="18" t="n"/>
      <c r="E51" s="18" t="n"/>
      <c r="F51" s="18" t="n"/>
      <c r="G51" s="18" t="n"/>
      <c r="H51" s="18" t="n"/>
      <c r="I51" s="18" t="n"/>
      <c r="J51" s="18" t="n"/>
      <c r="K51" s="18" t="n"/>
      <c r="L51" s="18">
        <f>IF(G51="✅ Synced",IF(E51="Critical",IF(ABS(I51)&lt;=100,"✅ PASS","❌ FAIL"),IF(ABS(I51)&lt;=1000,"✅ PASS","❌ FAIL")),"❌ FAIL")</f>
        <v/>
      </c>
      <c r="M51" s="18" t="n"/>
    </row>
    <row r="52">
      <c r="A52" s="18" t="n"/>
      <c r="B52" s="18" t="n"/>
      <c r="C52" s="18" t="n"/>
      <c r="D52" s="18" t="n"/>
      <c r="E52" s="18" t="n"/>
      <c r="F52" s="18" t="n"/>
      <c r="G52" s="18" t="n"/>
      <c r="H52" s="18" t="n"/>
      <c r="I52" s="18" t="n"/>
      <c r="J52" s="18" t="n"/>
      <c r="K52" s="18" t="n"/>
      <c r="L52" s="18">
        <f>IF(G52="✅ Synced",IF(E52="Critical",IF(ABS(I52)&lt;=100,"✅ PASS","❌ FAIL"),IF(ABS(I52)&lt;=1000,"✅ PASS","❌ FAIL")),"❌ FAIL")</f>
        <v/>
      </c>
      <c r="M52" s="18" t="n"/>
    </row>
    <row r="53">
      <c r="A53" s="18" t="n"/>
      <c r="B53" s="18" t="n"/>
      <c r="C53" s="18" t="n"/>
      <c r="D53" s="18" t="n"/>
      <c r="E53" s="18" t="n"/>
      <c r="F53" s="18" t="n"/>
      <c r="G53" s="18" t="n"/>
      <c r="H53" s="18" t="n"/>
      <c r="I53" s="18" t="n"/>
      <c r="J53" s="18" t="n"/>
      <c r="K53" s="18" t="n"/>
      <c r="L53" s="18">
        <f>IF(G53="✅ Synced",IF(E53="Critical",IF(ABS(I53)&lt;=100,"✅ PASS","❌ FAIL"),IF(ABS(I53)&lt;=1000,"✅ PASS","❌ FAIL")),"❌ FAIL")</f>
        <v/>
      </c>
      <c r="M53" s="18" t="n"/>
    </row>
    <row r="54">
      <c r="A54" s="18" t="n"/>
      <c r="B54" s="18" t="n"/>
      <c r="C54" s="18" t="n"/>
      <c r="D54" s="18" t="n"/>
      <c r="E54" s="18" t="n"/>
      <c r="F54" s="18" t="n"/>
      <c r="G54" s="18" t="n"/>
      <c r="H54" s="18" t="n"/>
      <c r="I54" s="18" t="n"/>
      <c r="J54" s="18" t="n"/>
      <c r="K54" s="18" t="n"/>
      <c r="L54" s="18">
        <f>IF(G54="✅ Synced",IF(E54="Critical",IF(ABS(I54)&lt;=100,"✅ PASS","❌ FAIL"),IF(ABS(I54)&lt;=1000,"✅ PASS","❌ FAIL")),"❌ FAIL")</f>
        <v/>
      </c>
      <c r="M54" s="18" t="n"/>
    </row>
  </sheetData>
  <mergeCells count="2">
    <mergeCell ref="A2:M2"/>
    <mergeCell ref="A1:M1"/>
  </mergeCells>
  <dataValidations count="4">
    <dataValidation sqref="C4:C1000" showDropDown="0" showInputMessage="0" showErrorMessage="0" allowBlank="0" errorTitle="Invalid Type" error="Please select a valid system type" type="list">
      <formula1>"Server-Physical,Server-Virtual,Server-Cloud,Network Device,Security Appliance,Workstation,Container Host,IoT Device,Other"</formula1>
    </dataValidation>
    <dataValidation sqref="E4:E1000" showDropDown="0" showInputMessage="0" showErrorMessage="0" allowBlank="0" errorTitle="Invalid Criticality" error="Please select a valid criticality level" type="list">
      <formula1>"Critical,High,Medium,Low"</formula1>
    </dataValidation>
    <dataValidation sqref="G4:G1000" showDropDown="0" showInputMessage="0" showErrorMessage="0" allowBlank="0" errorTitle="Invalid Sync Status" error="Please select a valid sync status" type="list">
      <formula1>"✅ Synced,❌ Not Synced,⚠ Sync Failed,Unknown,Excluded"</formula1>
    </dataValidation>
    <dataValidation sqref="H4:H1000" showDropDown="0" showInputMessage="0" showErrorMessage="0" allowBlank="1" errorTitle="Invalid Stratum" error="Stratum must be 0-16 (16 = not synchronized)" type="whole">
      <formula1>0</formula1>
      <formula2>16</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7"/>
  <sheetViews>
    <sheetView showGridLines="0" workbookViewId="0">
      <selection activeCell="A1" sqref="A1"/>
    </sheetView>
  </sheetViews>
  <sheetFormatPr baseColWidth="8" defaultRowHeight="15"/>
  <cols>
    <col width="30" customWidth="1" min="1" max="1"/>
    <col width="20" customWidth="1" min="2" max="2"/>
    <col width="20" customWidth="1" min="3" max="3"/>
    <col width="30" customWidth="1" min="4" max="4"/>
  </cols>
  <sheetData>
    <row r="1" ht="35" customHeight="1">
      <c r="A1" s="11" t="inlineStr">
        <is>
          <t>TIME DRIFT STATISTICAL ANALYSIS</t>
        </is>
      </c>
    </row>
    <row r="2">
      <c r="A2" s="19" t="inlineStr">
        <is>
          <t>Analysis of time drift across all synchronized systems</t>
        </is>
      </c>
    </row>
    <row r="4">
      <c r="A4" s="20" t="inlineStr">
        <is>
          <t>Overall Drift Statistics</t>
        </is>
      </c>
    </row>
    <row r="5">
      <c r="A5" s="13" t="inlineStr">
        <is>
          <t>Metric</t>
        </is>
      </c>
      <c r="B5" s="13" t="inlineStr">
        <is>
          <t>Value</t>
        </is>
      </c>
      <c r="C5" s="13" t="inlineStr">
        <is>
          <t>Unit</t>
        </is>
      </c>
      <c r="D5" s="13" t="inlineStr">
        <is>
          <t>Notes</t>
        </is>
      </c>
    </row>
    <row r="6">
      <c r="A6" s="21" t="inlineStr">
        <is>
          <t>Total Systems Assessed</t>
        </is>
      </c>
      <c r="B6" s="21">
        <f>COUNTA('System Inventory'!A5:A54)</f>
        <v/>
      </c>
      <c r="C6" s="21" t="inlineStr">
        <is>
          <t>systems</t>
        </is>
      </c>
      <c r="D6" s="21" t="inlineStr">
        <is>
          <t>All systems in inventory</t>
        </is>
      </c>
    </row>
    <row r="7">
      <c r="A7" s="21" t="inlineStr">
        <is>
          <t>Systems Synchronized</t>
        </is>
      </c>
      <c r="B7" s="21">
        <f>COUNTIF('System Inventory'!G5:G54,"✅ Synced")</f>
        <v/>
      </c>
      <c r="C7" s="21" t="inlineStr">
        <is>
          <t>systems</t>
        </is>
      </c>
      <c r="D7" s="21" t="inlineStr">
        <is>
          <t>Stratum ≠ 16</t>
        </is>
      </c>
    </row>
    <row r="8">
      <c r="A8" s="21" t="inlineStr">
        <is>
          <t>Systems Not Synchronized</t>
        </is>
      </c>
      <c r="B8" s="21">
        <f>COUNTIF('System Inventory'!G5:G54,"❌ Not Synced")+COUNTIF('System Inventory'!G5:G54,"⚠ Sync Failed")</f>
        <v/>
      </c>
      <c r="C8" s="21" t="inlineStr">
        <is>
          <t>systems</t>
        </is>
      </c>
      <c r="D8" s="21" t="inlineStr">
        <is>
          <t>Requires remediation</t>
        </is>
      </c>
    </row>
    <row r="9">
      <c r="A9" s="21" t="inlineStr">
        <is>
          <t>Average Drift (Synced Systems)</t>
        </is>
      </c>
      <c r="B9" s="21">
        <f>AVERAGEIF('System Inventory'!G5:G54,"✅ Synced",'System Inventory'!I5:I54)</f>
        <v/>
      </c>
      <c r="C9" s="21" t="inlineStr">
        <is>
          <t>ms</t>
        </is>
      </c>
      <c r="D9" s="21" t="inlineStr">
        <is>
          <t>Mean time offset</t>
        </is>
      </c>
    </row>
    <row r="10">
      <c r="A10" s="21" t="inlineStr">
        <is>
          <t>Maximum Drift (Synced Systems)</t>
        </is>
      </c>
      <c r="B10" s="21">
        <f>MAXIFS('System Inventory'!I5:I54,'System Inventory'!G5:G54,"✅ Synced")</f>
        <v/>
      </c>
      <c r="C10" s="21" t="inlineStr">
        <is>
          <t>ms</t>
        </is>
      </c>
      <c r="D10" s="21" t="inlineStr">
        <is>
          <t>Highest offset observed</t>
        </is>
      </c>
    </row>
    <row r="11">
      <c r="A11" s="21" t="inlineStr">
        <is>
          <t>Minimum Drift (Synced Systems)</t>
        </is>
      </c>
      <c r="B11" s="21">
        <f>MINIFS('System Inventory'!I5:I54,'System Inventory'!G5:G54,"✅ Synced")</f>
        <v/>
      </c>
      <c r="C11" s="21" t="inlineStr">
        <is>
          <t>ms</t>
        </is>
      </c>
      <c r="D11" s="21" t="inlineStr">
        <is>
          <t>Lowest offset observed</t>
        </is>
      </c>
    </row>
    <row r="12">
      <c r="A12" s="21" t="inlineStr">
        <is>
          <t>Standard Deviation</t>
        </is>
      </c>
      <c r="B12" s="21">
        <f>STDEV('System Inventory'!I5:I54)</f>
        <v/>
      </c>
      <c r="C12" s="21" t="inlineStr">
        <is>
          <t>ms</t>
        </is>
      </c>
      <c r="D12" s="21" t="inlineStr">
        <is>
          <t>Variation in drift</t>
        </is>
      </c>
    </row>
    <row r="15">
      <c r="A15" s="20" t="inlineStr">
        <is>
          <t>Drift Distribution by Threshold</t>
        </is>
      </c>
    </row>
    <row r="16">
      <c r="A16" s="13" t="inlineStr">
        <is>
          <t>Threshold</t>
        </is>
      </c>
      <c r="B16" s="13" t="inlineStr">
        <is>
          <t>Count</t>
        </is>
      </c>
      <c r="C16" s="13" t="inlineStr">
        <is>
          <t>Percentage</t>
        </is>
      </c>
      <c r="D16" s="13" t="inlineStr">
        <is>
          <t>Status</t>
        </is>
      </c>
    </row>
    <row r="17">
      <c r="A17" s="21" t="inlineStr">
        <is>
          <t>≤ 10ms (High-Precision)</t>
        </is>
      </c>
      <c r="B17" s="21">
        <f>COUNTIFS('System Inventory'!I5:I54,"&lt;=10",'System Inventory'!I5:I54,"&gt;=-10",'System Inventory'!G5:G54,"✅ Synced")</f>
        <v/>
      </c>
      <c r="C17" s="22">
        <f>B17/B6*100</f>
        <v/>
      </c>
      <c r="D17" s="21" t="inlineStr">
        <is>
          <t>Excellent</t>
        </is>
      </c>
    </row>
    <row r="18">
      <c r="A18" s="21" t="inlineStr">
        <is>
          <t>≤ 100ms (Critical Systems)</t>
        </is>
      </c>
      <c r="B18" s="21">
        <f>COUNTIFS('System Inventory'!I5:I54,"&lt;=100",'System Inventory'!I5:I54,"&gt;=-100",'System Inventory'!G5:G54,"✅ Synced")</f>
        <v/>
      </c>
      <c r="C18" s="22">
        <f>B18/B6*100</f>
        <v/>
      </c>
      <c r="D18" s="21" t="inlineStr">
        <is>
          <t>Good for critical</t>
        </is>
      </c>
    </row>
    <row r="19">
      <c r="A19" s="21" t="inlineStr">
        <is>
          <t>≤ 1000ms (General Systems)</t>
        </is>
      </c>
      <c r="B19" s="21">
        <f>COUNTIFS('System Inventory'!I5:I54,"&lt;=1000",'System Inventory'!I5:I54,"&gt;=-1000",'System Inventory'!G5:G54,"✅ Synced")</f>
        <v/>
      </c>
      <c r="C19" s="22">
        <f>B19/B6*100</f>
        <v/>
      </c>
      <c r="D19" s="21" t="inlineStr">
        <is>
          <t>Acceptable</t>
        </is>
      </c>
    </row>
    <row r="20">
      <c r="A20" s="21" t="inlineStr">
        <is>
          <t>&gt; 1000ms (Exceeds Threshold)</t>
        </is>
      </c>
      <c r="B20" s="21">
        <f>COUNTIFS('System Inventory'!I5:I54,"&gt;1000",'System Inventory'!G5:G54,"✅ Synced")+COUNTIFS('System Inventory'!I5:I54,"&lt;-1000",'System Inventory'!G5:G54,"✅ Synced")</f>
        <v/>
      </c>
      <c r="C20" s="22">
        <f>B20/B6*100</f>
        <v/>
      </c>
      <c r="D20" s="21" t="inlineStr">
        <is>
          <t>FAIL - Requires action</t>
        </is>
      </c>
    </row>
    <row r="23">
      <c r="A23" s="20" t="inlineStr">
        <is>
          <t>Drift Analysis by System Type</t>
        </is>
      </c>
    </row>
    <row r="24">
      <c r="A24" s="13" t="inlineStr">
        <is>
          <t>System Type</t>
        </is>
      </c>
      <c r="B24" s="13" t="inlineStr">
        <is>
          <t>Avg Drift (ms)</t>
        </is>
      </c>
      <c r="C24" s="13" t="inlineStr">
        <is>
          <t>Max Drift (ms)</t>
        </is>
      </c>
      <c r="D24" s="13" t="inlineStr">
        <is>
          <t>Count</t>
        </is>
      </c>
    </row>
    <row r="25">
      <c r="A25" s="21" t="inlineStr">
        <is>
          <t>Server-Physical</t>
        </is>
      </c>
      <c r="B25" s="21">
        <f>AVERAGEIF('System Inventory'!C5:C54,"Server-Physical",'System Inventory'!I5:I54)</f>
        <v/>
      </c>
      <c r="C25" s="21">
        <f>MAXIFS('System Inventory'!I5:I54,'System Inventory'!C5:C54,"Server-Physical")</f>
        <v/>
      </c>
      <c r="D25" s="21">
        <f>COUNTIF('System Inventory'!C5:C54,"Server-Physical")</f>
        <v/>
      </c>
    </row>
    <row r="26">
      <c r="A26" s="21" t="inlineStr">
        <is>
          <t>Server-Virtual</t>
        </is>
      </c>
      <c r="B26" s="21">
        <f>AVERAGEIF('System Inventory'!C5:C54,"Server-Virtual",'System Inventory'!I5:I54)</f>
        <v/>
      </c>
      <c r="C26" s="21">
        <f>MAXIFS('System Inventory'!I5:I54,'System Inventory'!C5:C54,"Server-Virtual")</f>
        <v/>
      </c>
      <c r="D26" s="21">
        <f>COUNTIF('System Inventory'!C5:C54,"Server-Virtual")</f>
        <v/>
      </c>
    </row>
    <row r="27">
      <c r="A27" s="21" t="inlineStr">
        <is>
          <t>Server-Cloud</t>
        </is>
      </c>
      <c r="B27" s="21">
        <f>AVERAGEIF('System Inventory'!C5:C54,"Server-Cloud",'System Inventory'!I5:I54)</f>
        <v/>
      </c>
      <c r="C27" s="21">
        <f>MAXIFS('System Inventory'!I5:I54,'System Inventory'!C5:C54,"Server-Cloud")</f>
        <v/>
      </c>
      <c r="D27" s="21">
        <f>COUNTIF('System Inventory'!C5:C54,"Server-Cloud")</f>
        <v/>
      </c>
    </row>
    <row r="28">
      <c r="A28" s="21" t="inlineStr">
        <is>
          <t>Network Device</t>
        </is>
      </c>
      <c r="B28" s="21">
        <f>AVERAGEIF('System Inventory'!C5:C54,"Network Device",'System Inventory'!I5:I54)</f>
        <v/>
      </c>
      <c r="C28" s="21">
        <f>MAXIFS('System Inventory'!I5:I54,'System Inventory'!C5:C54,"Network Device")</f>
        <v/>
      </c>
      <c r="D28" s="21">
        <f>COUNTIF('System Inventory'!C5:C54,"Network Device")</f>
        <v/>
      </c>
    </row>
    <row r="29">
      <c r="A29" s="21" t="inlineStr">
        <is>
          <t>Security Appliance</t>
        </is>
      </c>
      <c r="B29" s="21">
        <f>AVERAGEIF('System Inventory'!C5:C54,"Security Appliance",'System Inventory'!I5:I54)</f>
        <v/>
      </c>
      <c r="C29" s="21">
        <f>MAXIFS('System Inventory'!I5:I54,'System Inventory'!C5:C54,"Security Appliance")</f>
        <v/>
      </c>
      <c r="D29" s="21">
        <f>COUNTIF('System Inventory'!C5:C54,"Security Appliance")</f>
        <v/>
      </c>
    </row>
    <row r="32">
      <c r="A32" s="20" t="inlineStr">
        <is>
          <t>Drift Analysis by Criticality</t>
        </is>
      </c>
    </row>
    <row r="33">
      <c r="A33" s="13" t="inlineStr">
        <is>
          <t>Criticality</t>
        </is>
      </c>
      <c r="B33" s="13" t="inlineStr">
        <is>
          <t>Avg Drift (ms)</t>
        </is>
      </c>
      <c r="C33" s="13" t="inlineStr">
        <is>
          <t>Max Drift (ms)</t>
        </is>
      </c>
      <c r="D33" s="13" t="inlineStr">
        <is>
          <t>Count</t>
        </is>
      </c>
    </row>
    <row r="34">
      <c r="A34" s="21" t="inlineStr">
        <is>
          <t>Critical</t>
        </is>
      </c>
      <c r="B34" s="21">
        <f>AVERAGEIF('System Inventory'!E5:E54,"Critical",'System Inventory'!I5:I54)</f>
        <v/>
      </c>
      <c r="C34" s="21">
        <f>MAXIFS('System Inventory'!I5:I54,'System Inventory'!E5:E54,"Critical")</f>
        <v/>
      </c>
      <c r="D34" s="21">
        <f>COUNTIF('System Inventory'!E5:E54,"Critical")</f>
        <v/>
      </c>
    </row>
    <row r="35">
      <c r="A35" s="21" t="inlineStr">
        <is>
          <t>High</t>
        </is>
      </c>
      <c r="B35" s="21">
        <f>AVERAGEIF('System Inventory'!E5:E54,"High",'System Inventory'!I5:I54)</f>
        <v/>
      </c>
      <c r="C35" s="21">
        <f>MAXIFS('System Inventory'!I5:I54,'System Inventory'!E5:E54,"High")</f>
        <v/>
      </c>
      <c r="D35" s="21">
        <f>COUNTIF('System Inventory'!E5:E54,"High")</f>
        <v/>
      </c>
    </row>
    <row r="36">
      <c r="A36" s="21" t="inlineStr">
        <is>
          <t>Medium</t>
        </is>
      </c>
      <c r="B36" s="21">
        <f>AVERAGEIF('System Inventory'!E5:E54,"Medium",'System Inventory'!I5:I54)</f>
        <v/>
      </c>
      <c r="C36" s="21">
        <f>MAXIFS('System Inventory'!I5:I54,'System Inventory'!E5:E54,"Medium")</f>
        <v/>
      </c>
      <c r="D36" s="21">
        <f>COUNTIF('System Inventory'!E5:E54,"Medium")</f>
        <v/>
      </c>
    </row>
    <row r="37">
      <c r="A37" s="21" t="inlineStr">
        <is>
          <t>Low</t>
        </is>
      </c>
      <c r="B37" s="21">
        <f>AVERAGEIF('System Inventory'!E5:E54,"Low",'System Inventory'!I5:I54)</f>
        <v/>
      </c>
      <c r="C37" s="21">
        <f>MAXIFS('System Inventory'!I5:I54,'System Inventory'!E5:E54,"Low")</f>
        <v/>
      </c>
      <c r="D37" s="21">
        <f>COUNTIF('System Inventory'!E5:E54,"Low")</f>
        <v/>
      </c>
    </row>
  </sheetData>
  <mergeCells count="6">
    <mergeCell ref="A1:D1"/>
    <mergeCell ref="A23:D23"/>
    <mergeCell ref="A4:D4"/>
    <mergeCell ref="A15:D15"/>
    <mergeCell ref="A2:D2"/>
    <mergeCell ref="A32:D3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4"/>
  <sheetViews>
    <sheetView showGridLines="0" workbookViewId="0">
      <pane ySplit="3" topLeftCell="A4" activePane="bottomLeft" state="frozen"/>
      <selection pane="bottomLeft" activeCell="A1" sqref="A1"/>
    </sheetView>
  </sheetViews>
  <sheetFormatPr baseColWidth="8" defaultRowHeight="15"/>
  <cols>
    <col width="28" customWidth="1" min="1" max="1"/>
    <col width="20" customWidth="1" min="2" max="2"/>
    <col width="14" customWidth="1" min="3" max="3"/>
    <col width="18" customWidth="1" min="4" max="4"/>
    <col width="14" customWidth="1" min="5" max="5"/>
    <col width="28" customWidth="1" min="6" max="6"/>
    <col width="40" customWidth="1" min="7" max="7"/>
    <col width="15" customWidth="1" min="8" max="8"/>
  </cols>
  <sheetData>
    <row r="1" ht="35" customHeight="1">
      <c r="A1" s="11" t="inlineStr">
        <is>
          <t>GAP ANALYSIS — NON-COMPLIANT SYSTEMS</t>
        </is>
      </c>
    </row>
    <row r="2">
      <c r="A2" s="23" t="inlineStr">
        <is>
          <t>Systems not synchronised or exceeding drift threshold — requires immediate remediation</t>
        </is>
      </c>
    </row>
    <row r="3">
      <c r="A3" s="13" t="inlineStr">
        <is>
          <t>System Name [*]</t>
        </is>
      </c>
      <c r="B3" s="13" t="inlineStr">
        <is>
          <t>Type [*]</t>
        </is>
      </c>
      <c r="C3" s="13" t="inlineStr">
        <is>
          <t>Criticality [*]</t>
        </is>
      </c>
      <c r="D3" s="13" t="inlineStr">
        <is>
          <t>Sync Status [*]</t>
        </is>
      </c>
      <c r="E3" s="13" t="inlineStr">
        <is>
          <t>Drift (ms) [*]</t>
        </is>
      </c>
      <c r="F3" s="13" t="inlineStr">
        <is>
          <t>Issue Category [*]</t>
        </is>
      </c>
      <c r="G3" s="13" t="inlineStr">
        <is>
          <t>Remediation Action [*]</t>
        </is>
      </c>
      <c r="H3" s="13" t="inlineStr">
        <is>
          <t>Target Date</t>
        </is>
      </c>
    </row>
    <row r="4">
      <c r="A4" s="24" t="inlineStr">
        <is>
          <t>siem-01.org.local</t>
        </is>
      </c>
      <c r="B4" s="24" t="inlineStr">
        <is>
          <t>Security Appliance</t>
        </is>
      </c>
      <c r="C4" s="24" t="inlineStr">
        <is>
          <t>Critical</t>
        </is>
      </c>
      <c r="D4" s="24" t="inlineStr">
        <is>
          <t>✅ Synced</t>
        </is>
      </c>
      <c r="E4" s="24" t="inlineStr">
        <is>
          <t>150.0</t>
        </is>
      </c>
      <c r="F4" s="24" t="inlineStr">
        <is>
          <t>Excessive Drift (Critical)</t>
        </is>
      </c>
      <c r="G4" s="24" t="inlineStr">
        <is>
          <t>Investigate time source quality, restart NTP</t>
        </is>
      </c>
      <c r="H4" s="24" t="inlineStr">
        <is>
          <t>10.03.2026</t>
        </is>
      </c>
    </row>
    <row r="5">
      <c r="A5" s="25" t="n"/>
      <c r="B5" s="25" t="n"/>
      <c r="C5" s="25" t="n"/>
      <c r="D5" s="25" t="n"/>
      <c r="E5" s="25" t="n"/>
      <c r="F5" s="25" t="n"/>
      <c r="G5" s="25" t="n"/>
      <c r="H5" s="25" t="n"/>
    </row>
    <row r="6">
      <c r="A6" s="25" t="n"/>
      <c r="B6" s="25" t="n"/>
      <c r="C6" s="25" t="n"/>
      <c r="D6" s="25" t="n"/>
      <c r="E6" s="25" t="n"/>
      <c r="F6" s="25" t="n"/>
      <c r="G6" s="25" t="n"/>
      <c r="H6" s="25" t="n"/>
    </row>
    <row r="7">
      <c r="A7" s="25" t="n"/>
      <c r="B7" s="25" t="n"/>
      <c r="C7" s="25" t="n"/>
      <c r="D7" s="25" t="n"/>
      <c r="E7" s="25" t="n"/>
      <c r="F7" s="25" t="n"/>
      <c r="G7" s="25" t="n"/>
      <c r="H7" s="25" t="n"/>
    </row>
    <row r="8">
      <c r="A8" s="25" t="n"/>
      <c r="B8" s="25" t="n"/>
      <c r="C8" s="25" t="n"/>
      <c r="D8" s="25" t="n"/>
      <c r="E8" s="25" t="n"/>
      <c r="F8" s="25" t="n"/>
      <c r="G8" s="25" t="n"/>
      <c r="H8" s="25" t="n"/>
    </row>
    <row r="9">
      <c r="A9" s="25" t="n"/>
      <c r="B9" s="25" t="n"/>
      <c r="C9" s="25" t="n"/>
      <c r="D9" s="25" t="n"/>
      <c r="E9" s="25" t="n"/>
      <c r="F9" s="25" t="n"/>
      <c r="G9" s="25" t="n"/>
      <c r="H9" s="25" t="n"/>
    </row>
    <row r="10">
      <c r="A10" s="25" t="n"/>
      <c r="B10" s="25" t="n"/>
      <c r="C10" s="25" t="n"/>
      <c r="D10" s="25" t="n"/>
      <c r="E10" s="25" t="n"/>
      <c r="F10" s="25" t="n"/>
      <c r="G10" s="25" t="n"/>
      <c r="H10" s="25" t="n"/>
    </row>
    <row r="11">
      <c r="A11" s="25" t="n"/>
      <c r="B11" s="25" t="n"/>
      <c r="C11" s="25" t="n"/>
      <c r="D11" s="25" t="n"/>
      <c r="E11" s="25" t="n"/>
      <c r="F11" s="25" t="n"/>
      <c r="G11" s="25" t="n"/>
      <c r="H11" s="25" t="n"/>
    </row>
    <row r="12">
      <c r="A12" s="25" t="n"/>
      <c r="B12" s="25" t="n"/>
      <c r="C12" s="25" t="n"/>
      <c r="D12" s="25" t="n"/>
      <c r="E12" s="25" t="n"/>
      <c r="F12" s="25" t="n"/>
      <c r="G12" s="25" t="n"/>
      <c r="H12" s="25" t="n"/>
    </row>
    <row r="13">
      <c r="A13" s="25" t="n"/>
      <c r="B13" s="25" t="n"/>
      <c r="C13" s="25" t="n"/>
      <c r="D13" s="25" t="n"/>
      <c r="E13" s="25" t="n"/>
      <c r="F13" s="25" t="n"/>
      <c r="G13" s="25" t="n"/>
      <c r="H13" s="25" t="n"/>
    </row>
    <row r="14">
      <c r="A14" s="25" t="n"/>
      <c r="B14" s="25" t="n"/>
      <c r="C14" s="25" t="n"/>
      <c r="D14" s="25" t="n"/>
      <c r="E14" s="25" t="n"/>
      <c r="F14" s="25" t="n"/>
      <c r="G14" s="25" t="n"/>
      <c r="H14" s="25" t="n"/>
    </row>
    <row r="15">
      <c r="A15" s="25" t="n"/>
      <c r="B15" s="25" t="n"/>
      <c r="C15" s="25" t="n"/>
      <c r="D15" s="25" t="n"/>
      <c r="E15" s="25" t="n"/>
      <c r="F15" s="25" t="n"/>
      <c r="G15" s="25" t="n"/>
      <c r="H15" s="25" t="n"/>
    </row>
    <row r="16">
      <c r="A16" s="25" t="n"/>
      <c r="B16" s="25" t="n"/>
      <c r="C16" s="25" t="n"/>
      <c r="D16" s="25" t="n"/>
      <c r="E16" s="25" t="n"/>
      <c r="F16" s="25" t="n"/>
      <c r="G16" s="25" t="n"/>
      <c r="H16" s="25" t="n"/>
    </row>
    <row r="17">
      <c r="A17" s="25" t="n"/>
      <c r="B17" s="25" t="n"/>
      <c r="C17" s="25" t="n"/>
      <c r="D17" s="25" t="n"/>
      <c r="E17" s="25" t="n"/>
      <c r="F17" s="25" t="n"/>
      <c r="G17" s="25" t="n"/>
      <c r="H17" s="25" t="n"/>
    </row>
    <row r="18">
      <c r="A18" s="25" t="n"/>
      <c r="B18" s="25" t="n"/>
      <c r="C18" s="25" t="n"/>
      <c r="D18" s="25" t="n"/>
      <c r="E18" s="25" t="n"/>
      <c r="F18" s="25" t="n"/>
      <c r="G18" s="25" t="n"/>
      <c r="H18" s="25" t="n"/>
    </row>
    <row r="19">
      <c r="A19" s="25" t="n"/>
      <c r="B19" s="25" t="n"/>
      <c r="C19" s="25" t="n"/>
      <c r="D19" s="25" t="n"/>
      <c r="E19" s="25" t="n"/>
      <c r="F19" s="25" t="n"/>
      <c r="G19" s="25" t="n"/>
      <c r="H19" s="25" t="n"/>
    </row>
    <row r="20">
      <c r="A20" s="25" t="n"/>
      <c r="B20" s="25" t="n"/>
      <c r="C20" s="25" t="n"/>
      <c r="D20" s="25" t="n"/>
      <c r="E20" s="25" t="n"/>
      <c r="F20" s="25" t="n"/>
      <c r="G20" s="25" t="n"/>
      <c r="H20" s="25" t="n"/>
    </row>
    <row r="21">
      <c r="A21" s="25" t="n"/>
      <c r="B21" s="25" t="n"/>
      <c r="C21" s="25" t="n"/>
      <c r="D21" s="25" t="n"/>
      <c r="E21" s="25" t="n"/>
      <c r="F21" s="25" t="n"/>
      <c r="G21" s="25" t="n"/>
      <c r="H21" s="25" t="n"/>
    </row>
    <row r="22">
      <c r="A22" s="25" t="n"/>
      <c r="B22" s="25" t="n"/>
      <c r="C22" s="25" t="n"/>
      <c r="D22" s="25" t="n"/>
      <c r="E22" s="25" t="n"/>
      <c r="F22" s="25" t="n"/>
      <c r="G22" s="25" t="n"/>
      <c r="H22" s="25" t="n"/>
    </row>
    <row r="23">
      <c r="A23" s="25" t="n"/>
      <c r="B23" s="25" t="n"/>
      <c r="C23" s="25" t="n"/>
      <c r="D23" s="25" t="n"/>
      <c r="E23" s="25" t="n"/>
      <c r="F23" s="25" t="n"/>
      <c r="G23" s="25" t="n"/>
      <c r="H23" s="25" t="n"/>
    </row>
    <row r="24">
      <c r="A24" s="25" t="n"/>
      <c r="B24" s="25" t="n"/>
      <c r="C24" s="25" t="n"/>
      <c r="D24" s="25" t="n"/>
      <c r="E24" s="25" t="n"/>
      <c r="F24" s="25" t="n"/>
      <c r="G24" s="25" t="n"/>
      <c r="H24" s="25" t="n"/>
    </row>
    <row r="25">
      <c r="A25" s="25" t="n"/>
      <c r="B25" s="25" t="n"/>
      <c r="C25" s="25" t="n"/>
      <c r="D25" s="25" t="n"/>
      <c r="E25" s="25" t="n"/>
      <c r="F25" s="25" t="n"/>
      <c r="G25" s="25" t="n"/>
      <c r="H25" s="25" t="n"/>
    </row>
    <row r="26">
      <c r="A26" s="25" t="n"/>
      <c r="B26" s="25" t="n"/>
      <c r="C26" s="25" t="n"/>
      <c r="D26" s="25" t="n"/>
      <c r="E26" s="25" t="n"/>
      <c r="F26" s="25" t="n"/>
      <c r="G26" s="25" t="n"/>
      <c r="H26" s="25" t="n"/>
    </row>
    <row r="27">
      <c r="A27" s="25" t="n"/>
      <c r="B27" s="25" t="n"/>
      <c r="C27" s="25" t="n"/>
      <c r="D27" s="25" t="n"/>
      <c r="E27" s="25" t="n"/>
      <c r="F27" s="25" t="n"/>
      <c r="G27" s="25" t="n"/>
      <c r="H27" s="25" t="n"/>
    </row>
    <row r="28">
      <c r="A28" s="25" t="n"/>
      <c r="B28" s="25" t="n"/>
      <c r="C28" s="25" t="n"/>
      <c r="D28" s="25" t="n"/>
      <c r="E28" s="25" t="n"/>
      <c r="F28" s="25" t="n"/>
      <c r="G28" s="25" t="n"/>
      <c r="H28" s="25" t="n"/>
    </row>
    <row r="29">
      <c r="A29" s="25" t="n"/>
      <c r="B29" s="25" t="n"/>
      <c r="C29" s="25" t="n"/>
      <c r="D29" s="25" t="n"/>
      <c r="E29" s="25" t="n"/>
      <c r="F29" s="25" t="n"/>
      <c r="G29" s="25" t="n"/>
      <c r="H29" s="25" t="n"/>
    </row>
    <row r="30">
      <c r="A30" s="25" t="n"/>
      <c r="B30" s="25" t="n"/>
      <c r="C30" s="25" t="n"/>
      <c r="D30" s="25" t="n"/>
      <c r="E30" s="25" t="n"/>
      <c r="F30" s="25" t="n"/>
      <c r="G30" s="25" t="n"/>
      <c r="H30" s="25" t="n"/>
    </row>
    <row r="31">
      <c r="A31" s="25" t="n"/>
      <c r="B31" s="25" t="n"/>
      <c r="C31" s="25" t="n"/>
      <c r="D31" s="25" t="n"/>
      <c r="E31" s="25" t="n"/>
      <c r="F31" s="25" t="n"/>
      <c r="G31" s="25" t="n"/>
      <c r="H31" s="25" t="n"/>
    </row>
    <row r="32">
      <c r="A32" s="25" t="n"/>
      <c r="B32" s="25" t="n"/>
      <c r="C32" s="25" t="n"/>
      <c r="D32" s="25" t="n"/>
      <c r="E32" s="25" t="n"/>
      <c r="F32" s="25" t="n"/>
      <c r="G32" s="25" t="n"/>
      <c r="H32" s="25" t="n"/>
    </row>
    <row r="33">
      <c r="A33" s="25" t="n"/>
      <c r="B33" s="25" t="n"/>
      <c r="C33" s="25" t="n"/>
      <c r="D33" s="25" t="n"/>
      <c r="E33" s="25" t="n"/>
      <c r="F33" s="25" t="n"/>
      <c r="G33" s="25" t="n"/>
      <c r="H33" s="25" t="n"/>
    </row>
    <row r="34">
      <c r="A34" s="25" t="n"/>
      <c r="B34" s="25" t="n"/>
      <c r="C34" s="25" t="n"/>
      <c r="D34" s="25" t="n"/>
      <c r="E34" s="25" t="n"/>
      <c r="F34" s="25" t="n"/>
      <c r="G34" s="25" t="n"/>
      <c r="H34" s="25" t="n"/>
    </row>
    <row r="35">
      <c r="A35" s="25" t="n"/>
      <c r="B35" s="25" t="n"/>
      <c r="C35" s="25" t="n"/>
      <c r="D35" s="25" t="n"/>
      <c r="E35" s="25" t="n"/>
      <c r="F35" s="25" t="n"/>
      <c r="G35" s="25" t="n"/>
      <c r="H35" s="25" t="n"/>
    </row>
    <row r="36">
      <c r="A36" s="25" t="n"/>
      <c r="B36" s="25" t="n"/>
      <c r="C36" s="25" t="n"/>
      <c r="D36" s="25" t="n"/>
      <c r="E36" s="25" t="n"/>
      <c r="F36" s="25" t="n"/>
      <c r="G36" s="25" t="n"/>
      <c r="H36" s="25" t="n"/>
    </row>
    <row r="37">
      <c r="A37" s="25" t="n"/>
      <c r="B37" s="25" t="n"/>
      <c r="C37" s="25" t="n"/>
      <c r="D37" s="25" t="n"/>
      <c r="E37" s="25" t="n"/>
      <c r="F37" s="25" t="n"/>
      <c r="G37" s="25" t="n"/>
      <c r="H37" s="25" t="n"/>
    </row>
    <row r="38">
      <c r="A38" s="25" t="n"/>
      <c r="B38" s="25" t="n"/>
      <c r="C38" s="25" t="n"/>
      <c r="D38" s="25" t="n"/>
      <c r="E38" s="25" t="n"/>
      <c r="F38" s="25" t="n"/>
      <c r="G38" s="25" t="n"/>
      <c r="H38" s="25" t="n"/>
    </row>
    <row r="39">
      <c r="A39" s="25" t="n"/>
      <c r="B39" s="25" t="n"/>
      <c r="C39" s="25" t="n"/>
      <c r="D39" s="25" t="n"/>
      <c r="E39" s="25" t="n"/>
      <c r="F39" s="25" t="n"/>
      <c r="G39" s="25" t="n"/>
      <c r="H39" s="25" t="n"/>
    </row>
    <row r="40">
      <c r="A40" s="25" t="n"/>
      <c r="B40" s="25" t="n"/>
      <c r="C40" s="25" t="n"/>
      <c r="D40" s="25" t="n"/>
      <c r="E40" s="25" t="n"/>
      <c r="F40" s="25" t="n"/>
      <c r="G40" s="25" t="n"/>
      <c r="H40" s="25" t="n"/>
    </row>
    <row r="41">
      <c r="A41" s="25" t="n"/>
      <c r="B41" s="25" t="n"/>
      <c r="C41" s="25" t="n"/>
      <c r="D41" s="25" t="n"/>
      <c r="E41" s="25" t="n"/>
      <c r="F41" s="25" t="n"/>
      <c r="G41" s="25" t="n"/>
      <c r="H41" s="25" t="n"/>
    </row>
    <row r="42">
      <c r="A42" s="25" t="n"/>
      <c r="B42" s="25" t="n"/>
      <c r="C42" s="25" t="n"/>
      <c r="D42" s="25" t="n"/>
      <c r="E42" s="25" t="n"/>
      <c r="F42" s="25" t="n"/>
      <c r="G42" s="25" t="n"/>
      <c r="H42" s="25" t="n"/>
    </row>
    <row r="43">
      <c r="A43" s="25" t="n"/>
      <c r="B43" s="25" t="n"/>
      <c r="C43" s="25" t="n"/>
      <c r="D43" s="25" t="n"/>
      <c r="E43" s="25" t="n"/>
      <c r="F43" s="25" t="n"/>
      <c r="G43" s="25" t="n"/>
      <c r="H43" s="25" t="n"/>
    </row>
    <row r="44">
      <c r="A44" s="25" t="n"/>
      <c r="B44" s="25" t="n"/>
      <c r="C44" s="25" t="n"/>
      <c r="D44" s="25" t="n"/>
      <c r="E44" s="25" t="n"/>
      <c r="F44" s="25" t="n"/>
      <c r="G44" s="25" t="n"/>
      <c r="H44" s="25" t="n"/>
    </row>
    <row r="45">
      <c r="A45" s="25" t="n"/>
      <c r="B45" s="25" t="n"/>
      <c r="C45" s="25" t="n"/>
      <c r="D45" s="25" t="n"/>
      <c r="E45" s="25" t="n"/>
      <c r="F45" s="25" t="n"/>
      <c r="G45" s="25" t="n"/>
      <c r="H45" s="25" t="n"/>
    </row>
    <row r="46">
      <c r="A46" s="25" t="n"/>
      <c r="B46" s="25" t="n"/>
      <c r="C46" s="25" t="n"/>
      <c r="D46" s="25" t="n"/>
      <c r="E46" s="25" t="n"/>
      <c r="F46" s="25" t="n"/>
      <c r="G46" s="25" t="n"/>
      <c r="H46" s="25" t="n"/>
    </row>
    <row r="47">
      <c r="A47" s="25" t="n"/>
      <c r="B47" s="25" t="n"/>
      <c r="C47" s="25" t="n"/>
      <c r="D47" s="25" t="n"/>
      <c r="E47" s="25" t="n"/>
      <c r="F47" s="25" t="n"/>
      <c r="G47" s="25" t="n"/>
      <c r="H47" s="25" t="n"/>
    </row>
    <row r="48">
      <c r="A48" s="25" t="n"/>
      <c r="B48" s="25" t="n"/>
      <c r="C48" s="25" t="n"/>
      <c r="D48" s="25" t="n"/>
      <c r="E48" s="25" t="n"/>
      <c r="F48" s="25" t="n"/>
      <c r="G48" s="25" t="n"/>
      <c r="H48" s="25" t="n"/>
    </row>
    <row r="49">
      <c r="A49" s="25" t="n"/>
      <c r="B49" s="25" t="n"/>
      <c r="C49" s="25" t="n"/>
      <c r="D49" s="25" t="n"/>
      <c r="E49" s="25" t="n"/>
      <c r="F49" s="25" t="n"/>
      <c r="G49" s="25" t="n"/>
      <c r="H49" s="25" t="n"/>
    </row>
    <row r="50">
      <c r="A50" s="25" t="n"/>
      <c r="B50" s="25" t="n"/>
      <c r="C50" s="25" t="n"/>
      <c r="D50" s="25" t="n"/>
      <c r="E50" s="25" t="n"/>
      <c r="F50" s="25" t="n"/>
      <c r="G50" s="25" t="n"/>
      <c r="H50" s="25" t="n"/>
    </row>
    <row r="51">
      <c r="A51" s="25" t="n"/>
      <c r="B51" s="25" t="n"/>
      <c r="C51" s="25" t="n"/>
      <c r="D51" s="25" t="n"/>
      <c r="E51" s="25" t="n"/>
      <c r="F51" s="25" t="n"/>
      <c r="G51" s="25" t="n"/>
      <c r="H51" s="25" t="n"/>
    </row>
    <row r="52">
      <c r="A52" s="25" t="n"/>
      <c r="B52" s="25" t="n"/>
      <c r="C52" s="25" t="n"/>
      <c r="D52" s="25" t="n"/>
      <c r="E52" s="25" t="n"/>
      <c r="F52" s="25" t="n"/>
      <c r="G52" s="25" t="n"/>
      <c r="H52" s="25" t="n"/>
    </row>
    <row r="53">
      <c r="A53" s="25" t="n"/>
      <c r="B53" s="25" t="n"/>
      <c r="C53" s="25" t="n"/>
      <c r="D53" s="25" t="n"/>
      <c r="E53" s="25" t="n"/>
      <c r="F53" s="25" t="n"/>
      <c r="G53" s="25" t="n"/>
      <c r="H53" s="25" t="n"/>
    </row>
    <row r="54">
      <c r="A54" s="25" t="n"/>
      <c r="B54" s="25" t="n"/>
      <c r="C54" s="25" t="n"/>
      <c r="D54" s="25" t="n"/>
      <c r="E54" s="25" t="n"/>
      <c r="F54" s="25" t="n"/>
      <c r="G54" s="25" t="n"/>
      <c r="H54" s="25"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showDropDown="0" showInputMessage="0" showErrorMessage="0" allowBlank="0" type="list">
      <formula1>"Critical,High,Medium,Low"</formula1>
    </dataValidation>
    <dataValidation sqref="F5 F6 F7 F8 F9 F10 F11 F12 F13 F14 F15 F16 F17 F18 F19 F20 F21 F22 F23 F24 F25 F26 F27 F28 F29 F30 F31 F32 F33 F34 F35 F36 F37 F38 F39 F40 F41 F42 F43 F44 F45 F46 F47 F48 F49 F50 F51 F52 F53 F54" showDropDown="0" showInputMessage="0" showErrorMessage="0" allowBlank="0" type="list">
      <formula1>"NTP Not Configured,NTP Server Unreachable,Excessive Drift (Critical),Excessive Drift (General),Sync Failure,Unknown Status,Excluded System,Other"</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2" customWidth="1" min="1" max="1"/>
    <col width="22" customWidth="1" min="2" max="2"/>
    <col width="18" customWidth="1" min="3" max="3"/>
    <col width="40" customWidth="1" min="4" max="4"/>
    <col width="30" customWidth="1" min="5" max="5"/>
    <col width="14" customWidth="1" min="6" max="6"/>
    <col width="18" customWidth="1" min="7" max="7"/>
    <col width="18" customWidth="1" min="8" max="8"/>
  </cols>
  <sheetData>
    <row r="1" ht="35" customHeight="1">
      <c r="A1" s="11" t="inlineStr">
        <is>
          <t>EVIDENCE REGISTER</t>
        </is>
      </c>
    </row>
    <row r="2">
      <c r="A2" s="19" t="inlineStr">
        <is>
          <t>Evidence tracking for Time Synchronisation Status Assessment</t>
        </is>
      </c>
    </row>
    <row r="4">
      <c r="A4" s="26" t="inlineStr">
        <is>
          <t>Evidence ID</t>
        </is>
      </c>
      <c r="B4" s="26" t="inlineStr">
        <is>
          <t>Assessment Area</t>
        </is>
      </c>
      <c r="C4" s="26" t="inlineStr">
        <is>
          <t>Evidence Type</t>
        </is>
      </c>
      <c r="D4" s="26" t="inlineStr">
        <is>
          <t>Description</t>
        </is>
      </c>
      <c r="E4" s="26" t="inlineStr">
        <is>
          <t>Location/Path</t>
        </is>
      </c>
      <c r="F4" s="26" t="inlineStr">
        <is>
          <t>Date Collected</t>
        </is>
      </c>
      <c r="G4" s="26" t="inlineStr">
        <is>
          <t>Collected By</t>
        </is>
      </c>
      <c r="H4" s="26" t="inlineStr">
        <is>
          <t>Verification Status</t>
        </is>
      </c>
    </row>
    <row r="5">
      <c r="A5" s="27" t="inlineStr">
        <is>
          <t>EV-001</t>
        </is>
      </c>
      <c r="B5" s="27" t="inlineStr">
        <is>
          <t>Time Drift Report Q1 2025</t>
        </is>
      </c>
      <c r="C5" s="27" t="inlineStr">
        <is>
          <t>Log Extract</t>
        </is>
      </c>
      <c r="D5" s="27" t="inlineStr">
        <is>
          <t>Automated time drift monitoring report showing &lt;50ms drift on all servers</t>
        </is>
      </c>
      <c r="E5" s="27" t="inlineStr">
        <is>
          <t>/evidence/ntp/drift-report-q1-2025.csv</t>
        </is>
      </c>
      <c r="F5" s="27" t="inlineStr">
        <is>
          <t>01.04.2025</t>
        </is>
      </c>
      <c r="G5" s="27" t="inlineStr">
        <is>
          <t>SOC Team</t>
        </is>
      </c>
      <c r="H5" s="27" t="inlineStr">
        <is>
          <t>Verified</t>
        </is>
      </c>
    </row>
    <row r="6">
      <c r="A6" s="25" t="n"/>
      <c r="B6" s="25" t="n"/>
      <c r="C6" s="25" t="n"/>
      <c r="D6" s="25" t="n"/>
      <c r="E6" s="25" t="n"/>
      <c r="F6" s="25" t="n"/>
      <c r="G6" s="25" t="n"/>
      <c r="H6" s="25" t="n"/>
    </row>
    <row r="7">
      <c r="A7" s="25" t="n"/>
      <c r="B7" s="25" t="n"/>
      <c r="C7" s="25" t="n"/>
      <c r="D7" s="25" t="n"/>
      <c r="E7" s="25" t="n"/>
      <c r="F7" s="25" t="n"/>
      <c r="G7" s="25" t="n"/>
      <c r="H7" s="25" t="n"/>
    </row>
    <row r="8">
      <c r="A8" s="25" t="n"/>
      <c r="B8" s="25" t="n"/>
      <c r="C8" s="25" t="n"/>
      <c r="D8" s="25" t="n"/>
      <c r="E8" s="25" t="n"/>
      <c r="F8" s="25" t="n"/>
      <c r="G8" s="25" t="n"/>
      <c r="H8" s="25" t="n"/>
    </row>
    <row r="9">
      <c r="A9" s="25" t="n"/>
      <c r="B9" s="25" t="n"/>
      <c r="C9" s="25" t="n"/>
      <c r="D9" s="25" t="n"/>
      <c r="E9" s="25" t="n"/>
      <c r="F9" s="25" t="n"/>
      <c r="G9" s="25" t="n"/>
      <c r="H9" s="25" t="n"/>
    </row>
    <row r="10">
      <c r="A10" s="25" t="n"/>
      <c r="B10" s="25" t="n"/>
      <c r="C10" s="25" t="n"/>
      <c r="D10" s="25" t="n"/>
      <c r="E10" s="25" t="n"/>
      <c r="F10" s="25" t="n"/>
      <c r="G10" s="25" t="n"/>
      <c r="H10" s="25" t="n"/>
    </row>
    <row r="11">
      <c r="A11" s="25" t="n"/>
      <c r="B11" s="25" t="n"/>
      <c r="C11" s="25" t="n"/>
      <c r="D11" s="25" t="n"/>
      <c r="E11" s="25" t="n"/>
      <c r="F11" s="25" t="n"/>
      <c r="G11" s="25" t="n"/>
      <c r="H11" s="25" t="n"/>
    </row>
    <row r="12">
      <c r="A12" s="25" t="n"/>
      <c r="B12" s="25" t="n"/>
      <c r="C12" s="25" t="n"/>
      <c r="D12" s="25" t="n"/>
      <c r="E12" s="25" t="n"/>
      <c r="F12" s="25" t="n"/>
      <c r="G12" s="25" t="n"/>
      <c r="H12" s="25" t="n"/>
    </row>
    <row r="13">
      <c r="A13" s="25" t="n"/>
      <c r="B13" s="25" t="n"/>
      <c r="C13" s="25" t="n"/>
      <c r="D13" s="25" t="n"/>
      <c r="E13" s="25" t="n"/>
      <c r="F13" s="25" t="n"/>
      <c r="G13" s="25" t="n"/>
      <c r="H13" s="25" t="n"/>
    </row>
    <row r="14">
      <c r="A14" s="25" t="n"/>
      <c r="B14" s="25" t="n"/>
      <c r="C14" s="25" t="n"/>
      <c r="D14" s="25" t="n"/>
      <c r="E14" s="25" t="n"/>
      <c r="F14" s="25" t="n"/>
      <c r="G14" s="25" t="n"/>
      <c r="H14" s="25" t="n"/>
    </row>
    <row r="15">
      <c r="A15" s="25" t="n"/>
      <c r="B15" s="25" t="n"/>
      <c r="C15" s="25" t="n"/>
      <c r="D15" s="25" t="n"/>
      <c r="E15" s="25" t="n"/>
      <c r="F15" s="25" t="n"/>
      <c r="G15" s="25" t="n"/>
      <c r="H15" s="25" t="n"/>
    </row>
    <row r="16">
      <c r="A16" s="25" t="n"/>
      <c r="B16" s="25" t="n"/>
      <c r="C16" s="25" t="n"/>
      <c r="D16" s="25" t="n"/>
      <c r="E16" s="25" t="n"/>
      <c r="F16" s="25" t="n"/>
      <c r="G16" s="25" t="n"/>
      <c r="H16" s="25" t="n"/>
    </row>
    <row r="17">
      <c r="A17" s="25" t="n"/>
      <c r="B17" s="25" t="n"/>
      <c r="C17" s="25" t="n"/>
      <c r="D17" s="25" t="n"/>
      <c r="E17" s="25" t="n"/>
      <c r="F17" s="25" t="n"/>
      <c r="G17" s="25" t="n"/>
      <c r="H17" s="25" t="n"/>
    </row>
    <row r="18">
      <c r="A18" s="25" t="n"/>
      <c r="B18" s="25" t="n"/>
      <c r="C18" s="25" t="n"/>
      <c r="D18" s="25" t="n"/>
      <c r="E18" s="25" t="n"/>
      <c r="F18" s="25" t="n"/>
      <c r="G18" s="25" t="n"/>
      <c r="H18" s="25" t="n"/>
    </row>
    <row r="19">
      <c r="A19" s="25" t="n"/>
      <c r="B19" s="25" t="n"/>
      <c r="C19" s="25" t="n"/>
      <c r="D19" s="25" t="n"/>
      <c r="E19" s="25" t="n"/>
      <c r="F19" s="25" t="n"/>
      <c r="G19" s="25" t="n"/>
      <c r="H19" s="25" t="n"/>
    </row>
    <row r="20">
      <c r="A20" s="25" t="n"/>
      <c r="B20" s="25" t="n"/>
      <c r="C20" s="25" t="n"/>
      <c r="D20" s="25" t="n"/>
      <c r="E20" s="25" t="n"/>
      <c r="F20" s="25" t="n"/>
      <c r="G20" s="25" t="n"/>
      <c r="H20" s="25" t="n"/>
    </row>
    <row r="21">
      <c r="A21" s="25" t="n"/>
      <c r="B21" s="25" t="n"/>
      <c r="C21" s="25" t="n"/>
      <c r="D21" s="25" t="n"/>
      <c r="E21" s="25" t="n"/>
      <c r="F21" s="25" t="n"/>
      <c r="G21" s="25" t="n"/>
      <c r="H21" s="25" t="n"/>
    </row>
    <row r="22">
      <c r="A22" s="25" t="n"/>
      <c r="B22" s="25" t="n"/>
      <c r="C22" s="25" t="n"/>
      <c r="D22" s="25" t="n"/>
      <c r="E22" s="25" t="n"/>
      <c r="F22" s="25" t="n"/>
      <c r="G22" s="25" t="n"/>
      <c r="H22" s="25" t="n"/>
    </row>
    <row r="23">
      <c r="A23" s="25" t="n"/>
      <c r="B23" s="25" t="n"/>
      <c r="C23" s="25" t="n"/>
      <c r="D23" s="25" t="n"/>
      <c r="E23" s="25" t="n"/>
      <c r="F23" s="25" t="n"/>
      <c r="G23" s="25" t="n"/>
      <c r="H23" s="25" t="n"/>
    </row>
    <row r="24">
      <c r="A24" s="25" t="n"/>
      <c r="B24" s="25" t="n"/>
      <c r="C24" s="25" t="n"/>
      <c r="D24" s="25" t="n"/>
      <c r="E24" s="25" t="n"/>
      <c r="F24" s="25" t="n"/>
      <c r="G24" s="25" t="n"/>
      <c r="H24" s="25" t="n"/>
    </row>
    <row r="25">
      <c r="A25" s="25" t="n"/>
      <c r="B25" s="25" t="n"/>
      <c r="C25" s="25" t="n"/>
      <c r="D25" s="25" t="n"/>
      <c r="E25" s="25" t="n"/>
      <c r="F25" s="25" t="n"/>
      <c r="G25" s="25" t="n"/>
      <c r="H25" s="25" t="n"/>
    </row>
    <row r="26">
      <c r="A26" s="25" t="n"/>
      <c r="B26" s="25" t="n"/>
      <c r="C26" s="25" t="n"/>
      <c r="D26" s="25" t="n"/>
      <c r="E26" s="25" t="n"/>
      <c r="F26" s="25" t="n"/>
      <c r="G26" s="25" t="n"/>
      <c r="H26" s="25" t="n"/>
    </row>
    <row r="27">
      <c r="A27" s="25" t="n"/>
      <c r="B27" s="25" t="n"/>
      <c r="C27" s="25" t="n"/>
      <c r="D27" s="25" t="n"/>
      <c r="E27" s="25" t="n"/>
      <c r="F27" s="25" t="n"/>
      <c r="G27" s="25" t="n"/>
      <c r="H27" s="25" t="n"/>
    </row>
    <row r="28">
      <c r="A28" s="25" t="n"/>
      <c r="B28" s="25" t="n"/>
      <c r="C28" s="25" t="n"/>
      <c r="D28" s="25" t="n"/>
      <c r="E28" s="25" t="n"/>
      <c r="F28" s="25" t="n"/>
      <c r="G28" s="25" t="n"/>
      <c r="H28" s="25" t="n"/>
    </row>
    <row r="29">
      <c r="A29" s="25" t="n"/>
      <c r="B29" s="25" t="n"/>
      <c r="C29" s="25" t="n"/>
      <c r="D29" s="25" t="n"/>
      <c r="E29" s="25" t="n"/>
      <c r="F29" s="25" t="n"/>
      <c r="G29" s="25" t="n"/>
      <c r="H29" s="25" t="n"/>
    </row>
    <row r="30">
      <c r="A30" s="25" t="n"/>
      <c r="B30" s="25" t="n"/>
      <c r="C30" s="25" t="n"/>
      <c r="D30" s="25" t="n"/>
      <c r="E30" s="25" t="n"/>
      <c r="F30" s="25" t="n"/>
      <c r="G30" s="25" t="n"/>
      <c r="H30" s="25" t="n"/>
    </row>
    <row r="31">
      <c r="A31" s="25" t="n"/>
      <c r="B31" s="25" t="n"/>
      <c r="C31" s="25" t="n"/>
      <c r="D31" s="25" t="n"/>
      <c r="E31" s="25" t="n"/>
      <c r="F31" s="25" t="n"/>
      <c r="G31" s="25" t="n"/>
      <c r="H31" s="25" t="n"/>
    </row>
    <row r="32">
      <c r="A32" s="25" t="n"/>
      <c r="B32" s="25" t="n"/>
      <c r="C32" s="25" t="n"/>
      <c r="D32" s="25" t="n"/>
      <c r="E32" s="25" t="n"/>
      <c r="F32" s="25" t="n"/>
      <c r="G32" s="25" t="n"/>
      <c r="H32" s="25" t="n"/>
    </row>
    <row r="33">
      <c r="A33" s="25" t="n"/>
      <c r="B33" s="25" t="n"/>
      <c r="C33" s="25" t="n"/>
      <c r="D33" s="25" t="n"/>
      <c r="E33" s="25" t="n"/>
      <c r="F33" s="25" t="n"/>
      <c r="G33" s="25" t="n"/>
      <c r="H33" s="25" t="n"/>
    </row>
    <row r="34">
      <c r="A34" s="25" t="n"/>
      <c r="B34" s="25" t="n"/>
      <c r="C34" s="25" t="n"/>
      <c r="D34" s="25" t="n"/>
      <c r="E34" s="25" t="n"/>
      <c r="F34" s="25" t="n"/>
      <c r="G34" s="25" t="n"/>
      <c r="H34" s="25" t="n"/>
    </row>
    <row r="35">
      <c r="A35" s="25" t="n"/>
      <c r="B35" s="25" t="n"/>
      <c r="C35" s="25" t="n"/>
      <c r="D35" s="25" t="n"/>
      <c r="E35" s="25" t="n"/>
      <c r="F35" s="25" t="n"/>
      <c r="G35" s="25" t="n"/>
      <c r="H35" s="25" t="n"/>
    </row>
    <row r="36">
      <c r="A36" s="25" t="n"/>
      <c r="B36" s="25" t="n"/>
      <c r="C36" s="25" t="n"/>
      <c r="D36" s="25" t="n"/>
      <c r="E36" s="25" t="n"/>
      <c r="F36" s="25" t="n"/>
      <c r="G36" s="25" t="n"/>
      <c r="H36" s="25" t="n"/>
    </row>
    <row r="37">
      <c r="A37" s="25" t="n"/>
      <c r="B37" s="25" t="n"/>
      <c r="C37" s="25" t="n"/>
      <c r="D37" s="25" t="n"/>
      <c r="E37" s="25" t="n"/>
      <c r="F37" s="25" t="n"/>
      <c r="G37" s="25" t="n"/>
      <c r="H37" s="25" t="n"/>
    </row>
    <row r="38">
      <c r="A38" s="25" t="n"/>
      <c r="B38" s="25" t="n"/>
      <c r="C38" s="25" t="n"/>
      <c r="D38" s="25" t="n"/>
      <c r="E38" s="25" t="n"/>
      <c r="F38" s="25" t="n"/>
      <c r="G38" s="25" t="n"/>
      <c r="H38" s="25" t="n"/>
    </row>
    <row r="39">
      <c r="A39" s="25" t="n"/>
      <c r="B39" s="25" t="n"/>
      <c r="C39" s="25" t="n"/>
      <c r="D39" s="25" t="n"/>
      <c r="E39" s="25" t="n"/>
      <c r="F39" s="25" t="n"/>
      <c r="G39" s="25" t="n"/>
      <c r="H39" s="25" t="n"/>
    </row>
    <row r="40">
      <c r="A40" s="25" t="n"/>
      <c r="B40" s="25" t="n"/>
      <c r="C40" s="25" t="n"/>
      <c r="D40" s="25" t="n"/>
      <c r="E40" s="25" t="n"/>
      <c r="F40" s="25" t="n"/>
      <c r="G40" s="25" t="n"/>
      <c r="H40" s="25" t="n"/>
    </row>
    <row r="41">
      <c r="A41" s="25" t="n"/>
      <c r="B41" s="25" t="n"/>
      <c r="C41" s="25" t="n"/>
      <c r="D41" s="25" t="n"/>
      <c r="E41" s="25" t="n"/>
      <c r="F41" s="25" t="n"/>
      <c r="G41" s="25" t="n"/>
      <c r="H41" s="25" t="n"/>
    </row>
    <row r="42">
      <c r="A42" s="25" t="n"/>
      <c r="B42" s="25" t="n"/>
      <c r="C42" s="25" t="n"/>
      <c r="D42" s="25" t="n"/>
      <c r="E42" s="25" t="n"/>
      <c r="F42" s="25" t="n"/>
      <c r="G42" s="25" t="n"/>
      <c r="H42" s="25" t="n"/>
    </row>
    <row r="43">
      <c r="A43" s="25" t="n"/>
      <c r="B43" s="25" t="n"/>
      <c r="C43" s="25" t="n"/>
      <c r="D43" s="25" t="n"/>
      <c r="E43" s="25" t="n"/>
      <c r="F43" s="25" t="n"/>
      <c r="G43" s="25" t="n"/>
      <c r="H43" s="25" t="n"/>
    </row>
    <row r="44">
      <c r="A44" s="25" t="n"/>
      <c r="B44" s="25" t="n"/>
      <c r="C44" s="25" t="n"/>
      <c r="D44" s="25" t="n"/>
      <c r="E44" s="25" t="n"/>
      <c r="F44" s="25" t="n"/>
      <c r="G44" s="25" t="n"/>
      <c r="H44" s="25" t="n"/>
    </row>
    <row r="45">
      <c r="A45" s="25" t="n"/>
      <c r="B45" s="25" t="n"/>
      <c r="C45" s="25" t="n"/>
      <c r="D45" s="25" t="n"/>
      <c r="E45" s="25" t="n"/>
      <c r="F45" s="25" t="n"/>
      <c r="G45" s="25" t="n"/>
      <c r="H45" s="25" t="n"/>
    </row>
    <row r="46">
      <c r="A46" s="25" t="n"/>
      <c r="B46" s="25" t="n"/>
      <c r="C46" s="25" t="n"/>
      <c r="D46" s="25" t="n"/>
      <c r="E46" s="25" t="n"/>
      <c r="F46" s="25" t="n"/>
      <c r="G46" s="25" t="n"/>
      <c r="H46" s="25" t="n"/>
    </row>
    <row r="47">
      <c r="A47" s="25" t="n"/>
      <c r="B47" s="25" t="n"/>
      <c r="C47" s="25" t="n"/>
      <c r="D47" s="25" t="n"/>
      <c r="E47" s="25" t="n"/>
      <c r="F47" s="25" t="n"/>
      <c r="G47" s="25" t="n"/>
      <c r="H47" s="25" t="n"/>
    </row>
    <row r="48">
      <c r="A48" s="25" t="n"/>
      <c r="B48" s="25" t="n"/>
      <c r="C48" s="25" t="n"/>
      <c r="D48" s="25" t="n"/>
      <c r="E48" s="25" t="n"/>
      <c r="F48" s="25" t="n"/>
      <c r="G48" s="25" t="n"/>
      <c r="H48" s="25" t="n"/>
    </row>
    <row r="49">
      <c r="A49" s="25" t="n"/>
      <c r="B49" s="25" t="n"/>
      <c r="C49" s="25" t="n"/>
      <c r="D49" s="25" t="n"/>
      <c r="E49" s="25" t="n"/>
      <c r="F49" s="25" t="n"/>
      <c r="G49" s="25" t="n"/>
      <c r="H49" s="25" t="n"/>
    </row>
    <row r="50">
      <c r="A50" s="25" t="n"/>
      <c r="B50" s="25" t="n"/>
      <c r="C50" s="25" t="n"/>
      <c r="D50" s="25" t="n"/>
      <c r="E50" s="25" t="n"/>
      <c r="F50" s="25" t="n"/>
      <c r="G50" s="25" t="n"/>
      <c r="H50" s="25" t="n"/>
    </row>
    <row r="51">
      <c r="A51" s="25" t="n"/>
      <c r="B51" s="25" t="n"/>
      <c r="C51" s="25" t="n"/>
      <c r="D51" s="25" t="n"/>
      <c r="E51" s="25" t="n"/>
      <c r="F51" s="25" t="n"/>
      <c r="G51" s="25" t="n"/>
      <c r="H51" s="25" t="n"/>
    </row>
    <row r="52">
      <c r="A52" s="25" t="n"/>
      <c r="B52" s="25" t="n"/>
      <c r="C52" s="25" t="n"/>
      <c r="D52" s="25" t="n"/>
      <c r="E52" s="25" t="n"/>
      <c r="F52" s="25" t="n"/>
      <c r="G52" s="25" t="n"/>
      <c r="H52" s="25" t="n"/>
    </row>
    <row r="53">
      <c r="A53" s="25" t="n"/>
      <c r="B53" s="25" t="n"/>
      <c r="C53" s="25" t="n"/>
      <c r="D53" s="25" t="n"/>
      <c r="E53" s="25" t="n"/>
      <c r="F53" s="25" t="n"/>
      <c r="G53" s="25" t="n"/>
      <c r="H53" s="25" t="n"/>
    </row>
    <row r="54">
      <c r="A54" s="25" t="n"/>
      <c r="B54" s="25" t="n"/>
      <c r="C54" s="25" t="n"/>
      <c r="D54" s="25" t="n"/>
      <c r="E54" s="25" t="n"/>
      <c r="F54" s="25" t="n"/>
      <c r="G54" s="25" t="n"/>
      <c r="H54" s="25" t="n"/>
    </row>
    <row r="55">
      <c r="A55" s="25" t="n"/>
      <c r="B55" s="25" t="n"/>
      <c r="C55" s="25" t="n"/>
      <c r="D55" s="25" t="n"/>
      <c r="E55" s="25" t="n"/>
      <c r="F55" s="25" t="n"/>
      <c r="G55" s="25" t="n"/>
      <c r="H55" s="25" t="n"/>
    </row>
    <row r="56">
      <c r="A56" s="25" t="n"/>
      <c r="B56" s="25" t="n"/>
      <c r="C56" s="25" t="n"/>
      <c r="D56" s="25" t="n"/>
      <c r="E56" s="25" t="n"/>
      <c r="F56" s="25" t="n"/>
      <c r="G56" s="25" t="n"/>
      <c r="H56" s="25" t="n"/>
    </row>
    <row r="57">
      <c r="A57" s="25" t="n"/>
      <c r="B57" s="25" t="n"/>
      <c r="C57" s="25" t="n"/>
      <c r="D57" s="25" t="n"/>
      <c r="E57" s="25" t="n"/>
      <c r="F57" s="25" t="n"/>
      <c r="G57" s="25" t="n"/>
      <c r="H57" s="25" t="n"/>
    </row>
    <row r="58">
      <c r="A58" s="25" t="n"/>
      <c r="B58" s="25" t="n"/>
      <c r="C58" s="25" t="n"/>
      <c r="D58" s="25" t="n"/>
      <c r="E58" s="25" t="n"/>
      <c r="F58" s="25" t="n"/>
      <c r="G58" s="25" t="n"/>
      <c r="H58" s="25" t="n"/>
    </row>
    <row r="59">
      <c r="A59" s="25" t="n"/>
      <c r="B59" s="25" t="n"/>
      <c r="C59" s="25" t="n"/>
      <c r="D59" s="25" t="n"/>
      <c r="E59" s="25" t="n"/>
      <c r="F59" s="25" t="n"/>
      <c r="G59" s="25" t="n"/>
      <c r="H59" s="25" t="n"/>
    </row>
    <row r="60">
      <c r="A60" s="25" t="n"/>
      <c r="B60" s="25" t="n"/>
      <c r="C60" s="25" t="n"/>
      <c r="D60" s="25" t="n"/>
      <c r="E60" s="25" t="n"/>
      <c r="F60" s="25" t="n"/>
      <c r="G60" s="25" t="n"/>
      <c r="H60" s="25" t="n"/>
    </row>
    <row r="61">
      <c r="A61" s="25" t="n"/>
      <c r="B61" s="25" t="n"/>
      <c r="C61" s="25" t="n"/>
      <c r="D61" s="25" t="n"/>
      <c r="E61" s="25" t="n"/>
      <c r="F61" s="25" t="n"/>
      <c r="G61" s="25" t="n"/>
      <c r="H61" s="25" t="n"/>
    </row>
    <row r="62">
      <c r="A62" s="25" t="n"/>
      <c r="B62" s="25" t="n"/>
      <c r="C62" s="25" t="n"/>
      <c r="D62" s="25" t="n"/>
      <c r="E62" s="25" t="n"/>
      <c r="F62" s="25" t="n"/>
      <c r="G62" s="25" t="n"/>
      <c r="H62" s="25" t="n"/>
    </row>
    <row r="63">
      <c r="A63" s="25" t="n"/>
      <c r="B63" s="25" t="n"/>
      <c r="C63" s="25" t="n"/>
      <c r="D63" s="25" t="n"/>
      <c r="E63" s="25" t="n"/>
      <c r="F63" s="25" t="n"/>
      <c r="G63" s="25" t="n"/>
      <c r="H63" s="25" t="n"/>
    </row>
    <row r="64">
      <c r="A64" s="25" t="n"/>
      <c r="B64" s="25" t="n"/>
      <c r="C64" s="25" t="n"/>
      <c r="D64" s="25" t="n"/>
      <c r="E64" s="25" t="n"/>
      <c r="F64" s="25" t="n"/>
      <c r="G64" s="25" t="n"/>
      <c r="H64" s="25" t="n"/>
    </row>
    <row r="65">
      <c r="A65" s="25" t="n"/>
      <c r="B65" s="25" t="n"/>
      <c r="C65" s="25" t="n"/>
      <c r="D65" s="25" t="n"/>
      <c r="E65" s="25" t="n"/>
      <c r="F65" s="25" t="n"/>
      <c r="G65" s="25" t="n"/>
      <c r="H65" s="25" t="n"/>
    </row>
    <row r="66">
      <c r="A66" s="25" t="n"/>
      <c r="B66" s="25" t="n"/>
      <c r="C66" s="25" t="n"/>
      <c r="D66" s="25" t="n"/>
      <c r="E66" s="25" t="n"/>
      <c r="F66" s="25" t="n"/>
      <c r="G66" s="25" t="n"/>
      <c r="H66" s="25" t="n"/>
    </row>
    <row r="67">
      <c r="A67" s="25" t="n"/>
      <c r="B67" s="25" t="n"/>
      <c r="C67" s="25" t="n"/>
      <c r="D67" s="25" t="n"/>
      <c r="E67" s="25" t="n"/>
      <c r="F67" s="25" t="n"/>
      <c r="G67" s="25" t="n"/>
      <c r="H67" s="25" t="n"/>
    </row>
    <row r="68">
      <c r="A68" s="25" t="n"/>
      <c r="B68" s="25" t="n"/>
      <c r="C68" s="25" t="n"/>
      <c r="D68" s="25" t="n"/>
      <c r="E68" s="25" t="n"/>
      <c r="F68" s="25" t="n"/>
      <c r="G68" s="25" t="n"/>
      <c r="H68" s="25" t="n"/>
    </row>
    <row r="69">
      <c r="A69" s="25" t="n"/>
      <c r="B69" s="25" t="n"/>
      <c r="C69" s="25" t="n"/>
      <c r="D69" s="25" t="n"/>
      <c r="E69" s="25" t="n"/>
      <c r="F69" s="25" t="n"/>
      <c r="G69" s="25" t="n"/>
      <c r="H69" s="25" t="n"/>
    </row>
    <row r="70">
      <c r="A70" s="25" t="n"/>
      <c r="B70" s="25" t="n"/>
      <c r="C70" s="25" t="n"/>
      <c r="D70" s="25" t="n"/>
      <c r="E70" s="25" t="n"/>
      <c r="F70" s="25" t="n"/>
      <c r="G70" s="25" t="n"/>
      <c r="H70" s="25" t="n"/>
    </row>
    <row r="71">
      <c r="A71" s="25" t="n"/>
      <c r="B71" s="25" t="n"/>
      <c r="C71" s="25" t="n"/>
      <c r="D71" s="25" t="n"/>
      <c r="E71" s="25" t="n"/>
      <c r="F71" s="25" t="n"/>
      <c r="G71" s="25" t="n"/>
      <c r="H71" s="25" t="n"/>
    </row>
    <row r="72">
      <c r="A72" s="25" t="n"/>
      <c r="B72" s="25" t="n"/>
      <c r="C72" s="25" t="n"/>
      <c r="D72" s="25" t="n"/>
      <c r="E72" s="25" t="n"/>
      <c r="F72" s="25" t="n"/>
      <c r="G72" s="25" t="n"/>
      <c r="H72" s="25" t="n"/>
    </row>
    <row r="73">
      <c r="A73" s="25" t="n"/>
      <c r="B73" s="25" t="n"/>
      <c r="C73" s="25" t="n"/>
      <c r="D73" s="25" t="n"/>
      <c r="E73" s="25" t="n"/>
      <c r="F73" s="25" t="n"/>
      <c r="G73" s="25" t="n"/>
      <c r="H73" s="25" t="n"/>
    </row>
    <row r="74">
      <c r="A74" s="25" t="n"/>
      <c r="B74" s="25" t="n"/>
      <c r="C74" s="25" t="n"/>
      <c r="D74" s="25" t="n"/>
      <c r="E74" s="25" t="n"/>
      <c r="F74" s="25" t="n"/>
      <c r="G74" s="25" t="n"/>
      <c r="H74" s="25" t="n"/>
    </row>
    <row r="75">
      <c r="A75" s="25" t="n"/>
      <c r="B75" s="25" t="n"/>
      <c r="C75" s="25" t="n"/>
      <c r="D75" s="25" t="n"/>
      <c r="E75" s="25" t="n"/>
      <c r="F75" s="25" t="n"/>
      <c r="G75" s="25" t="n"/>
      <c r="H75" s="25" t="n"/>
    </row>
    <row r="76">
      <c r="A76" s="25" t="n"/>
      <c r="B76" s="25" t="n"/>
      <c r="C76" s="25" t="n"/>
      <c r="D76" s="25" t="n"/>
      <c r="E76" s="25" t="n"/>
      <c r="F76" s="25" t="n"/>
      <c r="G76" s="25" t="n"/>
      <c r="H76" s="25" t="n"/>
    </row>
    <row r="77">
      <c r="A77" s="25" t="n"/>
      <c r="B77" s="25" t="n"/>
      <c r="C77" s="25" t="n"/>
      <c r="D77" s="25" t="n"/>
      <c r="E77" s="25" t="n"/>
      <c r="F77" s="25" t="n"/>
      <c r="G77" s="25" t="n"/>
      <c r="H77" s="25" t="n"/>
    </row>
    <row r="78">
      <c r="A78" s="25" t="n"/>
      <c r="B78" s="25" t="n"/>
      <c r="C78" s="25" t="n"/>
      <c r="D78" s="25" t="n"/>
      <c r="E78" s="25" t="n"/>
      <c r="F78" s="25" t="n"/>
      <c r="G78" s="25" t="n"/>
      <c r="H78" s="25" t="n"/>
    </row>
    <row r="79">
      <c r="A79" s="25" t="n"/>
      <c r="B79" s="25" t="n"/>
      <c r="C79" s="25" t="n"/>
      <c r="D79" s="25" t="n"/>
      <c r="E79" s="25" t="n"/>
      <c r="F79" s="25" t="n"/>
      <c r="G79" s="25" t="n"/>
      <c r="H79" s="25" t="n"/>
    </row>
    <row r="80">
      <c r="A80" s="25" t="n"/>
      <c r="B80" s="25" t="n"/>
      <c r="C80" s="25" t="n"/>
      <c r="D80" s="25" t="n"/>
      <c r="E80" s="25" t="n"/>
      <c r="F80" s="25" t="n"/>
      <c r="G80" s="25" t="n"/>
      <c r="H80" s="25" t="n"/>
    </row>
    <row r="81">
      <c r="A81" s="25" t="n"/>
      <c r="B81" s="25" t="n"/>
      <c r="C81" s="25" t="n"/>
      <c r="D81" s="25" t="n"/>
      <c r="E81" s="25" t="n"/>
      <c r="F81" s="25" t="n"/>
      <c r="G81" s="25" t="n"/>
      <c r="H81" s="25" t="n"/>
    </row>
    <row r="82">
      <c r="A82" s="25" t="n"/>
      <c r="B82" s="25" t="n"/>
      <c r="C82" s="25" t="n"/>
      <c r="D82" s="25" t="n"/>
      <c r="E82" s="25" t="n"/>
      <c r="F82" s="25" t="n"/>
      <c r="G82" s="25" t="n"/>
      <c r="H82" s="25" t="n"/>
    </row>
    <row r="83">
      <c r="A83" s="25" t="n"/>
      <c r="B83" s="25" t="n"/>
      <c r="C83" s="25" t="n"/>
      <c r="D83" s="25" t="n"/>
      <c r="E83" s="25" t="n"/>
      <c r="F83" s="25" t="n"/>
      <c r="G83" s="25" t="n"/>
      <c r="H83" s="25" t="n"/>
    </row>
    <row r="84">
      <c r="A84" s="25" t="n"/>
      <c r="B84" s="25" t="n"/>
      <c r="C84" s="25" t="n"/>
      <c r="D84" s="25" t="n"/>
      <c r="E84" s="25" t="n"/>
      <c r="F84" s="25" t="n"/>
      <c r="G84" s="25" t="n"/>
      <c r="H84" s="25" t="n"/>
    </row>
    <row r="85">
      <c r="A85" s="25" t="n"/>
      <c r="B85" s="25" t="n"/>
      <c r="C85" s="25" t="n"/>
      <c r="D85" s="25" t="n"/>
      <c r="E85" s="25" t="n"/>
      <c r="F85" s="25" t="n"/>
      <c r="G85" s="25" t="n"/>
      <c r="H85" s="25" t="n"/>
    </row>
    <row r="86">
      <c r="A86" s="25" t="n"/>
      <c r="B86" s="25" t="n"/>
      <c r="C86" s="25" t="n"/>
      <c r="D86" s="25" t="n"/>
      <c r="E86" s="25" t="n"/>
      <c r="F86" s="25" t="n"/>
      <c r="G86" s="25" t="n"/>
      <c r="H86" s="25" t="n"/>
    </row>
    <row r="87">
      <c r="A87" s="25" t="n"/>
      <c r="B87" s="25" t="n"/>
      <c r="C87" s="25" t="n"/>
      <c r="D87" s="25" t="n"/>
      <c r="E87" s="25" t="n"/>
      <c r="F87" s="25" t="n"/>
      <c r="G87" s="25" t="n"/>
      <c r="H87" s="25" t="n"/>
    </row>
    <row r="88">
      <c r="A88" s="25" t="n"/>
      <c r="B88" s="25" t="n"/>
      <c r="C88" s="25" t="n"/>
      <c r="D88" s="25" t="n"/>
      <c r="E88" s="25" t="n"/>
      <c r="F88" s="25" t="n"/>
      <c r="G88" s="25" t="n"/>
      <c r="H88" s="25" t="n"/>
    </row>
    <row r="89">
      <c r="A89" s="25" t="n"/>
      <c r="B89" s="25" t="n"/>
      <c r="C89" s="25" t="n"/>
      <c r="D89" s="25" t="n"/>
      <c r="E89" s="25" t="n"/>
      <c r="F89" s="25" t="n"/>
      <c r="G89" s="25" t="n"/>
      <c r="H89" s="25" t="n"/>
    </row>
    <row r="90">
      <c r="A90" s="25" t="n"/>
      <c r="B90" s="25" t="n"/>
      <c r="C90" s="25" t="n"/>
      <c r="D90" s="25" t="n"/>
      <c r="E90" s="25" t="n"/>
      <c r="F90" s="25" t="n"/>
      <c r="G90" s="25" t="n"/>
      <c r="H90" s="25" t="n"/>
    </row>
    <row r="91">
      <c r="A91" s="25" t="n"/>
      <c r="B91" s="25" t="n"/>
      <c r="C91" s="25" t="n"/>
      <c r="D91" s="25" t="n"/>
      <c r="E91" s="25" t="n"/>
      <c r="F91" s="25" t="n"/>
      <c r="G91" s="25" t="n"/>
      <c r="H91" s="25" t="n"/>
    </row>
    <row r="92">
      <c r="A92" s="25" t="n"/>
      <c r="B92" s="25" t="n"/>
      <c r="C92" s="25" t="n"/>
      <c r="D92" s="25" t="n"/>
      <c r="E92" s="25" t="n"/>
      <c r="F92" s="25" t="n"/>
      <c r="G92" s="25" t="n"/>
      <c r="H92" s="25" t="n"/>
    </row>
    <row r="93">
      <c r="A93" s="25" t="n"/>
      <c r="B93" s="25" t="n"/>
      <c r="C93" s="25" t="n"/>
      <c r="D93" s="25" t="n"/>
      <c r="E93" s="25" t="n"/>
      <c r="F93" s="25" t="n"/>
      <c r="G93" s="25" t="n"/>
      <c r="H93" s="25" t="n"/>
    </row>
    <row r="94">
      <c r="A94" s="25" t="n"/>
      <c r="B94" s="25" t="n"/>
      <c r="C94" s="25" t="n"/>
      <c r="D94" s="25" t="n"/>
      <c r="E94" s="25" t="n"/>
      <c r="F94" s="25" t="n"/>
      <c r="G94" s="25" t="n"/>
      <c r="H94" s="25" t="n"/>
    </row>
    <row r="95">
      <c r="A95" s="25" t="n"/>
      <c r="B95" s="25" t="n"/>
      <c r="C95" s="25" t="n"/>
      <c r="D95" s="25" t="n"/>
      <c r="E95" s="25" t="n"/>
      <c r="F95" s="25" t="n"/>
      <c r="G95" s="25" t="n"/>
      <c r="H95" s="25" t="n"/>
    </row>
    <row r="96">
      <c r="A96" s="25" t="n"/>
      <c r="B96" s="25" t="n"/>
      <c r="C96" s="25" t="n"/>
      <c r="D96" s="25" t="n"/>
      <c r="E96" s="25" t="n"/>
      <c r="F96" s="25" t="n"/>
      <c r="G96" s="25" t="n"/>
      <c r="H96" s="25" t="n"/>
    </row>
    <row r="97">
      <c r="A97" s="25" t="n"/>
      <c r="B97" s="25" t="n"/>
      <c r="C97" s="25" t="n"/>
      <c r="D97" s="25" t="n"/>
      <c r="E97" s="25" t="n"/>
      <c r="F97" s="25" t="n"/>
      <c r="G97" s="25" t="n"/>
      <c r="H97" s="25" t="n"/>
    </row>
    <row r="98">
      <c r="A98" s="25" t="n"/>
      <c r="B98" s="25" t="n"/>
      <c r="C98" s="25" t="n"/>
      <c r="D98" s="25" t="n"/>
      <c r="E98" s="25" t="n"/>
      <c r="F98" s="25" t="n"/>
      <c r="G98" s="25" t="n"/>
      <c r="H98" s="25" t="n"/>
    </row>
    <row r="99">
      <c r="A99" s="25" t="n"/>
      <c r="B99" s="25" t="n"/>
      <c r="C99" s="25" t="n"/>
      <c r="D99" s="25" t="n"/>
      <c r="E99" s="25" t="n"/>
      <c r="F99" s="25" t="n"/>
      <c r="G99" s="25" t="n"/>
      <c r="H99" s="25" t="n"/>
    </row>
    <row r="100">
      <c r="A100" s="25" t="n"/>
      <c r="B100" s="25" t="n"/>
      <c r="C100" s="25" t="n"/>
      <c r="D100" s="25" t="n"/>
      <c r="E100" s="25" t="n"/>
      <c r="F100" s="25" t="n"/>
      <c r="G100" s="25" t="n"/>
      <c r="H100" s="25" t="n"/>
    </row>
    <row r="101">
      <c r="A101" s="25" t="n"/>
      <c r="B101" s="25" t="n"/>
      <c r="C101" s="25" t="n"/>
      <c r="D101" s="25" t="n"/>
      <c r="E101" s="25" t="n"/>
      <c r="F101" s="25" t="n"/>
      <c r="G101" s="25" t="n"/>
      <c r="H101" s="25" t="n"/>
    </row>
    <row r="102">
      <c r="A102" s="25" t="n"/>
      <c r="B102" s="25" t="n"/>
      <c r="C102" s="25" t="n"/>
      <c r="D102" s="25" t="n"/>
      <c r="E102" s="25" t="n"/>
      <c r="F102" s="25" t="n"/>
      <c r="G102" s="25" t="n"/>
      <c r="H102" s="25" t="n"/>
    </row>
    <row r="103">
      <c r="A103" s="25" t="n"/>
      <c r="B103" s="25" t="n"/>
      <c r="C103" s="25" t="n"/>
      <c r="D103" s="25" t="n"/>
      <c r="E103" s="25" t="n"/>
      <c r="F103" s="25" t="n"/>
      <c r="G103" s="25" t="n"/>
      <c r="H103" s="25" t="n"/>
    </row>
    <row r="104">
      <c r="A104" s="25" t="n"/>
      <c r="B104" s="25" t="n"/>
      <c r="C104" s="25" t="n"/>
      <c r="D104" s="25" t="n"/>
      <c r="E104" s="25" t="n"/>
      <c r="F104" s="25" t="n"/>
      <c r="G104" s="25" t="n"/>
      <c r="H104" s="25" t="n"/>
    </row>
    <row r="105">
      <c r="A105" s="25" t="n"/>
      <c r="B105" s="25" t="n"/>
      <c r="C105" s="25" t="n"/>
      <c r="D105" s="25" t="n"/>
      <c r="E105" s="25" t="n"/>
      <c r="F105" s="25" t="n"/>
      <c r="G105" s="25" t="n"/>
      <c r="H105" s="25" t="n"/>
    </row>
  </sheetData>
  <mergeCells count="2">
    <mergeCell ref="A2:H2"/>
    <mergeCell ref="A1:H1"/>
  </mergeCells>
  <dataValidations count="2">
    <dataValidation sqref="C5:C105" showDropDown="0" showInputMessage="0" showErrorMessage="0" allowBlank="0" errorTitle="Invalid Evidence Type" error="Please select a valid evidence type" type="list">
      <formula1>"Configuration File,Command Output,Screenshot,Log File,Report,Monitoring Data,Scan Result,Policy Document,Certificate,Meeting Minutes,Email Thread,Other"</formula1>
    </dataValidation>
    <dataValidation sqref="H5:H105" showDropDown="0" showInputMessage="0" showErrorMessage="0" allowBlank="0" errorTitle="Invalid Status" error="Please select a valid verification status" type="list">
      <formula1>"Verified,Pending Review,Incomplete,Rejected"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8"/>
  <sheetViews>
    <sheetView showGridLines="0" workbookViewId="0">
      <pane ySplit="3" topLeftCell="A4" activePane="bottomLeft" state="frozen"/>
      <selection pane="bottomLeft" activeCell="A1" sqref="A1"/>
    </sheetView>
  </sheetViews>
  <sheetFormatPr baseColWidth="8" defaultRowHeight="15"/>
  <cols>
    <col width="38" customWidth="1" min="1" max="1"/>
    <col width="20" customWidth="1" min="2" max="2"/>
    <col width="18" customWidth="1" min="3" max="3"/>
    <col width="20" customWidth="1" min="4" max="4"/>
    <col width="15" customWidth="1" min="5" max="5"/>
    <col width="15" customWidth="1" min="6" max="6"/>
    <col width="25" customWidth="1" min="7" max="7"/>
  </cols>
  <sheetData>
    <row r="1" ht="35" customHeight="1">
      <c r="A1" s="11" t="inlineStr">
        <is>
          <t>TIME SYNCHRONISATION STATUS ASSESSMENT — SUMMARY DASHBOARD</t>
        </is>
      </c>
    </row>
    <row r="2">
      <c r="A2" s="28" t="inlineStr">
        <is>
          <t>System Synchronisation Status — A.8.17 Clock Synchronisation</t>
        </is>
      </c>
    </row>
    <row r="4">
      <c r="A4" s="29" t="inlineStr">
        <is>
          <t>TABLE 1: COMPLIANCE BY CRITICALITY</t>
        </is>
      </c>
    </row>
    <row r="5">
      <c r="A5" s="13" t="inlineStr">
        <is>
          <t>Assessment Area</t>
        </is>
      </c>
      <c r="B5" s="13" t="inlineStr">
        <is>
          <t>Total Items</t>
        </is>
      </c>
      <c r="C5" s="13" t="inlineStr">
        <is>
          <t>Compliant</t>
        </is>
      </c>
      <c r="D5" s="13" t="inlineStr">
        <is>
          <t>Partial</t>
        </is>
      </c>
      <c r="E5" s="13" t="inlineStr">
        <is>
          <t>Non-Compliant</t>
        </is>
      </c>
      <c r="F5" s="13" t="inlineStr">
        <is>
          <t>N/A</t>
        </is>
      </c>
      <c r="G5" s="13" t="inlineStr">
        <is>
          <t>Compliance %</t>
        </is>
      </c>
    </row>
    <row r="6">
      <c r="A6" s="30" t="inlineStr">
        <is>
          <t>Critical Systems</t>
        </is>
      </c>
      <c r="B6" s="31">
        <f>COUNTIF('System Inventory'!E5:E54,"Critical")</f>
        <v/>
      </c>
      <c r="C6" s="31">
        <f>COUNTIFS('System Inventory'!E5:E54,"Critical",'System Inventory'!L5:L54,"✅ PASS")</f>
        <v/>
      </c>
      <c r="D6" s="31" t="n">
        <v>0</v>
      </c>
      <c r="E6" s="31">
        <f>B9-C9-F9</f>
        <v/>
      </c>
      <c r="F6" s="31">
        <f>COUNTIFS('System Inventory'!E5:E54,"Critical",'System Inventory'!G5:G54,"Excluded")</f>
        <v/>
      </c>
      <c r="G6" s="32">
        <f>IF((B10-F10)=0,0,C10/(B10-F10))</f>
        <v/>
      </c>
    </row>
    <row r="7">
      <c r="A7" s="30" t="inlineStr">
        <is>
          <t>High Systems</t>
        </is>
      </c>
      <c r="B7" s="31">
        <f>COUNTIF('System Inventory'!E5:E54,"High")</f>
        <v/>
      </c>
      <c r="C7" s="31">
        <f>COUNTIFS('System Inventory'!E5:E54,"High",'System Inventory'!L5:L54,"✅ PASS")</f>
        <v/>
      </c>
      <c r="D7" s="31" t="n">
        <v>0</v>
      </c>
      <c r="E7" s="31">
        <f>B9-C9-F9</f>
        <v/>
      </c>
      <c r="F7" s="31">
        <f>COUNTIFS('System Inventory'!E5:E54,"High",'System Inventory'!G5:G54,"Excluded")</f>
        <v/>
      </c>
      <c r="G7" s="32">
        <f>IF((B10-F10)=0,0,C10/(B10-F10))</f>
        <v/>
      </c>
    </row>
    <row r="8">
      <c r="A8" s="30" t="inlineStr">
        <is>
          <t>Medium Systems</t>
        </is>
      </c>
      <c r="B8" s="31">
        <f>COUNTIF('System Inventory'!E5:E54,"Medium")</f>
        <v/>
      </c>
      <c r="C8" s="31">
        <f>COUNTIFS('System Inventory'!E5:E54,"Medium",'System Inventory'!L5:L54,"✅ PASS")</f>
        <v/>
      </c>
      <c r="D8" s="31" t="n">
        <v>0</v>
      </c>
      <c r="E8" s="31">
        <f>B9-C9-F9</f>
        <v/>
      </c>
      <c r="F8" s="31">
        <f>COUNTIFS('System Inventory'!E5:E54,"Medium",'System Inventory'!G5:G54,"Excluded")</f>
        <v/>
      </c>
      <c r="G8" s="32">
        <f>IF((B10-F10)=0,0,C10/(B10-F10))</f>
        <v/>
      </c>
    </row>
    <row r="9">
      <c r="A9" s="30" t="inlineStr">
        <is>
          <t>Low Systems</t>
        </is>
      </c>
      <c r="B9" s="31">
        <f>COUNTIF('System Inventory'!E5:E54,"Low")</f>
        <v/>
      </c>
      <c r="C9" s="31">
        <f>COUNTIFS('System Inventory'!E5:E54,"Low",'System Inventory'!L5:L54,"✅ PASS")</f>
        <v/>
      </c>
      <c r="D9" s="31" t="n">
        <v>0</v>
      </c>
      <c r="E9" s="31">
        <f>B9-C9-F9</f>
        <v/>
      </c>
      <c r="F9" s="31">
        <f>COUNTIFS('System Inventory'!E5:E54,"Low",'System Inventory'!G5:G54,"Excluded")</f>
        <v/>
      </c>
      <c r="G9" s="32">
        <f>IF((B10-F10)=0,0,C10/(B10-F10))</f>
        <v/>
      </c>
    </row>
    <row r="10">
      <c r="A10" s="33" t="inlineStr">
        <is>
          <t>TOTAL</t>
        </is>
      </c>
      <c r="B10" s="34">
        <f>B6+B7+B8+B9</f>
        <v/>
      </c>
      <c r="C10" s="34">
        <f>C6+C7+C8+C9</f>
        <v/>
      </c>
      <c r="D10" s="34" t="n">
        <v>0</v>
      </c>
      <c r="E10" s="34">
        <f>E6+E7+E8+E9</f>
        <v/>
      </c>
      <c r="F10" s="34">
        <f>F6+F7+F8+F9</f>
        <v/>
      </c>
      <c r="G10" s="35">
        <f>IF((B10-F10)=0,0,C10/(B10-F10))</f>
        <v/>
      </c>
    </row>
    <row r="12">
      <c r="A12" s="29" t="inlineStr">
        <is>
          <t>TABLE 2: KEY PERFORMANCE METRICS</t>
        </is>
      </c>
    </row>
    <row r="13">
      <c r="A13" s="36" t="inlineStr">
        <is>
          <t>Metric</t>
        </is>
      </c>
      <c r="B13" s="36" t="inlineStr">
        <is>
          <t>Value</t>
        </is>
      </c>
      <c r="C13" s="36" t="inlineStr">
        <is>
          <t>Category</t>
        </is>
      </c>
      <c r="D13" s="36" t="inlineStr"/>
      <c r="E13" s="36" t="inlineStr"/>
      <c r="F13" s="36" t="inlineStr"/>
      <c r="G13" s="36" t="inlineStr"/>
    </row>
    <row r="14">
      <c r="A14" s="37" t="inlineStr">
        <is>
          <t>Total Systems Assessed</t>
        </is>
      </c>
      <c r="B14" s="31">
        <f>COUNTA('System Inventory'!A5:A54)</f>
        <v/>
      </c>
      <c r="C14" s="38" t="inlineStr">
        <is>
          <t>Overall</t>
        </is>
      </c>
      <c r="D14" s="6" t="n"/>
      <c r="E14" s="6" t="n"/>
      <c r="F14" s="6" t="n"/>
      <c r="G14" s="6" t="n"/>
    </row>
    <row r="15">
      <c r="A15" s="37" t="inlineStr">
        <is>
          <t>Systems Synchronized (✅ Synced)</t>
        </is>
      </c>
      <c r="B15" s="31">
        <f>COUNTIF('System Inventory'!G5:G54,"✅ Synced")</f>
        <v/>
      </c>
      <c r="C15" s="38" t="inlineStr">
        <is>
          <t>Sync Status</t>
        </is>
      </c>
      <c r="D15" s="6" t="n"/>
      <c r="E15" s="6" t="n"/>
      <c r="F15" s="6" t="n"/>
      <c r="G15" s="6" t="n"/>
    </row>
    <row r="16">
      <c r="A16" s="37" t="inlineStr">
        <is>
          <t>Systems Not Synchronized (❌ Not Synced)</t>
        </is>
      </c>
      <c r="B16" s="31">
        <f>COUNTIF('System Inventory'!G5:G54,"❌ Not Synced")</f>
        <v/>
      </c>
      <c r="C16" s="38" t="inlineStr">
        <is>
          <t>Sync Status</t>
        </is>
      </c>
      <c r="D16" s="6" t="n"/>
      <c r="E16" s="6" t="n"/>
      <c r="F16" s="6" t="n"/>
      <c r="G16" s="6" t="n"/>
    </row>
    <row r="17">
      <c r="A17" s="37" t="inlineStr">
        <is>
          <t>Sync Failures (⚠ Sync Failed)</t>
        </is>
      </c>
      <c r="B17" s="31">
        <f>COUNTIF('System Inventory'!G5:G54,"⚠ Sync Failed")</f>
        <v/>
      </c>
      <c r="C17" s="38" t="inlineStr">
        <is>
          <t>Sync Status</t>
        </is>
      </c>
      <c r="D17" s="6" t="n"/>
      <c r="E17" s="6" t="n"/>
      <c r="F17" s="6" t="n"/>
      <c r="G17" s="6" t="n"/>
    </row>
    <row r="18">
      <c r="A18" s="37" t="inlineStr">
        <is>
          <t>Unknown Sync Status</t>
        </is>
      </c>
      <c r="B18" s="31">
        <f>COUNTIF('System Inventory'!G5:G54,"Unknown")</f>
        <v/>
      </c>
      <c r="C18" s="38" t="inlineStr">
        <is>
          <t>Sync Status</t>
        </is>
      </c>
      <c r="D18" s="6" t="n"/>
      <c r="E18" s="6" t="n"/>
      <c r="F18" s="6" t="n"/>
      <c r="G18" s="6" t="n"/>
    </row>
    <row r="19">
      <c r="A19" s="37" t="inlineStr">
        <is>
          <t>Systems Excluded from Assessment</t>
        </is>
      </c>
      <c r="B19" s="31">
        <f>COUNTIF('System Inventory'!G5:G54,"Excluded")</f>
        <v/>
      </c>
      <c r="C19" s="38" t="inlineStr">
        <is>
          <t>Sync Status</t>
        </is>
      </c>
      <c r="D19" s="6" t="n"/>
      <c r="E19" s="6" t="n"/>
      <c r="F19" s="6" t="n"/>
      <c r="G19" s="6" t="n"/>
    </row>
    <row r="20">
      <c r="A20" s="37" t="inlineStr">
        <is>
          <t>Compliant Systems (✅ PASS)</t>
        </is>
      </c>
      <c r="B20" s="31">
        <f>COUNTIF('System Inventory'!L5:L54,"✅ PASS")</f>
        <v/>
      </c>
      <c r="C20" s="38" t="inlineStr">
        <is>
          <t>Compliance</t>
        </is>
      </c>
      <c r="D20" s="6" t="n"/>
      <c r="E20" s="6" t="n"/>
      <c r="F20" s="6" t="n"/>
      <c r="G20" s="6" t="n"/>
    </row>
    <row r="21">
      <c r="A21" s="37" t="inlineStr">
        <is>
          <t>Non-Compliant Systems (❌ FAIL)</t>
        </is>
      </c>
      <c r="B21" s="31">
        <f>COUNTA('System Inventory'!A5:A54)-COUNTIF('System Inventory'!L5:L54,"✅ PASS")-COUNTIF('System Inventory'!G5:G54,"Excluded")</f>
        <v/>
      </c>
      <c r="C21" s="38" t="inlineStr">
        <is>
          <t>Compliance</t>
        </is>
      </c>
      <c r="D21" s="6" t="n"/>
      <c r="E21" s="6" t="n"/>
      <c r="F21" s="6" t="n"/>
      <c r="G21" s="6" t="n"/>
    </row>
    <row r="22">
      <c r="A22" s="37" t="inlineStr">
        <is>
          <t>Synchronisation Rate %</t>
        </is>
      </c>
      <c r="B22" s="32">
        <f>IF(COUNTA('System Inventory'!A5:A54)=0,0,COUNTIF('System Inventory'!G5:G54,"✅ Synced")/COUNTA('System Inventory'!A5:A54))</f>
        <v/>
      </c>
      <c r="C22" s="38" t="inlineStr">
        <is>
          <t>Compliance</t>
        </is>
      </c>
      <c r="D22" s="6" t="n"/>
      <c r="E22" s="6" t="n"/>
      <c r="F22" s="6" t="n"/>
      <c r="G22" s="6" t="n"/>
    </row>
    <row r="23">
      <c r="A23" s="37" t="inlineStr">
        <is>
          <t>Compliance Rate %</t>
        </is>
      </c>
      <c r="B23" s="32">
        <f>IF(COUNTA('System Inventory'!A5:A54)-COUNTIF('System Inventory'!G5:G54,"Excluded")=0,0,COUNTIF('System Inventory'!L5:L54,"✅ PASS")/(COUNTA('System Inventory'!A5:A54)-COUNTIF('System Inventory'!G5:G54,"Excluded")))</f>
        <v/>
      </c>
      <c r="C23" s="38" t="inlineStr">
        <is>
          <t>Compliance</t>
        </is>
      </c>
      <c r="D23" s="6" t="n"/>
      <c r="E23" s="6" t="n"/>
      <c r="F23" s="6" t="n"/>
      <c r="G23" s="6" t="n"/>
    </row>
    <row r="24">
      <c r="A24" s="37" t="inlineStr">
        <is>
          <t>Critical Systems Total</t>
        </is>
      </c>
      <c r="B24" s="31">
        <f>COUNTIF('System Inventory'!E5:E54,"Critical")</f>
        <v/>
      </c>
      <c r="C24" s="38" t="inlineStr">
        <is>
          <t>By Criticality</t>
        </is>
      </c>
      <c r="D24" s="6" t="n"/>
      <c r="E24" s="6" t="n"/>
      <c r="F24" s="6" t="n"/>
      <c r="G24" s="6" t="n"/>
    </row>
    <row r="25">
      <c r="A25" s="37" t="inlineStr">
        <is>
          <t>Critical Systems Compliant</t>
        </is>
      </c>
      <c r="B25" s="31">
        <f>COUNTIFS('System Inventory'!E5:E54,"Critical",'System Inventory'!L5:L54,"✅ PASS")</f>
        <v/>
      </c>
      <c r="C25" s="38" t="inlineStr">
        <is>
          <t>By Criticality</t>
        </is>
      </c>
      <c r="D25" s="6" t="n"/>
      <c r="E25" s="6" t="n"/>
      <c r="F25" s="6" t="n"/>
      <c r="G25" s="6" t="n"/>
    </row>
    <row r="26">
      <c r="A26" s="37" t="inlineStr">
        <is>
          <t>High Systems Total</t>
        </is>
      </c>
      <c r="B26" s="31">
        <f>COUNTIF('System Inventory'!E5:E54,"High")</f>
        <v/>
      </c>
      <c r="C26" s="38" t="inlineStr">
        <is>
          <t>By Criticality</t>
        </is>
      </c>
      <c r="D26" s="6" t="n"/>
      <c r="E26" s="6" t="n"/>
      <c r="F26" s="6" t="n"/>
      <c r="G26" s="6" t="n"/>
    </row>
    <row r="27">
      <c r="A27" s="37" t="inlineStr">
        <is>
          <t>High Systems Compliant</t>
        </is>
      </c>
      <c r="B27" s="31">
        <f>COUNTIFS('System Inventory'!E5:E54,"High",'System Inventory'!L5:L54,"✅ PASS")</f>
        <v/>
      </c>
      <c r="C27" s="38" t="inlineStr">
        <is>
          <t>By Criticality</t>
        </is>
      </c>
      <c r="D27" s="6" t="n"/>
      <c r="E27" s="6" t="n"/>
      <c r="F27" s="6" t="n"/>
      <c r="G27" s="6" t="n"/>
    </row>
    <row r="28">
      <c r="A28" s="37" t="inlineStr">
        <is>
          <t>Medium Systems Total</t>
        </is>
      </c>
      <c r="B28" s="31">
        <f>COUNTIF('System Inventory'!E5:E54,"Medium")</f>
        <v/>
      </c>
      <c r="C28" s="38" t="inlineStr">
        <is>
          <t>By Criticality</t>
        </is>
      </c>
      <c r="D28" s="6" t="n"/>
      <c r="E28" s="6" t="n"/>
      <c r="F28" s="6" t="n"/>
      <c r="G28" s="6" t="n"/>
    </row>
    <row r="29">
      <c r="A29" s="37" t="inlineStr">
        <is>
          <t>Medium Systems Compliant</t>
        </is>
      </c>
      <c r="B29" s="31">
        <f>COUNTIFS('System Inventory'!E5:E54,"Medium",'System Inventory'!L5:L54,"✅ PASS")</f>
        <v/>
      </c>
      <c r="C29" s="38" t="inlineStr">
        <is>
          <t>By Criticality</t>
        </is>
      </c>
      <c r="D29" s="6" t="n"/>
      <c r="E29" s="6" t="n"/>
      <c r="F29" s="6" t="n"/>
      <c r="G29" s="6" t="n"/>
    </row>
    <row r="30">
      <c r="A30" s="37" t="inlineStr">
        <is>
          <t>Server-Physical Count</t>
        </is>
      </c>
      <c r="B30" s="31">
        <f>COUNTIF('System Inventory'!C5:C54,"Server-Physical")</f>
        <v/>
      </c>
      <c r="C30" s="38" t="inlineStr">
        <is>
          <t>By Type</t>
        </is>
      </c>
      <c r="D30" s="6" t="n"/>
      <c r="E30" s="6" t="n"/>
      <c r="F30" s="6" t="n"/>
      <c r="G30" s="6" t="n"/>
    </row>
    <row r="31">
      <c r="A31" s="37" t="inlineStr">
        <is>
          <t>Server-Virtual Count</t>
        </is>
      </c>
      <c r="B31" s="31">
        <f>COUNTIF('System Inventory'!C5:C54,"Server-Virtual")</f>
        <v/>
      </c>
      <c r="C31" s="38" t="inlineStr">
        <is>
          <t>By Type</t>
        </is>
      </c>
      <c r="D31" s="6" t="n"/>
      <c r="E31" s="6" t="n"/>
      <c r="F31" s="6" t="n"/>
      <c r="G31" s="6" t="n"/>
    </row>
    <row r="32">
      <c r="A32" s="37" t="inlineStr">
        <is>
          <t>Server-Cloud Count</t>
        </is>
      </c>
      <c r="B32" s="31">
        <f>COUNTIF('System Inventory'!C5:C54,"Server-Cloud")</f>
        <v/>
      </c>
      <c r="C32" s="38" t="inlineStr">
        <is>
          <t>By Type</t>
        </is>
      </c>
      <c r="D32" s="6" t="n"/>
      <c r="E32" s="6" t="n"/>
      <c r="F32" s="6" t="n"/>
      <c r="G32" s="6" t="n"/>
    </row>
    <row r="33">
      <c r="A33" s="37" t="inlineStr">
        <is>
          <t>Network Device Count</t>
        </is>
      </c>
      <c r="B33" s="31">
        <f>COUNTIF('System Inventory'!C5:C54,"Network Device")</f>
        <v/>
      </c>
      <c r="C33" s="38" t="inlineStr">
        <is>
          <t>By Type</t>
        </is>
      </c>
      <c r="D33" s="6" t="n"/>
      <c r="E33" s="6" t="n"/>
      <c r="F33" s="6" t="n"/>
      <c r="G33" s="6" t="n"/>
    </row>
    <row r="34">
      <c r="A34" s="37" t="inlineStr">
        <is>
          <t>Security Appliance Count</t>
        </is>
      </c>
      <c r="B34" s="31">
        <f>COUNTIF('System Inventory'!C5:C54,"Security Appliance")</f>
        <v/>
      </c>
      <c r="C34" s="38" t="inlineStr">
        <is>
          <t>By Type</t>
        </is>
      </c>
      <c r="D34" s="6" t="n"/>
      <c r="E34" s="6" t="n"/>
      <c r="F34" s="6" t="n"/>
      <c r="G34" s="6" t="n"/>
    </row>
    <row r="36">
      <c r="A36" s="39" t="inlineStr">
        <is>
          <t>TABLE 3: CRITICAL FINDINGS — NON-COMPLIANT CRITICAL &amp; HIGH SYSTEMS</t>
        </is>
      </c>
    </row>
    <row r="37">
      <c r="A37" s="13" t="inlineStr">
        <is>
          <t>Assessment Area</t>
        </is>
      </c>
      <c r="B37" s="13" t="inlineStr">
        <is>
          <t>System Name</t>
        </is>
      </c>
      <c r="C37" s="13" t="inlineStr">
        <is>
          <t>Criticality</t>
        </is>
      </c>
      <c r="D37" s="13" t="inlineStr">
        <is>
          <t>Sync Status</t>
        </is>
      </c>
      <c r="E37" s="13" t="inlineStr">
        <is>
          <t>Drift (ms)</t>
        </is>
      </c>
      <c r="F37" s="13" t="inlineStr">
        <is>
          <t>Compliance</t>
        </is>
      </c>
      <c r="G37" s="13" t="inlineStr">
        <is>
          <t>Notes</t>
        </is>
      </c>
    </row>
    <row r="38">
      <c r="A38" s="40" t="inlineStr">
        <is>
          <t>System Inventory — Critical</t>
        </is>
      </c>
      <c r="B38" s="40">
        <f>IFERROR(INDEX('System Inventory'!A$5:A$54,SMALL(IF(('System Inventory'!E$5:E$54="Critical")*('System Inventory'!L$5:L$54="❌ FAIL"),ROW('System Inventory'!A$5:A$54)-ROW('System Inventory'!A$5)+1),1)),"")</f>
        <v/>
      </c>
      <c r="C38" s="40">
        <f>IFERROR(INDEX('System Inventory'!E$5:E$54,SMALL(IF(('System Inventory'!E$5:E$54="Critical")*('System Inventory'!L$5:L$54="❌ FAIL"),ROW('System Inventory'!A$5:A$54)-ROW('System Inventory'!A$5)+1),1)),"")</f>
        <v/>
      </c>
      <c r="D38" s="40">
        <f>IFERROR(INDEX('System Inventory'!G$5:G$54,SMALL(IF(('System Inventory'!E$5:E$54="Critical")*('System Inventory'!L$5:L$54="❌ FAIL"),ROW('System Inventory'!A$5:A$54)-ROW('System Inventory'!A$5)+1),1)),"")</f>
        <v/>
      </c>
      <c r="E38" s="40">
        <f>IFERROR(INDEX('System Inventory'!I$5:I$54,SMALL(IF(('System Inventory'!E$5:E$54="Critical")*('System Inventory'!L$5:L$54="❌ FAIL"),ROW('System Inventory'!A$5:A$54)-ROW('System Inventory'!A$5)+1),1)),"")</f>
        <v/>
      </c>
      <c r="F38" s="40">
        <f>IFERROR(INDEX('System Inventory'!L$5:L$54,SMALL(IF(('System Inventory'!E$5:E$54="Critical")*('System Inventory'!L$5:L$54="❌ FAIL"),ROW('System Inventory'!A$5:A$54)-ROW('System Inventory'!A$5)+1),1)),"")</f>
        <v/>
      </c>
      <c r="G38" s="40">
        <f>IFERROR(INDEX('System Inventory'!M$5:M$54,SMALL(IF(('System Inventory'!E$5:E$54="Critical")*('System Inventory'!L$5:L$54="❌ FAIL"),ROW('System Inventory'!A$5:A$54)-ROW('System Inventory'!A$5)+1),1)),"")</f>
        <v/>
      </c>
    </row>
    <row r="39">
      <c r="A39" s="40" t="inlineStr">
        <is>
          <t>System Inventory — Critical</t>
        </is>
      </c>
      <c r="B39" s="40">
        <f>IFERROR(INDEX('System Inventory'!A$5:A$54,SMALL(IF(('System Inventory'!E$5:E$54="Critical")*('System Inventory'!L$5:L$54="❌ FAIL"),ROW('System Inventory'!A$5:A$54)-ROW('System Inventory'!A$5)+1),2)),"")</f>
        <v/>
      </c>
      <c r="C39" s="40">
        <f>IFERROR(INDEX('System Inventory'!E$5:E$54,SMALL(IF(('System Inventory'!E$5:E$54="Critical")*('System Inventory'!L$5:L$54="❌ FAIL"),ROW('System Inventory'!A$5:A$54)-ROW('System Inventory'!A$5)+1),2)),"")</f>
        <v/>
      </c>
      <c r="D39" s="40">
        <f>IFERROR(INDEX('System Inventory'!G$5:G$54,SMALL(IF(('System Inventory'!E$5:E$54="Critical")*('System Inventory'!L$5:L$54="❌ FAIL"),ROW('System Inventory'!A$5:A$54)-ROW('System Inventory'!A$5)+1),2)),"")</f>
        <v/>
      </c>
      <c r="E39" s="40">
        <f>IFERROR(INDEX('System Inventory'!I$5:I$54,SMALL(IF(('System Inventory'!E$5:E$54="Critical")*('System Inventory'!L$5:L$54="❌ FAIL"),ROW('System Inventory'!A$5:A$54)-ROW('System Inventory'!A$5)+1),2)),"")</f>
        <v/>
      </c>
      <c r="F39" s="40">
        <f>IFERROR(INDEX('System Inventory'!L$5:L$54,SMALL(IF(('System Inventory'!E$5:E$54="Critical")*('System Inventory'!L$5:L$54="❌ FAIL"),ROW('System Inventory'!A$5:A$54)-ROW('System Inventory'!A$5)+1),2)),"")</f>
        <v/>
      </c>
      <c r="G39" s="40">
        <f>IFERROR(INDEX('System Inventory'!M$5:M$54,SMALL(IF(('System Inventory'!E$5:E$54="Critical")*('System Inventory'!L$5:L$54="❌ FAIL"),ROW('System Inventory'!A$5:A$54)-ROW('System Inventory'!A$5)+1),2)),"")</f>
        <v/>
      </c>
    </row>
    <row r="40">
      <c r="A40" s="40" t="inlineStr">
        <is>
          <t>System Inventory — Critical</t>
        </is>
      </c>
      <c r="B40" s="40">
        <f>IFERROR(INDEX('System Inventory'!A$5:A$54,SMALL(IF(('System Inventory'!E$5:E$54="Critical")*('System Inventory'!L$5:L$54="❌ FAIL"),ROW('System Inventory'!A$5:A$54)-ROW('System Inventory'!A$5)+1),3)),"")</f>
        <v/>
      </c>
      <c r="C40" s="40">
        <f>IFERROR(INDEX('System Inventory'!E$5:E$54,SMALL(IF(('System Inventory'!E$5:E$54="Critical")*('System Inventory'!L$5:L$54="❌ FAIL"),ROW('System Inventory'!A$5:A$54)-ROW('System Inventory'!A$5)+1),3)),"")</f>
        <v/>
      </c>
      <c r="D40" s="40">
        <f>IFERROR(INDEX('System Inventory'!G$5:G$54,SMALL(IF(('System Inventory'!E$5:E$54="Critical")*('System Inventory'!L$5:L$54="❌ FAIL"),ROW('System Inventory'!A$5:A$54)-ROW('System Inventory'!A$5)+1),3)),"")</f>
        <v/>
      </c>
      <c r="E40" s="40">
        <f>IFERROR(INDEX('System Inventory'!I$5:I$54,SMALL(IF(('System Inventory'!E$5:E$54="Critical")*('System Inventory'!L$5:L$54="❌ FAIL"),ROW('System Inventory'!A$5:A$54)-ROW('System Inventory'!A$5)+1),3)),"")</f>
        <v/>
      </c>
      <c r="F40" s="40">
        <f>IFERROR(INDEX('System Inventory'!L$5:L$54,SMALL(IF(('System Inventory'!E$5:E$54="Critical")*('System Inventory'!L$5:L$54="❌ FAIL"),ROW('System Inventory'!A$5:A$54)-ROW('System Inventory'!A$5)+1),3)),"")</f>
        <v/>
      </c>
      <c r="G40" s="40">
        <f>IFERROR(INDEX('System Inventory'!M$5:M$54,SMALL(IF(('System Inventory'!E$5:E$54="Critical")*('System Inventory'!L$5:L$54="❌ FAIL"),ROW('System Inventory'!A$5:A$54)-ROW('System Inventory'!A$5)+1),3)),"")</f>
        <v/>
      </c>
    </row>
    <row r="41">
      <c r="A41" s="40" t="inlineStr">
        <is>
          <t>System Inventory — Critical</t>
        </is>
      </c>
      <c r="B41" s="40">
        <f>IFERROR(INDEX('System Inventory'!A$5:A$54,SMALL(IF(('System Inventory'!E$5:E$54="Critical")*('System Inventory'!L$5:L$54="❌ FAIL"),ROW('System Inventory'!A$5:A$54)-ROW('System Inventory'!A$5)+1),4)),"")</f>
        <v/>
      </c>
      <c r="C41" s="40">
        <f>IFERROR(INDEX('System Inventory'!E$5:E$54,SMALL(IF(('System Inventory'!E$5:E$54="Critical")*('System Inventory'!L$5:L$54="❌ FAIL"),ROW('System Inventory'!A$5:A$54)-ROW('System Inventory'!A$5)+1),4)),"")</f>
        <v/>
      </c>
      <c r="D41" s="40">
        <f>IFERROR(INDEX('System Inventory'!G$5:G$54,SMALL(IF(('System Inventory'!E$5:E$54="Critical")*('System Inventory'!L$5:L$54="❌ FAIL"),ROW('System Inventory'!A$5:A$54)-ROW('System Inventory'!A$5)+1),4)),"")</f>
        <v/>
      </c>
      <c r="E41" s="40">
        <f>IFERROR(INDEX('System Inventory'!I$5:I$54,SMALL(IF(('System Inventory'!E$5:E$54="Critical")*('System Inventory'!L$5:L$54="❌ FAIL"),ROW('System Inventory'!A$5:A$54)-ROW('System Inventory'!A$5)+1),4)),"")</f>
        <v/>
      </c>
      <c r="F41" s="40">
        <f>IFERROR(INDEX('System Inventory'!L$5:L$54,SMALL(IF(('System Inventory'!E$5:E$54="Critical")*('System Inventory'!L$5:L$54="❌ FAIL"),ROW('System Inventory'!A$5:A$54)-ROW('System Inventory'!A$5)+1),4)),"")</f>
        <v/>
      </c>
      <c r="G41" s="40">
        <f>IFERROR(INDEX('System Inventory'!M$5:M$54,SMALL(IF(('System Inventory'!E$5:E$54="Critical")*('System Inventory'!L$5:L$54="❌ FAIL"),ROW('System Inventory'!A$5:A$54)-ROW('System Inventory'!A$5)+1),4)),"")</f>
        <v/>
      </c>
    </row>
    <row r="42">
      <c r="A42" s="40" t="inlineStr">
        <is>
          <t>System Inventory — Critical</t>
        </is>
      </c>
      <c r="B42" s="40">
        <f>IFERROR(INDEX('System Inventory'!A$5:A$54,SMALL(IF(('System Inventory'!E$5:E$54="Critical")*('System Inventory'!L$5:L$54="❌ FAIL"),ROW('System Inventory'!A$5:A$54)-ROW('System Inventory'!A$5)+1),5)),"")</f>
        <v/>
      </c>
      <c r="C42" s="40">
        <f>IFERROR(INDEX('System Inventory'!E$5:E$54,SMALL(IF(('System Inventory'!E$5:E$54="Critical")*('System Inventory'!L$5:L$54="❌ FAIL"),ROW('System Inventory'!A$5:A$54)-ROW('System Inventory'!A$5)+1),5)),"")</f>
        <v/>
      </c>
      <c r="D42" s="40">
        <f>IFERROR(INDEX('System Inventory'!G$5:G$54,SMALL(IF(('System Inventory'!E$5:E$54="Critical")*('System Inventory'!L$5:L$54="❌ FAIL"),ROW('System Inventory'!A$5:A$54)-ROW('System Inventory'!A$5)+1),5)),"")</f>
        <v/>
      </c>
      <c r="E42" s="40">
        <f>IFERROR(INDEX('System Inventory'!I$5:I$54,SMALL(IF(('System Inventory'!E$5:E$54="Critical")*('System Inventory'!L$5:L$54="❌ FAIL"),ROW('System Inventory'!A$5:A$54)-ROW('System Inventory'!A$5)+1),5)),"")</f>
        <v/>
      </c>
      <c r="F42" s="40">
        <f>IFERROR(INDEX('System Inventory'!L$5:L$54,SMALL(IF(('System Inventory'!E$5:E$54="Critical")*('System Inventory'!L$5:L$54="❌ FAIL"),ROW('System Inventory'!A$5:A$54)-ROW('System Inventory'!A$5)+1),5)),"")</f>
        <v/>
      </c>
      <c r="G42" s="40">
        <f>IFERROR(INDEX('System Inventory'!M$5:M$54,SMALL(IF(('System Inventory'!E$5:E$54="Critical")*('System Inventory'!L$5:L$54="❌ FAIL"),ROW('System Inventory'!A$5:A$54)-ROW('System Inventory'!A$5)+1),5)),"")</f>
        <v/>
      </c>
    </row>
    <row r="43">
      <c r="A43" s="40" t="inlineStr">
        <is>
          <t>System Inventory — High</t>
        </is>
      </c>
      <c r="B43" s="40">
        <f>IFERROR(INDEX('System Inventory'!A$5:A$54,SMALL(IF(('System Inventory'!E$5:E$54="High")*('System Inventory'!L$5:L$54="❌ FAIL"),ROW('System Inventory'!A$5:A$54)-ROW('System Inventory'!A$5)+1),1)),"")</f>
        <v/>
      </c>
      <c r="C43" s="40">
        <f>IFERROR(INDEX('System Inventory'!E$5:E$54,SMALL(IF(('System Inventory'!E$5:E$54="High")*('System Inventory'!L$5:L$54="❌ FAIL"),ROW('System Inventory'!A$5:A$54)-ROW('System Inventory'!A$5)+1),1)),"")</f>
        <v/>
      </c>
      <c r="D43" s="40">
        <f>IFERROR(INDEX('System Inventory'!G$5:G$54,SMALL(IF(('System Inventory'!E$5:E$54="High")*('System Inventory'!L$5:L$54="❌ FAIL"),ROW('System Inventory'!A$5:A$54)-ROW('System Inventory'!A$5)+1),1)),"")</f>
        <v/>
      </c>
      <c r="E43" s="40">
        <f>IFERROR(INDEX('System Inventory'!I$5:I$54,SMALL(IF(('System Inventory'!E$5:E$54="High")*('System Inventory'!L$5:L$54="❌ FAIL"),ROW('System Inventory'!A$5:A$54)-ROW('System Inventory'!A$5)+1),1)),"")</f>
        <v/>
      </c>
      <c r="F43" s="40">
        <f>IFERROR(INDEX('System Inventory'!L$5:L$54,SMALL(IF(('System Inventory'!E$5:E$54="High")*('System Inventory'!L$5:L$54="❌ FAIL"),ROW('System Inventory'!A$5:A$54)-ROW('System Inventory'!A$5)+1),1)),"")</f>
        <v/>
      </c>
      <c r="G43" s="40">
        <f>IFERROR(INDEX('System Inventory'!M$5:M$54,SMALL(IF(('System Inventory'!E$5:E$54="High")*('System Inventory'!L$5:L$54="❌ FAIL"),ROW('System Inventory'!A$5:A$54)-ROW('System Inventory'!A$5)+1),1)),"")</f>
        <v/>
      </c>
    </row>
    <row r="44">
      <c r="A44" s="40" t="inlineStr">
        <is>
          <t>System Inventory — High</t>
        </is>
      </c>
      <c r="B44" s="40">
        <f>IFERROR(INDEX('System Inventory'!A$5:A$54,SMALL(IF(('System Inventory'!E$5:E$54="High")*('System Inventory'!L$5:L$54="❌ FAIL"),ROW('System Inventory'!A$5:A$54)-ROW('System Inventory'!A$5)+1),2)),"")</f>
        <v/>
      </c>
      <c r="C44" s="40">
        <f>IFERROR(INDEX('System Inventory'!E$5:E$54,SMALL(IF(('System Inventory'!E$5:E$54="High")*('System Inventory'!L$5:L$54="❌ FAIL"),ROW('System Inventory'!A$5:A$54)-ROW('System Inventory'!A$5)+1),2)),"")</f>
        <v/>
      </c>
      <c r="D44" s="40">
        <f>IFERROR(INDEX('System Inventory'!G$5:G$54,SMALL(IF(('System Inventory'!E$5:E$54="High")*('System Inventory'!L$5:L$54="❌ FAIL"),ROW('System Inventory'!A$5:A$54)-ROW('System Inventory'!A$5)+1),2)),"")</f>
        <v/>
      </c>
      <c r="E44" s="40">
        <f>IFERROR(INDEX('System Inventory'!I$5:I$54,SMALL(IF(('System Inventory'!E$5:E$54="High")*('System Inventory'!L$5:L$54="❌ FAIL"),ROW('System Inventory'!A$5:A$54)-ROW('System Inventory'!A$5)+1),2)),"")</f>
        <v/>
      </c>
      <c r="F44" s="40">
        <f>IFERROR(INDEX('System Inventory'!L$5:L$54,SMALL(IF(('System Inventory'!E$5:E$54="High")*('System Inventory'!L$5:L$54="❌ FAIL"),ROW('System Inventory'!A$5:A$54)-ROW('System Inventory'!A$5)+1),2)),"")</f>
        <v/>
      </c>
      <c r="G44" s="40">
        <f>IFERROR(INDEX('System Inventory'!M$5:M$54,SMALL(IF(('System Inventory'!E$5:E$54="High")*('System Inventory'!L$5:L$54="❌ FAIL"),ROW('System Inventory'!A$5:A$54)-ROW('System Inventory'!A$5)+1),2)),"")</f>
        <v/>
      </c>
    </row>
    <row r="45">
      <c r="A45" s="40" t="inlineStr">
        <is>
          <t>System Inventory — High</t>
        </is>
      </c>
      <c r="B45" s="40">
        <f>IFERROR(INDEX('System Inventory'!A$5:A$54,SMALL(IF(('System Inventory'!E$5:E$54="High")*('System Inventory'!L$5:L$54="❌ FAIL"),ROW('System Inventory'!A$5:A$54)-ROW('System Inventory'!A$5)+1),3)),"")</f>
        <v/>
      </c>
      <c r="C45" s="40">
        <f>IFERROR(INDEX('System Inventory'!E$5:E$54,SMALL(IF(('System Inventory'!E$5:E$54="High")*('System Inventory'!L$5:L$54="❌ FAIL"),ROW('System Inventory'!A$5:A$54)-ROW('System Inventory'!A$5)+1),3)),"")</f>
        <v/>
      </c>
      <c r="D45" s="40">
        <f>IFERROR(INDEX('System Inventory'!G$5:G$54,SMALL(IF(('System Inventory'!E$5:E$54="High")*('System Inventory'!L$5:L$54="❌ FAIL"),ROW('System Inventory'!A$5:A$54)-ROW('System Inventory'!A$5)+1),3)),"")</f>
        <v/>
      </c>
      <c r="E45" s="40">
        <f>IFERROR(INDEX('System Inventory'!I$5:I$54,SMALL(IF(('System Inventory'!E$5:E$54="High")*('System Inventory'!L$5:L$54="❌ FAIL"),ROW('System Inventory'!A$5:A$54)-ROW('System Inventory'!A$5)+1),3)),"")</f>
        <v/>
      </c>
      <c r="F45" s="40">
        <f>IFERROR(INDEX('System Inventory'!L$5:L$54,SMALL(IF(('System Inventory'!E$5:E$54="High")*('System Inventory'!L$5:L$54="❌ FAIL"),ROW('System Inventory'!A$5:A$54)-ROW('System Inventory'!A$5)+1),3)),"")</f>
        <v/>
      </c>
      <c r="G45" s="40">
        <f>IFERROR(INDEX('System Inventory'!M$5:M$54,SMALL(IF(('System Inventory'!E$5:E$54="High")*('System Inventory'!L$5:L$54="❌ FAIL"),ROW('System Inventory'!A$5:A$54)-ROW('System Inventory'!A$5)+1),3)),"")</f>
        <v/>
      </c>
    </row>
    <row r="46">
      <c r="A46" s="40" t="inlineStr">
        <is>
          <t>System Inventory — High</t>
        </is>
      </c>
      <c r="B46" s="40">
        <f>IFERROR(INDEX('System Inventory'!A$5:A$54,SMALL(IF(('System Inventory'!E$5:E$54="High")*('System Inventory'!L$5:L$54="❌ FAIL"),ROW('System Inventory'!A$5:A$54)-ROW('System Inventory'!A$5)+1),4)),"")</f>
        <v/>
      </c>
      <c r="C46" s="40">
        <f>IFERROR(INDEX('System Inventory'!E$5:E$54,SMALL(IF(('System Inventory'!E$5:E$54="High")*('System Inventory'!L$5:L$54="❌ FAIL"),ROW('System Inventory'!A$5:A$54)-ROW('System Inventory'!A$5)+1),4)),"")</f>
        <v/>
      </c>
      <c r="D46" s="40">
        <f>IFERROR(INDEX('System Inventory'!G$5:G$54,SMALL(IF(('System Inventory'!E$5:E$54="High")*('System Inventory'!L$5:L$54="❌ FAIL"),ROW('System Inventory'!A$5:A$54)-ROW('System Inventory'!A$5)+1),4)),"")</f>
        <v/>
      </c>
      <c r="E46" s="40">
        <f>IFERROR(INDEX('System Inventory'!I$5:I$54,SMALL(IF(('System Inventory'!E$5:E$54="High")*('System Inventory'!L$5:L$54="❌ FAIL"),ROW('System Inventory'!A$5:A$54)-ROW('System Inventory'!A$5)+1),4)),"")</f>
        <v/>
      </c>
      <c r="F46" s="40">
        <f>IFERROR(INDEX('System Inventory'!L$5:L$54,SMALL(IF(('System Inventory'!E$5:E$54="High")*('System Inventory'!L$5:L$54="❌ FAIL"),ROW('System Inventory'!A$5:A$54)-ROW('System Inventory'!A$5)+1),4)),"")</f>
        <v/>
      </c>
      <c r="G46" s="40">
        <f>IFERROR(INDEX('System Inventory'!M$5:M$54,SMALL(IF(('System Inventory'!E$5:E$54="High")*('System Inventory'!L$5:L$54="❌ FAIL"),ROW('System Inventory'!A$5:A$54)-ROW('System Inventory'!A$5)+1),4)),"")</f>
        <v/>
      </c>
    </row>
    <row r="47">
      <c r="A47" s="40" t="inlineStr">
        <is>
          <t>System Inventory — High</t>
        </is>
      </c>
      <c r="B47" s="40">
        <f>IFERROR(INDEX('System Inventory'!A$5:A$54,SMALL(IF(('System Inventory'!E$5:E$54="High")*('System Inventory'!L$5:L$54="❌ FAIL"),ROW('System Inventory'!A$5:A$54)-ROW('System Inventory'!A$5)+1),5)),"")</f>
        <v/>
      </c>
      <c r="C47" s="40">
        <f>IFERROR(INDEX('System Inventory'!E$5:E$54,SMALL(IF(('System Inventory'!E$5:E$54="High")*('System Inventory'!L$5:L$54="❌ FAIL"),ROW('System Inventory'!A$5:A$54)-ROW('System Inventory'!A$5)+1),5)),"")</f>
        <v/>
      </c>
      <c r="D47" s="40">
        <f>IFERROR(INDEX('System Inventory'!G$5:G$54,SMALL(IF(('System Inventory'!E$5:E$54="High")*('System Inventory'!L$5:L$54="❌ FAIL"),ROW('System Inventory'!A$5:A$54)-ROW('System Inventory'!A$5)+1),5)),"")</f>
        <v/>
      </c>
      <c r="E47" s="40">
        <f>IFERROR(INDEX('System Inventory'!I$5:I$54,SMALL(IF(('System Inventory'!E$5:E$54="High")*('System Inventory'!L$5:L$54="❌ FAIL"),ROW('System Inventory'!A$5:A$54)-ROW('System Inventory'!A$5)+1),5)),"")</f>
        <v/>
      </c>
      <c r="F47" s="40">
        <f>IFERROR(INDEX('System Inventory'!L$5:L$54,SMALL(IF(('System Inventory'!E$5:E$54="High")*('System Inventory'!L$5:L$54="❌ FAIL"),ROW('System Inventory'!A$5:A$54)-ROW('System Inventory'!A$5)+1),5)),"")</f>
        <v/>
      </c>
      <c r="G47" s="40">
        <f>IFERROR(INDEX('System Inventory'!M$5:M$54,SMALL(IF(('System Inventory'!E$5:E$54="High")*('System Inventory'!L$5:L$54="❌ FAIL"),ROW('System Inventory'!A$5:A$54)-ROW('System Inventory'!A$5)+1),5)),"")</f>
        <v/>
      </c>
    </row>
    <row r="48">
      <c r="A48" s="33" t="inlineStr">
        <is>
          <t>TOTAL Non-Compliant Critical/High</t>
        </is>
      </c>
      <c r="B48" s="41">
        <f>COUNTIFS('System Inventory'!E5:E54,"Critical",'System Inventory'!L5:L54,"❌ FAIL")+COUNTIFS('System Inventory'!E5:E54,"High",'System Inventory'!L5:L54,"❌ FAIL")</f>
        <v/>
      </c>
      <c r="C48" s="42" t="n"/>
      <c r="D48" s="42" t="n"/>
      <c r="E48" s="42" t="n"/>
      <c r="F48" s="42" t="n"/>
      <c r="G48" s="42" t="n"/>
    </row>
  </sheetData>
  <mergeCells count="4">
    <mergeCell ref="A36:G36"/>
    <mergeCell ref="A1:G1"/>
    <mergeCell ref="A12:G12"/>
    <mergeCell ref="A4:G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7"/>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43" t="inlineStr">
        <is>
          <t>ASSESSMENT APPROVAL AND SIGN-OFF</t>
        </is>
      </c>
    </row>
    <row r="3">
      <c r="A3" s="44" t="inlineStr">
        <is>
          <t>ASSESSMENT SUMMARY</t>
        </is>
      </c>
    </row>
    <row r="4">
      <c r="A4" s="45" t="inlineStr">
        <is>
          <t>Document:</t>
        </is>
      </c>
      <c r="B4" s="6" t="inlineStr">
        <is>
          <t>ISMS-IMP-A.8.17.2 - Time Synchronisation Status Assessment</t>
        </is>
      </c>
    </row>
    <row r="5">
      <c r="A5" s="45" t="inlineStr">
        <is>
          <t>Assessment Period:</t>
        </is>
      </c>
      <c r="B5" s="18" t="inlineStr"/>
    </row>
    <row r="6">
      <c r="A6" s="45" t="inlineStr">
        <is>
          <t>Overall Compliance:</t>
        </is>
      </c>
      <c r="B6" s="46">
        <f>IFERROR(AVERAGE('Summary Dashboard'!G6:G8),"")</f>
        <v/>
      </c>
    </row>
    <row r="7">
      <c r="A7" s="45" t="inlineStr">
        <is>
          <t>Assessment Status:</t>
        </is>
      </c>
      <c r="B7" s="18" t="inlineStr"/>
    </row>
    <row r="10">
      <c r="A10" s="44" t="inlineStr">
        <is>
          <t>COMPLETED BY (ASSESSOR)</t>
        </is>
      </c>
    </row>
    <row r="11">
      <c r="A11" s="45" t="inlineStr">
        <is>
          <t>Name:</t>
        </is>
      </c>
      <c r="B11" s="18" t="n"/>
    </row>
    <row r="12">
      <c r="A12" s="45" t="inlineStr">
        <is>
          <t>Title:</t>
        </is>
      </c>
      <c r="B12" s="18" t="n"/>
    </row>
    <row r="13">
      <c r="A13" s="45" t="inlineStr">
        <is>
          <t>Date:</t>
        </is>
      </c>
      <c r="B13" s="18" t="n"/>
    </row>
    <row r="14">
      <c r="A14" s="45" t="inlineStr">
        <is>
          <t>Signature:</t>
        </is>
      </c>
      <c r="B14" s="18" t="n"/>
    </row>
    <row r="15">
      <c r="A15" s="45" t="inlineStr">
        <is>
          <t>Comments:</t>
        </is>
      </c>
      <c r="B15" s="18" t="n"/>
    </row>
    <row r="17">
      <c r="A17" s="44" t="inlineStr">
        <is>
          <t>REVIEWED BY (INFORMATION SECURITY OFFICER)</t>
        </is>
      </c>
    </row>
    <row r="18">
      <c r="A18" s="45" t="inlineStr">
        <is>
          <t>Name:</t>
        </is>
      </c>
      <c r="B18" s="18" t="n"/>
    </row>
    <row r="19">
      <c r="A19" s="45" t="inlineStr">
        <is>
          <t>Title:</t>
        </is>
      </c>
      <c r="B19" s="18" t="n"/>
    </row>
    <row r="20">
      <c r="A20" s="45" t="inlineStr">
        <is>
          <t>Date:</t>
        </is>
      </c>
      <c r="B20" s="18" t="n"/>
    </row>
    <row r="21">
      <c r="A21" s="45" t="inlineStr">
        <is>
          <t>Signature:</t>
        </is>
      </c>
      <c r="B21" s="18" t="n"/>
    </row>
    <row r="22">
      <c r="A22" s="45" t="inlineStr">
        <is>
          <t>Comments:</t>
        </is>
      </c>
      <c r="B22" s="18" t="n"/>
    </row>
    <row r="24">
      <c r="A24" s="47" t="inlineStr">
        <is>
          <t>APPROVED BY (CISO)</t>
        </is>
      </c>
    </row>
    <row r="25">
      <c r="A25" s="45" t="inlineStr">
        <is>
          <t>Name:</t>
        </is>
      </c>
      <c r="B25" s="18" t="n"/>
    </row>
    <row r="26">
      <c r="A26" s="45" t="inlineStr">
        <is>
          <t>Title:</t>
        </is>
      </c>
      <c r="B26" s="18" t="n"/>
    </row>
    <row r="27">
      <c r="A27" s="45" t="inlineStr">
        <is>
          <t>Date:</t>
        </is>
      </c>
      <c r="B27" s="18" t="n"/>
    </row>
    <row r="28">
      <c r="A28" s="45" t="inlineStr">
        <is>
          <t>Signature:</t>
        </is>
      </c>
      <c r="B28" s="18" t="n"/>
    </row>
    <row r="29">
      <c r="A29" s="45" t="inlineStr">
        <is>
          <t>Comments:</t>
        </is>
      </c>
      <c r="B29" s="18" t="n"/>
    </row>
    <row r="31">
      <c r="A31" s="45" t="inlineStr">
        <is>
          <t>FINAL DECISION:</t>
        </is>
      </c>
      <c r="B31" s="18" t="n"/>
    </row>
    <row r="34">
      <c r="A34" s="44" t="inlineStr">
        <is>
          <t>NEXT REVIEW DETAILS</t>
        </is>
      </c>
    </row>
    <row r="35">
      <c r="A35" s="45" t="inlineStr">
        <is>
          <t>Next Review Date:</t>
        </is>
      </c>
      <c r="B35" s="18" t="n"/>
    </row>
    <row r="36">
      <c r="A36" s="45" t="inlineStr">
        <is>
          <t>Review Responsible:</t>
        </is>
      </c>
      <c r="B36" s="18" t="n"/>
    </row>
    <row r="37">
      <c r="A37" s="45" t="inlineStr">
        <is>
          <t>Special Considerations:</t>
        </is>
      </c>
      <c r="B37" s="18" t="n"/>
    </row>
  </sheetData>
  <mergeCells count="29">
    <mergeCell ref="A34:E34"/>
    <mergeCell ref="A24:E24"/>
    <mergeCell ref="B6:E6"/>
    <mergeCell ref="B15:E15"/>
    <mergeCell ref="A1:E1"/>
    <mergeCell ref="B5:E5"/>
    <mergeCell ref="B20:E20"/>
    <mergeCell ref="B36:E36"/>
    <mergeCell ref="B26:E26"/>
    <mergeCell ref="B35:E35"/>
    <mergeCell ref="B4:E4"/>
    <mergeCell ref="B7:E7"/>
    <mergeCell ref="B25:E25"/>
    <mergeCell ref="B22:E22"/>
    <mergeCell ref="A3:E3"/>
    <mergeCell ref="B31:E31"/>
    <mergeCell ref="B18:E18"/>
    <mergeCell ref="B27:E27"/>
    <mergeCell ref="B12:E12"/>
    <mergeCell ref="B21:E21"/>
    <mergeCell ref="B11:E11"/>
    <mergeCell ref="A17:E17"/>
    <mergeCell ref="B14:E14"/>
    <mergeCell ref="A10:E10"/>
    <mergeCell ref="B13:E13"/>
    <mergeCell ref="B29:E29"/>
    <mergeCell ref="B19:E19"/>
    <mergeCell ref="B37:E37"/>
    <mergeCell ref="B28:E28"/>
  </mergeCells>
  <dataValidations count="2">
    <dataValidation sqref="B7" showDropDown="0" showInputMessage="0" showErrorMessage="0" allowBlank="0" type="list">
      <formula1>"Draft,Final,Requires remediation,Re-assessment required"</formula1>
    </dataValidation>
    <dataValidation sqref="B31"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ISMS-IMP-A.8.17.2 — Time Synchronisation Status Assessment</dc:title>
  <dc:description xmlns:dc="http://purl.org/dc/elements/1.1/">ISMS Implementation Workbook — ISMS-IMP-A.8.17.2</dc:description>
  <dc:subject xmlns:dc="http://purl.org/dc/elements/1.1/">ISO/IEC 27001:2022 — Control A.8.17: Clock Synchronisation</dc:subject>
  <dcterms:created xmlns:dcterms="http://purl.org/dc/terms/" xmlns:xsi="http://www.w3.org/2001/XMLSchema-instance" xsi:type="dcterms:W3CDTF">2026-03-07T11:28:13Z</dcterms:created>
  <dcterms:modified xmlns:dcterms="http://purl.org/dc/terms/" xmlns:xsi="http://www.w3.org/2001/XMLSchema-instance" xsi:type="dcterms:W3CDTF">2026-03-07T11:28:13Z</dcterms:modified>
</cp:coreProperties>
</file>