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ystem_Inventory" sheetId="2" state="visible" r:id="rId2"/>
    <sheet xmlns:r="http://schemas.openxmlformats.org/officeDocument/2006/relationships" name="Drift_Analysis" sheetId="3" state="visible" r:id="rId3"/>
    <sheet xmlns:r="http://schemas.openxmlformats.org/officeDocument/2006/relationships" name="Gaps_Failures" sheetId="4" state="visible" r:id="rId4"/>
    <sheet xmlns:r="http://schemas.openxmlformats.org/officeDocument/2006/relationships" name="Complianc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1">
    <font>
      <name val="Calibri"/>
      <family val="2"/>
      <color theme="1"/>
      <sz val="11"/>
      <scheme val="minor"/>
    </font>
    <font>
      <b val="1"/>
      <color rgb="00003366"/>
      <sz val="16"/>
    </font>
    <font>
      <i val="1"/>
      <sz val="10"/>
    </font>
    <font>
      <b val="1"/>
    </font>
    <font>
      <b val="1"/>
      <color rgb="00003366"/>
    </font>
    <font>
      <name val="Calibri"/>
      <b val="1"/>
      <color rgb="00FFFFFF"/>
      <sz val="14"/>
    </font>
    <font>
      <b val="1"/>
      <color rgb="00003366"/>
      <sz val="14"/>
    </font>
    <font>
      <b val="1"/>
      <color rgb="00003366"/>
      <sz val="12"/>
    </font>
    <font>
      <i val="1"/>
      <color rgb="00FF0000"/>
      <sz val="10"/>
    </font>
    <font>
      <i val="1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ISMS-IMP-A.8.17.2
ISO/IEC 27001:2022 - Control A.8.17: Clock Synchronization</t>
        </is>
      </c>
    </row>
    <row r="2">
      <c r="A2" s="2" t="inlineStr">
        <is>
          <t>Generated: 2026-02-08 12:26:16</t>
        </is>
      </c>
    </row>
    <row r="4">
      <c r="A4" s="3" t="inlineStr">
        <is>
          <t>Document ID:</t>
        </is>
      </c>
      <c r="B4" s="4" t="inlineStr">
        <is>
          <t>ISMS-IMP-A.8.17.2</t>
        </is>
      </c>
    </row>
    <row r="5">
      <c r="A5" s="3" t="inlineStr">
        <is>
          <t>Title:</t>
        </is>
      </c>
      <c r="B5" t="inlineStr">
        <is>
          <t>System Synchronization Status Assessment</t>
        </is>
      </c>
    </row>
    <row r="7">
      <c r="A7" t="inlineStr"/>
      <c r="B7" t="inlineStr"/>
    </row>
    <row r="8">
      <c r="A8" s="4" t="inlineStr">
        <is>
          <t>Purpose:</t>
        </is>
      </c>
    </row>
    <row r="9">
      <c r="A9" t="inlineStr"/>
      <c r="B9" t="inlineStr"/>
    </row>
    <row r="10">
      <c r="A10" s="4" t="inlineStr">
        <is>
          <t>Sheets:</t>
        </is>
      </c>
    </row>
    <row r="11">
      <c r="A11" t="inlineStr">
        <is>
          <t xml:space="preserve">  • System_Inventory</t>
        </is>
      </c>
      <c r="B11" t="inlineStr">
        <is>
          <t>All systems requiring time synchronization</t>
        </is>
      </c>
    </row>
    <row r="12">
      <c r="A12" t="inlineStr">
        <is>
          <t xml:space="preserve">  • Drift_Analysis</t>
        </is>
      </c>
      <c r="B12" t="inlineStr">
        <is>
          <t>Statistical analysis of time drift across infrastructure</t>
        </is>
      </c>
    </row>
    <row r="13">
      <c r="A13" t="inlineStr">
        <is>
          <t xml:space="preserve">  • Gaps_Failures</t>
        </is>
      </c>
      <c r="B13" t="inlineStr">
        <is>
          <t>Systems not synchronized or exceeding drift thresholds</t>
        </is>
      </c>
    </row>
    <row r="14">
      <c r="A14" t="inlineStr">
        <is>
          <t xml:space="preserve">  • Compliance_Summary</t>
        </is>
      </c>
      <c r="B14" t="inlineStr">
        <is>
          <t>Overall compliance metrics and scores</t>
        </is>
      </c>
    </row>
    <row r="15">
      <c r="A15" t="inlineStr"/>
      <c r="B15" t="inlineStr"/>
    </row>
    <row r="16">
      <c r="A16" s="4" t="inlineStr">
        <is>
          <t>Instructions:</t>
        </is>
      </c>
    </row>
    <row r="17">
      <c r="A17" t="inlineStr">
        <is>
          <t>1.</t>
        </is>
      </c>
      <c r="B17" t="inlineStr">
        <is>
          <t>Import system inventory from A.5.9 Asset Management (if available)</t>
        </is>
      </c>
    </row>
    <row r="18">
      <c r="A18" t="inlineStr">
        <is>
          <t>2.</t>
        </is>
      </c>
      <c r="B18" t="inlineStr">
        <is>
          <t>For each system, verify and document:</t>
        </is>
      </c>
    </row>
    <row r="19">
      <c r="A19" t="inlineStr">
        <is>
          <t xml:space="preserve">   </t>
        </is>
      </c>
      <c r="B19" t="inlineStr">
        <is>
          <t xml:space="preserve">  • NTP server configuration</t>
        </is>
      </c>
    </row>
    <row r="20">
      <c r="A20" t="inlineStr">
        <is>
          <t xml:space="preserve">   </t>
        </is>
      </c>
      <c r="B20" t="inlineStr">
        <is>
          <t xml:space="preserve">  • Current synchronization status</t>
        </is>
      </c>
    </row>
    <row r="21">
      <c r="A21" t="inlineStr">
        <is>
          <t xml:space="preserve">   </t>
        </is>
      </c>
      <c r="B21" t="inlineStr">
        <is>
          <t xml:space="preserve">  • Time drift measurement</t>
        </is>
      </c>
    </row>
    <row r="22">
      <c r="A22" t="inlineStr">
        <is>
          <t xml:space="preserve">   </t>
        </is>
      </c>
      <c r="B22" t="inlineStr">
        <is>
          <t xml:space="preserve">  • Last sync verification timestamp</t>
        </is>
      </c>
    </row>
    <row r="23">
      <c r="A23" t="inlineStr">
        <is>
          <t>3.</t>
        </is>
      </c>
      <c r="B23" t="inlineStr">
        <is>
          <t>Use verification commands from ISMS-IMP-A.8.17-S2</t>
        </is>
      </c>
    </row>
    <row r="24">
      <c r="A24" t="inlineStr">
        <is>
          <t>4.</t>
        </is>
      </c>
      <c r="B24" t="inlineStr">
        <is>
          <t>Review Drift_Analysis for statistical insights</t>
        </is>
      </c>
    </row>
    <row r="25">
      <c r="A25" t="inlineStr">
        <is>
          <t>5.</t>
        </is>
      </c>
      <c r="B25" t="inlineStr">
        <is>
          <t>Address all items in Gaps_Failures sheet</t>
        </is>
      </c>
    </row>
    <row r="26">
      <c r="A26" t="inlineStr">
        <is>
          <t>6.</t>
        </is>
      </c>
      <c r="B26" t="inlineStr">
        <is>
          <t>Review Compliance_Summary for overall status</t>
        </is>
      </c>
    </row>
    <row r="27">
      <c r="A27" t="inlineStr"/>
      <c r="B27" t="inlineStr"/>
    </row>
    <row r="28">
      <c r="A28" s="4" t="inlineStr">
        <is>
          <t>Drift Thresholds:</t>
        </is>
      </c>
    </row>
    <row r="29">
      <c r="A29" t="inlineStr">
        <is>
          <t xml:space="preserve">  • General systems:</t>
        </is>
      </c>
      <c r="B29" t="inlineStr">
        <is>
          <t>±1 second (±1000 milliseconds)</t>
        </is>
      </c>
    </row>
    <row r="30">
      <c r="A30" t="inlineStr">
        <is>
          <t xml:space="preserve">  • Critical security:</t>
        </is>
      </c>
      <c r="B30" t="inlineStr">
        <is>
          <t>±100 milliseconds</t>
        </is>
      </c>
    </row>
    <row r="31">
      <c r="A31" t="inlineStr">
        <is>
          <t xml:space="preserve">  • High-precision:</t>
        </is>
      </c>
      <c r="B31" t="inlineStr">
        <is>
          <t>±10 milliseconds</t>
        </is>
      </c>
    </row>
    <row r="32">
      <c r="A32" t="inlineStr"/>
      <c r="B32" t="inlineStr"/>
    </row>
    <row r="33">
      <c r="A33" s="4" t="inlineStr">
        <is>
          <t>Assessment Frequency:</t>
        </is>
      </c>
    </row>
    <row r="34">
      <c r="A34" s="4" t="inlineStr">
        <is>
          <t>Policy Reference:</t>
        </is>
      </c>
    </row>
    <row r="35">
      <c r="A35" s="4" t="inlineStr">
        <is>
          <t>Verification Guide:</t>
        </is>
      </c>
    </row>
  </sheetData>
  <mergeCells count="9">
    <mergeCell ref="A2:F2"/>
    <mergeCell ref="A16:F16"/>
    <mergeCell ref="A33:F33"/>
    <mergeCell ref="A10:F10"/>
    <mergeCell ref="A28:F28"/>
    <mergeCell ref="A1:F1"/>
    <mergeCell ref="A8:F8"/>
    <mergeCell ref="A34:F34"/>
    <mergeCell ref="A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0" customWidth="1" min="4" max="4"/>
    <col width="12" customWidth="1" min="5" max="5"/>
    <col width="35" customWidth="1" min="6" max="6"/>
    <col width="15" customWidth="1" min="7" max="7"/>
    <col width="10" customWidth="1" min="8" max="8"/>
    <col width="18" customWidth="1" min="9" max="9"/>
    <col width="22" customWidth="1" min="10" max="10"/>
    <col width="15" customWidth="1" min="11" max="11"/>
    <col width="12" customWidth="1" min="12" max="12"/>
    <col width="40" customWidth="1" min="13" max="13"/>
  </cols>
  <sheetData>
    <row r="1">
      <c r="A1" s="5" t="inlineStr">
        <is>
          <t>System Name [*]</t>
        </is>
      </c>
      <c r="B1" s="5" t="inlineStr">
        <is>
          <t>Asset ID</t>
        </is>
      </c>
      <c r="C1" s="5" t="inlineStr">
        <is>
          <t>Type [*]</t>
        </is>
      </c>
      <c r="D1" s="5" t="inlineStr">
        <is>
          <t>OS/Platform</t>
        </is>
      </c>
      <c r="E1" s="5" t="inlineStr">
        <is>
          <t>Criticality</t>
        </is>
      </c>
      <c r="F1" s="5" t="inlineStr">
        <is>
          <t>NTP Server(s) Configured [*]</t>
        </is>
      </c>
      <c r="G1" s="5" t="inlineStr">
        <is>
          <t>Sync Status [*]</t>
        </is>
      </c>
      <c r="H1" s="5" t="inlineStr">
        <is>
          <t>Stratum</t>
        </is>
      </c>
      <c r="I1" s="5" t="inlineStr">
        <is>
          <t>Current Drift (ms) [*]</t>
        </is>
      </c>
      <c r="J1" s="5" t="inlineStr">
        <is>
          <t>Last Sync Time</t>
        </is>
      </c>
      <c r="K1" s="5" t="inlineStr">
        <is>
          <t>Last Verified [*]</t>
        </is>
      </c>
      <c r="L1" s="5" t="inlineStr">
        <is>
          <t>Compliance</t>
        </is>
      </c>
      <c r="M1" s="5" t="inlineStr">
        <is>
          <t>Notes</t>
        </is>
      </c>
    </row>
    <row r="2">
      <c r="A2" s="6" t="inlineStr">
        <is>
          <t>web-server-01.org.local</t>
        </is>
      </c>
      <c r="B2" s="6" t="inlineStr">
        <is>
          <t>SRV-001</t>
        </is>
      </c>
      <c r="C2" s="6" t="inlineStr">
        <is>
          <t>🖥️ Server-Physical</t>
        </is>
      </c>
      <c r="D2" s="6" t="inlineStr">
        <is>
          <t>Ubuntu 22.04</t>
        </is>
      </c>
      <c r="E2" s="6" t="inlineStr">
        <is>
          <t>🟠 High</t>
        </is>
      </c>
      <c r="F2" s="6" t="inlineStr">
        <is>
          <t>ntp1.organization.local, ntp2.organization.local</t>
        </is>
      </c>
      <c r="G2" s="6" t="inlineStr">
        <is>
          <t>✅ Synced</t>
        </is>
      </c>
      <c r="H2" s="7" t="inlineStr">
        <is>
          <t>3</t>
        </is>
      </c>
      <c r="I2" s="7" t="inlineStr">
        <is>
          <t>0.5</t>
        </is>
      </c>
      <c r="J2" s="6" t="inlineStr">
        <is>
          <t>2026-02-08 12:26:16</t>
        </is>
      </c>
      <c r="K2" s="6" t="inlineStr">
        <is>
          <t>08.02.2026</t>
        </is>
      </c>
      <c r="L2" s="6">
        <f>IF(G2="{CHECK} Synced",IF(E2="🔴 Critical",IF(ABS(I2)&lt;=100,"{CHECK} PASS","{XMARK} FAIL"),IF(ABS(I2)&lt;=1000,"{CHECK} PASS","{XMARK} FAIL")),"{XMARK} FAIL")</f>
        <v/>
      </c>
      <c r="M2" s="6" t="inlineStr">
        <is>
          <t>Verified via chronyc tracking</t>
        </is>
      </c>
    </row>
    <row r="3">
      <c r="A3" s="6" t="inlineStr">
        <is>
          <t>db-server-01.org.local</t>
        </is>
      </c>
      <c r="B3" s="6" t="inlineStr">
        <is>
          <t>SRV-002</t>
        </is>
      </c>
      <c r="C3" s="6" t="inlineStr">
        <is>
          <t>💻 Server-Virtual</t>
        </is>
      </c>
      <c r="D3" s="6" t="inlineStr">
        <is>
          <t>Windows Server 2022</t>
        </is>
      </c>
      <c r="E3" s="6" t="inlineStr">
        <is>
          <t>🔴 Critical</t>
        </is>
      </c>
      <c r="F3" s="6" t="inlineStr">
        <is>
          <t>ntp1.organization.local, ntp2.organization.local</t>
        </is>
      </c>
      <c r="G3" s="6" t="inlineStr">
        <is>
          <t>✅ Synced</t>
        </is>
      </c>
      <c r="H3" s="7" t="inlineStr">
        <is>
          <t>3</t>
        </is>
      </c>
      <c r="I3" s="7" t="inlineStr">
        <is>
          <t>25.3</t>
        </is>
      </c>
      <c r="J3" s="6" t="inlineStr">
        <is>
          <t>2026-02-08 12:26:16</t>
        </is>
      </c>
      <c r="K3" s="6" t="inlineStr">
        <is>
          <t>08.02.2026</t>
        </is>
      </c>
      <c r="L3" s="6">
        <f>IF(G3="{CHECK} Synced",IF(E3="🔴 Critical",IF(ABS(I3)&lt;=100,"{CHECK} PASS","{XMARK} FAIL"),IF(ABS(I3)&lt;=1000,"{CHECK} PASS","{XMARK} FAIL")),"{XMARK} FAIL")</f>
        <v/>
      </c>
      <c r="M3" s="6" t="inlineStr">
        <is>
          <t>Verified via w32tm</t>
        </is>
      </c>
    </row>
    <row r="4">
      <c r="A4" s="6" t="inlineStr">
        <is>
          <t>firewall-01.org.local</t>
        </is>
      </c>
      <c r="B4" s="6" t="inlineStr">
        <is>
          <t>NET-001</t>
        </is>
      </c>
      <c r="C4" s="6" t="inlineStr">
        <is>
          <t>🌐 Network Device</t>
        </is>
      </c>
      <c r="D4" s="6" t="inlineStr">
        <is>
          <t>Cisco ASA</t>
        </is>
      </c>
      <c r="E4" s="6" t="inlineStr">
        <is>
          <t>🔴 Critical</t>
        </is>
      </c>
      <c r="F4" s="6" t="inlineStr">
        <is>
          <t>10.0.1.10, 10.0.1.11</t>
        </is>
      </c>
      <c r="G4" s="6" t="inlineStr">
        <is>
          <t>✅ Synced</t>
        </is>
      </c>
      <c r="H4" s="7" t="inlineStr">
        <is>
          <t>3</t>
        </is>
      </c>
      <c r="I4" s="7" t="inlineStr">
        <is>
          <t>15.7</t>
        </is>
      </c>
      <c r="J4" s="6" t="inlineStr">
        <is>
          <t>2026-02-08 12:26:16</t>
        </is>
      </c>
      <c r="K4" s="6" t="inlineStr">
        <is>
          <t>08.02.2026</t>
        </is>
      </c>
      <c r="L4" s="6">
        <f>IF(G4="{CHECK} Synced",IF(E4="🔴 Critical",IF(ABS(I4)&lt;=100,"{CHECK} PASS","{XMARK} FAIL"),IF(ABS(I4)&lt;=1000,"{CHECK} PASS","{XMARK} FAIL")),"{XMARK} FAIL")</f>
        <v/>
      </c>
      <c r="M4" s="6" t="inlineStr">
        <is>
          <t>Verified via show ntp status</t>
        </is>
      </c>
    </row>
    <row r="5">
      <c r="A5" s="6" t="inlineStr">
        <is>
          <t>siem-01.org.local</t>
        </is>
      </c>
      <c r="B5" s="6" t="inlineStr">
        <is>
          <t>SEC-001</t>
        </is>
      </c>
      <c r="C5" s="6" t="inlineStr">
        <is>
          <t>🔒 Security Appliance</t>
        </is>
      </c>
      <c r="D5" s="6" t="inlineStr">
        <is>
          <t>Splunk Enterprise</t>
        </is>
      </c>
      <c r="E5" s="6" t="inlineStr">
        <is>
          <t>🔴 Critical</t>
        </is>
      </c>
      <c r="F5" s="6" t="inlineStr">
        <is>
          <t>ntp1.organization.local, ntp2.organization.local</t>
        </is>
      </c>
      <c r="G5" s="6" t="inlineStr">
        <is>
          <t>❌ Not Synced</t>
        </is>
      </c>
      <c r="H5" s="7" t="inlineStr">
        <is>
          <t>16</t>
        </is>
      </c>
      <c r="I5" s="7" t="inlineStr">
        <is>
          <t>1500.0</t>
        </is>
      </c>
      <c r="J5" s="6" t="inlineStr">
        <is>
          <t>N/A</t>
        </is>
      </c>
      <c r="K5" s="6" t="inlineStr">
        <is>
          <t>08.02.2026</t>
        </is>
      </c>
      <c r="L5" s="6">
        <f>IF(G5="{CHECK} Synced",IF(E5="🔴 Critical",IF(ABS(I5)&lt;=100,"{CHECK} PASS","{XMARK} FAIL"),IF(ABS(I5)&lt;=1000,"{CHECK} PASS","{XMARK} FAIL")),"{XMARK} FAIL")</f>
        <v/>
      </c>
      <c r="M5" s="6" t="inlineStr">
        <is>
          <t>NTP service not configured - REQUIRES REMEDIATION</t>
        </is>
      </c>
    </row>
    <row r="6">
      <c r="A6" s="6" t="inlineStr">
        <is>
          <t>app-server-03.org.local</t>
        </is>
      </c>
      <c r="B6" s="6" t="inlineStr">
        <is>
          <t>SRV-005</t>
        </is>
      </c>
      <c r="C6" s="6" t="inlineStr">
        <is>
          <t>☁️ Server-Cloud</t>
        </is>
      </c>
      <c r="D6" s="6" t="inlineStr">
        <is>
          <t>Amazon Linux 2</t>
        </is>
      </c>
      <c r="E6" s="6" t="inlineStr">
        <is>
          <t>🟡 Medium</t>
        </is>
      </c>
      <c r="F6" s="6" t="inlineStr">
        <is>
          <t>169.254.169.123 (AWS Time Sync)</t>
        </is>
      </c>
      <c r="G6" s="6" t="inlineStr">
        <is>
          <t>✅ Synced</t>
        </is>
      </c>
      <c r="H6" s="7" t="inlineStr">
        <is>
          <t>3</t>
        </is>
      </c>
      <c r="I6" s="7" t="inlineStr">
        <is>
          <t>2.1</t>
        </is>
      </c>
      <c r="J6" s="6" t="inlineStr">
        <is>
          <t>2026-02-08 12:26:16</t>
        </is>
      </c>
      <c r="K6" s="6" t="inlineStr">
        <is>
          <t>08.02.2026</t>
        </is>
      </c>
      <c r="L6" s="6">
        <f>IF(G6="{CHECK} Synced",IF(E6="🔴 Critical",IF(ABS(I6)&lt;=100,"{CHECK} PASS","{XMARK} FAIL"),IF(ABS(I6)&lt;=1000,"{CHECK} PASS","{XMARK} FAIL")),"{XMARK} FAIL")</f>
        <v/>
      </c>
      <c r="M6" s="6" t="inlineStr">
        <is>
          <t>Using AWS Time Sync Service</t>
        </is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>
        <f>IF(G7="✅ Synced",IF(E7="🔴 Critical",IF(ABS(I7)&lt;=100,"✅ PASS","❌ FAIL"),IF(ABS(I7)&lt;=1000,"✅ PASS","❌ FAIL")),"❌ FAIL")</f>
        <v/>
      </c>
      <c r="M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>
        <f>IF(G8="✅ Synced",IF(E8="🔴 Critical",IF(ABS(I8)&lt;=100,"✅ PASS","❌ FAIL"),IF(ABS(I8)&lt;=1000,"✅ PASS","❌ FAIL")),"❌ FAIL")</f>
        <v/>
      </c>
      <c r="M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>
        <f>IF(G9="✅ Synced",IF(E9="🔴 Critical",IF(ABS(I9)&lt;=100,"✅ PASS","❌ FAIL"),IF(ABS(I9)&lt;=1000,"✅ PASS","❌ FAIL")),"❌ FAIL")</f>
        <v/>
      </c>
      <c r="M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>
        <f>IF(G10="✅ Synced",IF(E10="🔴 Critical",IF(ABS(I10)&lt;=100,"✅ PASS","❌ FAIL"),IF(ABS(I10)&lt;=1000,"✅ PASS","❌ FAIL")),"❌ FAIL")</f>
        <v/>
      </c>
      <c r="M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>
        <f>IF(G11="✅ Synced",IF(E11="🔴 Critical",IF(ABS(I11)&lt;=100,"✅ PASS","❌ FAIL"),IF(ABS(I11)&lt;=1000,"✅ PASS","❌ FAIL")),"❌ FAIL")</f>
        <v/>
      </c>
      <c r="M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>
        <f>IF(G12="✅ Synced",IF(E12="🔴 Critical",IF(ABS(I12)&lt;=100,"✅ PASS","❌ FAIL"),IF(ABS(I12)&lt;=1000,"✅ PASS","❌ FAIL")),"❌ FAIL")</f>
        <v/>
      </c>
      <c r="M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>
        <f>IF(G13="✅ Synced",IF(E13="🔴 Critical",IF(ABS(I13)&lt;=100,"✅ PASS","❌ FAIL"),IF(ABS(I13)&lt;=1000,"✅ PASS","❌ FAIL")),"❌ FAIL")</f>
        <v/>
      </c>
      <c r="M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>
        <f>IF(G14="✅ Synced",IF(E14="🔴 Critical",IF(ABS(I14)&lt;=100,"✅ PASS","❌ FAIL"),IF(ABS(I14)&lt;=1000,"✅ PASS","❌ FAIL")),"❌ FAIL")</f>
        <v/>
      </c>
      <c r="M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>
        <f>IF(G15="✅ Synced",IF(E15="🔴 Critical",IF(ABS(I15)&lt;=100,"✅ PASS","❌ FAIL"),IF(ABS(I15)&lt;=1000,"✅ PASS","❌ FAIL")),"❌ FAIL")</f>
        <v/>
      </c>
      <c r="M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>
        <f>IF(G16="✅ Synced",IF(E16="🔴 Critical",IF(ABS(I16)&lt;=100,"✅ PASS","❌ FAIL"),IF(ABS(I16)&lt;=1000,"✅ PASS","❌ FAIL")),"❌ FAIL")</f>
        <v/>
      </c>
      <c r="M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>
        <f>IF(G17="✅ Synced",IF(E17="🔴 Critical",IF(ABS(I17)&lt;=100,"✅ PASS","❌ FAIL"),IF(ABS(I17)&lt;=1000,"✅ PASS","❌ FAIL")),"❌ FAIL")</f>
        <v/>
      </c>
      <c r="M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>
        <f>IF(G18="✅ Synced",IF(E18="🔴 Critical",IF(ABS(I18)&lt;=100,"✅ PASS","❌ FAIL"),IF(ABS(I18)&lt;=1000,"✅ PASS","❌ FAIL")),"❌ FAIL")</f>
        <v/>
      </c>
      <c r="M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>
        <f>IF(G19="✅ Synced",IF(E19="🔴 Critical",IF(ABS(I19)&lt;=100,"✅ PASS","❌ FAIL"),IF(ABS(I19)&lt;=1000,"✅ PASS","❌ FAIL")),"❌ FAIL")</f>
        <v/>
      </c>
      <c r="M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>
        <f>IF(G20="✅ Synced",IF(E20="🔴 Critical",IF(ABS(I20)&lt;=100,"✅ PASS","❌ FAIL"),IF(ABS(I20)&lt;=1000,"✅ PASS","❌ FAIL")),"❌ FAIL")</f>
        <v/>
      </c>
      <c r="M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>
        <f>IF(G21="✅ Synced",IF(E21="🔴 Critical",IF(ABS(I21)&lt;=100,"✅ PASS","❌ FAIL"),IF(ABS(I21)&lt;=1000,"✅ PASS","❌ FAIL")),"❌ FAIL")</f>
        <v/>
      </c>
      <c r="M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>
        <f>IF(G22="✅ Synced",IF(E22="🔴 Critical",IF(ABS(I22)&lt;=100,"✅ PASS","❌ FAIL"),IF(ABS(I22)&lt;=1000,"✅ PASS","❌ FAIL")),"❌ FAIL")</f>
        <v/>
      </c>
      <c r="M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>
        <f>IF(G23="✅ Synced",IF(E23="🔴 Critical",IF(ABS(I23)&lt;=100,"✅ PASS","❌ FAIL"),IF(ABS(I23)&lt;=1000,"✅ PASS","❌ FAIL")),"❌ FAIL")</f>
        <v/>
      </c>
      <c r="M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>
        <f>IF(G24="✅ Synced",IF(E24="🔴 Critical",IF(ABS(I24)&lt;=100,"✅ PASS","❌ FAIL"),IF(ABS(I24)&lt;=1000,"✅ PASS","❌ FAIL")),"❌ FAIL")</f>
        <v/>
      </c>
      <c r="M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>
        <f>IF(G25="✅ Synced",IF(E25="🔴 Critical",IF(ABS(I25)&lt;=100,"✅ PASS","❌ FAIL"),IF(ABS(I25)&lt;=1000,"✅ PASS","❌ FAIL")),"❌ FAIL")</f>
        <v/>
      </c>
      <c r="M25" s="8" t="n"/>
    </row>
  </sheetData>
  <dataValidations count="4">
    <dataValidation sqref="C2:C1000" showDropDown="0" showInputMessage="0" showErrorMessage="0" allowBlank="0" errorTitle="Invalid Type" error="Please select a valid system type" type="list">
      <formula1>"🖥️ Server-Physical,💻 Server-Virtual,☁️ Server-Cloud,🌐 Network Device,🔒 Security Appliance,💼 Workstation,📦 Container Host,🔌 IoT Device,📋 Other"</formula1>
    </dataValidation>
    <dataValidation sqref="E2:E1000" showDropDown="0" showInputMessage="0" showErrorMessage="0" allowBlank="0" errorTitle="Invalid Criticality" error="Please select a valid criticality level" type="list">
      <formula1>"🔴 Critical,🟠 High,🟡 Medium,🟢 Low"</formula1>
    </dataValidation>
    <dataValidation sqref="G2:G1000" showDropDown="0" showInputMessage="0" showErrorMessage="0" allowBlank="0" errorTitle="Invalid Sync Status" error="Please select a valid sync status" type="list">
      <formula1>"✅ Synced,❌ Not Synced,⚠️ Sync Failed,❓ Unknown,➖ Excluded"</formula1>
    </dataValidation>
    <dataValidation sqref="H2:H1000" showDropDown="0" showInputMessage="0" showErrorMessage="0" allowBlank="1" errorTitle="Invalid Stratum" error="Stratum must be 0-16 (16 = not synchronized)" type="whole">
      <formula1>0</formula1>
      <formula2>16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30" customWidth="1" min="4" max="4"/>
  </cols>
  <sheetData>
    <row r="1">
      <c r="A1" s="9" t="inlineStr">
        <is>
          <t>Time Drift Statistical Analysis</t>
        </is>
      </c>
    </row>
    <row r="2">
      <c r="A2" s="2" t="inlineStr">
        <is>
          <t>Analysis of time drift across all synchronized systems</t>
        </is>
      </c>
    </row>
    <row r="4">
      <c r="A4" s="10" t="inlineStr">
        <is>
          <t>Overall Drift Statistics</t>
        </is>
      </c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Notes</t>
        </is>
      </c>
    </row>
    <row r="6">
      <c r="A6" s="6" t="inlineStr">
        <is>
          <t>Total Systems Assessed</t>
        </is>
      </c>
      <c r="B6" s="6">
        <f>COUNTA(System_Inventory!A2:A1000)</f>
        <v/>
      </c>
      <c r="C6" s="6" t="inlineStr">
        <is>
          <t>systems</t>
        </is>
      </c>
      <c r="D6" s="6" t="inlineStr">
        <is>
          <t>All systems in inventory</t>
        </is>
      </c>
    </row>
    <row r="7">
      <c r="A7" s="6" t="inlineStr">
        <is>
          <t>Systems Synchronized</t>
        </is>
      </c>
      <c r="B7" s="6">
        <f>COUNTIF(System_Inventory!G2:G1000,"Synced")</f>
        <v/>
      </c>
      <c r="C7" s="6" t="inlineStr">
        <is>
          <t>systems</t>
        </is>
      </c>
      <c r="D7" s="6" t="inlineStr">
        <is>
          <t>Stratum ≠ 16</t>
        </is>
      </c>
    </row>
    <row r="8">
      <c r="A8" s="6" t="inlineStr">
        <is>
          <t>Systems Not Synchronized</t>
        </is>
      </c>
      <c r="B8" s="6">
        <f>COUNTIF(System_Inventory!G2:G1000,"Not Synced")+COUNTIF(System_Inventory!G2:G1000,"Sync Failed")</f>
        <v/>
      </c>
      <c r="C8" s="6" t="inlineStr">
        <is>
          <t>systems</t>
        </is>
      </c>
      <c r="D8" s="6" t="inlineStr">
        <is>
          <t>Requires remediation</t>
        </is>
      </c>
    </row>
    <row r="9">
      <c r="A9" s="6" t="inlineStr">
        <is>
          <t>Average Drift (Synced Systems)</t>
        </is>
      </c>
      <c r="B9" s="6">
        <f>AVERAGEIF(System_Inventory!G2:G1000,"Synced",System_Inventory!I2:I1000)</f>
        <v/>
      </c>
      <c r="C9" s="6" t="inlineStr">
        <is>
          <t>ms</t>
        </is>
      </c>
      <c r="D9" s="6" t="inlineStr">
        <is>
          <t>Mean time offset</t>
        </is>
      </c>
    </row>
    <row r="10">
      <c r="A10" s="6" t="inlineStr">
        <is>
          <t>Maximum Drift (Synced Systems)</t>
        </is>
      </c>
      <c r="B10" s="6">
        <f>MAXIFS(System_Inventory!I2:I1000,System_Inventory!G2:G1000,"Synced")</f>
        <v/>
      </c>
      <c r="C10" s="6" t="inlineStr">
        <is>
          <t>ms</t>
        </is>
      </c>
      <c r="D10" s="6" t="inlineStr">
        <is>
          <t>Highest offset observed</t>
        </is>
      </c>
    </row>
    <row r="11">
      <c r="A11" s="6" t="inlineStr">
        <is>
          <t>Minimum Drift (Synced Systems)</t>
        </is>
      </c>
      <c r="B11" s="6">
        <f>MINIFS(System_Inventory!I2:I1000,System_Inventory!G2:G1000,"Synced")</f>
        <v/>
      </c>
      <c r="C11" s="6" t="inlineStr">
        <is>
          <t>ms</t>
        </is>
      </c>
      <c r="D11" s="6" t="inlineStr">
        <is>
          <t>Lowest offset observed</t>
        </is>
      </c>
    </row>
    <row r="12">
      <c r="A12" s="6" t="inlineStr">
        <is>
          <t>Standard Deviation</t>
        </is>
      </c>
      <c r="B12" s="6">
        <f>STDEV(System_Inventory!I2:I1000)</f>
        <v/>
      </c>
      <c r="C12" s="6" t="inlineStr">
        <is>
          <t>ms</t>
        </is>
      </c>
      <c r="D12" s="6" t="inlineStr">
        <is>
          <t>Variation in drift</t>
        </is>
      </c>
    </row>
    <row r="15">
      <c r="A15" s="10" t="inlineStr">
        <is>
          <t>Drift Distribution by Threshold</t>
        </is>
      </c>
    </row>
    <row r="16">
      <c r="A16" s="6" t="inlineStr">
        <is>
          <t>Threshold</t>
        </is>
      </c>
      <c r="B16" s="6" t="inlineStr">
        <is>
          <t>Count</t>
        </is>
      </c>
      <c r="C16" s="6" t="inlineStr">
        <is>
          <t>Percentage</t>
        </is>
      </c>
      <c r="D16" s="6" t="inlineStr">
        <is>
          <t>Status</t>
        </is>
      </c>
    </row>
    <row r="17">
      <c r="A17" s="6" t="inlineStr">
        <is>
          <t>≤ 10ms (High-Precision)</t>
        </is>
      </c>
      <c r="B17" s="6">
        <f>COUNTIFS(System_Inventory!I2:I1000,"&lt;=10",System_Inventory!I2:I1000,"&gt;=-10",System_Inventory!G2:G1000,"Synced")</f>
        <v/>
      </c>
      <c r="C17" s="11">
        <f>B17/B6*100</f>
        <v/>
      </c>
      <c r="D17" s="6" t="inlineStr">
        <is>
          <t>Excellent</t>
        </is>
      </c>
    </row>
    <row r="18">
      <c r="A18" s="6" t="inlineStr">
        <is>
          <t>≤ 100ms (Critical Systems)</t>
        </is>
      </c>
      <c r="B18" s="6">
        <f>COUNTIFS(System_Inventory!I2:I1000,"&lt;=100",System_Inventory!I2:I1000,"&gt;=-100",System_Inventory!G2:G1000,"Synced")</f>
        <v/>
      </c>
      <c r="C18" s="11">
        <f>B18/B6*100</f>
        <v/>
      </c>
      <c r="D18" s="6" t="inlineStr">
        <is>
          <t>Good for critical</t>
        </is>
      </c>
    </row>
    <row r="19">
      <c r="A19" s="6" t="inlineStr">
        <is>
          <t>≤ 1000ms (General Systems)</t>
        </is>
      </c>
      <c r="B19" s="6">
        <f>COUNTIFS(System_Inventory!I2:I1000,"&lt;=1000",System_Inventory!I2:I1000,"&gt;=-1000",System_Inventory!G2:G1000,"Synced")</f>
        <v/>
      </c>
      <c r="C19" s="11">
        <f>B19/B6*100</f>
        <v/>
      </c>
      <c r="D19" s="6" t="inlineStr">
        <is>
          <t>Acceptable</t>
        </is>
      </c>
    </row>
    <row r="20">
      <c r="A20" s="6" t="inlineStr">
        <is>
          <t>&gt; 1000ms (Exceeds Threshold)</t>
        </is>
      </c>
      <c r="B20" s="6">
        <f>COUNTIFS(System_Inventory!I2:I1000,"&gt;1000",System_Inventory!G2:G1000,"Synced")+COUNTIFS(System_Inventory!I2:I1000,"&lt;-1000",System_Inventory!G2:G1000,"Synced")</f>
        <v/>
      </c>
      <c r="C20" s="11">
        <f>B20/B6*100</f>
        <v/>
      </c>
      <c r="D20" s="6" t="inlineStr">
        <is>
          <t>FAIL - Requires action</t>
        </is>
      </c>
    </row>
    <row r="23">
      <c r="A23" s="10" t="inlineStr">
        <is>
          <t>Drift Analysis by System Type</t>
        </is>
      </c>
    </row>
    <row r="24">
      <c r="A24" s="5" t="inlineStr">
        <is>
          <t>System Type</t>
        </is>
      </c>
      <c r="B24" s="5" t="inlineStr">
        <is>
          <t>Avg Drift (ms)</t>
        </is>
      </c>
      <c r="C24" s="5" t="inlineStr">
        <is>
          <t>Max Drift (ms)</t>
        </is>
      </c>
      <c r="D24" s="5" t="inlineStr">
        <is>
          <t>Count</t>
        </is>
      </c>
    </row>
    <row r="25">
      <c r="A25" s="6" t="inlineStr">
        <is>
          <t>Server-Physical</t>
        </is>
      </c>
      <c r="B25" s="6">
        <f>AVERAGEIF(System_Inventory!C2:C1000,"Server-Physical",System_Inventory!I2:I1000)</f>
        <v/>
      </c>
      <c r="C25" s="6">
        <f>MAXIFS(System_Inventory!I2:I1000,System_Inventory!C2:C1000,"Server-Physical")</f>
        <v/>
      </c>
      <c r="D25" s="6">
        <f>COUNTIF(System_Inventory!C2:C1000,"Server-Physical")</f>
        <v/>
      </c>
    </row>
    <row r="26">
      <c r="A26" s="6" t="inlineStr">
        <is>
          <t>Server-Virtual</t>
        </is>
      </c>
      <c r="B26" s="6">
        <f>AVERAGEIF(System_Inventory!C2:C1000,"Server-Virtual",System_Inventory!I2:I1000)</f>
        <v/>
      </c>
      <c r="C26" s="6">
        <f>MAXIFS(System_Inventory!I2:I1000,System_Inventory!C2:C1000,"Server-Virtual")</f>
        <v/>
      </c>
      <c r="D26" s="6">
        <f>COUNTIF(System_Inventory!C2:C1000,"Server-Virtual")</f>
        <v/>
      </c>
    </row>
    <row r="27">
      <c r="A27" s="6" t="inlineStr">
        <is>
          <t>Server-Cloud</t>
        </is>
      </c>
      <c r="B27" s="6">
        <f>AVERAGEIF(System_Inventory!C2:C1000,"Server-Cloud",System_Inventory!I2:I1000)</f>
        <v/>
      </c>
      <c r="C27" s="6">
        <f>MAXIFS(System_Inventory!I2:I1000,System_Inventory!C2:C1000,"Server-Cloud")</f>
        <v/>
      </c>
      <c r="D27" s="6">
        <f>COUNTIF(System_Inventory!C2:C1000,"Server-Cloud")</f>
        <v/>
      </c>
    </row>
    <row r="28">
      <c r="A28" s="6" t="inlineStr">
        <is>
          <t>Network Device</t>
        </is>
      </c>
      <c r="B28" s="6">
        <f>AVERAGEIF(System_Inventory!C2:C1000,"Network Device",System_Inventory!I2:I1000)</f>
        <v/>
      </c>
      <c r="C28" s="6">
        <f>MAXIFS(System_Inventory!I2:I1000,System_Inventory!C2:C1000,"Network Device")</f>
        <v/>
      </c>
      <c r="D28" s="6">
        <f>COUNTIF(System_Inventory!C2:C1000,"Network Device")</f>
        <v/>
      </c>
    </row>
    <row r="29">
      <c r="A29" s="6" t="inlineStr">
        <is>
          <t>Security Appliance</t>
        </is>
      </c>
      <c r="B29" s="6">
        <f>AVERAGEIF(System_Inventory!C2:C1000,"Security Appliance",System_Inventory!I2:I1000)</f>
        <v/>
      </c>
      <c r="C29" s="6">
        <f>MAXIFS(System_Inventory!I2:I1000,System_Inventory!C2:C1000,"Security Appliance")</f>
        <v/>
      </c>
      <c r="D29" s="6">
        <f>COUNTIF(System_Inventory!C2:C1000,"Security Appliance")</f>
        <v/>
      </c>
    </row>
    <row r="32">
      <c r="A32" s="10" t="inlineStr">
        <is>
          <t>Drift Analysis by Criticality</t>
        </is>
      </c>
    </row>
    <row r="33">
      <c r="A33" s="5" t="inlineStr">
        <is>
          <t>Criticality</t>
        </is>
      </c>
      <c r="B33" s="5" t="inlineStr">
        <is>
          <t>Avg Drift (ms)</t>
        </is>
      </c>
      <c r="C33" s="5" t="inlineStr">
        <is>
          <t>Max Drift (ms)</t>
        </is>
      </c>
      <c r="D33" s="5" t="inlineStr">
        <is>
          <t>Count</t>
        </is>
      </c>
    </row>
    <row r="34">
      <c r="A34" s="6" t="inlineStr">
        <is>
          <t>Critical</t>
        </is>
      </c>
      <c r="B34" s="6">
        <f>AVERAGEIF(System_Inventory!E2:E1000,"Critical",System_Inventory!I2:I1000)</f>
        <v/>
      </c>
      <c r="C34" s="6">
        <f>MAXIFS(System_Inventory!I2:I1000,System_Inventory!E2:E1000,"Critical")</f>
        <v/>
      </c>
      <c r="D34" s="6">
        <f>COUNTIF(System_Inventory!E2:E1000,"Critical")</f>
        <v/>
      </c>
    </row>
    <row r="35">
      <c r="A35" s="6" t="inlineStr">
        <is>
          <t>High</t>
        </is>
      </c>
      <c r="B35" s="6">
        <f>AVERAGEIF(System_Inventory!E2:E1000,"High",System_Inventory!I2:I1000)</f>
        <v/>
      </c>
      <c r="C35" s="6">
        <f>MAXIFS(System_Inventory!I2:I1000,System_Inventory!E2:E1000,"High")</f>
        <v/>
      </c>
      <c r="D35" s="6">
        <f>COUNTIF(System_Inventory!E2:E1000,"High")</f>
        <v/>
      </c>
    </row>
    <row r="36">
      <c r="A36" s="6" t="inlineStr">
        <is>
          <t>Medium</t>
        </is>
      </c>
      <c r="B36" s="6">
        <f>AVERAGEIF(System_Inventory!E2:E1000,"Medium",System_Inventory!I2:I1000)</f>
        <v/>
      </c>
      <c r="C36" s="6">
        <f>MAXIFS(System_Inventory!I2:I1000,System_Inventory!E2:E1000,"Medium")</f>
        <v/>
      </c>
      <c r="D36" s="6">
        <f>COUNTIF(System_Inventory!E2:E1000,"Medium")</f>
        <v/>
      </c>
    </row>
    <row r="37">
      <c r="A37" s="6" t="inlineStr">
        <is>
          <t>Low</t>
        </is>
      </c>
      <c r="B37" s="6">
        <f>AVERAGEIF(System_Inventory!E2:E1000,"Low",System_Inventory!I2:I1000)</f>
        <v/>
      </c>
      <c r="C37" s="6">
        <f>MAXIFS(System_Inventory!I2:I1000,System_Inventory!E2:E1000,"Low")</f>
        <v/>
      </c>
      <c r="D37" s="6">
        <f>COUNTIF(System_Inventory!E2:E1000,"Low")</f>
        <v/>
      </c>
    </row>
  </sheetData>
  <mergeCells count="6">
    <mergeCell ref="A1:D1"/>
    <mergeCell ref="A23:D23"/>
    <mergeCell ref="A4:D4"/>
    <mergeCell ref="A15:D15"/>
    <mergeCell ref="A2:D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8" customWidth="1" min="4" max="4"/>
    <col width="15" customWidth="1" min="5" max="5"/>
    <col width="25" customWidth="1" min="6" max="6"/>
    <col width="40" customWidth="1" min="7" max="7"/>
    <col width="15" customWidth="1" min="8" max="8"/>
  </cols>
  <sheetData>
    <row r="1">
      <c r="A1" s="9" t="inlineStr">
        <is>
          <t>Systems Not Synchronized or Exceeding Drift Threshold</t>
        </is>
      </c>
    </row>
    <row r="2">
      <c r="A2" s="12" t="inlineStr">
        <is>
          <t>These systems require immediate remediation</t>
        </is>
      </c>
    </row>
    <row r="4">
      <c r="A4" s="5" t="inlineStr">
        <is>
          <t>System Name</t>
        </is>
      </c>
      <c r="B4" s="5" t="inlineStr">
        <is>
          <t>Type</t>
        </is>
      </c>
      <c r="C4" s="5" t="inlineStr">
        <is>
          <t>Criticality</t>
        </is>
      </c>
      <c r="D4" s="5" t="inlineStr">
        <is>
          <t>Sync Status</t>
        </is>
      </c>
      <c r="E4" s="5" t="inlineStr">
        <is>
          <t>Drift (ms)</t>
        </is>
      </c>
      <c r="F4" s="5" t="inlineStr">
        <is>
          <t>Issue Category</t>
        </is>
      </c>
      <c r="G4" s="5" t="inlineStr">
        <is>
          <t>Remediation Action</t>
        </is>
      </c>
      <c r="H4" s="5" t="inlineStr">
        <is>
          <t>Target Date</t>
        </is>
      </c>
    </row>
    <row r="5">
      <c r="A5" s="13" t="inlineStr">
        <is>
          <t>Fill this sheet with systems from System_Inventory where:</t>
        </is>
      </c>
    </row>
    <row r="6">
      <c r="A6" t="inlineStr">
        <is>
          <t>• Sync Status = f'❌ Not Synced', f'⚠ Sync Failed', or '❓ Unknown'</t>
        </is>
      </c>
    </row>
    <row r="7">
      <c r="A7" t="inlineStr">
        <is>
          <t>• Compliance = f'❌ FAIL' (drift exceeds threshold for criticality level)</t>
        </is>
      </c>
    </row>
    <row r="8">
      <c r="A8" t="inlineStr">
        <is>
          <t>• Stratum = 16 (not synchronized)</t>
        </is>
      </c>
    </row>
    <row r="10">
      <c r="A10" s="14" t="inlineStr">
        <is>
          <t>siem-01.org.local</t>
        </is>
      </c>
      <c r="B10" s="14" t="inlineStr">
        <is>
          <t>🔒 Security Appliance</t>
        </is>
      </c>
      <c r="C10" s="14" t="inlineStr">
        <is>
          <t>🔴 Critical</t>
        </is>
      </c>
      <c r="D10" s="14" t="inlineStr">
        <is>
          <t>❌ Not Synced</t>
        </is>
      </c>
      <c r="E10" s="14" t="inlineStr">
        <is>
          <t>1500.0</t>
        </is>
      </c>
      <c r="F10" s="14" t="inlineStr">
        <is>
          <t>NTP Not Configured</t>
        </is>
      </c>
      <c r="G10" s="14" t="inlineStr">
        <is>
          <t>Configure NTP client, restart service</t>
        </is>
      </c>
      <c r="H10" s="14" t="inlineStr">
        <is>
          <t>11.02.2026</t>
        </is>
      </c>
    </row>
    <row r="11">
      <c r="A11" s="6" t="inlineStr">
        <is>
          <t>legacy-app-server.org.local</t>
        </is>
      </c>
      <c r="B11" s="6" t="inlineStr">
        <is>
          <t>🖥️ Server-Physical</t>
        </is>
      </c>
      <c r="C11" s="6" t="inlineStr">
        <is>
          <t>🟡 Medium</t>
        </is>
      </c>
      <c r="D11" s="6" t="inlineStr">
        <is>
          <t>⚠ Sync Failed</t>
        </is>
      </c>
      <c r="E11" s="6" t="inlineStr">
        <is>
          <t>2500.0</t>
        </is>
      </c>
      <c r="F11" s="6" t="inlineStr">
        <is>
          <t>NTP Server Unreachable</t>
        </is>
      </c>
      <c r="G11" s="6" t="inlineStr">
        <is>
          <t>Verify network connectivity, update firewall rules</t>
        </is>
      </c>
      <c r="H11" s="6" t="inlineStr">
        <is>
          <t>13.02.2026</t>
        </is>
      </c>
    </row>
    <row r="12">
      <c r="A12" s="14" t="inlineStr">
        <is>
          <t>db-replica-02.org.local</t>
        </is>
      </c>
      <c r="B12" s="14" t="inlineStr">
        <is>
          <t>💻 Server-Virtual</t>
        </is>
      </c>
      <c r="C12" s="14" t="inlineStr">
        <is>
          <t>🔴 Critical</t>
        </is>
      </c>
      <c r="D12" s="14" t="inlineStr">
        <is>
          <t>✅ Synced</t>
        </is>
      </c>
      <c r="E12" s="14" t="inlineStr">
        <is>
          <t>150.0</t>
        </is>
      </c>
      <c r="F12" s="14" t="inlineStr">
        <is>
          <t>Excessive Drift (Critical)</t>
        </is>
      </c>
      <c r="G12" s="14" t="inlineStr">
        <is>
          <t>Investigate time source quality, restart NTP</t>
        </is>
      </c>
      <c r="H12" s="14" t="inlineStr">
        <is>
          <t>09.02.2026</t>
        </is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</sheetData>
  <mergeCells count="6">
    <mergeCell ref="A1:H1"/>
    <mergeCell ref="A7:H7"/>
    <mergeCell ref="A2:H2"/>
    <mergeCell ref="A5:H5"/>
    <mergeCell ref="A8:H8"/>
    <mergeCell ref="A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40" customWidth="1" min="4" max="4"/>
  </cols>
  <sheetData>
    <row r="1">
      <c r="A1" s="9" t="inlineStr">
        <is>
          <t>System Synchronization Status - Compliance Summary</t>
        </is>
      </c>
    </row>
    <row r="2">
      <c r="A2" s="2" t="inlineStr">
        <is>
          <t>Assessment Date: 08.02.2026</t>
        </is>
      </c>
    </row>
    <row r="4">
      <c r="A4" s="10" t="inlineStr">
        <is>
          <t>Overall Compliance Metrics</t>
        </is>
      </c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Target</t>
        </is>
      </c>
      <c r="D5" s="5" t="inlineStr">
        <is>
          <t>Status</t>
        </is>
      </c>
    </row>
    <row r="6">
      <c r="A6" s="6" t="inlineStr">
        <is>
          <t>Total Systems Assessed</t>
        </is>
      </c>
      <c r="B6" s="6">
        <f>COUNTA(System_Inventory!A2:A1000)</f>
        <v/>
      </c>
      <c r="C6" s="6" t="inlineStr">
        <is>
          <t>All systems</t>
        </is>
      </c>
      <c r="D6" s="6" t="inlineStr"/>
    </row>
    <row r="7">
      <c r="A7" s="6" t="inlineStr">
        <is>
          <t>Systems Synchronized</t>
        </is>
      </c>
      <c r="B7" s="6">
        <f>COUNTIF(System_Inventory!G2:G1000,"Synced")</f>
        <v/>
      </c>
      <c r="C7" s="6" t="inlineStr">
        <is>
          <t>100%</t>
        </is>
      </c>
      <c r="D7" s="6">
        <f>IF(B6/B5&gt;=0.95,"PASS","FAIL")</f>
        <v/>
      </c>
    </row>
    <row r="8">
      <c r="A8" s="6" t="inlineStr">
        <is>
          <t>Synchronization Rate</t>
        </is>
      </c>
      <c r="B8" s="11">
        <f>B6/B5*100</f>
        <v/>
      </c>
      <c r="C8" s="6" t="inlineStr">
        <is>
          <t>≥95%</t>
        </is>
      </c>
      <c r="D8" s="6">
        <f>IF(B7&gt;=95,"PASS","FAIL")</f>
        <v/>
      </c>
    </row>
    <row r="9">
      <c r="A9" s="6" t="inlineStr">
        <is>
          <t>Systems Within Threshold</t>
        </is>
      </c>
      <c r="B9" s="6">
        <f>COUNTIF(System_Inventory!L2:L1000,"PASS")</f>
        <v/>
      </c>
      <c r="C9" s="6" t="inlineStr">
        <is>
          <t>100%</t>
        </is>
      </c>
      <c r="D9" s="6">
        <f>IF(B8/B5&gt;=0.95,"PASS","FAIL")</f>
        <v/>
      </c>
    </row>
    <row r="10">
      <c r="A10" s="6" t="inlineStr">
        <is>
          <t>Compliance Rate</t>
        </is>
      </c>
      <c r="B10" s="11">
        <f>B8/B5*100</f>
        <v/>
      </c>
      <c r="C10" s="6" t="inlineStr">
        <is>
          <t>≥95%</t>
        </is>
      </c>
      <c r="D10" s="6">
        <f>IF(B9&gt;=95,"PASS","FAIL")</f>
        <v/>
      </c>
    </row>
    <row r="11">
      <c r="A11" s="6" t="inlineStr">
        <is>
          <t>Average Drift (All Systems)</t>
        </is>
      </c>
      <c r="B11" s="6">
        <f>Drift_Analysis!B5</f>
        <v/>
      </c>
      <c r="C11" s="6" t="inlineStr">
        <is>
          <t>&lt; 100ms</t>
        </is>
      </c>
      <c r="D11" s="6">
        <f>IF(B10&lt;100,"PASS","WARN")</f>
        <v/>
      </c>
    </row>
    <row r="12">
      <c r="A12" s="6" t="inlineStr">
        <is>
          <t>Maximum Drift Observed</t>
        </is>
      </c>
      <c r="B12" s="6">
        <f>Drift_Analysis!B6</f>
        <v/>
      </c>
      <c r="C12" s="6" t="inlineStr">
        <is>
          <t>&lt; 1000ms</t>
        </is>
      </c>
      <c r="D12" s="6">
        <f>IF(B11&lt;1000,"PASS","FAIL")</f>
        <v/>
      </c>
    </row>
    <row r="13">
      <c r="A13" s="6" t="inlineStr">
        <is>
          <t>Critical Systems in Compliance</t>
        </is>
      </c>
      <c r="B13" s="6">
        <f>COUNTIFS(System_Inventory!E2:E1000,"Critical",System_Inventory!L2:L1000,"PASS")</f>
        <v/>
      </c>
      <c r="C13" s="6" t="inlineStr">
        <is>
          <t>100%</t>
        </is>
      </c>
      <c r="D13" s="6">
        <f>IF(B12/COUNTIF(System_Inventory!E2:E1000,"Critical")=1,"PASS","FAIL")</f>
        <v/>
      </c>
    </row>
    <row r="16">
      <c r="A16" s="10" t="inlineStr">
        <is>
          <t>Compliance by Criticality Level</t>
        </is>
      </c>
    </row>
    <row r="17">
      <c r="A17" s="6" t="inlineStr">
        <is>
          <t>Criticality</t>
        </is>
      </c>
      <c r="B17" s="6" t="inlineStr">
        <is>
          <t>Total</t>
        </is>
      </c>
      <c r="C17" s="6" t="inlineStr">
        <is>
          <t>Compliant</t>
        </is>
      </c>
      <c r="D17" s="6" t="inlineStr">
        <is>
          <t>Rate</t>
        </is>
      </c>
    </row>
    <row r="18">
      <c r="A18" s="6" t="inlineStr">
        <is>
          <t>🔴 Critical</t>
        </is>
      </c>
      <c r="B18" s="6">
        <f>COUNTIF(System_Inventory!E2:E1000,"🔴 Critical")</f>
        <v/>
      </c>
      <c r="C18" s="6">
        <f>COUNTIFS(System_Inventory!E2:E1000,"🔴 Critical",System_Inventory!L2:L1000,"{CHECK} PASS")</f>
        <v/>
      </c>
      <c r="D18" s="11">
        <f>C18/B18*100</f>
        <v/>
      </c>
    </row>
    <row r="19">
      <c r="A19" s="6" t="inlineStr">
        <is>
          <t>🟠 High</t>
        </is>
      </c>
      <c r="B19" s="6">
        <f>COUNTIF(System_Inventory!E2:E1000,"🟠 High")</f>
        <v/>
      </c>
      <c r="C19" s="6">
        <f>COUNTIFS(System_Inventory!E2:E1000,"🟠 High",System_Inventory!L2:L1000,"{CHECK} PASS")</f>
        <v/>
      </c>
      <c r="D19" s="11">
        <f>C19/B19*100</f>
        <v/>
      </c>
    </row>
    <row r="20">
      <c r="A20" s="6" t="inlineStr">
        <is>
          <t>🟡 Medium</t>
        </is>
      </c>
      <c r="B20" s="6">
        <f>COUNTIF(System_Inventory!E2:E1000,"🟡 Medium")</f>
        <v/>
      </c>
      <c r="C20" s="6">
        <f>COUNTIFS(System_Inventory!E2:E1000,"🟡 Medium",System_Inventory!L2:L1000,"{CHECK} PASS")</f>
        <v/>
      </c>
      <c r="D20" s="11">
        <f>C20/B20*100</f>
        <v/>
      </c>
    </row>
    <row r="21">
      <c r="A21" s="6" t="inlineStr">
        <is>
          <t>🟢 Low</t>
        </is>
      </c>
      <c r="B21" s="6">
        <f>COUNTIF(System_Inventory!E2:E1000,"🟢 Low")</f>
        <v/>
      </c>
      <c r="C21" s="6">
        <f>COUNTIFS(System_Inventory!E2:E1000,"🟢 Low",System_Inventory!L2:L1000,"{CHECK} PASS")</f>
        <v/>
      </c>
      <c r="D21" s="11">
        <f>C21/B21*100</f>
        <v/>
      </c>
    </row>
    <row r="24">
      <c r="A24" s="15" t="inlineStr">
        <is>
          <t>Critical Gaps Requiring Immediate Action</t>
        </is>
      </c>
    </row>
    <row r="25">
      <c r="A25" s="5" t="inlineStr">
        <is>
          <t>Gap Type</t>
        </is>
      </c>
      <c r="B25" s="5" t="inlineStr">
        <is>
          <t>Count</t>
        </is>
      </c>
      <c r="C25" s="5" t="inlineStr">
        <is>
          <t>Severity</t>
        </is>
      </c>
      <c r="D25" s="5" t="inlineStr">
        <is>
          <t>Action Required</t>
        </is>
      </c>
    </row>
    <row r="26">
      <c r="A26" s="14" t="inlineStr">
        <is>
          <t>Systems Not Synchronized</t>
        </is>
      </c>
      <c r="B26" s="14">
        <f>COUNTIF(System_Inventory!G2:G1000,"{XMARK} Not Synced")+COUNTIF(System_Inventory!G2:G1000,"{WARNING} Sync Failed")</f>
        <v/>
      </c>
      <c r="C26" s="14" t="inlineStr">
        <is>
          <t>🔴 HIGH</t>
        </is>
      </c>
      <c r="D26" s="14" t="inlineStr">
        <is>
          <t>Configure NTP, verify connectivity</t>
        </is>
      </c>
    </row>
    <row r="27">
      <c r="A27" s="14" t="inlineStr">
        <is>
          <t>Critical Systems Non-Compliant</t>
        </is>
      </c>
      <c r="B27" s="14">
        <f>COUNTIFS(System_Inventory!E2:E1000,"🔴 Critical",System_Inventory!L2:L1000,"{XMARK} FAIL")</f>
        <v/>
      </c>
      <c r="C27" s="14" t="inlineStr">
        <is>
          <t>🔴 HIGH</t>
        </is>
      </c>
      <c r="D27" s="14" t="inlineStr">
        <is>
          <t>Immediate remediation required</t>
        </is>
      </c>
    </row>
    <row r="28">
      <c r="A28" s="6" t="inlineStr">
        <is>
          <t>Systems Exceeding Drift Threshold</t>
        </is>
      </c>
      <c r="B28" s="6">
        <f>COUNTIF(System_Inventory!L2:L1000,"{XMARK} FAIL")</f>
        <v/>
      </c>
      <c r="C28" s="6" t="inlineStr">
        <is>
          <t>🟡 MEDIUM</t>
        </is>
      </c>
      <c r="D28" s="6" t="inlineStr">
        <is>
          <t>Investigate and remediate</t>
        </is>
      </c>
    </row>
    <row r="29">
      <c r="A29" s="6" t="inlineStr">
        <is>
          <t>Unknown Sync Status</t>
        </is>
      </c>
      <c r="B29" s="6">
        <f>COUNTIF(System_Inventory!G2:G1000,"❓ Unknown")</f>
        <v/>
      </c>
      <c r="C29" s="6" t="inlineStr">
        <is>
          <t>🟡 MEDIUM</t>
        </is>
      </c>
      <c r="D29" s="6" t="inlineStr">
        <is>
          <t>Verify and document status</t>
        </is>
      </c>
    </row>
    <row r="32">
      <c r="A32" s="10" t="inlineStr">
        <is>
          <t>Next Steps</t>
        </is>
      </c>
    </row>
    <row r="33">
      <c r="A33" t="inlineStr">
        <is>
          <t>1. Review all systems in Gaps_Failures sheet</t>
        </is>
      </c>
    </row>
    <row r="34">
      <c r="A34" t="inlineStr">
        <is>
          <t>2. Assign remediation tasks to system owners</t>
        </is>
      </c>
    </row>
    <row r="35">
      <c r="A35" t="inlineStr">
        <is>
          <t>3. Track remediation progress (target dates in Gaps_Failures)</t>
        </is>
      </c>
    </row>
    <row r="36">
      <c r="A36" t="inlineStr">
        <is>
          <t>4. Re-verify systems after remediation</t>
        </is>
      </c>
    </row>
    <row r="37">
      <c r="A37" t="inlineStr">
        <is>
          <t>5. Update this assessment monthly</t>
        </is>
      </c>
    </row>
    <row r="38">
      <c r="A38" t="inlineStr">
        <is>
          <t>6. Escalate persistent non-compliance to management</t>
        </is>
      </c>
    </row>
    <row r="39">
      <c r="A39" t="inlineStr">
        <is>
          <t>7. Review drift trends in Drift_Analysis sheet</t>
        </is>
      </c>
    </row>
    <row r="42">
      <c r="A42" s="10" t="inlineStr">
        <is>
          <t>Assessment Information</t>
        </is>
      </c>
    </row>
    <row r="43">
      <c r="A43" s="3" t="inlineStr">
        <is>
          <t>Assessment Date:</t>
        </is>
      </c>
      <c r="B43" t="inlineStr">
        <is>
          <t>08.02.2026</t>
        </is>
      </c>
    </row>
    <row r="44">
      <c r="A44" s="3" t="inlineStr">
        <is>
          <t>Assessed By:</t>
        </is>
      </c>
      <c r="B44" t="inlineStr">
        <is>
          <t>[Name]</t>
        </is>
      </c>
    </row>
    <row r="45">
      <c r="A45" s="3" t="inlineStr">
        <is>
          <t>Review Date:</t>
        </is>
      </c>
      <c r="B45" t="inlineStr">
        <is>
          <t>[Date]</t>
        </is>
      </c>
    </row>
    <row r="46">
      <c r="A46" s="3" t="inlineStr">
        <is>
          <t>Approved By:</t>
        </is>
      </c>
      <c r="B46" t="inlineStr">
        <is>
          <t>[Name]</t>
        </is>
      </c>
    </row>
    <row r="47">
      <c r="A47" s="3" t="inlineStr">
        <is>
          <t>Next Assessment:</t>
        </is>
      </c>
      <c r="B47" t="inlineStr">
        <is>
          <t>[Monthly - Date]</t>
        </is>
      </c>
    </row>
    <row r="48">
      <c r="A48" s="3" t="inlineStr">
        <is>
          <t>Policy Reference:</t>
        </is>
      </c>
      <c r="B48" t="inlineStr">
        <is>
          <t>ISMS-POL-A.8.17 REQ-817-011</t>
        </is>
      </c>
    </row>
    <row r="49">
      <c r="A49" s="3" t="inlineStr">
        <is>
          <t>Verification Guide:</t>
        </is>
      </c>
      <c r="B49" t="inlineStr">
        <is>
          <t>ISMS-IMP-A.8.17-S2</t>
        </is>
      </c>
    </row>
  </sheetData>
  <mergeCells count="21">
    <mergeCell ref="A35:D35"/>
    <mergeCell ref="A4:D4"/>
    <mergeCell ref="A38:D38"/>
    <mergeCell ref="B44:D44"/>
    <mergeCell ref="A34:D34"/>
    <mergeCell ref="B49:D49"/>
    <mergeCell ref="A39:D39"/>
    <mergeCell ref="A24:D24"/>
    <mergeCell ref="A36:D36"/>
    <mergeCell ref="A1:D1"/>
    <mergeCell ref="B45:D45"/>
    <mergeCell ref="A16:D16"/>
    <mergeCell ref="B47:D47"/>
    <mergeCell ref="A37:D37"/>
    <mergeCell ref="B46:D46"/>
    <mergeCell ref="A2:D2"/>
    <mergeCell ref="B43:D43"/>
    <mergeCell ref="A33:D33"/>
    <mergeCell ref="A42:D42"/>
    <mergeCell ref="A32:D32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2026-02-08T11:26:16Z</dcterms:created>
  <dcterms:modified xmlns:dcterms="http://purl.org/dc/terms/" xmlns:xsi="http://www.w3.org/2001/XMLSchema-instance" xsi:type="dcterms:W3CDTF">2026-02-08T11:26:16Z</dcterms:modified>
</cp:coreProperties>
</file>