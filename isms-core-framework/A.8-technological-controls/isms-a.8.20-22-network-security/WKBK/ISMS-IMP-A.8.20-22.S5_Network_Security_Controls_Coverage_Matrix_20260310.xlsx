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trols Coverage Matrix" sheetId="2" state="visible" r:id="rId2"/>
    <sheet xmlns:r="http://schemas.openxmlformats.org/officeDocument/2006/relationships" name="Zone Control Assessment" sheetId="3" state="visible" r:id="rId3"/>
    <sheet xmlns:r="http://schemas.openxmlformats.org/officeDocument/2006/relationships" name="Device Control Mapping" sheetId="4" state="visible" r:id="rId4"/>
    <sheet xmlns:r="http://schemas.openxmlformats.org/officeDocument/2006/relationships" name="Service Control Mapping" sheetId="5" state="visible" r:id="rId5"/>
    <sheet xmlns:r="http://schemas.openxmlformats.org/officeDocument/2006/relationships" name="Control Effectiveness" sheetId="6" state="visible" r:id="rId6"/>
    <sheet xmlns:r="http://schemas.openxmlformats.org/officeDocument/2006/relationships" name="Gap Analysis" sheetId="7" state="visible" r:id="rId7"/>
    <sheet xmlns:r="http://schemas.openxmlformats.org/officeDocument/2006/relationships" name="Defense In Depth" sheetId="8" state="visible" r:id="rId8"/>
    <sheet xmlns:r="http://schemas.openxmlformats.org/officeDocument/2006/relationships" name="Executive Summary"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i val="1"/>
    </font>
    <font>
      <name val="Calibri"/>
      <b val="1"/>
      <color rgb="00FFFFFF"/>
    </font>
    <font>
      <name val="Calibri"/>
      <sz val="10"/>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i val="1"/>
      <color rgb="00003366"/>
      <sz val="10"/>
    </font>
    <font>
      <name val="Calibri"/>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0" fillId="9" borderId="1" pivotButton="0" quotePrefix="0" xfId="0"/>
    <xf numFmtId="164" fontId="0" fillId="0" borderId="0" pivotButton="0" quotePrefix="0" xfId="0"/>
    <xf numFmtId="0" fontId="0" fillId="11" borderId="1" applyAlignment="1" pivotButton="0" quotePrefix="0" xfId="0">
      <alignment horizontal="center" vertical="center"/>
    </xf>
    <xf numFmtId="0" fontId="1" fillId="8" borderId="1" applyAlignment="1" pivotButton="0" quotePrefix="0" xfId="0">
      <alignment horizontal="center" vertical="center" wrapText="1"/>
    </xf>
    <xf numFmtId="0" fontId="6" fillId="9" borderId="1" pivotButton="0" quotePrefix="0" xfId="0"/>
    <xf numFmtId="0" fontId="0" fillId="11" borderId="1" pivotButton="0" quotePrefix="0" xfId="0"/>
    <xf numFmtId="0" fontId="1" fillId="8" borderId="0" applyAlignment="1" pivotButton="0" quotePrefix="0" xfId="0">
      <alignment horizontal="center"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0"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0" pivotButton="0" quotePrefix="0" xfId="0"/>
    <xf numFmtId="0" fontId="13" fillId="10"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3" fillId="10" borderId="1" applyAlignment="1" pivotButton="0" quotePrefix="0" xfId="0">
      <alignment horizontal="left" vertical="center"/>
    </xf>
    <xf numFmtId="0" fontId="15" fillId="0" borderId="1" applyAlignment="1" pivotButton="0" quotePrefix="0" xfId="0">
      <alignment horizontal="left" vertical="top" wrapText="1"/>
    </xf>
    <xf numFmtId="0" fontId="12" fillId="12" borderId="0" pivotButton="0" quotePrefix="0" xfId="0"/>
    <xf numFmtId="0" fontId="14" fillId="11" borderId="1" applyAlignment="1" pivotButton="0" quotePrefix="0" xfId="0">
      <alignment horizontal="left" vertical="center"/>
    </xf>
    <xf numFmtId="0" fontId="14" fillId="11" borderId="1" applyAlignment="1" pivotButton="0" quotePrefix="0" xfId="0">
      <alignment horizontal="center" vertical="center"/>
    </xf>
    <xf numFmtId="0" fontId="15" fillId="11" borderId="1" applyAlignment="1" pivotButton="0" quotePrefix="0" xfId="0">
      <alignment horizontal="left" vertical="top" wrapText="1"/>
    </xf>
    <xf numFmtId="0" fontId="13" fillId="0" borderId="1" applyAlignment="1" pivotButton="0" quotePrefix="0" xfId="0">
      <alignment horizontal="left" vertical="center"/>
    </xf>
    <xf numFmtId="0" fontId="13" fillId="13" borderId="1" applyAlignment="1" pivotButton="0" quotePrefix="0" xfId="0">
      <alignment horizontal="center" vertical="center"/>
    </xf>
    <xf numFmtId="0" fontId="15" fillId="0" borderId="0" applyAlignment="1" pivotButton="0" quotePrefix="0" xfId="0">
      <alignment horizontal="left" vertical="center"/>
    </xf>
    <xf numFmtId="0" fontId="16" fillId="0" borderId="1" applyAlignment="1" pivotButton="0" quotePrefix="0" xfId="0">
      <alignment horizontal="center" vertical="center"/>
    </xf>
    <xf numFmtId="0" fontId="17" fillId="14"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6">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ont>
        <name val="Calibri"/>
        <sz val="10"/>
      </font>
      <fill>
        <patternFill patternType="solid">
          <fgColor rgb="00FFEB9C"/>
          <bgColor rgb="00FFEB9C"/>
        </patternFill>
      </fill>
    </dxf>
    <dxf>
      <font>
        <name val="Calibri"/>
        <b val="1"/>
        <color rgb="00FFFFFF"/>
        <sz val="10"/>
      </font>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ISMS-IMP-A.8.20-22.S5  -  Network Security Controls Coverage Matrix
ISO/IEC 27001:2022 - Control A.8.20-22: Network Security</t>
        </is>
      </c>
    </row>
    <row r="3">
      <c r="A3" s="2" t="inlineStr">
        <is>
          <t>Document Information</t>
        </is>
      </c>
    </row>
    <row r="4">
      <c r="A4" s="3" t="inlineStr">
        <is>
          <t>Document ID</t>
        </is>
      </c>
      <c r="B4" t="inlineStr">
        <is>
          <t>ISMS-IMP-A.8.20-22.S5</t>
        </is>
      </c>
    </row>
    <row r="5">
      <c r="A5" s="3" t="inlineStr">
        <is>
          <t>Workbook Title</t>
        </is>
      </c>
      <c r="B5" t="inlineStr">
        <is>
          <t>Network Security Controls Coverage Matrix</t>
        </is>
      </c>
    </row>
    <row r="6">
      <c r="A6" s="3" t="inlineStr">
        <is>
          <t>Control Reference</t>
        </is>
      </c>
      <c r="B6" t="inlineStr">
        <is>
          <t>ISO/IEC 27001:2022 - Control A.8.20-22: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Controls Coverage Matrix to understand the full scope of the assessment.</t>
        </is>
      </c>
    </row>
    <row r="14">
      <c r="A14" t="inlineStr">
        <is>
          <t>2. Map network device controls to security zones using data from WB1 and WB2.</t>
        </is>
      </c>
    </row>
    <row r="15">
      <c r="A15" t="inlineStr">
        <is>
          <t>3. Map network service controls to security zones using data from WB3.</t>
        </is>
      </c>
    </row>
    <row r="16">
      <c r="A16" t="inlineStr">
        <is>
          <t>4. Assess control effectiveness for each security zone.</t>
        </is>
      </c>
    </row>
    <row r="17">
      <c r="A17" t="inlineStr">
        <is>
          <t>5. Validate defense-in-depth across all critical zones.</t>
        </is>
      </c>
    </row>
    <row r="18">
      <c r="A18" t="inlineStr">
        <is>
          <t>6. Identify coverage gaps and single points of failure.</t>
        </is>
      </c>
    </row>
    <row r="19">
      <c r="A19" t="inlineStr">
        <is>
          <t>7. Verify integration with logging (A.8.15) and monitoring (A.8.16).</t>
        </is>
      </c>
    </row>
    <row r="20">
      <c r="A20" t="inlineStr">
        <is>
          <t>8. Document all evidence in the Evidence Register tab.</t>
        </is>
      </c>
    </row>
    <row r="21">
      <c r="A21" t="inlineStr">
        <is>
          <t>9. Obtain required approvals in the Approval Sign-Off tab.</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2" customWidth="1" min="28" max="28"/>
  </cols>
  <sheetData>
    <row r="1" ht="35" customHeight="1">
      <c r="A1" s="11" t="inlineStr">
        <is>
          <t>SECURITY CONTROLS COVERAGE MATRIX - GENERATED 10.03.2026</t>
        </is>
      </c>
    </row>
    <row r="2">
      <c r="A2" s="12" t="inlineStr">
        <is>
          <t>Matrix: Rows = Security Zones | Columns = Security Controls | Cell = Coverage Status (Covered/Not Covered/Partial)</t>
        </is>
      </c>
    </row>
    <row r="3">
      <c r="A3" s="13" t="inlineStr">
        <is>
          <t>Zone ID</t>
        </is>
      </c>
      <c r="B3" s="13" t="inlineStr">
        <is>
          <t>Zone Name</t>
        </is>
      </c>
      <c r="C3" s="13" t="inlineStr">
        <is>
          <t>Perimeter Firewall</t>
        </is>
      </c>
      <c r="D3" s="13" t="inlineStr">
        <is>
          <t>Network Device Hardening</t>
        </is>
      </c>
      <c r="E3" s="13" t="inlineStr">
        <is>
          <t>Network Monitoring</t>
        </is>
      </c>
      <c r="F3" s="13" t="inlineStr">
        <is>
          <t>Network Logging</t>
        </is>
      </c>
      <c r="G3" s="13" t="inlineStr">
        <is>
          <t>Wireless Security</t>
        </is>
      </c>
      <c r="H3" s="13" t="inlineStr">
        <is>
          <t>Remote Access VPN</t>
        </is>
      </c>
      <c r="I3" s="13" t="inlineStr">
        <is>
          <t>Network Access Control (NAC)</t>
        </is>
      </c>
      <c r="J3" s="13" t="inlineStr">
        <is>
          <t>DNS Security (DNSSEC)</t>
        </is>
      </c>
      <c r="K3" s="13" t="inlineStr">
        <is>
          <t>DHCP Security</t>
        </is>
      </c>
      <c r="L3" s="13" t="inlineStr">
        <is>
          <t>NTP Security</t>
        </is>
      </c>
      <c r="M3" s="13" t="inlineStr">
        <is>
          <t>Proxy/Web Filtering</t>
        </is>
      </c>
      <c r="N3" s="13" t="inlineStr">
        <is>
          <t>Load Balancer Security</t>
        </is>
      </c>
      <c r="O3" s="13" t="inlineStr">
        <is>
          <t>AAA Services (RADIUS/TACACS+)</t>
        </is>
      </c>
      <c r="P3" s="13" t="inlineStr">
        <is>
          <t>SNMP Security</t>
        </is>
      </c>
      <c r="Q3" s="13" t="inlineStr">
        <is>
          <t>Syslog Security</t>
        </is>
      </c>
      <c r="R3" s="13" t="inlineStr">
        <is>
          <t>Zone Segmentation</t>
        </is>
      </c>
      <c r="S3" s="13" t="inlineStr">
        <is>
          <t>VLAN Segmentation</t>
        </is>
      </c>
      <c r="T3" s="13" t="inlineStr">
        <is>
          <t>Firewall Inter-Zone Rules</t>
        </is>
      </c>
      <c r="U3" s="13" t="inlineStr">
        <is>
          <t>ACL Enforcement</t>
        </is>
      </c>
      <c r="V3" s="13" t="inlineStr">
        <is>
          <t>Segmentation Testing</t>
        </is>
      </c>
      <c r="W3" s="13" t="inlineStr">
        <is>
          <t>Microsegmentation</t>
        </is>
      </c>
      <c r="X3" s="13" t="n"/>
      <c r="Y3" s="13" t="n"/>
      <c r="Z3" s="13" t="n"/>
      <c r="AA3" s="13" t="n"/>
      <c r="AB3" s="13" t="inlineStr">
        <is>
          <t>Coverage %</t>
        </is>
      </c>
    </row>
    <row r="4">
      <c r="A4" s="14" t="inlineStr">
        <is>
          <t>ZONE-001</t>
        </is>
      </c>
      <c r="B4" s="14" t="inlineStr">
        <is>
          <t>Internet DMZ</t>
        </is>
      </c>
      <c r="C4" s="14" t="inlineStr">
        <is>
          <t>Covered</t>
        </is>
      </c>
      <c r="D4" s="14" t="inlineStr">
        <is>
          <t>Covered</t>
        </is>
      </c>
      <c r="E4" s="14" t="inlineStr">
        <is>
          <t>Covered</t>
        </is>
      </c>
      <c r="F4" s="14" t="inlineStr">
        <is>
          <t>Covered</t>
        </is>
      </c>
      <c r="G4" s="14" t="inlineStr">
        <is>
          <t>Covered</t>
        </is>
      </c>
      <c r="H4" s="14" t="inlineStr">
        <is>
          <t>Covered</t>
        </is>
      </c>
      <c r="I4" s="14" t="inlineStr">
        <is>
          <t>Covered</t>
        </is>
      </c>
      <c r="J4" s="14" t="inlineStr">
        <is>
          <t>Covered</t>
        </is>
      </c>
      <c r="K4" s="14" t="inlineStr">
        <is>
          <t>Covered</t>
        </is>
      </c>
      <c r="L4" s="14" t="inlineStr">
        <is>
          <t>Covered</t>
        </is>
      </c>
      <c r="M4" s="14" t="inlineStr">
        <is>
          <t>Covered</t>
        </is>
      </c>
      <c r="N4" s="14" t="inlineStr">
        <is>
          <t>Covered</t>
        </is>
      </c>
      <c r="O4" s="14" t="inlineStr">
        <is>
          <t>Covered</t>
        </is>
      </c>
      <c r="P4" s="14" t="inlineStr">
        <is>
          <t>Covered</t>
        </is>
      </c>
      <c r="Q4" s="14" t="inlineStr">
        <is>
          <t>Covered</t>
        </is>
      </c>
      <c r="R4" s="14" t="inlineStr">
        <is>
          <t>Covered</t>
        </is>
      </c>
      <c r="S4" s="14" t="inlineStr">
        <is>
          <t>Covered</t>
        </is>
      </c>
      <c r="T4" s="14" t="inlineStr">
        <is>
          <t>Covered</t>
        </is>
      </c>
      <c r="U4" s="14" t="inlineStr">
        <is>
          <t>Covered</t>
        </is>
      </c>
      <c r="V4" s="14" t="inlineStr">
        <is>
          <t>Covered</t>
        </is>
      </c>
      <c r="W4" s="14" t="inlineStr">
        <is>
          <t>Covered</t>
        </is>
      </c>
      <c r="X4" s="14" t="inlineStr">
        <is>
          <t>Covered</t>
        </is>
      </c>
      <c r="Y4" s="14" t="inlineStr">
        <is>
          <t>Covered</t>
        </is>
      </c>
      <c r="Z4" s="14" t="inlineStr">
        <is>
          <t>Covered</t>
        </is>
      </c>
      <c r="AA4" s="14" t="inlineStr">
        <is>
          <t>Covered</t>
        </is>
      </c>
      <c r="AB4" s="15">
        <f>IF(COUNTA(C4:AA4)=0,"",COUNTIF(C4:AA4,"Covered")/COUNTA(C4:AA4)*100)</f>
        <v/>
      </c>
    </row>
    <row r="5">
      <c r="A5" s="16" t="n"/>
      <c r="B5" s="16" t="n"/>
      <c r="C5" s="16" t="n"/>
      <c r="D5" s="16" t="n"/>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c r="AA5" s="16" t="n"/>
      <c r="AB5" s="15">
        <f>IF(COUNTA(C5:AA5)=0,"",COUNTIF(C5:AA5,"Covered")/COUNTA(C5:AA5)*100)</f>
        <v/>
      </c>
    </row>
    <row r="6">
      <c r="A6" s="16" t="n"/>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c r="AA6" s="16" t="n"/>
      <c r="AB6" s="15">
        <f>IF(COUNTA(C6:AA6)=0,"",COUNTIF(C6:AA6,"Covered")/COUNTA(C6:AA6)*100)</f>
        <v/>
      </c>
    </row>
    <row r="7">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5">
        <f>IF(COUNTA(C7:AA7)=0,"",COUNTIF(C7:AA7,"Covered")/COUNTA(C7:AA7)*100)</f>
        <v/>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5">
        <f>IF(COUNTA(C8:AA8)=0,"",COUNTIF(C8:AA8,"Covered")/COUNTA(C8:AA8)*100)</f>
        <v/>
      </c>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5">
        <f>IF(COUNTA(C9:AA9)=0,"",COUNTIF(C9:AA9,"Covered")/COUNTA(C9:AA9)*100)</f>
        <v/>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5">
        <f>IF(COUNTA(C10:AA10)=0,"",COUNTIF(C10:AA10,"Covered")/COUNTA(C10:AA10)*100)</f>
        <v/>
      </c>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c r="AA11" s="16" t="n"/>
      <c r="AB11" s="15">
        <f>IF(COUNTA(C11:AA11)=0,"",COUNTIF(C11:AA11,"Covered")/COUNTA(C11:AA11)*100)</f>
        <v/>
      </c>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c r="AA12" s="16" t="n"/>
      <c r="AB12" s="15">
        <f>IF(COUNTA(C12:AA12)=0,"",COUNTIF(C12:AA12,"Covered")/COUNTA(C12:AA12)*100)</f>
        <v/>
      </c>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5">
        <f>IF(COUNTA(C13:AA13)=0,"",COUNTIF(C13:AA13,"Covered")/COUNTA(C13:AA13)*100)</f>
        <v/>
      </c>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5">
        <f>IF(COUNTA(C14:AA14)=0,"",COUNTIF(C14:AA14,"Covered")/COUNTA(C14:AA14)*100)</f>
        <v/>
      </c>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c r="AA15" s="16" t="n"/>
      <c r="AB15" s="15">
        <f>IF(COUNTA(C15:AA15)=0,"",COUNTIF(C15:AA15,"Covered")/COUNTA(C15:AA15)*100)</f>
        <v/>
      </c>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c r="AA16" s="16" t="n"/>
      <c r="AB16" s="15">
        <f>IF(COUNTA(C16:AA16)=0,"",COUNTIF(C16:AA16,"Covered")/COUNTA(C16:AA16)*100)</f>
        <v/>
      </c>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c r="AB17" s="15">
        <f>IF(COUNTA(C17:AA17)=0,"",COUNTIF(C17:AA17,"Covered")/COUNTA(C17:AA17)*100)</f>
        <v/>
      </c>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5">
        <f>IF(COUNTA(C18:AA18)=0,"",COUNTIF(C18:AA18,"Covered")/COUNTA(C18:AA18)*100)</f>
        <v/>
      </c>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5">
        <f>IF(COUNTA(C19:AA19)=0,"",COUNTIF(C19:AA19,"Covered")/COUNTA(C19:AA19)*100)</f>
        <v/>
      </c>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5">
        <f>IF(COUNTA(C20:AA20)=0,"",COUNTIF(C20:AA20,"Covered")/COUNTA(C20:AA20)*100)</f>
        <v/>
      </c>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5">
        <f>IF(COUNTA(C21:AA21)=0,"",COUNTIF(C21:AA21,"Covered")/COUNTA(C21:AA21)*100)</f>
        <v/>
      </c>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5">
        <f>IF(COUNTA(C22:AA22)=0,"",COUNTIF(C22:AA22,"Covered")/COUNTA(C22:AA22)*100)</f>
        <v/>
      </c>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5">
        <f>IF(COUNTA(C23:AA23)=0,"",COUNTIF(C23:AA23,"Covered")/COUNTA(C23:AA23)*100)</f>
        <v/>
      </c>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5">
        <f>IF(COUNTA(C24:AA24)=0,"",COUNTIF(C24:AA24,"Covered")/COUNTA(C24:AA24)*100)</f>
        <v/>
      </c>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c r="AB25" s="15">
        <f>IF(COUNTA(C25:AA25)=0,"",COUNTIF(C25:AA25,"Covered")/COUNTA(C25:AA25)*100)</f>
        <v/>
      </c>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5">
        <f>IF(COUNTA(C26:AA26)=0,"",COUNTIF(C26:AA26,"Covered")/COUNTA(C26:AA26)*100)</f>
        <v/>
      </c>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5">
        <f>IF(COUNTA(C27:AA27)=0,"",COUNTIF(C27:AA27,"Covered")/COUNTA(C27:AA27)*100)</f>
        <v/>
      </c>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c r="AB28" s="15">
        <f>IF(COUNTA(C28:AA28)=0,"",COUNTIF(C28:AA28,"Covered")/COUNTA(C28:AA28)*100)</f>
        <v/>
      </c>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5">
        <f>IF(COUNTA(C29:AA29)=0,"",COUNTIF(C29:AA29,"Covered")/COUNTA(C29:AA29)*100)</f>
        <v/>
      </c>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5">
        <f>IF(COUNTA(C30:AA30)=0,"",COUNTIF(C30:AA30,"Covered")/COUNTA(C30:AA30)*100)</f>
        <v/>
      </c>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5">
        <f>IF(COUNTA(C31:AA31)=0,"",COUNTIF(C31:AA31,"Covered")/COUNTA(C31:AA31)*100)</f>
        <v/>
      </c>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5">
        <f>IF(COUNTA(C32:AA32)=0,"",COUNTIF(C32:AA32,"Covered")/COUNTA(C32:AA32)*100)</f>
        <v/>
      </c>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5">
        <f>IF(COUNTA(C33:AA33)=0,"",COUNTIF(C33:AA33,"Covered")/COUNTA(C33:AA33)*100)</f>
        <v/>
      </c>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5">
        <f>IF(COUNTA(C34:AA34)=0,"",COUNTIF(C34:AA34,"Covered")/COUNTA(C34:AA34)*100)</f>
        <v/>
      </c>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5">
        <f>IF(COUNTA(C35:AA35)=0,"",COUNTIF(C35:AA35,"Covered")/COUNTA(C35:AA35)*100)</f>
        <v/>
      </c>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5">
        <f>IF(COUNTA(C36:AA36)=0,"",COUNTIF(C36:AA36,"Covered")/COUNTA(C36:AA36)*100)</f>
        <v/>
      </c>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5">
        <f>IF(COUNTA(C37:AA37)=0,"",COUNTIF(C37:AA37,"Covered")/COUNTA(C37:AA37)*100)</f>
        <v/>
      </c>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5">
        <f>IF(COUNTA(C38:AA38)=0,"",COUNTIF(C38:AA38,"Covered")/COUNTA(C38:AA38)*100)</f>
        <v/>
      </c>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5">
        <f>IF(COUNTA(C39:AA39)=0,"",COUNTIF(C39:AA39,"Covered")/COUNTA(C39:AA39)*100)</f>
        <v/>
      </c>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5">
        <f>IF(COUNTA(C40:AA40)=0,"",COUNTIF(C40:AA40,"Covered")/COUNTA(C40:AA40)*100)</f>
        <v/>
      </c>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5">
        <f>IF(COUNTA(C41:AA41)=0,"",COUNTIF(C41:AA41,"Covered")/COUNTA(C41:AA41)*100)</f>
        <v/>
      </c>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5">
        <f>IF(COUNTA(C42:AA42)=0,"",COUNTIF(C42:AA42,"Covered")/COUNTA(C42:AA42)*100)</f>
        <v/>
      </c>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5">
        <f>IF(COUNTA(C43:AA43)=0,"",COUNTIF(C43:AA43,"Covered")/COUNTA(C43:AA43)*100)</f>
        <v/>
      </c>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5">
        <f>IF(COUNTA(C44:AA44)=0,"",COUNTIF(C44:AA44,"Covered")/COUNTA(C44:AA44)*100)</f>
        <v/>
      </c>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5">
        <f>IF(COUNTA(C45:AA45)=0,"",COUNTIF(C45:AA45,"Covered")/COUNTA(C45:AA45)*100)</f>
        <v/>
      </c>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5">
        <f>IF(COUNTA(C46:AA46)=0,"",COUNTIF(C46:AA46,"Covered")/COUNTA(C46:AA46)*100)</f>
        <v/>
      </c>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5">
        <f>IF(COUNTA(C47:AA47)=0,"",COUNTIF(C47:AA47,"Covered")/COUNTA(C47:AA47)*100)</f>
        <v/>
      </c>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5">
        <f>IF(COUNTA(C48:AA48)=0,"",COUNTIF(C48:AA48,"Covered")/COUNTA(C48:AA48)*100)</f>
        <v/>
      </c>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5">
        <f>IF(COUNTA(C49:AA49)=0,"",COUNTIF(C49:AA49,"Covered")/COUNTA(C49:AA49)*100)</f>
        <v/>
      </c>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5">
        <f>IF(COUNTA(C50:AA50)=0,"",COUNTIF(C50:AA50,"Covered")/COUNTA(C50:AA50)*100)</f>
        <v/>
      </c>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5">
        <f>IF(COUNTA(C51:AA51)=0,"",COUNTIF(C51:AA51,"Covered")/COUNTA(C51:AA51)*100)</f>
        <v/>
      </c>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5">
        <f>IF(COUNTA(C52:AA52)=0,"",COUNTIF(C52:AA52,"Covered")/COUNTA(C52:AA52)*100)</f>
        <v/>
      </c>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5">
        <f>IF(COUNTA(C53:AA53)=0,"",COUNTIF(C53:AA53,"Covered")/COUNTA(C53:AA53)*100)</f>
        <v/>
      </c>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5">
        <f>IF(COUNTA(C54:AA54)=0,"",COUNTIF(C54:AA54,"Covered")/COUNTA(C54:AA54)*100)</f>
        <v/>
      </c>
    </row>
  </sheetData>
  <mergeCells count="2">
    <mergeCell ref="A1:AA1"/>
    <mergeCell ref="A2:AA2"/>
  </mergeCells>
  <conditionalFormatting sqref="C5:C54">
    <cfRule type="cellIs" priority="1" operator="equal" dxfId="0">
      <formula>"Covered"</formula>
    </cfRule>
    <cfRule type="cellIs" priority="2" operator="equal" dxfId="1">
      <formula>"Not Covered"</formula>
    </cfRule>
    <cfRule type="cellIs" priority="3" operator="equal" dxfId="2">
      <formula>"Partially Covered"</formula>
    </cfRule>
  </conditionalFormatting>
  <conditionalFormatting sqref="D5:D54">
    <cfRule type="cellIs" priority="4" operator="equal" dxfId="0">
      <formula>"Covered"</formula>
    </cfRule>
    <cfRule type="cellIs" priority="5" operator="equal" dxfId="1">
      <formula>"Not Covered"</formula>
    </cfRule>
    <cfRule type="cellIs" priority="6" operator="equal" dxfId="2">
      <formula>"Partially Covered"</formula>
    </cfRule>
  </conditionalFormatting>
  <conditionalFormatting sqref="E5:E54">
    <cfRule type="cellIs" priority="7" operator="equal" dxfId="0">
      <formula>"Covered"</formula>
    </cfRule>
    <cfRule type="cellIs" priority="8" operator="equal" dxfId="1">
      <formula>"Not Covered"</formula>
    </cfRule>
    <cfRule type="cellIs" priority="9" operator="equal" dxfId="2">
      <formula>"Partially Covered"</formula>
    </cfRule>
  </conditionalFormatting>
  <conditionalFormatting sqref="F5:F54">
    <cfRule type="cellIs" priority="10" operator="equal" dxfId="0">
      <formula>"Covered"</formula>
    </cfRule>
    <cfRule type="cellIs" priority="11" operator="equal" dxfId="1">
      <formula>"Not Covered"</formula>
    </cfRule>
    <cfRule type="cellIs" priority="12" operator="equal" dxfId="2">
      <formula>"Partially Covered"</formula>
    </cfRule>
  </conditionalFormatting>
  <conditionalFormatting sqref="G5:G54">
    <cfRule type="cellIs" priority="13" operator="equal" dxfId="0">
      <formula>"Covered"</formula>
    </cfRule>
    <cfRule type="cellIs" priority="14" operator="equal" dxfId="1">
      <formula>"Not Covered"</formula>
    </cfRule>
    <cfRule type="cellIs" priority="15" operator="equal" dxfId="2">
      <formula>"Partially Covered"</formula>
    </cfRule>
  </conditionalFormatting>
  <conditionalFormatting sqref="H5:H54">
    <cfRule type="cellIs" priority="16" operator="equal" dxfId="0">
      <formula>"Covered"</formula>
    </cfRule>
    <cfRule type="cellIs" priority="17" operator="equal" dxfId="1">
      <formula>"Not Covered"</formula>
    </cfRule>
    <cfRule type="cellIs" priority="18" operator="equal" dxfId="2">
      <formula>"Partially Covered"</formula>
    </cfRule>
  </conditionalFormatting>
  <conditionalFormatting sqref="I5:I54">
    <cfRule type="cellIs" priority="19" operator="equal" dxfId="0">
      <formula>"Covered"</formula>
    </cfRule>
    <cfRule type="cellIs" priority="20" operator="equal" dxfId="1">
      <formula>"Not Covered"</formula>
    </cfRule>
    <cfRule type="cellIs" priority="21" operator="equal" dxfId="2">
      <formula>"Partially Covered"</formula>
    </cfRule>
  </conditionalFormatting>
  <conditionalFormatting sqref="J5:J54">
    <cfRule type="cellIs" priority="22" operator="equal" dxfId="0">
      <formula>"Covered"</formula>
    </cfRule>
    <cfRule type="cellIs" priority="23" operator="equal" dxfId="1">
      <formula>"Not Covered"</formula>
    </cfRule>
    <cfRule type="cellIs" priority="24" operator="equal" dxfId="2">
      <formula>"Partially Covered"</formula>
    </cfRule>
  </conditionalFormatting>
  <conditionalFormatting sqref="K5:K54">
    <cfRule type="cellIs" priority="25" operator="equal" dxfId="0">
      <formula>"Covered"</formula>
    </cfRule>
    <cfRule type="cellIs" priority="26" operator="equal" dxfId="1">
      <formula>"Not Covered"</formula>
    </cfRule>
    <cfRule type="cellIs" priority="27" operator="equal" dxfId="2">
      <formula>"Partially Covered"</formula>
    </cfRule>
  </conditionalFormatting>
  <conditionalFormatting sqref="L5:L54">
    <cfRule type="cellIs" priority="28" operator="equal" dxfId="0">
      <formula>"Covered"</formula>
    </cfRule>
    <cfRule type="cellIs" priority="29" operator="equal" dxfId="1">
      <formula>"Not Covered"</formula>
    </cfRule>
    <cfRule type="cellIs" priority="30" operator="equal" dxfId="2">
      <formula>"Partially Covered"</formula>
    </cfRule>
  </conditionalFormatting>
  <conditionalFormatting sqref="M5:M54">
    <cfRule type="cellIs" priority="31" operator="equal" dxfId="0">
      <formula>"Covered"</formula>
    </cfRule>
    <cfRule type="cellIs" priority="32" operator="equal" dxfId="1">
      <formula>"Not Covered"</formula>
    </cfRule>
    <cfRule type="cellIs" priority="33" operator="equal" dxfId="2">
      <formula>"Partially Covered"</formula>
    </cfRule>
  </conditionalFormatting>
  <conditionalFormatting sqref="N5:N54">
    <cfRule type="cellIs" priority="34" operator="equal" dxfId="0">
      <formula>"Covered"</formula>
    </cfRule>
    <cfRule type="cellIs" priority="35" operator="equal" dxfId="1">
      <formula>"Not Covered"</formula>
    </cfRule>
    <cfRule type="cellIs" priority="36" operator="equal" dxfId="2">
      <formula>"Partially Covered"</formula>
    </cfRule>
  </conditionalFormatting>
  <conditionalFormatting sqref="O5:O54">
    <cfRule type="cellIs" priority="37" operator="equal" dxfId="0">
      <formula>"Covered"</formula>
    </cfRule>
    <cfRule type="cellIs" priority="38" operator="equal" dxfId="1">
      <formula>"Not Covered"</formula>
    </cfRule>
    <cfRule type="cellIs" priority="39" operator="equal" dxfId="2">
      <formula>"Partially Covered"</formula>
    </cfRule>
  </conditionalFormatting>
  <conditionalFormatting sqref="P5:P54">
    <cfRule type="cellIs" priority="40" operator="equal" dxfId="0">
      <formula>"Covered"</formula>
    </cfRule>
    <cfRule type="cellIs" priority="41" operator="equal" dxfId="1">
      <formula>"Not Covered"</formula>
    </cfRule>
    <cfRule type="cellIs" priority="42" operator="equal" dxfId="2">
      <formula>"Partially Covered"</formula>
    </cfRule>
  </conditionalFormatting>
  <conditionalFormatting sqref="Q5:Q54">
    <cfRule type="cellIs" priority="43" operator="equal" dxfId="0">
      <formula>"Covered"</formula>
    </cfRule>
    <cfRule type="cellIs" priority="44" operator="equal" dxfId="1">
      <formula>"Not Covered"</formula>
    </cfRule>
    <cfRule type="cellIs" priority="45" operator="equal" dxfId="2">
      <formula>"Partially Covered"</formula>
    </cfRule>
  </conditionalFormatting>
  <conditionalFormatting sqref="R5:R54">
    <cfRule type="cellIs" priority="46" operator="equal" dxfId="0">
      <formula>"Covered"</formula>
    </cfRule>
    <cfRule type="cellIs" priority="47" operator="equal" dxfId="1">
      <formula>"Not Covered"</formula>
    </cfRule>
    <cfRule type="cellIs" priority="48" operator="equal" dxfId="2">
      <formula>"Partially Covered"</formula>
    </cfRule>
  </conditionalFormatting>
  <conditionalFormatting sqref="S5:S54">
    <cfRule type="cellIs" priority="49" operator="equal" dxfId="0">
      <formula>"Covered"</formula>
    </cfRule>
    <cfRule type="cellIs" priority="50" operator="equal" dxfId="1">
      <formula>"Not Covered"</formula>
    </cfRule>
    <cfRule type="cellIs" priority="51" operator="equal" dxfId="2">
      <formula>"Partially Covered"</formula>
    </cfRule>
  </conditionalFormatting>
  <conditionalFormatting sqref="T5:T54">
    <cfRule type="cellIs" priority="52" operator="equal" dxfId="0">
      <formula>"Covered"</formula>
    </cfRule>
    <cfRule type="cellIs" priority="53" operator="equal" dxfId="1">
      <formula>"Not Covered"</formula>
    </cfRule>
    <cfRule type="cellIs" priority="54" operator="equal" dxfId="2">
      <formula>"Partially Covered"</formula>
    </cfRule>
  </conditionalFormatting>
  <conditionalFormatting sqref="U5:U54">
    <cfRule type="cellIs" priority="55" operator="equal" dxfId="0">
      <formula>"Covered"</formula>
    </cfRule>
    <cfRule type="cellIs" priority="56" operator="equal" dxfId="1">
      <formula>"Not Covered"</formula>
    </cfRule>
    <cfRule type="cellIs" priority="57" operator="equal" dxfId="2">
      <formula>"Partially Covered"</formula>
    </cfRule>
  </conditionalFormatting>
  <conditionalFormatting sqref="V5:V54">
    <cfRule type="cellIs" priority="58" operator="equal" dxfId="0">
      <formula>"Covered"</formula>
    </cfRule>
    <cfRule type="cellIs" priority="59" operator="equal" dxfId="1">
      <formula>"Not Covered"</formula>
    </cfRule>
    <cfRule type="cellIs" priority="60" operator="equal" dxfId="2">
      <formula>"Partially Covered"</formula>
    </cfRule>
  </conditionalFormatting>
  <conditionalFormatting sqref="W5:W54">
    <cfRule type="cellIs" priority="61" operator="equal" dxfId="0">
      <formula>"Covered"</formula>
    </cfRule>
    <cfRule type="cellIs" priority="62" operator="equal" dxfId="1">
      <formula>"Not Covered"</formula>
    </cfRule>
    <cfRule type="cellIs" priority="63" operator="equal" dxfId="2">
      <formula>"Partially Covered"</formula>
    </cfRule>
  </conditionalFormatting>
  <conditionalFormatting sqref="X5:X54">
    <cfRule type="cellIs" priority="64" operator="equal" dxfId="0">
      <formula>"Covered"</formula>
    </cfRule>
    <cfRule type="cellIs" priority="65" operator="equal" dxfId="1">
      <formula>"Not Covered"</formula>
    </cfRule>
    <cfRule type="cellIs" priority="66" operator="equal" dxfId="2">
      <formula>"Partially Covered"</formula>
    </cfRule>
  </conditionalFormatting>
  <conditionalFormatting sqref="Y5:Y54">
    <cfRule type="cellIs" priority="67" operator="equal" dxfId="0">
      <formula>"Covered"</formula>
    </cfRule>
    <cfRule type="cellIs" priority="68" operator="equal" dxfId="1">
      <formula>"Not Covered"</formula>
    </cfRule>
    <cfRule type="cellIs" priority="69" operator="equal" dxfId="2">
      <formula>"Partially Covered"</formula>
    </cfRule>
  </conditionalFormatting>
  <conditionalFormatting sqref="Z5:Z54">
    <cfRule type="cellIs" priority="70" operator="equal" dxfId="0">
      <formula>"Covered"</formula>
    </cfRule>
    <cfRule type="cellIs" priority="71" operator="equal" dxfId="1">
      <formula>"Not Covered"</formula>
    </cfRule>
    <cfRule type="cellIs" priority="72" operator="equal" dxfId="2">
      <formula>"Partially Covered"</formula>
    </cfRule>
  </conditionalFormatting>
  <conditionalFormatting sqref="AA5:AA54">
    <cfRule type="cellIs" priority="73" operator="equal" dxfId="0">
      <formula>"Covered"</formula>
    </cfRule>
    <cfRule type="cellIs" priority="74" operator="equal" dxfId="1">
      <formula>"Not Covered"</formula>
    </cfRule>
    <cfRule type="cellIs" priority="75" operator="equal" dxfId="2">
      <formula>"Partially Covered"</formula>
    </cfRule>
  </conditionalFormatting>
  <dataValidations count="1">
    <dataValidation sqref="C5:C54 D5:D54 E5:E54 F5:F54 G5:G54 H5:H54 I5:I54 J5:J54 K5:K54 L5:L54 M5:M54 N5:N54 O5:O54 P5:P54 Q5:Q54 R5:R54 S5:S54 T5:T54 U5:U54 V5:V54 W5:W54 X5:X54 Y5:Y54 Z5:Z54 AA5:AA54" showDropDown="0" showInputMessage="0" showErrorMessage="0" allowBlank="0" type="list">
      <formula1>"Covered,Not Covered,Partially Covered,N/A"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0"/>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12" customWidth="1" min="3" max="3"/>
    <col width="15" customWidth="1" min="4" max="4"/>
    <col width="15" customWidth="1" min="5" max="5"/>
    <col width="15" customWidth="1" min="6" max="6"/>
    <col width="18" customWidth="1" min="7" max="7"/>
    <col width="12" customWidth="1" min="8" max="8"/>
    <col width="12" customWidth="1" min="9" max="9"/>
    <col width="15" customWidth="1" min="10" max="10"/>
    <col width="40" customWidth="1" min="11" max="11"/>
  </cols>
  <sheetData>
    <row r="1" ht="35" customHeight="1">
      <c r="A1" s="11" t="inlineStr">
        <is>
          <t>ZONE CONTROL ASSESSMENT - EFFECTIVENESS BY ZONE</t>
        </is>
      </c>
    </row>
    <row r="2">
      <c r="A2" s="12" t="inlineStr">
        <is>
          <t>Assess overall control effectiveness for each security zone.</t>
        </is>
      </c>
    </row>
    <row r="3">
      <c r="A3" s="13" t="inlineStr">
        <is>
          <t>Zone ID</t>
        </is>
      </c>
      <c r="B3" s="13" t="inlineStr">
        <is>
          <t>Zone Name</t>
        </is>
      </c>
      <c r="C3" s="13" t="inlineStr">
        <is>
          <t>Risk Level</t>
        </is>
      </c>
      <c r="D3" s="13" t="inlineStr">
        <is>
          <t>Controls Required</t>
        </is>
      </c>
      <c r="E3" s="13" t="inlineStr">
        <is>
          <t>Controls Implemented</t>
        </is>
      </c>
      <c r="F3" s="13" t="inlineStr">
        <is>
          <t>Control Coverage %</t>
        </is>
      </c>
      <c r="G3" s="13" t="inlineStr">
        <is>
          <t>Effectiveness Rating</t>
        </is>
      </c>
      <c r="H3" s="13" t="inlineStr">
        <is>
          <t>Gaps Identified</t>
        </is>
      </c>
      <c r="I3" s="13" t="inlineStr">
        <is>
          <t>Last Assessment</t>
        </is>
      </c>
      <c r="J3" s="13" t="inlineStr">
        <is>
          <t>Assessed By</t>
        </is>
      </c>
      <c r="K3" s="13" t="inlineStr">
        <is>
          <t>Notes</t>
        </is>
      </c>
    </row>
    <row r="4">
      <c r="A4" s="14" t="inlineStr">
        <is>
          <t>ZONE-001</t>
        </is>
      </c>
      <c r="B4" s="14" t="inlineStr">
        <is>
          <t>Internet DMZ</t>
        </is>
      </c>
      <c r="C4" s="14" t="inlineStr">
        <is>
          <t>High</t>
        </is>
      </c>
      <c r="D4" s="14" t="n">
        <v>12</v>
      </c>
      <c r="E4" s="14" t="n">
        <v>10</v>
      </c>
      <c r="F4" s="14" t="inlineStr">
        <is>
          <t>83%</t>
        </is>
      </c>
      <c r="G4" s="14" t="inlineStr">
        <is>
          <t>Partially Effective</t>
        </is>
      </c>
      <c r="H4" s="14" t="n">
        <v>2</v>
      </c>
      <c r="I4" s="14" t="inlineStr">
        <is>
          <t>15.01.2026</t>
        </is>
      </c>
      <c r="J4" s="14" t="inlineStr">
        <is>
          <t>Network Security Team</t>
        </is>
      </c>
      <c r="K4" s="14" t="inlineStr"/>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6">
      <c r="A56" s="17" t="inlineStr">
        <is>
          <t>Control Effectiveness Assessment Guidelines</t>
        </is>
      </c>
      <c r="B56" s="6" t="n"/>
      <c r="C56" s="6" t="n"/>
      <c r="D56" s="6" t="n"/>
      <c r="E56" s="6" t="n"/>
      <c r="F56" s="6" t="n"/>
      <c r="G56" s="6" t="n"/>
      <c r="H56" s="6" t="n"/>
      <c r="I56" s="6" t="n"/>
      <c r="J56" s="6" t="n"/>
      <c r="K56" s="6" t="n"/>
    </row>
    <row r="57">
      <c r="A57" s="12" t="inlineStr">
        <is>
          <t>Effective: All required controls implemented, tested, and functioning correctly</t>
        </is>
      </c>
    </row>
    <row r="58">
      <c r="A58" s="12" t="inlineStr">
        <is>
          <t>Partially Effective: Most controls implemented, some gaps or testing incomplete</t>
        </is>
      </c>
    </row>
    <row r="59">
      <c r="A59" s="12" t="inlineStr">
        <is>
          <t>Ineffective: Significant control gaps, controls not functioning, or not tested</t>
        </is>
      </c>
    </row>
    <row r="60">
      <c r="A60" s="12" t="inlineStr">
        <is>
          <t>Not Assessed: Zone has not yet been assessed for control effectiveness</t>
        </is>
      </c>
    </row>
  </sheetData>
  <mergeCells count="7">
    <mergeCell ref="A58:K58"/>
    <mergeCell ref="A59:K59"/>
    <mergeCell ref="A57:K57"/>
    <mergeCell ref="A2:K2"/>
    <mergeCell ref="A60:K60"/>
    <mergeCell ref="A1:K1"/>
    <mergeCell ref="A56:K56"/>
  </mergeCells>
  <conditionalFormatting sqref="G5:G54">
    <cfRule type="cellIs" priority="1" operator="equal" dxfId="0">
      <formula>"Effective"</formula>
    </cfRule>
    <cfRule type="cellIs" priority="2" operator="equal" dxfId="1">
      <formula>"Ineffective"</formula>
    </cfRule>
    <cfRule type="cellIs" priority="3" operator="equal" dxfId="2">
      <formula>"Partially Effective"</formula>
    </cfRule>
  </conditionalFormatting>
  <dataValidations count="1">
    <dataValidation sqref="F4:F24 G5:G54" showDropDown="0" showInputMessage="0" showErrorMessage="0" allowBlank="0" type="list">
      <formula1>"Effective,Partially Effective,Ineffective,Not Assessed"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5"/>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20" customWidth="1" min="3" max="3"/>
    <col width="18" customWidth="1" min="4" max="4"/>
    <col width="40" customWidth="1" min="5" max="5"/>
    <col width="18" customWidth="1" min="6" max="6"/>
    <col width="12" customWidth="1" min="7" max="7"/>
    <col width="15" customWidth="1" min="8" max="8"/>
    <col width="12" customWidth="1" min="9" max="9"/>
    <col width="40" customWidth="1" min="10" max="10"/>
  </cols>
  <sheetData>
    <row r="1" ht="35" customHeight="1">
      <c r="A1" s="11" t="inlineStr">
        <is>
          <t>DEVICE-TO-CONTROL MAPPING (FROM WB1 + WB2)</t>
        </is>
      </c>
    </row>
    <row r="2">
      <c r="A2" s="12" t="inlineStr">
        <is>
          <t>Map which network devices implement which security controls. Data from WB1 (Inventory) + WB2 (Hardening).</t>
        </is>
      </c>
    </row>
    <row r="3">
      <c r="A3" s="13" t="inlineStr">
        <is>
          <t>Device ID</t>
        </is>
      </c>
      <c r="B3" s="13" t="inlineStr">
        <is>
          <t>Device Type</t>
        </is>
      </c>
      <c r="C3" s="13" t="inlineStr">
        <is>
          <t>Hostname</t>
        </is>
      </c>
      <c r="D3" s="13" t="inlineStr">
        <is>
          <t>Security Zone</t>
        </is>
      </c>
      <c r="E3" s="13" t="inlineStr">
        <is>
          <t>Controls Provided</t>
        </is>
      </c>
      <c r="F3" s="13" t="inlineStr">
        <is>
          <t>Control Category</t>
        </is>
      </c>
      <c r="G3" s="13" t="inlineStr">
        <is>
          <t>Hardening Score</t>
        </is>
      </c>
      <c r="H3" s="13" t="inlineStr">
        <is>
          <t>Effectiveness</t>
        </is>
      </c>
      <c r="I3" s="13" t="inlineStr">
        <is>
          <t>Last Assessed</t>
        </is>
      </c>
      <c r="J3" s="13" t="inlineStr">
        <is>
          <t>Notes</t>
        </is>
      </c>
    </row>
    <row r="4">
      <c r="A4" s="14" t="inlineStr">
        <is>
          <t>DEV-001</t>
        </is>
      </c>
      <c r="B4" s="14" t="inlineStr">
        <is>
          <t>Firewall</t>
        </is>
      </c>
      <c r="C4" s="14" t="inlineStr">
        <is>
          <t>fw-01.example.com</t>
        </is>
      </c>
      <c r="D4" s="14" t="inlineStr">
        <is>
          <t>DMZ</t>
        </is>
      </c>
      <c r="E4" s="14" t="inlineStr">
        <is>
          <t>Traffic Filtering, IDS/IPS, VPN Termination</t>
        </is>
      </c>
      <c r="F4" s="14" t="inlineStr">
        <is>
          <t>A.8.20, A.8.22</t>
        </is>
      </c>
      <c r="G4" s="14" t="n">
        <v>92</v>
      </c>
      <c r="H4" s="14" t="inlineStr">
        <is>
          <t>Effective</t>
        </is>
      </c>
      <c r="I4" s="14" t="inlineStr">
        <is>
          <t>15.01.2026</t>
        </is>
      </c>
      <c r="J4" s="14" t="inlineStr"/>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6">
      <c r="A56" s="17" t="inlineStr">
        <is>
          <t>Example Device-to-Control Mappings</t>
        </is>
      </c>
      <c r="B56" s="6" t="n"/>
      <c r="C56" s="6" t="n"/>
      <c r="D56" s="6" t="n"/>
      <c r="E56" s="6" t="n"/>
      <c r="F56" s="6" t="n"/>
      <c r="G56" s="6" t="n"/>
      <c r="H56" s="6" t="n"/>
      <c r="I56" s="6" t="n"/>
      <c r="J56" s="6" t="n"/>
    </row>
    <row r="57">
      <c r="A57" s="13" t="inlineStr">
        <is>
          <t>Device Type</t>
        </is>
      </c>
      <c r="B57" s="13" t="inlineStr">
        <is>
          <t>Controls Provided</t>
        </is>
      </c>
      <c r="C57" s="13" t="inlineStr">
        <is>
          <t>Control Category</t>
        </is>
      </c>
    </row>
    <row r="58">
      <c r="A58" s="13" t="inlineStr">
        <is>
          <t>Firewall</t>
        </is>
      </c>
      <c r="B58" s="12" t="inlineStr">
        <is>
          <t>Perimeter Firewall, Inter-Zone Rules, Logging</t>
        </is>
      </c>
      <c r="C58" s="12" t="inlineStr">
        <is>
          <t>A.8.20, A.8.22</t>
        </is>
      </c>
    </row>
    <row r="59">
      <c r="A59" s="13" t="inlineStr">
        <is>
          <t>Router</t>
        </is>
      </c>
      <c r="B59" s="12" t="inlineStr">
        <is>
          <t>ACL Enforcement, Network Segmentation</t>
        </is>
      </c>
      <c r="C59" s="12" t="inlineStr">
        <is>
          <t>A.8.20, A.8.22</t>
        </is>
      </c>
    </row>
    <row r="60">
      <c r="A60" s="13" t="inlineStr">
        <is>
          <t>Switch</t>
        </is>
      </c>
      <c r="B60" s="12" t="inlineStr">
        <is>
          <t>VLAN Segmentation, Port Security, DHCP Snooping</t>
        </is>
      </c>
      <c r="C60" s="12" t="inlineStr">
        <is>
          <t>A.8.22</t>
        </is>
      </c>
    </row>
    <row r="61">
      <c r="A61" s="13" t="inlineStr">
        <is>
          <t>DNS Server</t>
        </is>
      </c>
      <c r="B61" s="12" t="inlineStr">
        <is>
          <t>DNS Security (DNSSEC), Query Logging</t>
        </is>
      </c>
      <c r="C61" s="12" t="inlineStr">
        <is>
          <t>A.8.21</t>
        </is>
      </c>
    </row>
    <row r="62">
      <c r="A62" s="13" t="inlineStr">
        <is>
          <t>DHCP Server</t>
        </is>
      </c>
      <c r="B62" s="12" t="inlineStr">
        <is>
          <t>DHCP Security, Scope Management</t>
        </is>
      </c>
      <c r="C62" s="12" t="inlineStr">
        <is>
          <t>A.8.21</t>
        </is>
      </c>
    </row>
    <row r="63">
      <c r="A63" s="13" t="inlineStr">
        <is>
          <t>Proxy</t>
        </is>
      </c>
      <c r="B63" s="12" t="inlineStr">
        <is>
          <t>Web Filtering, SSL Inspection, Malware Scanning</t>
        </is>
      </c>
      <c r="C63" s="12" t="inlineStr">
        <is>
          <t>A.8.21</t>
        </is>
      </c>
    </row>
    <row r="64">
      <c r="A64" s="13" t="inlineStr">
        <is>
          <t>Load Balancer</t>
        </is>
      </c>
      <c r="B64" s="12" t="inlineStr">
        <is>
          <t>Load Balancer Security, SSL Termination</t>
        </is>
      </c>
      <c r="C64" s="12" t="inlineStr">
        <is>
          <t>A.8.21</t>
        </is>
      </c>
    </row>
    <row r="65">
      <c r="A65" s="13" t="inlineStr">
        <is>
          <t>SIEM</t>
        </is>
      </c>
      <c r="B65" s="12" t="inlineStr">
        <is>
          <t>Network Monitoring, Logging</t>
        </is>
      </c>
      <c r="C65" s="12" t="inlineStr">
        <is>
          <t>A.8.20</t>
        </is>
      </c>
    </row>
  </sheetData>
  <mergeCells count="3">
    <mergeCell ref="A1:J1"/>
    <mergeCell ref="A56:J56"/>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5"/>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25" customWidth="1" min="3" max="3"/>
    <col width="45" customWidth="1" min="4" max="4"/>
    <col width="18" customWidth="1" min="5" max="5"/>
    <col width="12" customWidth="1" min="6" max="6"/>
    <col width="20" customWidth="1" min="7" max="7"/>
    <col width="12" customWidth="1" min="8" max="8"/>
    <col width="40" customWidth="1" min="9" max="9"/>
  </cols>
  <sheetData>
    <row r="1" ht="35" customHeight="1">
      <c r="A1" s="11" t="inlineStr">
        <is>
          <t>SERVICE-TO-CONTROL MAPPING (FROM WB3)</t>
        </is>
      </c>
    </row>
    <row r="2">
      <c r="A2" s="12" t="inlineStr">
        <is>
          <t>Map which network services implement which security controls. Data from WB3 (Services Catalog).</t>
        </is>
      </c>
    </row>
    <row r="3">
      <c r="A3" s="13" t="inlineStr">
        <is>
          <t>Service ID</t>
        </is>
      </c>
      <c r="B3" s="13" t="inlineStr">
        <is>
          <t>Service Type</t>
        </is>
      </c>
      <c r="C3" s="13" t="inlineStr">
        <is>
          <t>Service Name</t>
        </is>
      </c>
      <c r="D3" s="13" t="inlineStr">
        <is>
          <t>Controls Provided</t>
        </is>
      </c>
      <c r="E3" s="13" t="inlineStr">
        <is>
          <t>Control Category</t>
        </is>
      </c>
      <c r="F3" s="13" t="inlineStr">
        <is>
          <t>Security Score</t>
        </is>
      </c>
      <c r="G3" s="13" t="inlineStr">
        <is>
          <t>Zones Served</t>
        </is>
      </c>
      <c r="H3" s="13" t="inlineStr">
        <is>
          <t>Last Assessed</t>
        </is>
      </c>
      <c r="I3" s="13" t="inlineStr">
        <is>
          <t>Notes</t>
        </is>
      </c>
    </row>
    <row r="4">
      <c r="A4" s="18" t="inlineStr">
        <is>
          <t>SCM-001</t>
        </is>
      </c>
      <c r="B4" s="18" t="inlineStr">
        <is>
          <t>DNS</t>
        </is>
      </c>
      <c r="C4" s="18" t="inlineStr">
        <is>
          <t>Core DNS Server</t>
        </is>
      </c>
      <c r="D4" s="18" t="inlineStr">
        <is>
          <t>DNS Security, DNSSEC, Query Filtering</t>
        </is>
      </c>
      <c r="E4" s="18" t="inlineStr">
        <is>
          <t>A.8.21</t>
        </is>
      </c>
      <c r="F4" s="18" t="n">
        <v>92</v>
      </c>
      <c r="G4" s="18" t="inlineStr">
        <is>
          <t>DMZ, Management</t>
        </is>
      </c>
      <c r="H4" s="18" t="inlineStr">
        <is>
          <t>15.01.2026</t>
        </is>
      </c>
      <c r="I4" s="18" t="inlineStr"/>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6">
      <c r="A56" s="17" t="inlineStr">
        <is>
          <t>Example Service-to-Control Mappings</t>
        </is>
      </c>
      <c r="B56" s="6" t="n"/>
      <c r="C56" s="6" t="n"/>
      <c r="D56" s="6" t="n"/>
      <c r="E56" s="6" t="n"/>
      <c r="F56" s="6" t="n"/>
      <c r="G56" s="6" t="n"/>
      <c r="H56" s="6" t="n"/>
      <c r="I56" s="6" t="n"/>
    </row>
    <row r="57">
      <c r="A57" s="13" t="inlineStr">
        <is>
          <t>Service</t>
        </is>
      </c>
      <c r="B57" s="13" t="inlineStr">
        <is>
          <t>Controls Provided</t>
        </is>
      </c>
    </row>
    <row r="58">
      <c r="A58" s="13" t="inlineStr">
        <is>
          <t>DNS</t>
        </is>
      </c>
      <c r="B58" s="12" t="inlineStr">
        <is>
          <t>DNS Security (DNSSEC), Query Logging, Rate Limiting, Split DNS</t>
        </is>
      </c>
    </row>
    <row r="59">
      <c r="A59" s="13" t="inlineStr">
        <is>
          <t>DHCP</t>
        </is>
      </c>
      <c r="B59" s="12" t="inlineStr">
        <is>
          <t>DHCP Security, DHCP Snooping, Rogue Detection</t>
        </is>
      </c>
    </row>
    <row r="60">
      <c r="A60" s="13" t="inlineStr">
        <is>
          <t>NTP</t>
        </is>
      </c>
      <c r="B60" s="12" t="inlineStr">
        <is>
          <t>NTP Security, Time Synchronization, Authentication</t>
        </is>
      </c>
    </row>
    <row r="61">
      <c r="A61" s="13" t="inlineStr">
        <is>
          <t>Proxy</t>
        </is>
      </c>
      <c r="B61" s="12" t="inlineStr">
        <is>
          <t>Web Filtering, SSL Inspection, Malware Scanning, Logging</t>
        </is>
      </c>
    </row>
    <row r="62">
      <c r="A62" s="13" t="inlineStr">
        <is>
          <t>Load Balancer</t>
        </is>
      </c>
      <c r="B62" s="12" t="inlineStr">
        <is>
          <t>Load Balancing Security, SSL Termination, Health Checks</t>
        </is>
      </c>
    </row>
    <row r="63">
      <c r="A63" s="13" t="inlineStr">
        <is>
          <t>RADIUS/TACACS+</t>
        </is>
      </c>
      <c r="B63" s="12" t="inlineStr">
        <is>
          <t>AAA Services, Strong Authentication, Command Authorisation</t>
        </is>
      </c>
    </row>
    <row r="64">
      <c r="A64" s="13" t="inlineStr">
        <is>
          <t>SNMP</t>
        </is>
      </c>
      <c r="B64" s="12" t="inlineStr">
        <is>
          <t>SNMP Security (SNMPv3), Device Monitoring</t>
        </is>
      </c>
    </row>
    <row r="65">
      <c r="A65" s="13" t="inlineStr">
        <is>
          <t>Syslog</t>
        </is>
      </c>
      <c r="B65" s="12" t="inlineStr">
        <is>
          <t>Centralised Logging, TLS Encryption, Retention</t>
        </is>
      </c>
    </row>
  </sheetData>
  <mergeCells count="11">
    <mergeCell ref="B58:I58"/>
    <mergeCell ref="A2:I2"/>
    <mergeCell ref="B62:I62"/>
    <mergeCell ref="B64:I64"/>
    <mergeCell ref="A1:I1"/>
    <mergeCell ref="A56:I56"/>
    <mergeCell ref="B59:I59"/>
    <mergeCell ref="B60:I60"/>
    <mergeCell ref="B63:I63"/>
    <mergeCell ref="B61:I61"/>
    <mergeCell ref="B65:I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showGridLines="0" workbookViewId="0">
      <pane ySplit="3" topLeftCell="A4" activePane="bottomLeft" state="frozen"/>
      <selection pane="bottomLeft" activeCell="A1" sqref="A1"/>
    </sheetView>
  </sheetViews>
  <sheetFormatPr baseColWidth="8" defaultRowHeight="15"/>
  <cols>
    <col width="30" customWidth="1" min="1" max="1"/>
    <col width="30" customWidth="1" min="2" max="2"/>
    <col width="12" customWidth="1" min="3" max="3"/>
    <col width="12" customWidth="1" min="4" max="4"/>
    <col width="12" customWidth="1" min="5" max="5"/>
    <col width="18" customWidth="1" min="6" max="6"/>
    <col width="35" customWidth="1" min="7" max="7"/>
    <col width="40" customWidth="1" min="8" max="8"/>
  </cols>
  <sheetData>
    <row r="1" ht="35" customHeight="1">
      <c r="A1" s="11" t="inlineStr">
        <is>
          <t>OVERALL CONTROL EFFECTIVENESS ASSESSMENT</t>
        </is>
      </c>
    </row>
    <row r="2">
      <c r="A2" s="12" t="inlineStr">
        <is>
          <t>Assess effectiveness of each security control across all zones.</t>
        </is>
      </c>
    </row>
    <row r="3">
      <c r="A3" s="13" t="inlineStr">
        <is>
          <t>Control Name</t>
        </is>
      </c>
      <c r="B3" s="13" t="inlineStr">
        <is>
          <t>Control Category</t>
        </is>
      </c>
      <c r="C3" s="13" t="inlineStr">
        <is>
          <t>Zones Covered</t>
        </is>
      </c>
      <c r="D3" s="13" t="inlineStr">
        <is>
          <t>Total Zones</t>
        </is>
      </c>
      <c r="E3" s="13" t="inlineStr">
        <is>
          <t>Coverage %</t>
        </is>
      </c>
      <c r="F3" s="13" t="inlineStr">
        <is>
          <t>Effectiveness Rating</t>
        </is>
      </c>
      <c r="G3" s="13" t="inlineStr">
        <is>
          <t>Weaknesses</t>
        </is>
      </c>
      <c r="H3" s="13" t="inlineStr">
        <is>
          <t>Improvement Actions</t>
        </is>
      </c>
    </row>
    <row r="4">
      <c r="A4" t="inlineStr">
        <is>
          <t>Perimeter Firewall</t>
        </is>
      </c>
      <c r="B4" t="inlineStr">
        <is>
          <t>A.8.20 - Network Security</t>
        </is>
      </c>
      <c r="C4" s="16" t="n"/>
      <c r="D4" s="16" t="n"/>
      <c r="E4" s="16" t="n"/>
      <c r="F4" s="16" t="n"/>
      <c r="G4" s="16" t="n"/>
      <c r="H4" s="16" t="n"/>
    </row>
    <row r="5">
      <c r="A5" t="inlineStr">
        <is>
          <t>Network Device Hardening</t>
        </is>
      </c>
      <c r="B5" t="inlineStr">
        <is>
          <t>A.8.20 - Network Security</t>
        </is>
      </c>
      <c r="C5" s="16" t="n"/>
      <c r="D5" s="16" t="n"/>
      <c r="E5" s="16" t="n"/>
      <c r="F5" s="16" t="n"/>
      <c r="G5" s="16" t="n"/>
      <c r="H5" s="16" t="n"/>
    </row>
    <row r="6">
      <c r="A6" t="inlineStr">
        <is>
          <t>Network Monitoring</t>
        </is>
      </c>
      <c r="B6" t="inlineStr">
        <is>
          <t>A.8.20 - Network Security</t>
        </is>
      </c>
      <c r="C6" s="16" t="n"/>
      <c r="D6" s="16" t="n"/>
      <c r="E6" s="16" t="n"/>
      <c r="F6" s="16" t="n"/>
      <c r="G6" s="16" t="n"/>
      <c r="H6" s="16" t="n"/>
    </row>
    <row r="7">
      <c r="A7" t="inlineStr">
        <is>
          <t>Network Logging</t>
        </is>
      </c>
      <c r="B7" t="inlineStr">
        <is>
          <t>A.8.20 - Network Security</t>
        </is>
      </c>
      <c r="C7" s="16" t="n"/>
      <c r="D7" s="16" t="n"/>
      <c r="E7" s="16" t="n"/>
      <c r="F7" s="16" t="n"/>
      <c r="G7" s="16" t="n"/>
      <c r="H7" s="16" t="n"/>
    </row>
    <row r="8">
      <c r="A8" t="inlineStr">
        <is>
          <t>Wireless Security</t>
        </is>
      </c>
      <c r="B8" t="inlineStr">
        <is>
          <t>A.8.20 - Network Security</t>
        </is>
      </c>
      <c r="C8" s="16" t="n"/>
      <c r="D8" s="16" t="n"/>
      <c r="E8" s="16" t="n"/>
      <c r="F8" s="16" t="n"/>
      <c r="G8" s="16" t="n"/>
      <c r="H8" s="16" t="n"/>
    </row>
    <row r="9">
      <c r="A9" t="inlineStr">
        <is>
          <t>Remote Access VPN</t>
        </is>
      </c>
      <c r="B9" t="inlineStr">
        <is>
          <t>A.8.20 - Network Security</t>
        </is>
      </c>
      <c r="C9" s="16" t="n"/>
      <c r="D9" s="16" t="n"/>
      <c r="E9" s="16" t="n"/>
      <c r="F9" s="16" t="n"/>
      <c r="G9" s="16" t="n"/>
      <c r="H9" s="16" t="n"/>
    </row>
    <row r="10">
      <c r="A10" t="inlineStr">
        <is>
          <t>Network Access Control (NAC)</t>
        </is>
      </c>
      <c r="B10" t="inlineStr">
        <is>
          <t>A.8.20 - Network Security</t>
        </is>
      </c>
      <c r="C10" s="16" t="n"/>
      <c r="D10" s="16" t="n"/>
      <c r="E10" s="16" t="n"/>
      <c r="F10" s="16" t="n"/>
      <c r="G10" s="16" t="n"/>
      <c r="H10" s="16" t="n"/>
    </row>
    <row r="11">
      <c r="A11" t="inlineStr">
        <is>
          <t>DNS Security (DNSSEC)</t>
        </is>
      </c>
      <c r="B11" t="inlineStr">
        <is>
          <t>A.8.21 - Network Services</t>
        </is>
      </c>
      <c r="C11" s="16" t="n"/>
      <c r="D11" s="16" t="n"/>
      <c r="E11" s="16" t="n"/>
      <c r="F11" s="16" t="n"/>
      <c r="G11" s="16" t="n"/>
      <c r="H11" s="16" t="n"/>
    </row>
    <row r="12">
      <c r="A12" t="inlineStr">
        <is>
          <t>DHCP Security</t>
        </is>
      </c>
      <c r="B12" t="inlineStr">
        <is>
          <t>A.8.21 - Network Services</t>
        </is>
      </c>
      <c r="C12" s="16" t="n"/>
      <c r="D12" s="16" t="n"/>
      <c r="E12" s="16" t="n"/>
      <c r="F12" s="16" t="n"/>
      <c r="G12" s="16" t="n"/>
      <c r="H12" s="16" t="n"/>
    </row>
    <row r="13">
      <c r="A13" t="inlineStr">
        <is>
          <t>NTP Security</t>
        </is>
      </c>
      <c r="B13" t="inlineStr">
        <is>
          <t>A.8.21 - Network Services</t>
        </is>
      </c>
      <c r="C13" s="16" t="n"/>
      <c r="D13" s="16" t="n"/>
      <c r="E13" s="16" t="n"/>
      <c r="F13" s="16" t="n"/>
      <c r="G13" s="16" t="n"/>
      <c r="H13" s="16" t="n"/>
    </row>
    <row r="14">
      <c r="A14" t="inlineStr">
        <is>
          <t>Proxy/Web Filtering</t>
        </is>
      </c>
      <c r="B14" t="inlineStr">
        <is>
          <t>A.8.21 - Network Services</t>
        </is>
      </c>
      <c r="C14" s="16" t="n"/>
      <c r="D14" s="16" t="n"/>
      <c r="E14" s="16" t="n"/>
      <c r="F14" s="16" t="n"/>
      <c r="G14" s="16" t="n"/>
      <c r="H14" s="16" t="n"/>
    </row>
    <row r="15">
      <c r="A15" t="inlineStr">
        <is>
          <t>Load Balancer Security</t>
        </is>
      </c>
      <c r="B15" t="inlineStr">
        <is>
          <t>A.8.21 - Network Services</t>
        </is>
      </c>
      <c r="C15" s="16" t="n"/>
      <c r="D15" s="16" t="n"/>
      <c r="E15" s="16" t="n"/>
      <c r="F15" s="16" t="n"/>
      <c r="G15" s="16" t="n"/>
      <c r="H15" s="16" t="n"/>
    </row>
    <row r="16">
      <c r="A16" t="inlineStr">
        <is>
          <t>AAA Services (RADIUS/TACACS+)</t>
        </is>
      </c>
      <c r="B16" t="inlineStr">
        <is>
          <t>A.8.21 - Network Services</t>
        </is>
      </c>
      <c r="C16" s="16" t="n"/>
      <c r="D16" s="16" t="n"/>
      <c r="E16" s="16" t="n"/>
      <c r="F16" s="16" t="n"/>
      <c r="G16" s="16" t="n"/>
      <c r="H16" s="16" t="n"/>
    </row>
    <row r="17">
      <c r="A17" t="inlineStr">
        <is>
          <t>SNMP Security</t>
        </is>
      </c>
      <c r="B17" t="inlineStr">
        <is>
          <t>A.8.21 - Network Services</t>
        </is>
      </c>
      <c r="C17" s="16" t="n"/>
      <c r="D17" s="16" t="n"/>
      <c r="E17" s="16" t="n"/>
      <c r="F17" s="16" t="n"/>
      <c r="G17" s="16" t="n"/>
      <c r="H17" s="16" t="n"/>
    </row>
    <row r="18">
      <c r="A18" t="inlineStr">
        <is>
          <t>Syslog Security</t>
        </is>
      </c>
      <c r="B18" t="inlineStr">
        <is>
          <t>A.8.21 - Network Services</t>
        </is>
      </c>
      <c r="C18" s="16" t="n"/>
      <c r="D18" s="16" t="n"/>
      <c r="E18" s="16" t="n"/>
      <c r="F18" s="16" t="n"/>
      <c r="G18" s="16" t="n"/>
      <c r="H18" s="16" t="n"/>
    </row>
    <row r="19">
      <c r="A19" t="inlineStr">
        <is>
          <t>Zone Segmentation</t>
        </is>
      </c>
      <c r="B19" t="inlineStr">
        <is>
          <t>A.8.22 - Network Segmentation</t>
        </is>
      </c>
      <c r="C19" s="16" t="n"/>
      <c r="D19" s="16" t="n"/>
      <c r="E19" s="16" t="n"/>
      <c r="F19" s="16" t="n"/>
      <c r="G19" s="16" t="n"/>
      <c r="H19" s="16" t="n"/>
    </row>
    <row r="20">
      <c r="A20" t="inlineStr">
        <is>
          <t>VLAN Segmentation</t>
        </is>
      </c>
      <c r="B20" t="inlineStr">
        <is>
          <t>A.8.22 - Network Segmentation</t>
        </is>
      </c>
      <c r="C20" s="16" t="n"/>
      <c r="D20" s="16" t="n"/>
      <c r="E20" s="16" t="n"/>
      <c r="F20" s="16" t="n"/>
      <c r="G20" s="16" t="n"/>
      <c r="H20" s="16" t="n"/>
    </row>
    <row r="21">
      <c r="A21" t="inlineStr">
        <is>
          <t>Firewall Inter-Zone Rules</t>
        </is>
      </c>
      <c r="B21" t="inlineStr">
        <is>
          <t>A.8.22 - Network Segmentation</t>
        </is>
      </c>
      <c r="C21" s="16" t="n"/>
      <c r="D21" s="16" t="n"/>
      <c r="E21" s="16" t="n"/>
      <c r="F21" s="16" t="n"/>
      <c r="G21" s="16" t="n"/>
      <c r="H21" s="16" t="n"/>
    </row>
    <row r="22">
      <c r="A22" t="inlineStr">
        <is>
          <t>ACL Enforcement</t>
        </is>
      </c>
      <c r="B22" t="inlineStr">
        <is>
          <t>A.8.22 - Network Segmentation</t>
        </is>
      </c>
      <c r="C22" s="16" t="n"/>
      <c r="D22" s="16" t="n"/>
      <c r="E22" s="16" t="n"/>
      <c r="F22" s="16" t="n"/>
      <c r="G22" s="16" t="n"/>
      <c r="H22" s="16" t="n"/>
    </row>
    <row r="23">
      <c r="A23" t="inlineStr">
        <is>
          <t>Segmentation Testing</t>
        </is>
      </c>
      <c r="B23" t="inlineStr">
        <is>
          <t>A.8.22 - Network Segmentation</t>
        </is>
      </c>
      <c r="C23" s="16" t="n"/>
      <c r="D23" s="16" t="n"/>
      <c r="E23" s="16" t="n"/>
      <c r="F23" s="16" t="n"/>
      <c r="G23" s="16" t="n"/>
      <c r="H23" s="16" t="n"/>
    </row>
    <row r="24">
      <c r="A24" t="inlineStr">
        <is>
          <t>Microsegmentation</t>
        </is>
      </c>
      <c r="B24" t="inlineStr">
        <is>
          <t>A.8.22 - Network Segmentation</t>
        </is>
      </c>
      <c r="C24" s="16" t="n"/>
      <c r="D24" s="16" t="n"/>
      <c r="E24" s="16" t="n"/>
      <c r="F24" s="16" t="n"/>
      <c r="G24" s="16" t="n"/>
      <c r="H24" s="16" t="n"/>
    </row>
  </sheetData>
  <mergeCells count="2">
    <mergeCell ref="A2:H2"/>
    <mergeCell ref="A1:H1"/>
  </mergeCells>
  <conditionalFormatting sqref="F4:F24">
    <cfRule type="cellIs" priority="1" operator="equal" dxfId="0">
      <formula>"Effective"</formula>
    </cfRule>
    <cfRule type="cellIs" priority="2" operator="equal" dxfId="1">
      <formula>"Ineffective"</formula>
    </cfRule>
  </conditionalFormatting>
  <dataValidations count="1">
    <dataValidation sqref="F4:F24 G5:G54" showDropDown="0" showInputMessage="0" showErrorMessage="0" allowBlank="0" type="list">
      <formula1>"Effective,Partially Effective,Ineffective,Not Assessed"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1"/>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30" customWidth="1" min="3" max="3"/>
    <col width="25" customWidth="1" min="4" max="4"/>
    <col width="35" customWidth="1" min="5" max="5"/>
    <col width="12" customWidth="1" min="6" max="6"/>
    <col width="40" customWidth="1" min="7" max="7"/>
    <col width="20" customWidth="1" min="8" max="8"/>
    <col width="12" customWidth="1" min="9" max="9"/>
    <col width="15" customWidth="1" min="10" max="10"/>
  </cols>
  <sheetData>
    <row r="1" ht="35" customHeight="1">
      <c r="A1" s="11" t="inlineStr">
        <is>
          <t>SECURITY CONTROL COVERAGE GAPS</t>
        </is>
      </c>
    </row>
    <row r="2">
      <c r="A2" s="12" t="inlineStr">
        <is>
          <t>Zones or assets with insufficient security control coverage.</t>
        </is>
      </c>
    </row>
    <row r="3">
      <c r="A3" s="13" t="inlineStr">
        <is>
          <t>Gap ID</t>
        </is>
      </c>
      <c r="B3" s="13" t="inlineStr">
        <is>
          <t>Zone/Asset</t>
        </is>
      </c>
      <c r="C3" s="13" t="inlineStr">
        <is>
          <t>Missing Control</t>
        </is>
      </c>
      <c r="D3" s="13" t="inlineStr">
        <is>
          <t>Control Category</t>
        </is>
      </c>
      <c r="E3" s="13" t="inlineStr">
        <is>
          <t>Risk</t>
        </is>
      </c>
      <c r="F3" s="13" t="inlineStr">
        <is>
          <t>Severity</t>
        </is>
      </c>
      <c r="G3" s="13" t="inlineStr">
        <is>
          <t>Remediation Plan</t>
        </is>
      </c>
      <c r="H3" s="13" t="inlineStr">
        <is>
          <t>Owner</t>
        </is>
      </c>
      <c r="I3" s="13" t="inlineStr">
        <is>
          <t>Target Date</t>
        </is>
      </c>
      <c r="J3" s="13" t="inlineStr">
        <is>
          <t>Status</t>
        </is>
      </c>
    </row>
    <row r="4">
      <c r="A4" s="18" t="inlineStr">
        <is>
          <t>COV-GAP-001</t>
        </is>
      </c>
      <c r="B4" s="18" t="inlineStr">
        <is>
          <t>Internet DMZ</t>
        </is>
      </c>
      <c r="C4" s="18" t="inlineStr">
        <is>
          <t>Missing IDS/IPS Coverage</t>
        </is>
      </c>
      <c r="D4" s="18" t="inlineStr">
        <is>
          <t>Preventive</t>
        </is>
      </c>
      <c r="E4" s="18" t="inlineStr">
        <is>
          <t>No intrusion detection on DMZ — attacks undetected</t>
        </is>
      </c>
      <c r="F4" s="18" t="inlineStr">
        <is>
          <t>Critical</t>
        </is>
      </c>
      <c r="G4" s="18" t="inlineStr">
        <is>
          <t>Deploy IDS/IPS at DMZ perimeter; configure alerts to SIEM</t>
        </is>
      </c>
      <c r="H4" s="18" t="inlineStr">
        <is>
          <t>Security Team</t>
        </is>
      </c>
      <c r="I4" s="18" t="inlineStr">
        <is>
          <t>28.02.2026</t>
        </is>
      </c>
      <c r="J4" s="18" t="inlineStr">
        <is>
          <t>Open</t>
        </is>
      </c>
    </row>
    <row r="5">
      <c r="A5" s="19">
        <f>IF(B5&lt;&gt;"","COV-GAP-" &amp; TEXT(2,"000"),"")</f>
        <v/>
      </c>
      <c r="B5" s="16" t="n"/>
      <c r="C5" s="16" t="n"/>
      <c r="D5" s="16" t="n"/>
      <c r="E5" s="16" t="n"/>
      <c r="F5" s="16" t="n"/>
      <c r="G5" s="16" t="n"/>
      <c r="H5" s="16" t="n"/>
      <c r="I5" s="16" t="n"/>
      <c r="J5" s="16" t="n"/>
    </row>
    <row r="6">
      <c r="A6" s="19">
        <f>IF(B6&lt;&gt;"","COV-GAP-" &amp; TEXT(3,"000"),"")</f>
        <v/>
      </c>
      <c r="B6" s="16" t="n"/>
      <c r="C6" s="16" t="n"/>
      <c r="D6" s="16" t="n"/>
      <c r="E6" s="16" t="n"/>
      <c r="F6" s="16" t="n"/>
      <c r="G6" s="16" t="n"/>
      <c r="H6" s="16" t="n"/>
      <c r="I6" s="16" t="n"/>
      <c r="J6" s="16" t="n"/>
    </row>
    <row r="7">
      <c r="A7" s="19">
        <f>IF(B7&lt;&gt;"","COV-GAP-" &amp; TEXT(4,"000"),"")</f>
        <v/>
      </c>
      <c r="B7" s="16" t="n"/>
      <c r="C7" s="16" t="n"/>
      <c r="D7" s="16" t="n"/>
      <c r="E7" s="16" t="n"/>
      <c r="F7" s="16" t="n"/>
      <c r="G7" s="16" t="n"/>
      <c r="H7" s="16" t="n"/>
      <c r="I7" s="16" t="n"/>
      <c r="J7" s="16" t="n"/>
    </row>
    <row r="8">
      <c r="A8" s="19">
        <f>IF(B8&lt;&gt;"","COV-GAP-" &amp; TEXT(5,"000"),"")</f>
        <v/>
      </c>
      <c r="B8" s="16" t="n"/>
      <c r="C8" s="16" t="n"/>
      <c r="D8" s="16" t="n"/>
      <c r="E8" s="16" t="n"/>
      <c r="F8" s="16" t="n"/>
      <c r="G8" s="16" t="n"/>
      <c r="H8" s="16" t="n"/>
      <c r="I8" s="16" t="n"/>
      <c r="J8" s="16" t="n"/>
    </row>
    <row r="9">
      <c r="A9" s="19">
        <f>IF(B9&lt;&gt;"","COV-GAP-" &amp; TEXT(6,"000"),"")</f>
        <v/>
      </c>
      <c r="B9" s="16" t="n"/>
      <c r="C9" s="16" t="n"/>
      <c r="D9" s="16" t="n"/>
      <c r="E9" s="16" t="n"/>
      <c r="F9" s="16" t="n"/>
      <c r="G9" s="16" t="n"/>
      <c r="H9" s="16" t="n"/>
      <c r="I9" s="16" t="n"/>
      <c r="J9" s="16" t="n"/>
    </row>
    <row r="10">
      <c r="A10" s="19">
        <f>IF(B10&lt;&gt;"","COV-GAP-" &amp; TEXT(7,"000"),"")</f>
        <v/>
      </c>
      <c r="B10" s="16" t="n"/>
      <c r="C10" s="16" t="n"/>
      <c r="D10" s="16" t="n"/>
      <c r="E10" s="16" t="n"/>
      <c r="F10" s="16" t="n"/>
      <c r="G10" s="16" t="n"/>
      <c r="H10" s="16" t="n"/>
      <c r="I10" s="16" t="n"/>
      <c r="J10" s="16" t="n"/>
    </row>
    <row r="11">
      <c r="A11" s="19">
        <f>IF(B11&lt;&gt;"","COV-GAP-" &amp; TEXT(8,"000"),"")</f>
        <v/>
      </c>
      <c r="B11" s="16" t="n"/>
      <c r="C11" s="16" t="n"/>
      <c r="D11" s="16" t="n"/>
      <c r="E11" s="16" t="n"/>
      <c r="F11" s="16" t="n"/>
      <c r="G11" s="16" t="n"/>
      <c r="H11" s="16" t="n"/>
      <c r="I11" s="16" t="n"/>
      <c r="J11" s="16" t="n"/>
    </row>
    <row r="12">
      <c r="A12" s="19">
        <f>IF(B12&lt;&gt;"","COV-GAP-" &amp; TEXT(9,"000"),"")</f>
        <v/>
      </c>
      <c r="B12" s="16" t="n"/>
      <c r="C12" s="16" t="n"/>
      <c r="D12" s="16" t="n"/>
      <c r="E12" s="16" t="n"/>
      <c r="F12" s="16" t="n"/>
      <c r="G12" s="16" t="n"/>
      <c r="H12" s="16" t="n"/>
      <c r="I12" s="16" t="n"/>
      <c r="J12" s="16" t="n"/>
    </row>
    <row r="13">
      <c r="A13" s="19">
        <f>IF(B13&lt;&gt;"","COV-GAP-" &amp; TEXT(10,"000"),"")</f>
        <v/>
      </c>
      <c r="B13" s="16" t="n"/>
      <c r="C13" s="16" t="n"/>
      <c r="D13" s="16" t="n"/>
      <c r="E13" s="16" t="n"/>
      <c r="F13" s="16" t="n"/>
      <c r="G13" s="16" t="n"/>
      <c r="H13" s="16" t="n"/>
      <c r="I13" s="16" t="n"/>
      <c r="J13" s="16" t="n"/>
    </row>
    <row r="14">
      <c r="A14" s="19">
        <f>IF(B14&lt;&gt;"","COV-GAP-" &amp; TEXT(11,"000"),"")</f>
        <v/>
      </c>
      <c r="B14" s="16" t="n"/>
      <c r="C14" s="16" t="n"/>
      <c r="D14" s="16" t="n"/>
      <c r="E14" s="16" t="n"/>
      <c r="F14" s="16" t="n"/>
      <c r="G14" s="16" t="n"/>
      <c r="H14" s="16" t="n"/>
      <c r="I14" s="16" t="n"/>
      <c r="J14" s="16" t="n"/>
    </row>
    <row r="15">
      <c r="A15" s="19">
        <f>IF(B15&lt;&gt;"","COV-GAP-" &amp; TEXT(12,"000"),"")</f>
        <v/>
      </c>
      <c r="B15" s="16" t="n"/>
      <c r="C15" s="16" t="n"/>
      <c r="D15" s="16" t="n"/>
      <c r="E15" s="16" t="n"/>
      <c r="F15" s="16" t="n"/>
      <c r="G15" s="16" t="n"/>
      <c r="H15" s="16" t="n"/>
      <c r="I15" s="16" t="n"/>
      <c r="J15" s="16" t="n"/>
    </row>
    <row r="16">
      <c r="A16" s="19">
        <f>IF(B16&lt;&gt;"","COV-GAP-" &amp; TEXT(13,"000"),"")</f>
        <v/>
      </c>
      <c r="B16" s="16" t="n"/>
      <c r="C16" s="16" t="n"/>
      <c r="D16" s="16" t="n"/>
      <c r="E16" s="16" t="n"/>
      <c r="F16" s="16" t="n"/>
      <c r="G16" s="16" t="n"/>
      <c r="H16" s="16" t="n"/>
      <c r="I16" s="16" t="n"/>
      <c r="J16" s="16" t="n"/>
    </row>
    <row r="17">
      <c r="A17" s="19">
        <f>IF(B17&lt;&gt;"","COV-GAP-" &amp; TEXT(14,"000"),"")</f>
        <v/>
      </c>
      <c r="B17" s="16" t="n"/>
      <c r="C17" s="16" t="n"/>
      <c r="D17" s="16" t="n"/>
      <c r="E17" s="16" t="n"/>
      <c r="F17" s="16" t="n"/>
      <c r="G17" s="16" t="n"/>
      <c r="H17" s="16" t="n"/>
      <c r="I17" s="16" t="n"/>
      <c r="J17" s="16" t="n"/>
    </row>
    <row r="18">
      <c r="A18" s="19">
        <f>IF(B18&lt;&gt;"","COV-GAP-" &amp; TEXT(15,"000"),"")</f>
        <v/>
      </c>
      <c r="B18" s="16" t="n"/>
      <c r="C18" s="16" t="n"/>
      <c r="D18" s="16" t="n"/>
      <c r="E18" s="16" t="n"/>
      <c r="F18" s="16" t="n"/>
      <c r="G18" s="16" t="n"/>
      <c r="H18" s="16" t="n"/>
      <c r="I18" s="16" t="n"/>
      <c r="J18" s="16" t="n"/>
    </row>
    <row r="19">
      <c r="A19" s="19">
        <f>IF(B19&lt;&gt;"","COV-GAP-" &amp; TEXT(16,"000"),"")</f>
        <v/>
      </c>
      <c r="B19" s="16" t="n"/>
      <c r="C19" s="16" t="n"/>
      <c r="D19" s="16" t="n"/>
      <c r="E19" s="16" t="n"/>
      <c r="F19" s="16" t="n"/>
      <c r="G19" s="16" t="n"/>
      <c r="H19" s="16" t="n"/>
      <c r="I19" s="16" t="n"/>
      <c r="J19" s="16" t="n"/>
    </row>
    <row r="20">
      <c r="A20" s="19">
        <f>IF(B20&lt;&gt;"","COV-GAP-" &amp; TEXT(17,"000"),"")</f>
        <v/>
      </c>
      <c r="B20" s="16" t="n"/>
      <c r="C20" s="16" t="n"/>
      <c r="D20" s="16" t="n"/>
      <c r="E20" s="16" t="n"/>
      <c r="F20" s="16" t="n"/>
      <c r="G20" s="16" t="n"/>
      <c r="H20" s="16" t="n"/>
      <c r="I20" s="16" t="n"/>
      <c r="J20" s="16" t="n"/>
    </row>
    <row r="21">
      <c r="A21" s="19">
        <f>IF(B21&lt;&gt;"","COV-GAP-" &amp; TEXT(18,"000"),"")</f>
        <v/>
      </c>
      <c r="B21" s="16" t="n"/>
      <c r="C21" s="16" t="n"/>
      <c r="D21" s="16" t="n"/>
      <c r="E21" s="16" t="n"/>
      <c r="F21" s="16" t="n"/>
      <c r="G21" s="16" t="n"/>
      <c r="H21" s="16" t="n"/>
      <c r="I21" s="16" t="n"/>
      <c r="J21" s="16" t="n"/>
    </row>
    <row r="22">
      <c r="A22" s="19">
        <f>IF(B22&lt;&gt;"","COV-GAP-" &amp; TEXT(19,"000"),"")</f>
        <v/>
      </c>
      <c r="B22" s="16" t="n"/>
      <c r="C22" s="16" t="n"/>
      <c r="D22" s="16" t="n"/>
      <c r="E22" s="16" t="n"/>
      <c r="F22" s="16" t="n"/>
      <c r="G22" s="16" t="n"/>
      <c r="H22" s="16" t="n"/>
      <c r="I22" s="16" t="n"/>
      <c r="J22" s="16" t="n"/>
    </row>
    <row r="23">
      <c r="A23" s="19">
        <f>IF(B23&lt;&gt;"","COV-GAP-" &amp; TEXT(20,"000"),"")</f>
        <v/>
      </c>
      <c r="B23" s="16" t="n"/>
      <c r="C23" s="16" t="n"/>
      <c r="D23" s="16" t="n"/>
      <c r="E23" s="16" t="n"/>
      <c r="F23" s="16" t="n"/>
      <c r="G23" s="16" t="n"/>
      <c r="H23" s="16" t="n"/>
      <c r="I23" s="16" t="n"/>
      <c r="J23" s="16" t="n"/>
    </row>
    <row r="24">
      <c r="A24" s="19">
        <f>IF(B24&lt;&gt;"","COV-GAP-" &amp; TEXT(21,"000"),"")</f>
        <v/>
      </c>
      <c r="B24" s="16" t="n"/>
      <c r="C24" s="16" t="n"/>
      <c r="D24" s="16" t="n"/>
      <c r="E24" s="16" t="n"/>
      <c r="F24" s="16" t="n"/>
      <c r="G24" s="16" t="n"/>
      <c r="H24" s="16" t="n"/>
      <c r="I24" s="16" t="n"/>
      <c r="J24" s="16" t="n"/>
    </row>
    <row r="25">
      <c r="A25" s="19">
        <f>IF(B25&lt;&gt;"","COV-GAP-" &amp; TEXT(22,"000"),"")</f>
        <v/>
      </c>
      <c r="B25" s="16" t="n"/>
      <c r="C25" s="16" t="n"/>
      <c r="D25" s="16" t="n"/>
      <c r="E25" s="16" t="n"/>
      <c r="F25" s="16" t="n"/>
      <c r="G25" s="16" t="n"/>
      <c r="H25" s="16" t="n"/>
      <c r="I25" s="16" t="n"/>
      <c r="J25" s="16" t="n"/>
    </row>
    <row r="26">
      <c r="A26" s="19">
        <f>IF(B26&lt;&gt;"","COV-GAP-" &amp; TEXT(23,"000"),"")</f>
        <v/>
      </c>
      <c r="B26" s="16" t="n"/>
      <c r="C26" s="16" t="n"/>
      <c r="D26" s="16" t="n"/>
      <c r="E26" s="16" t="n"/>
      <c r="F26" s="16" t="n"/>
      <c r="G26" s="16" t="n"/>
      <c r="H26" s="16" t="n"/>
      <c r="I26" s="16" t="n"/>
      <c r="J26" s="16" t="n"/>
    </row>
    <row r="27">
      <c r="A27" s="19">
        <f>IF(B27&lt;&gt;"","COV-GAP-" &amp; TEXT(24,"000"),"")</f>
        <v/>
      </c>
      <c r="B27" s="16" t="n"/>
      <c r="C27" s="16" t="n"/>
      <c r="D27" s="16" t="n"/>
      <c r="E27" s="16" t="n"/>
      <c r="F27" s="16" t="n"/>
      <c r="G27" s="16" t="n"/>
      <c r="H27" s="16" t="n"/>
      <c r="I27" s="16" t="n"/>
      <c r="J27" s="16" t="n"/>
    </row>
    <row r="28">
      <c r="A28" s="19">
        <f>IF(B28&lt;&gt;"","COV-GAP-" &amp; TEXT(25,"000"),"")</f>
        <v/>
      </c>
      <c r="B28" s="16" t="n"/>
      <c r="C28" s="16" t="n"/>
      <c r="D28" s="16" t="n"/>
      <c r="E28" s="16" t="n"/>
      <c r="F28" s="16" t="n"/>
      <c r="G28" s="16" t="n"/>
      <c r="H28" s="16" t="n"/>
      <c r="I28" s="16" t="n"/>
      <c r="J28" s="16" t="n"/>
    </row>
    <row r="29">
      <c r="A29" s="19">
        <f>IF(B29&lt;&gt;"","COV-GAP-" &amp; TEXT(26,"000"),"")</f>
        <v/>
      </c>
      <c r="B29" s="16" t="n"/>
      <c r="C29" s="16" t="n"/>
      <c r="D29" s="16" t="n"/>
      <c r="E29" s="16" t="n"/>
      <c r="F29" s="16" t="n"/>
      <c r="G29" s="16" t="n"/>
      <c r="H29" s="16" t="n"/>
      <c r="I29" s="16" t="n"/>
      <c r="J29" s="16" t="n"/>
    </row>
    <row r="30">
      <c r="A30" s="19">
        <f>IF(B30&lt;&gt;"","COV-GAP-" &amp; TEXT(27,"000"),"")</f>
        <v/>
      </c>
      <c r="B30" s="16" t="n"/>
      <c r="C30" s="16" t="n"/>
      <c r="D30" s="16" t="n"/>
      <c r="E30" s="16" t="n"/>
      <c r="F30" s="16" t="n"/>
      <c r="G30" s="16" t="n"/>
      <c r="H30" s="16" t="n"/>
      <c r="I30" s="16" t="n"/>
      <c r="J30" s="16" t="n"/>
    </row>
    <row r="31">
      <c r="A31" s="19">
        <f>IF(B31&lt;&gt;"","COV-GAP-" &amp; TEXT(28,"000"),"")</f>
        <v/>
      </c>
      <c r="B31" s="16" t="n"/>
      <c r="C31" s="16" t="n"/>
      <c r="D31" s="16" t="n"/>
      <c r="E31" s="16" t="n"/>
      <c r="F31" s="16" t="n"/>
      <c r="G31" s="16" t="n"/>
      <c r="H31" s="16" t="n"/>
      <c r="I31" s="16" t="n"/>
      <c r="J31" s="16" t="n"/>
    </row>
    <row r="32">
      <c r="A32" s="19">
        <f>IF(B32&lt;&gt;"","COV-GAP-" &amp; TEXT(29,"000"),"")</f>
        <v/>
      </c>
      <c r="B32" s="16" t="n"/>
      <c r="C32" s="16" t="n"/>
      <c r="D32" s="16" t="n"/>
      <c r="E32" s="16" t="n"/>
      <c r="F32" s="16" t="n"/>
      <c r="G32" s="16" t="n"/>
      <c r="H32" s="16" t="n"/>
      <c r="I32" s="16" t="n"/>
      <c r="J32" s="16" t="n"/>
    </row>
    <row r="33">
      <c r="A33" s="19">
        <f>IF(B33&lt;&gt;"","COV-GAP-" &amp; TEXT(30,"000"),"")</f>
        <v/>
      </c>
      <c r="B33" s="16" t="n"/>
      <c r="C33" s="16" t="n"/>
      <c r="D33" s="16" t="n"/>
      <c r="E33" s="16" t="n"/>
      <c r="F33" s="16" t="n"/>
      <c r="G33" s="16" t="n"/>
      <c r="H33" s="16" t="n"/>
      <c r="I33" s="16" t="n"/>
      <c r="J33" s="16" t="n"/>
    </row>
    <row r="34">
      <c r="A34" s="19">
        <f>IF(B34&lt;&gt;"","COV-GAP-" &amp; TEXT(31,"000"),"")</f>
        <v/>
      </c>
      <c r="B34" s="16" t="n"/>
      <c r="C34" s="16" t="n"/>
      <c r="D34" s="16" t="n"/>
      <c r="E34" s="16" t="n"/>
      <c r="F34" s="16" t="n"/>
      <c r="G34" s="16" t="n"/>
      <c r="H34" s="16" t="n"/>
      <c r="I34" s="16" t="n"/>
      <c r="J34" s="16" t="n"/>
    </row>
    <row r="35">
      <c r="A35" s="19">
        <f>IF(B35&lt;&gt;"","COV-GAP-" &amp; TEXT(32,"000"),"")</f>
        <v/>
      </c>
      <c r="B35" s="16" t="n"/>
      <c r="C35" s="16" t="n"/>
      <c r="D35" s="16" t="n"/>
      <c r="E35" s="16" t="n"/>
      <c r="F35" s="16" t="n"/>
      <c r="G35" s="16" t="n"/>
      <c r="H35" s="16" t="n"/>
      <c r="I35" s="16" t="n"/>
      <c r="J35" s="16" t="n"/>
    </row>
    <row r="36">
      <c r="A36" s="19">
        <f>IF(B36&lt;&gt;"","COV-GAP-" &amp; TEXT(33,"000"),"")</f>
        <v/>
      </c>
      <c r="B36" s="16" t="n"/>
      <c r="C36" s="16" t="n"/>
      <c r="D36" s="16" t="n"/>
      <c r="E36" s="16" t="n"/>
      <c r="F36" s="16" t="n"/>
      <c r="G36" s="16" t="n"/>
      <c r="H36" s="16" t="n"/>
      <c r="I36" s="16" t="n"/>
      <c r="J36" s="16" t="n"/>
    </row>
    <row r="37">
      <c r="A37" s="19">
        <f>IF(B37&lt;&gt;"","COV-GAP-" &amp; TEXT(34,"000"),"")</f>
        <v/>
      </c>
      <c r="B37" s="16" t="n"/>
      <c r="C37" s="16" t="n"/>
      <c r="D37" s="16" t="n"/>
      <c r="E37" s="16" t="n"/>
      <c r="F37" s="16" t="n"/>
      <c r="G37" s="16" t="n"/>
      <c r="H37" s="16" t="n"/>
      <c r="I37" s="16" t="n"/>
      <c r="J37" s="16" t="n"/>
    </row>
    <row r="38">
      <c r="A38" s="19">
        <f>IF(B38&lt;&gt;"","COV-GAP-" &amp; TEXT(35,"000"),"")</f>
        <v/>
      </c>
      <c r="B38" s="16" t="n"/>
      <c r="C38" s="16" t="n"/>
      <c r="D38" s="16" t="n"/>
      <c r="E38" s="16" t="n"/>
      <c r="F38" s="16" t="n"/>
      <c r="G38" s="16" t="n"/>
      <c r="H38" s="16" t="n"/>
      <c r="I38" s="16" t="n"/>
      <c r="J38" s="16" t="n"/>
    </row>
    <row r="39">
      <c r="A39" s="19">
        <f>IF(B39&lt;&gt;"","COV-GAP-" &amp; TEXT(36,"000"),"")</f>
        <v/>
      </c>
      <c r="B39" s="16" t="n"/>
      <c r="C39" s="16" t="n"/>
      <c r="D39" s="16" t="n"/>
      <c r="E39" s="16" t="n"/>
      <c r="F39" s="16" t="n"/>
      <c r="G39" s="16" t="n"/>
      <c r="H39" s="16" t="n"/>
      <c r="I39" s="16" t="n"/>
      <c r="J39" s="16" t="n"/>
    </row>
    <row r="40">
      <c r="A40" s="19">
        <f>IF(B40&lt;&gt;"","COV-GAP-" &amp; TEXT(37,"000"),"")</f>
        <v/>
      </c>
      <c r="B40" s="16" t="n"/>
      <c r="C40" s="16" t="n"/>
      <c r="D40" s="16" t="n"/>
      <c r="E40" s="16" t="n"/>
      <c r="F40" s="16" t="n"/>
      <c r="G40" s="16" t="n"/>
      <c r="H40" s="16" t="n"/>
      <c r="I40" s="16" t="n"/>
      <c r="J40" s="16" t="n"/>
    </row>
    <row r="41">
      <c r="A41" s="19">
        <f>IF(B41&lt;&gt;"","COV-GAP-" &amp; TEXT(38,"000"),"")</f>
        <v/>
      </c>
      <c r="B41" s="16" t="n"/>
      <c r="C41" s="16" t="n"/>
      <c r="D41" s="16" t="n"/>
      <c r="E41" s="16" t="n"/>
      <c r="F41" s="16" t="n"/>
      <c r="G41" s="16" t="n"/>
      <c r="H41" s="16" t="n"/>
      <c r="I41" s="16" t="n"/>
      <c r="J41" s="16" t="n"/>
    </row>
    <row r="42">
      <c r="A42" s="19">
        <f>IF(B42&lt;&gt;"","COV-GAP-" &amp; TEXT(39,"000"),"")</f>
        <v/>
      </c>
      <c r="B42" s="16" t="n"/>
      <c r="C42" s="16" t="n"/>
      <c r="D42" s="16" t="n"/>
      <c r="E42" s="16" t="n"/>
      <c r="F42" s="16" t="n"/>
      <c r="G42" s="16" t="n"/>
      <c r="H42" s="16" t="n"/>
      <c r="I42" s="16" t="n"/>
      <c r="J42" s="16" t="n"/>
    </row>
    <row r="43">
      <c r="A43" s="19">
        <f>IF(B43&lt;&gt;"","COV-GAP-" &amp; TEXT(40,"000"),"")</f>
        <v/>
      </c>
      <c r="B43" s="16" t="n"/>
      <c r="C43" s="16" t="n"/>
      <c r="D43" s="16" t="n"/>
      <c r="E43" s="16" t="n"/>
      <c r="F43" s="16" t="n"/>
      <c r="G43" s="16" t="n"/>
      <c r="H43" s="16" t="n"/>
      <c r="I43" s="16" t="n"/>
      <c r="J43" s="16" t="n"/>
    </row>
    <row r="45">
      <c r="A45" s="17" t="inlineStr">
        <is>
          <t>Common Coverage Gap Types</t>
        </is>
      </c>
      <c r="B45" s="6" t="n"/>
      <c r="C45" s="6" t="n"/>
      <c r="D45" s="6" t="n"/>
      <c r="E45" s="6" t="n"/>
      <c r="F45" s="6" t="n"/>
      <c r="G45" s="6" t="n"/>
      <c r="H45" s="6" t="n"/>
      <c r="I45" s="6" t="n"/>
      <c r="J45" s="6" t="n"/>
    </row>
    <row r="46">
      <c r="A46" s="12" t="inlineStr">
        <is>
          <t>Missing Perimeter Firewall: Zone exposed directly to Internet without firewall (Critical)</t>
        </is>
      </c>
    </row>
    <row r="47">
      <c r="A47" s="12" t="inlineStr">
        <is>
          <t>No Network Monitoring: Zone traffic not monitored by SIEM/IDS (High)</t>
        </is>
      </c>
    </row>
    <row r="48">
      <c r="A48" s="12" t="inlineStr">
        <is>
          <t>Missing Segmentation: Critical zone not segregated from general network (High)</t>
        </is>
      </c>
    </row>
    <row r="49">
      <c r="A49" s="12" t="inlineStr">
        <is>
          <t>No Service Security: DNS/DHCP services not hardened (Medium)</t>
        </is>
      </c>
    </row>
    <row r="50">
      <c r="A50" s="12" t="inlineStr">
        <is>
          <t>Insufficient Logging: Key controls not logging events (Medium)</t>
        </is>
      </c>
    </row>
    <row r="51">
      <c r="A51" s="12" t="inlineStr">
        <is>
          <t>Single Layer Defence: Only one control protecting zone (need defense-in-depth) (High)</t>
        </is>
      </c>
    </row>
  </sheetData>
  <mergeCells count="9">
    <mergeCell ref="A47:J47"/>
    <mergeCell ref="A45:J45"/>
    <mergeCell ref="A1:J1"/>
    <mergeCell ref="A46:J46"/>
    <mergeCell ref="A50:J50"/>
    <mergeCell ref="A48:J48"/>
    <mergeCell ref="A51:J51"/>
    <mergeCell ref="A2:J2"/>
    <mergeCell ref="A49:J49"/>
  </mergeCells>
  <conditionalFormatting sqref="F4:F43">
    <cfRule type="cellIs" priority="1" operator="equal" dxfId="3">
      <formula>"Critical"</formula>
    </cfRule>
    <cfRule type="cellIs" priority="2" operator="equal" dxfId="4">
      <formula>"High"</formula>
    </cfRule>
    <cfRule type="cellIs" priority="3" operator="equal" dxfId="5">
      <formula>"Medium"</formula>
    </cfRule>
  </conditionalFormatting>
  <dataValidations count="2">
    <dataValidation sqref="F5:F43" showDropDown="0" showInputMessage="0" showErrorMessage="0" allowBlank="0" type="list">
      <formula1>"Critical,High,Medium,Low"</formula1>
    </dataValidation>
    <dataValidation sqref="D5:D43" showDropDown="0" showInputMessage="0" showErrorMessage="0" allowBlank="0" type="list">
      <formula1>"A.8.20 - Network Security,A.8.21 - Network Services,A.8.22 - Network Segmentation"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25" customWidth="1" min="3" max="3"/>
    <col width="25" customWidth="1" min="4" max="4"/>
    <col width="25" customWidth="1" min="5" max="5"/>
    <col width="30" customWidth="1" min="6" max="6"/>
    <col width="15" customWidth="1" min="7" max="7"/>
    <col width="40" customWidth="1" min="8" max="8"/>
  </cols>
  <sheetData>
    <row r="1" ht="35" customHeight="1">
      <c r="A1" s="11" t="inlineStr">
        <is>
          <t>DEFENSE-IN-DEPTH VALIDATION</t>
        </is>
      </c>
    </row>
    <row r="2">
      <c r="A2" s="12" t="inlineStr">
        <is>
          <t>Verify multiple layers of controls protect critical zones (no single point of failure).</t>
        </is>
      </c>
    </row>
    <row r="3">
      <c r="A3" s="13" t="inlineStr">
        <is>
          <t>Zone/Asset</t>
        </is>
      </c>
      <c r="B3" s="13" t="inlineStr">
        <is>
          <t>Risk Level</t>
        </is>
      </c>
      <c r="C3" s="13" t="inlineStr">
        <is>
          <t>Layer 1 Control</t>
        </is>
      </c>
      <c r="D3" s="13" t="inlineStr">
        <is>
          <t>Layer 2 Control</t>
        </is>
      </c>
      <c r="E3" s="13" t="inlineStr">
        <is>
          <t>Layer 3 Control</t>
        </is>
      </c>
      <c r="F3" s="13" t="inlineStr">
        <is>
          <t>Additional Layers</t>
        </is>
      </c>
      <c r="G3" s="13" t="inlineStr">
        <is>
          <t>Defense-in-Depth OK</t>
        </is>
      </c>
      <c r="H3" s="13" t="inlineStr">
        <is>
          <t>Notes</t>
        </is>
      </c>
    </row>
    <row r="4">
      <c r="A4" s="18" t="inlineStr">
        <is>
          <t>Internet DMZ</t>
        </is>
      </c>
      <c r="B4" s="18" t="inlineStr">
        <is>
          <t>Critical</t>
        </is>
      </c>
      <c r="C4" s="18" t="inlineStr">
        <is>
          <t>Perimeter Firewall</t>
        </is>
      </c>
      <c r="D4" s="18" t="inlineStr">
        <is>
          <t>VLAN Segmentation</t>
        </is>
      </c>
      <c r="E4" s="18" t="inlineStr">
        <is>
          <t>ACLs on Routers</t>
        </is>
      </c>
      <c r="F4" s="18" t="inlineStr">
        <is>
          <t>IDS/IPS Monitoring</t>
        </is>
      </c>
      <c r="G4" s="18" t="inlineStr">
        <is>
          <t>Yes</t>
        </is>
      </c>
      <c r="H4" s="18" t="inlineStr">
        <is>
          <t>Firewall + VLAN + ACL + IDS = 4 layers</t>
        </is>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6">
      <c r="A56" s="17" t="inlineStr">
        <is>
          <t>Defense-in-Depth Principles</t>
        </is>
      </c>
      <c r="B56" s="6" t="n"/>
      <c r="C56" s="6" t="n"/>
      <c r="D56" s="6" t="n"/>
      <c r="E56" s="6" t="n"/>
      <c r="F56" s="6" t="n"/>
      <c r="G56" s="6" t="n"/>
      <c r="H56" s="6" t="n"/>
    </row>
    <row r="57">
      <c r="A57" s="12" t="inlineStr">
        <is>
          <t>• MULTIPLE LAYERS: Critical zones require 3+ independent layers of controls</t>
        </is>
      </c>
    </row>
    <row r="58">
      <c r="A58" s="12" t="inlineStr">
        <is>
          <t>• NO SINGLE POINT OF FAILURE: If one control fails, others still protect</t>
        </is>
      </c>
    </row>
    <row r="59">
      <c r="A59" s="12" t="inlineStr">
        <is>
          <t>• DIVERSE CONTROLS: Different types (Firewall + VLAN + ACL + Monitoring)</t>
        </is>
      </c>
    </row>
    <row r="60">
      <c r="A60" s="12" t="inlineStr">
        <is>
          <t>• COMPENSATING CONTROLS: If primary control unavailable, compensating controls in place</t>
        </is>
      </c>
    </row>
    <row r="61">
      <c r="A61" s="12" t="inlineStr">
        <is>
          <t>• CRITICAL ASSETS: Datacenter, management networks require strongest defense-in-depth</t>
        </is>
      </c>
    </row>
    <row r="63">
      <c r="A63" s="17" t="inlineStr">
        <is>
          <t>Example Defense-in-Depth Layers</t>
        </is>
      </c>
      <c r="B63" s="6" t="n"/>
      <c r="C63" s="6" t="n"/>
      <c r="D63" s="6" t="n"/>
      <c r="E63" s="6" t="n"/>
      <c r="F63" s="6" t="n"/>
      <c r="G63" s="6" t="n"/>
      <c r="H63" s="6" t="n"/>
    </row>
    <row r="64">
      <c r="A64" s="12" t="inlineStr">
        <is>
          <t>Layer 1: Perimeter Firewall (blocks external threats)</t>
        </is>
      </c>
    </row>
    <row r="65">
      <c r="A65" s="12" t="inlineStr">
        <is>
          <t>Layer 2: Network Segmentation (isolates zones via VLANs)</t>
        </is>
      </c>
    </row>
    <row r="66">
      <c r="A66" s="12" t="inlineStr">
        <is>
          <t>Layer 3: Internal Firewalls (zone-to-zone filtering)</t>
        </is>
      </c>
    </row>
    <row r="67">
      <c r="A67" s="12" t="inlineStr">
        <is>
          <t>Layer 4: ACLs on Routers/Switches (additional filtering)</t>
        </is>
      </c>
    </row>
    <row r="68">
      <c r="A68" s="12" t="inlineStr">
        <is>
          <t>Layer 5: Network Monitoring/IDS (detect anomalies)</t>
        </is>
      </c>
    </row>
    <row r="69">
      <c r="A69" s="12" t="inlineStr">
        <is>
          <t>Layer 6: Host-based Firewalls (endpoint protection)</t>
        </is>
      </c>
    </row>
  </sheetData>
  <mergeCells count="15">
    <mergeCell ref="A56:H56"/>
    <mergeCell ref="A67:H67"/>
    <mergeCell ref="A69:H69"/>
    <mergeCell ref="A59:H59"/>
    <mergeCell ref="A65:H65"/>
    <mergeCell ref="A57:H57"/>
    <mergeCell ref="A2:H2"/>
    <mergeCell ref="A63:H63"/>
    <mergeCell ref="A64:H64"/>
    <mergeCell ref="A60:H60"/>
    <mergeCell ref="A68:H68"/>
    <mergeCell ref="A66:H66"/>
    <mergeCell ref="A1:H1"/>
    <mergeCell ref="A61:H61"/>
    <mergeCell ref="A58:H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35" customHeight="1">
      <c r="A1" s="11" t="inlineStr">
        <is>
          <t>NETWORK SECURITY CONTROLS - EXECUTIVE SUMMARY</t>
        </is>
      </c>
    </row>
    <row r="3">
      <c r="A3" s="17" t="inlineStr">
        <is>
          <t>Assessment Overview</t>
        </is>
      </c>
      <c r="B3" s="6" t="n"/>
      <c r="C3" s="6" t="n"/>
      <c r="D3" s="6" t="n"/>
      <c r="E3" s="6" t="n"/>
      <c r="F3" s="6" t="n"/>
    </row>
    <row r="4">
      <c r="A4" s="12" t="inlineStr">
        <is>
          <t>This workbook (WB5) integrates findings from:</t>
        </is>
      </c>
    </row>
    <row r="5">
      <c r="A5" s="12" t="inlineStr">
        <is>
          <t xml:space="preserve">  • WB1: Network Infrastructure Inventory</t>
        </is>
      </c>
    </row>
    <row r="6">
      <c r="A6" s="12" t="inlineStr">
        <is>
          <t xml:space="preserve">  • WB2: Device Security Assessment</t>
        </is>
      </c>
    </row>
    <row r="7">
      <c r="A7" s="12" t="inlineStr">
        <is>
          <t xml:space="preserve">  • WB3: Network Services Catalog</t>
        </is>
      </c>
    </row>
    <row r="8">
      <c r="A8" s="12" t="inlineStr">
        <is>
          <t xml:space="preserve">  • WB4: Network Segmentation Matrix</t>
        </is>
      </c>
    </row>
    <row r="9">
      <c r="A9" s="12" t="inlineStr"/>
    </row>
    <row r="10">
      <c r="A10" s="12" t="inlineStr">
        <is>
          <t>Purpose: Map security controls coverage across all network zones and assets.</t>
        </is>
      </c>
    </row>
    <row r="11">
      <c r="A11" s="12" t="inlineStr">
        <is>
          <t>Controls Assessed: ISO 27001:2022 A.8.20 (Network Security), A.8.21 (Network Services), A.8.22 (Network Segmentation)</t>
        </is>
      </c>
    </row>
    <row r="13">
      <c r="A13" s="17" t="inlineStr">
        <is>
          <t>Key Findings</t>
        </is>
      </c>
      <c r="B13" s="6" t="n"/>
      <c r="C13" s="6" t="n"/>
      <c r="D13" s="6" t="n"/>
      <c r="E13" s="6" t="n"/>
      <c r="F13" s="6" t="n"/>
    </row>
    <row r="14">
      <c r="A14" s="12" t="inlineStr">
        <is>
          <t>1. COVERAGE: [Insert average zone coverage %] average control coverage across all zones</t>
        </is>
      </c>
    </row>
    <row r="15">
      <c r="A15" s="12" t="inlineStr">
        <is>
          <t>2. GAPS: [Insert count] critical coverage gaps identified (see Gap Analysis sheet)</t>
        </is>
      </c>
    </row>
    <row r="16">
      <c r="A16" s="12" t="inlineStr">
        <is>
          <t>3. EFFECTIVENESS: [Insert %] of controls assessed as 'Effective'</t>
        </is>
      </c>
    </row>
    <row r="17">
      <c r="A17" s="12" t="inlineStr">
        <is>
          <t>4. DEFENSE-IN-DEPTH: [Insert count] critical zones with insufficient layered controls</t>
        </is>
      </c>
    </row>
    <row r="18">
      <c r="A18" s="12" t="inlineStr">
        <is>
          <t>5. COMPLIANCE: Overall compliance with A.8.20/21/22 is [Insert status]</t>
        </is>
      </c>
    </row>
    <row r="20">
      <c r="A20" s="17" t="inlineStr">
        <is>
          <t>Priority Recommendations</t>
        </is>
      </c>
      <c r="B20" s="6" t="n"/>
      <c r="C20" s="6" t="n"/>
      <c r="D20" s="6" t="n"/>
      <c r="E20" s="6" t="n"/>
      <c r="F20" s="6" t="n"/>
    </row>
    <row r="21">
      <c r="A21" s="12" t="inlineStr">
        <is>
          <t>1. IMMEDIATE: Remediate all Critical coverage gaps (see Gap Analysis sheet)</t>
        </is>
      </c>
    </row>
    <row r="22">
      <c r="A22" s="12" t="inlineStr">
        <is>
          <t>2. HIGH PRIORITY: Implement defense-in-depth for all critical zones (Datacenter, Management)</t>
        </is>
      </c>
    </row>
    <row r="23">
      <c r="A23" s="12" t="inlineStr">
        <is>
          <t>3. MEDIUM PRIORITY: Improve control effectiveness for zones with 'Partially Effective' rating</t>
        </is>
      </c>
    </row>
    <row r="24">
      <c r="A24" s="12" t="inlineStr">
        <is>
          <t>4. ONGOING: Maintain Controls Coverage Matrix quarterly, reassess after major changes</t>
        </is>
      </c>
    </row>
    <row r="26">
      <c r="A26" s="17" t="inlineStr">
        <is>
          <t>Next Steps</t>
        </is>
      </c>
      <c r="B26" s="6" t="n"/>
      <c r="C26" s="6" t="n"/>
      <c r="D26" s="6" t="n"/>
      <c r="E26" s="6" t="n"/>
      <c r="F26" s="6" t="n"/>
    </row>
    <row r="27">
      <c r="A27" s="12" t="inlineStr">
        <is>
          <t>1. Review Controls Coverage Matrix with IT Security team</t>
        </is>
      </c>
    </row>
    <row r="28">
      <c r="A28" s="12" t="inlineStr">
        <is>
          <t>2. Prioritize remediation of Critical gaps</t>
        </is>
      </c>
    </row>
    <row r="29">
      <c r="A29" s="12" t="inlineStr">
        <is>
          <t>3. Assign owners for all gaps in Gap Analysis sheet</t>
        </is>
      </c>
    </row>
    <row r="30">
      <c r="A30" s="12" t="inlineStr">
        <is>
          <t>4. Schedule follow-up assessment in [3 months / 6 months]</t>
        </is>
      </c>
    </row>
    <row r="31">
      <c r="A31" s="12" t="inlineStr">
        <is>
          <t>5. Update controls matrix after each major network change</t>
        </is>
      </c>
    </row>
  </sheetData>
  <mergeCells count="27">
    <mergeCell ref="A16:F16"/>
    <mergeCell ref="A27:F27"/>
    <mergeCell ref="A18:F18"/>
    <mergeCell ref="A3:F3"/>
    <mergeCell ref="A21:F21"/>
    <mergeCell ref="A26:F26"/>
    <mergeCell ref="A14:F14"/>
    <mergeCell ref="A5:F5"/>
    <mergeCell ref="A23:F23"/>
    <mergeCell ref="A8:F8"/>
    <mergeCell ref="A22:F22"/>
    <mergeCell ref="A17:F17"/>
    <mergeCell ref="A4:F4"/>
    <mergeCell ref="A20:F20"/>
    <mergeCell ref="A29:F29"/>
    <mergeCell ref="A10:F10"/>
    <mergeCell ref="A28:F28"/>
    <mergeCell ref="A13:F13"/>
    <mergeCell ref="A9:F9"/>
    <mergeCell ref="A31:F31"/>
    <mergeCell ref="A30:F30"/>
    <mergeCell ref="A15:F15"/>
    <mergeCell ref="A24:F24"/>
    <mergeCell ref="A11:F11"/>
    <mergeCell ref="A1:F1"/>
    <mergeCell ref="A6:F6"/>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4" t="inlineStr">
        <is>
          <t>Controls Coverage Assessment</t>
        </is>
      </c>
      <c r="C5" s="24" t="inlineStr">
        <is>
          <t>Configuration file</t>
        </is>
      </c>
      <c r="D5" s="24" t="inlineStr">
        <is>
          <t>Network control coverage matrix and zone control assessment documentation</t>
        </is>
      </c>
      <c r="E5" s="24" t="inlineStr">
        <is>
          <t>/evidence/A.8.20-22/</t>
        </is>
      </c>
      <c r="F5" s="24" t="inlineStr">
        <is>
          <t>15.01.2026</t>
        </is>
      </c>
      <c r="G5" s="24" t="inlineStr">
        <is>
          <t>Assessor Name</t>
        </is>
      </c>
      <c r="H5" s="24" t="inlineStr">
        <is>
          <t>✅ Verified</t>
        </is>
      </c>
    </row>
    <row r="6">
      <c r="A6" s="25" t="n"/>
      <c r="B6" s="26" t="n"/>
      <c r="C6" s="26" t="n"/>
      <c r="D6" s="26" t="n"/>
      <c r="E6" s="26" t="n"/>
      <c r="F6" s="26" t="n"/>
      <c r="G6" s="26" t="n"/>
      <c r="H6" s="26" t="n"/>
    </row>
    <row r="7">
      <c r="A7" s="25" t="n"/>
      <c r="B7" s="26" t="n"/>
      <c r="C7" s="26" t="n"/>
      <c r="D7" s="26" t="n"/>
      <c r="E7" s="26" t="n"/>
      <c r="F7" s="26" t="n"/>
      <c r="G7" s="26" t="n"/>
      <c r="H7" s="26" t="n"/>
    </row>
    <row r="8">
      <c r="A8" s="25" t="n"/>
      <c r="B8" s="26" t="n"/>
      <c r="C8" s="26" t="n"/>
      <c r="D8" s="26" t="n"/>
      <c r="E8" s="26" t="n"/>
      <c r="F8" s="26" t="n"/>
      <c r="G8" s="26" t="n"/>
      <c r="H8" s="26" t="n"/>
    </row>
    <row r="9">
      <c r="A9" s="25" t="n"/>
      <c r="B9" s="26" t="n"/>
      <c r="C9" s="26" t="n"/>
      <c r="D9" s="26" t="n"/>
      <c r="E9" s="26" t="n"/>
      <c r="F9" s="26" t="n"/>
      <c r="G9" s="26" t="n"/>
      <c r="H9" s="26" t="n"/>
    </row>
    <row r="10">
      <c r="A10" s="25" t="n"/>
      <c r="B10" s="26" t="n"/>
      <c r="C10" s="26" t="n"/>
      <c r="D10" s="26" t="n"/>
      <c r="E10" s="26" t="n"/>
      <c r="F10" s="26" t="n"/>
      <c r="G10" s="26" t="n"/>
      <c r="H10" s="26" t="n"/>
    </row>
    <row r="11">
      <c r="A11" s="25" t="n"/>
      <c r="B11" s="26" t="n"/>
      <c r="C11" s="26" t="n"/>
      <c r="D11" s="26" t="n"/>
      <c r="E11" s="26" t="n"/>
      <c r="F11" s="26" t="n"/>
      <c r="G11" s="26" t="n"/>
      <c r="H11" s="26" t="n"/>
    </row>
    <row r="12">
      <c r="A12" s="25" t="n"/>
      <c r="B12" s="26" t="n"/>
      <c r="C12" s="26" t="n"/>
      <c r="D12" s="26" t="n"/>
      <c r="E12" s="26" t="n"/>
      <c r="F12" s="26" t="n"/>
      <c r="G12" s="26" t="n"/>
      <c r="H12" s="26" t="n"/>
    </row>
    <row r="13">
      <c r="A13" s="25" t="n"/>
      <c r="B13" s="26" t="n"/>
      <c r="C13" s="26" t="n"/>
      <c r="D13" s="26" t="n"/>
      <c r="E13" s="26" t="n"/>
      <c r="F13" s="26" t="n"/>
      <c r="G13" s="26" t="n"/>
      <c r="H13" s="26" t="n"/>
    </row>
    <row r="14">
      <c r="A14" s="25" t="n"/>
      <c r="B14" s="26" t="n"/>
      <c r="C14" s="26" t="n"/>
      <c r="D14" s="26" t="n"/>
      <c r="E14" s="26" t="n"/>
      <c r="F14" s="26" t="n"/>
      <c r="G14" s="26" t="n"/>
      <c r="H14" s="26" t="n"/>
    </row>
    <row r="15">
      <c r="A15" s="25" t="n"/>
      <c r="B15" s="26" t="n"/>
      <c r="C15" s="26" t="n"/>
      <c r="D15" s="26" t="n"/>
      <c r="E15" s="26" t="n"/>
      <c r="F15" s="26" t="n"/>
      <c r="G15" s="26" t="n"/>
      <c r="H15" s="26" t="n"/>
    </row>
    <row r="16">
      <c r="A16" s="25" t="n"/>
      <c r="B16" s="26" t="n"/>
      <c r="C16" s="26" t="n"/>
      <c r="D16" s="26" t="n"/>
      <c r="E16" s="26" t="n"/>
      <c r="F16" s="26" t="n"/>
      <c r="G16" s="26" t="n"/>
      <c r="H16" s="26" t="n"/>
    </row>
    <row r="17">
      <c r="A17" s="25" t="n"/>
      <c r="B17" s="26" t="n"/>
      <c r="C17" s="26" t="n"/>
      <c r="D17" s="26" t="n"/>
      <c r="E17" s="26" t="n"/>
      <c r="F17" s="26" t="n"/>
      <c r="G17" s="26" t="n"/>
      <c r="H17" s="26" t="n"/>
    </row>
    <row r="18">
      <c r="A18" s="25" t="n"/>
      <c r="B18" s="26" t="n"/>
      <c r="C18" s="26" t="n"/>
      <c r="D18" s="26" t="n"/>
      <c r="E18" s="26" t="n"/>
      <c r="F18" s="26" t="n"/>
      <c r="G18" s="26" t="n"/>
      <c r="H18" s="26" t="n"/>
    </row>
    <row r="19">
      <c r="A19" s="25" t="n"/>
      <c r="B19" s="26" t="n"/>
      <c r="C19" s="26" t="n"/>
      <c r="D19" s="26" t="n"/>
      <c r="E19" s="26" t="n"/>
      <c r="F19" s="26" t="n"/>
      <c r="G19" s="26" t="n"/>
      <c r="H19" s="26" t="n"/>
    </row>
    <row r="20">
      <c r="A20" s="25" t="n"/>
      <c r="B20" s="26" t="n"/>
      <c r="C20" s="26" t="n"/>
      <c r="D20" s="26" t="n"/>
      <c r="E20" s="26" t="n"/>
      <c r="F20" s="26" t="n"/>
      <c r="G20" s="26" t="n"/>
      <c r="H20" s="26" t="n"/>
    </row>
    <row r="21">
      <c r="A21" s="25" t="n"/>
      <c r="B21" s="26" t="n"/>
      <c r="C21" s="26" t="n"/>
      <c r="D21" s="26" t="n"/>
      <c r="E21" s="26" t="n"/>
      <c r="F21" s="26" t="n"/>
      <c r="G21" s="26" t="n"/>
      <c r="H21" s="26" t="n"/>
    </row>
    <row r="22">
      <c r="A22" s="25" t="n"/>
      <c r="B22" s="26" t="n"/>
      <c r="C22" s="26" t="n"/>
      <c r="D22" s="26" t="n"/>
      <c r="E22" s="26" t="n"/>
      <c r="F22" s="26" t="n"/>
      <c r="G22" s="26" t="n"/>
      <c r="H22" s="26" t="n"/>
    </row>
    <row r="23">
      <c r="A23" s="25" t="n"/>
      <c r="B23" s="26" t="n"/>
      <c r="C23" s="26" t="n"/>
      <c r="D23" s="26" t="n"/>
      <c r="E23" s="26" t="n"/>
      <c r="F23" s="26" t="n"/>
      <c r="G23" s="26" t="n"/>
      <c r="H23" s="26" t="n"/>
    </row>
    <row r="24">
      <c r="A24" s="25" t="n"/>
      <c r="B24" s="26" t="n"/>
      <c r="C24" s="26" t="n"/>
      <c r="D24" s="26" t="n"/>
      <c r="E24" s="26" t="n"/>
      <c r="F24" s="26" t="n"/>
      <c r="G24" s="26" t="n"/>
      <c r="H24" s="26" t="n"/>
    </row>
    <row r="25">
      <c r="A25" s="25" t="n"/>
      <c r="B25" s="26" t="n"/>
      <c r="C25" s="26" t="n"/>
      <c r="D25" s="26" t="n"/>
      <c r="E25" s="26" t="n"/>
      <c r="F25" s="26" t="n"/>
      <c r="G25" s="26" t="n"/>
      <c r="H25" s="26" t="n"/>
    </row>
    <row r="26">
      <c r="A26" s="25" t="n"/>
      <c r="B26" s="26" t="n"/>
      <c r="C26" s="26" t="n"/>
      <c r="D26" s="26" t="n"/>
      <c r="E26" s="26" t="n"/>
      <c r="F26" s="26" t="n"/>
      <c r="G26" s="26" t="n"/>
      <c r="H26" s="26" t="n"/>
    </row>
    <row r="27">
      <c r="A27" s="25" t="n"/>
      <c r="B27" s="26" t="n"/>
      <c r="C27" s="26" t="n"/>
      <c r="D27" s="26" t="n"/>
      <c r="E27" s="26" t="n"/>
      <c r="F27" s="26" t="n"/>
      <c r="G27" s="26" t="n"/>
      <c r="H27" s="26" t="n"/>
    </row>
    <row r="28">
      <c r="A28" s="25" t="n"/>
      <c r="B28" s="26" t="n"/>
      <c r="C28" s="26" t="n"/>
      <c r="D28" s="26" t="n"/>
      <c r="E28" s="26" t="n"/>
      <c r="F28" s="26" t="n"/>
      <c r="G28" s="26" t="n"/>
      <c r="H28" s="26" t="n"/>
    </row>
    <row r="29">
      <c r="A29" s="25" t="n"/>
      <c r="B29" s="26" t="n"/>
      <c r="C29" s="26" t="n"/>
      <c r="D29" s="26" t="n"/>
      <c r="E29" s="26" t="n"/>
      <c r="F29" s="26" t="n"/>
      <c r="G29" s="26" t="n"/>
      <c r="H29" s="26" t="n"/>
    </row>
    <row r="30">
      <c r="A30" s="25" t="n"/>
      <c r="B30" s="26" t="n"/>
      <c r="C30" s="26" t="n"/>
      <c r="D30" s="26" t="n"/>
      <c r="E30" s="26" t="n"/>
      <c r="F30" s="26" t="n"/>
      <c r="G30" s="26" t="n"/>
      <c r="H30" s="26" t="n"/>
    </row>
    <row r="31">
      <c r="A31" s="25" t="n"/>
      <c r="B31" s="26" t="n"/>
      <c r="C31" s="26" t="n"/>
      <c r="D31" s="26" t="n"/>
      <c r="E31" s="26" t="n"/>
      <c r="F31" s="26" t="n"/>
      <c r="G31" s="26" t="n"/>
      <c r="H31" s="26" t="n"/>
    </row>
    <row r="32">
      <c r="A32" s="25" t="n"/>
      <c r="B32" s="26" t="n"/>
      <c r="C32" s="26" t="n"/>
      <c r="D32" s="26" t="n"/>
      <c r="E32" s="26" t="n"/>
      <c r="F32" s="26" t="n"/>
      <c r="G32" s="26" t="n"/>
      <c r="H32" s="26" t="n"/>
    </row>
    <row r="33">
      <c r="A33" s="25" t="n"/>
      <c r="B33" s="26" t="n"/>
      <c r="C33" s="26" t="n"/>
      <c r="D33" s="26" t="n"/>
      <c r="E33" s="26" t="n"/>
      <c r="F33" s="26" t="n"/>
      <c r="G33" s="26" t="n"/>
      <c r="H33" s="26" t="n"/>
    </row>
    <row r="34">
      <c r="A34" s="25" t="n"/>
      <c r="B34" s="26" t="n"/>
      <c r="C34" s="26" t="n"/>
      <c r="D34" s="26" t="n"/>
      <c r="E34" s="26" t="n"/>
      <c r="F34" s="26" t="n"/>
      <c r="G34" s="26" t="n"/>
      <c r="H34" s="26" t="n"/>
    </row>
    <row r="35">
      <c r="A35" s="25" t="n"/>
      <c r="B35" s="26" t="n"/>
      <c r="C35" s="26" t="n"/>
      <c r="D35" s="26" t="n"/>
      <c r="E35" s="26" t="n"/>
      <c r="F35" s="26" t="n"/>
      <c r="G35" s="26" t="n"/>
      <c r="H35" s="26" t="n"/>
    </row>
    <row r="36">
      <c r="A36" s="25" t="n"/>
      <c r="B36" s="26" t="n"/>
      <c r="C36" s="26" t="n"/>
      <c r="D36" s="26" t="n"/>
      <c r="E36" s="26" t="n"/>
      <c r="F36" s="26" t="n"/>
      <c r="G36" s="26" t="n"/>
      <c r="H36" s="26" t="n"/>
    </row>
    <row r="37">
      <c r="A37" s="25" t="n"/>
      <c r="B37" s="26" t="n"/>
      <c r="C37" s="26" t="n"/>
      <c r="D37" s="26" t="n"/>
      <c r="E37" s="26" t="n"/>
      <c r="F37" s="26" t="n"/>
      <c r="G37" s="26" t="n"/>
      <c r="H37" s="26" t="n"/>
    </row>
    <row r="38">
      <c r="A38" s="25" t="n"/>
      <c r="B38" s="26" t="n"/>
      <c r="C38" s="26" t="n"/>
      <c r="D38" s="26" t="n"/>
      <c r="E38" s="26" t="n"/>
      <c r="F38" s="26" t="n"/>
      <c r="G38" s="26" t="n"/>
      <c r="H38" s="26" t="n"/>
    </row>
    <row r="39">
      <c r="A39" s="25" t="n"/>
      <c r="B39" s="26" t="n"/>
      <c r="C39" s="26" t="n"/>
      <c r="D39" s="26" t="n"/>
      <c r="E39" s="26" t="n"/>
      <c r="F39" s="26" t="n"/>
      <c r="G39" s="26" t="n"/>
      <c r="H39" s="26" t="n"/>
    </row>
    <row r="40">
      <c r="A40" s="25" t="n"/>
      <c r="B40" s="26" t="n"/>
      <c r="C40" s="26" t="n"/>
      <c r="D40" s="26" t="n"/>
      <c r="E40" s="26" t="n"/>
      <c r="F40" s="26" t="n"/>
      <c r="G40" s="26" t="n"/>
      <c r="H40" s="26" t="n"/>
    </row>
    <row r="41">
      <c r="A41" s="25" t="n"/>
      <c r="B41" s="26" t="n"/>
      <c r="C41" s="26" t="n"/>
      <c r="D41" s="26" t="n"/>
      <c r="E41" s="26" t="n"/>
      <c r="F41" s="26" t="n"/>
      <c r="G41" s="26" t="n"/>
      <c r="H41" s="26" t="n"/>
    </row>
    <row r="42">
      <c r="A42" s="25" t="n"/>
      <c r="B42" s="26" t="n"/>
      <c r="C42" s="26" t="n"/>
      <c r="D42" s="26" t="n"/>
      <c r="E42" s="26" t="n"/>
      <c r="F42" s="26" t="n"/>
      <c r="G42" s="26" t="n"/>
      <c r="H42" s="26" t="n"/>
    </row>
    <row r="43">
      <c r="A43" s="25" t="n"/>
      <c r="B43" s="26" t="n"/>
      <c r="C43" s="26" t="n"/>
      <c r="D43" s="26" t="n"/>
      <c r="E43" s="26" t="n"/>
      <c r="F43" s="26" t="n"/>
      <c r="G43" s="26" t="n"/>
      <c r="H43" s="26" t="n"/>
    </row>
    <row r="44">
      <c r="A44" s="25" t="n"/>
      <c r="B44" s="26" t="n"/>
      <c r="C44" s="26" t="n"/>
      <c r="D44" s="26" t="n"/>
      <c r="E44" s="26" t="n"/>
      <c r="F44" s="26" t="n"/>
      <c r="G44" s="26" t="n"/>
      <c r="H44" s="26" t="n"/>
    </row>
    <row r="45">
      <c r="A45" s="25" t="n"/>
      <c r="B45" s="26" t="n"/>
      <c r="C45" s="26" t="n"/>
      <c r="D45" s="26" t="n"/>
      <c r="E45" s="26" t="n"/>
      <c r="F45" s="26" t="n"/>
      <c r="G45" s="26" t="n"/>
      <c r="H45" s="26" t="n"/>
    </row>
    <row r="46">
      <c r="A46" s="25" t="n"/>
      <c r="B46" s="26" t="n"/>
      <c r="C46" s="26" t="n"/>
      <c r="D46" s="26" t="n"/>
      <c r="E46" s="26" t="n"/>
      <c r="F46" s="26" t="n"/>
      <c r="G46" s="26" t="n"/>
      <c r="H46" s="26" t="n"/>
    </row>
    <row r="47">
      <c r="A47" s="25" t="n"/>
      <c r="B47" s="26" t="n"/>
      <c r="C47" s="26" t="n"/>
      <c r="D47" s="26" t="n"/>
      <c r="E47" s="26" t="n"/>
      <c r="F47" s="26" t="n"/>
      <c r="G47" s="26" t="n"/>
      <c r="H47" s="26" t="n"/>
    </row>
    <row r="48">
      <c r="A48" s="25" t="n"/>
      <c r="B48" s="26" t="n"/>
      <c r="C48" s="26" t="n"/>
      <c r="D48" s="26" t="n"/>
      <c r="E48" s="26" t="n"/>
      <c r="F48" s="26" t="n"/>
      <c r="G48" s="26" t="n"/>
      <c r="H48" s="26" t="n"/>
    </row>
    <row r="49">
      <c r="A49" s="25" t="n"/>
      <c r="B49" s="26" t="n"/>
      <c r="C49" s="26" t="n"/>
      <c r="D49" s="26" t="n"/>
      <c r="E49" s="26" t="n"/>
      <c r="F49" s="26" t="n"/>
      <c r="G49" s="26" t="n"/>
      <c r="H49" s="26" t="n"/>
    </row>
    <row r="50">
      <c r="A50" s="25" t="n"/>
      <c r="B50" s="26" t="n"/>
      <c r="C50" s="26" t="n"/>
      <c r="D50" s="26" t="n"/>
      <c r="E50" s="26" t="n"/>
      <c r="F50" s="26" t="n"/>
      <c r="G50" s="26" t="n"/>
      <c r="H50" s="26" t="n"/>
    </row>
    <row r="51">
      <c r="A51" s="25" t="n"/>
      <c r="B51" s="26" t="n"/>
      <c r="C51" s="26" t="n"/>
      <c r="D51" s="26" t="n"/>
      <c r="E51" s="26" t="n"/>
      <c r="F51" s="26" t="n"/>
      <c r="G51" s="26" t="n"/>
      <c r="H51" s="26" t="n"/>
    </row>
    <row r="52">
      <c r="A52" s="25" t="n"/>
      <c r="B52" s="26" t="n"/>
      <c r="C52" s="26" t="n"/>
      <c r="D52" s="26" t="n"/>
      <c r="E52" s="26" t="n"/>
      <c r="F52" s="26" t="n"/>
      <c r="G52" s="26" t="n"/>
      <c r="H52" s="26" t="n"/>
    </row>
    <row r="53">
      <c r="A53" s="25" t="n"/>
      <c r="B53" s="26" t="n"/>
      <c r="C53" s="26" t="n"/>
      <c r="D53" s="26" t="n"/>
      <c r="E53" s="26" t="n"/>
      <c r="F53" s="26" t="n"/>
      <c r="G53" s="26" t="n"/>
      <c r="H53" s="26" t="n"/>
    </row>
    <row r="54">
      <c r="A54" s="25" t="n"/>
      <c r="B54" s="26" t="n"/>
      <c r="C54" s="26" t="n"/>
      <c r="D54" s="26" t="n"/>
      <c r="E54" s="26" t="n"/>
      <c r="F54" s="26" t="n"/>
      <c r="G54" s="26" t="n"/>
      <c r="H54" s="26" t="n"/>
    </row>
    <row r="55">
      <c r="A55" s="25" t="n"/>
      <c r="B55" s="26" t="n"/>
      <c r="C55" s="26" t="n"/>
      <c r="D55" s="26" t="n"/>
      <c r="E55" s="26" t="n"/>
      <c r="F55" s="26" t="n"/>
      <c r="G55" s="26" t="n"/>
      <c r="H55" s="26" t="n"/>
    </row>
    <row r="56">
      <c r="A56" s="25" t="n"/>
      <c r="B56" s="26" t="n"/>
      <c r="C56" s="26" t="n"/>
      <c r="D56" s="26" t="n"/>
      <c r="E56" s="26" t="n"/>
      <c r="F56" s="26" t="n"/>
      <c r="G56" s="26" t="n"/>
      <c r="H56" s="26" t="n"/>
    </row>
    <row r="57">
      <c r="A57" s="25" t="n"/>
      <c r="B57" s="26" t="n"/>
      <c r="C57" s="26" t="n"/>
      <c r="D57" s="26" t="n"/>
      <c r="E57" s="26" t="n"/>
      <c r="F57" s="26" t="n"/>
      <c r="G57" s="26" t="n"/>
      <c r="H57" s="26" t="n"/>
    </row>
    <row r="58">
      <c r="A58" s="25" t="n"/>
      <c r="B58" s="26" t="n"/>
      <c r="C58" s="26" t="n"/>
      <c r="D58" s="26" t="n"/>
      <c r="E58" s="26" t="n"/>
      <c r="F58" s="26" t="n"/>
      <c r="G58" s="26" t="n"/>
      <c r="H58" s="26" t="n"/>
    </row>
    <row r="59">
      <c r="A59" s="25" t="n"/>
      <c r="B59" s="26" t="n"/>
      <c r="C59" s="26" t="n"/>
      <c r="D59" s="26" t="n"/>
      <c r="E59" s="26" t="n"/>
      <c r="F59" s="26" t="n"/>
      <c r="G59" s="26" t="n"/>
      <c r="H59" s="26" t="n"/>
    </row>
    <row r="60">
      <c r="A60" s="25" t="n"/>
      <c r="B60" s="26" t="n"/>
      <c r="C60" s="26" t="n"/>
      <c r="D60" s="26" t="n"/>
      <c r="E60" s="26" t="n"/>
      <c r="F60" s="26" t="n"/>
      <c r="G60" s="26" t="n"/>
      <c r="H60" s="26" t="n"/>
    </row>
    <row r="61">
      <c r="A61" s="25" t="n"/>
      <c r="B61" s="26" t="n"/>
      <c r="C61" s="26" t="n"/>
      <c r="D61" s="26" t="n"/>
      <c r="E61" s="26" t="n"/>
      <c r="F61" s="26" t="n"/>
      <c r="G61" s="26" t="n"/>
      <c r="H61" s="26" t="n"/>
    </row>
    <row r="62">
      <c r="A62" s="25" t="n"/>
      <c r="B62" s="26" t="n"/>
      <c r="C62" s="26" t="n"/>
      <c r="D62" s="26" t="n"/>
      <c r="E62" s="26" t="n"/>
      <c r="F62" s="26" t="n"/>
      <c r="G62" s="26" t="n"/>
      <c r="H62" s="26" t="n"/>
    </row>
    <row r="63">
      <c r="A63" s="25" t="n"/>
      <c r="B63" s="26" t="n"/>
      <c r="C63" s="26" t="n"/>
      <c r="D63" s="26" t="n"/>
      <c r="E63" s="26" t="n"/>
      <c r="F63" s="26" t="n"/>
      <c r="G63" s="26" t="n"/>
      <c r="H63" s="26" t="n"/>
    </row>
    <row r="64">
      <c r="A64" s="25" t="n"/>
      <c r="B64" s="26" t="n"/>
      <c r="C64" s="26" t="n"/>
      <c r="D64" s="26" t="n"/>
      <c r="E64" s="26" t="n"/>
      <c r="F64" s="26" t="n"/>
      <c r="G64" s="26" t="n"/>
      <c r="H64" s="26" t="n"/>
    </row>
    <row r="65">
      <c r="A65" s="25" t="n"/>
      <c r="B65" s="26" t="n"/>
      <c r="C65" s="26" t="n"/>
      <c r="D65" s="26" t="n"/>
      <c r="E65" s="26" t="n"/>
      <c r="F65" s="26" t="n"/>
      <c r="G65" s="26" t="n"/>
      <c r="H65" s="26" t="n"/>
    </row>
    <row r="66">
      <c r="A66" s="25" t="n"/>
      <c r="B66" s="26" t="n"/>
      <c r="C66" s="26" t="n"/>
      <c r="D66" s="26" t="n"/>
      <c r="E66" s="26" t="n"/>
      <c r="F66" s="26" t="n"/>
      <c r="G66" s="26" t="n"/>
      <c r="H66" s="26" t="n"/>
    </row>
    <row r="67">
      <c r="A67" s="25" t="n"/>
      <c r="B67" s="26" t="n"/>
      <c r="C67" s="26" t="n"/>
      <c r="D67" s="26" t="n"/>
      <c r="E67" s="26" t="n"/>
      <c r="F67" s="26" t="n"/>
      <c r="G67" s="26" t="n"/>
      <c r="H67" s="26" t="n"/>
    </row>
    <row r="68">
      <c r="A68" s="25" t="n"/>
      <c r="B68" s="26" t="n"/>
      <c r="C68" s="26" t="n"/>
      <c r="D68" s="26" t="n"/>
      <c r="E68" s="26" t="n"/>
      <c r="F68" s="26" t="n"/>
      <c r="G68" s="26" t="n"/>
      <c r="H68" s="26" t="n"/>
    </row>
    <row r="69">
      <c r="A69" s="25" t="n"/>
      <c r="B69" s="26" t="n"/>
      <c r="C69" s="26" t="n"/>
      <c r="D69" s="26" t="n"/>
      <c r="E69" s="26" t="n"/>
      <c r="F69" s="26" t="n"/>
      <c r="G69" s="26" t="n"/>
      <c r="H69" s="26" t="n"/>
    </row>
    <row r="70">
      <c r="A70" s="25" t="n"/>
      <c r="B70" s="26" t="n"/>
      <c r="C70" s="26" t="n"/>
      <c r="D70" s="26" t="n"/>
      <c r="E70" s="26" t="n"/>
      <c r="F70" s="26" t="n"/>
      <c r="G70" s="26" t="n"/>
      <c r="H70" s="26" t="n"/>
    </row>
    <row r="71">
      <c r="A71" s="25" t="n"/>
      <c r="B71" s="26" t="n"/>
      <c r="C71" s="26" t="n"/>
      <c r="D71" s="26" t="n"/>
      <c r="E71" s="26" t="n"/>
      <c r="F71" s="26" t="n"/>
      <c r="G71" s="26" t="n"/>
      <c r="H71" s="26" t="n"/>
    </row>
    <row r="72">
      <c r="A72" s="25" t="n"/>
      <c r="B72" s="26" t="n"/>
      <c r="C72" s="26" t="n"/>
      <c r="D72" s="26" t="n"/>
      <c r="E72" s="26" t="n"/>
      <c r="F72" s="26" t="n"/>
      <c r="G72" s="26" t="n"/>
      <c r="H72" s="26" t="n"/>
    </row>
    <row r="73">
      <c r="A73" s="25" t="n"/>
      <c r="B73" s="26" t="n"/>
      <c r="C73" s="26" t="n"/>
      <c r="D73" s="26" t="n"/>
      <c r="E73" s="26" t="n"/>
      <c r="F73" s="26" t="n"/>
      <c r="G73" s="26" t="n"/>
      <c r="H73" s="26" t="n"/>
    </row>
    <row r="74">
      <c r="A74" s="25" t="n"/>
      <c r="B74" s="26" t="n"/>
      <c r="C74" s="26" t="n"/>
      <c r="D74" s="26" t="n"/>
      <c r="E74" s="26" t="n"/>
      <c r="F74" s="26" t="n"/>
      <c r="G74" s="26" t="n"/>
      <c r="H74" s="26" t="n"/>
    </row>
    <row r="75">
      <c r="A75" s="25" t="n"/>
      <c r="B75" s="26" t="n"/>
      <c r="C75" s="26" t="n"/>
      <c r="D75" s="26" t="n"/>
      <c r="E75" s="26" t="n"/>
      <c r="F75" s="26" t="n"/>
      <c r="G75" s="26" t="n"/>
      <c r="H75" s="26" t="n"/>
    </row>
    <row r="76">
      <c r="A76" s="25" t="n"/>
      <c r="B76" s="26" t="n"/>
      <c r="C76" s="26" t="n"/>
      <c r="D76" s="26" t="n"/>
      <c r="E76" s="26" t="n"/>
      <c r="F76" s="26" t="n"/>
      <c r="G76" s="26" t="n"/>
      <c r="H76" s="26" t="n"/>
    </row>
    <row r="77">
      <c r="A77" s="25" t="n"/>
      <c r="B77" s="26" t="n"/>
      <c r="C77" s="26" t="n"/>
      <c r="D77" s="26" t="n"/>
      <c r="E77" s="26" t="n"/>
      <c r="F77" s="26" t="n"/>
      <c r="G77" s="26" t="n"/>
      <c r="H77" s="26" t="n"/>
    </row>
    <row r="78">
      <c r="A78" s="25" t="n"/>
      <c r="B78" s="26" t="n"/>
      <c r="C78" s="26" t="n"/>
      <c r="D78" s="26" t="n"/>
      <c r="E78" s="26" t="n"/>
      <c r="F78" s="26" t="n"/>
      <c r="G78" s="26" t="n"/>
      <c r="H78" s="26" t="n"/>
    </row>
    <row r="79">
      <c r="A79" s="25" t="n"/>
      <c r="B79" s="26" t="n"/>
      <c r="C79" s="26" t="n"/>
      <c r="D79" s="26" t="n"/>
      <c r="E79" s="26" t="n"/>
      <c r="F79" s="26" t="n"/>
      <c r="G79" s="26" t="n"/>
      <c r="H79" s="26" t="n"/>
    </row>
    <row r="80">
      <c r="A80" s="25" t="n"/>
      <c r="B80" s="26" t="n"/>
      <c r="C80" s="26" t="n"/>
      <c r="D80" s="26" t="n"/>
      <c r="E80" s="26" t="n"/>
      <c r="F80" s="26" t="n"/>
      <c r="G80" s="26" t="n"/>
      <c r="H80" s="26" t="n"/>
    </row>
    <row r="81">
      <c r="A81" s="25" t="n"/>
      <c r="B81" s="26" t="n"/>
      <c r="C81" s="26" t="n"/>
      <c r="D81" s="26" t="n"/>
      <c r="E81" s="26" t="n"/>
      <c r="F81" s="26" t="n"/>
      <c r="G81" s="26" t="n"/>
      <c r="H81" s="26" t="n"/>
    </row>
    <row r="82">
      <c r="A82" s="25" t="n"/>
      <c r="B82" s="26" t="n"/>
      <c r="C82" s="26" t="n"/>
      <c r="D82" s="26" t="n"/>
      <c r="E82" s="26" t="n"/>
      <c r="F82" s="26" t="n"/>
      <c r="G82" s="26" t="n"/>
      <c r="H82" s="26" t="n"/>
    </row>
    <row r="83">
      <c r="A83" s="25" t="n"/>
      <c r="B83" s="26" t="n"/>
      <c r="C83" s="26" t="n"/>
      <c r="D83" s="26" t="n"/>
      <c r="E83" s="26" t="n"/>
      <c r="F83" s="26" t="n"/>
      <c r="G83" s="26" t="n"/>
      <c r="H83" s="26" t="n"/>
    </row>
    <row r="84">
      <c r="A84" s="25" t="n"/>
      <c r="B84" s="26" t="n"/>
      <c r="C84" s="26" t="n"/>
      <c r="D84" s="26" t="n"/>
      <c r="E84" s="26" t="n"/>
      <c r="F84" s="26" t="n"/>
      <c r="G84" s="26" t="n"/>
      <c r="H84" s="26" t="n"/>
    </row>
    <row r="85">
      <c r="A85" s="25" t="n"/>
      <c r="B85" s="26" t="n"/>
      <c r="C85" s="26" t="n"/>
      <c r="D85" s="26" t="n"/>
      <c r="E85" s="26" t="n"/>
      <c r="F85" s="26" t="n"/>
      <c r="G85" s="26" t="n"/>
      <c r="H85" s="26" t="n"/>
    </row>
    <row r="86">
      <c r="A86" s="25" t="n"/>
      <c r="B86" s="26" t="n"/>
      <c r="C86" s="26" t="n"/>
      <c r="D86" s="26" t="n"/>
      <c r="E86" s="26" t="n"/>
      <c r="F86" s="26" t="n"/>
      <c r="G86" s="26" t="n"/>
      <c r="H86" s="26" t="n"/>
    </row>
    <row r="87">
      <c r="A87" s="25" t="n"/>
      <c r="B87" s="26" t="n"/>
      <c r="C87" s="26" t="n"/>
      <c r="D87" s="26" t="n"/>
      <c r="E87" s="26" t="n"/>
      <c r="F87" s="26" t="n"/>
      <c r="G87" s="26" t="n"/>
      <c r="H87" s="26" t="n"/>
    </row>
    <row r="88">
      <c r="A88" s="25" t="n"/>
      <c r="B88" s="26" t="n"/>
      <c r="C88" s="26" t="n"/>
      <c r="D88" s="26" t="n"/>
      <c r="E88" s="26" t="n"/>
      <c r="F88" s="26" t="n"/>
      <c r="G88" s="26" t="n"/>
      <c r="H88" s="26" t="n"/>
    </row>
    <row r="89">
      <c r="A89" s="25" t="n"/>
      <c r="B89" s="26" t="n"/>
      <c r="C89" s="26" t="n"/>
      <c r="D89" s="26" t="n"/>
      <c r="E89" s="26" t="n"/>
      <c r="F89" s="26" t="n"/>
      <c r="G89" s="26" t="n"/>
      <c r="H89" s="26" t="n"/>
    </row>
    <row r="90">
      <c r="A90" s="25" t="n"/>
      <c r="B90" s="26" t="n"/>
      <c r="C90" s="26" t="n"/>
      <c r="D90" s="26" t="n"/>
      <c r="E90" s="26" t="n"/>
      <c r="F90" s="26" t="n"/>
      <c r="G90" s="26" t="n"/>
      <c r="H90" s="26" t="n"/>
    </row>
    <row r="91">
      <c r="A91" s="25" t="n"/>
      <c r="B91" s="26" t="n"/>
      <c r="C91" s="26" t="n"/>
      <c r="D91" s="26" t="n"/>
      <c r="E91" s="26" t="n"/>
      <c r="F91" s="26" t="n"/>
      <c r="G91" s="26" t="n"/>
      <c r="H91" s="26" t="n"/>
    </row>
    <row r="92">
      <c r="A92" s="25" t="n"/>
      <c r="B92" s="26" t="n"/>
      <c r="C92" s="26" t="n"/>
      <c r="D92" s="26" t="n"/>
      <c r="E92" s="26" t="n"/>
      <c r="F92" s="26" t="n"/>
      <c r="G92" s="26" t="n"/>
      <c r="H92" s="26" t="n"/>
    </row>
    <row r="93">
      <c r="A93" s="25" t="n"/>
      <c r="B93" s="26" t="n"/>
      <c r="C93" s="26" t="n"/>
      <c r="D93" s="26" t="n"/>
      <c r="E93" s="26" t="n"/>
      <c r="F93" s="26" t="n"/>
      <c r="G93" s="26" t="n"/>
      <c r="H93" s="26" t="n"/>
    </row>
    <row r="94">
      <c r="A94" s="25" t="n"/>
      <c r="B94" s="26" t="n"/>
      <c r="C94" s="26" t="n"/>
      <c r="D94" s="26" t="n"/>
      <c r="E94" s="26" t="n"/>
      <c r="F94" s="26" t="n"/>
      <c r="G94" s="26" t="n"/>
      <c r="H94" s="26" t="n"/>
    </row>
    <row r="95">
      <c r="A95" s="25" t="n"/>
      <c r="B95" s="26" t="n"/>
      <c r="C95" s="26" t="n"/>
      <c r="D95" s="26" t="n"/>
      <c r="E95" s="26" t="n"/>
      <c r="F95" s="26" t="n"/>
      <c r="G95" s="26" t="n"/>
      <c r="H95" s="26" t="n"/>
    </row>
    <row r="96">
      <c r="A96" s="25" t="n"/>
      <c r="B96" s="26" t="n"/>
      <c r="C96" s="26" t="n"/>
      <c r="D96" s="26" t="n"/>
      <c r="E96" s="26" t="n"/>
      <c r="F96" s="26" t="n"/>
      <c r="G96" s="26" t="n"/>
      <c r="H96" s="26" t="n"/>
    </row>
    <row r="97">
      <c r="A97" s="25" t="n"/>
      <c r="B97" s="26" t="n"/>
      <c r="C97" s="26" t="n"/>
      <c r="D97" s="26" t="n"/>
      <c r="E97" s="26" t="n"/>
      <c r="F97" s="26" t="n"/>
      <c r="G97" s="26" t="n"/>
      <c r="H97" s="26" t="n"/>
    </row>
    <row r="98">
      <c r="A98" s="25" t="n"/>
      <c r="B98" s="26" t="n"/>
      <c r="C98" s="26" t="n"/>
      <c r="D98" s="26" t="n"/>
      <c r="E98" s="26" t="n"/>
      <c r="F98" s="26" t="n"/>
      <c r="G98" s="26" t="n"/>
      <c r="H98" s="26" t="n"/>
    </row>
    <row r="99">
      <c r="A99" s="25" t="n"/>
      <c r="B99" s="26" t="n"/>
      <c r="C99" s="26" t="n"/>
      <c r="D99" s="26" t="n"/>
      <c r="E99" s="26" t="n"/>
      <c r="F99" s="26" t="n"/>
      <c r="G99" s="26" t="n"/>
      <c r="H99" s="26" t="n"/>
    </row>
    <row r="100">
      <c r="A100" s="25" t="n"/>
      <c r="B100" s="26" t="n"/>
      <c r="C100" s="26" t="n"/>
      <c r="D100" s="26" t="n"/>
      <c r="E100" s="26" t="n"/>
      <c r="F100" s="26" t="n"/>
      <c r="G100" s="26" t="n"/>
      <c r="H100" s="26" t="n"/>
    </row>
    <row r="101">
      <c r="A101" s="25" t="n"/>
      <c r="B101" s="26" t="n"/>
      <c r="C101" s="26" t="n"/>
      <c r="D101" s="26" t="n"/>
      <c r="E101" s="26" t="n"/>
      <c r="F101" s="26" t="n"/>
      <c r="G101" s="26" t="n"/>
      <c r="H101" s="26" t="n"/>
    </row>
    <row r="102">
      <c r="A102" s="25" t="n"/>
      <c r="B102" s="26" t="n"/>
      <c r="C102" s="26" t="n"/>
      <c r="D102" s="26" t="n"/>
      <c r="E102" s="26" t="n"/>
      <c r="F102" s="26" t="n"/>
      <c r="G102" s="26" t="n"/>
      <c r="H102" s="26" t="n"/>
    </row>
    <row r="103">
      <c r="A103" s="25" t="n"/>
      <c r="B103" s="26" t="n"/>
      <c r="C103" s="26" t="n"/>
      <c r="D103" s="26" t="n"/>
      <c r="E103" s="26" t="n"/>
      <c r="F103" s="26" t="n"/>
      <c r="G103" s="26" t="n"/>
      <c r="H103" s="26" t="n"/>
    </row>
    <row r="104">
      <c r="A104" s="25" t="n"/>
      <c r="B104" s="26" t="n"/>
      <c r="C104" s="26" t="n"/>
      <c r="D104" s="26" t="n"/>
      <c r="E104" s="26" t="n"/>
      <c r="F104" s="26" t="n"/>
      <c r="G104" s="26" t="n"/>
      <c r="H104" s="26" t="n"/>
    </row>
    <row r="105">
      <c r="A105" s="25" t="n"/>
      <c r="B105" s="26" t="n"/>
      <c r="C105" s="26" t="n"/>
      <c r="D105" s="26" t="n"/>
      <c r="E105" s="26" t="n"/>
      <c r="F105" s="26" t="n"/>
      <c r="G105" s="26" t="n"/>
      <c r="H105" s="2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38" customWidth="1" min="1" max="1"/>
    <col width="12" customWidth="1" min="2" max="2"/>
    <col width="15" customWidth="1" min="3" max="3"/>
    <col width="5" customWidth="1" min="4" max="4"/>
    <col width="5" customWidth="1" min="5" max="5"/>
    <col width="5" customWidth="1" min="6" max="6"/>
    <col width="15" customWidth="1" min="7" max="7"/>
  </cols>
  <sheetData>
    <row r="1" ht="35" customHeight="1">
      <c r="A1" s="27" t="inlineStr">
        <is>
          <t>NETWORK SECURITY CONTROLS COVERAGE MATRIX — SUMMARY DASHBOARD</t>
        </is>
      </c>
    </row>
    <row r="2">
      <c r="A2" s="28" t="inlineStr">
        <is>
          <t>ISO/IEC 27001:2022 — Controls A.8.20 · A.8.21 · A.8.22: Network Security, Security of Network Services and Segregation of Networks</t>
        </is>
      </c>
    </row>
    <row r="4">
      <c r="A4" s="29" t="inlineStr">
        <is>
          <t>TABLE 1: ASSESSMENT AREA COMPLIANCE</t>
        </is>
      </c>
    </row>
    <row r="5">
      <c r="A5" s="30" t="inlineStr">
        <is>
          <t>Assessment Area</t>
        </is>
      </c>
      <c r="B5" s="30" t="inlineStr">
        <is>
          <t>Total</t>
        </is>
      </c>
      <c r="C5" s="30" t="inlineStr">
        <is>
          <t>Yes</t>
        </is>
      </c>
      <c r="D5" s="30" t="inlineStr">
        <is>
          <t>Partial</t>
        </is>
      </c>
      <c r="E5" s="30" t="inlineStr">
        <is>
          <t>No</t>
        </is>
      </c>
      <c r="F5" s="30" t="inlineStr">
        <is>
          <t>N-A</t>
        </is>
      </c>
      <c r="G5" s="30" t="inlineStr">
        <is>
          <t>Compliance %</t>
        </is>
      </c>
    </row>
    <row r="6">
      <c r="A6" s="31" t="inlineStr">
        <is>
          <t>Controls Coverage Matrix</t>
        </is>
      </c>
      <c r="B6" s="32">
        <f>COUNTA('Controls Coverage Matrix'!C5:AA54)</f>
        <v/>
      </c>
      <c r="C6" s="32">
        <f>COUNTIF('Controls Coverage Matrix'!C5:AA54,"Covered")</f>
        <v/>
      </c>
      <c r="D6" s="32">
        <f>COUNTIF('Controls Coverage Matrix'!C5:AA54,"Partially Covered")</f>
        <v/>
      </c>
      <c r="E6" s="32">
        <f>COUNTIF('Controls Coverage Matrix'!C5:AA54,"Not Covered")</f>
        <v/>
      </c>
      <c r="F6" s="32">
        <f>B6-(C6+D6+E6)</f>
        <v/>
      </c>
      <c r="G6" s="32">
        <f>IF((B6-F6)=0,"0%",ROUND(C6/(B6-F6)*100,1)&amp;"%")</f>
        <v/>
      </c>
    </row>
    <row r="7">
      <c r="A7" s="31" t="inlineStr">
        <is>
          <t>Zone Control Assessment</t>
        </is>
      </c>
      <c r="B7" s="32">
        <f>COUNTA('Zone Control Assessment'!B5:B54)</f>
        <v/>
      </c>
      <c r="C7" s="32">
        <f>COUNTIF('Zone Control Assessment'!G5:G54,"Effective")</f>
        <v/>
      </c>
      <c r="D7" s="32">
        <f>COUNTIF('Zone Control Assessment'!G5:G54,"Partially Effective")</f>
        <v/>
      </c>
      <c r="E7" s="32">
        <f>COUNTIF('Zone Control Assessment'!G5:G54,"Ineffective")</f>
        <v/>
      </c>
      <c r="F7" s="32">
        <f>B7-(C7+D7+E7)</f>
        <v/>
      </c>
      <c r="G7" s="32">
        <f>IF((B7-F7)=0,"0%",ROUND(C7/(B7-F7)*100,1)&amp;"%")</f>
        <v/>
      </c>
    </row>
    <row r="8">
      <c r="A8" s="31" t="inlineStr">
        <is>
          <t>Device Control Mapping</t>
        </is>
      </c>
      <c r="B8" s="32">
        <f>COUNTA('Device Control Mapping'!B5:B54)</f>
        <v/>
      </c>
      <c r="C8" s="32">
        <f>COUNTIF('Device Control Mapping'!H5:H54,"Effective")</f>
        <v/>
      </c>
      <c r="D8" s="32">
        <f>COUNTIF('Device Control Mapping'!H5:H54,"Partially Effective")</f>
        <v/>
      </c>
      <c r="E8" s="32">
        <f>COUNTIF('Device Control Mapping'!H5:H54,"Ineffective")</f>
        <v/>
      </c>
      <c r="F8" s="32">
        <f>B8-(C8+D8+E8)</f>
        <v/>
      </c>
      <c r="G8" s="32">
        <f>IF((B8-F8)=0,"0%",ROUND(C8/(B8-F8)*100,1)&amp;"%")</f>
        <v/>
      </c>
    </row>
    <row r="9">
      <c r="A9" s="31" t="inlineStr">
        <is>
          <t>Service Control Mapping</t>
        </is>
      </c>
      <c r="B9" s="32">
        <f>COUNTA('Service Control Mapping'!B5:B54)</f>
        <v/>
      </c>
      <c r="C9" s="32">
        <f>COUNTIF('Service Control Mapping'!F5:F54,"&gt;=80")</f>
        <v/>
      </c>
      <c r="D9" s="32">
        <f>COUNTIFS('Service Control Mapping'!F5:F54,"&gt;=50",'Service Control Mapping'!F5:F54,"&lt;80")</f>
        <v/>
      </c>
      <c r="E9" s="32">
        <f>COUNTIFS('Service Control Mapping'!F5:F54,"&gt;=0",'Service Control Mapping'!F5:F54,"&lt;50")</f>
        <v/>
      </c>
      <c r="F9" s="32">
        <f>B9-(C9+D9+E9)</f>
        <v/>
      </c>
      <c r="G9" s="32">
        <f>IF((B9-F9)=0,"0%",ROUND(C9/(B9-F9)*100,1)&amp;"%")</f>
        <v/>
      </c>
    </row>
    <row r="10">
      <c r="A10" s="31" t="inlineStr">
        <is>
          <t>Control Effectiveness</t>
        </is>
      </c>
      <c r="B10" s="32">
        <f>COUNTA('Control Effectiveness'!B5:B24)</f>
        <v/>
      </c>
      <c r="C10" s="32">
        <f>COUNTIF('Control Effectiveness'!F5:F24,"Effective")</f>
        <v/>
      </c>
      <c r="D10" s="32">
        <f>COUNTIF('Control Effectiveness'!F5:F24,"Partially Effective")</f>
        <v/>
      </c>
      <c r="E10" s="32">
        <f>COUNTIF('Control Effectiveness'!F5:F24,"Ineffective")</f>
        <v/>
      </c>
      <c r="F10" s="32">
        <f>B10-(C10+D10+E10)</f>
        <v/>
      </c>
      <c r="G10" s="32">
        <f>IF((B10-F10)=0,"0%",ROUND(C10/(B10-F10)*100,1)&amp;"%")</f>
        <v/>
      </c>
    </row>
    <row r="11">
      <c r="A11" s="33" t="inlineStr">
        <is>
          <t>TOTAL</t>
        </is>
      </c>
      <c r="B11" s="30">
        <f>SUM(B6:B10)</f>
        <v/>
      </c>
      <c r="C11" s="30">
        <f>SUM(C6:C10)</f>
        <v/>
      </c>
      <c r="D11" s="30">
        <f>SUM(D6:D10)</f>
        <v/>
      </c>
      <c r="E11" s="30">
        <f>SUM(E6:E10)</f>
        <v/>
      </c>
      <c r="F11" s="30">
        <f>SUM(F6:F10)</f>
        <v/>
      </c>
      <c r="G11" s="30">
        <f>IF((B11-F11)=0,"0%",ROUND(C11/(B11-F11)*100,1)&amp;"%")</f>
        <v/>
      </c>
    </row>
    <row r="13">
      <c r="A13" s="29" t="inlineStr">
        <is>
          <t>TABLE 2: KEY METRICS</t>
        </is>
      </c>
    </row>
    <row r="14">
      <c r="A14" s="33" t="inlineStr">
        <is>
          <t>Metric</t>
        </is>
      </c>
      <c r="B14" s="30" t="inlineStr">
        <is>
          <t>Value</t>
        </is>
      </c>
      <c r="C14" s="33" t="inlineStr">
        <is>
          <t>What This Shows</t>
        </is>
      </c>
    </row>
    <row r="15">
      <c r="A15" s="31" t="inlineStr">
        <is>
          <t>Uncovered Control-Zone Combinations</t>
        </is>
      </c>
      <c r="B15" s="32">
        <f>COUNTIF('Controls Coverage Matrix'!C5:AA54,"Not Covered")</f>
        <v/>
      </c>
      <c r="C15" s="34" t="inlineStr">
        <is>
          <t>Zones without required security controls (defence-in-depth gaps)</t>
        </is>
      </c>
      <c r="D15" s="6" t="n"/>
      <c r="E15" s="6" t="n"/>
      <c r="F15" s="6" t="n"/>
      <c r="G15" s="6" t="n"/>
    </row>
    <row r="16">
      <c r="A16" s="31" t="inlineStr">
        <is>
          <t>Partially Covered Combinations</t>
        </is>
      </c>
      <c r="B16" s="32">
        <f>COUNTIF('Controls Coverage Matrix'!C5:AA54,"Partially Covered")</f>
        <v/>
      </c>
      <c r="C16" s="34" t="inlineStr">
        <is>
          <t>Zones with incomplete security control coverage</t>
        </is>
      </c>
      <c r="D16" s="6" t="n"/>
      <c r="E16" s="6" t="n"/>
      <c r="F16" s="6" t="n"/>
      <c r="G16" s="6" t="n"/>
    </row>
    <row r="17">
      <c r="A17" s="31" t="inlineStr">
        <is>
          <t>Ineffective Controls</t>
        </is>
      </c>
      <c r="B17" s="32">
        <f>COUNTIF('Control Effectiveness'!F5:F24,"Ineffective")</f>
        <v/>
      </c>
      <c r="C17" s="34" t="inlineStr">
        <is>
          <t>Controls assessed as ineffective (non-functional or bypassed)</t>
        </is>
      </c>
      <c r="D17" s="6" t="n"/>
      <c r="E17" s="6" t="n"/>
      <c r="F17" s="6" t="n"/>
      <c r="G17" s="6" t="n"/>
    </row>
    <row r="18">
      <c r="A18" s="31" t="inlineStr">
        <is>
          <t>Partially Effective Controls</t>
        </is>
      </c>
      <c r="B18" s="32">
        <f>COUNTIF('Control Effectiveness'!F5:F24,"Partially Effective")</f>
        <v/>
      </c>
      <c r="C18" s="34" t="inlineStr">
        <is>
          <t>Controls operating at reduced effectiveness</t>
        </is>
      </c>
      <c r="D18" s="6" t="n"/>
      <c r="E18" s="6" t="n"/>
      <c r="F18" s="6" t="n"/>
      <c r="G18" s="6" t="n"/>
    </row>
    <row r="19">
      <c r="A19" s="31" t="inlineStr">
        <is>
          <t>Not Assessed Controls</t>
        </is>
      </c>
      <c r="B19" s="32">
        <f>COUNTIF('Control Effectiveness'!F5:F24,"Not Assessed")</f>
        <v/>
      </c>
      <c r="C19" s="34" t="inlineStr">
        <is>
          <t>Controls without effectiveness rating (assessment required)</t>
        </is>
      </c>
      <c r="D19" s="6" t="n"/>
      <c r="E19" s="6" t="n"/>
      <c r="F19" s="6" t="n"/>
      <c r="G19" s="6" t="n"/>
    </row>
    <row r="20">
      <c r="A20" s="31" t="inlineStr">
        <is>
          <t>Critical Gap Analysis</t>
        </is>
      </c>
      <c r="B20" s="32">
        <f>COUNTIF('Gap Analysis'!F5:F43,"Critical")</f>
        <v/>
      </c>
      <c r="C20" s="34" t="inlineStr">
        <is>
          <t>Critical-severity control coverage gaps (immediate deployment required)</t>
        </is>
      </c>
      <c r="D20" s="6" t="n"/>
      <c r="E20" s="6" t="n"/>
      <c r="F20" s="6" t="n"/>
      <c r="G20" s="6" t="n"/>
    </row>
    <row r="21">
      <c r="A21" s="31" t="inlineStr">
        <is>
          <t>High Severity Gap Analysis</t>
        </is>
      </c>
      <c r="B21" s="32">
        <f>COUNTIF('Gap Analysis'!F5:F43,"High")</f>
        <v/>
      </c>
      <c r="C21" s="34" t="inlineStr">
        <is>
          <t>High-severity control gaps requiring prioritised remediation</t>
        </is>
      </c>
      <c r="D21" s="6" t="n"/>
      <c r="E21" s="6" t="n"/>
      <c r="F21" s="6" t="n"/>
      <c r="G21" s="6" t="n"/>
    </row>
    <row r="22">
      <c r="A22" s="31" t="inlineStr">
        <is>
          <t>Overall Compliance Rate</t>
        </is>
      </c>
      <c r="B22" s="32">
        <f>G11</f>
        <v/>
      </c>
      <c r="C22" s="34" t="inlineStr">
        <is>
          <t>Overall controls coverage compliance percentage (TABLE 1 total)</t>
        </is>
      </c>
      <c r="D22" s="6" t="n"/>
      <c r="E22" s="6" t="n"/>
      <c r="F22" s="6" t="n"/>
      <c r="G22" s="6" t="n"/>
    </row>
    <row r="24">
      <c r="A24" s="35" t="inlineStr">
        <is>
          <t>TABLE 3: CRITICAL FINDINGS</t>
        </is>
      </c>
    </row>
    <row r="25">
      <c r="A25" s="33" t="inlineStr">
        <is>
          <t>Critical Finding Type</t>
        </is>
      </c>
      <c r="B25" s="30" t="inlineStr">
        <is>
          <t>Count</t>
        </is>
      </c>
      <c r="C25" s="33" t="inlineStr">
        <is>
          <t>Filter Instructions</t>
        </is>
      </c>
    </row>
    <row r="26">
      <c r="A26" s="36" t="inlineStr">
        <is>
          <t>Uncovered Control-Zone Combinations</t>
        </is>
      </c>
      <c r="B26" s="37">
        <f>COUNTIF('Controls Coverage Matrix'!C5:AA54,"Not Covered")</f>
        <v/>
      </c>
      <c r="C26" s="38" t="inlineStr">
        <is>
          <t>Filter Controls Coverage Matrix: Any control column = "Not Covered"</t>
        </is>
      </c>
      <c r="D26" s="19" t="n"/>
      <c r="E26" s="19" t="n"/>
      <c r="F26" s="19" t="n"/>
      <c r="G26" s="19" t="n"/>
    </row>
    <row r="27">
      <c r="A27" s="36" t="inlineStr">
        <is>
          <t>Ineffective Controls</t>
        </is>
      </c>
      <c r="B27" s="37">
        <f>COUNTIF('Control Effectiveness'!F5:F24,"Ineffective")</f>
        <v/>
      </c>
      <c r="C27" s="38" t="inlineStr">
        <is>
          <t>Filter Control Effectiveness: Effectiveness Rating = "Ineffective"</t>
        </is>
      </c>
      <c r="D27" s="19" t="n"/>
      <c r="E27" s="19" t="n"/>
      <c r="F27" s="19" t="n"/>
      <c r="G27" s="19" t="n"/>
    </row>
    <row r="28">
      <c r="A28" s="36" t="inlineStr">
        <is>
          <t>Critical Gap Analysis</t>
        </is>
      </c>
      <c r="B28" s="37">
        <f>COUNTIF('Gap Analysis'!F5:F43,"Critical")</f>
        <v/>
      </c>
      <c r="C28" s="38" t="inlineStr">
        <is>
          <t>Filter Gap Analysis: Severity = "Critical"</t>
        </is>
      </c>
      <c r="D28" s="19" t="n"/>
      <c r="E28" s="19" t="n"/>
      <c r="F28" s="19" t="n"/>
      <c r="G28" s="19" t="n"/>
    </row>
    <row r="29">
      <c r="A29" s="36" t="inlineStr">
        <is>
          <t>High Severity Gap Analysis</t>
        </is>
      </c>
      <c r="B29" s="37">
        <f>COUNTIF('Gap Analysis'!F5:F43,"High")</f>
        <v/>
      </c>
      <c r="C29" s="38" t="inlineStr">
        <is>
          <t>Filter Gap Analysis: Severity = "High"</t>
        </is>
      </c>
      <c r="D29" s="19" t="n"/>
      <c r="E29" s="19" t="n"/>
      <c r="F29" s="19" t="n"/>
      <c r="G29" s="19" t="n"/>
    </row>
    <row r="30">
      <c r="A30" s="36" t="inlineStr">
        <is>
          <t>Not Assessed Controls</t>
        </is>
      </c>
      <c r="B30" s="37">
        <f>COUNTIF('Control Effectiveness'!F5:F24,"Not Assessed")</f>
        <v/>
      </c>
      <c r="C30" s="38" t="inlineStr">
        <is>
          <t>Filter Control Effectiveness: Effectiveness Rating = "Not Assessed"</t>
        </is>
      </c>
      <c r="D30" s="19" t="n"/>
      <c r="E30" s="19" t="n"/>
      <c r="F30" s="19" t="n"/>
      <c r="G30" s="19" t="n"/>
    </row>
    <row r="31">
      <c r="A31" s="39" t="inlineStr">
        <is>
          <t>TOTAL</t>
        </is>
      </c>
      <c r="B31" s="40">
        <f>SUM(B26:B30)</f>
        <v/>
      </c>
      <c r="C31" s="41" t="inlineStr">
        <is>
          <t>Total critical findings requiring immediate investigation</t>
        </is>
      </c>
    </row>
  </sheetData>
  <mergeCells count="21">
    <mergeCell ref="C30:G30"/>
    <mergeCell ref="C15:G15"/>
    <mergeCell ref="A4:G4"/>
    <mergeCell ref="C14:G14"/>
    <mergeCell ref="C26:G26"/>
    <mergeCell ref="A13:G13"/>
    <mergeCell ref="C29:G29"/>
    <mergeCell ref="C20:G20"/>
    <mergeCell ref="C16:G16"/>
    <mergeCell ref="C25:G25"/>
    <mergeCell ref="A24:G24"/>
    <mergeCell ref="C31:G31"/>
    <mergeCell ref="C22:G22"/>
    <mergeCell ref="C21:G21"/>
    <mergeCell ref="A1:G1"/>
    <mergeCell ref="C27:G27"/>
    <mergeCell ref="C17:G17"/>
    <mergeCell ref="C28:G28"/>
    <mergeCell ref="C19:G19"/>
    <mergeCell ref="A2:G2"/>
    <mergeCell ref="C18:G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42" t="inlineStr">
        <is>
          <t>ISO/IEC 27001:2022 - Control A.8.20-22: Network Security</t>
        </is>
      </c>
      <c r="B2" s="6" t="n"/>
      <c r="C2" s="6" t="n"/>
      <c r="D2" s="6" t="n"/>
      <c r="E2" s="6" t="n"/>
    </row>
    <row r="3">
      <c r="A3" s="43" t="inlineStr">
        <is>
          <t>ASSESSMENT SUMMARY</t>
        </is>
      </c>
      <c r="B3" s="6" t="n"/>
      <c r="C3" s="6" t="n"/>
      <c r="D3" s="6" t="n"/>
      <c r="E3" s="6" t="n"/>
    </row>
    <row r="4">
      <c r="A4" s="3" t="inlineStr">
        <is>
          <t>Document:</t>
        </is>
      </c>
      <c r="B4" s="6" t="inlineStr">
        <is>
          <t>ISMS-IMP-A.8.20-22.S5 - Network Security Controls Coverage Matrix</t>
        </is>
      </c>
      <c r="C4" s="6" t="n"/>
      <c r="D4" s="6" t="n"/>
      <c r="E4" s="6" t="n"/>
    </row>
    <row r="5">
      <c r="A5" s="3" t="inlineStr">
        <is>
          <t>Assessment Period:</t>
        </is>
      </c>
      <c r="B5" s="19" t="inlineStr"/>
      <c r="C5" s="6" t="n"/>
      <c r="D5" s="6" t="n"/>
      <c r="E5" s="6" t="n"/>
    </row>
    <row r="6">
      <c r="A6" s="3" t="inlineStr">
        <is>
          <t>Overall Compliance Rating:</t>
        </is>
      </c>
      <c r="B6" s="44">
        <f>IFERROR(AVERAGE('Summary Dashboard'!G6:G10),"")</f>
        <v/>
      </c>
      <c r="C6" s="6" t="n"/>
      <c r="D6" s="6" t="n"/>
      <c r="E6" s="6" t="n"/>
    </row>
    <row r="7">
      <c r="A7" s="3" t="inlineStr">
        <is>
          <t>Assessment Status:</t>
        </is>
      </c>
      <c r="B7" s="19" t="inlineStr"/>
      <c r="C7" s="6" t="n"/>
      <c r="D7" s="6" t="n"/>
      <c r="E7" s="6" t="n"/>
    </row>
    <row r="8">
      <c r="A8" s="3" t="inlineStr">
        <is>
          <t>Assessed By:</t>
        </is>
      </c>
      <c r="B8" s="19" t="inlineStr"/>
      <c r="C8" s="6" t="n"/>
      <c r="D8" s="6" t="n"/>
      <c r="E8" s="6" t="n"/>
    </row>
    <row r="11">
      <c r="A11" s="43" t="inlineStr">
        <is>
          <t>COMPLETED BY (ASSESSOR)</t>
        </is>
      </c>
      <c r="B11" s="6" t="n"/>
      <c r="C11" s="6" t="n"/>
      <c r="D11" s="6" t="n"/>
      <c r="E11" s="6" t="n"/>
    </row>
    <row r="12">
      <c r="A12" s="3" t="inlineStr">
        <is>
          <t>Name:</t>
        </is>
      </c>
      <c r="B12" s="19" t="n"/>
      <c r="C12" s="6" t="n"/>
      <c r="D12" s="6" t="n"/>
      <c r="E12" s="6" t="n"/>
    </row>
    <row r="13">
      <c r="A13" s="3" t="inlineStr">
        <is>
          <t>Title:</t>
        </is>
      </c>
      <c r="B13" s="19" t="n"/>
      <c r="C13" s="6" t="n"/>
      <c r="D13" s="6" t="n"/>
      <c r="E13" s="6" t="n"/>
    </row>
    <row r="14">
      <c r="A14" s="3" t="inlineStr">
        <is>
          <t>Date:</t>
        </is>
      </c>
      <c r="B14" s="19" t="n"/>
      <c r="C14" s="6" t="n"/>
      <c r="D14" s="6" t="n"/>
      <c r="E14" s="6" t="n"/>
    </row>
    <row r="15">
      <c r="A15" s="3" t="inlineStr">
        <is>
          <t>Signature:</t>
        </is>
      </c>
      <c r="B15" s="19" t="n"/>
      <c r="C15" s="6" t="n"/>
      <c r="D15" s="6" t="n"/>
      <c r="E15" s="6" t="n"/>
    </row>
    <row r="16">
      <c r="A16" s="3" t="inlineStr">
        <is>
          <t>Comments:</t>
        </is>
      </c>
      <c r="B16" s="19" t="n"/>
      <c r="C16" s="6" t="n"/>
      <c r="D16" s="6" t="n"/>
      <c r="E16" s="6" t="n"/>
    </row>
    <row r="18">
      <c r="A18" s="43" t="inlineStr">
        <is>
          <t>REVIEWED BY (INFORMATION SECURITY OFFICER)</t>
        </is>
      </c>
      <c r="B18" s="6" t="n"/>
      <c r="C18" s="6" t="n"/>
      <c r="D18" s="6" t="n"/>
      <c r="E18" s="6" t="n"/>
    </row>
    <row r="19">
      <c r="A19" s="3" t="inlineStr">
        <is>
          <t>Name:</t>
        </is>
      </c>
      <c r="B19" s="19" t="n"/>
      <c r="C19" s="6" t="n"/>
      <c r="D19" s="6" t="n"/>
      <c r="E19" s="6" t="n"/>
    </row>
    <row r="20">
      <c r="A20" s="3" t="inlineStr">
        <is>
          <t>Title:</t>
        </is>
      </c>
      <c r="B20" s="19" t="n"/>
      <c r="C20" s="6" t="n"/>
      <c r="D20" s="6" t="n"/>
      <c r="E20" s="6" t="n"/>
    </row>
    <row r="21">
      <c r="A21" s="3" t="inlineStr">
        <is>
          <t>Date:</t>
        </is>
      </c>
      <c r="B21" s="19" t="n"/>
      <c r="C21" s="6" t="n"/>
      <c r="D21" s="6" t="n"/>
      <c r="E21" s="6" t="n"/>
    </row>
    <row r="22">
      <c r="A22" s="3" t="inlineStr">
        <is>
          <t>Signature:</t>
        </is>
      </c>
      <c r="B22" s="19" t="n"/>
      <c r="C22" s="6" t="n"/>
      <c r="D22" s="6" t="n"/>
      <c r="E22" s="6" t="n"/>
    </row>
    <row r="23">
      <c r="A23" s="3" t="inlineStr">
        <is>
          <t>Comments:</t>
        </is>
      </c>
      <c r="B23" s="19" t="n"/>
      <c r="C23" s="6" t="n"/>
      <c r="D23" s="6" t="n"/>
      <c r="E23" s="6" t="n"/>
    </row>
    <row r="25">
      <c r="A25" s="45" t="inlineStr">
        <is>
          <t>APPROVED BY (CISO)</t>
        </is>
      </c>
      <c r="B25" s="6" t="n"/>
      <c r="C25" s="6" t="n"/>
      <c r="D25" s="6" t="n"/>
      <c r="E25" s="6" t="n"/>
    </row>
    <row r="26">
      <c r="A26" s="3" t="inlineStr">
        <is>
          <t>Name:</t>
        </is>
      </c>
      <c r="B26" s="19" t="n"/>
      <c r="C26" s="6" t="n"/>
      <c r="D26" s="6" t="n"/>
      <c r="E26" s="6" t="n"/>
    </row>
    <row r="27">
      <c r="A27" s="3" t="inlineStr">
        <is>
          <t>Title:</t>
        </is>
      </c>
      <c r="B27" s="19" t="n"/>
      <c r="C27" s="6" t="n"/>
      <c r="D27" s="6" t="n"/>
      <c r="E27" s="6" t="n"/>
    </row>
    <row r="28">
      <c r="A28" s="3" t="inlineStr">
        <is>
          <t>Date:</t>
        </is>
      </c>
      <c r="B28" s="19" t="n"/>
      <c r="C28" s="6" t="n"/>
      <c r="D28" s="6" t="n"/>
      <c r="E28" s="6" t="n"/>
    </row>
    <row r="29">
      <c r="A29" s="3" t="inlineStr">
        <is>
          <t>Signature:</t>
        </is>
      </c>
      <c r="B29" s="19" t="n"/>
      <c r="C29" s="6" t="n"/>
      <c r="D29" s="6" t="n"/>
      <c r="E29" s="6" t="n"/>
    </row>
    <row r="30">
      <c r="A30" s="3" t="inlineStr">
        <is>
          <t>Comments:</t>
        </is>
      </c>
      <c r="B30" s="19" t="n"/>
      <c r="C30" s="6" t="n"/>
      <c r="D30" s="6" t="n"/>
      <c r="E30" s="6" t="n"/>
    </row>
    <row r="32">
      <c r="A32" s="3" t="inlineStr">
        <is>
          <t>FINAL DECISION:</t>
        </is>
      </c>
      <c r="B32" s="19" t="n"/>
      <c r="C32" s="6" t="n"/>
      <c r="D32" s="6" t="n"/>
      <c r="E32" s="6" t="n"/>
    </row>
    <row r="35">
      <c r="A35" s="43" t="inlineStr">
        <is>
          <t>NEXT REVIEW DETAILS</t>
        </is>
      </c>
      <c r="B35" s="6" t="n"/>
      <c r="C35" s="6" t="n"/>
      <c r="D35" s="6" t="n"/>
      <c r="E35" s="6" t="n"/>
    </row>
    <row r="36">
      <c r="A36" s="3" t="inlineStr">
        <is>
          <t>Next Review Date:</t>
        </is>
      </c>
      <c r="B36" s="19" t="n"/>
      <c r="C36" s="6" t="n"/>
      <c r="D36" s="6" t="n"/>
      <c r="E36" s="6" t="n"/>
    </row>
    <row r="37">
      <c r="A37" s="3" t="inlineStr">
        <is>
          <t>Review Responsible:</t>
        </is>
      </c>
      <c r="B37" s="19" t="n"/>
      <c r="C37" s="6" t="n"/>
      <c r="D37" s="6" t="n"/>
      <c r="E37" s="6" t="n"/>
    </row>
    <row r="38">
      <c r="A38" s="3" t="inlineStr">
        <is>
          <t>Special Considerations:</t>
        </is>
      </c>
      <c r="B38" s="1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ISMS-IMP-A.8.20-22.S5 — Network Security Controls Coverage Matrix</dc:title>
  <dc:description xmlns:dc="http://purl.org/dc/elements/1.1/">ISMS Implementation Workbook — ISMS-IMP-A.8.20-22.S5</dc:description>
  <dc:subject xmlns:dc="http://purl.org/dc/elements/1.1/">ISO/IEC 27001:2022 — Control A.8.20-22: Network Security</dc:subject>
  <dcterms:created xmlns:dcterms="http://purl.org/dc/terms/" xmlns:xsi="http://www.w3.org/2001/XMLSchema-instance" xsi:type="dcterms:W3CDTF">2026-03-10T18:49:31Z</dcterms:created>
  <dcterms:modified xmlns:dcterms="http://purl.org/dc/terms/" xmlns:xsi="http://www.w3.org/2001/XMLSchema-instance" xsi:type="dcterms:W3CDTF">2026-03-10T18:49:31Z</dcterms:modified>
</cp:coreProperties>
</file>