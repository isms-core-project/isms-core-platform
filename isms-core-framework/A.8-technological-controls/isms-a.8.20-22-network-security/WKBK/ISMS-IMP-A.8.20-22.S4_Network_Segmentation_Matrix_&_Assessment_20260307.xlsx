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Inventory" sheetId="2" state="visible" r:id="rId2"/>
    <sheet xmlns:r="http://schemas.openxmlformats.org/officeDocument/2006/relationships" name="Segmentation Matrix" sheetId="3" state="visible" r:id="rId3"/>
    <sheet xmlns:r="http://schemas.openxmlformats.org/officeDocument/2006/relationships" name="VLAN Inventory" sheetId="4" state="visible" r:id="rId4"/>
    <sheet xmlns:r="http://schemas.openxmlformats.org/officeDocument/2006/relationships" name="Firewall Rules Assessment" sheetId="5" state="visible" r:id="rId5"/>
    <sheet xmlns:r="http://schemas.openxmlformats.org/officeDocument/2006/relationships" name="ACL Assessment" sheetId="6" state="visible" r:id="rId6"/>
    <sheet xmlns:r="http://schemas.openxmlformats.org/officeDocument/2006/relationships" name="Segmentation Testing" sheetId="7" state="visible" r:id="rId7"/>
    <sheet xmlns:r="http://schemas.openxmlformats.org/officeDocument/2006/relationships" name="Gap Analysis" sheetId="8" state="visible" r:id="rId8"/>
    <sheet xmlns:r="http://schemas.openxmlformats.org/officeDocument/2006/relationships" name="Remediation Roadmap"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9C0006"/>
      <sz val="10"/>
    </font>
    <font>
      <name val="Calibri"/>
      <b val="1"/>
      <color rgb="00006100"/>
      <sz val="10"/>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6" fillId="12" borderId="0" pivotButton="0" quotePrefix="0" xfId="0"/>
    <xf numFmtId="0" fontId="7" fillId="13" borderId="0" pivotButton="0" quotePrefix="0" xfId="0"/>
    <xf numFmtId="0" fontId="8"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pivotButton="0" quotePrefix="0" xfId="0"/>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5" fillId="10" borderId="1" applyAlignment="1" pivotButton="0" quotePrefix="0" xfId="0">
      <alignment horizontal="left" vertical="center"/>
    </xf>
    <xf numFmtId="0" fontId="17" fillId="0" borderId="1" applyAlignment="1" pivotButton="0" quotePrefix="0" xfId="0">
      <alignment horizontal="left" vertical="top" wrapText="1"/>
    </xf>
    <xf numFmtId="0" fontId="14" fillId="14" borderId="0" pivotButton="0" quotePrefix="0" xfId="0"/>
    <xf numFmtId="0" fontId="16" fillId="11" borderId="1" applyAlignment="1" pivotButton="0" quotePrefix="0" xfId="0">
      <alignment horizontal="left" vertical="center"/>
    </xf>
    <xf numFmtId="0" fontId="16" fillId="11" borderId="1" applyAlignment="1" pivotButton="0" quotePrefix="0" xfId="0">
      <alignment horizontal="center" vertical="center"/>
    </xf>
    <xf numFmtId="0" fontId="17" fillId="11" borderId="1" applyAlignment="1" pivotButton="0" quotePrefix="0" xfId="0">
      <alignment horizontal="left" vertical="top" wrapText="1"/>
    </xf>
    <xf numFmtId="0" fontId="15" fillId="0" borderId="1" applyAlignment="1" pivotButton="0" quotePrefix="0" xfId="0">
      <alignment horizontal="left" vertical="center"/>
    </xf>
    <xf numFmtId="0" fontId="15" fillId="15" borderId="1" applyAlignment="1" pivotButton="0" quotePrefix="0" xfId="0">
      <alignment horizontal="center" vertical="center"/>
    </xf>
    <xf numFmtId="0" fontId="17" fillId="0" borderId="0" applyAlignment="1" pivotButton="0" quotePrefix="0" xfId="0">
      <alignment horizontal="left" vertical="center"/>
    </xf>
    <xf numFmtId="0" fontId="18" fillId="0" borderId="1" applyAlignment="1" pivotButton="0" quotePrefix="0" xfId="0">
      <alignment horizontal="center" vertical="center"/>
    </xf>
    <xf numFmtId="0" fontId="19" fillId="16" borderId="1" pivotButton="0" quotePrefix="0" xfId="0"/>
    <xf numFmtId="164" fontId="0" fillId="0" borderId="1" pivotButton="0" quotePrefix="0" xfId="0"/>
    <xf numFmtId="0" fontId="19" fillId="8" borderId="1" pivotButton="0" quotePrefix="0" xfId="0"/>
  </cellXfs>
  <cellStyles count="1">
    <cellStyle name="Normal" xfId="0" builtinId="0" hidden="0"/>
  </cellStyles>
  <dxfs count="7">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ill>
        <patternFill patternType="solid">
          <fgColor rgb="00C6EFCE"/>
          <bgColor rgb="00C6EFCE"/>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ISMS-IMP-A.8.20-21-22.S4  -  Network Segmentation Matrix &amp; Assessment
ISO/IEC 27001:2022 - Control A.8.20-21-22: Network Security</t>
        </is>
      </c>
    </row>
    <row r="3">
      <c r="A3" s="2" t="inlineStr">
        <is>
          <t>Document Information</t>
        </is>
      </c>
    </row>
    <row r="4">
      <c r="A4" s="3" t="inlineStr">
        <is>
          <t>Document ID</t>
        </is>
      </c>
      <c r="B4" t="inlineStr">
        <is>
          <t>ISMS-IMP-A.8.20-21-22.S4</t>
        </is>
      </c>
    </row>
    <row r="5">
      <c r="A5" s="3" t="inlineStr">
        <is>
          <t>Workbook Title</t>
        </is>
      </c>
      <c r="B5" t="inlineStr">
        <is>
          <t>Network Segmentation Matrix &amp;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and document the network segmentation architecture.</t>
        </is>
      </c>
    </row>
    <row r="14">
      <c r="A14" t="inlineStr">
        <is>
          <t>2. Map zone-to-zone communication paths in the Segmentation Matrix.</t>
        </is>
      </c>
    </row>
    <row r="15">
      <c r="A15" t="inlineStr">
        <is>
          <t>3. Complete the Zone Security Assessment for each network zone.</t>
        </is>
      </c>
    </row>
    <row r="16">
      <c r="A16" t="inlineStr">
        <is>
          <t>4. Document firewall rules and ACLs governing inter-zone traffic.</t>
        </is>
      </c>
    </row>
    <row r="17">
      <c r="A17" t="inlineStr">
        <is>
          <t>5. Assess micro-segmentation capabilities and deployment status.</t>
        </is>
      </c>
    </row>
    <row r="18">
      <c r="A18" t="inlineStr">
        <is>
          <t>6. Review compliance against segmentation policy requirements.</t>
        </is>
      </c>
    </row>
    <row r="19">
      <c r="A19" t="inlineStr">
        <is>
          <t>7. Identify and document gaps with remediation plans.</t>
        </is>
      </c>
    </row>
    <row r="20">
      <c r="A20" t="inlineStr">
        <is>
          <t>8. Maintain the Evidence Register with all supporting documentation.</t>
        </is>
      </c>
    </row>
    <row r="21">
      <c r="A21" t="inlineStr">
        <is>
          <t>9. Obtain final approval and sign-off from Network Engineering,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25" customWidth="1" min="5" max="5"/>
    <col width="15" customWidth="1" min="6" max="6"/>
    <col width="20" customWidth="1" min="7" max="7"/>
    <col width="12" customWidth="1" min="8" max="8"/>
    <col width="12" customWidth="1" min="9" max="9"/>
    <col width="12" customWidth="1" min="10" max="10"/>
    <col width="20" customWidth="1" min="11" max="11"/>
    <col width="40" customWidth="1" min="12" max="12"/>
  </cols>
  <sheetData>
    <row r="1" ht="35" customHeight="1">
      <c r="A1" s="11" t="inlineStr">
        <is>
          <t>SECURITY ZONES INVENTORY - GENERATED 07.03.2026</t>
        </is>
      </c>
    </row>
    <row r="2">
      <c r="A2" s="12" t="inlineStr">
        <is>
          <t>Define all security zones in the network. This is the foundation for the segmentation matrix.</t>
        </is>
      </c>
    </row>
    <row r="3">
      <c r="A3" s="13" t="inlineStr">
        <is>
          <t>Zone ID</t>
        </is>
      </c>
      <c r="B3" s="13" t="inlineStr">
        <is>
          <t>Zone Name</t>
        </is>
      </c>
      <c r="C3" s="13" t="inlineStr">
        <is>
          <t>Purpose</t>
        </is>
      </c>
      <c r="D3" s="13" t="inlineStr">
        <is>
          <t>Trust Level</t>
        </is>
      </c>
      <c r="E3" s="13" t="inlineStr">
        <is>
          <t>Networks/Subnets</t>
        </is>
      </c>
      <c r="F3" s="13" t="inlineStr">
        <is>
          <t>VLANs</t>
        </is>
      </c>
      <c r="G3" s="13" t="inlineStr">
        <is>
          <t>Segmentation Type</t>
        </is>
      </c>
      <c r="H3" s="13" t="inlineStr">
        <is>
          <t>Devices Count</t>
        </is>
      </c>
      <c r="I3" s="13" t="inlineStr">
        <is>
          <t>Critical Assets</t>
        </is>
      </c>
      <c r="J3" s="13" t="inlineStr">
        <is>
          <t>Internet Access</t>
        </is>
      </c>
      <c r="K3" s="13" t="inlineStr">
        <is>
          <t>Owner</t>
        </is>
      </c>
      <c r="L3" s="13" t="inlineStr">
        <is>
          <t>Notes</t>
        </is>
      </c>
    </row>
    <row r="4">
      <c r="A4">
        <f>IF(B4&lt;&gt;"","ZONE-" &amp; TEXT(1,"00"),"")</f>
        <v/>
      </c>
      <c r="B4" s="14" t="n"/>
      <c r="C4" s="14" t="n"/>
      <c r="D4" s="14" t="n"/>
      <c r="E4" s="14" t="n"/>
      <c r="F4" s="14" t="n"/>
      <c r="G4" s="14" t="n"/>
      <c r="H4" s="14" t="n"/>
      <c r="I4" s="14" t="n"/>
      <c r="J4" s="14" t="n"/>
      <c r="K4" s="14" t="n"/>
      <c r="L4" s="14" t="n"/>
    </row>
    <row r="5">
      <c r="A5">
        <f>IF(B5&lt;&gt;"","ZONE-" &amp; TEXT(2,"00"),"")</f>
        <v/>
      </c>
      <c r="B5" s="14" t="n"/>
      <c r="C5" s="14" t="n"/>
      <c r="D5" s="14" t="n"/>
      <c r="E5" s="14" t="n"/>
      <c r="F5" s="14" t="n"/>
      <c r="G5" s="14" t="n"/>
      <c r="H5" s="14" t="n"/>
      <c r="I5" s="14" t="n"/>
      <c r="J5" s="14" t="n"/>
      <c r="K5" s="14" t="n"/>
      <c r="L5" s="14" t="n"/>
    </row>
    <row r="6">
      <c r="A6">
        <f>IF(B6&lt;&gt;"","ZONE-" &amp; TEXT(3,"00"),"")</f>
        <v/>
      </c>
      <c r="B6" s="14" t="n"/>
      <c r="C6" s="14" t="n"/>
      <c r="D6" s="14" t="n"/>
      <c r="E6" s="14" t="n"/>
      <c r="F6" s="14" t="n"/>
      <c r="G6" s="14" t="n"/>
      <c r="H6" s="14" t="n"/>
      <c r="I6" s="14" t="n"/>
      <c r="J6" s="14" t="n"/>
      <c r="K6" s="14" t="n"/>
      <c r="L6" s="14" t="n"/>
    </row>
    <row r="7">
      <c r="A7">
        <f>IF(B7&lt;&gt;"","ZONE-" &amp; TEXT(4,"00"),"")</f>
        <v/>
      </c>
      <c r="B7" s="14" t="n"/>
      <c r="C7" s="14" t="n"/>
      <c r="D7" s="14" t="n"/>
      <c r="E7" s="14" t="n"/>
      <c r="F7" s="14" t="n"/>
      <c r="G7" s="14" t="n"/>
      <c r="H7" s="14" t="n"/>
      <c r="I7" s="14" t="n"/>
      <c r="J7" s="14" t="n"/>
      <c r="K7" s="14" t="n"/>
      <c r="L7" s="14" t="n"/>
    </row>
    <row r="8">
      <c r="A8">
        <f>IF(B8&lt;&gt;"","ZONE-" &amp; TEXT(5,"00"),"")</f>
        <v/>
      </c>
      <c r="B8" s="14" t="n"/>
      <c r="C8" s="14" t="n"/>
      <c r="D8" s="14" t="n"/>
      <c r="E8" s="14" t="n"/>
      <c r="F8" s="14" t="n"/>
      <c r="G8" s="14" t="n"/>
      <c r="H8" s="14" t="n"/>
      <c r="I8" s="14" t="n"/>
      <c r="J8" s="14" t="n"/>
      <c r="K8" s="14" t="n"/>
      <c r="L8" s="14" t="n"/>
    </row>
    <row r="9">
      <c r="A9">
        <f>IF(B9&lt;&gt;"","ZONE-" &amp; TEXT(6,"00"),"")</f>
        <v/>
      </c>
      <c r="B9" s="14" t="n"/>
      <c r="C9" s="14" t="n"/>
      <c r="D9" s="14" t="n"/>
      <c r="E9" s="14" t="n"/>
      <c r="F9" s="14" t="n"/>
      <c r="G9" s="14" t="n"/>
      <c r="H9" s="14" t="n"/>
      <c r="I9" s="14" t="n"/>
      <c r="J9" s="14" t="n"/>
      <c r="K9" s="14" t="n"/>
      <c r="L9" s="14" t="n"/>
    </row>
    <row r="10">
      <c r="A10">
        <f>IF(B10&lt;&gt;"","ZONE-" &amp; TEXT(7,"00"),"")</f>
        <v/>
      </c>
      <c r="B10" s="14" t="n"/>
      <c r="C10" s="14" t="n"/>
      <c r="D10" s="14" t="n"/>
      <c r="E10" s="14" t="n"/>
      <c r="F10" s="14" t="n"/>
      <c r="G10" s="14" t="n"/>
      <c r="H10" s="14" t="n"/>
      <c r="I10" s="14" t="n"/>
      <c r="J10" s="14" t="n"/>
      <c r="K10" s="14" t="n"/>
      <c r="L10" s="14" t="n"/>
    </row>
    <row r="11">
      <c r="A11">
        <f>IF(B11&lt;&gt;"","ZONE-" &amp; TEXT(8,"00"),"")</f>
        <v/>
      </c>
      <c r="B11" s="14" t="n"/>
      <c r="C11" s="14" t="n"/>
      <c r="D11" s="14" t="n"/>
      <c r="E11" s="14" t="n"/>
      <c r="F11" s="14" t="n"/>
      <c r="G11" s="14" t="n"/>
      <c r="H11" s="14" t="n"/>
      <c r="I11" s="14" t="n"/>
      <c r="J11" s="14" t="n"/>
      <c r="K11" s="14" t="n"/>
      <c r="L11" s="14" t="n"/>
    </row>
    <row r="12">
      <c r="A12">
        <f>IF(B12&lt;&gt;"","ZONE-" &amp; TEXT(9,"00"),"")</f>
        <v/>
      </c>
      <c r="B12" s="14" t="n"/>
      <c r="C12" s="14" t="n"/>
      <c r="D12" s="14" t="n"/>
      <c r="E12" s="14" t="n"/>
      <c r="F12" s="14" t="n"/>
      <c r="G12" s="14" t="n"/>
      <c r="H12" s="14" t="n"/>
      <c r="I12" s="14" t="n"/>
      <c r="J12" s="14" t="n"/>
      <c r="K12" s="14" t="n"/>
      <c r="L12" s="14" t="n"/>
    </row>
    <row r="13">
      <c r="A13">
        <f>IF(B13&lt;&gt;"","ZONE-" &amp; TEXT(10,"00"),"")</f>
        <v/>
      </c>
      <c r="B13" s="14" t="n"/>
      <c r="C13" s="14" t="n"/>
      <c r="D13" s="14" t="n"/>
      <c r="E13" s="14" t="n"/>
      <c r="F13" s="14" t="n"/>
      <c r="G13" s="14" t="n"/>
      <c r="H13" s="14" t="n"/>
      <c r="I13" s="14" t="n"/>
      <c r="J13" s="14" t="n"/>
      <c r="K13" s="14" t="n"/>
      <c r="L13" s="14" t="n"/>
    </row>
    <row r="14">
      <c r="A14">
        <f>IF(B14&lt;&gt;"","ZONE-" &amp; TEXT(11,"00"),"")</f>
        <v/>
      </c>
      <c r="B14" s="14" t="n"/>
      <c r="C14" s="14" t="n"/>
      <c r="D14" s="14" t="n"/>
      <c r="E14" s="14" t="n"/>
      <c r="F14" s="14" t="n"/>
      <c r="G14" s="14" t="n"/>
      <c r="H14" s="14" t="n"/>
      <c r="I14" s="14" t="n"/>
      <c r="J14" s="14" t="n"/>
      <c r="K14" s="14" t="n"/>
      <c r="L14" s="14" t="n"/>
    </row>
    <row r="15">
      <c r="A15">
        <f>IF(B15&lt;&gt;"","ZONE-" &amp; TEXT(12,"00"),"")</f>
        <v/>
      </c>
      <c r="B15" s="14" t="n"/>
      <c r="C15" s="14" t="n"/>
      <c r="D15" s="14" t="n"/>
      <c r="E15" s="14" t="n"/>
      <c r="F15" s="14" t="n"/>
      <c r="G15" s="14" t="n"/>
      <c r="H15" s="14" t="n"/>
      <c r="I15" s="14" t="n"/>
      <c r="J15" s="14" t="n"/>
      <c r="K15" s="14" t="n"/>
      <c r="L15" s="14" t="n"/>
    </row>
    <row r="16">
      <c r="A16">
        <f>IF(B16&lt;&gt;"","ZONE-" &amp; TEXT(13,"00"),"")</f>
        <v/>
      </c>
      <c r="B16" s="14" t="n"/>
      <c r="C16" s="14" t="n"/>
      <c r="D16" s="14" t="n"/>
      <c r="E16" s="14" t="n"/>
      <c r="F16" s="14" t="n"/>
      <c r="G16" s="14" t="n"/>
      <c r="H16" s="14" t="n"/>
      <c r="I16" s="14" t="n"/>
      <c r="J16" s="14" t="n"/>
      <c r="K16" s="14" t="n"/>
      <c r="L16" s="14" t="n"/>
    </row>
    <row r="17">
      <c r="A17">
        <f>IF(B17&lt;&gt;"","ZONE-" &amp; TEXT(14,"00"),"")</f>
        <v/>
      </c>
      <c r="B17" s="14" t="n"/>
      <c r="C17" s="14" t="n"/>
      <c r="D17" s="14" t="n"/>
      <c r="E17" s="14" t="n"/>
      <c r="F17" s="14" t="n"/>
      <c r="G17" s="14" t="n"/>
      <c r="H17" s="14" t="n"/>
      <c r="I17" s="14" t="n"/>
      <c r="J17" s="14" t="n"/>
      <c r="K17" s="14" t="n"/>
      <c r="L17" s="14" t="n"/>
    </row>
    <row r="18">
      <c r="A18">
        <f>IF(B18&lt;&gt;"","ZONE-" &amp; TEXT(15,"00"),"")</f>
        <v/>
      </c>
      <c r="B18" s="14" t="n"/>
      <c r="C18" s="14" t="n"/>
      <c r="D18" s="14" t="n"/>
      <c r="E18" s="14" t="n"/>
      <c r="F18" s="14" t="n"/>
      <c r="G18" s="14" t="n"/>
      <c r="H18" s="14" t="n"/>
      <c r="I18" s="14" t="n"/>
      <c r="J18" s="14" t="n"/>
      <c r="K18" s="14" t="n"/>
      <c r="L18" s="14" t="n"/>
    </row>
    <row r="19">
      <c r="A19">
        <f>IF(B19&lt;&gt;"","ZONE-" &amp; TEXT(16,"00"),"")</f>
        <v/>
      </c>
      <c r="B19" s="14" t="n"/>
      <c r="C19" s="14" t="n"/>
      <c r="D19" s="14" t="n"/>
      <c r="E19" s="14" t="n"/>
      <c r="F19" s="14" t="n"/>
      <c r="G19" s="14" t="n"/>
      <c r="H19" s="14" t="n"/>
      <c r="I19" s="14" t="n"/>
      <c r="J19" s="14" t="n"/>
      <c r="K19" s="14" t="n"/>
      <c r="L19" s="14" t="n"/>
    </row>
    <row r="20">
      <c r="A20">
        <f>IF(B20&lt;&gt;"","ZONE-" &amp; TEXT(17,"00"),"")</f>
        <v/>
      </c>
      <c r="B20" s="14" t="n"/>
      <c r="C20" s="14" t="n"/>
      <c r="D20" s="14" t="n"/>
      <c r="E20" s="14" t="n"/>
      <c r="F20" s="14" t="n"/>
      <c r="G20" s="14" t="n"/>
      <c r="H20" s="14" t="n"/>
      <c r="I20" s="14" t="n"/>
      <c r="J20" s="14" t="n"/>
      <c r="K20" s="14" t="n"/>
      <c r="L20" s="14" t="n"/>
    </row>
    <row r="21">
      <c r="A21">
        <f>IF(B21&lt;&gt;"","ZONE-" &amp; TEXT(18,"00"),"")</f>
        <v/>
      </c>
      <c r="B21" s="14" t="n"/>
      <c r="C21" s="14" t="n"/>
      <c r="D21" s="14" t="n"/>
      <c r="E21" s="14" t="n"/>
      <c r="F21" s="14" t="n"/>
      <c r="G21" s="14" t="n"/>
      <c r="H21" s="14" t="n"/>
      <c r="I21" s="14" t="n"/>
      <c r="J21" s="14" t="n"/>
      <c r="K21" s="14" t="n"/>
      <c r="L21" s="14" t="n"/>
    </row>
    <row r="22">
      <c r="A22">
        <f>IF(B22&lt;&gt;"","ZONE-" &amp; TEXT(19,"00"),"")</f>
        <v/>
      </c>
      <c r="B22" s="14" t="n"/>
      <c r="C22" s="14" t="n"/>
      <c r="D22" s="14" t="n"/>
      <c r="E22" s="14" t="n"/>
      <c r="F22" s="14" t="n"/>
      <c r="G22" s="14" t="n"/>
      <c r="H22" s="14" t="n"/>
      <c r="I22" s="14" t="n"/>
      <c r="J22" s="14" t="n"/>
      <c r="K22" s="14" t="n"/>
      <c r="L22" s="14" t="n"/>
    </row>
    <row r="23">
      <c r="A23">
        <f>IF(B23&lt;&gt;"","ZONE-" &amp; TEXT(20,"00"),"")</f>
        <v/>
      </c>
      <c r="B23" s="14" t="n"/>
      <c r="C23" s="14" t="n"/>
      <c r="D23" s="14" t="n"/>
      <c r="E23" s="14" t="n"/>
      <c r="F23" s="14" t="n"/>
      <c r="G23" s="14" t="n"/>
      <c r="H23" s="14" t="n"/>
      <c r="I23" s="14" t="n"/>
      <c r="J23" s="14" t="n"/>
      <c r="K23" s="14" t="n"/>
      <c r="L23" s="14" t="n"/>
    </row>
    <row r="24">
      <c r="A24">
        <f>IF(B24&lt;&gt;"","ZONE-" &amp; TEXT(21,"00"),"")</f>
        <v/>
      </c>
      <c r="B24" s="14" t="n"/>
      <c r="C24" s="14" t="n"/>
      <c r="D24" s="14" t="n"/>
      <c r="E24" s="14" t="n"/>
      <c r="F24" s="14" t="n"/>
      <c r="G24" s="14" t="n"/>
      <c r="H24" s="14" t="n"/>
      <c r="I24" s="14" t="n"/>
      <c r="J24" s="14" t="n"/>
      <c r="K24" s="14" t="n"/>
      <c r="L24" s="14" t="n"/>
    </row>
    <row r="25">
      <c r="A25">
        <f>IF(B25&lt;&gt;"","ZONE-" &amp; TEXT(22,"00"),"")</f>
        <v/>
      </c>
      <c r="B25" s="14" t="n"/>
      <c r="C25" s="14" t="n"/>
      <c r="D25" s="14" t="n"/>
      <c r="E25" s="14" t="n"/>
      <c r="F25" s="14" t="n"/>
      <c r="G25" s="14" t="n"/>
      <c r="H25" s="14" t="n"/>
      <c r="I25" s="14" t="n"/>
      <c r="J25" s="14" t="n"/>
      <c r="K25" s="14" t="n"/>
      <c r="L25" s="14" t="n"/>
    </row>
    <row r="26">
      <c r="A26">
        <f>IF(B26&lt;&gt;"","ZONE-" &amp; TEXT(23,"00"),"")</f>
        <v/>
      </c>
      <c r="B26" s="14" t="n"/>
      <c r="C26" s="14" t="n"/>
      <c r="D26" s="14" t="n"/>
      <c r="E26" s="14" t="n"/>
      <c r="F26" s="14" t="n"/>
      <c r="G26" s="14" t="n"/>
      <c r="H26" s="14" t="n"/>
      <c r="I26" s="14" t="n"/>
      <c r="J26" s="14" t="n"/>
      <c r="K26" s="14" t="n"/>
      <c r="L26" s="14" t="n"/>
    </row>
    <row r="27">
      <c r="A27">
        <f>IF(B27&lt;&gt;"","ZONE-" &amp; TEXT(24,"00"),"")</f>
        <v/>
      </c>
      <c r="B27" s="14" t="n"/>
      <c r="C27" s="14" t="n"/>
      <c r="D27" s="14" t="n"/>
      <c r="E27" s="14" t="n"/>
      <c r="F27" s="14" t="n"/>
      <c r="G27" s="14" t="n"/>
      <c r="H27" s="14" t="n"/>
      <c r="I27" s="14" t="n"/>
      <c r="J27" s="14" t="n"/>
      <c r="K27" s="14" t="n"/>
      <c r="L27" s="14" t="n"/>
    </row>
    <row r="28">
      <c r="A28">
        <f>IF(B28&lt;&gt;"","ZONE-" &amp; TEXT(25,"00"),"")</f>
        <v/>
      </c>
      <c r="B28" s="14" t="n"/>
      <c r="C28" s="14" t="n"/>
      <c r="D28" s="14" t="n"/>
      <c r="E28" s="14" t="n"/>
      <c r="F28" s="14" t="n"/>
      <c r="G28" s="14" t="n"/>
      <c r="H28" s="14" t="n"/>
      <c r="I28" s="14" t="n"/>
      <c r="J28" s="14" t="n"/>
      <c r="K28" s="14" t="n"/>
      <c r="L28" s="14" t="n"/>
    </row>
    <row r="29">
      <c r="A29">
        <f>IF(B29&lt;&gt;"","ZONE-" &amp; TEXT(26,"00"),"")</f>
        <v/>
      </c>
      <c r="B29" s="14" t="n"/>
      <c r="C29" s="14" t="n"/>
      <c r="D29" s="14" t="n"/>
      <c r="E29" s="14" t="n"/>
      <c r="F29" s="14" t="n"/>
      <c r="G29" s="14" t="n"/>
      <c r="H29" s="14" t="n"/>
      <c r="I29" s="14" t="n"/>
      <c r="J29" s="14" t="n"/>
      <c r="K29" s="14" t="n"/>
      <c r="L29" s="14" t="n"/>
    </row>
    <row r="30">
      <c r="A30">
        <f>IF(B30&lt;&gt;"","ZONE-" &amp; TEXT(27,"00"),"")</f>
        <v/>
      </c>
      <c r="B30" s="14" t="n"/>
      <c r="C30" s="14" t="n"/>
      <c r="D30" s="14" t="n"/>
      <c r="E30" s="14" t="n"/>
      <c r="F30" s="14" t="n"/>
      <c r="G30" s="14" t="n"/>
      <c r="H30" s="14" t="n"/>
      <c r="I30" s="14" t="n"/>
      <c r="J30" s="14" t="n"/>
      <c r="K30" s="14" t="n"/>
      <c r="L30" s="14" t="n"/>
    </row>
    <row r="31">
      <c r="A31">
        <f>IF(B31&lt;&gt;"","ZONE-" &amp; TEXT(28,"00"),"")</f>
        <v/>
      </c>
      <c r="B31" s="14" t="n"/>
      <c r="C31" s="14" t="n"/>
      <c r="D31" s="14" t="n"/>
      <c r="E31" s="14" t="n"/>
      <c r="F31" s="14" t="n"/>
      <c r="G31" s="14" t="n"/>
      <c r="H31" s="14" t="n"/>
      <c r="I31" s="14" t="n"/>
      <c r="J31" s="14" t="n"/>
      <c r="K31" s="14" t="n"/>
      <c r="L31" s="14" t="n"/>
    </row>
    <row r="32">
      <c r="A32">
        <f>IF(B32&lt;&gt;"","ZONE-" &amp; TEXT(29,"00"),"")</f>
        <v/>
      </c>
      <c r="B32" s="14" t="n"/>
      <c r="C32" s="14" t="n"/>
      <c r="D32" s="14" t="n"/>
      <c r="E32" s="14" t="n"/>
      <c r="F32" s="14" t="n"/>
      <c r="G32" s="14" t="n"/>
      <c r="H32" s="14" t="n"/>
      <c r="I32" s="14" t="n"/>
      <c r="J32" s="14" t="n"/>
      <c r="K32" s="14" t="n"/>
      <c r="L32" s="14" t="n"/>
    </row>
    <row r="33">
      <c r="A33">
        <f>IF(B33&lt;&gt;"","ZONE-" &amp; TEXT(30,"00"),"")</f>
        <v/>
      </c>
      <c r="B33" s="14" t="n"/>
      <c r="C33" s="14" t="n"/>
      <c r="D33" s="14" t="n"/>
      <c r="E33" s="14" t="n"/>
      <c r="F33" s="14" t="n"/>
      <c r="G33" s="14" t="n"/>
      <c r="H33" s="14" t="n"/>
      <c r="I33" s="14" t="n"/>
      <c r="J33" s="14" t="n"/>
      <c r="K33" s="14" t="n"/>
      <c r="L33" s="14" t="n"/>
    </row>
    <row r="34">
      <c r="A34">
        <f>IF(B34&lt;&gt;"","ZONE-" &amp; TEXT(31,"00"),"")</f>
        <v/>
      </c>
      <c r="B34" s="14" t="n"/>
      <c r="C34" s="14" t="n"/>
      <c r="D34" s="14" t="n"/>
      <c r="E34" s="14" t="n"/>
      <c r="F34" s="14" t="n"/>
      <c r="G34" s="14" t="n"/>
      <c r="H34" s="14" t="n"/>
      <c r="I34" s="14" t="n"/>
      <c r="J34" s="14" t="n"/>
      <c r="K34" s="14" t="n"/>
      <c r="L34" s="14" t="n"/>
    </row>
    <row r="35">
      <c r="A35">
        <f>IF(B35&lt;&gt;"","ZONE-" &amp; TEXT(32,"00"),"")</f>
        <v/>
      </c>
      <c r="B35" s="14" t="n"/>
      <c r="C35" s="14" t="n"/>
      <c r="D35" s="14" t="n"/>
      <c r="E35" s="14" t="n"/>
      <c r="F35" s="14" t="n"/>
      <c r="G35" s="14" t="n"/>
      <c r="H35" s="14" t="n"/>
      <c r="I35" s="14" t="n"/>
      <c r="J35" s="14" t="n"/>
      <c r="K35" s="14" t="n"/>
      <c r="L35" s="14" t="n"/>
    </row>
    <row r="36">
      <c r="A36">
        <f>IF(B36&lt;&gt;"","ZONE-" &amp; TEXT(33,"00"),"")</f>
        <v/>
      </c>
      <c r="B36" s="14" t="n"/>
      <c r="C36" s="14" t="n"/>
      <c r="D36" s="14" t="n"/>
      <c r="E36" s="14" t="n"/>
      <c r="F36" s="14" t="n"/>
      <c r="G36" s="14" t="n"/>
      <c r="H36" s="14" t="n"/>
      <c r="I36" s="14" t="n"/>
      <c r="J36" s="14" t="n"/>
      <c r="K36" s="14" t="n"/>
      <c r="L36" s="14" t="n"/>
    </row>
    <row r="37">
      <c r="A37">
        <f>IF(B37&lt;&gt;"","ZONE-" &amp; TEXT(34,"00"),"")</f>
        <v/>
      </c>
      <c r="B37" s="14" t="n"/>
      <c r="C37" s="14" t="n"/>
      <c r="D37" s="14" t="n"/>
      <c r="E37" s="14" t="n"/>
      <c r="F37" s="14" t="n"/>
      <c r="G37" s="14" t="n"/>
      <c r="H37" s="14" t="n"/>
      <c r="I37" s="14" t="n"/>
      <c r="J37" s="14" t="n"/>
      <c r="K37" s="14" t="n"/>
      <c r="L37" s="14" t="n"/>
    </row>
    <row r="38">
      <c r="A38">
        <f>IF(B38&lt;&gt;"","ZONE-" &amp; TEXT(35,"00"),"")</f>
        <v/>
      </c>
      <c r="B38" s="14" t="n"/>
      <c r="C38" s="14" t="n"/>
      <c r="D38" s="14" t="n"/>
      <c r="E38" s="14" t="n"/>
      <c r="F38" s="14" t="n"/>
      <c r="G38" s="14" t="n"/>
      <c r="H38" s="14" t="n"/>
      <c r="I38" s="14" t="n"/>
      <c r="J38" s="14" t="n"/>
      <c r="K38" s="14" t="n"/>
      <c r="L38" s="14" t="n"/>
    </row>
    <row r="39">
      <c r="A39">
        <f>IF(B39&lt;&gt;"","ZONE-" &amp; TEXT(36,"00"),"")</f>
        <v/>
      </c>
      <c r="B39" s="14" t="n"/>
      <c r="C39" s="14" t="n"/>
      <c r="D39" s="14" t="n"/>
      <c r="E39" s="14" t="n"/>
      <c r="F39" s="14" t="n"/>
      <c r="G39" s="14" t="n"/>
      <c r="H39" s="14" t="n"/>
      <c r="I39" s="14" t="n"/>
      <c r="J39" s="14" t="n"/>
      <c r="K39" s="14" t="n"/>
      <c r="L39" s="14" t="n"/>
    </row>
    <row r="40">
      <c r="A40">
        <f>IF(B40&lt;&gt;"","ZONE-" &amp; TEXT(37,"00"),"")</f>
        <v/>
      </c>
      <c r="B40" s="14" t="n"/>
      <c r="C40" s="14" t="n"/>
      <c r="D40" s="14" t="n"/>
      <c r="E40" s="14" t="n"/>
      <c r="F40" s="14" t="n"/>
      <c r="G40" s="14" t="n"/>
      <c r="H40" s="14" t="n"/>
      <c r="I40" s="14" t="n"/>
      <c r="J40" s="14" t="n"/>
      <c r="K40" s="14" t="n"/>
      <c r="L40" s="14" t="n"/>
    </row>
    <row r="41">
      <c r="A41">
        <f>IF(B41&lt;&gt;"","ZONE-" &amp; TEXT(38,"00"),"")</f>
        <v/>
      </c>
      <c r="B41" s="14" t="n"/>
      <c r="C41" s="14" t="n"/>
      <c r="D41" s="14" t="n"/>
      <c r="E41" s="14" t="n"/>
      <c r="F41" s="14" t="n"/>
      <c r="G41" s="14" t="n"/>
      <c r="H41" s="14" t="n"/>
      <c r="I41" s="14" t="n"/>
      <c r="J41" s="14" t="n"/>
      <c r="K41" s="14" t="n"/>
      <c r="L41" s="14" t="n"/>
    </row>
    <row r="42">
      <c r="A42">
        <f>IF(B42&lt;&gt;"","ZONE-" &amp; TEXT(39,"00"),"")</f>
        <v/>
      </c>
      <c r="B42" s="14" t="n"/>
      <c r="C42" s="14" t="n"/>
      <c r="D42" s="14" t="n"/>
      <c r="E42" s="14" t="n"/>
      <c r="F42" s="14" t="n"/>
      <c r="G42" s="14" t="n"/>
      <c r="H42" s="14" t="n"/>
      <c r="I42" s="14" t="n"/>
      <c r="J42" s="14" t="n"/>
      <c r="K42" s="14" t="n"/>
      <c r="L42" s="14" t="n"/>
    </row>
    <row r="43">
      <c r="A43">
        <f>IF(B43&lt;&gt;"","ZONE-" &amp; TEXT(40,"00"),"")</f>
        <v/>
      </c>
      <c r="B43" s="14" t="n"/>
      <c r="C43" s="14" t="n"/>
      <c r="D43" s="14" t="n"/>
      <c r="E43" s="14" t="n"/>
      <c r="F43" s="14" t="n"/>
      <c r="G43" s="14" t="n"/>
      <c r="H43" s="14" t="n"/>
      <c r="I43" s="14" t="n"/>
      <c r="J43" s="14" t="n"/>
      <c r="K43" s="14" t="n"/>
      <c r="L43" s="14" t="n"/>
    </row>
    <row r="44">
      <c r="A44">
        <f>IF(B44&lt;&gt;"","ZONE-" &amp; TEXT(41,"00"),"")</f>
        <v/>
      </c>
      <c r="B44" s="14" t="n"/>
      <c r="C44" s="14" t="n"/>
      <c r="D44" s="14" t="n"/>
      <c r="E44" s="14" t="n"/>
      <c r="F44" s="14" t="n"/>
      <c r="G44" s="14" t="n"/>
      <c r="H44" s="14" t="n"/>
      <c r="I44" s="14" t="n"/>
      <c r="J44" s="14" t="n"/>
      <c r="K44" s="14" t="n"/>
      <c r="L44" s="14" t="n"/>
    </row>
    <row r="45">
      <c r="A45">
        <f>IF(B45&lt;&gt;"","ZONE-" &amp; TEXT(42,"00"),"")</f>
        <v/>
      </c>
      <c r="B45" s="14" t="n"/>
      <c r="C45" s="14" t="n"/>
      <c r="D45" s="14" t="n"/>
      <c r="E45" s="14" t="n"/>
      <c r="F45" s="14" t="n"/>
      <c r="G45" s="14" t="n"/>
      <c r="H45" s="14" t="n"/>
      <c r="I45" s="14" t="n"/>
      <c r="J45" s="14" t="n"/>
      <c r="K45" s="14" t="n"/>
      <c r="L45" s="14" t="n"/>
    </row>
    <row r="46">
      <c r="A46">
        <f>IF(B46&lt;&gt;"","ZONE-" &amp; TEXT(43,"00"),"")</f>
        <v/>
      </c>
      <c r="B46" s="14" t="n"/>
      <c r="C46" s="14" t="n"/>
      <c r="D46" s="14" t="n"/>
      <c r="E46" s="14" t="n"/>
      <c r="F46" s="14" t="n"/>
      <c r="G46" s="14" t="n"/>
      <c r="H46" s="14" t="n"/>
      <c r="I46" s="14" t="n"/>
      <c r="J46" s="14" t="n"/>
      <c r="K46" s="14" t="n"/>
      <c r="L46" s="14" t="n"/>
    </row>
    <row r="47">
      <c r="A47">
        <f>IF(B47&lt;&gt;"","ZONE-" &amp; TEXT(44,"00"),"")</f>
        <v/>
      </c>
      <c r="B47" s="14" t="n"/>
      <c r="C47" s="14" t="n"/>
      <c r="D47" s="14" t="n"/>
      <c r="E47" s="14" t="n"/>
      <c r="F47" s="14" t="n"/>
      <c r="G47" s="14" t="n"/>
      <c r="H47" s="14" t="n"/>
      <c r="I47" s="14" t="n"/>
      <c r="J47" s="14" t="n"/>
      <c r="K47" s="14" t="n"/>
      <c r="L47" s="14" t="n"/>
    </row>
    <row r="48">
      <c r="A48">
        <f>IF(B48&lt;&gt;"","ZONE-" &amp; TEXT(45,"00"),"")</f>
        <v/>
      </c>
      <c r="B48" s="14" t="n"/>
      <c r="C48" s="14" t="n"/>
      <c r="D48" s="14" t="n"/>
      <c r="E48" s="14" t="n"/>
      <c r="F48" s="14" t="n"/>
      <c r="G48" s="14" t="n"/>
      <c r="H48" s="14" t="n"/>
      <c r="I48" s="14" t="n"/>
      <c r="J48" s="14" t="n"/>
      <c r="K48" s="14" t="n"/>
      <c r="L48" s="14" t="n"/>
    </row>
    <row r="49">
      <c r="A49">
        <f>IF(B49&lt;&gt;"","ZONE-" &amp; TEXT(46,"00"),"")</f>
        <v/>
      </c>
      <c r="B49" s="14" t="n"/>
      <c r="C49" s="14" t="n"/>
      <c r="D49" s="14" t="n"/>
      <c r="E49" s="14" t="n"/>
      <c r="F49" s="14" t="n"/>
      <c r="G49" s="14" t="n"/>
      <c r="H49" s="14" t="n"/>
      <c r="I49" s="14" t="n"/>
      <c r="J49" s="14" t="n"/>
      <c r="K49" s="14" t="n"/>
      <c r="L49" s="14" t="n"/>
    </row>
    <row r="50">
      <c r="A50">
        <f>IF(B50&lt;&gt;"","ZONE-" &amp; TEXT(47,"00"),"")</f>
        <v/>
      </c>
      <c r="B50" s="14" t="n"/>
      <c r="C50" s="14" t="n"/>
      <c r="D50" s="14" t="n"/>
      <c r="E50" s="14" t="n"/>
      <c r="F50" s="14" t="n"/>
      <c r="G50" s="14" t="n"/>
      <c r="H50" s="14" t="n"/>
      <c r="I50" s="14" t="n"/>
      <c r="J50" s="14" t="n"/>
      <c r="K50" s="14" t="n"/>
      <c r="L50" s="14" t="n"/>
    </row>
    <row r="51">
      <c r="A51">
        <f>IF(B51&lt;&gt;"","ZONE-" &amp; TEXT(48,"00"),"")</f>
        <v/>
      </c>
      <c r="B51" s="14" t="n"/>
      <c r="C51" s="14" t="n"/>
      <c r="D51" s="14" t="n"/>
      <c r="E51" s="14" t="n"/>
      <c r="F51" s="14" t="n"/>
      <c r="G51" s="14" t="n"/>
      <c r="H51" s="14" t="n"/>
      <c r="I51" s="14" t="n"/>
      <c r="J51" s="14" t="n"/>
      <c r="K51" s="14" t="n"/>
      <c r="L51" s="14" t="n"/>
    </row>
    <row r="52">
      <c r="A52">
        <f>IF(B52&lt;&gt;"","ZONE-" &amp; TEXT(49,"00"),"")</f>
        <v/>
      </c>
      <c r="B52" s="14" t="n"/>
      <c r="C52" s="14" t="n"/>
      <c r="D52" s="14" t="n"/>
      <c r="E52" s="14" t="n"/>
      <c r="F52" s="14" t="n"/>
      <c r="G52" s="14" t="n"/>
      <c r="H52" s="14" t="n"/>
      <c r="I52" s="14" t="n"/>
      <c r="J52" s="14" t="n"/>
      <c r="K52" s="14" t="n"/>
      <c r="L52" s="14" t="n"/>
    </row>
    <row r="53">
      <c r="A53">
        <f>IF(B53&lt;&gt;"","ZONE-" &amp; TEXT(50,"00"),"")</f>
        <v/>
      </c>
      <c r="B53" s="14" t="n"/>
      <c r="C53" s="14" t="n"/>
      <c r="D53" s="14" t="n"/>
      <c r="E53" s="14" t="n"/>
      <c r="F53" s="14" t="n"/>
      <c r="G53" s="14" t="n"/>
      <c r="H53" s="14" t="n"/>
      <c r="I53" s="14" t="n"/>
      <c r="J53" s="14" t="n"/>
      <c r="K53" s="14" t="n"/>
      <c r="L53" s="14" t="n"/>
    </row>
  </sheetData>
  <mergeCells count="2">
    <mergeCell ref="A2:L2"/>
    <mergeCell ref="A1:L1"/>
  </mergeCells>
  <dataValidations count="2">
    <dataValidation sqref="D4:D53" showDropDown="0" showInputMessage="0" showErrorMessage="0" allowBlank="0" type="list">
      <formula1>"Untrusted,Low Trust,Medium Trust,High Trust,Trusted"</formula1>
    </dataValidation>
    <dataValidation sqref="G4:G53" showDropDown="0" showInputMessage="0" showErrorMessage="0" allowBlank="1" type="list">
      <formula1>"VLAN,Physical,VRF,Virtual Network,Cloud Security Group"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12" customWidth="1" min="4" max="4"/>
    <col width="25" customWidth="1" min="5" max="5"/>
    <col width="40" customWidth="1" min="6" max="6"/>
    <col width="15" customWidth="1" min="7" max="7"/>
    <col width="15" customWidth="1" min="8" max="8"/>
    <col width="12" customWidth="1" min="9" max="9"/>
    <col width="12" customWidth="1" min="10" max="10"/>
    <col width="40" customWidth="1" min="11" max="11"/>
  </cols>
  <sheetData>
    <row r="1" ht="35" customHeight="1">
      <c r="A1" s="11" t="inlineStr">
        <is>
          <t>NETWORK SEGMENTATION MATRIX - ZONE-TO-ZONE TRAFFIC RULES</t>
        </is>
      </c>
    </row>
    <row r="2">
      <c r="A2" s="12" t="inlineStr">
        <is>
          <t>Define allowed/denied traffic between security zones. This is the CORE segmentation assessment.</t>
        </is>
      </c>
    </row>
    <row r="3">
      <c r="A3" s="12" t="inlineStr">
        <is>
          <t>FORMAT: Each row defines traffic flow from Source Zone → Destination Zone. Action: Allow/Deny/Inspect.</t>
        </is>
      </c>
    </row>
    <row r="4">
      <c r="A4" s="13" t="inlineStr">
        <is>
          <t>Rule ID</t>
        </is>
      </c>
      <c r="B4" s="13" t="inlineStr">
        <is>
          <t>Source Zone</t>
        </is>
      </c>
      <c r="C4" s="13" t="inlineStr">
        <is>
          <t>Destination Zone</t>
        </is>
      </c>
      <c r="D4" s="13" t="inlineStr">
        <is>
          <t>Traffic Action</t>
        </is>
      </c>
      <c r="E4" s="13" t="inlineStr">
        <is>
          <t>Protocols/Ports</t>
        </is>
      </c>
      <c r="F4" s="13" t="inlineStr">
        <is>
          <t>Justification</t>
        </is>
      </c>
      <c r="G4" s="13" t="inlineStr">
        <is>
          <t>Firewall Enforced</t>
        </is>
      </c>
      <c r="H4" s="13" t="inlineStr">
        <is>
          <t>ACL Enforced</t>
        </is>
      </c>
      <c r="I4" s="13" t="inlineStr">
        <is>
          <t>Monitoring</t>
        </is>
      </c>
      <c r="J4" s="13" t="inlineStr">
        <is>
          <t>Last Reviewed</t>
        </is>
      </c>
      <c r="K4" s="13" t="inlineStr">
        <is>
          <t>Notes</t>
        </is>
      </c>
    </row>
    <row r="5">
      <c r="A5">
        <f>IF(B5&lt;&gt;"","SEG-" &amp; TEXT(1,"000"),"")</f>
        <v/>
      </c>
      <c r="B5" s="14" t="n"/>
      <c r="C5" s="14" t="n"/>
      <c r="D5" s="14" t="n"/>
      <c r="E5" s="14" t="n"/>
      <c r="F5" s="14" t="n"/>
      <c r="G5" s="14" t="n"/>
      <c r="H5" s="14" t="n"/>
      <c r="I5" s="14" t="n"/>
      <c r="J5" s="14" t="n"/>
      <c r="K5" s="14" t="n"/>
    </row>
    <row r="6">
      <c r="A6">
        <f>IF(B6&lt;&gt;"","SEG-" &amp; TEXT(2,"000"),"")</f>
        <v/>
      </c>
      <c r="B6" s="14" t="n"/>
      <c r="C6" s="14" t="n"/>
      <c r="D6" s="14" t="n"/>
      <c r="E6" s="14" t="n"/>
      <c r="F6" s="14" t="n"/>
      <c r="G6" s="14" t="n"/>
      <c r="H6" s="14" t="n"/>
      <c r="I6" s="14" t="n"/>
      <c r="J6" s="14" t="n"/>
      <c r="K6" s="14" t="n"/>
    </row>
    <row r="7">
      <c r="A7">
        <f>IF(B7&lt;&gt;"","SEG-" &amp; TEXT(3,"000"),"")</f>
        <v/>
      </c>
      <c r="B7" s="14" t="n"/>
      <c r="C7" s="14" t="n"/>
      <c r="D7" s="14" t="n"/>
      <c r="E7" s="14" t="n"/>
      <c r="F7" s="14" t="n"/>
      <c r="G7" s="14" t="n"/>
      <c r="H7" s="14" t="n"/>
      <c r="I7" s="14" t="n"/>
      <c r="J7" s="14" t="n"/>
      <c r="K7" s="14" t="n"/>
    </row>
    <row r="8">
      <c r="A8">
        <f>IF(B8&lt;&gt;"","SEG-" &amp; TEXT(4,"000"),"")</f>
        <v/>
      </c>
      <c r="B8" s="14" t="n"/>
      <c r="C8" s="14" t="n"/>
      <c r="D8" s="14" t="n"/>
      <c r="E8" s="14" t="n"/>
      <c r="F8" s="14" t="n"/>
      <c r="G8" s="14" t="n"/>
      <c r="H8" s="14" t="n"/>
      <c r="I8" s="14" t="n"/>
      <c r="J8" s="14" t="n"/>
      <c r="K8" s="14" t="n"/>
    </row>
    <row r="9">
      <c r="A9">
        <f>IF(B9&lt;&gt;"","SEG-" &amp; TEXT(5,"000"),"")</f>
        <v/>
      </c>
      <c r="B9" s="14" t="n"/>
      <c r="C9" s="14" t="n"/>
      <c r="D9" s="14" t="n"/>
      <c r="E9" s="14" t="n"/>
      <c r="F9" s="14" t="n"/>
      <c r="G9" s="14" t="n"/>
      <c r="H9" s="14" t="n"/>
      <c r="I9" s="14" t="n"/>
      <c r="J9" s="14" t="n"/>
      <c r="K9" s="14" t="n"/>
    </row>
    <row r="10">
      <c r="A10">
        <f>IF(B10&lt;&gt;"","SEG-" &amp; TEXT(6,"000"),"")</f>
        <v/>
      </c>
      <c r="B10" s="14" t="n"/>
      <c r="C10" s="14" t="n"/>
      <c r="D10" s="14" t="n"/>
      <c r="E10" s="14" t="n"/>
      <c r="F10" s="14" t="n"/>
      <c r="G10" s="14" t="n"/>
      <c r="H10" s="14" t="n"/>
      <c r="I10" s="14" t="n"/>
      <c r="J10" s="14" t="n"/>
      <c r="K10" s="14" t="n"/>
    </row>
    <row r="11">
      <c r="A11">
        <f>IF(B11&lt;&gt;"","SEG-" &amp; TEXT(7,"000"),"")</f>
        <v/>
      </c>
      <c r="B11" s="14" t="n"/>
      <c r="C11" s="14" t="n"/>
      <c r="D11" s="14" t="n"/>
      <c r="E11" s="14" t="n"/>
      <c r="F11" s="14" t="n"/>
      <c r="G11" s="14" t="n"/>
      <c r="H11" s="14" t="n"/>
      <c r="I11" s="14" t="n"/>
      <c r="J11" s="14" t="n"/>
      <c r="K11" s="14" t="n"/>
    </row>
    <row r="12">
      <c r="A12">
        <f>IF(B12&lt;&gt;"","SEG-" &amp; TEXT(8,"000"),"")</f>
        <v/>
      </c>
      <c r="B12" s="14" t="n"/>
      <c r="C12" s="14" t="n"/>
      <c r="D12" s="14" t="n"/>
      <c r="E12" s="14" t="n"/>
      <c r="F12" s="14" t="n"/>
      <c r="G12" s="14" t="n"/>
      <c r="H12" s="14" t="n"/>
      <c r="I12" s="14" t="n"/>
      <c r="J12" s="14" t="n"/>
      <c r="K12" s="14" t="n"/>
    </row>
    <row r="13">
      <c r="A13">
        <f>IF(B13&lt;&gt;"","SEG-" &amp; TEXT(9,"000"),"")</f>
        <v/>
      </c>
      <c r="B13" s="14" t="n"/>
      <c r="C13" s="14" t="n"/>
      <c r="D13" s="14" t="n"/>
      <c r="E13" s="14" t="n"/>
      <c r="F13" s="14" t="n"/>
      <c r="G13" s="14" t="n"/>
      <c r="H13" s="14" t="n"/>
      <c r="I13" s="14" t="n"/>
      <c r="J13" s="14" t="n"/>
      <c r="K13" s="14" t="n"/>
    </row>
    <row r="14">
      <c r="A14">
        <f>IF(B14&lt;&gt;"","SEG-" &amp; TEXT(10,"000"),"")</f>
        <v/>
      </c>
      <c r="B14" s="14" t="n"/>
      <c r="C14" s="14" t="n"/>
      <c r="D14" s="14" t="n"/>
      <c r="E14" s="14" t="n"/>
      <c r="F14" s="14" t="n"/>
      <c r="G14" s="14" t="n"/>
      <c r="H14" s="14" t="n"/>
      <c r="I14" s="14" t="n"/>
      <c r="J14" s="14" t="n"/>
      <c r="K14" s="14" t="n"/>
    </row>
    <row r="15">
      <c r="A15">
        <f>IF(B15&lt;&gt;"","SEG-" &amp; TEXT(11,"000"),"")</f>
        <v/>
      </c>
      <c r="B15" s="14" t="n"/>
      <c r="C15" s="14" t="n"/>
      <c r="D15" s="14" t="n"/>
      <c r="E15" s="14" t="n"/>
      <c r="F15" s="14" t="n"/>
      <c r="G15" s="14" t="n"/>
      <c r="H15" s="14" t="n"/>
      <c r="I15" s="14" t="n"/>
      <c r="J15" s="14" t="n"/>
      <c r="K15" s="14" t="n"/>
    </row>
    <row r="16">
      <c r="A16">
        <f>IF(B16&lt;&gt;"","SEG-" &amp; TEXT(12,"000"),"")</f>
        <v/>
      </c>
      <c r="B16" s="14" t="n"/>
      <c r="C16" s="14" t="n"/>
      <c r="D16" s="14" t="n"/>
      <c r="E16" s="14" t="n"/>
      <c r="F16" s="14" t="n"/>
      <c r="G16" s="14" t="n"/>
      <c r="H16" s="14" t="n"/>
      <c r="I16" s="14" t="n"/>
      <c r="J16" s="14" t="n"/>
      <c r="K16" s="14" t="n"/>
    </row>
    <row r="17">
      <c r="A17">
        <f>IF(B17&lt;&gt;"","SEG-" &amp; TEXT(13,"000"),"")</f>
        <v/>
      </c>
      <c r="B17" s="14" t="n"/>
      <c r="C17" s="14" t="n"/>
      <c r="D17" s="14" t="n"/>
      <c r="E17" s="14" t="n"/>
      <c r="F17" s="14" t="n"/>
      <c r="G17" s="14" t="n"/>
      <c r="H17" s="14" t="n"/>
      <c r="I17" s="14" t="n"/>
      <c r="J17" s="14" t="n"/>
      <c r="K17" s="14" t="n"/>
    </row>
    <row r="18">
      <c r="A18">
        <f>IF(B18&lt;&gt;"","SEG-" &amp; TEXT(14,"000"),"")</f>
        <v/>
      </c>
      <c r="B18" s="14" t="n"/>
      <c r="C18" s="14" t="n"/>
      <c r="D18" s="14" t="n"/>
      <c r="E18" s="14" t="n"/>
      <c r="F18" s="14" t="n"/>
      <c r="G18" s="14" t="n"/>
      <c r="H18" s="14" t="n"/>
      <c r="I18" s="14" t="n"/>
      <c r="J18" s="14" t="n"/>
      <c r="K18" s="14" t="n"/>
    </row>
    <row r="19">
      <c r="A19">
        <f>IF(B19&lt;&gt;"","SEG-" &amp; TEXT(15,"000"),"")</f>
        <v/>
      </c>
      <c r="B19" s="14" t="n"/>
      <c r="C19" s="14" t="n"/>
      <c r="D19" s="14" t="n"/>
      <c r="E19" s="14" t="n"/>
      <c r="F19" s="14" t="n"/>
      <c r="G19" s="14" t="n"/>
      <c r="H19" s="14" t="n"/>
      <c r="I19" s="14" t="n"/>
      <c r="J19" s="14" t="n"/>
      <c r="K19" s="14" t="n"/>
    </row>
    <row r="20">
      <c r="A20">
        <f>IF(B20&lt;&gt;"","SEG-" &amp; TEXT(16,"000"),"")</f>
        <v/>
      </c>
      <c r="B20" s="14" t="n"/>
      <c r="C20" s="14" t="n"/>
      <c r="D20" s="14" t="n"/>
      <c r="E20" s="14" t="n"/>
      <c r="F20" s="14" t="n"/>
      <c r="G20" s="14" t="n"/>
      <c r="H20" s="14" t="n"/>
      <c r="I20" s="14" t="n"/>
      <c r="J20" s="14" t="n"/>
      <c r="K20" s="14" t="n"/>
    </row>
    <row r="21">
      <c r="A21">
        <f>IF(B21&lt;&gt;"","SEG-" &amp; TEXT(17,"000"),"")</f>
        <v/>
      </c>
      <c r="B21" s="14" t="n"/>
      <c r="C21" s="14" t="n"/>
      <c r="D21" s="14" t="n"/>
      <c r="E21" s="14" t="n"/>
      <c r="F21" s="14" t="n"/>
      <c r="G21" s="14" t="n"/>
      <c r="H21" s="14" t="n"/>
      <c r="I21" s="14" t="n"/>
      <c r="J21" s="14" t="n"/>
      <c r="K21" s="14" t="n"/>
    </row>
    <row r="22">
      <c r="A22">
        <f>IF(B22&lt;&gt;"","SEG-" &amp; TEXT(18,"000"),"")</f>
        <v/>
      </c>
      <c r="B22" s="14" t="n"/>
      <c r="C22" s="14" t="n"/>
      <c r="D22" s="14" t="n"/>
      <c r="E22" s="14" t="n"/>
      <c r="F22" s="14" t="n"/>
      <c r="G22" s="14" t="n"/>
      <c r="H22" s="14" t="n"/>
      <c r="I22" s="14" t="n"/>
      <c r="J22" s="14" t="n"/>
      <c r="K22" s="14" t="n"/>
    </row>
    <row r="23">
      <c r="A23">
        <f>IF(B23&lt;&gt;"","SEG-" &amp; TEXT(19,"000"),"")</f>
        <v/>
      </c>
      <c r="B23" s="14" t="n"/>
      <c r="C23" s="14" t="n"/>
      <c r="D23" s="14" t="n"/>
      <c r="E23" s="14" t="n"/>
      <c r="F23" s="14" t="n"/>
      <c r="G23" s="14" t="n"/>
      <c r="H23" s="14" t="n"/>
      <c r="I23" s="14" t="n"/>
      <c r="J23" s="14" t="n"/>
      <c r="K23" s="14" t="n"/>
    </row>
    <row r="24">
      <c r="A24">
        <f>IF(B24&lt;&gt;"","SEG-" &amp; TEXT(20,"000"),"")</f>
        <v/>
      </c>
      <c r="B24" s="14" t="n"/>
      <c r="C24" s="14" t="n"/>
      <c r="D24" s="14" t="n"/>
      <c r="E24" s="14" t="n"/>
      <c r="F24" s="14" t="n"/>
      <c r="G24" s="14" t="n"/>
      <c r="H24" s="14" t="n"/>
      <c r="I24" s="14" t="n"/>
      <c r="J24" s="14" t="n"/>
      <c r="K24" s="14" t="n"/>
    </row>
    <row r="25">
      <c r="A25">
        <f>IF(B25&lt;&gt;"","SEG-" &amp; TEXT(21,"000"),"")</f>
        <v/>
      </c>
      <c r="B25" s="14" t="n"/>
      <c r="C25" s="14" t="n"/>
      <c r="D25" s="14" t="n"/>
      <c r="E25" s="14" t="n"/>
      <c r="F25" s="14" t="n"/>
      <c r="G25" s="14" t="n"/>
      <c r="H25" s="14" t="n"/>
      <c r="I25" s="14" t="n"/>
      <c r="J25" s="14" t="n"/>
      <c r="K25" s="14" t="n"/>
    </row>
    <row r="26">
      <c r="A26">
        <f>IF(B26&lt;&gt;"","SEG-" &amp; TEXT(22,"000"),"")</f>
        <v/>
      </c>
      <c r="B26" s="14" t="n"/>
      <c r="C26" s="14" t="n"/>
      <c r="D26" s="14" t="n"/>
      <c r="E26" s="14" t="n"/>
      <c r="F26" s="14" t="n"/>
      <c r="G26" s="14" t="n"/>
      <c r="H26" s="14" t="n"/>
      <c r="I26" s="14" t="n"/>
      <c r="J26" s="14" t="n"/>
      <c r="K26" s="14" t="n"/>
    </row>
    <row r="27">
      <c r="A27">
        <f>IF(B27&lt;&gt;"","SEG-" &amp; TEXT(23,"000"),"")</f>
        <v/>
      </c>
      <c r="B27" s="14" t="n"/>
      <c r="C27" s="14" t="n"/>
      <c r="D27" s="14" t="n"/>
      <c r="E27" s="14" t="n"/>
      <c r="F27" s="14" t="n"/>
      <c r="G27" s="14" t="n"/>
      <c r="H27" s="14" t="n"/>
      <c r="I27" s="14" t="n"/>
      <c r="J27" s="14" t="n"/>
      <c r="K27" s="14" t="n"/>
    </row>
    <row r="28">
      <c r="A28">
        <f>IF(B28&lt;&gt;"","SEG-" &amp; TEXT(24,"000"),"")</f>
        <v/>
      </c>
      <c r="B28" s="14" t="n"/>
      <c r="C28" s="14" t="n"/>
      <c r="D28" s="14" t="n"/>
      <c r="E28" s="14" t="n"/>
      <c r="F28" s="14" t="n"/>
      <c r="G28" s="14" t="n"/>
      <c r="H28" s="14" t="n"/>
      <c r="I28" s="14" t="n"/>
      <c r="J28" s="14" t="n"/>
      <c r="K28" s="14" t="n"/>
    </row>
    <row r="29">
      <c r="A29">
        <f>IF(B29&lt;&gt;"","SEG-" &amp; TEXT(25,"000"),"")</f>
        <v/>
      </c>
      <c r="B29" s="14" t="n"/>
      <c r="C29" s="14" t="n"/>
      <c r="D29" s="14" t="n"/>
      <c r="E29" s="14" t="n"/>
      <c r="F29" s="14" t="n"/>
      <c r="G29" s="14" t="n"/>
      <c r="H29" s="14" t="n"/>
      <c r="I29" s="14" t="n"/>
      <c r="J29" s="14" t="n"/>
      <c r="K29" s="14" t="n"/>
    </row>
    <row r="30">
      <c r="A30">
        <f>IF(B30&lt;&gt;"","SEG-" &amp; TEXT(26,"000"),"")</f>
        <v/>
      </c>
      <c r="B30" s="14" t="n"/>
      <c r="C30" s="14" t="n"/>
      <c r="D30" s="14" t="n"/>
      <c r="E30" s="14" t="n"/>
      <c r="F30" s="14" t="n"/>
      <c r="G30" s="14" t="n"/>
      <c r="H30" s="14" t="n"/>
      <c r="I30" s="14" t="n"/>
      <c r="J30" s="14" t="n"/>
      <c r="K30" s="14" t="n"/>
    </row>
    <row r="31">
      <c r="A31">
        <f>IF(B31&lt;&gt;"","SEG-" &amp; TEXT(27,"000"),"")</f>
        <v/>
      </c>
      <c r="B31" s="14" t="n"/>
      <c r="C31" s="14" t="n"/>
      <c r="D31" s="14" t="n"/>
      <c r="E31" s="14" t="n"/>
      <c r="F31" s="14" t="n"/>
      <c r="G31" s="14" t="n"/>
      <c r="H31" s="14" t="n"/>
      <c r="I31" s="14" t="n"/>
      <c r="J31" s="14" t="n"/>
      <c r="K31" s="14" t="n"/>
    </row>
    <row r="32">
      <c r="A32">
        <f>IF(B32&lt;&gt;"","SEG-" &amp; TEXT(28,"000"),"")</f>
        <v/>
      </c>
      <c r="B32" s="14" t="n"/>
      <c r="C32" s="14" t="n"/>
      <c r="D32" s="14" t="n"/>
      <c r="E32" s="14" t="n"/>
      <c r="F32" s="14" t="n"/>
      <c r="G32" s="14" t="n"/>
      <c r="H32" s="14" t="n"/>
      <c r="I32" s="14" t="n"/>
      <c r="J32" s="14" t="n"/>
      <c r="K32" s="14" t="n"/>
    </row>
    <row r="33">
      <c r="A33">
        <f>IF(B33&lt;&gt;"","SEG-" &amp; TEXT(29,"000"),"")</f>
        <v/>
      </c>
      <c r="B33" s="14" t="n"/>
      <c r="C33" s="14" t="n"/>
      <c r="D33" s="14" t="n"/>
      <c r="E33" s="14" t="n"/>
      <c r="F33" s="14" t="n"/>
      <c r="G33" s="14" t="n"/>
      <c r="H33" s="14" t="n"/>
      <c r="I33" s="14" t="n"/>
      <c r="J33" s="14" t="n"/>
      <c r="K33" s="14" t="n"/>
    </row>
    <row r="34">
      <c r="A34">
        <f>IF(B34&lt;&gt;"","SEG-" &amp; TEXT(30,"000"),"")</f>
        <v/>
      </c>
      <c r="B34" s="14" t="n"/>
      <c r="C34" s="14" t="n"/>
      <c r="D34" s="14" t="n"/>
      <c r="E34" s="14" t="n"/>
      <c r="F34" s="14" t="n"/>
      <c r="G34" s="14" t="n"/>
      <c r="H34" s="14" t="n"/>
      <c r="I34" s="14" t="n"/>
      <c r="J34" s="14" t="n"/>
      <c r="K34" s="14" t="n"/>
    </row>
    <row r="35">
      <c r="A35">
        <f>IF(B35&lt;&gt;"","SEG-" &amp; TEXT(31,"000"),"")</f>
        <v/>
      </c>
      <c r="B35" s="14" t="n"/>
      <c r="C35" s="14" t="n"/>
      <c r="D35" s="14" t="n"/>
      <c r="E35" s="14" t="n"/>
      <c r="F35" s="14" t="n"/>
      <c r="G35" s="14" t="n"/>
      <c r="H35" s="14" t="n"/>
      <c r="I35" s="14" t="n"/>
      <c r="J35" s="14" t="n"/>
      <c r="K35" s="14" t="n"/>
    </row>
    <row r="36">
      <c r="A36">
        <f>IF(B36&lt;&gt;"","SEG-" &amp; TEXT(32,"000"),"")</f>
        <v/>
      </c>
      <c r="B36" s="14" t="n"/>
      <c r="C36" s="14" t="n"/>
      <c r="D36" s="14" t="n"/>
      <c r="E36" s="14" t="n"/>
      <c r="F36" s="14" t="n"/>
      <c r="G36" s="14" t="n"/>
      <c r="H36" s="14" t="n"/>
      <c r="I36" s="14" t="n"/>
      <c r="J36" s="14" t="n"/>
      <c r="K36" s="14" t="n"/>
    </row>
    <row r="37">
      <c r="A37">
        <f>IF(B37&lt;&gt;"","SEG-" &amp; TEXT(33,"000"),"")</f>
        <v/>
      </c>
      <c r="B37" s="14" t="n"/>
      <c r="C37" s="14" t="n"/>
      <c r="D37" s="14" t="n"/>
      <c r="E37" s="14" t="n"/>
      <c r="F37" s="14" t="n"/>
      <c r="G37" s="14" t="n"/>
      <c r="H37" s="14" t="n"/>
      <c r="I37" s="14" t="n"/>
      <c r="J37" s="14" t="n"/>
      <c r="K37" s="14" t="n"/>
    </row>
    <row r="38">
      <c r="A38">
        <f>IF(B38&lt;&gt;"","SEG-" &amp; TEXT(34,"000"),"")</f>
        <v/>
      </c>
      <c r="B38" s="14" t="n"/>
      <c r="C38" s="14" t="n"/>
      <c r="D38" s="14" t="n"/>
      <c r="E38" s="14" t="n"/>
      <c r="F38" s="14" t="n"/>
      <c r="G38" s="14" t="n"/>
      <c r="H38" s="14" t="n"/>
      <c r="I38" s="14" t="n"/>
      <c r="J38" s="14" t="n"/>
      <c r="K38" s="14" t="n"/>
    </row>
    <row r="39">
      <c r="A39">
        <f>IF(B39&lt;&gt;"","SEG-" &amp; TEXT(35,"000"),"")</f>
        <v/>
      </c>
      <c r="B39" s="14" t="n"/>
      <c r="C39" s="14" t="n"/>
      <c r="D39" s="14" t="n"/>
      <c r="E39" s="14" t="n"/>
      <c r="F39" s="14" t="n"/>
      <c r="G39" s="14" t="n"/>
      <c r="H39" s="14" t="n"/>
      <c r="I39" s="14" t="n"/>
      <c r="J39" s="14" t="n"/>
      <c r="K39" s="14" t="n"/>
    </row>
    <row r="40">
      <c r="A40">
        <f>IF(B40&lt;&gt;"","SEG-" &amp; TEXT(36,"000"),"")</f>
        <v/>
      </c>
      <c r="B40" s="14" t="n"/>
      <c r="C40" s="14" t="n"/>
      <c r="D40" s="14" t="n"/>
      <c r="E40" s="14" t="n"/>
      <c r="F40" s="14" t="n"/>
      <c r="G40" s="14" t="n"/>
      <c r="H40" s="14" t="n"/>
      <c r="I40" s="14" t="n"/>
      <c r="J40" s="14" t="n"/>
      <c r="K40" s="14" t="n"/>
    </row>
    <row r="41">
      <c r="A41">
        <f>IF(B41&lt;&gt;"","SEG-" &amp; TEXT(37,"000"),"")</f>
        <v/>
      </c>
      <c r="B41" s="14" t="n"/>
      <c r="C41" s="14" t="n"/>
      <c r="D41" s="14" t="n"/>
      <c r="E41" s="14" t="n"/>
      <c r="F41" s="14" t="n"/>
      <c r="G41" s="14" t="n"/>
      <c r="H41" s="14" t="n"/>
      <c r="I41" s="14" t="n"/>
      <c r="J41" s="14" t="n"/>
      <c r="K41" s="14" t="n"/>
    </row>
    <row r="42">
      <c r="A42">
        <f>IF(B42&lt;&gt;"","SEG-" &amp; TEXT(38,"000"),"")</f>
        <v/>
      </c>
      <c r="B42" s="14" t="n"/>
      <c r="C42" s="14" t="n"/>
      <c r="D42" s="14" t="n"/>
      <c r="E42" s="14" t="n"/>
      <c r="F42" s="14" t="n"/>
      <c r="G42" s="14" t="n"/>
      <c r="H42" s="14" t="n"/>
      <c r="I42" s="14" t="n"/>
      <c r="J42" s="14" t="n"/>
      <c r="K42" s="14" t="n"/>
    </row>
    <row r="43">
      <c r="A43">
        <f>IF(B43&lt;&gt;"","SEG-" &amp; TEXT(39,"000"),"")</f>
        <v/>
      </c>
      <c r="B43" s="14" t="n"/>
      <c r="C43" s="14" t="n"/>
      <c r="D43" s="14" t="n"/>
      <c r="E43" s="14" t="n"/>
      <c r="F43" s="14" t="n"/>
      <c r="G43" s="14" t="n"/>
      <c r="H43" s="14" t="n"/>
      <c r="I43" s="14" t="n"/>
      <c r="J43" s="14" t="n"/>
      <c r="K43" s="14" t="n"/>
    </row>
    <row r="44">
      <c r="A44">
        <f>IF(B44&lt;&gt;"","SEG-" &amp; TEXT(40,"000"),"")</f>
        <v/>
      </c>
      <c r="B44" s="14" t="n"/>
      <c r="C44" s="14" t="n"/>
      <c r="D44" s="14" t="n"/>
      <c r="E44" s="14" t="n"/>
      <c r="F44" s="14" t="n"/>
      <c r="G44" s="14" t="n"/>
      <c r="H44" s="14" t="n"/>
      <c r="I44" s="14" t="n"/>
      <c r="J44" s="14" t="n"/>
      <c r="K44" s="14" t="n"/>
    </row>
    <row r="45">
      <c r="A45">
        <f>IF(B45&lt;&gt;"","SEG-" &amp; TEXT(41,"000"),"")</f>
        <v/>
      </c>
      <c r="B45" s="14" t="n"/>
      <c r="C45" s="14" t="n"/>
      <c r="D45" s="14" t="n"/>
      <c r="E45" s="14" t="n"/>
      <c r="F45" s="14" t="n"/>
      <c r="G45" s="14" t="n"/>
      <c r="H45" s="14" t="n"/>
      <c r="I45" s="14" t="n"/>
      <c r="J45" s="14" t="n"/>
      <c r="K45" s="14" t="n"/>
    </row>
    <row r="46">
      <c r="A46">
        <f>IF(B46&lt;&gt;"","SEG-" &amp; TEXT(42,"000"),"")</f>
        <v/>
      </c>
      <c r="B46" s="14" t="n"/>
      <c r="C46" s="14" t="n"/>
      <c r="D46" s="14" t="n"/>
      <c r="E46" s="14" t="n"/>
      <c r="F46" s="14" t="n"/>
      <c r="G46" s="14" t="n"/>
      <c r="H46" s="14" t="n"/>
      <c r="I46" s="14" t="n"/>
      <c r="J46" s="14" t="n"/>
      <c r="K46" s="14" t="n"/>
    </row>
    <row r="47">
      <c r="A47">
        <f>IF(B47&lt;&gt;"","SEG-" &amp; TEXT(43,"000"),"")</f>
        <v/>
      </c>
      <c r="B47" s="14" t="n"/>
      <c r="C47" s="14" t="n"/>
      <c r="D47" s="14" t="n"/>
      <c r="E47" s="14" t="n"/>
      <c r="F47" s="14" t="n"/>
      <c r="G47" s="14" t="n"/>
      <c r="H47" s="14" t="n"/>
      <c r="I47" s="14" t="n"/>
      <c r="J47" s="14" t="n"/>
      <c r="K47" s="14" t="n"/>
    </row>
    <row r="48">
      <c r="A48">
        <f>IF(B48&lt;&gt;"","SEG-" &amp; TEXT(44,"000"),"")</f>
        <v/>
      </c>
      <c r="B48" s="14" t="n"/>
      <c r="C48" s="14" t="n"/>
      <c r="D48" s="14" t="n"/>
      <c r="E48" s="14" t="n"/>
      <c r="F48" s="14" t="n"/>
      <c r="G48" s="14" t="n"/>
      <c r="H48" s="14" t="n"/>
      <c r="I48" s="14" t="n"/>
      <c r="J48" s="14" t="n"/>
      <c r="K48" s="14" t="n"/>
    </row>
    <row r="49">
      <c r="A49">
        <f>IF(B49&lt;&gt;"","SEG-" &amp; TEXT(45,"000"),"")</f>
        <v/>
      </c>
      <c r="B49" s="14" t="n"/>
      <c r="C49" s="14" t="n"/>
      <c r="D49" s="14" t="n"/>
      <c r="E49" s="14" t="n"/>
      <c r="F49" s="14" t="n"/>
      <c r="G49" s="14" t="n"/>
      <c r="H49" s="14" t="n"/>
      <c r="I49" s="14" t="n"/>
      <c r="J49" s="14" t="n"/>
      <c r="K49" s="14" t="n"/>
    </row>
    <row r="50">
      <c r="A50">
        <f>IF(B50&lt;&gt;"","SEG-" &amp; TEXT(46,"000"),"")</f>
        <v/>
      </c>
      <c r="B50" s="14" t="n"/>
      <c r="C50" s="14" t="n"/>
      <c r="D50" s="14" t="n"/>
      <c r="E50" s="14" t="n"/>
      <c r="F50" s="14" t="n"/>
      <c r="G50" s="14" t="n"/>
      <c r="H50" s="14" t="n"/>
      <c r="I50" s="14" t="n"/>
      <c r="J50" s="14" t="n"/>
      <c r="K50" s="14" t="n"/>
    </row>
    <row r="51">
      <c r="A51">
        <f>IF(B51&lt;&gt;"","SEG-" &amp; TEXT(47,"000"),"")</f>
        <v/>
      </c>
      <c r="B51" s="14" t="n"/>
      <c r="C51" s="14" t="n"/>
      <c r="D51" s="14" t="n"/>
      <c r="E51" s="14" t="n"/>
      <c r="F51" s="14" t="n"/>
      <c r="G51" s="14" t="n"/>
      <c r="H51" s="14" t="n"/>
      <c r="I51" s="14" t="n"/>
      <c r="J51" s="14" t="n"/>
      <c r="K51" s="14" t="n"/>
    </row>
    <row r="52">
      <c r="A52">
        <f>IF(B52&lt;&gt;"","SEG-" &amp; TEXT(48,"000"),"")</f>
        <v/>
      </c>
      <c r="B52" s="14" t="n"/>
      <c r="C52" s="14" t="n"/>
      <c r="D52" s="14" t="n"/>
      <c r="E52" s="14" t="n"/>
      <c r="F52" s="14" t="n"/>
      <c r="G52" s="14" t="n"/>
      <c r="H52" s="14" t="n"/>
      <c r="I52" s="14" t="n"/>
      <c r="J52" s="14" t="n"/>
      <c r="K52" s="14" t="n"/>
    </row>
    <row r="53">
      <c r="A53">
        <f>IF(B53&lt;&gt;"","SEG-" &amp; TEXT(49,"000"),"")</f>
        <v/>
      </c>
      <c r="B53" s="14" t="n"/>
      <c r="C53" s="14" t="n"/>
      <c r="D53" s="14" t="n"/>
      <c r="E53" s="14" t="n"/>
      <c r="F53" s="14" t="n"/>
      <c r="G53" s="14" t="n"/>
      <c r="H53" s="14" t="n"/>
      <c r="I53" s="14" t="n"/>
      <c r="J53" s="14" t="n"/>
      <c r="K53" s="14" t="n"/>
    </row>
    <row r="54">
      <c r="A54">
        <f>IF(B54&lt;&gt;"","SEG-" &amp; TEXT(50,"000"),"")</f>
        <v/>
      </c>
      <c r="B54" s="14" t="n"/>
      <c r="C54" s="14" t="n"/>
      <c r="D54" s="14" t="n"/>
      <c r="E54" s="14" t="n"/>
      <c r="F54" s="14" t="n"/>
      <c r="G54" s="14" t="n"/>
      <c r="H54" s="14" t="n"/>
      <c r="I54" s="14" t="n"/>
      <c r="J54" s="14" t="n"/>
      <c r="K54" s="14" t="n"/>
    </row>
    <row r="56">
      <c r="A56" s="15" t="inlineStr">
        <is>
          <t>Common Segmentation Matrix Examples</t>
        </is>
      </c>
      <c r="B56" s="6" t="n"/>
      <c r="C56" s="6" t="n"/>
      <c r="D56" s="6" t="n"/>
      <c r="E56" s="6" t="n"/>
      <c r="F56" s="6" t="n"/>
      <c r="G56" s="6" t="n"/>
      <c r="H56" s="6" t="n"/>
      <c r="I56" s="6" t="n"/>
      <c r="J56" s="6" t="n"/>
      <c r="K56" s="6" t="n"/>
    </row>
    <row r="57">
      <c r="A57" s="13" t="inlineStr">
        <is>
          <t>Source</t>
        </is>
      </c>
      <c r="B57" s="13" t="inlineStr">
        <is>
          <t>Destination</t>
        </is>
      </c>
      <c r="C57" s="13" t="inlineStr">
        <is>
          <t>Action</t>
        </is>
      </c>
      <c r="D57" s="13" t="inlineStr">
        <is>
          <t>Justification</t>
        </is>
      </c>
    </row>
    <row r="58">
      <c r="A58" s="12" t="inlineStr">
        <is>
          <t>Internet/DMZ</t>
        </is>
      </c>
      <c r="B58" s="12" t="inlineStr">
        <is>
          <t>Internal</t>
        </is>
      </c>
      <c r="C58" s="16" t="inlineStr">
        <is>
          <t>Deny</t>
        </is>
      </c>
      <c r="D58" s="12" t="inlineStr">
        <is>
          <t>External users cannot access internal network</t>
        </is>
      </c>
    </row>
    <row r="59">
      <c r="A59" s="12" t="inlineStr">
        <is>
          <t>Internal</t>
        </is>
      </c>
      <c r="B59" s="12" t="inlineStr">
        <is>
          <t>Internet/DMZ</t>
        </is>
      </c>
      <c r="C59" s="17" t="inlineStr">
        <is>
          <t>Allow</t>
        </is>
      </c>
      <c r="D59" s="12" t="inlineStr">
        <is>
          <t>Internal users can access public services</t>
        </is>
      </c>
    </row>
    <row r="60">
      <c r="A60" s="12" t="inlineStr">
        <is>
          <t>Internal</t>
        </is>
      </c>
      <c r="B60" s="12" t="inlineStr">
        <is>
          <t>Datacenter</t>
        </is>
      </c>
      <c r="C60" s="17" t="inlineStr">
        <is>
          <t>Allow</t>
        </is>
      </c>
      <c r="D60" s="12" t="inlineStr">
        <is>
          <t>Users need access to application servers</t>
        </is>
      </c>
    </row>
    <row r="61">
      <c r="A61" s="12" t="inlineStr">
        <is>
          <t>Guest</t>
        </is>
      </c>
      <c r="B61" s="12" t="inlineStr">
        <is>
          <t>Internal</t>
        </is>
      </c>
      <c r="C61" s="16" t="inlineStr">
        <is>
          <t>Deny</t>
        </is>
      </c>
      <c r="D61" s="12" t="inlineStr">
        <is>
          <t>Guest Wi-Fi isolated from corporate network</t>
        </is>
      </c>
    </row>
    <row r="62">
      <c r="A62" s="12" t="inlineStr">
        <is>
          <t>Guest</t>
        </is>
      </c>
      <c r="B62" s="12" t="inlineStr">
        <is>
          <t>Internet</t>
        </is>
      </c>
      <c r="C62" s="17" t="inlineStr">
        <is>
          <t>Allow</t>
        </is>
      </c>
      <c r="D62" s="12" t="inlineStr">
        <is>
          <t>Guest users can access internet only</t>
        </is>
      </c>
    </row>
    <row r="63">
      <c r="A63" s="12" t="inlineStr">
        <is>
          <t>Management</t>
        </is>
      </c>
      <c r="B63" s="12" t="inlineStr">
        <is>
          <t>All Zones</t>
        </is>
      </c>
      <c r="C63" s="17" t="inlineStr">
        <is>
          <t>Allow</t>
        </is>
      </c>
      <c r="D63" s="12" t="inlineStr">
        <is>
          <t>Management needs access to all devices</t>
        </is>
      </c>
    </row>
    <row r="64">
      <c r="A64" s="12" t="inlineStr">
        <is>
          <t>All Zones</t>
        </is>
      </c>
      <c r="B64" s="12" t="inlineStr">
        <is>
          <t>Management</t>
        </is>
      </c>
      <c r="C64" s="16" t="inlineStr">
        <is>
          <t>Deny</t>
        </is>
      </c>
      <c r="D64" s="12" t="inlineStr">
        <is>
          <t>Management zone is protected</t>
        </is>
      </c>
    </row>
  </sheetData>
  <mergeCells count="4">
    <mergeCell ref="A2:K2"/>
    <mergeCell ref="A1:K1"/>
    <mergeCell ref="A56:K56"/>
    <mergeCell ref="A3:K3"/>
  </mergeCells>
  <conditionalFormatting sqref="D5:D54">
    <cfRule type="cellIs" priority="1" operator="equal" dxfId="0">
      <formula>"Allow"</formula>
    </cfRule>
    <cfRule type="cellIs" priority="2" operator="equal" dxfId="1">
      <formula>"Deny"</formula>
    </cfRule>
  </conditionalFormatting>
  <dataValidations count="1">
    <dataValidation sqref="D5:D54" showDropDown="0" showInputMessage="0" showErrorMessage="0" allowBlank="0" type="list">
      <formula1>"Allow,Deny,Inspect"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20" customWidth="1" min="3" max="3"/>
    <col width="20" customWidth="1" min="4" max="4"/>
    <col width="35" customWidth="1" min="5" max="5"/>
    <col width="20" customWidth="1" min="6" max="6"/>
    <col width="12" customWidth="1" min="7" max="7"/>
    <col width="12" customWidth="1" min="8" max="8"/>
    <col width="12" customWidth="1" min="9" max="9"/>
    <col width="40" customWidth="1" min="10" max="10"/>
  </cols>
  <sheetData>
    <row r="1" ht="35" customHeight="1">
      <c r="A1" s="11" t="inlineStr">
        <is>
          <t>VLAN INVENTORY &amp; DESIGN ASSESSMENT</t>
        </is>
      </c>
    </row>
    <row r="2">
      <c r="A2" s="12" t="inlineStr">
        <is>
          <t>Document all VLANs. Verify VLAN numbering, naming standards, and zone assignment.</t>
        </is>
      </c>
    </row>
    <row r="3">
      <c r="A3" s="13" t="inlineStr">
        <is>
          <t>VLAN ID</t>
        </is>
      </c>
      <c r="B3" s="13" t="inlineStr">
        <is>
          <t>VLAN Name</t>
        </is>
      </c>
      <c r="C3" s="13" t="inlineStr">
        <is>
          <t>Security Zone</t>
        </is>
      </c>
      <c r="D3" s="13" t="inlineStr">
        <is>
          <t>IP Subnet</t>
        </is>
      </c>
      <c r="E3" s="13" t="inlineStr">
        <is>
          <t>Purpose</t>
        </is>
      </c>
      <c r="F3" s="13" t="inlineStr">
        <is>
          <t>Devices/Ports</t>
        </is>
      </c>
      <c r="G3" s="13" t="inlineStr">
        <is>
          <t>Trunk Allowed</t>
        </is>
      </c>
      <c r="H3" s="13" t="inlineStr">
        <is>
          <t>Native VLAN</t>
        </is>
      </c>
      <c r="I3" s="13" t="inlineStr">
        <is>
          <t>Last Reviewed</t>
        </is>
      </c>
      <c r="J3" s="13" t="inlineStr">
        <is>
          <t>Notes</t>
        </is>
      </c>
    </row>
    <row r="4">
      <c r="A4" s="18" t="inlineStr">
        <is>
          <t>10</t>
        </is>
      </c>
      <c r="B4" s="18" t="inlineStr">
        <is>
          <t>VLAN-10-USERS-LAN</t>
        </is>
      </c>
      <c r="C4" s="18" t="inlineStr">
        <is>
          <t>Internal</t>
        </is>
      </c>
      <c r="D4" s="18" t="inlineStr">
        <is>
          <t>10.10.0.0/24</t>
        </is>
      </c>
      <c r="E4" s="18" t="inlineStr">
        <is>
          <t>End-user workstations</t>
        </is>
      </c>
      <c r="F4" s="18" t="inlineStr">
        <is>
          <t>sw-access-01 Gi0/1-24</t>
        </is>
      </c>
      <c r="G4" s="18" t="inlineStr">
        <is>
          <t>No</t>
        </is>
      </c>
      <c r="H4" s="18" t="inlineStr">
        <is>
          <t>No</t>
        </is>
      </c>
      <c r="I4" s="18" t="inlineStr"/>
      <c r="J4" s="18" t="inlineStr"/>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6">
      <c r="A56" s="15" t="inlineStr">
        <is>
          <t>VLAN Design Best Practices (per IMP-S5)</t>
        </is>
      </c>
      <c r="B56" s="6" t="n"/>
      <c r="C56" s="6" t="n"/>
      <c r="D56" s="6" t="n"/>
      <c r="E56" s="6" t="n"/>
      <c r="F56" s="6" t="n"/>
      <c r="G56" s="6" t="n"/>
      <c r="H56" s="6" t="n"/>
      <c r="I56" s="6" t="n"/>
      <c r="J56" s="6" t="n"/>
    </row>
    <row r="57">
      <c r="A57" s="12" t="inlineStr">
        <is>
          <t>• VLAN NUMBERING: Consistent scheme (e.g., 10-99 for users, 100-199 for servers, 200-299 for management)</t>
        </is>
      </c>
    </row>
    <row r="58">
      <c r="A58" s="12" t="inlineStr">
        <is>
          <t>• VLAN NAMING: Descriptive names (e.g., VLAN-10-USERS-FLOOR1, VLAN-100-SERVERS-WEB)</t>
        </is>
      </c>
    </row>
    <row r="59">
      <c r="A59" s="12" t="inlineStr">
        <is>
          <t>• NATIVE VLAN: Change from default VLAN 1, use dedicated unused VLAN</t>
        </is>
      </c>
    </row>
    <row r="60">
      <c r="A60" s="12" t="inlineStr">
        <is>
          <t>• VLAN PRUNING: Only allow necessary VLANs on trunks</t>
        </is>
      </c>
    </row>
    <row r="61">
      <c r="A61" s="12" t="inlineStr">
        <is>
          <t>• ONE VLAN PER ZONE: Each security zone maps to dedicated VLANs</t>
        </is>
      </c>
    </row>
    <row r="62">
      <c r="A62" s="12" t="inlineStr">
        <is>
          <t>• DOCUMENTATION: Maintain VLAN database with assignments and purpose</t>
        </is>
      </c>
    </row>
  </sheetData>
  <mergeCells count="9">
    <mergeCell ref="A1:J1"/>
    <mergeCell ref="A61:J61"/>
    <mergeCell ref="A58:J58"/>
    <mergeCell ref="A56:J56"/>
    <mergeCell ref="A62:J62"/>
    <mergeCell ref="A59:J59"/>
    <mergeCell ref="A57:J57"/>
    <mergeCell ref="A2:J2"/>
    <mergeCell ref="A60:J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2" customWidth="1" min="3" max="3"/>
    <col width="18" customWidth="1" min="4" max="4"/>
    <col width="18" customWidth="1" min="5" max="5"/>
    <col width="20" customWidth="1" min="6" max="6"/>
    <col width="20" customWidth="1" min="7" max="7"/>
    <col width="18" customWidth="1" min="8" max="8"/>
    <col width="12" customWidth="1" min="9" max="9"/>
    <col width="15" customWidth="1" min="10" max="10"/>
    <col width="12" customWidth="1" min="11" max="11"/>
    <col width="15" customWidth="1" min="12" max="12"/>
    <col width="40" customWidth="1" min="13" max="13"/>
  </cols>
  <sheetData>
    <row r="1" ht="35" customHeight="1">
      <c r="A1" s="11" t="inlineStr">
        <is>
          <t>FIREWALL RULES ASSESSMENT</t>
        </is>
      </c>
    </row>
    <row r="2">
      <c r="A2" s="12" t="inlineStr">
        <is>
          <t>Review firewall rules that enforce zone segmentation. Focus on inter-zone traffic controls.</t>
        </is>
      </c>
    </row>
    <row r="3">
      <c r="A3" s="13" t="inlineStr">
        <is>
          <t>Rule ID</t>
        </is>
      </c>
      <c r="B3" s="13" t="inlineStr">
        <is>
          <t>Firewall</t>
        </is>
      </c>
      <c r="C3" s="13" t="inlineStr">
        <is>
          <t>Rule Number</t>
        </is>
      </c>
      <c r="D3" s="13" t="inlineStr">
        <is>
          <t>Source Zone</t>
        </is>
      </c>
      <c r="E3" s="13" t="inlineStr">
        <is>
          <t>Destination Zone</t>
        </is>
      </c>
      <c r="F3" s="13" t="inlineStr">
        <is>
          <t>Source IP/Network</t>
        </is>
      </c>
      <c r="G3" s="13" t="inlineStr">
        <is>
          <t>Destination IP/Network</t>
        </is>
      </c>
      <c r="H3" s="13" t="inlineStr">
        <is>
          <t>Service/Port</t>
        </is>
      </c>
      <c r="I3" s="13" t="inlineStr">
        <is>
          <t>Action</t>
        </is>
      </c>
      <c r="J3" s="13" t="inlineStr">
        <is>
          <t>Review Status</t>
        </is>
      </c>
      <c r="K3" s="13" t="inlineStr">
        <is>
          <t>Last Modified</t>
        </is>
      </c>
      <c r="L3" s="13" t="inlineStr">
        <is>
          <t>Reviewed By</t>
        </is>
      </c>
      <c r="M3" s="13" t="inlineStr">
        <is>
          <t>Notes</t>
        </is>
      </c>
    </row>
    <row r="4">
      <c r="A4" t="inlineStr">
        <is>
          <t>FW-RULE-001</t>
        </is>
      </c>
      <c r="B4" s="18" t="inlineStr">
        <is>
          <t>core-fw-01</t>
        </is>
      </c>
      <c r="C4" s="18" t="inlineStr">
        <is>
          <t>1</t>
        </is>
      </c>
      <c r="D4" s="18" t="inlineStr">
        <is>
          <t>Internet</t>
        </is>
      </c>
      <c r="E4" s="18" t="inlineStr">
        <is>
          <t>DMZ</t>
        </is>
      </c>
      <c r="F4" s="18" t="inlineStr">
        <is>
          <t>Any</t>
        </is>
      </c>
      <c r="G4" s="18" t="inlineStr">
        <is>
          <t>10.10.1.0/24</t>
        </is>
      </c>
      <c r="H4" s="18" t="inlineStr">
        <is>
          <t>TCP/80, TCP/443</t>
        </is>
      </c>
      <c r="I4" s="18" t="inlineStr">
        <is>
          <t>Allow</t>
        </is>
      </c>
      <c r="J4" s="18" t="inlineStr">
        <is>
          <t>Current</t>
        </is>
      </c>
      <c r="K4" s="18" t="inlineStr">
        <is>
          <t>01.01.2026</t>
        </is>
      </c>
      <c r="L4" s="18" t="inlineStr">
        <is>
          <t>Network Security Team</t>
        </is>
      </c>
      <c r="M4" s="18" t="inlineStr">
        <is>
          <t>Permit inbound HTTP/HTTPS to DMZ web servers</t>
        </is>
      </c>
    </row>
    <row r="5">
      <c r="A5">
        <f>IF(B5&lt;&gt;"","FW-RULE-" &amp; TEXT(2,"000"),"")</f>
        <v/>
      </c>
      <c r="B5" s="14" t="n"/>
      <c r="C5" s="14" t="n"/>
      <c r="D5" s="14" t="n"/>
      <c r="E5" s="14" t="n"/>
      <c r="F5" s="14" t="n"/>
      <c r="G5" s="14" t="n"/>
      <c r="H5" s="14" t="n"/>
      <c r="I5" s="14" t="n"/>
      <c r="J5" s="14" t="n"/>
      <c r="K5" s="14" t="n"/>
      <c r="L5" s="14" t="n"/>
      <c r="M5" s="14" t="n"/>
    </row>
    <row r="6">
      <c r="A6">
        <f>IF(B6&lt;&gt;"","FW-RULE-" &amp; TEXT(3,"000"),"")</f>
        <v/>
      </c>
      <c r="B6" s="14" t="n"/>
      <c r="C6" s="14" t="n"/>
      <c r="D6" s="14" t="n"/>
      <c r="E6" s="14" t="n"/>
      <c r="F6" s="14" t="n"/>
      <c r="G6" s="14" t="n"/>
      <c r="H6" s="14" t="n"/>
      <c r="I6" s="14" t="n"/>
      <c r="J6" s="14" t="n"/>
      <c r="K6" s="14" t="n"/>
      <c r="L6" s="14" t="n"/>
      <c r="M6" s="14" t="n"/>
    </row>
    <row r="7">
      <c r="A7">
        <f>IF(B7&lt;&gt;"","FW-RULE-" &amp; TEXT(4,"000"),"")</f>
        <v/>
      </c>
      <c r="B7" s="14" t="n"/>
      <c r="C7" s="14" t="n"/>
      <c r="D7" s="14" t="n"/>
      <c r="E7" s="14" t="n"/>
      <c r="F7" s="14" t="n"/>
      <c r="G7" s="14" t="n"/>
      <c r="H7" s="14" t="n"/>
      <c r="I7" s="14" t="n"/>
      <c r="J7" s="14" t="n"/>
      <c r="K7" s="14" t="n"/>
      <c r="L7" s="14" t="n"/>
      <c r="M7" s="14" t="n"/>
    </row>
    <row r="8">
      <c r="A8">
        <f>IF(B8&lt;&gt;"","FW-RULE-" &amp; TEXT(5,"000"),"")</f>
        <v/>
      </c>
      <c r="B8" s="14" t="n"/>
      <c r="C8" s="14" t="n"/>
      <c r="D8" s="14" t="n"/>
      <c r="E8" s="14" t="n"/>
      <c r="F8" s="14" t="n"/>
      <c r="G8" s="14" t="n"/>
      <c r="H8" s="14" t="n"/>
      <c r="I8" s="14" t="n"/>
      <c r="J8" s="14" t="n"/>
      <c r="K8" s="14" t="n"/>
      <c r="L8" s="14" t="n"/>
      <c r="M8" s="14" t="n"/>
    </row>
    <row r="9">
      <c r="A9">
        <f>IF(B9&lt;&gt;"","FW-RULE-" &amp; TEXT(6,"000"),"")</f>
        <v/>
      </c>
      <c r="B9" s="14" t="n"/>
      <c r="C9" s="14" t="n"/>
      <c r="D9" s="14" t="n"/>
      <c r="E9" s="14" t="n"/>
      <c r="F9" s="14" t="n"/>
      <c r="G9" s="14" t="n"/>
      <c r="H9" s="14" t="n"/>
      <c r="I9" s="14" t="n"/>
      <c r="J9" s="14" t="n"/>
      <c r="K9" s="14" t="n"/>
      <c r="L9" s="14" t="n"/>
      <c r="M9" s="14" t="n"/>
    </row>
    <row r="10">
      <c r="A10">
        <f>IF(B10&lt;&gt;"","FW-RULE-" &amp; TEXT(7,"000"),"")</f>
        <v/>
      </c>
      <c r="B10" s="14" t="n"/>
      <c r="C10" s="14" t="n"/>
      <c r="D10" s="14" t="n"/>
      <c r="E10" s="14" t="n"/>
      <c r="F10" s="14" t="n"/>
      <c r="G10" s="14" t="n"/>
      <c r="H10" s="14" t="n"/>
      <c r="I10" s="14" t="n"/>
      <c r="J10" s="14" t="n"/>
      <c r="K10" s="14" t="n"/>
      <c r="L10" s="14" t="n"/>
      <c r="M10" s="14" t="n"/>
    </row>
    <row r="11">
      <c r="A11">
        <f>IF(B11&lt;&gt;"","FW-RULE-" &amp; TEXT(8,"000"),"")</f>
        <v/>
      </c>
      <c r="B11" s="14" t="n"/>
      <c r="C11" s="14" t="n"/>
      <c r="D11" s="14" t="n"/>
      <c r="E11" s="14" t="n"/>
      <c r="F11" s="14" t="n"/>
      <c r="G11" s="14" t="n"/>
      <c r="H11" s="14" t="n"/>
      <c r="I11" s="14" t="n"/>
      <c r="J11" s="14" t="n"/>
      <c r="K11" s="14" t="n"/>
      <c r="L11" s="14" t="n"/>
      <c r="M11" s="14" t="n"/>
    </row>
    <row r="12">
      <c r="A12">
        <f>IF(B12&lt;&gt;"","FW-RULE-" &amp; TEXT(9,"000"),"")</f>
        <v/>
      </c>
      <c r="B12" s="14" t="n"/>
      <c r="C12" s="14" t="n"/>
      <c r="D12" s="14" t="n"/>
      <c r="E12" s="14" t="n"/>
      <c r="F12" s="14" t="n"/>
      <c r="G12" s="14" t="n"/>
      <c r="H12" s="14" t="n"/>
      <c r="I12" s="14" t="n"/>
      <c r="J12" s="14" t="n"/>
      <c r="K12" s="14" t="n"/>
      <c r="L12" s="14" t="n"/>
      <c r="M12" s="14" t="n"/>
    </row>
    <row r="13">
      <c r="A13">
        <f>IF(B13&lt;&gt;"","FW-RULE-" &amp; TEXT(10,"000"),"")</f>
        <v/>
      </c>
      <c r="B13" s="14" t="n"/>
      <c r="C13" s="14" t="n"/>
      <c r="D13" s="14" t="n"/>
      <c r="E13" s="14" t="n"/>
      <c r="F13" s="14" t="n"/>
      <c r="G13" s="14" t="n"/>
      <c r="H13" s="14" t="n"/>
      <c r="I13" s="14" t="n"/>
      <c r="J13" s="14" t="n"/>
      <c r="K13" s="14" t="n"/>
      <c r="L13" s="14" t="n"/>
      <c r="M13" s="14" t="n"/>
    </row>
    <row r="14">
      <c r="A14">
        <f>IF(B14&lt;&gt;"","FW-RULE-" &amp; TEXT(11,"000"),"")</f>
        <v/>
      </c>
      <c r="B14" s="14" t="n"/>
      <c r="C14" s="14" t="n"/>
      <c r="D14" s="14" t="n"/>
      <c r="E14" s="14" t="n"/>
      <c r="F14" s="14" t="n"/>
      <c r="G14" s="14" t="n"/>
      <c r="H14" s="14" t="n"/>
      <c r="I14" s="14" t="n"/>
      <c r="J14" s="14" t="n"/>
      <c r="K14" s="14" t="n"/>
      <c r="L14" s="14" t="n"/>
      <c r="M14" s="14" t="n"/>
    </row>
    <row r="15">
      <c r="A15">
        <f>IF(B15&lt;&gt;"","FW-RULE-" &amp; TEXT(12,"000"),"")</f>
        <v/>
      </c>
      <c r="B15" s="14" t="n"/>
      <c r="C15" s="14" t="n"/>
      <c r="D15" s="14" t="n"/>
      <c r="E15" s="14" t="n"/>
      <c r="F15" s="14" t="n"/>
      <c r="G15" s="14" t="n"/>
      <c r="H15" s="14" t="n"/>
      <c r="I15" s="14" t="n"/>
      <c r="J15" s="14" t="n"/>
      <c r="K15" s="14" t="n"/>
      <c r="L15" s="14" t="n"/>
      <c r="M15" s="14" t="n"/>
    </row>
    <row r="16">
      <c r="A16">
        <f>IF(B16&lt;&gt;"","FW-RULE-" &amp; TEXT(13,"000"),"")</f>
        <v/>
      </c>
      <c r="B16" s="14" t="n"/>
      <c r="C16" s="14" t="n"/>
      <c r="D16" s="14" t="n"/>
      <c r="E16" s="14" t="n"/>
      <c r="F16" s="14" t="n"/>
      <c r="G16" s="14" t="n"/>
      <c r="H16" s="14" t="n"/>
      <c r="I16" s="14" t="n"/>
      <c r="J16" s="14" t="n"/>
      <c r="K16" s="14" t="n"/>
      <c r="L16" s="14" t="n"/>
      <c r="M16" s="14" t="n"/>
    </row>
    <row r="17">
      <c r="A17">
        <f>IF(B17&lt;&gt;"","FW-RULE-" &amp; TEXT(14,"000"),"")</f>
        <v/>
      </c>
      <c r="B17" s="14" t="n"/>
      <c r="C17" s="14" t="n"/>
      <c r="D17" s="14" t="n"/>
      <c r="E17" s="14" t="n"/>
      <c r="F17" s="14" t="n"/>
      <c r="G17" s="14" t="n"/>
      <c r="H17" s="14" t="n"/>
      <c r="I17" s="14" t="n"/>
      <c r="J17" s="14" t="n"/>
      <c r="K17" s="14" t="n"/>
      <c r="L17" s="14" t="n"/>
      <c r="M17" s="14" t="n"/>
    </row>
    <row r="18">
      <c r="A18">
        <f>IF(B18&lt;&gt;"","FW-RULE-" &amp; TEXT(15,"000"),"")</f>
        <v/>
      </c>
      <c r="B18" s="14" t="n"/>
      <c r="C18" s="14" t="n"/>
      <c r="D18" s="14" t="n"/>
      <c r="E18" s="14" t="n"/>
      <c r="F18" s="14" t="n"/>
      <c r="G18" s="14" t="n"/>
      <c r="H18" s="14" t="n"/>
      <c r="I18" s="14" t="n"/>
      <c r="J18" s="14" t="n"/>
      <c r="K18" s="14" t="n"/>
      <c r="L18" s="14" t="n"/>
      <c r="M18" s="14" t="n"/>
    </row>
    <row r="19">
      <c r="A19">
        <f>IF(B19&lt;&gt;"","FW-RULE-" &amp; TEXT(16,"000"),"")</f>
        <v/>
      </c>
      <c r="B19" s="14" t="n"/>
      <c r="C19" s="14" t="n"/>
      <c r="D19" s="14" t="n"/>
      <c r="E19" s="14" t="n"/>
      <c r="F19" s="14" t="n"/>
      <c r="G19" s="14" t="n"/>
      <c r="H19" s="14" t="n"/>
      <c r="I19" s="14" t="n"/>
      <c r="J19" s="14" t="n"/>
      <c r="K19" s="14" t="n"/>
      <c r="L19" s="14" t="n"/>
      <c r="M19" s="14" t="n"/>
    </row>
    <row r="20">
      <c r="A20">
        <f>IF(B20&lt;&gt;"","FW-RULE-" &amp; TEXT(17,"000"),"")</f>
        <v/>
      </c>
      <c r="B20" s="14" t="n"/>
      <c r="C20" s="14" t="n"/>
      <c r="D20" s="14" t="n"/>
      <c r="E20" s="14" t="n"/>
      <c r="F20" s="14" t="n"/>
      <c r="G20" s="14" t="n"/>
      <c r="H20" s="14" t="n"/>
      <c r="I20" s="14" t="n"/>
      <c r="J20" s="14" t="n"/>
      <c r="K20" s="14" t="n"/>
      <c r="L20" s="14" t="n"/>
      <c r="M20" s="14" t="n"/>
    </row>
    <row r="21">
      <c r="A21">
        <f>IF(B21&lt;&gt;"","FW-RULE-" &amp; TEXT(18,"000"),"")</f>
        <v/>
      </c>
      <c r="B21" s="14" t="n"/>
      <c r="C21" s="14" t="n"/>
      <c r="D21" s="14" t="n"/>
      <c r="E21" s="14" t="n"/>
      <c r="F21" s="14" t="n"/>
      <c r="G21" s="14" t="n"/>
      <c r="H21" s="14" t="n"/>
      <c r="I21" s="14" t="n"/>
      <c r="J21" s="14" t="n"/>
      <c r="K21" s="14" t="n"/>
      <c r="L21" s="14" t="n"/>
      <c r="M21" s="14" t="n"/>
    </row>
    <row r="22">
      <c r="A22">
        <f>IF(B22&lt;&gt;"","FW-RULE-" &amp; TEXT(19,"000"),"")</f>
        <v/>
      </c>
      <c r="B22" s="14" t="n"/>
      <c r="C22" s="14" t="n"/>
      <c r="D22" s="14" t="n"/>
      <c r="E22" s="14" t="n"/>
      <c r="F22" s="14" t="n"/>
      <c r="G22" s="14" t="n"/>
      <c r="H22" s="14" t="n"/>
      <c r="I22" s="14" t="n"/>
      <c r="J22" s="14" t="n"/>
      <c r="K22" s="14" t="n"/>
      <c r="L22" s="14" t="n"/>
      <c r="M22" s="14" t="n"/>
    </row>
    <row r="23">
      <c r="A23">
        <f>IF(B23&lt;&gt;"","FW-RULE-" &amp; TEXT(20,"000"),"")</f>
        <v/>
      </c>
      <c r="B23" s="14" t="n"/>
      <c r="C23" s="14" t="n"/>
      <c r="D23" s="14" t="n"/>
      <c r="E23" s="14" t="n"/>
      <c r="F23" s="14" t="n"/>
      <c r="G23" s="14" t="n"/>
      <c r="H23" s="14" t="n"/>
      <c r="I23" s="14" t="n"/>
      <c r="J23" s="14" t="n"/>
      <c r="K23" s="14" t="n"/>
      <c r="L23" s="14" t="n"/>
      <c r="M23" s="14" t="n"/>
    </row>
    <row r="24">
      <c r="A24">
        <f>IF(B24&lt;&gt;"","FW-RULE-" &amp; TEXT(21,"000"),"")</f>
        <v/>
      </c>
      <c r="B24" s="14" t="n"/>
      <c r="C24" s="14" t="n"/>
      <c r="D24" s="14" t="n"/>
      <c r="E24" s="14" t="n"/>
      <c r="F24" s="14" t="n"/>
      <c r="G24" s="14" t="n"/>
      <c r="H24" s="14" t="n"/>
      <c r="I24" s="14" t="n"/>
      <c r="J24" s="14" t="n"/>
      <c r="K24" s="14" t="n"/>
      <c r="L24" s="14" t="n"/>
      <c r="M24" s="14" t="n"/>
    </row>
    <row r="25">
      <c r="A25">
        <f>IF(B25&lt;&gt;"","FW-RULE-" &amp; TEXT(22,"000"),"")</f>
        <v/>
      </c>
      <c r="B25" s="14" t="n"/>
      <c r="C25" s="14" t="n"/>
      <c r="D25" s="14" t="n"/>
      <c r="E25" s="14" t="n"/>
      <c r="F25" s="14" t="n"/>
      <c r="G25" s="14" t="n"/>
      <c r="H25" s="14" t="n"/>
      <c r="I25" s="14" t="n"/>
      <c r="J25" s="14" t="n"/>
      <c r="K25" s="14" t="n"/>
      <c r="L25" s="14" t="n"/>
      <c r="M25" s="14" t="n"/>
    </row>
    <row r="26">
      <c r="A26">
        <f>IF(B26&lt;&gt;"","FW-RULE-" &amp; TEXT(23,"000"),"")</f>
        <v/>
      </c>
      <c r="B26" s="14" t="n"/>
      <c r="C26" s="14" t="n"/>
      <c r="D26" s="14" t="n"/>
      <c r="E26" s="14" t="n"/>
      <c r="F26" s="14" t="n"/>
      <c r="G26" s="14" t="n"/>
      <c r="H26" s="14" t="n"/>
      <c r="I26" s="14" t="n"/>
      <c r="J26" s="14" t="n"/>
      <c r="K26" s="14" t="n"/>
      <c r="L26" s="14" t="n"/>
      <c r="M26" s="14" t="n"/>
    </row>
    <row r="27">
      <c r="A27">
        <f>IF(B27&lt;&gt;"","FW-RULE-" &amp; TEXT(24,"000"),"")</f>
        <v/>
      </c>
      <c r="B27" s="14" t="n"/>
      <c r="C27" s="14" t="n"/>
      <c r="D27" s="14" t="n"/>
      <c r="E27" s="14" t="n"/>
      <c r="F27" s="14" t="n"/>
      <c r="G27" s="14" t="n"/>
      <c r="H27" s="14" t="n"/>
      <c r="I27" s="14" t="n"/>
      <c r="J27" s="14" t="n"/>
      <c r="K27" s="14" t="n"/>
      <c r="L27" s="14" t="n"/>
      <c r="M27" s="14" t="n"/>
    </row>
    <row r="28">
      <c r="A28">
        <f>IF(B28&lt;&gt;"","FW-RULE-" &amp; TEXT(25,"000"),"")</f>
        <v/>
      </c>
      <c r="B28" s="14" t="n"/>
      <c r="C28" s="14" t="n"/>
      <c r="D28" s="14" t="n"/>
      <c r="E28" s="14" t="n"/>
      <c r="F28" s="14" t="n"/>
      <c r="G28" s="14" t="n"/>
      <c r="H28" s="14" t="n"/>
      <c r="I28" s="14" t="n"/>
      <c r="J28" s="14" t="n"/>
      <c r="K28" s="14" t="n"/>
      <c r="L28" s="14" t="n"/>
      <c r="M28" s="14" t="n"/>
    </row>
    <row r="29">
      <c r="A29">
        <f>IF(B29&lt;&gt;"","FW-RULE-" &amp; TEXT(26,"000"),"")</f>
        <v/>
      </c>
      <c r="B29" s="14" t="n"/>
      <c r="C29" s="14" t="n"/>
      <c r="D29" s="14" t="n"/>
      <c r="E29" s="14" t="n"/>
      <c r="F29" s="14" t="n"/>
      <c r="G29" s="14" t="n"/>
      <c r="H29" s="14" t="n"/>
      <c r="I29" s="14" t="n"/>
      <c r="J29" s="14" t="n"/>
      <c r="K29" s="14" t="n"/>
      <c r="L29" s="14" t="n"/>
      <c r="M29" s="14" t="n"/>
    </row>
    <row r="30">
      <c r="A30">
        <f>IF(B30&lt;&gt;"","FW-RULE-" &amp; TEXT(27,"000"),"")</f>
        <v/>
      </c>
      <c r="B30" s="14" t="n"/>
      <c r="C30" s="14" t="n"/>
      <c r="D30" s="14" t="n"/>
      <c r="E30" s="14" t="n"/>
      <c r="F30" s="14" t="n"/>
      <c r="G30" s="14" t="n"/>
      <c r="H30" s="14" t="n"/>
      <c r="I30" s="14" t="n"/>
      <c r="J30" s="14" t="n"/>
      <c r="K30" s="14" t="n"/>
      <c r="L30" s="14" t="n"/>
      <c r="M30" s="14" t="n"/>
    </row>
    <row r="31">
      <c r="A31">
        <f>IF(B31&lt;&gt;"","FW-RULE-" &amp; TEXT(28,"000"),"")</f>
        <v/>
      </c>
      <c r="B31" s="14" t="n"/>
      <c r="C31" s="14" t="n"/>
      <c r="D31" s="14" t="n"/>
      <c r="E31" s="14" t="n"/>
      <c r="F31" s="14" t="n"/>
      <c r="G31" s="14" t="n"/>
      <c r="H31" s="14" t="n"/>
      <c r="I31" s="14" t="n"/>
      <c r="J31" s="14" t="n"/>
      <c r="K31" s="14" t="n"/>
      <c r="L31" s="14" t="n"/>
      <c r="M31" s="14" t="n"/>
    </row>
    <row r="32">
      <c r="A32">
        <f>IF(B32&lt;&gt;"","FW-RULE-" &amp; TEXT(29,"000"),"")</f>
        <v/>
      </c>
      <c r="B32" s="14" t="n"/>
      <c r="C32" s="14" t="n"/>
      <c r="D32" s="14" t="n"/>
      <c r="E32" s="14" t="n"/>
      <c r="F32" s="14" t="n"/>
      <c r="G32" s="14" t="n"/>
      <c r="H32" s="14" t="n"/>
      <c r="I32" s="14" t="n"/>
      <c r="J32" s="14" t="n"/>
      <c r="K32" s="14" t="n"/>
      <c r="L32" s="14" t="n"/>
      <c r="M32" s="14" t="n"/>
    </row>
    <row r="33">
      <c r="A33">
        <f>IF(B33&lt;&gt;"","FW-RULE-" &amp; TEXT(30,"000"),"")</f>
        <v/>
      </c>
      <c r="B33" s="14" t="n"/>
      <c r="C33" s="14" t="n"/>
      <c r="D33" s="14" t="n"/>
      <c r="E33" s="14" t="n"/>
      <c r="F33" s="14" t="n"/>
      <c r="G33" s="14" t="n"/>
      <c r="H33" s="14" t="n"/>
      <c r="I33" s="14" t="n"/>
      <c r="J33" s="14" t="n"/>
      <c r="K33" s="14" t="n"/>
      <c r="L33" s="14" t="n"/>
      <c r="M33" s="14" t="n"/>
    </row>
    <row r="34">
      <c r="A34">
        <f>IF(B34&lt;&gt;"","FW-RULE-" &amp; TEXT(31,"000"),"")</f>
        <v/>
      </c>
      <c r="B34" s="14" t="n"/>
      <c r="C34" s="14" t="n"/>
      <c r="D34" s="14" t="n"/>
      <c r="E34" s="14" t="n"/>
      <c r="F34" s="14" t="n"/>
      <c r="G34" s="14" t="n"/>
      <c r="H34" s="14" t="n"/>
      <c r="I34" s="14" t="n"/>
      <c r="J34" s="14" t="n"/>
      <c r="K34" s="14" t="n"/>
      <c r="L34" s="14" t="n"/>
      <c r="M34" s="14" t="n"/>
    </row>
    <row r="35">
      <c r="A35">
        <f>IF(B35&lt;&gt;"","FW-RULE-" &amp; TEXT(32,"000"),"")</f>
        <v/>
      </c>
      <c r="B35" s="14" t="n"/>
      <c r="C35" s="14" t="n"/>
      <c r="D35" s="14" t="n"/>
      <c r="E35" s="14" t="n"/>
      <c r="F35" s="14" t="n"/>
      <c r="G35" s="14" t="n"/>
      <c r="H35" s="14" t="n"/>
      <c r="I35" s="14" t="n"/>
      <c r="J35" s="14" t="n"/>
      <c r="K35" s="14" t="n"/>
      <c r="L35" s="14" t="n"/>
      <c r="M35" s="14" t="n"/>
    </row>
    <row r="36">
      <c r="A36">
        <f>IF(B36&lt;&gt;"","FW-RULE-" &amp; TEXT(33,"000"),"")</f>
        <v/>
      </c>
      <c r="B36" s="14" t="n"/>
      <c r="C36" s="14" t="n"/>
      <c r="D36" s="14" t="n"/>
      <c r="E36" s="14" t="n"/>
      <c r="F36" s="14" t="n"/>
      <c r="G36" s="14" t="n"/>
      <c r="H36" s="14" t="n"/>
      <c r="I36" s="14" t="n"/>
      <c r="J36" s="14" t="n"/>
      <c r="K36" s="14" t="n"/>
      <c r="L36" s="14" t="n"/>
      <c r="M36" s="14" t="n"/>
    </row>
    <row r="37">
      <c r="A37">
        <f>IF(B37&lt;&gt;"","FW-RULE-" &amp; TEXT(34,"000"),"")</f>
        <v/>
      </c>
      <c r="B37" s="14" t="n"/>
      <c r="C37" s="14" t="n"/>
      <c r="D37" s="14" t="n"/>
      <c r="E37" s="14" t="n"/>
      <c r="F37" s="14" t="n"/>
      <c r="G37" s="14" t="n"/>
      <c r="H37" s="14" t="n"/>
      <c r="I37" s="14" t="n"/>
      <c r="J37" s="14" t="n"/>
      <c r="K37" s="14" t="n"/>
      <c r="L37" s="14" t="n"/>
      <c r="M37" s="14" t="n"/>
    </row>
    <row r="38">
      <c r="A38">
        <f>IF(B38&lt;&gt;"","FW-RULE-" &amp; TEXT(35,"000"),"")</f>
        <v/>
      </c>
      <c r="B38" s="14" t="n"/>
      <c r="C38" s="14" t="n"/>
      <c r="D38" s="14" t="n"/>
      <c r="E38" s="14" t="n"/>
      <c r="F38" s="14" t="n"/>
      <c r="G38" s="14" t="n"/>
      <c r="H38" s="14" t="n"/>
      <c r="I38" s="14" t="n"/>
      <c r="J38" s="14" t="n"/>
      <c r="K38" s="14" t="n"/>
      <c r="L38" s="14" t="n"/>
      <c r="M38" s="14" t="n"/>
    </row>
    <row r="39">
      <c r="A39">
        <f>IF(B39&lt;&gt;"","FW-RULE-" &amp; TEXT(36,"000"),"")</f>
        <v/>
      </c>
      <c r="B39" s="14" t="n"/>
      <c r="C39" s="14" t="n"/>
      <c r="D39" s="14" t="n"/>
      <c r="E39" s="14" t="n"/>
      <c r="F39" s="14" t="n"/>
      <c r="G39" s="14" t="n"/>
      <c r="H39" s="14" t="n"/>
      <c r="I39" s="14" t="n"/>
      <c r="J39" s="14" t="n"/>
      <c r="K39" s="14" t="n"/>
      <c r="L39" s="14" t="n"/>
      <c r="M39" s="14" t="n"/>
    </row>
    <row r="40">
      <c r="A40">
        <f>IF(B40&lt;&gt;"","FW-RULE-" &amp; TEXT(37,"000"),"")</f>
        <v/>
      </c>
      <c r="B40" s="14" t="n"/>
      <c r="C40" s="14" t="n"/>
      <c r="D40" s="14" t="n"/>
      <c r="E40" s="14" t="n"/>
      <c r="F40" s="14" t="n"/>
      <c r="G40" s="14" t="n"/>
      <c r="H40" s="14" t="n"/>
      <c r="I40" s="14" t="n"/>
      <c r="J40" s="14" t="n"/>
      <c r="K40" s="14" t="n"/>
      <c r="L40" s="14" t="n"/>
      <c r="M40" s="14" t="n"/>
    </row>
    <row r="41">
      <c r="A41">
        <f>IF(B41&lt;&gt;"","FW-RULE-" &amp; TEXT(38,"000"),"")</f>
        <v/>
      </c>
      <c r="B41" s="14" t="n"/>
      <c r="C41" s="14" t="n"/>
      <c r="D41" s="14" t="n"/>
      <c r="E41" s="14" t="n"/>
      <c r="F41" s="14" t="n"/>
      <c r="G41" s="14" t="n"/>
      <c r="H41" s="14" t="n"/>
      <c r="I41" s="14" t="n"/>
      <c r="J41" s="14" t="n"/>
      <c r="K41" s="14" t="n"/>
      <c r="L41" s="14" t="n"/>
      <c r="M41" s="14" t="n"/>
    </row>
    <row r="42">
      <c r="A42">
        <f>IF(B42&lt;&gt;"","FW-RULE-" &amp; TEXT(39,"000"),"")</f>
        <v/>
      </c>
      <c r="B42" s="14" t="n"/>
      <c r="C42" s="14" t="n"/>
      <c r="D42" s="14" t="n"/>
      <c r="E42" s="14" t="n"/>
      <c r="F42" s="14" t="n"/>
      <c r="G42" s="14" t="n"/>
      <c r="H42" s="14" t="n"/>
      <c r="I42" s="14" t="n"/>
      <c r="J42" s="14" t="n"/>
      <c r="K42" s="14" t="n"/>
      <c r="L42" s="14" t="n"/>
      <c r="M42" s="14" t="n"/>
    </row>
    <row r="43">
      <c r="A43">
        <f>IF(B43&lt;&gt;"","FW-RULE-" &amp; TEXT(40,"000"),"")</f>
        <v/>
      </c>
      <c r="B43" s="14" t="n"/>
      <c r="C43" s="14" t="n"/>
      <c r="D43" s="14" t="n"/>
      <c r="E43" s="14" t="n"/>
      <c r="F43" s="14" t="n"/>
      <c r="G43" s="14" t="n"/>
      <c r="H43" s="14" t="n"/>
      <c r="I43" s="14" t="n"/>
      <c r="J43" s="14" t="n"/>
      <c r="K43" s="14" t="n"/>
      <c r="L43" s="14" t="n"/>
      <c r="M43" s="14" t="n"/>
    </row>
    <row r="44">
      <c r="A44">
        <f>IF(B44&lt;&gt;"","FW-RULE-" &amp; TEXT(41,"000"),"")</f>
        <v/>
      </c>
      <c r="B44" s="14" t="n"/>
      <c r="C44" s="14" t="n"/>
      <c r="D44" s="14" t="n"/>
      <c r="E44" s="14" t="n"/>
      <c r="F44" s="14" t="n"/>
      <c r="G44" s="14" t="n"/>
      <c r="H44" s="14" t="n"/>
      <c r="I44" s="14" t="n"/>
      <c r="J44" s="14" t="n"/>
      <c r="K44" s="14" t="n"/>
      <c r="L44" s="14" t="n"/>
      <c r="M44" s="14" t="n"/>
    </row>
    <row r="45">
      <c r="A45">
        <f>IF(B45&lt;&gt;"","FW-RULE-" &amp; TEXT(42,"000"),"")</f>
        <v/>
      </c>
      <c r="B45" s="14" t="n"/>
      <c r="C45" s="14" t="n"/>
      <c r="D45" s="14" t="n"/>
      <c r="E45" s="14" t="n"/>
      <c r="F45" s="14" t="n"/>
      <c r="G45" s="14" t="n"/>
      <c r="H45" s="14" t="n"/>
      <c r="I45" s="14" t="n"/>
      <c r="J45" s="14" t="n"/>
      <c r="K45" s="14" t="n"/>
      <c r="L45" s="14" t="n"/>
      <c r="M45" s="14" t="n"/>
    </row>
    <row r="46">
      <c r="A46">
        <f>IF(B46&lt;&gt;"","FW-RULE-" &amp; TEXT(43,"000"),"")</f>
        <v/>
      </c>
      <c r="B46" s="14" t="n"/>
      <c r="C46" s="14" t="n"/>
      <c r="D46" s="14" t="n"/>
      <c r="E46" s="14" t="n"/>
      <c r="F46" s="14" t="n"/>
      <c r="G46" s="14" t="n"/>
      <c r="H46" s="14" t="n"/>
      <c r="I46" s="14" t="n"/>
      <c r="J46" s="14" t="n"/>
      <c r="K46" s="14" t="n"/>
      <c r="L46" s="14" t="n"/>
      <c r="M46" s="14" t="n"/>
    </row>
    <row r="47">
      <c r="A47">
        <f>IF(B47&lt;&gt;"","FW-RULE-" &amp; TEXT(44,"000"),"")</f>
        <v/>
      </c>
      <c r="B47" s="14" t="n"/>
      <c r="C47" s="14" t="n"/>
      <c r="D47" s="14" t="n"/>
      <c r="E47" s="14" t="n"/>
      <c r="F47" s="14" t="n"/>
      <c r="G47" s="14" t="n"/>
      <c r="H47" s="14" t="n"/>
      <c r="I47" s="14" t="n"/>
      <c r="J47" s="14" t="n"/>
      <c r="K47" s="14" t="n"/>
      <c r="L47" s="14" t="n"/>
      <c r="M47" s="14" t="n"/>
    </row>
    <row r="48">
      <c r="A48">
        <f>IF(B48&lt;&gt;"","FW-RULE-" &amp; TEXT(45,"000"),"")</f>
        <v/>
      </c>
      <c r="B48" s="14" t="n"/>
      <c r="C48" s="14" t="n"/>
      <c r="D48" s="14" t="n"/>
      <c r="E48" s="14" t="n"/>
      <c r="F48" s="14" t="n"/>
      <c r="G48" s="14" t="n"/>
      <c r="H48" s="14" t="n"/>
      <c r="I48" s="14" t="n"/>
      <c r="J48" s="14" t="n"/>
      <c r="K48" s="14" t="n"/>
      <c r="L48" s="14" t="n"/>
      <c r="M48" s="14" t="n"/>
    </row>
    <row r="49">
      <c r="A49">
        <f>IF(B49&lt;&gt;"","FW-RULE-" &amp; TEXT(46,"000"),"")</f>
        <v/>
      </c>
      <c r="B49" s="14" t="n"/>
      <c r="C49" s="14" t="n"/>
      <c r="D49" s="14" t="n"/>
      <c r="E49" s="14" t="n"/>
      <c r="F49" s="14" t="n"/>
      <c r="G49" s="14" t="n"/>
      <c r="H49" s="14" t="n"/>
      <c r="I49" s="14" t="n"/>
      <c r="J49" s="14" t="n"/>
      <c r="K49" s="14" t="n"/>
      <c r="L49" s="14" t="n"/>
      <c r="M49" s="14" t="n"/>
    </row>
    <row r="50">
      <c r="A50">
        <f>IF(B50&lt;&gt;"","FW-RULE-" &amp; TEXT(47,"000"),"")</f>
        <v/>
      </c>
      <c r="B50" s="14" t="n"/>
      <c r="C50" s="14" t="n"/>
      <c r="D50" s="14" t="n"/>
      <c r="E50" s="14" t="n"/>
      <c r="F50" s="14" t="n"/>
      <c r="G50" s="14" t="n"/>
      <c r="H50" s="14" t="n"/>
      <c r="I50" s="14" t="n"/>
      <c r="J50" s="14" t="n"/>
      <c r="K50" s="14" t="n"/>
      <c r="L50" s="14" t="n"/>
      <c r="M50" s="14" t="n"/>
    </row>
    <row r="51">
      <c r="A51">
        <f>IF(B51&lt;&gt;"","FW-RULE-" &amp; TEXT(48,"000"),"")</f>
        <v/>
      </c>
      <c r="B51" s="14" t="n"/>
      <c r="C51" s="14" t="n"/>
      <c r="D51" s="14" t="n"/>
      <c r="E51" s="14" t="n"/>
      <c r="F51" s="14" t="n"/>
      <c r="G51" s="14" t="n"/>
      <c r="H51" s="14" t="n"/>
      <c r="I51" s="14" t="n"/>
      <c r="J51" s="14" t="n"/>
      <c r="K51" s="14" t="n"/>
      <c r="L51" s="14" t="n"/>
      <c r="M51" s="14" t="n"/>
    </row>
    <row r="52">
      <c r="A52">
        <f>IF(B52&lt;&gt;"","FW-RULE-" &amp; TEXT(49,"000"),"")</f>
        <v/>
      </c>
      <c r="B52" s="14" t="n"/>
      <c r="C52" s="14" t="n"/>
      <c r="D52" s="14" t="n"/>
      <c r="E52" s="14" t="n"/>
      <c r="F52" s="14" t="n"/>
      <c r="G52" s="14" t="n"/>
      <c r="H52" s="14" t="n"/>
      <c r="I52" s="14" t="n"/>
      <c r="J52" s="14" t="n"/>
      <c r="K52" s="14" t="n"/>
      <c r="L52" s="14" t="n"/>
      <c r="M52" s="14" t="n"/>
    </row>
    <row r="53">
      <c r="A53">
        <f>IF(B53&lt;&gt;"","FW-RULE-" &amp; TEXT(50,"000"),"")</f>
        <v/>
      </c>
      <c r="B53" s="14" t="n"/>
      <c r="C53" s="14" t="n"/>
      <c r="D53" s="14" t="n"/>
      <c r="E53" s="14" t="n"/>
      <c r="F53" s="14" t="n"/>
      <c r="G53" s="14" t="n"/>
      <c r="H53" s="14" t="n"/>
      <c r="I53" s="14" t="n"/>
      <c r="J53" s="14" t="n"/>
      <c r="K53" s="14" t="n"/>
      <c r="L53" s="14" t="n"/>
      <c r="M53" s="14" t="n"/>
    </row>
    <row r="54">
      <c r="A54">
        <f>IF(B54&lt;&gt;"","FW-RULE-" &amp; TEXT(51,"000"),"")</f>
        <v/>
      </c>
      <c r="B54" s="14" t="n"/>
      <c r="C54" s="14" t="n"/>
      <c r="D54" s="14" t="n"/>
      <c r="E54" s="14" t="n"/>
      <c r="F54" s="14" t="n"/>
      <c r="G54" s="14" t="n"/>
      <c r="H54" s="14" t="n"/>
      <c r="I54" s="14" t="n"/>
      <c r="J54" s="14" t="n"/>
      <c r="K54" s="14" t="n"/>
      <c r="L54" s="14" t="n"/>
      <c r="M54" s="14" t="n"/>
    </row>
    <row r="55">
      <c r="A55">
        <f>IF(B55&lt;&gt;"","FW-RULE-" &amp; TEXT(52,"000"),"")</f>
        <v/>
      </c>
      <c r="B55" s="14" t="n"/>
      <c r="C55" s="14" t="n"/>
      <c r="D55" s="14" t="n"/>
      <c r="E55" s="14" t="n"/>
      <c r="F55" s="14" t="n"/>
      <c r="G55" s="14" t="n"/>
      <c r="H55" s="14" t="n"/>
      <c r="I55" s="14" t="n"/>
      <c r="J55" s="14" t="n"/>
      <c r="K55" s="14" t="n"/>
      <c r="L55" s="14" t="n"/>
      <c r="M55" s="14" t="n"/>
    </row>
    <row r="56">
      <c r="A56">
        <f>IF(B56&lt;&gt;"","FW-RULE-" &amp; TEXT(53,"000"),"")</f>
        <v/>
      </c>
      <c r="B56" s="14" t="n"/>
      <c r="C56" s="14" t="n"/>
      <c r="D56" s="14" t="n"/>
      <c r="E56" s="14" t="n"/>
      <c r="F56" s="14" t="n"/>
      <c r="G56" s="14" t="n"/>
      <c r="H56" s="14" t="n"/>
      <c r="I56" s="14" t="n"/>
      <c r="J56" s="14" t="n"/>
      <c r="K56" s="14" t="n"/>
      <c r="L56" s="14" t="n"/>
      <c r="M56" s="14" t="n"/>
    </row>
    <row r="57">
      <c r="A57">
        <f>IF(B57&lt;&gt;"","FW-RULE-" &amp; TEXT(54,"000"),"")</f>
        <v/>
      </c>
      <c r="B57" s="14" t="n"/>
      <c r="C57" s="14" t="n"/>
      <c r="D57" s="14" t="n"/>
      <c r="E57" s="14" t="n"/>
      <c r="F57" s="14" t="n"/>
      <c r="G57" s="14" t="n"/>
      <c r="H57" s="14" t="n"/>
      <c r="I57" s="14" t="n"/>
      <c r="J57" s="14" t="n"/>
      <c r="K57" s="14" t="n"/>
      <c r="L57" s="14" t="n"/>
      <c r="M57" s="14" t="n"/>
    </row>
    <row r="58">
      <c r="A58">
        <f>IF(B58&lt;&gt;"","FW-RULE-" &amp; TEXT(55,"000"),"")</f>
        <v/>
      </c>
      <c r="B58" s="14" t="n"/>
      <c r="C58" s="14" t="n"/>
      <c r="D58" s="14" t="n"/>
      <c r="E58" s="14" t="n"/>
      <c r="F58" s="14" t="n"/>
      <c r="G58" s="14" t="n"/>
      <c r="H58" s="14" t="n"/>
      <c r="I58" s="14" t="n"/>
      <c r="J58" s="14" t="n"/>
      <c r="K58" s="14" t="n"/>
      <c r="L58" s="14" t="n"/>
      <c r="M58" s="14" t="n"/>
    </row>
    <row r="59">
      <c r="A59">
        <f>IF(B59&lt;&gt;"","FW-RULE-" &amp; TEXT(56,"000"),"")</f>
        <v/>
      </c>
      <c r="B59" s="14" t="n"/>
      <c r="C59" s="14" t="n"/>
      <c r="D59" s="14" t="n"/>
      <c r="E59" s="14" t="n"/>
      <c r="F59" s="14" t="n"/>
      <c r="G59" s="14" t="n"/>
      <c r="H59" s="14" t="n"/>
      <c r="I59" s="14" t="n"/>
      <c r="J59" s="14" t="n"/>
      <c r="K59" s="14" t="n"/>
      <c r="L59" s="14" t="n"/>
      <c r="M59" s="14" t="n"/>
    </row>
    <row r="60">
      <c r="A60">
        <f>IF(B60&lt;&gt;"","FW-RULE-" &amp; TEXT(57,"000"),"")</f>
        <v/>
      </c>
      <c r="B60" s="14" t="n"/>
      <c r="C60" s="14" t="n"/>
      <c r="D60" s="14" t="n"/>
      <c r="E60" s="14" t="n"/>
      <c r="F60" s="14" t="n"/>
      <c r="G60" s="14" t="n"/>
      <c r="H60" s="14" t="n"/>
      <c r="I60" s="14" t="n"/>
      <c r="J60" s="14" t="n"/>
      <c r="K60" s="14" t="n"/>
      <c r="L60" s="14" t="n"/>
      <c r="M60" s="14" t="n"/>
    </row>
    <row r="61">
      <c r="A61">
        <f>IF(B61&lt;&gt;"","FW-RULE-" &amp; TEXT(58,"000"),"")</f>
        <v/>
      </c>
      <c r="B61" s="14" t="n"/>
      <c r="C61" s="14" t="n"/>
      <c r="D61" s="14" t="n"/>
      <c r="E61" s="14" t="n"/>
      <c r="F61" s="14" t="n"/>
      <c r="G61" s="14" t="n"/>
      <c r="H61" s="14" t="n"/>
      <c r="I61" s="14" t="n"/>
      <c r="J61" s="14" t="n"/>
      <c r="K61" s="14" t="n"/>
      <c r="L61" s="14" t="n"/>
      <c r="M61" s="14" t="n"/>
    </row>
    <row r="62">
      <c r="A62">
        <f>IF(B62&lt;&gt;"","FW-RULE-" &amp; TEXT(59,"000"),"")</f>
        <v/>
      </c>
      <c r="B62" s="14" t="n"/>
      <c r="C62" s="14" t="n"/>
      <c r="D62" s="14" t="n"/>
      <c r="E62" s="14" t="n"/>
      <c r="F62" s="14" t="n"/>
      <c r="G62" s="14" t="n"/>
      <c r="H62" s="14" t="n"/>
      <c r="I62" s="14" t="n"/>
      <c r="J62" s="14" t="n"/>
      <c r="K62" s="14" t="n"/>
      <c r="L62" s="14" t="n"/>
      <c r="M62" s="14" t="n"/>
    </row>
    <row r="63">
      <c r="A63">
        <f>IF(B63&lt;&gt;"","FW-RULE-" &amp; TEXT(60,"000"),"")</f>
        <v/>
      </c>
      <c r="B63" s="14" t="n"/>
      <c r="C63" s="14" t="n"/>
      <c r="D63" s="14" t="n"/>
      <c r="E63" s="14" t="n"/>
      <c r="F63" s="14" t="n"/>
      <c r="G63" s="14" t="n"/>
      <c r="H63" s="14" t="n"/>
      <c r="I63" s="14" t="n"/>
      <c r="J63" s="14" t="n"/>
      <c r="K63" s="14" t="n"/>
      <c r="L63" s="14" t="n"/>
      <c r="M63" s="14" t="n"/>
    </row>
    <row r="64">
      <c r="A64">
        <f>IF(B64&lt;&gt;"","FW-RULE-" &amp; TEXT(61,"000"),"")</f>
        <v/>
      </c>
      <c r="B64" s="14" t="n"/>
      <c r="C64" s="14" t="n"/>
      <c r="D64" s="14" t="n"/>
      <c r="E64" s="14" t="n"/>
      <c r="F64" s="14" t="n"/>
      <c r="G64" s="14" t="n"/>
      <c r="H64" s="14" t="n"/>
      <c r="I64" s="14" t="n"/>
      <c r="J64" s="14" t="n"/>
      <c r="K64" s="14" t="n"/>
      <c r="L64" s="14" t="n"/>
      <c r="M64" s="14" t="n"/>
    </row>
    <row r="65">
      <c r="A65">
        <f>IF(B65&lt;&gt;"","FW-RULE-" &amp; TEXT(62,"000"),"")</f>
        <v/>
      </c>
      <c r="B65" s="14" t="n"/>
      <c r="C65" s="14" t="n"/>
      <c r="D65" s="14" t="n"/>
      <c r="E65" s="14" t="n"/>
      <c r="F65" s="14" t="n"/>
      <c r="G65" s="14" t="n"/>
      <c r="H65" s="14" t="n"/>
      <c r="I65" s="14" t="n"/>
      <c r="J65" s="14" t="n"/>
      <c r="K65" s="14" t="n"/>
      <c r="L65" s="14" t="n"/>
      <c r="M65" s="14" t="n"/>
    </row>
    <row r="66">
      <c r="A66">
        <f>IF(B66&lt;&gt;"","FW-RULE-" &amp; TEXT(63,"000"),"")</f>
        <v/>
      </c>
      <c r="B66" s="14" t="n"/>
      <c r="C66" s="14" t="n"/>
      <c r="D66" s="14" t="n"/>
      <c r="E66" s="14" t="n"/>
      <c r="F66" s="14" t="n"/>
      <c r="G66" s="14" t="n"/>
      <c r="H66" s="14" t="n"/>
      <c r="I66" s="14" t="n"/>
      <c r="J66" s="14" t="n"/>
      <c r="K66" s="14" t="n"/>
      <c r="L66" s="14" t="n"/>
      <c r="M66" s="14" t="n"/>
    </row>
    <row r="67">
      <c r="A67">
        <f>IF(B67&lt;&gt;"","FW-RULE-" &amp; TEXT(64,"000"),"")</f>
        <v/>
      </c>
      <c r="B67" s="14" t="n"/>
      <c r="C67" s="14" t="n"/>
      <c r="D67" s="14" t="n"/>
      <c r="E67" s="14" t="n"/>
      <c r="F67" s="14" t="n"/>
      <c r="G67" s="14" t="n"/>
      <c r="H67" s="14" t="n"/>
      <c r="I67" s="14" t="n"/>
      <c r="J67" s="14" t="n"/>
      <c r="K67" s="14" t="n"/>
      <c r="L67" s="14" t="n"/>
      <c r="M67" s="14" t="n"/>
    </row>
    <row r="68">
      <c r="A68">
        <f>IF(B68&lt;&gt;"","FW-RULE-" &amp; TEXT(65,"000"),"")</f>
        <v/>
      </c>
      <c r="B68" s="14" t="n"/>
      <c r="C68" s="14" t="n"/>
      <c r="D68" s="14" t="n"/>
      <c r="E68" s="14" t="n"/>
      <c r="F68" s="14" t="n"/>
      <c r="G68" s="14" t="n"/>
      <c r="H68" s="14" t="n"/>
      <c r="I68" s="14" t="n"/>
      <c r="J68" s="14" t="n"/>
      <c r="K68" s="14" t="n"/>
      <c r="L68" s="14" t="n"/>
      <c r="M68" s="14" t="n"/>
    </row>
    <row r="69">
      <c r="A69">
        <f>IF(B69&lt;&gt;"","FW-RULE-" &amp; TEXT(66,"000"),"")</f>
        <v/>
      </c>
      <c r="B69" s="14" t="n"/>
      <c r="C69" s="14" t="n"/>
      <c r="D69" s="14" t="n"/>
      <c r="E69" s="14" t="n"/>
      <c r="F69" s="14" t="n"/>
      <c r="G69" s="14" t="n"/>
      <c r="H69" s="14" t="n"/>
      <c r="I69" s="14" t="n"/>
      <c r="J69" s="14" t="n"/>
      <c r="K69" s="14" t="n"/>
      <c r="L69" s="14" t="n"/>
      <c r="M69" s="14" t="n"/>
    </row>
    <row r="70">
      <c r="A70">
        <f>IF(B70&lt;&gt;"","FW-RULE-" &amp; TEXT(67,"000"),"")</f>
        <v/>
      </c>
      <c r="B70" s="14" t="n"/>
      <c r="C70" s="14" t="n"/>
      <c r="D70" s="14" t="n"/>
      <c r="E70" s="14" t="n"/>
      <c r="F70" s="14" t="n"/>
      <c r="G70" s="14" t="n"/>
      <c r="H70" s="14" t="n"/>
      <c r="I70" s="14" t="n"/>
      <c r="J70" s="14" t="n"/>
      <c r="K70" s="14" t="n"/>
      <c r="L70" s="14" t="n"/>
      <c r="M70" s="14" t="n"/>
    </row>
    <row r="71">
      <c r="A71">
        <f>IF(B71&lt;&gt;"","FW-RULE-" &amp; TEXT(68,"000"),"")</f>
        <v/>
      </c>
      <c r="B71" s="14" t="n"/>
      <c r="C71" s="14" t="n"/>
      <c r="D71" s="14" t="n"/>
      <c r="E71" s="14" t="n"/>
      <c r="F71" s="14" t="n"/>
      <c r="G71" s="14" t="n"/>
      <c r="H71" s="14" t="n"/>
      <c r="I71" s="14" t="n"/>
      <c r="J71" s="14" t="n"/>
      <c r="K71" s="14" t="n"/>
      <c r="L71" s="14" t="n"/>
      <c r="M71" s="14" t="n"/>
    </row>
    <row r="72">
      <c r="A72">
        <f>IF(B72&lt;&gt;"","FW-RULE-" &amp; TEXT(69,"000"),"")</f>
        <v/>
      </c>
      <c r="B72" s="14" t="n"/>
      <c r="C72" s="14" t="n"/>
      <c r="D72" s="14" t="n"/>
      <c r="E72" s="14" t="n"/>
      <c r="F72" s="14" t="n"/>
      <c r="G72" s="14" t="n"/>
      <c r="H72" s="14" t="n"/>
      <c r="I72" s="14" t="n"/>
      <c r="J72" s="14" t="n"/>
      <c r="K72" s="14" t="n"/>
      <c r="L72" s="14" t="n"/>
      <c r="M72" s="14" t="n"/>
    </row>
    <row r="73">
      <c r="A73">
        <f>IF(B73&lt;&gt;"","FW-RULE-" &amp; TEXT(70,"000"),"")</f>
        <v/>
      </c>
      <c r="B73" s="14" t="n"/>
      <c r="C73" s="14" t="n"/>
      <c r="D73" s="14" t="n"/>
      <c r="E73" s="14" t="n"/>
      <c r="F73" s="14" t="n"/>
      <c r="G73" s="14" t="n"/>
      <c r="H73" s="14" t="n"/>
      <c r="I73" s="14" t="n"/>
      <c r="J73" s="14" t="n"/>
      <c r="K73" s="14" t="n"/>
      <c r="L73" s="14" t="n"/>
      <c r="M73" s="14" t="n"/>
    </row>
    <row r="74">
      <c r="A74">
        <f>IF(B74&lt;&gt;"","FW-RULE-" &amp; TEXT(71,"000"),"")</f>
        <v/>
      </c>
      <c r="B74" s="14" t="n"/>
      <c r="C74" s="14" t="n"/>
      <c r="D74" s="14" t="n"/>
      <c r="E74" s="14" t="n"/>
      <c r="F74" s="14" t="n"/>
      <c r="G74" s="14" t="n"/>
      <c r="H74" s="14" t="n"/>
      <c r="I74" s="14" t="n"/>
      <c r="J74" s="14" t="n"/>
      <c r="K74" s="14" t="n"/>
      <c r="L74" s="14" t="n"/>
      <c r="M74" s="14" t="n"/>
    </row>
    <row r="75">
      <c r="A75">
        <f>IF(B75&lt;&gt;"","FW-RULE-" &amp; TEXT(72,"000"),"")</f>
        <v/>
      </c>
      <c r="B75" s="14" t="n"/>
      <c r="C75" s="14" t="n"/>
      <c r="D75" s="14" t="n"/>
      <c r="E75" s="14" t="n"/>
      <c r="F75" s="14" t="n"/>
      <c r="G75" s="14" t="n"/>
      <c r="H75" s="14" t="n"/>
      <c r="I75" s="14" t="n"/>
      <c r="J75" s="14" t="n"/>
      <c r="K75" s="14" t="n"/>
      <c r="L75" s="14" t="n"/>
      <c r="M75" s="14" t="n"/>
    </row>
    <row r="76">
      <c r="A76">
        <f>IF(B76&lt;&gt;"","FW-RULE-" &amp; TEXT(73,"000"),"")</f>
        <v/>
      </c>
      <c r="B76" s="14" t="n"/>
      <c r="C76" s="14" t="n"/>
      <c r="D76" s="14" t="n"/>
      <c r="E76" s="14" t="n"/>
      <c r="F76" s="14" t="n"/>
      <c r="G76" s="14" t="n"/>
      <c r="H76" s="14" t="n"/>
      <c r="I76" s="14" t="n"/>
      <c r="J76" s="14" t="n"/>
      <c r="K76" s="14" t="n"/>
      <c r="L76" s="14" t="n"/>
      <c r="M76" s="14" t="n"/>
    </row>
    <row r="77">
      <c r="A77">
        <f>IF(B77&lt;&gt;"","FW-RULE-" &amp; TEXT(74,"000"),"")</f>
        <v/>
      </c>
      <c r="B77" s="14" t="n"/>
      <c r="C77" s="14" t="n"/>
      <c r="D77" s="14" t="n"/>
      <c r="E77" s="14" t="n"/>
      <c r="F77" s="14" t="n"/>
      <c r="G77" s="14" t="n"/>
      <c r="H77" s="14" t="n"/>
      <c r="I77" s="14" t="n"/>
      <c r="J77" s="14" t="n"/>
      <c r="K77" s="14" t="n"/>
      <c r="L77" s="14" t="n"/>
      <c r="M77" s="14" t="n"/>
    </row>
    <row r="78">
      <c r="A78">
        <f>IF(B78&lt;&gt;"","FW-RULE-" &amp; TEXT(75,"000"),"")</f>
        <v/>
      </c>
      <c r="B78" s="14" t="n"/>
      <c r="C78" s="14" t="n"/>
      <c r="D78" s="14" t="n"/>
      <c r="E78" s="14" t="n"/>
      <c r="F78" s="14" t="n"/>
      <c r="G78" s="14" t="n"/>
      <c r="H78" s="14" t="n"/>
      <c r="I78" s="14" t="n"/>
      <c r="J78" s="14" t="n"/>
      <c r="K78" s="14" t="n"/>
      <c r="L78" s="14" t="n"/>
      <c r="M78" s="14" t="n"/>
    </row>
    <row r="79">
      <c r="A79">
        <f>IF(B79&lt;&gt;"","FW-RULE-" &amp; TEXT(76,"000"),"")</f>
        <v/>
      </c>
      <c r="B79" s="14" t="n"/>
      <c r="C79" s="14" t="n"/>
      <c r="D79" s="14" t="n"/>
      <c r="E79" s="14" t="n"/>
      <c r="F79" s="14" t="n"/>
      <c r="G79" s="14" t="n"/>
      <c r="H79" s="14" t="n"/>
      <c r="I79" s="14" t="n"/>
      <c r="J79" s="14" t="n"/>
      <c r="K79" s="14" t="n"/>
      <c r="L79" s="14" t="n"/>
      <c r="M79" s="14" t="n"/>
    </row>
    <row r="80">
      <c r="A80">
        <f>IF(B80&lt;&gt;"","FW-RULE-" &amp; TEXT(77,"000"),"")</f>
        <v/>
      </c>
      <c r="B80" s="14" t="n"/>
      <c r="C80" s="14" t="n"/>
      <c r="D80" s="14" t="n"/>
      <c r="E80" s="14" t="n"/>
      <c r="F80" s="14" t="n"/>
      <c r="G80" s="14" t="n"/>
      <c r="H80" s="14" t="n"/>
      <c r="I80" s="14" t="n"/>
      <c r="J80" s="14" t="n"/>
      <c r="K80" s="14" t="n"/>
      <c r="L80" s="14" t="n"/>
      <c r="M80" s="14" t="n"/>
    </row>
    <row r="81">
      <c r="A81">
        <f>IF(B81&lt;&gt;"","FW-RULE-" &amp; TEXT(78,"000"),"")</f>
        <v/>
      </c>
      <c r="B81" s="14" t="n"/>
      <c r="C81" s="14" t="n"/>
      <c r="D81" s="14" t="n"/>
      <c r="E81" s="14" t="n"/>
      <c r="F81" s="14" t="n"/>
      <c r="G81" s="14" t="n"/>
      <c r="H81" s="14" t="n"/>
      <c r="I81" s="14" t="n"/>
      <c r="J81" s="14" t="n"/>
      <c r="K81" s="14" t="n"/>
      <c r="L81" s="14" t="n"/>
      <c r="M81" s="14" t="n"/>
    </row>
    <row r="82">
      <c r="A82">
        <f>IF(B82&lt;&gt;"","FW-RULE-" &amp; TEXT(79,"000"),"")</f>
        <v/>
      </c>
      <c r="B82" s="14" t="n"/>
      <c r="C82" s="14" t="n"/>
      <c r="D82" s="14" t="n"/>
      <c r="E82" s="14" t="n"/>
      <c r="F82" s="14" t="n"/>
      <c r="G82" s="14" t="n"/>
      <c r="H82" s="14" t="n"/>
      <c r="I82" s="14" t="n"/>
      <c r="J82" s="14" t="n"/>
      <c r="K82" s="14" t="n"/>
      <c r="L82" s="14" t="n"/>
      <c r="M82" s="14" t="n"/>
    </row>
    <row r="83">
      <c r="A83">
        <f>IF(B83&lt;&gt;"","FW-RULE-" &amp; TEXT(80,"000"),"")</f>
        <v/>
      </c>
      <c r="B83" s="14" t="n"/>
      <c r="C83" s="14" t="n"/>
      <c r="D83" s="14" t="n"/>
      <c r="E83" s="14" t="n"/>
      <c r="F83" s="14" t="n"/>
      <c r="G83" s="14" t="n"/>
      <c r="H83" s="14" t="n"/>
      <c r="I83" s="14" t="n"/>
      <c r="J83" s="14" t="n"/>
      <c r="K83" s="14" t="n"/>
      <c r="L83" s="14" t="n"/>
      <c r="M83" s="14" t="n"/>
    </row>
    <row r="84">
      <c r="A84">
        <f>IF(B84&lt;&gt;"","FW-RULE-" &amp; TEXT(81,"000"),"")</f>
        <v/>
      </c>
      <c r="B84" s="14" t="n"/>
      <c r="C84" s="14" t="n"/>
      <c r="D84" s="14" t="n"/>
      <c r="E84" s="14" t="n"/>
      <c r="F84" s="14" t="n"/>
      <c r="G84" s="14" t="n"/>
      <c r="H84" s="14" t="n"/>
      <c r="I84" s="14" t="n"/>
      <c r="J84" s="14" t="n"/>
      <c r="K84" s="14" t="n"/>
      <c r="L84" s="14" t="n"/>
      <c r="M84" s="14" t="n"/>
    </row>
    <row r="85">
      <c r="A85">
        <f>IF(B85&lt;&gt;"","FW-RULE-" &amp; TEXT(82,"000"),"")</f>
        <v/>
      </c>
      <c r="B85" s="14" t="n"/>
      <c r="C85" s="14" t="n"/>
      <c r="D85" s="14" t="n"/>
      <c r="E85" s="14" t="n"/>
      <c r="F85" s="14" t="n"/>
      <c r="G85" s="14" t="n"/>
      <c r="H85" s="14" t="n"/>
      <c r="I85" s="14" t="n"/>
      <c r="J85" s="14" t="n"/>
      <c r="K85" s="14" t="n"/>
      <c r="L85" s="14" t="n"/>
      <c r="M85" s="14" t="n"/>
    </row>
    <row r="86">
      <c r="A86">
        <f>IF(B86&lt;&gt;"","FW-RULE-" &amp; TEXT(83,"000"),"")</f>
        <v/>
      </c>
      <c r="B86" s="14" t="n"/>
      <c r="C86" s="14" t="n"/>
      <c r="D86" s="14" t="n"/>
      <c r="E86" s="14" t="n"/>
      <c r="F86" s="14" t="n"/>
      <c r="G86" s="14" t="n"/>
      <c r="H86" s="14" t="n"/>
      <c r="I86" s="14" t="n"/>
      <c r="J86" s="14" t="n"/>
      <c r="K86" s="14" t="n"/>
      <c r="L86" s="14" t="n"/>
      <c r="M86" s="14" t="n"/>
    </row>
    <row r="87">
      <c r="A87">
        <f>IF(B87&lt;&gt;"","FW-RULE-" &amp; TEXT(84,"000"),"")</f>
        <v/>
      </c>
      <c r="B87" s="14" t="n"/>
      <c r="C87" s="14" t="n"/>
      <c r="D87" s="14" t="n"/>
      <c r="E87" s="14" t="n"/>
      <c r="F87" s="14" t="n"/>
      <c r="G87" s="14" t="n"/>
      <c r="H87" s="14" t="n"/>
      <c r="I87" s="14" t="n"/>
      <c r="J87" s="14" t="n"/>
      <c r="K87" s="14" t="n"/>
      <c r="L87" s="14" t="n"/>
      <c r="M87" s="14" t="n"/>
    </row>
    <row r="88">
      <c r="A88">
        <f>IF(B88&lt;&gt;"","FW-RULE-" &amp; TEXT(85,"000"),"")</f>
        <v/>
      </c>
      <c r="B88" s="14" t="n"/>
      <c r="C88" s="14" t="n"/>
      <c r="D88" s="14" t="n"/>
      <c r="E88" s="14" t="n"/>
      <c r="F88" s="14" t="n"/>
      <c r="G88" s="14" t="n"/>
      <c r="H88" s="14" t="n"/>
      <c r="I88" s="14" t="n"/>
      <c r="J88" s="14" t="n"/>
      <c r="K88" s="14" t="n"/>
      <c r="L88" s="14" t="n"/>
      <c r="M88" s="14" t="n"/>
    </row>
    <row r="89">
      <c r="A89">
        <f>IF(B89&lt;&gt;"","FW-RULE-" &amp; TEXT(86,"000"),"")</f>
        <v/>
      </c>
      <c r="B89" s="14" t="n"/>
      <c r="C89" s="14" t="n"/>
      <c r="D89" s="14" t="n"/>
      <c r="E89" s="14" t="n"/>
      <c r="F89" s="14" t="n"/>
      <c r="G89" s="14" t="n"/>
      <c r="H89" s="14" t="n"/>
      <c r="I89" s="14" t="n"/>
      <c r="J89" s="14" t="n"/>
      <c r="K89" s="14" t="n"/>
      <c r="L89" s="14" t="n"/>
      <c r="M89" s="14" t="n"/>
    </row>
    <row r="90">
      <c r="A90">
        <f>IF(B90&lt;&gt;"","FW-RULE-" &amp; TEXT(87,"000"),"")</f>
        <v/>
      </c>
      <c r="B90" s="14" t="n"/>
      <c r="C90" s="14" t="n"/>
      <c r="D90" s="14" t="n"/>
      <c r="E90" s="14" t="n"/>
      <c r="F90" s="14" t="n"/>
      <c r="G90" s="14" t="n"/>
      <c r="H90" s="14" t="n"/>
      <c r="I90" s="14" t="n"/>
      <c r="J90" s="14" t="n"/>
      <c r="K90" s="14" t="n"/>
      <c r="L90" s="14" t="n"/>
      <c r="M90" s="14" t="n"/>
    </row>
    <row r="91">
      <c r="A91">
        <f>IF(B91&lt;&gt;"","FW-RULE-" &amp; TEXT(88,"000"),"")</f>
        <v/>
      </c>
      <c r="B91" s="14" t="n"/>
      <c r="C91" s="14" t="n"/>
      <c r="D91" s="14" t="n"/>
      <c r="E91" s="14" t="n"/>
      <c r="F91" s="14" t="n"/>
      <c r="G91" s="14" t="n"/>
      <c r="H91" s="14" t="n"/>
      <c r="I91" s="14" t="n"/>
      <c r="J91" s="14" t="n"/>
      <c r="K91" s="14" t="n"/>
      <c r="L91" s="14" t="n"/>
      <c r="M91" s="14" t="n"/>
    </row>
    <row r="92">
      <c r="A92">
        <f>IF(B92&lt;&gt;"","FW-RULE-" &amp; TEXT(89,"000"),"")</f>
        <v/>
      </c>
      <c r="B92" s="14" t="n"/>
      <c r="C92" s="14" t="n"/>
      <c r="D92" s="14" t="n"/>
      <c r="E92" s="14" t="n"/>
      <c r="F92" s="14" t="n"/>
      <c r="G92" s="14" t="n"/>
      <c r="H92" s="14" t="n"/>
      <c r="I92" s="14" t="n"/>
      <c r="J92" s="14" t="n"/>
      <c r="K92" s="14" t="n"/>
      <c r="L92" s="14" t="n"/>
      <c r="M92" s="14" t="n"/>
    </row>
    <row r="93">
      <c r="A93">
        <f>IF(B93&lt;&gt;"","FW-RULE-" &amp; TEXT(90,"000"),"")</f>
        <v/>
      </c>
      <c r="B93" s="14" t="n"/>
      <c r="C93" s="14" t="n"/>
      <c r="D93" s="14" t="n"/>
      <c r="E93" s="14" t="n"/>
      <c r="F93" s="14" t="n"/>
      <c r="G93" s="14" t="n"/>
      <c r="H93" s="14" t="n"/>
      <c r="I93" s="14" t="n"/>
      <c r="J93" s="14" t="n"/>
      <c r="K93" s="14" t="n"/>
      <c r="L93" s="14" t="n"/>
      <c r="M93" s="14" t="n"/>
    </row>
    <row r="94">
      <c r="A94">
        <f>IF(B94&lt;&gt;"","FW-RULE-" &amp; TEXT(91,"000"),"")</f>
        <v/>
      </c>
      <c r="B94" s="14" t="n"/>
      <c r="C94" s="14" t="n"/>
      <c r="D94" s="14" t="n"/>
      <c r="E94" s="14" t="n"/>
      <c r="F94" s="14" t="n"/>
      <c r="G94" s="14" t="n"/>
      <c r="H94" s="14" t="n"/>
      <c r="I94" s="14" t="n"/>
      <c r="J94" s="14" t="n"/>
      <c r="K94" s="14" t="n"/>
      <c r="L94" s="14" t="n"/>
      <c r="M94" s="14" t="n"/>
    </row>
    <row r="95">
      <c r="A95">
        <f>IF(B95&lt;&gt;"","FW-RULE-" &amp; TEXT(92,"000"),"")</f>
        <v/>
      </c>
      <c r="B95" s="14" t="n"/>
      <c r="C95" s="14" t="n"/>
      <c r="D95" s="14" t="n"/>
      <c r="E95" s="14" t="n"/>
      <c r="F95" s="14" t="n"/>
      <c r="G95" s="14" t="n"/>
      <c r="H95" s="14" t="n"/>
      <c r="I95" s="14" t="n"/>
      <c r="J95" s="14" t="n"/>
      <c r="K95" s="14" t="n"/>
      <c r="L95" s="14" t="n"/>
      <c r="M95" s="14" t="n"/>
    </row>
    <row r="96">
      <c r="A96">
        <f>IF(B96&lt;&gt;"","FW-RULE-" &amp; TEXT(93,"000"),"")</f>
        <v/>
      </c>
      <c r="B96" s="14" t="n"/>
      <c r="C96" s="14" t="n"/>
      <c r="D96" s="14" t="n"/>
      <c r="E96" s="14" t="n"/>
      <c r="F96" s="14" t="n"/>
      <c r="G96" s="14" t="n"/>
      <c r="H96" s="14" t="n"/>
      <c r="I96" s="14" t="n"/>
      <c r="J96" s="14" t="n"/>
      <c r="K96" s="14" t="n"/>
      <c r="L96" s="14" t="n"/>
      <c r="M96" s="14" t="n"/>
    </row>
    <row r="97">
      <c r="A97">
        <f>IF(B97&lt;&gt;"","FW-RULE-" &amp; TEXT(94,"000"),"")</f>
        <v/>
      </c>
      <c r="B97" s="14" t="n"/>
      <c r="C97" s="14" t="n"/>
      <c r="D97" s="14" t="n"/>
      <c r="E97" s="14" t="n"/>
      <c r="F97" s="14" t="n"/>
      <c r="G97" s="14" t="n"/>
      <c r="H97" s="14" t="n"/>
      <c r="I97" s="14" t="n"/>
      <c r="J97" s="14" t="n"/>
      <c r="K97" s="14" t="n"/>
      <c r="L97" s="14" t="n"/>
      <c r="M97" s="14" t="n"/>
    </row>
    <row r="98">
      <c r="A98">
        <f>IF(B98&lt;&gt;"","FW-RULE-" &amp; TEXT(95,"000"),"")</f>
        <v/>
      </c>
      <c r="B98" s="14" t="n"/>
      <c r="C98" s="14" t="n"/>
      <c r="D98" s="14" t="n"/>
      <c r="E98" s="14" t="n"/>
      <c r="F98" s="14" t="n"/>
      <c r="G98" s="14" t="n"/>
      <c r="H98" s="14" t="n"/>
      <c r="I98" s="14" t="n"/>
      <c r="J98" s="14" t="n"/>
      <c r="K98" s="14" t="n"/>
      <c r="L98" s="14" t="n"/>
      <c r="M98" s="14" t="n"/>
    </row>
    <row r="99">
      <c r="A99">
        <f>IF(B99&lt;&gt;"","FW-RULE-" &amp; TEXT(96,"000"),"")</f>
        <v/>
      </c>
      <c r="B99" s="14" t="n"/>
      <c r="C99" s="14" t="n"/>
      <c r="D99" s="14" t="n"/>
      <c r="E99" s="14" t="n"/>
      <c r="F99" s="14" t="n"/>
      <c r="G99" s="14" t="n"/>
      <c r="H99" s="14" t="n"/>
      <c r="I99" s="14" t="n"/>
      <c r="J99" s="14" t="n"/>
      <c r="K99" s="14" t="n"/>
      <c r="L99" s="14" t="n"/>
      <c r="M99" s="14" t="n"/>
    </row>
    <row r="100">
      <c r="A100">
        <f>IF(B100&lt;&gt;"","FW-RULE-" &amp; TEXT(97,"000"),"")</f>
        <v/>
      </c>
      <c r="B100" s="14" t="n"/>
      <c r="C100" s="14" t="n"/>
      <c r="D100" s="14" t="n"/>
      <c r="E100" s="14" t="n"/>
      <c r="F100" s="14" t="n"/>
      <c r="G100" s="14" t="n"/>
      <c r="H100" s="14" t="n"/>
      <c r="I100" s="14" t="n"/>
      <c r="J100" s="14" t="n"/>
      <c r="K100" s="14" t="n"/>
      <c r="L100" s="14" t="n"/>
      <c r="M100" s="14" t="n"/>
    </row>
    <row r="101">
      <c r="A101">
        <f>IF(B101&lt;&gt;"","FW-RULE-" &amp; TEXT(98,"000"),"")</f>
        <v/>
      </c>
      <c r="B101" s="14" t="n"/>
      <c r="C101" s="14" t="n"/>
      <c r="D101" s="14" t="n"/>
      <c r="E101" s="14" t="n"/>
      <c r="F101" s="14" t="n"/>
      <c r="G101" s="14" t="n"/>
      <c r="H101" s="14" t="n"/>
      <c r="I101" s="14" t="n"/>
      <c r="J101" s="14" t="n"/>
      <c r="K101" s="14" t="n"/>
      <c r="L101" s="14" t="n"/>
      <c r="M101" s="14" t="n"/>
    </row>
    <row r="102">
      <c r="A102">
        <f>IF(B102&lt;&gt;"","FW-RULE-" &amp; TEXT(99,"000"),"")</f>
        <v/>
      </c>
      <c r="B102" s="14" t="n"/>
      <c r="C102" s="14" t="n"/>
      <c r="D102" s="14" t="n"/>
      <c r="E102" s="14" t="n"/>
      <c r="F102" s="14" t="n"/>
      <c r="G102" s="14" t="n"/>
      <c r="H102" s="14" t="n"/>
      <c r="I102" s="14" t="n"/>
      <c r="J102" s="14" t="n"/>
      <c r="K102" s="14" t="n"/>
      <c r="L102" s="14" t="n"/>
      <c r="M102" s="14" t="n"/>
    </row>
    <row r="103">
      <c r="A103">
        <f>IF(B103&lt;&gt;"","FW-RULE-" &amp; TEXT(100,"000"),"")</f>
        <v/>
      </c>
      <c r="B103" s="14" t="n"/>
      <c r="C103" s="14" t="n"/>
      <c r="D103" s="14" t="n"/>
      <c r="E103" s="14" t="n"/>
      <c r="F103" s="14" t="n"/>
      <c r="G103" s="14" t="n"/>
      <c r="H103" s="14" t="n"/>
      <c r="I103" s="14" t="n"/>
      <c r="J103" s="14" t="n"/>
      <c r="K103" s="14" t="n"/>
      <c r="L103" s="14" t="n"/>
      <c r="M103" s="14" t="n"/>
    </row>
    <row r="105">
      <c r="A105" s="15" t="inlineStr">
        <is>
          <t>Firewall Rule Review Guidelines</t>
        </is>
      </c>
      <c r="B105" s="6" t="n"/>
      <c r="C105" s="6" t="n"/>
      <c r="D105" s="6" t="n"/>
      <c r="E105" s="6" t="n"/>
      <c r="F105" s="6" t="n"/>
      <c r="G105" s="6" t="n"/>
      <c r="H105" s="6" t="n"/>
      <c r="I105" s="6" t="n"/>
      <c r="J105" s="6" t="n"/>
      <c r="K105" s="6" t="n"/>
      <c r="L105" s="6" t="n"/>
      <c r="M105" s="6" t="n"/>
    </row>
    <row r="106">
      <c r="A106" s="12" t="inlineStr">
        <is>
          <t>• QUARTERLY REVIEW: Review all firewall rules at least quarterly</t>
        </is>
      </c>
    </row>
    <row r="107">
      <c r="A107" s="12" t="inlineStr">
        <is>
          <t>• REMOVE UNUSED: Identify and remove unused rules (hit count = 0)</t>
        </is>
      </c>
    </row>
    <row r="108">
      <c r="A108" s="12" t="inlineStr">
        <is>
          <t>• SPECIFIC &gt; ANY: Avoid 'any any any' rules; be specific about source/destination/service</t>
        </is>
      </c>
    </row>
    <row r="109">
      <c r="A109" s="12" t="inlineStr">
        <is>
          <t>• LOGGING: Enable logging for inter-zone traffic (especially deny rules)</t>
        </is>
      </c>
    </row>
    <row r="110">
      <c r="A110" s="12" t="inlineStr">
        <is>
          <t>• RULE ORDER: Most specific rules first, default deny last</t>
        </is>
      </c>
    </row>
    <row r="111">
      <c r="A111" s="12" t="inlineStr">
        <is>
          <t>• DOCUMENTATION: Every rule must have business justification</t>
        </is>
      </c>
    </row>
  </sheetData>
  <mergeCells count="9">
    <mergeCell ref="A108:M108"/>
    <mergeCell ref="A1:M1"/>
    <mergeCell ref="A110:M110"/>
    <mergeCell ref="A111:M111"/>
    <mergeCell ref="A106:M106"/>
    <mergeCell ref="A105:M105"/>
    <mergeCell ref="A109:M109"/>
    <mergeCell ref="A2:M2"/>
    <mergeCell ref="A107:M107"/>
  </mergeCells>
  <conditionalFormatting sqref="I4:I103">
    <cfRule type="cellIs" priority="1" operator="equal" dxfId="0">
      <formula>"Allow"</formula>
    </cfRule>
    <cfRule type="cellIs" priority="2" operator="equal" dxfId="1">
      <formula>"Deny"</formula>
    </cfRule>
  </conditionalFormatting>
  <dataValidations count="2">
    <dataValidation sqref="I5:I103" showDropDown="0" showInputMessage="0" showErrorMessage="0" allowBlank="0" type="list">
      <formula1>"Allow,Deny,Drop,Reject"</formula1>
    </dataValidation>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15" customWidth="1" min="4" max="4"/>
    <col width="12" customWidth="1" min="5" max="5"/>
    <col width="35" customWidth="1" min="6" max="6"/>
    <col width="20" customWidth="1" min="7" max="7"/>
    <col width="15" customWidth="1" min="8" max="8"/>
    <col width="12" customWidth="1" min="9" max="9"/>
    <col width="12" customWidth="1" min="10" max="10"/>
    <col width="15" customWidth="1" min="11" max="11"/>
    <col width="40" customWidth="1" min="12" max="12"/>
  </cols>
  <sheetData>
    <row r="1" ht="35" customHeight="1">
      <c r="A1" s="11" t="inlineStr">
        <is>
          <t>ACL (ACCESS CONTROL LIST) ASSESSMENT</t>
        </is>
      </c>
    </row>
    <row r="2">
      <c r="A2" s="12" t="inlineStr">
        <is>
          <t>Review router/switch ACLs that enforce segmentation. Complement firewall rules.</t>
        </is>
      </c>
    </row>
    <row r="3">
      <c r="A3" s="13" t="inlineStr">
        <is>
          <t>ACL ID</t>
        </is>
      </c>
      <c r="B3" s="13" t="inlineStr">
        <is>
          <t>Device</t>
        </is>
      </c>
      <c r="C3" s="13" t="inlineStr">
        <is>
          <t>ACL Name/Number</t>
        </is>
      </c>
      <c r="D3" s="13" t="inlineStr">
        <is>
          <t>Interface</t>
        </is>
      </c>
      <c r="E3" s="13" t="inlineStr">
        <is>
          <t>Direction</t>
        </is>
      </c>
      <c r="F3" s="13" t="inlineStr">
        <is>
          <t>Purpose</t>
        </is>
      </c>
      <c r="G3" s="13" t="inlineStr">
        <is>
          <t>Zones Protected</t>
        </is>
      </c>
      <c r="H3" s="13" t="inlineStr">
        <is>
          <t>Review Status</t>
        </is>
      </c>
      <c r="I3" s="13" t="inlineStr">
        <is>
          <t>Effectiveness</t>
        </is>
      </c>
      <c r="J3" s="13" t="inlineStr">
        <is>
          <t>Last Modified</t>
        </is>
      </c>
      <c r="K3" s="13" t="inlineStr">
        <is>
          <t>Reviewed By</t>
        </is>
      </c>
      <c r="L3" s="13" t="inlineStr">
        <is>
          <t>Notes</t>
        </is>
      </c>
    </row>
    <row r="4">
      <c r="A4">
        <f>IF(B4&lt;&gt;"","ACL-" &amp; TEXT(1,"00"),"")</f>
        <v/>
      </c>
      <c r="B4" s="14" t="n"/>
      <c r="C4" s="14" t="n"/>
      <c r="D4" s="14" t="n"/>
      <c r="E4" s="14" t="n"/>
      <c r="F4" s="14" t="n"/>
      <c r="G4" s="14" t="n"/>
      <c r="H4" s="14" t="n"/>
      <c r="I4" s="14" t="n"/>
      <c r="J4" s="14" t="n"/>
      <c r="K4" s="14" t="n"/>
      <c r="L4" s="14" t="n"/>
    </row>
    <row r="5">
      <c r="A5">
        <f>IF(B5&lt;&gt;"","ACL-" &amp; TEXT(2,"00"),"")</f>
        <v/>
      </c>
      <c r="B5" s="14" t="n"/>
      <c r="C5" s="14" t="n"/>
      <c r="D5" s="14" t="n"/>
      <c r="E5" s="14" t="n"/>
      <c r="F5" s="14" t="n"/>
      <c r="G5" s="14" t="n"/>
      <c r="H5" s="14" t="n"/>
      <c r="I5" s="14" t="n"/>
      <c r="J5" s="14" t="n"/>
      <c r="K5" s="14" t="n"/>
      <c r="L5" s="14" t="n"/>
    </row>
    <row r="6">
      <c r="A6">
        <f>IF(B6&lt;&gt;"","ACL-" &amp; TEXT(3,"00"),"")</f>
        <v/>
      </c>
      <c r="B6" s="14" t="n"/>
      <c r="C6" s="14" t="n"/>
      <c r="D6" s="14" t="n"/>
      <c r="E6" s="14" t="n"/>
      <c r="F6" s="14" t="n"/>
      <c r="G6" s="14" t="n"/>
      <c r="H6" s="14" t="n"/>
      <c r="I6" s="14" t="n"/>
      <c r="J6" s="14" t="n"/>
      <c r="K6" s="14" t="n"/>
      <c r="L6" s="14" t="n"/>
    </row>
    <row r="7">
      <c r="A7">
        <f>IF(B7&lt;&gt;"","ACL-" &amp; TEXT(4,"00"),"")</f>
        <v/>
      </c>
      <c r="B7" s="14" t="n"/>
      <c r="C7" s="14" t="n"/>
      <c r="D7" s="14" t="n"/>
      <c r="E7" s="14" t="n"/>
      <c r="F7" s="14" t="n"/>
      <c r="G7" s="14" t="n"/>
      <c r="H7" s="14" t="n"/>
      <c r="I7" s="14" t="n"/>
      <c r="J7" s="14" t="n"/>
      <c r="K7" s="14" t="n"/>
      <c r="L7" s="14" t="n"/>
    </row>
    <row r="8">
      <c r="A8">
        <f>IF(B8&lt;&gt;"","ACL-" &amp; TEXT(5,"00"),"")</f>
        <v/>
      </c>
      <c r="B8" s="14" t="n"/>
      <c r="C8" s="14" t="n"/>
      <c r="D8" s="14" t="n"/>
      <c r="E8" s="14" t="n"/>
      <c r="F8" s="14" t="n"/>
      <c r="G8" s="14" t="n"/>
      <c r="H8" s="14" t="n"/>
      <c r="I8" s="14" t="n"/>
      <c r="J8" s="14" t="n"/>
      <c r="K8" s="14" t="n"/>
      <c r="L8" s="14" t="n"/>
    </row>
    <row r="9">
      <c r="A9">
        <f>IF(B9&lt;&gt;"","ACL-" &amp; TEXT(6,"00"),"")</f>
        <v/>
      </c>
      <c r="B9" s="14" t="n"/>
      <c r="C9" s="14" t="n"/>
      <c r="D9" s="14" t="n"/>
      <c r="E9" s="14" t="n"/>
      <c r="F9" s="14" t="n"/>
      <c r="G9" s="14" t="n"/>
      <c r="H9" s="14" t="n"/>
      <c r="I9" s="14" t="n"/>
      <c r="J9" s="14" t="n"/>
      <c r="K9" s="14" t="n"/>
      <c r="L9" s="14" t="n"/>
    </row>
    <row r="10">
      <c r="A10">
        <f>IF(B10&lt;&gt;"","ACL-" &amp; TEXT(7,"00"),"")</f>
        <v/>
      </c>
      <c r="B10" s="14" t="n"/>
      <c r="C10" s="14" t="n"/>
      <c r="D10" s="14" t="n"/>
      <c r="E10" s="14" t="n"/>
      <c r="F10" s="14" t="n"/>
      <c r="G10" s="14" t="n"/>
      <c r="H10" s="14" t="n"/>
      <c r="I10" s="14" t="n"/>
      <c r="J10" s="14" t="n"/>
      <c r="K10" s="14" t="n"/>
      <c r="L10" s="14" t="n"/>
    </row>
    <row r="11">
      <c r="A11">
        <f>IF(B11&lt;&gt;"","ACL-" &amp; TEXT(8,"00"),"")</f>
        <v/>
      </c>
      <c r="B11" s="14" t="n"/>
      <c r="C11" s="14" t="n"/>
      <c r="D11" s="14" t="n"/>
      <c r="E11" s="14" t="n"/>
      <c r="F11" s="14" t="n"/>
      <c r="G11" s="14" t="n"/>
      <c r="H11" s="14" t="n"/>
      <c r="I11" s="14" t="n"/>
      <c r="J11" s="14" t="n"/>
      <c r="K11" s="14" t="n"/>
      <c r="L11" s="14" t="n"/>
    </row>
    <row r="12">
      <c r="A12">
        <f>IF(B12&lt;&gt;"","ACL-" &amp; TEXT(9,"00"),"")</f>
        <v/>
      </c>
      <c r="B12" s="14" t="n"/>
      <c r="C12" s="14" t="n"/>
      <c r="D12" s="14" t="n"/>
      <c r="E12" s="14" t="n"/>
      <c r="F12" s="14" t="n"/>
      <c r="G12" s="14" t="n"/>
      <c r="H12" s="14" t="n"/>
      <c r="I12" s="14" t="n"/>
      <c r="J12" s="14" t="n"/>
      <c r="K12" s="14" t="n"/>
      <c r="L12" s="14" t="n"/>
    </row>
    <row r="13">
      <c r="A13">
        <f>IF(B13&lt;&gt;"","ACL-" &amp; TEXT(10,"00"),"")</f>
        <v/>
      </c>
      <c r="B13" s="14" t="n"/>
      <c r="C13" s="14" t="n"/>
      <c r="D13" s="14" t="n"/>
      <c r="E13" s="14" t="n"/>
      <c r="F13" s="14" t="n"/>
      <c r="G13" s="14" t="n"/>
      <c r="H13" s="14" t="n"/>
      <c r="I13" s="14" t="n"/>
      <c r="J13" s="14" t="n"/>
      <c r="K13" s="14" t="n"/>
      <c r="L13" s="14" t="n"/>
    </row>
    <row r="14">
      <c r="A14">
        <f>IF(B14&lt;&gt;"","ACL-" &amp; TEXT(11,"00"),"")</f>
        <v/>
      </c>
      <c r="B14" s="14" t="n"/>
      <c r="C14" s="14" t="n"/>
      <c r="D14" s="14" t="n"/>
      <c r="E14" s="14" t="n"/>
      <c r="F14" s="14" t="n"/>
      <c r="G14" s="14" t="n"/>
      <c r="H14" s="14" t="n"/>
      <c r="I14" s="14" t="n"/>
      <c r="J14" s="14" t="n"/>
      <c r="K14" s="14" t="n"/>
      <c r="L14" s="14" t="n"/>
    </row>
    <row r="15">
      <c r="A15">
        <f>IF(B15&lt;&gt;"","ACL-" &amp; TEXT(12,"00"),"")</f>
        <v/>
      </c>
      <c r="B15" s="14" t="n"/>
      <c r="C15" s="14" t="n"/>
      <c r="D15" s="14" t="n"/>
      <c r="E15" s="14" t="n"/>
      <c r="F15" s="14" t="n"/>
      <c r="G15" s="14" t="n"/>
      <c r="H15" s="14" t="n"/>
      <c r="I15" s="14" t="n"/>
      <c r="J15" s="14" t="n"/>
      <c r="K15" s="14" t="n"/>
      <c r="L15" s="14" t="n"/>
    </row>
    <row r="16">
      <c r="A16">
        <f>IF(B16&lt;&gt;"","ACL-" &amp; TEXT(13,"00"),"")</f>
        <v/>
      </c>
      <c r="B16" s="14" t="n"/>
      <c r="C16" s="14" t="n"/>
      <c r="D16" s="14" t="n"/>
      <c r="E16" s="14" t="n"/>
      <c r="F16" s="14" t="n"/>
      <c r="G16" s="14" t="n"/>
      <c r="H16" s="14" t="n"/>
      <c r="I16" s="14" t="n"/>
      <c r="J16" s="14" t="n"/>
      <c r="K16" s="14" t="n"/>
      <c r="L16" s="14" t="n"/>
    </row>
    <row r="17">
      <c r="A17">
        <f>IF(B17&lt;&gt;"","ACL-" &amp; TEXT(14,"00"),"")</f>
        <v/>
      </c>
      <c r="B17" s="14" t="n"/>
      <c r="C17" s="14" t="n"/>
      <c r="D17" s="14" t="n"/>
      <c r="E17" s="14" t="n"/>
      <c r="F17" s="14" t="n"/>
      <c r="G17" s="14" t="n"/>
      <c r="H17" s="14" t="n"/>
      <c r="I17" s="14" t="n"/>
      <c r="J17" s="14" t="n"/>
      <c r="K17" s="14" t="n"/>
      <c r="L17" s="14" t="n"/>
    </row>
    <row r="18">
      <c r="A18">
        <f>IF(B18&lt;&gt;"","ACL-" &amp; TEXT(15,"00"),"")</f>
        <v/>
      </c>
      <c r="B18" s="14" t="n"/>
      <c r="C18" s="14" t="n"/>
      <c r="D18" s="14" t="n"/>
      <c r="E18" s="14" t="n"/>
      <c r="F18" s="14" t="n"/>
      <c r="G18" s="14" t="n"/>
      <c r="H18" s="14" t="n"/>
      <c r="I18" s="14" t="n"/>
      <c r="J18" s="14" t="n"/>
      <c r="K18" s="14" t="n"/>
      <c r="L18" s="14" t="n"/>
    </row>
    <row r="19">
      <c r="A19">
        <f>IF(B19&lt;&gt;"","ACL-" &amp; TEXT(16,"00"),"")</f>
        <v/>
      </c>
      <c r="B19" s="14" t="n"/>
      <c r="C19" s="14" t="n"/>
      <c r="D19" s="14" t="n"/>
      <c r="E19" s="14" t="n"/>
      <c r="F19" s="14" t="n"/>
      <c r="G19" s="14" t="n"/>
      <c r="H19" s="14" t="n"/>
      <c r="I19" s="14" t="n"/>
      <c r="J19" s="14" t="n"/>
      <c r="K19" s="14" t="n"/>
      <c r="L19" s="14" t="n"/>
    </row>
    <row r="20">
      <c r="A20">
        <f>IF(B20&lt;&gt;"","ACL-" &amp; TEXT(17,"00"),"")</f>
        <v/>
      </c>
      <c r="B20" s="14" t="n"/>
      <c r="C20" s="14" t="n"/>
      <c r="D20" s="14" t="n"/>
      <c r="E20" s="14" t="n"/>
      <c r="F20" s="14" t="n"/>
      <c r="G20" s="14" t="n"/>
      <c r="H20" s="14" t="n"/>
      <c r="I20" s="14" t="n"/>
      <c r="J20" s="14" t="n"/>
      <c r="K20" s="14" t="n"/>
      <c r="L20" s="14" t="n"/>
    </row>
    <row r="21">
      <c r="A21">
        <f>IF(B21&lt;&gt;"","ACL-" &amp; TEXT(18,"00"),"")</f>
        <v/>
      </c>
      <c r="B21" s="14" t="n"/>
      <c r="C21" s="14" t="n"/>
      <c r="D21" s="14" t="n"/>
      <c r="E21" s="14" t="n"/>
      <c r="F21" s="14" t="n"/>
      <c r="G21" s="14" t="n"/>
      <c r="H21" s="14" t="n"/>
      <c r="I21" s="14" t="n"/>
      <c r="J21" s="14" t="n"/>
      <c r="K21" s="14" t="n"/>
      <c r="L21" s="14" t="n"/>
    </row>
    <row r="22">
      <c r="A22">
        <f>IF(B22&lt;&gt;"","ACL-" &amp; TEXT(19,"00"),"")</f>
        <v/>
      </c>
      <c r="B22" s="14" t="n"/>
      <c r="C22" s="14" t="n"/>
      <c r="D22" s="14" t="n"/>
      <c r="E22" s="14" t="n"/>
      <c r="F22" s="14" t="n"/>
      <c r="G22" s="14" t="n"/>
      <c r="H22" s="14" t="n"/>
      <c r="I22" s="14" t="n"/>
      <c r="J22" s="14" t="n"/>
      <c r="K22" s="14" t="n"/>
      <c r="L22" s="14" t="n"/>
    </row>
    <row r="23">
      <c r="A23">
        <f>IF(B23&lt;&gt;"","ACL-" &amp; TEXT(20,"00"),"")</f>
        <v/>
      </c>
      <c r="B23" s="14" t="n"/>
      <c r="C23" s="14" t="n"/>
      <c r="D23" s="14" t="n"/>
      <c r="E23" s="14" t="n"/>
      <c r="F23" s="14" t="n"/>
      <c r="G23" s="14" t="n"/>
      <c r="H23" s="14" t="n"/>
      <c r="I23" s="14" t="n"/>
      <c r="J23" s="14" t="n"/>
      <c r="K23" s="14" t="n"/>
      <c r="L23" s="14" t="n"/>
    </row>
    <row r="24">
      <c r="A24">
        <f>IF(B24&lt;&gt;"","ACL-" &amp; TEXT(21,"00"),"")</f>
        <v/>
      </c>
      <c r="B24" s="14" t="n"/>
      <c r="C24" s="14" t="n"/>
      <c r="D24" s="14" t="n"/>
      <c r="E24" s="14" t="n"/>
      <c r="F24" s="14" t="n"/>
      <c r="G24" s="14" t="n"/>
      <c r="H24" s="14" t="n"/>
      <c r="I24" s="14" t="n"/>
      <c r="J24" s="14" t="n"/>
      <c r="K24" s="14" t="n"/>
      <c r="L24" s="14" t="n"/>
    </row>
    <row r="25">
      <c r="A25">
        <f>IF(B25&lt;&gt;"","ACL-" &amp; TEXT(22,"00"),"")</f>
        <v/>
      </c>
      <c r="B25" s="14" t="n"/>
      <c r="C25" s="14" t="n"/>
      <c r="D25" s="14" t="n"/>
      <c r="E25" s="14" t="n"/>
      <c r="F25" s="14" t="n"/>
      <c r="G25" s="14" t="n"/>
      <c r="H25" s="14" t="n"/>
      <c r="I25" s="14" t="n"/>
      <c r="J25" s="14" t="n"/>
      <c r="K25" s="14" t="n"/>
      <c r="L25" s="14" t="n"/>
    </row>
    <row r="26">
      <c r="A26">
        <f>IF(B26&lt;&gt;"","ACL-" &amp; TEXT(23,"00"),"")</f>
        <v/>
      </c>
      <c r="B26" s="14" t="n"/>
      <c r="C26" s="14" t="n"/>
      <c r="D26" s="14" t="n"/>
      <c r="E26" s="14" t="n"/>
      <c r="F26" s="14" t="n"/>
      <c r="G26" s="14" t="n"/>
      <c r="H26" s="14" t="n"/>
      <c r="I26" s="14" t="n"/>
      <c r="J26" s="14" t="n"/>
      <c r="K26" s="14" t="n"/>
      <c r="L26" s="14" t="n"/>
    </row>
    <row r="27">
      <c r="A27">
        <f>IF(B27&lt;&gt;"","ACL-" &amp; TEXT(24,"00"),"")</f>
        <v/>
      </c>
      <c r="B27" s="14" t="n"/>
      <c r="C27" s="14" t="n"/>
      <c r="D27" s="14" t="n"/>
      <c r="E27" s="14" t="n"/>
      <c r="F27" s="14" t="n"/>
      <c r="G27" s="14" t="n"/>
      <c r="H27" s="14" t="n"/>
      <c r="I27" s="14" t="n"/>
      <c r="J27" s="14" t="n"/>
      <c r="K27" s="14" t="n"/>
      <c r="L27" s="14" t="n"/>
    </row>
    <row r="28">
      <c r="A28">
        <f>IF(B28&lt;&gt;"","ACL-" &amp; TEXT(25,"00"),"")</f>
        <v/>
      </c>
      <c r="B28" s="14" t="n"/>
      <c r="C28" s="14" t="n"/>
      <c r="D28" s="14" t="n"/>
      <c r="E28" s="14" t="n"/>
      <c r="F28" s="14" t="n"/>
      <c r="G28" s="14" t="n"/>
      <c r="H28" s="14" t="n"/>
      <c r="I28" s="14" t="n"/>
      <c r="J28" s="14" t="n"/>
      <c r="K28" s="14" t="n"/>
      <c r="L28" s="14" t="n"/>
    </row>
    <row r="29">
      <c r="A29">
        <f>IF(B29&lt;&gt;"","ACL-" &amp; TEXT(26,"00"),"")</f>
        <v/>
      </c>
      <c r="B29" s="14" t="n"/>
      <c r="C29" s="14" t="n"/>
      <c r="D29" s="14" t="n"/>
      <c r="E29" s="14" t="n"/>
      <c r="F29" s="14" t="n"/>
      <c r="G29" s="14" t="n"/>
      <c r="H29" s="14" t="n"/>
      <c r="I29" s="14" t="n"/>
      <c r="J29" s="14" t="n"/>
      <c r="K29" s="14" t="n"/>
      <c r="L29" s="14" t="n"/>
    </row>
    <row r="30">
      <c r="A30">
        <f>IF(B30&lt;&gt;"","ACL-" &amp; TEXT(27,"00"),"")</f>
        <v/>
      </c>
      <c r="B30" s="14" t="n"/>
      <c r="C30" s="14" t="n"/>
      <c r="D30" s="14" t="n"/>
      <c r="E30" s="14" t="n"/>
      <c r="F30" s="14" t="n"/>
      <c r="G30" s="14" t="n"/>
      <c r="H30" s="14" t="n"/>
      <c r="I30" s="14" t="n"/>
      <c r="J30" s="14" t="n"/>
      <c r="K30" s="14" t="n"/>
      <c r="L30" s="14" t="n"/>
    </row>
    <row r="31">
      <c r="A31">
        <f>IF(B31&lt;&gt;"","ACL-" &amp; TEXT(28,"00"),"")</f>
        <v/>
      </c>
      <c r="B31" s="14" t="n"/>
      <c r="C31" s="14" t="n"/>
      <c r="D31" s="14" t="n"/>
      <c r="E31" s="14" t="n"/>
      <c r="F31" s="14" t="n"/>
      <c r="G31" s="14" t="n"/>
      <c r="H31" s="14" t="n"/>
      <c r="I31" s="14" t="n"/>
      <c r="J31" s="14" t="n"/>
      <c r="K31" s="14" t="n"/>
      <c r="L31" s="14" t="n"/>
    </row>
    <row r="32">
      <c r="A32">
        <f>IF(B32&lt;&gt;"","ACL-" &amp; TEXT(29,"00"),"")</f>
        <v/>
      </c>
      <c r="B32" s="14" t="n"/>
      <c r="C32" s="14" t="n"/>
      <c r="D32" s="14" t="n"/>
      <c r="E32" s="14" t="n"/>
      <c r="F32" s="14" t="n"/>
      <c r="G32" s="14" t="n"/>
      <c r="H32" s="14" t="n"/>
      <c r="I32" s="14" t="n"/>
      <c r="J32" s="14" t="n"/>
      <c r="K32" s="14" t="n"/>
      <c r="L32" s="14" t="n"/>
    </row>
    <row r="33">
      <c r="A33">
        <f>IF(B33&lt;&gt;"","ACL-" &amp; TEXT(30,"00"),"")</f>
        <v/>
      </c>
      <c r="B33" s="14" t="n"/>
      <c r="C33" s="14" t="n"/>
      <c r="D33" s="14" t="n"/>
      <c r="E33" s="14" t="n"/>
      <c r="F33" s="14" t="n"/>
      <c r="G33" s="14" t="n"/>
      <c r="H33" s="14" t="n"/>
      <c r="I33" s="14" t="n"/>
      <c r="J33" s="14" t="n"/>
      <c r="K33" s="14" t="n"/>
      <c r="L33" s="14" t="n"/>
    </row>
    <row r="34">
      <c r="A34">
        <f>IF(B34&lt;&gt;"","ACL-" &amp; TEXT(31,"00"),"")</f>
        <v/>
      </c>
      <c r="B34" s="14" t="n"/>
      <c r="C34" s="14" t="n"/>
      <c r="D34" s="14" t="n"/>
      <c r="E34" s="14" t="n"/>
      <c r="F34" s="14" t="n"/>
      <c r="G34" s="14" t="n"/>
      <c r="H34" s="14" t="n"/>
      <c r="I34" s="14" t="n"/>
      <c r="J34" s="14" t="n"/>
      <c r="K34" s="14" t="n"/>
      <c r="L34" s="14" t="n"/>
    </row>
    <row r="35">
      <c r="A35">
        <f>IF(B35&lt;&gt;"","ACL-" &amp; TEXT(32,"00"),"")</f>
        <v/>
      </c>
      <c r="B35" s="14" t="n"/>
      <c r="C35" s="14" t="n"/>
      <c r="D35" s="14" t="n"/>
      <c r="E35" s="14" t="n"/>
      <c r="F35" s="14" t="n"/>
      <c r="G35" s="14" t="n"/>
      <c r="H35" s="14" t="n"/>
      <c r="I35" s="14" t="n"/>
      <c r="J35" s="14" t="n"/>
      <c r="K35" s="14" t="n"/>
      <c r="L35" s="14" t="n"/>
    </row>
    <row r="36">
      <c r="A36">
        <f>IF(B36&lt;&gt;"","ACL-" &amp; TEXT(33,"00"),"")</f>
        <v/>
      </c>
      <c r="B36" s="14" t="n"/>
      <c r="C36" s="14" t="n"/>
      <c r="D36" s="14" t="n"/>
      <c r="E36" s="14" t="n"/>
      <c r="F36" s="14" t="n"/>
      <c r="G36" s="14" t="n"/>
      <c r="H36" s="14" t="n"/>
      <c r="I36" s="14" t="n"/>
      <c r="J36" s="14" t="n"/>
      <c r="K36" s="14" t="n"/>
      <c r="L36" s="14" t="n"/>
    </row>
    <row r="37">
      <c r="A37">
        <f>IF(B37&lt;&gt;"","ACL-" &amp; TEXT(34,"00"),"")</f>
        <v/>
      </c>
      <c r="B37" s="14" t="n"/>
      <c r="C37" s="14" t="n"/>
      <c r="D37" s="14" t="n"/>
      <c r="E37" s="14" t="n"/>
      <c r="F37" s="14" t="n"/>
      <c r="G37" s="14" t="n"/>
      <c r="H37" s="14" t="n"/>
      <c r="I37" s="14" t="n"/>
      <c r="J37" s="14" t="n"/>
      <c r="K37" s="14" t="n"/>
      <c r="L37" s="14" t="n"/>
    </row>
    <row r="38">
      <c r="A38">
        <f>IF(B38&lt;&gt;"","ACL-" &amp; TEXT(35,"00"),"")</f>
        <v/>
      </c>
      <c r="B38" s="14" t="n"/>
      <c r="C38" s="14" t="n"/>
      <c r="D38" s="14" t="n"/>
      <c r="E38" s="14" t="n"/>
      <c r="F38" s="14" t="n"/>
      <c r="G38" s="14" t="n"/>
      <c r="H38" s="14" t="n"/>
      <c r="I38" s="14" t="n"/>
      <c r="J38" s="14" t="n"/>
      <c r="K38" s="14" t="n"/>
      <c r="L38" s="14" t="n"/>
    </row>
    <row r="39">
      <c r="A39">
        <f>IF(B39&lt;&gt;"","ACL-" &amp; TEXT(36,"00"),"")</f>
        <v/>
      </c>
      <c r="B39" s="14" t="n"/>
      <c r="C39" s="14" t="n"/>
      <c r="D39" s="14" t="n"/>
      <c r="E39" s="14" t="n"/>
      <c r="F39" s="14" t="n"/>
      <c r="G39" s="14" t="n"/>
      <c r="H39" s="14" t="n"/>
      <c r="I39" s="14" t="n"/>
      <c r="J39" s="14" t="n"/>
      <c r="K39" s="14" t="n"/>
      <c r="L39" s="14" t="n"/>
    </row>
    <row r="40">
      <c r="A40">
        <f>IF(B40&lt;&gt;"","ACL-" &amp; TEXT(37,"00"),"")</f>
        <v/>
      </c>
      <c r="B40" s="14" t="n"/>
      <c r="C40" s="14" t="n"/>
      <c r="D40" s="14" t="n"/>
      <c r="E40" s="14" t="n"/>
      <c r="F40" s="14" t="n"/>
      <c r="G40" s="14" t="n"/>
      <c r="H40" s="14" t="n"/>
      <c r="I40" s="14" t="n"/>
      <c r="J40" s="14" t="n"/>
      <c r="K40" s="14" t="n"/>
      <c r="L40" s="14" t="n"/>
    </row>
    <row r="41">
      <c r="A41">
        <f>IF(B41&lt;&gt;"","ACL-" &amp; TEXT(38,"00"),"")</f>
        <v/>
      </c>
      <c r="B41" s="14" t="n"/>
      <c r="C41" s="14" t="n"/>
      <c r="D41" s="14" t="n"/>
      <c r="E41" s="14" t="n"/>
      <c r="F41" s="14" t="n"/>
      <c r="G41" s="14" t="n"/>
      <c r="H41" s="14" t="n"/>
      <c r="I41" s="14" t="n"/>
      <c r="J41" s="14" t="n"/>
      <c r="K41" s="14" t="n"/>
      <c r="L41" s="14" t="n"/>
    </row>
    <row r="42">
      <c r="A42">
        <f>IF(B42&lt;&gt;"","ACL-" &amp; TEXT(39,"00"),"")</f>
        <v/>
      </c>
      <c r="B42" s="14" t="n"/>
      <c r="C42" s="14" t="n"/>
      <c r="D42" s="14" t="n"/>
      <c r="E42" s="14" t="n"/>
      <c r="F42" s="14" t="n"/>
      <c r="G42" s="14" t="n"/>
      <c r="H42" s="14" t="n"/>
      <c r="I42" s="14" t="n"/>
      <c r="J42" s="14" t="n"/>
      <c r="K42" s="14" t="n"/>
      <c r="L42" s="14" t="n"/>
    </row>
    <row r="43">
      <c r="A43">
        <f>IF(B43&lt;&gt;"","ACL-" &amp; TEXT(40,"00"),"")</f>
        <v/>
      </c>
      <c r="B43" s="14" t="n"/>
      <c r="C43" s="14" t="n"/>
      <c r="D43" s="14" t="n"/>
      <c r="E43" s="14" t="n"/>
      <c r="F43" s="14" t="n"/>
      <c r="G43" s="14" t="n"/>
      <c r="H43" s="14" t="n"/>
      <c r="I43" s="14" t="n"/>
      <c r="J43" s="14" t="n"/>
      <c r="K43" s="14" t="n"/>
      <c r="L43" s="14" t="n"/>
    </row>
    <row r="44">
      <c r="A44">
        <f>IF(B44&lt;&gt;"","ACL-" &amp; TEXT(41,"00"),"")</f>
        <v/>
      </c>
      <c r="B44" s="14" t="n"/>
      <c r="C44" s="14" t="n"/>
      <c r="D44" s="14" t="n"/>
      <c r="E44" s="14" t="n"/>
      <c r="F44" s="14" t="n"/>
      <c r="G44" s="14" t="n"/>
      <c r="H44" s="14" t="n"/>
      <c r="I44" s="14" t="n"/>
      <c r="J44" s="14" t="n"/>
      <c r="K44" s="14" t="n"/>
      <c r="L44" s="14" t="n"/>
    </row>
    <row r="45">
      <c r="A45">
        <f>IF(B45&lt;&gt;"","ACL-" &amp; TEXT(42,"00"),"")</f>
        <v/>
      </c>
      <c r="B45" s="14" t="n"/>
      <c r="C45" s="14" t="n"/>
      <c r="D45" s="14" t="n"/>
      <c r="E45" s="14" t="n"/>
      <c r="F45" s="14" t="n"/>
      <c r="G45" s="14" t="n"/>
      <c r="H45" s="14" t="n"/>
      <c r="I45" s="14" t="n"/>
      <c r="J45" s="14" t="n"/>
      <c r="K45" s="14" t="n"/>
      <c r="L45" s="14" t="n"/>
    </row>
    <row r="46">
      <c r="A46">
        <f>IF(B46&lt;&gt;"","ACL-" &amp; TEXT(43,"00"),"")</f>
        <v/>
      </c>
      <c r="B46" s="14" t="n"/>
      <c r="C46" s="14" t="n"/>
      <c r="D46" s="14" t="n"/>
      <c r="E46" s="14" t="n"/>
      <c r="F46" s="14" t="n"/>
      <c r="G46" s="14" t="n"/>
      <c r="H46" s="14" t="n"/>
      <c r="I46" s="14" t="n"/>
      <c r="J46" s="14" t="n"/>
      <c r="K46" s="14" t="n"/>
      <c r="L46" s="14" t="n"/>
    </row>
    <row r="47">
      <c r="A47">
        <f>IF(B47&lt;&gt;"","ACL-" &amp; TEXT(44,"00"),"")</f>
        <v/>
      </c>
      <c r="B47" s="14" t="n"/>
      <c r="C47" s="14" t="n"/>
      <c r="D47" s="14" t="n"/>
      <c r="E47" s="14" t="n"/>
      <c r="F47" s="14" t="n"/>
      <c r="G47" s="14" t="n"/>
      <c r="H47" s="14" t="n"/>
      <c r="I47" s="14" t="n"/>
      <c r="J47" s="14" t="n"/>
      <c r="K47" s="14" t="n"/>
      <c r="L47" s="14" t="n"/>
    </row>
    <row r="48">
      <c r="A48">
        <f>IF(B48&lt;&gt;"","ACL-" &amp; TEXT(45,"00"),"")</f>
        <v/>
      </c>
      <c r="B48" s="14" t="n"/>
      <c r="C48" s="14" t="n"/>
      <c r="D48" s="14" t="n"/>
      <c r="E48" s="14" t="n"/>
      <c r="F48" s="14" t="n"/>
      <c r="G48" s="14" t="n"/>
      <c r="H48" s="14" t="n"/>
      <c r="I48" s="14" t="n"/>
      <c r="J48" s="14" t="n"/>
      <c r="K48" s="14" t="n"/>
      <c r="L48" s="14" t="n"/>
    </row>
    <row r="49">
      <c r="A49">
        <f>IF(B49&lt;&gt;"","ACL-" &amp; TEXT(46,"00"),"")</f>
        <v/>
      </c>
      <c r="B49" s="14" t="n"/>
      <c r="C49" s="14" t="n"/>
      <c r="D49" s="14" t="n"/>
      <c r="E49" s="14" t="n"/>
      <c r="F49" s="14" t="n"/>
      <c r="G49" s="14" t="n"/>
      <c r="H49" s="14" t="n"/>
      <c r="I49" s="14" t="n"/>
      <c r="J49" s="14" t="n"/>
      <c r="K49" s="14" t="n"/>
      <c r="L49" s="14" t="n"/>
    </row>
    <row r="50">
      <c r="A50">
        <f>IF(B50&lt;&gt;"","ACL-" &amp; TEXT(47,"00"),"")</f>
        <v/>
      </c>
      <c r="B50" s="14" t="n"/>
      <c r="C50" s="14" t="n"/>
      <c r="D50" s="14" t="n"/>
      <c r="E50" s="14" t="n"/>
      <c r="F50" s="14" t="n"/>
      <c r="G50" s="14" t="n"/>
      <c r="H50" s="14" t="n"/>
      <c r="I50" s="14" t="n"/>
      <c r="J50" s="14" t="n"/>
      <c r="K50" s="14" t="n"/>
      <c r="L50" s="14" t="n"/>
    </row>
    <row r="51">
      <c r="A51">
        <f>IF(B51&lt;&gt;"","ACL-" &amp; TEXT(48,"00"),"")</f>
        <v/>
      </c>
      <c r="B51" s="14" t="n"/>
      <c r="C51" s="14" t="n"/>
      <c r="D51" s="14" t="n"/>
      <c r="E51" s="14" t="n"/>
      <c r="F51" s="14" t="n"/>
      <c r="G51" s="14" t="n"/>
      <c r="H51" s="14" t="n"/>
      <c r="I51" s="14" t="n"/>
      <c r="J51" s="14" t="n"/>
      <c r="K51" s="14" t="n"/>
      <c r="L51" s="14" t="n"/>
    </row>
    <row r="52">
      <c r="A52">
        <f>IF(B52&lt;&gt;"","ACL-" &amp; TEXT(49,"00"),"")</f>
        <v/>
      </c>
      <c r="B52" s="14" t="n"/>
      <c r="C52" s="14" t="n"/>
      <c r="D52" s="14" t="n"/>
      <c r="E52" s="14" t="n"/>
      <c r="F52" s="14" t="n"/>
      <c r="G52" s="14" t="n"/>
      <c r="H52" s="14" t="n"/>
      <c r="I52" s="14" t="n"/>
      <c r="J52" s="14" t="n"/>
      <c r="K52" s="14" t="n"/>
      <c r="L52" s="14" t="n"/>
    </row>
    <row r="53">
      <c r="A53">
        <f>IF(B53&lt;&gt;"","ACL-" &amp; TEXT(50,"00"),"")</f>
        <v/>
      </c>
      <c r="B53" s="14" t="n"/>
      <c r="C53" s="14" t="n"/>
      <c r="D53" s="14" t="n"/>
      <c r="E53" s="14" t="n"/>
      <c r="F53" s="14" t="n"/>
      <c r="G53" s="14" t="n"/>
      <c r="H53" s="14" t="n"/>
      <c r="I53" s="14" t="n"/>
      <c r="J53" s="14" t="n"/>
      <c r="K53" s="14" t="n"/>
      <c r="L53" s="14" t="n"/>
    </row>
    <row r="55">
      <c r="A55" s="15" t="inlineStr">
        <is>
          <t>ACL Best Practices (per IMP-S5)</t>
        </is>
      </c>
      <c r="B55" s="6" t="n"/>
      <c r="C55" s="6" t="n"/>
      <c r="D55" s="6" t="n"/>
      <c r="E55" s="6" t="n"/>
      <c r="F55" s="6" t="n"/>
      <c r="G55" s="6" t="n"/>
      <c r="H55" s="6" t="n"/>
      <c r="I55" s="6" t="n"/>
      <c r="J55" s="6" t="n"/>
      <c r="K55" s="6" t="n"/>
      <c r="L55" s="6" t="n"/>
    </row>
    <row r="56">
      <c r="A56" s="12" t="inlineStr">
        <is>
          <t>• ACL PLACEMENT: Apply inbound on router interfaces (filter before routing)</t>
        </is>
      </c>
    </row>
    <row r="57">
      <c r="A57" s="12" t="inlineStr">
        <is>
          <t>• SPECIFIC FIRST: Most specific ACL entries first, general/deny last</t>
        </is>
      </c>
    </row>
    <row r="58">
      <c r="A58" s="12" t="inlineStr">
        <is>
          <t>• EXPLICIT DENY: Include explicit deny at end (implicit deny doesn't log)</t>
        </is>
      </c>
    </row>
    <row r="59">
      <c r="A59" s="12" t="inlineStr">
        <is>
          <t>• NAMING: Use descriptive names for extended ACLs (e.g., ACL-BLOCK-GUEST-TO-INTERNAL)</t>
        </is>
      </c>
    </row>
    <row r="60">
      <c r="A60" s="12" t="inlineStr">
        <is>
          <t>• TESTING: Test ACLs with traffic generators/packet captures before production</t>
        </is>
      </c>
    </row>
    <row r="61">
      <c r="A61" s="12" t="inlineStr">
        <is>
          <t>• DOCUMENTATION: Maintain ACL documentation with business justification per entry</t>
        </is>
      </c>
    </row>
  </sheetData>
  <mergeCells count="9">
    <mergeCell ref="A57:L57"/>
    <mergeCell ref="A2:L2"/>
    <mergeCell ref="A60:L60"/>
    <mergeCell ref="A1:L1"/>
    <mergeCell ref="A61:L61"/>
    <mergeCell ref="A58:L58"/>
    <mergeCell ref="A56:L56"/>
    <mergeCell ref="A55:L55"/>
    <mergeCell ref="A59:L59"/>
  </mergeCells>
  <dataValidations count="1">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15" customWidth="1" min="6" max="6"/>
    <col width="12" customWidth="1" min="7" max="7"/>
    <col width="20" customWidth="1" min="8" max="8"/>
    <col width="12" customWidth="1" min="9" max="9"/>
    <col width="15" customWidth="1" min="10" max="10"/>
    <col width="40" customWidth="1" min="11" max="11"/>
  </cols>
  <sheetData>
    <row r="1" ht="35" customHeight="1">
      <c r="A1" s="11" t="inlineStr">
        <is>
          <t>SEGMENTATION EFFECTIVENESS TESTING</t>
        </is>
      </c>
    </row>
    <row r="2">
      <c r="A2" s="12" t="inlineStr">
        <is>
          <t>Test segmentation effectiveness. Verify traffic is blocked when expected (no bypass routes).</t>
        </is>
      </c>
    </row>
    <row r="3">
      <c r="A3" s="13" t="inlineStr">
        <is>
          <t>Test ID</t>
        </is>
      </c>
      <c r="B3" s="13" t="inlineStr">
        <is>
          <t>Test Name</t>
        </is>
      </c>
      <c r="C3" s="13" t="inlineStr">
        <is>
          <t>Source Zone</t>
        </is>
      </c>
      <c r="D3" s="13" t="inlineStr">
        <is>
          <t>Destination Zone</t>
        </is>
      </c>
      <c r="E3" s="13" t="inlineStr">
        <is>
          <t>Expected Result</t>
        </is>
      </c>
      <c r="F3" s="13" t="inlineStr">
        <is>
          <t>Actual Result</t>
        </is>
      </c>
      <c r="G3" s="13" t="inlineStr">
        <is>
          <t>Test Result</t>
        </is>
      </c>
      <c r="H3" s="13" t="inlineStr">
        <is>
          <t>Test Method</t>
        </is>
      </c>
      <c r="I3" s="13" t="inlineStr">
        <is>
          <t>Test Date</t>
        </is>
      </c>
      <c r="J3" s="13" t="inlineStr">
        <is>
          <t>Tested By</t>
        </is>
      </c>
      <c r="K3" s="13" t="inlineStr">
        <is>
          <t>Notes</t>
        </is>
      </c>
    </row>
    <row r="4">
      <c r="A4" t="inlineStr">
        <is>
          <t>SEG-TEST-01</t>
        </is>
      </c>
      <c r="B4" s="18" t="inlineStr">
        <is>
          <t>Internet DMZ to Corporate LAN</t>
        </is>
      </c>
      <c r="C4" s="18" t="inlineStr">
        <is>
          <t>Internet DMZ</t>
        </is>
      </c>
      <c r="D4" s="18" t="inlineStr">
        <is>
          <t>Corporate LAN</t>
        </is>
      </c>
      <c r="E4" s="18" t="inlineStr">
        <is>
          <t>Deny</t>
        </is>
      </c>
      <c r="F4" s="18" t="inlineStr">
        <is>
          <t>Deny</t>
        </is>
      </c>
      <c r="G4" s="18" t="inlineStr">
        <is>
          <t>Pass</t>
        </is>
      </c>
      <c r="H4" s="18" t="inlineStr">
        <is>
          <t>Port Scan (nmap)</t>
        </is>
      </c>
      <c r="I4" s="18" t="inlineStr">
        <is>
          <t>15.01.2026</t>
        </is>
      </c>
      <c r="J4" s="18" t="inlineStr">
        <is>
          <t>Network Security Team</t>
        </is>
      </c>
      <c r="K4" s="18" t="inlineStr">
        <is>
          <t>Firewall confirmed blocking all traffic from DMZ to Corporate LAN</t>
        </is>
      </c>
    </row>
    <row r="5">
      <c r="A5">
        <f>IF(B5&lt;&gt;"","SEG-TEST-" &amp; TEXT(2,"00"),"")</f>
        <v/>
      </c>
      <c r="B5" s="14" t="n"/>
      <c r="C5" s="14" t="n"/>
      <c r="D5" s="14" t="n"/>
      <c r="E5" s="14" t="n"/>
      <c r="F5" s="14" t="n"/>
      <c r="G5" s="14" t="n"/>
      <c r="H5" s="14" t="n"/>
      <c r="I5" s="14" t="n"/>
      <c r="J5" s="14" t="n"/>
      <c r="K5" s="14" t="n"/>
    </row>
    <row r="6">
      <c r="A6">
        <f>IF(B6&lt;&gt;"","SEG-TEST-" &amp; TEXT(3,"00"),"")</f>
        <v/>
      </c>
      <c r="B6" s="14" t="n"/>
      <c r="C6" s="14" t="n"/>
      <c r="D6" s="14" t="n"/>
      <c r="E6" s="14" t="n"/>
      <c r="F6" s="14" t="n"/>
      <c r="G6" s="14" t="n"/>
      <c r="H6" s="14" t="n"/>
      <c r="I6" s="14" t="n"/>
      <c r="J6" s="14" t="n"/>
      <c r="K6" s="14" t="n"/>
    </row>
    <row r="7">
      <c r="A7">
        <f>IF(B7&lt;&gt;"","SEG-TEST-" &amp; TEXT(4,"00"),"")</f>
        <v/>
      </c>
      <c r="B7" s="14" t="n"/>
      <c r="C7" s="14" t="n"/>
      <c r="D7" s="14" t="n"/>
      <c r="E7" s="14" t="n"/>
      <c r="F7" s="14" t="n"/>
      <c r="G7" s="14" t="n"/>
      <c r="H7" s="14" t="n"/>
      <c r="I7" s="14" t="n"/>
      <c r="J7" s="14" t="n"/>
      <c r="K7" s="14" t="n"/>
    </row>
    <row r="8">
      <c r="A8">
        <f>IF(B8&lt;&gt;"","SEG-TEST-" &amp; TEXT(5,"00"),"")</f>
        <v/>
      </c>
      <c r="B8" s="14" t="n"/>
      <c r="C8" s="14" t="n"/>
      <c r="D8" s="14" t="n"/>
      <c r="E8" s="14" t="n"/>
      <c r="F8" s="14" t="n"/>
      <c r="G8" s="14" t="n"/>
      <c r="H8" s="14" t="n"/>
      <c r="I8" s="14" t="n"/>
      <c r="J8" s="14" t="n"/>
      <c r="K8" s="14" t="n"/>
    </row>
    <row r="9">
      <c r="A9">
        <f>IF(B9&lt;&gt;"","SEG-TEST-" &amp; TEXT(6,"00"),"")</f>
        <v/>
      </c>
      <c r="B9" s="14" t="n"/>
      <c r="C9" s="14" t="n"/>
      <c r="D9" s="14" t="n"/>
      <c r="E9" s="14" t="n"/>
      <c r="F9" s="14" t="n"/>
      <c r="G9" s="14" t="n"/>
      <c r="H9" s="14" t="n"/>
      <c r="I9" s="14" t="n"/>
      <c r="J9" s="14" t="n"/>
      <c r="K9" s="14" t="n"/>
    </row>
    <row r="10">
      <c r="A10">
        <f>IF(B10&lt;&gt;"","SEG-TEST-" &amp; TEXT(7,"00"),"")</f>
        <v/>
      </c>
      <c r="B10" s="14" t="n"/>
      <c r="C10" s="14" t="n"/>
      <c r="D10" s="14" t="n"/>
      <c r="E10" s="14" t="n"/>
      <c r="F10" s="14" t="n"/>
      <c r="G10" s="14" t="n"/>
      <c r="H10" s="14" t="n"/>
      <c r="I10" s="14" t="n"/>
      <c r="J10" s="14" t="n"/>
      <c r="K10" s="14" t="n"/>
    </row>
    <row r="11">
      <c r="A11">
        <f>IF(B11&lt;&gt;"","SEG-TEST-" &amp; TEXT(8,"00"),"")</f>
        <v/>
      </c>
      <c r="B11" s="14" t="n"/>
      <c r="C11" s="14" t="n"/>
      <c r="D11" s="14" t="n"/>
      <c r="E11" s="14" t="n"/>
      <c r="F11" s="14" t="n"/>
      <c r="G11" s="14" t="n"/>
      <c r="H11" s="14" t="n"/>
      <c r="I11" s="14" t="n"/>
      <c r="J11" s="14" t="n"/>
      <c r="K11" s="14" t="n"/>
    </row>
    <row r="12">
      <c r="A12">
        <f>IF(B12&lt;&gt;"","SEG-TEST-" &amp; TEXT(9,"00"),"")</f>
        <v/>
      </c>
      <c r="B12" s="14" t="n"/>
      <c r="C12" s="14" t="n"/>
      <c r="D12" s="14" t="n"/>
      <c r="E12" s="14" t="n"/>
      <c r="F12" s="14" t="n"/>
      <c r="G12" s="14" t="n"/>
      <c r="H12" s="14" t="n"/>
      <c r="I12" s="14" t="n"/>
      <c r="J12" s="14" t="n"/>
      <c r="K12" s="14" t="n"/>
    </row>
    <row r="13">
      <c r="A13">
        <f>IF(B13&lt;&gt;"","SEG-TEST-" &amp; TEXT(10,"00"),"")</f>
        <v/>
      </c>
      <c r="B13" s="14" t="n"/>
      <c r="C13" s="14" t="n"/>
      <c r="D13" s="14" t="n"/>
      <c r="E13" s="14" t="n"/>
      <c r="F13" s="14" t="n"/>
      <c r="G13" s="14" t="n"/>
      <c r="H13" s="14" t="n"/>
      <c r="I13" s="14" t="n"/>
      <c r="J13" s="14" t="n"/>
      <c r="K13" s="14" t="n"/>
    </row>
    <row r="14">
      <c r="A14">
        <f>IF(B14&lt;&gt;"","SEG-TEST-" &amp; TEXT(11,"00"),"")</f>
        <v/>
      </c>
      <c r="B14" s="14" t="n"/>
      <c r="C14" s="14" t="n"/>
      <c r="D14" s="14" t="n"/>
      <c r="E14" s="14" t="n"/>
      <c r="F14" s="14" t="n"/>
      <c r="G14" s="14" t="n"/>
      <c r="H14" s="14" t="n"/>
      <c r="I14" s="14" t="n"/>
      <c r="J14" s="14" t="n"/>
      <c r="K14" s="14" t="n"/>
    </row>
    <row r="15">
      <c r="A15">
        <f>IF(B15&lt;&gt;"","SEG-TEST-" &amp; TEXT(12,"00"),"")</f>
        <v/>
      </c>
      <c r="B15" s="14" t="n"/>
      <c r="C15" s="14" t="n"/>
      <c r="D15" s="14" t="n"/>
      <c r="E15" s="14" t="n"/>
      <c r="F15" s="14" t="n"/>
      <c r="G15" s="14" t="n"/>
      <c r="H15" s="14" t="n"/>
      <c r="I15" s="14" t="n"/>
      <c r="J15" s="14" t="n"/>
      <c r="K15" s="14" t="n"/>
    </row>
    <row r="16">
      <c r="A16">
        <f>IF(B16&lt;&gt;"","SEG-TEST-" &amp; TEXT(13,"00"),"")</f>
        <v/>
      </c>
      <c r="B16" s="14" t="n"/>
      <c r="C16" s="14" t="n"/>
      <c r="D16" s="14" t="n"/>
      <c r="E16" s="14" t="n"/>
      <c r="F16" s="14" t="n"/>
      <c r="G16" s="14" t="n"/>
      <c r="H16" s="14" t="n"/>
      <c r="I16" s="14" t="n"/>
      <c r="J16" s="14" t="n"/>
      <c r="K16" s="14" t="n"/>
    </row>
    <row r="17">
      <c r="A17">
        <f>IF(B17&lt;&gt;"","SEG-TEST-" &amp; TEXT(14,"00"),"")</f>
        <v/>
      </c>
      <c r="B17" s="14" t="n"/>
      <c r="C17" s="14" t="n"/>
      <c r="D17" s="14" t="n"/>
      <c r="E17" s="14" t="n"/>
      <c r="F17" s="14" t="n"/>
      <c r="G17" s="14" t="n"/>
      <c r="H17" s="14" t="n"/>
      <c r="I17" s="14" t="n"/>
      <c r="J17" s="14" t="n"/>
      <c r="K17" s="14" t="n"/>
    </row>
    <row r="18">
      <c r="A18">
        <f>IF(B18&lt;&gt;"","SEG-TEST-" &amp; TEXT(15,"00"),"")</f>
        <v/>
      </c>
      <c r="B18" s="14" t="n"/>
      <c r="C18" s="14" t="n"/>
      <c r="D18" s="14" t="n"/>
      <c r="E18" s="14" t="n"/>
      <c r="F18" s="14" t="n"/>
      <c r="G18" s="14" t="n"/>
      <c r="H18" s="14" t="n"/>
      <c r="I18" s="14" t="n"/>
      <c r="J18" s="14" t="n"/>
      <c r="K18" s="14" t="n"/>
    </row>
    <row r="19">
      <c r="A19">
        <f>IF(B19&lt;&gt;"","SEG-TEST-" &amp; TEXT(16,"00"),"")</f>
        <v/>
      </c>
      <c r="B19" s="14" t="n"/>
      <c r="C19" s="14" t="n"/>
      <c r="D19" s="14" t="n"/>
      <c r="E19" s="14" t="n"/>
      <c r="F19" s="14" t="n"/>
      <c r="G19" s="14" t="n"/>
      <c r="H19" s="14" t="n"/>
      <c r="I19" s="14" t="n"/>
      <c r="J19" s="14" t="n"/>
      <c r="K19" s="14" t="n"/>
    </row>
    <row r="20">
      <c r="A20">
        <f>IF(B20&lt;&gt;"","SEG-TEST-" &amp; TEXT(17,"00"),"")</f>
        <v/>
      </c>
      <c r="B20" s="14" t="n"/>
      <c r="C20" s="14" t="n"/>
      <c r="D20" s="14" t="n"/>
      <c r="E20" s="14" t="n"/>
      <c r="F20" s="14" t="n"/>
      <c r="G20" s="14" t="n"/>
      <c r="H20" s="14" t="n"/>
      <c r="I20" s="14" t="n"/>
      <c r="J20" s="14" t="n"/>
      <c r="K20" s="14" t="n"/>
    </row>
    <row r="21">
      <c r="A21">
        <f>IF(B21&lt;&gt;"","SEG-TEST-" &amp; TEXT(18,"00"),"")</f>
        <v/>
      </c>
      <c r="B21" s="14" t="n"/>
      <c r="C21" s="14" t="n"/>
      <c r="D21" s="14" t="n"/>
      <c r="E21" s="14" t="n"/>
      <c r="F21" s="14" t="n"/>
      <c r="G21" s="14" t="n"/>
      <c r="H21" s="14" t="n"/>
      <c r="I21" s="14" t="n"/>
      <c r="J21" s="14" t="n"/>
      <c r="K21" s="14" t="n"/>
    </row>
    <row r="22">
      <c r="A22">
        <f>IF(B22&lt;&gt;"","SEG-TEST-" &amp; TEXT(19,"00"),"")</f>
        <v/>
      </c>
      <c r="B22" s="14" t="n"/>
      <c r="C22" s="14" t="n"/>
      <c r="D22" s="14" t="n"/>
      <c r="E22" s="14" t="n"/>
      <c r="F22" s="14" t="n"/>
      <c r="G22" s="14" t="n"/>
      <c r="H22" s="14" t="n"/>
      <c r="I22" s="14" t="n"/>
      <c r="J22" s="14" t="n"/>
      <c r="K22" s="14" t="n"/>
    </row>
    <row r="23">
      <c r="A23">
        <f>IF(B23&lt;&gt;"","SEG-TEST-" &amp; TEXT(20,"00"),"")</f>
        <v/>
      </c>
      <c r="B23" s="14" t="n"/>
      <c r="C23" s="14" t="n"/>
      <c r="D23" s="14" t="n"/>
      <c r="E23" s="14" t="n"/>
      <c r="F23" s="14" t="n"/>
      <c r="G23" s="14" t="n"/>
      <c r="H23" s="14" t="n"/>
      <c r="I23" s="14" t="n"/>
      <c r="J23" s="14" t="n"/>
      <c r="K23" s="14" t="n"/>
    </row>
    <row r="24">
      <c r="A24">
        <f>IF(B24&lt;&gt;"","SEG-TEST-" &amp; TEXT(21,"00"),"")</f>
        <v/>
      </c>
      <c r="B24" s="14" t="n"/>
      <c r="C24" s="14" t="n"/>
      <c r="D24" s="14" t="n"/>
      <c r="E24" s="14" t="n"/>
      <c r="F24" s="14" t="n"/>
      <c r="G24" s="14" t="n"/>
      <c r="H24" s="14" t="n"/>
      <c r="I24" s="14" t="n"/>
      <c r="J24" s="14" t="n"/>
      <c r="K24" s="14" t="n"/>
    </row>
    <row r="25">
      <c r="A25">
        <f>IF(B25&lt;&gt;"","SEG-TEST-" &amp; TEXT(22,"00"),"")</f>
        <v/>
      </c>
      <c r="B25" s="14" t="n"/>
      <c r="C25" s="14" t="n"/>
      <c r="D25" s="14" t="n"/>
      <c r="E25" s="14" t="n"/>
      <c r="F25" s="14" t="n"/>
      <c r="G25" s="14" t="n"/>
      <c r="H25" s="14" t="n"/>
      <c r="I25" s="14" t="n"/>
      <c r="J25" s="14" t="n"/>
      <c r="K25" s="14" t="n"/>
    </row>
    <row r="26">
      <c r="A26">
        <f>IF(B26&lt;&gt;"","SEG-TEST-" &amp; TEXT(23,"00"),"")</f>
        <v/>
      </c>
      <c r="B26" s="14" t="n"/>
      <c r="C26" s="14" t="n"/>
      <c r="D26" s="14" t="n"/>
      <c r="E26" s="14" t="n"/>
      <c r="F26" s="14" t="n"/>
      <c r="G26" s="14" t="n"/>
      <c r="H26" s="14" t="n"/>
      <c r="I26" s="14" t="n"/>
      <c r="J26" s="14" t="n"/>
      <c r="K26" s="14" t="n"/>
    </row>
    <row r="27">
      <c r="A27">
        <f>IF(B27&lt;&gt;"","SEG-TEST-" &amp; TEXT(24,"00"),"")</f>
        <v/>
      </c>
      <c r="B27" s="14" t="n"/>
      <c r="C27" s="14" t="n"/>
      <c r="D27" s="14" t="n"/>
      <c r="E27" s="14" t="n"/>
      <c r="F27" s="14" t="n"/>
      <c r="G27" s="14" t="n"/>
      <c r="H27" s="14" t="n"/>
      <c r="I27" s="14" t="n"/>
      <c r="J27" s="14" t="n"/>
      <c r="K27" s="14" t="n"/>
    </row>
    <row r="28">
      <c r="A28">
        <f>IF(B28&lt;&gt;"","SEG-TEST-" &amp; TEXT(25,"00"),"")</f>
        <v/>
      </c>
      <c r="B28" s="14" t="n"/>
      <c r="C28" s="14" t="n"/>
      <c r="D28" s="14" t="n"/>
      <c r="E28" s="14" t="n"/>
      <c r="F28" s="14" t="n"/>
      <c r="G28" s="14" t="n"/>
      <c r="H28" s="14" t="n"/>
      <c r="I28" s="14" t="n"/>
      <c r="J28" s="14" t="n"/>
      <c r="K28" s="14" t="n"/>
    </row>
    <row r="29">
      <c r="A29">
        <f>IF(B29&lt;&gt;"","SEG-TEST-" &amp; TEXT(26,"00"),"")</f>
        <v/>
      </c>
      <c r="B29" s="14" t="n"/>
      <c r="C29" s="14" t="n"/>
      <c r="D29" s="14" t="n"/>
      <c r="E29" s="14" t="n"/>
      <c r="F29" s="14" t="n"/>
      <c r="G29" s="14" t="n"/>
      <c r="H29" s="14" t="n"/>
      <c r="I29" s="14" t="n"/>
      <c r="J29" s="14" t="n"/>
      <c r="K29" s="14" t="n"/>
    </row>
    <row r="30">
      <c r="A30">
        <f>IF(B30&lt;&gt;"","SEG-TEST-" &amp; TEXT(27,"00"),"")</f>
        <v/>
      </c>
      <c r="B30" s="14" t="n"/>
      <c r="C30" s="14" t="n"/>
      <c r="D30" s="14" t="n"/>
      <c r="E30" s="14" t="n"/>
      <c r="F30" s="14" t="n"/>
      <c r="G30" s="14" t="n"/>
      <c r="H30" s="14" t="n"/>
      <c r="I30" s="14" t="n"/>
      <c r="J30" s="14" t="n"/>
      <c r="K30" s="14" t="n"/>
    </row>
    <row r="31">
      <c r="A31">
        <f>IF(B31&lt;&gt;"","SEG-TEST-" &amp; TEXT(28,"00"),"")</f>
        <v/>
      </c>
      <c r="B31" s="14" t="n"/>
      <c r="C31" s="14" t="n"/>
      <c r="D31" s="14" t="n"/>
      <c r="E31" s="14" t="n"/>
      <c r="F31" s="14" t="n"/>
      <c r="G31" s="14" t="n"/>
      <c r="H31" s="14" t="n"/>
      <c r="I31" s="14" t="n"/>
      <c r="J31" s="14" t="n"/>
      <c r="K31" s="14" t="n"/>
    </row>
    <row r="32">
      <c r="A32">
        <f>IF(B32&lt;&gt;"","SEG-TEST-" &amp; TEXT(29,"00"),"")</f>
        <v/>
      </c>
      <c r="B32" s="14" t="n"/>
      <c r="C32" s="14" t="n"/>
      <c r="D32" s="14" t="n"/>
      <c r="E32" s="14" t="n"/>
      <c r="F32" s="14" t="n"/>
      <c r="G32" s="14" t="n"/>
      <c r="H32" s="14" t="n"/>
      <c r="I32" s="14" t="n"/>
      <c r="J32" s="14" t="n"/>
      <c r="K32" s="14" t="n"/>
    </row>
    <row r="33">
      <c r="A33">
        <f>IF(B33&lt;&gt;"","SEG-TEST-" &amp; TEXT(30,"00"),"")</f>
        <v/>
      </c>
      <c r="B33" s="14" t="n"/>
      <c r="C33" s="14" t="n"/>
      <c r="D33" s="14" t="n"/>
      <c r="E33" s="14" t="n"/>
      <c r="F33" s="14" t="n"/>
      <c r="G33" s="14" t="n"/>
      <c r="H33" s="14" t="n"/>
      <c r="I33" s="14" t="n"/>
      <c r="J33" s="14" t="n"/>
      <c r="K33" s="14" t="n"/>
    </row>
    <row r="35">
      <c r="A35" s="15" t="inlineStr">
        <is>
          <t>Segmentation Testing Methods (per IMP-S5)</t>
        </is>
      </c>
      <c r="B35" s="6" t="n"/>
      <c r="C35" s="6" t="n"/>
      <c r="D35" s="6" t="n"/>
      <c r="E35" s="6" t="n"/>
      <c r="F35" s="6" t="n"/>
      <c r="G35" s="6" t="n"/>
      <c r="H35" s="6" t="n"/>
      <c r="I35" s="6" t="n"/>
      <c r="J35" s="6" t="n"/>
      <c r="K35" s="6" t="n"/>
    </row>
    <row r="36">
      <c r="A36" s="13" t="inlineStr">
        <is>
          <t>Test Method</t>
        </is>
      </c>
      <c r="B36" s="13" t="inlineStr">
        <is>
          <t>Description</t>
        </is>
      </c>
    </row>
    <row r="37">
      <c r="A37" s="13" t="inlineStr">
        <is>
          <t>Ping Test</t>
        </is>
      </c>
      <c r="B37" s="12" t="inlineStr">
        <is>
          <t>Simple connectivity test - should fail if segmentation working</t>
        </is>
      </c>
    </row>
    <row r="38">
      <c r="A38" s="13" t="inlineStr">
        <is>
          <t>Traceroute</t>
        </is>
      </c>
      <c r="B38" s="12" t="inlineStr">
        <is>
          <t>Verify traffic path - should stop at firewall/router</t>
        </is>
      </c>
    </row>
    <row r="39">
      <c r="A39" s="13" t="inlineStr">
        <is>
          <t>Port Scan (nmap)</t>
        </is>
      </c>
      <c r="B39" s="12" t="inlineStr">
        <is>
          <t>Verify ports blocked between zones</t>
        </is>
      </c>
    </row>
    <row r="40">
      <c r="A40" s="13" t="inlineStr">
        <is>
          <t>HTTP/HTTPS Request</t>
        </is>
      </c>
      <c r="B40" s="12" t="inlineStr">
        <is>
          <t>Test application layer connectivity</t>
        </is>
      </c>
    </row>
    <row r="41">
      <c r="A41" s="13" t="inlineStr">
        <is>
          <t>Packet Capture</t>
        </is>
      </c>
      <c r="B41" s="12" t="inlineStr">
        <is>
          <t>Capture traffic to verify deny/drop behaviour</t>
        </is>
      </c>
    </row>
    <row r="42">
      <c r="A42" s="13" t="inlineStr">
        <is>
          <t>Lateral Movement Test</t>
        </is>
      </c>
      <c r="B42" s="12" t="inlineStr">
        <is>
          <t>Attempt to pivot from one zone to another (pentesting)</t>
        </is>
      </c>
    </row>
  </sheetData>
  <mergeCells count="9">
    <mergeCell ref="A35:K35"/>
    <mergeCell ref="B41:K41"/>
    <mergeCell ref="B40:K40"/>
    <mergeCell ref="A2:K2"/>
    <mergeCell ref="B39:K39"/>
    <mergeCell ref="B38:K38"/>
    <mergeCell ref="B42:K42"/>
    <mergeCell ref="A1:K1"/>
    <mergeCell ref="B37:K37"/>
  </mergeCells>
  <conditionalFormatting sqref="G4:G33">
    <cfRule type="cellIs" priority="1" operator="equal" dxfId="2">
      <formula>"Pass"</formula>
    </cfRule>
    <cfRule type="cellIs" priority="2" operator="equal" dxfId="3">
      <formula>"Fail"</formula>
    </cfRule>
  </conditionalFormatting>
  <dataValidations count="1">
    <dataValidation sqref="G5:G33" showDropDown="0" showInputMessage="0" showErrorMessage="0" allowBlank="0" type="list">
      <formula1>"Pass,Fail,Partial,Not 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40"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SEGMENTATION GAPS - REMEDIATION TRACKING</t>
        </is>
      </c>
    </row>
    <row r="2">
      <c r="A2" s="12" t="inlineStr">
        <is>
          <t>Document segmentation gaps: flat networks, excessive trust, missing controls, bypass routes.</t>
        </is>
      </c>
    </row>
    <row r="3">
      <c r="A3" s="13" t="inlineStr">
        <is>
          <t>Gap ID</t>
        </is>
      </c>
      <c r="B3" s="13" t="inlineStr">
        <is>
          <t>Gap Type</t>
        </is>
      </c>
      <c r="C3" s="13" t="inlineStr">
        <is>
          <t>Location/Zone</t>
        </is>
      </c>
      <c r="D3" s="13" t="inlineStr">
        <is>
          <t>Description</t>
        </is>
      </c>
      <c r="E3" s="13" t="inlineStr">
        <is>
          <t>Risk</t>
        </is>
      </c>
      <c r="F3" s="13" t="inlineStr">
        <is>
          <t>Severity</t>
        </is>
      </c>
      <c r="G3" s="13" t="inlineStr">
        <is>
          <t>Remediation Plan</t>
        </is>
      </c>
      <c r="H3" s="13" t="inlineStr">
        <is>
          <t>Owner</t>
        </is>
      </c>
      <c r="I3" s="13" t="inlineStr">
        <is>
          <t>Status</t>
        </is>
      </c>
      <c r="J3" s="13" t="inlineStr">
        <is>
          <t>Target Date</t>
        </is>
      </c>
    </row>
    <row r="4">
      <c r="A4" s="18" t="inlineStr">
        <is>
          <t>SEG-GAP-001</t>
        </is>
      </c>
      <c r="B4" s="18" t="inlineStr">
        <is>
          <t>Flat Network</t>
        </is>
      </c>
      <c r="C4" s="18" t="inlineStr">
        <is>
          <t>Server VLAN (10.10.2.0/24)</t>
        </is>
      </c>
      <c r="D4" s="18" t="inlineStr">
        <is>
          <t>No segmentation between application and database server tiers</t>
        </is>
      </c>
      <c r="E4" s="18" t="inlineStr">
        <is>
          <t>Lateral movement possible from app to database servers</t>
        </is>
      </c>
      <c r="F4" s="18" t="inlineStr">
        <is>
          <t>Critical</t>
        </is>
      </c>
      <c r="G4" s="18" t="inlineStr">
        <is>
          <t>Create dedicated database VLAN; permit only app→DB on port 1433 via firewall</t>
        </is>
      </c>
      <c r="H4" s="18" t="inlineStr">
        <is>
          <t>Network Architecture Team</t>
        </is>
      </c>
      <c r="I4" s="18" t="inlineStr">
        <is>
          <t>Open</t>
        </is>
      </c>
      <c r="J4" s="18" t="inlineStr">
        <is>
          <t>28.02.2026</t>
        </is>
      </c>
    </row>
    <row r="5">
      <c r="A5" s="19">
        <f>IF(B5&lt;&gt;"","SEG-GAP-" &amp; TEXT(2,"000"),"")</f>
        <v/>
      </c>
      <c r="B5" s="14" t="n"/>
      <c r="C5" s="14" t="n"/>
      <c r="D5" s="14" t="n"/>
      <c r="E5" s="14" t="n"/>
      <c r="F5" s="14" t="n"/>
      <c r="G5" s="14" t="n"/>
      <c r="H5" s="14" t="n"/>
      <c r="I5" s="14" t="n"/>
      <c r="J5" s="14" t="n"/>
    </row>
    <row r="6">
      <c r="A6" s="19">
        <f>IF(B6&lt;&gt;"","SEG-GAP-" &amp; TEXT(3,"000"),"")</f>
        <v/>
      </c>
      <c r="B6" s="14" t="n"/>
      <c r="C6" s="14" t="n"/>
      <c r="D6" s="14" t="n"/>
      <c r="E6" s="14" t="n"/>
      <c r="F6" s="14" t="n"/>
      <c r="G6" s="14" t="n"/>
      <c r="H6" s="14" t="n"/>
      <c r="I6" s="14" t="n"/>
      <c r="J6" s="14" t="n"/>
    </row>
    <row r="7">
      <c r="A7" s="19">
        <f>IF(B7&lt;&gt;"","SEG-GAP-" &amp; TEXT(4,"000"),"")</f>
        <v/>
      </c>
      <c r="B7" s="14" t="n"/>
      <c r="C7" s="14" t="n"/>
      <c r="D7" s="14" t="n"/>
      <c r="E7" s="14" t="n"/>
      <c r="F7" s="14" t="n"/>
      <c r="G7" s="14" t="n"/>
      <c r="H7" s="14" t="n"/>
      <c r="I7" s="14" t="n"/>
      <c r="J7" s="14" t="n"/>
    </row>
    <row r="8">
      <c r="A8" s="19">
        <f>IF(B8&lt;&gt;"","SEG-GAP-" &amp; TEXT(5,"000"),"")</f>
        <v/>
      </c>
      <c r="B8" s="14" t="n"/>
      <c r="C8" s="14" t="n"/>
      <c r="D8" s="14" t="n"/>
      <c r="E8" s="14" t="n"/>
      <c r="F8" s="14" t="n"/>
      <c r="G8" s="14" t="n"/>
      <c r="H8" s="14" t="n"/>
      <c r="I8" s="14" t="n"/>
      <c r="J8" s="14" t="n"/>
    </row>
    <row r="9">
      <c r="A9" s="19">
        <f>IF(B9&lt;&gt;"","SEG-GAP-" &amp; TEXT(6,"000"),"")</f>
        <v/>
      </c>
      <c r="B9" s="14" t="n"/>
      <c r="C9" s="14" t="n"/>
      <c r="D9" s="14" t="n"/>
      <c r="E9" s="14" t="n"/>
      <c r="F9" s="14" t="n"/>
      <c r="G9" s="14" t="n"/>
      <c r="H9" s="14" t="n"/>
      <c r="I9" s="14" t="n"/>
      <c r="J9" s="14" t="n"/>
    </row>
    <row r="10">
      <c r="A10" s="19">
        <f>IF(B10&lt;&gt;"","SEG-GAP-" &amp; TEXT(7,"000"),"")</f>
        <v/>
      </c>
      <c r="B10" s="14" t="n"/>
      <c r="C10" s="14" t="n"/>
      <c r="D10" s="14" t="n"/>
      <c r="E10" s="14" t="n"/>
      <c r="F10" s="14" t="n"/>
      <c r="G10" s="14" t="n"/>
      <c r="H10" s="14" t="n"/>
      <c r="I10" s="14" t="n"/>
      <c r="J10" s="14" t="n"/>
    </row>
    <row r="11">
      <c r="A11" s="19">
        <f>IF(B11&lt;&gt;"","SEG-GAP-" &amp; TEXT(8,"000"),"")</f>
        <v/>
      </c>
      <c r="B11" s="14" t="n"/>
      <c r="C11" s="14" t="n"/>
      <c r="D11" s="14" t="n"/>
      <c r="E11" s="14" t="n"/>
      <c r="F11" s="14" t="n"/>
      <c r="G11" s="14" t="n"/>
      <c r="H11" s="14" t="n"/>
      <c r="I11" s="14" t="n"/>
      <c r="J11" s="14" t="n"/>
    </row>
    <row r="12">
      <c r="A12" s="19">
        <f>IF(B12&lt;&gt;"","SEG-GAP-" &amp; TEXT(9,"000"),"")</f>
        <v/>
      </c>
      <c r="B12" s="14" t="n"/>
      <c r="C12" s="14" t="n"/>
      <c r="D12" s="14" t="n"/>
      <c r="E12" s="14" t="n"/>
      <c r="F12" s="14" t="n"/>
      <c r="G12" s="14" t="n"/>
      <c r="H12" s="14" t="n"/>
      <c r="I12" s="14" t="n"/>
      <c r="J12" s="14" t="n"/>
    </row>
    <row r="13">
      <c r="A13" s="19">
        <f>IF(B13&lt;&gt;"","SEG-GAP-" &amp; TEXT(10,"000"),"")</f>
        <v/>
      </c>
      <c r="B13" s="14" t="n"/>
      <c r="C13" s="14" t="n"/>
      <c r="D13" s="14" t="n"/>
      <c r="E13" s="14" t="n"/>
      <c r="F13" s="14" t="n"/>
      <c r="G13" s="14" t="n"/>
      <c r="H13" s="14" t="n"/>
      <c r="I13" s="14" t="n"/>
      <c r="J13" s="14" t="n"/>
    </row>
    <row r="14">
      <c r="A14" s="19">
        <f>IF(B14&lt;&gt;"","SEG-GAP-" &amp; TEXT(11,"000"),"")</f>
        <v/>
      </c>
      <c r="B14" s="14" t="n"/>
      <c r="C14" s="14" t="n"/>
      <c r="D14" s="14" t="n"/>
      <c r="E14" s="14" t="n"/>
      <c r="F14" s="14" t="n"/>
      <c r="G14" s="14" t="n"/>
      <c r="H14" s="14" t="n"/>
      <c r="I14" s="14" t="n"/>
      <c r="J14" s="14" t="n"/>
    </row>
    <row r="15">
      <c r="A15" s="19">
        <f>IF(B15&lt;&gt;"","SEG-GAP-" &amp; TEXT(12,"000"),"")</f>
        <v/>
      </c>
      <c r="B15" s="14" t="n"/>
      <c r="C15" s="14" t="n"/>
      <c r="D15" s="14" t="n"/>
      <c r="E15" s="14" t="n"/>
      <c r="F15" s="14" t="n"/>
      <c r="G15" s="14" t="n"/>
      <c r="H15" s="14" t="n"/>
      <c r="I15" s="14" t="n"/>
      <c r="J15" s="14" t="n"/>
    </row>
    <row r="16">
      <c r="A16" s="19">
        <f>IF(B16&lt;&gt;"","SEG-GAP-" &amp; TEXT(13,"000"),"")</f>
        <v/>
      </c>
      <c r="B16" s="14" t="n"/>
      <c r="C16" s="14" t="n"/>
      <c r="D16" s="14" t="n"/>
      <c r="E16" s="14" t="n"/>
      <c r="F16" s="14" t="n"/>
      <c r="G16" s="14" t="n"/>
      <c r="H16" s="14" t="n"/>
      <c r="I16" s="14" t="n"/>
      <c r="J16" s="14" t="n"/>
    </row>
    <row r="17">
      <c r="A17" s="19">
        <f>IF(B17&lt;&gt;"","SEG-GAP-" &amp; TEXT(14,"000"),"")</f>
        <v/>
      </c>
      <c r="B17" s="14" t="n"/>
      <c r="C17" s="14" t="n"/>
      <c r="D17" s="14" t="n"/>
      <c r="E17" s="14" t="n"/>
      <c r="F17" s="14" t="n"/>
      <c r="G17" s="14" t="n"/>
      <c r="H17" s="14" t="n"/>
      <c r="I17" s="14" t="n"/>
      <c r="J17" s="14" t="n"/>
    </row>
    <row r="18">
      <c r="A18" s="19">
        <f>IF(B18&lt;&gt;"","SEG-GAP-" &amp; TEXT(15,"000"),"")</f>
        <v/>
      </c>
      <c r="B18" s="14" t="n"/>
      <c r="C18" s="14" t="n"/>
      <c r="D18" s="14" t="n"/>
      <c r="E18" s="14" t="n"/>
      <c r="F18" s="14" t="n"/>
      <c r="G18" s="14" t="n"/>
      <c r="H18" s="14" t="n"/>
      <c r="I18" s="14" t="n"/>
      <c r="J18" s="14" t="n"/>
    </row>
    <row r="19">
      <c r="A19" s="19">
        <f>IF(B19&lt;&gt;"","SEG-GAP-" &amp; TEXT(16,"000"),"")</f>
        <v/>
      </c>
      <c r="B19" s="14" t="n"/>
      <c r="C19" s="14" t="n"/>
      <c r="D19" s="14" t="n"/>
      <c r="E19" s="14" t="n"/>
      <c r="F19" s="14" t="n"/>
      <c r="G19" s="14" t="n"/>
      <c r="H19" s="14" t="n"/>
      <c r="I19" s="14" t="n"/>
      <c r="J19" s="14" t="n"/>
    </row>
    <row r="20">
      <c r="A20" s="19">
        <f>IF(B20&lt;&gt;"","SEG-GAP-" &amp; TEXT(17,"000"),"")</f>
        <v/>
      </c>
      <c r="B20" s="14" t="n"/>
      <c r="C20" s="14" t="n"/>
      <c r="D20" s="14" t="n"/>
      <c r="E20" s="14" t="n"/>
      <c r="F20" s="14" t="n"/>
      <c r="G20" s="14" t="n"/>
      <c r="H20" s="14" t="n"/>
      <c r="I20" s="14" t="n"/>
      <c r="J20" s="14" t="n"/>
    </row>
    <row r="21">
      <c r="A21" s="19">
        <f>IF(B21&lt;&gt;"","SEG-GAP-" &amp; TEXT(18,"000"),"")</f>
        <v/>
      </c>
      <c r="B21" s="14" t="n"/>
      <c r="C21" s="14" t="n"/>
      <c r="D21" s="14" t="n"/>
      <c r="E21" s="14" t="n"/>
      <c r="F21" s="14" t="n"/>
      <c r="G21" s="14" t="n"/>
      <c r="H21" s="14" t="n"/>
      <c r="I21" s="14" t="n"/>
      <c r="J21" s="14" t="n"/>
    </row>
    <row r="22">
      <c r="A22" s="19">
        <f>IF(B22&lt;&gt;"","SEG-GAP-" &amp; TEXT(19,"000"),"")</f>
        <v/>
      </c>
      <c r="B22" s="14" t="n"/>
      <c r="C22" s="14" t="n"/>
      <c r="D22" s="14" t="n"/>
      <c r="E22" s="14" t="n"/>
      <c r="F22" s="14" t="n"/>
      <c r="G22" s="14" t="n"/>
      <c r="H22" s="14" t="n"/>
      <c r="I22" s="14" t="n"/>
      <c r="J22" s="14" t="n"/>
    </row>
    <row r="23">
      <c r="A23" s="19">
        <f>IF(B23&lt;&gt;"","SEG-GAP-" &amp; TEXT(20,"000"),"")</f>
        <v/>
      </c>
      <c r="B23" s="14" t="n"/>
      <c r="C23" s="14" t="n"/>
      <c r="D23" s="14" t="n"/>
      <c r="E23" s="14" t="n"/>
      <c r="F23" s="14" t="n"/>
      <c r="G23" s="14" t="n"/>
      <c r="H23" s="14" t="n"/>
      <c r="I23" s="14" t="n"/>
      <c r="J23" s="14" t="n"/>
    </row>
    <row r="24">
      <c r="A24" s="19">
        <f>IF(B24&lt;&gt;"","SEG-GAP-" &amp; TEXT(21,"000"),"")</f>
        <v/>
      </c>
      <c r="B24" s="14" t="n"/>
      <c r="C24" s="14" t="n"/>
      <c r="D24" s="14" t="n"/>
      <c r="E24" s="14" t="n"/>
      <c r="F24" s="14" t="n"/>
      <c r="G24" s="14" t="n"/>
      <c r="H24" s="14" t="n"/>
      <c r="I24" s="14" t="n"/>
      <c r="J24" s="14" t="n"/>
    </row>
    <row r="25">
      <c r="A25" s="19">
        <f>IF(B25&lt;&gt;"","SEG-GAP-" &amp; TEXT(22,"000"),"")</f>
        <v/>
      </c>
      <c r="B25" s="14" t="n"/>
      <c r="C25" s="14" t="n"/>
      <c r="D25" s="14" t="n"/>
      <c r="E25" s="14" t="n"/>
      <c r="F25" s="14" t="n"/>
      <c r="G25" s="14" t="n"/>
      <c r="H25" s="14" t="n"/>
      <c r="I25" s="14" t="n"/>
      <c r="J25" s="14" t="n"/>
    </row>
    <row r="26">
      <c r="A26" s="19">
        <f>IF(B26&lt;&gt;"","SEG-GAP-" &amp; TEXT(23,"000"),"")</f>
        <v/>
      </c>
      <c r="B26" s="14" t="n"/>
      <c r="C26" s="14" t="n"/>
      <c r="D26" s="14" t="n"/>
      <c r="E26" s="14" t="n"/>
      <c r="F26" s="14" t="n"/>
      <c r="G26" s="14" t="n"/>
      <c r="H26" s="14" t="n"/>
      <c r="I26" s="14" t="n"/>
      <c r="J26" s="14" t="n"/>
    </row>
    <row r="27">
      <c r="A27" s="19">
        <f>IF(B27&lt;&gt;"","SEG-GAP-" &amp; TEXT(24,"000"),"")</f>
        <v/>
      </c>
      <c r="B27" s="14" t="n"/>
      <c r="C27" s="14" t="n"/>
      <c r="D27" s="14" t="n"/>
      <c r="E27" s="14" t="n"/>
      <c r="F27" s="14" t="n"/>
      <c r="G27" s="14" t="n"/>
      <c r="H27" s="14" t="n"/>
      <c r="I27" s="14" t="n"/>
      <c r="J27" s="14" t="n"/>
    </row>
    <row r="28">
      <c r="A28" s="19">
        <f>IF(B28&lt;&gt;"","SEG-GAP-" &amp; TEXT(25,"000"),"")</f>
        <v/>
      </c>
      <c r="B28" s="14" t="n"/>
      <c r="C28" s="14" t="n"/>
      <c r="D28" s="14" t="n"/>
      <c r="E28" s="14" t="n"/>
      <c r="F28" s="14" t="n"/>
      <c r="G28" s="14" t="n"/>
      <c r="H28" s="14" t="n"/>
      <c r="I28" s="14" t="n"/>
      <c r="J28" s="14" t="n"/>
    </row>
    <row r="29">
      <c r="A29" s="19">
        <f>IF(B29&lt;&gt;"","SEG-GAP-" &amp; TEXT(26,"000"),"")</f>
        <v/>
      </c>
      <c r="B29" s="14" t="n"/>
      <c r="C29" s="14" t="n"/>
      <c r="D29" s="14" t="n"/>
      <c r="E29" s="14" t="n"/>
      <c r="F29" s="14" t="n"/>
      <c r="G29" s="14" t="n"/>
      <c r="H29" s="14" t="n"/>
      <c r="I29" s="14" t="n"/>
      <c r="J29" s="14" t="n"/>
    </row>
    <row r="30">
      <c r="A30" s="19">
        <f>IF(B30&lt;&gt;"","SEG-GAP-" &amp; TEXT(27,"000"),"")</f>
        <v/>
      </c>
      <c r="B30" s="14" t="n"/>
      <c r="C30" s="14" t="n"/>
      <c r="D30" s="14" t="n"/>
      <c r="E30" s="14" t="n"/>
      <c r="F30" s="14" t="n"/>
      <c r="G30" s="14" t="n"/>
      <c r="H30" s="14" t="n"/>
      <c r="I30" s="14" t="n"/>
      <c r="J30" s="14" t="n"/>
    </row>
    <row r="31">
      <c r="A31" s="19">
        <f>IF(B31&lt;&gt;"","SEG-GAP-" &amp; TEXT(28,"000"),"")</f>
        <v/>
      </c>
      <c r="B31" s="14" t="n"/>
      <c r="C31" s="14" t="n"/>
      <c r="D31" s="14" t="n"/>
      <c r="E31" s="14" t="n"/>
      <c r="F31" s="14" t="n"/>
      <c r="G31" s="14" t="n"/>
      <c r="H31" s="14" t="n"/>
      <c r="I31" s="14" t="n"/>
      <c r="J31" s="14" t="n"/>
    </row>
    <row r="32">
      <c r="A32" s="19">
        <f>IF(B32&lt;&gt;"","SEG-GAP-" &amp; TEXT(29,"000"),"")</f>
        <v/>
      </c>
      <c r="B32" s="14" t="n"/>
      <c r="C32" s="14" t="n"/>
      <c r="D32" s="14" t="n"/>
      <c r="E32" s="14" t="n"/>
      <c r="F32" s="14" t="n"/>
      <c r="G32" s="14" t="n"/>
      <c r="H32" s="14" t="n"/>
      <c r="I32" s="14" t="n"/>
      <c r="J32" s="14" t="n"/>
    </row>
    <row r="33">
      <c r="A33" s="19">
        <f>IF(B33&lt;&gt;"","SEG-GAP-" &amp; TEXT(30,"000"),"")</f>
        <v/>
      </c>
      <c r="B33" s="14" t="n"/>
      <c r="C33" s="14" t="n"/>
      <c r="D33" s="14" t="n"/>
      <c r="E33" s="14" t="n"/>
      <c r="F33" s="14" t="n"/>
      <c r="G33" s="14" t="n"/>
      <c r="H33" s="14" t="n"/>
      <c r="I33" s="14" t="n"/>
      <c r="J33" s="14" t="n"/>
    </row>
    <row r="34">
      <c r="A34" s="19">
        <f>IF(B34&lt;&gt;"","SEG-GAP-" &amp; TEXT(31,"000"),"")</f>
        <v/>
      </c>
      <c r="B34" s="14" t="n"/>
      <c r="C34" s="14" t="n"/>
      <c r="D34" s="14" t="n"/>
      <c r="E34" s="14" t="n"/>
      <c r="F34" s="14" t="n"/>
      <c r="G34" s="14" t="n"/>
      <c r="H34" s="14" t="n"/>
      <c r="I34" s="14" t="n"/>
      <c r="J34" s="14" t="n"/>
    </row>
    <row r="35">
      <c r="A35" s="19">
        <f>IF(B35&lt;&gt;"","SEG-GAP-" &amp; TEXT(32,"000"),"")</f>
        <v/>
      </c>
      <c r="B35" s="14" t="n"/>
      <c r="C35" s="14" t="n"/>
      <c r="D35" s="14" t="n"/>
      <c r="E35" s="14" t="n"/>
      <c r="F35" s="14" t="n"/>
      <c r="G35" s="14" t="n"/>
      <c r="H35" s="14" t="n"/>
      <c r="I35" s="14" t="n"/>
      <c r="J35" s="14" t="n"/>
    </row>
    <row r="36">
      <c r="A36" s="19">
        <f>IF(B36&lt;&gt;"","SEG-GAP-" &amp; TEXT(33,"000"),"")</f>
        <v/>
      </c>
      <c r="B36" s="14" t="n"/>
      <c r="C36" s="14" t="n"/>
      <c r="D36" s="14" t="n"/>
      <c r="E36" s="14" t="n"/>
      <c r="F36" s="14" t="n"/>
      <c r="G36" s="14" t="n"/>
      <c r="H36" s="14" t="n"/>
      <c r="I36" s="14" t="n"/>
      <c r="J36" s="14" t="n"/>
    </row>
    <row r="37">
      <c r="A37" s="19">
        <f>IF(B37&lt;&gt;"","SEG-GAP-" &amp; TEXT(34,"000"),"")</f>
        <v/>
      </c>
      <c r="B37" s="14" t="n"/>
      <c r="C37" s="14" t="n"/>
      <c r="D37" s="14" t="n"/>
      <c r="E37" s="14" t="n"/>
      <c r="F37" s="14" t="n"/>
      <c r="G37" s="14" t="n"/>
      <c r="H37" s="14" t="n"/>
      <c r="I37" s="14" t="n"/>
      <c r="J37" s="14" t="n"/>
    </row>
    <row r="38">
      <c r="A38" s="19">
        <f>IF(B38&lt;&gt;"","SEG-GAP-" &amp; TEXT(35,"000"),"")</f>
        <v/>
      </c>
      <c r="B38" s="14" t="n"/>
      <c r="C38" s="14" t="n"/>
      <c r="D38" s="14" t="n"/>
      <c r="E38" s="14" t="n"/>
      <c r="F38" s="14" t="n"/>
      <c r="G38" s="14" t="n"/>
      <c r="H38" s="14" t="n"/>
      <c r="I38" s="14" t="n"/>
      <c r="J38" s="14" t="n"/>
    </row>
    <row r="39">
      <c r="A39" s="19">
        <f>IF(B39&lt;&gt;"","SEG-GAP-" &amp; TEXT(36,"000"),"")</f>
        <v/>
      </c>
      <c r="B39" s="14" t="n"/>
      <c r="C39" s="14" t="n"/>
      <c r="D39" s="14" t="n"/>
      <c r="E39" s="14" t="n"/>
      <c r="F39" s="14" t="n"/>
      <c r="G39" s="14" t="n"/>
      <c r="H39" s="14" t="n"/>
      <c r="I39" s="14" t="n"/>
      <c r="J39" s="14" t="n"/>
    </row>
    <row r="40">
      <c r="A40" s="19">
        <f>IF(B40&lt;&gt;"","SEG-GAP-" &amp; TEXT(37,"000"),"")</f>
        <v/>
      </c>
      <c r="B40" s="14" t="n"/>
      <c r="C40" s="14" t="n"/>
      <c r="D40" s="14" t="n"/>
      <c r="E40" s="14" t="n"/>
      <c r="F40" s="14" t="n"/>
      <c r="G40" s="14" t="n"/>
      <c r="H40" s="14" t="n"/>
      <c r="I40" s="14" t="n"/>
      <c r="J40" s="14" t="n"/>
    </row>
    <row r="41">
      <c r="A41" s="19">
        <f>IF(B41&lt;&gt;"","SEG-GAP-" &amp; TEXT(38,"000"),"")</f>
        <v/>
      </c>
      <c r="B41" s="14" t="n"/>
      <c r="C41" s="14" t="n"/>
      <c r="D41" s="14" t="n"/>
      <c r="E41" s="14" t="n"/>
      <c r="F41" s="14" t="n"/>
      <c r="G41" s="14" t="n"/>
      <c r="H41" s="14" t="n"/>
      <c r="I41" s="14" t="n"/>
      <c r="J41" s="14" t="n"/>
    </row>
    <row r="42">
      <c r="A42" s="19">
        <f>IF(B42&lt;&gt;"","SEG-GAP-" &amp; TEXT(39,"000"),"")</f>
        <v/>
      </c>
      <c r="B42" s="14" t="n"/>
      <c r="C42" s="14" t="n"/>
      <c r="D42" s="14" t="n"/>
      <c r="E42" s="14" t="n"/>
      <c r="F42" s="14" t="n"/>
      <c r="G42" s="14" t="n"/>
      <c r="H42" s="14" t="n"/>
      <c r="I42" s="14" t="n"/>
      <c r="J42" s="14" t="n"/>
    </row>
    <row r="43">
      <c r="A43" s="19">
        <f>IF(B43&lt;&gt;"","SEG-GAP-" &amp; TEXT(40,"000"),"")</f>
        <v/>
      </c>
      <c r="B43" s="14" t="n"/>
      <c r="C43" s="14" t="n"/>
      <c r="D43" s="14" t="n"/>
      <c r="E43" s="14" t="n"/>
      <c r="F43" s="14" t="n"/>
      <c r="G43" s="14" t="n"/>
      <c r="H43" s="14" t="n"/>
      <c r="I43" s="14" t="n"/>
      <c r="J43" s="14" t="n"/>
    </row>
    <row r="44">
      <c r="A44" s="19">
        <f>IF(B44&lt;&gt;"","SEG-GAP-" &amp; TEXT(41,"000"),"")</f>
        <v/>
      </c>
      <c r="B44" s="14" t="n"/>
      <c r="C44" s="14" t="n"/>
      <c r="D44" s="14" t="n"/>
      <c r="E44" s="14" t="n"/>
      <c r="F44" s="14" t="n"/>
      <c r="G44" s="14" t="n"/>
      <c r="H44" s="14" t="n"/>
      <c r="I44" s="14" t="n"/>
      <c r="J44" s="14" t="n"/>
    </row>
    <row r="45">
      <c r="A45" s="19">
        <f>IF(B45&lt;&gt;"","SEG-GAP-" &amp; TEXT(42,"000"),"")</f>
        <v/>
      </c>
      <c r="B45" s="14" t="n"/>
      <c r="C45" s="14" t="n"/>
      <c r="D45" s="14" t="n"/>
      <c r="E45" s="14" t="n"/>
      <c r="F45" s="14" t="n"/>
      <c r="G45" s="14" t="n"/>
      <c r="H45" s="14" t="n"/>
      <c r="I45" s="14" t="n"/>
      <c r="J45" s="14" t="n"/>
    </row>
    <row r="46">
      <c r="A46" s="19">
        <f>IF(B46&lt;&gt;"","SEG-GAP-" &amp; TEXT(43,"000"),"")</f>
        <v/>
      </c>
      <c r="B46" s="14" t="n"/>
      <c r="C46" s="14" t="n"/>
      <c r="D46" s="14" t="n"/>
      <c r="E46" s="14" t="n"/>
      <c r="F46" s="14" t="n"/>
      <c r="G46" s="14" t="n"/>
      <c r="H46" s="14" t="n"/>
      <c r="I46" s="14" t="n"/>
      <c r="J46" s="14" t="n"/>
    </row>
    <row r="47">
      <c r="A47" s="19">
        <f>IF(B47&lt;&gt;"","SEG-GAP-" &amp; TEXT(44,"000"),"")</f>
        <v/>
      </c>
      <c r="B47" s="14" t="n"/>
      <c r="C47" s="14" t="n"/>
      <c r="D47" s="14" t="n"/>
      <c r="E47" s="14" t="n"/>
      <c r="F47" s="14" t="n"/>
      <c r="G47" s="14" t="n"/>
      <c r="H47" s="14" t="n"/>
      <c r="I47" s="14" t="n"/>
      <c r="J47" s="14" t="n"/>
    </row>
    <row r="48">
      <c r="A48" s="19">
        <f>IF(B48&lt;&gt;"","SEG-GAP-" &amp; TEXT(45,"000"),"")</f>
        <v/>
      </c>
      <c r="B48" s="14" t="n"/>
      <c r="C48" s="14" t="n"/>
      <c r="D48" s="14" t="n"/>
      <c r="E48" s="14" t="n"/>
      <c r="F48" s="14" t="n"/>
      <c r="G48" s="14" t="n"/>
      <c r="H48" s="14" t="n"/>
      <c r="I48" s="14" t="n"/>
      <c r="J48" s="14" t="n"/>
    </row>
    <row r="49">
      <c r="A49" s="19">
        <f>IF(B49&lt;&gt;"","SEG-GAP-" &amp; TEXT(46,"000"),"")</f>
        <v/>
      </c>
      <c r="B49" s="14" t="n"/>
      <c r="C49" s="14" t="n"/>
      <c r="D49" s="14" t="n"/>
      <c r="E49" s="14" t="n"/>
      <c r="F49" s="14" t="n"/>
      <c r="G49" s="14" t="n"/>
      <c r="H49" s="14" t="n"/>
      <c r="I49" s="14" t="n"/>
      <c r="J49" s="14" t="n"/>
    </row>
    <row r="50">
      <c r="A50" s="19">
        <f>IF(B50&lt;&gt;"","SEG-GAP-" &amp; TEXT(47,"000"),"")</f>
        <v/>
      </c>
      <c r="B50" s="14" t="n"/>
      <c r="C50" s="14" t="n"/>
      <c r="D50" s="14" t="n"/>
      <c r="E50" s="14" t="n"/>
      <c r="F50" s="14" t="n"/>
      <c r="G50" s="14" t="n"/>
      <c r="H50" s="14" t="n"/>
      <c r="I50" s="14" t="n"/>
      <c r="J50" s="14" t="n"/>
    </row>
    <row r="51">
      <c r="A51" s="19">
        <f>IF(B51&lt;&gt;"","SEG-GAP-" &amp; TEXT(48,"000"),"")</f>
        <v/>
      </c>
      <c r="B51" s="14" t="n"/>
      <c r="C51" s="14" t="n"/>
      <c r="D51" s="14" t="n"/>
      <c r="E51" s="14" t="n"/>
      <c r="F51" s="14" t="n"/>
      <c r="G51" s="14" t="n"/>
      <c r="H51" s="14" t="n"/>
      <c r="I51" s="14" t="n"/>
      <c r="J51" s="14" t="n"/>
    </row>
    <row r="52">
      <c r="A52" s="19">
        <f>IF(B52&lt;&gt;"","SEG-GAP-" &amp; TEXT(49,"000"),"")</f>
        <v/>
      </c>
      <c r="B52" s="14" t="n"/>
      <c r="C52" s="14" t="n"/>
      <c r="D52" s="14" t="n"/>
      <c r="E52" s="14" t="n"/>
      <c r="F52" s="14" t="n"/>
      <c r="G52" s="14" t="n"/>
      <c r="H52" s="14" t="n"/>
      <c r="I52" s="14" t="n"/>
      <c r="J52" s="14" t="n"/>
    </row>
    <row r="53">
      <c r="A53" s="19">
        <f>IF(B53&lt;&gt;"","SEG-GAP-" &amp; TEXT(50,"000"),"")</f>
        <v/>
      </c>
      <c r="B53" s="14" t="n"/>
      <c r="C53" s="14" t="n"/>
      <c r="D53" s="14" t="n"/>
      <c r="E53" s="14" t="n"/>
      <c r="F53" s="14" t="n"/>
      <c r="G53" s="14" t="n"/>
      <c r="H53" s="14" t="n"/>
      <c r="I53" s="14" t="n"/>
      <c r="J53" s="14" t="n"/>
    </row>
    <row r="55">
      <c r="A55" s="15" t="inlineStr">
        <is>
          <t>Common Segmentation Gaps</t>
        </is>
      </c>
      <c r="B55" s="6" t="n"/>
      <c r="C55" s="6" t="n"/>
      <c r="D55" s="6" t="n"/>
      <c r="E55" s="6" t="n"/>
      <c r="F55" s="6" t="n"/>
      <c r="G55" s="6" t="n"/>
      <c r="H55" s="6" t="n"/>
      <c r="I55" s="6" t="n"/>
      <c r="J55" s="6" t="n"/>
    </row>
    <row r="56">
      <c r="A56" s="12" t="inlineStr">
        <is>
          <t>Flat Network: No segmentation; all devices in same broadcast domain (Critical)</t>
        </is>
      </c>
    </row>
    <row r="57">
      <c r="A57" s="12" t="inlineStr">
        <is>
          <t>Excessive Trust: Guest/DMZ can access internal resources (High)</t>
        </is>
      </c>
    </row>
    <row r="58">
      <c r="A58" s="12" t="inlineStr">
        <is>
          <t>Missing Firewall Rules: Zones defined but not enforced by firewall (High)</t>
        </is>
      </c>
    </row>
    <row r="59">
      <c r="A59" s="12" t="inlineStr">
        <is>
          <t>Overly Permissive Rules: 'any any any' rules bypass segmentation (Medium)</t>
        </is>
      </c>
    </row>
    <row r="60">
      <c r="A60" s="12" t="inlineStr">
        <is>
          <t>VLAN Hopping Risk: Native VLAN 1, DTP enabled (Medium)</t>
        </is>
      </c>
    </row>
    <row r="61">
      <c r="A61" s="12" t="inlineStr">
        <is>
          <t>Bypass Routes: Alternative paths circumvent segmentation (Critical)</t>
        </is>
      </c>
    </row>
    <row r="62">
      <c r="A62" s="12" t="inlineStr">
        <is>
          <t>Outdated Rules: Firewall rules not reviewed, unused rules accumulate (Low)</t>
        </is>
      </c>
    </row>
  </sheetData>
  <mergeCells count="10">
    <mergeCell ref="A1:J1"/>
    <mergeCell ref="A61:J61"/>
    <mergeCell ref="A58:J58"/>
    <mergeCell ref="A56:J56"/>
    <mergeCell ref="A62:J62"/>
    <mergeCell ref="A55:J55"/>
    <mergeCell ref="A59:J59"/>
    <mergeCell ref="A57:J57"/>
    <mergeCell ref="A2:J2"/>
    <mergeCell ref="A60:J60"/>
  </mergeCells>
  <conditionalFormatting sqref="F4:F53">
    <cfRule type="cellIs" priority="1" operator="equal" dxfId="4">
      <formula>"Critical"</formula>
    </cfRule>
    <cfRule type="cellIs" priority="2" operator="equal" dxfId="5">
      <formula>"High"</formula>
    </cfRule>
    <cfRule type="cellIs" priority="3" operator="equal" dxfId="6">
      <formula>"Medium"</formula>
    </cfRule>
    <cfRule type="cellIs" priority="4" operator="equal" dxfId="2">
      <formula>"Low"</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5" customWidth="1" min="4" max="4"/>
    <col width="40" customWidth="1" min="5" max="5"/>
    <col width="20" customWidth="1" min="6" max="6"/>
    <col width="12" customWidth="1" min="7" max="7"/>
    <col width="15" customWidth="1" min="8" max="8"/>
  </cols>
  <sheetData>
    <row r="1" ht="35" customHeight="1">
      <c r="A1" s="11" t="inlineStr">
        <is>
          <t>SEGMENTATION REMEDIATION ROADMAP</t>
        </is>
      </c>
    </row>
    <row r="2">
      <c r="A2" s="12" t="inlineStr">
        <is>
          <t>Prioritised plan for segmentation improvements. Focus on Critical gaps first.</t>
        </is>
      </c>
    </row>
    <row r="3">
      <c r="A3" s="13" t="inlineStr">
        <is>
          <t>Priority</t>
        </is>
      </c>
      <c r="B3" s="13" t="inlineStr">
        <is>
          <t>Severity</t>
        </is>
      </c>
      <c r="C3" s="13" t="inlineStr">
        <is>
          <t>Improvement</t>
        </is>
      </c>
      <c r="D3" s="13" t="inlineStr">
        <is>
          <t>Affected Zones</t>
        </is>
      </c>
      <c r="E3" s="13" t="inlineStr">
        <is>
          <t>Remediation Action</t>
        </is>
      </c>
      <c r="F3" s="13" t="inlineStr">
        <is>
          <t>Owner</t>
        </is>
      </c>
      <c r="G3" s="13" t="inlineStr">
        <is>
          <t>Target Date</t>
        </is>
      </c>
      <c r="H3" s="13" t="inlineStr">
        <is>
          <t>Status</t>
        </is>
      </c>
    </row>
    <row r="4">
      <c r="A4" t="n">
        <v>1</v>
      </c>
      <c r="B4" s="14" t="n"/>
      <c r="C4" s="14" t="n"/>
      <c r="D4" s="14" t="n"/>
      <c r="E4" s="14" t="n"/>
      <c r="F4" s="14" t="n"/>
      <c r="G4" s="14" t="n"/>
      <c r="H4" s="14" t="n"/>
    </row>
    <row r="5">
      <c r="A5" t="n">
        <v>2</v>
      </c>
      <c r="B5" s="14" t="n"/>
      <c r="C5" s="14" t="n"/>
      <c r="D5" s="14" t="n"/>
      <c r="E5" s="14" t="n"/>
      <c r="F5" s="14" t="n"/>
      <c r="G5" s="14" t="n"/>
      <c r="H5" s="14" t="n"/>
    </row>
    <row r="6">
      <c r="A6" t="n">
        <v>3</v>
      </c>
      <c r="B6" s="14" t="n"/>
      <c r="C6" s="14" t="n"/>
      <c r="D6" s="14" t="n"/>
      <c r="E6" s="14" t="n"/>
      <c r="F6" s="14" t="n"/>
      <c r="G6" s="14" t="n"/>
      <c r="H6" s="14" t="n"/>
    </row>
    <row r="7">
      <c r="A7" t="n">
        <v>4</v>
      </c>
      <c r="B7" s="14" t="n"/>
      <c r="C7" s="14" t="n"/>
      <c r="D7" s="14" t="n"/>
      <c r="E7" s="14" t="n"/>
      <c r="F7" s="14" t="n"/>
      <c r="G7" s="14" t="n"/>
      <c r="H7" s="14" t="n"/>
    </row>
    <row r="8">
      <c r="A8" t="n">
        <v>5</v>
      </c>
      <c r="B8" s="14" t="n"/>
      <c r="C8" s="14" t="n"/>
      <c r="D8" s="14" t="n"/>
      <c r="E8" s="14" t="n"/>
      <c r="F8" s="14" t="n"/>
      <c r="G8" s="14" t="n"/>
      <c r="H8" s="14" t="n"/>
    </row>
    <row r="9">
      <c r="A9" t="n">
        <v>6</v>
      </c>
      <c r="B9" s="14" t="n"/>
      <c r="C9" s="14" t="n"/>
      <c r="D9" s="14" t="n"/>
      <c r="E9" s="14" t="n"/>
      <c r="F9" s="14" t="n"/>
      <c r="G9" s="14" t="n"/>
      <c r="H9" s="14" t="n"/>
    </row>
    <row r="10">
      <c r="A10" t="n">
        <v>7</v>
      </c>
      <c r="B10" s="14" t="n"/>
      <c r="C10" s="14" t="n"/>
      <c r="D10" s="14" t="n"/>
      <c r="E10" s="14" t="n"/>
      <c r="F10" s="14" t="n"/>
      <c r="G10" s="14" t="n"/>
      <c r="H10" s="14" t="n"/>
    </row>
    <row r="11">
      <c r="A11" t="n">
        <v>8</v>
      </c>
      <c r="B11" s="14" t="n"/>
      <c r="C11" s="14" t="n"/>
      <c r="D11" s="14" t="n"/>
      <c r="E11" s="14" t="n"/>
      <c r="F11" s="14" t="n"/>
      <c r="G11" s="14" t="n"/>
      <c r="H11" s="14" t="n"/>
    </row>
    <row r="12">
      <c r="A12" t="n">
        <v>9</v>
      </c>
      <c r="B12" s="14" t="n"/>
      <c r="C12" s="14" t="n"/>
      <c r="D12" s="14" t="n"/>
      <c r="E12" s="14" t="n"/>
      <c r="F12" s="14" t="n"/>
      <c r="G12" s="14" t="n"/>
      <c r="H12" s="14" t="n"/>
    </row>
    <row r="13">
      <c r="A13" t="n">
        <v>10</v>
      </c>
      <c r="B13" s="14" t="n"/>
      <c r="C13" s="14" t="n"/>
      <c r="D13" s="14" t="n"/>
      <c r="E13" s="14" t="n"/>
      <c r="F13" s="14" t="n"/>
      <c r="G13" s="14" t="n"/>
      <c r="H13" s="14" t="n"/>
    </row>
    <row r="14">
      <c r="A14" t="n">
        <v>11</v>
      </c>
      <c r="B14" s="14" t="n"/>
      <c r="C14" s="14" t="n"/>
      <c r="D14" s="14" t="n"/>
      <c r="E14" s="14" t="n"/>
      <c r="F14" s="14" t="n"/>
      <c r="G14" s="14" t="n"/>
      <c r="H14" s="14" t="n"/>
    </row>
    <row r="15">
      <c r="A15" t="n">
        <v>12</v>
      </c>
      <c r="B15" s="14" t="n"/>
      <c r="C15" s="14" t="n"/>
      <c r="D15" s="14" t="n"/>
      <c r="E15" s="14" t="n"/>
      <c r="F15" s="14" t="n"/>
      <c r="G15" s="14" t="n"/>
      <c r="H15" s="14" t="n"/>
    </row>
    <row r="16">
      <c r="A16" t="n">
        <v>13</v>
      </c>
      <c r="B16" s="14" t="n"/>
      <c r="C16" s="14" t="n"/>
      <c r="D16" s="14" t="n"/>
      <c r="E16" s="14" t="n"/>
      <c r="F16" s="14" t="n"/>
      <c r="G16" s="14" t="n"/>
      <c r="H16" s="14" t="n"/>
    </row>
    <row r="17">
      <c r="A17" t="n">
        <v>14</v>
      </c>
      <c r="B17" s="14" t="n"/>
      <c r="C17" s="14" t="n"/>
      <c r="D17" s="14" t="n"/>
      <c r="E17" s="14" t="n"/>
      <c r="F17" s="14" t="n"/>
      <c r="G17" s="14" t="n"/>
      <c r="H17" s="14" t="n"/>
    </row>
    <row r="18">
      <c r="A18" t="n">
        <v>15</v>
      </c>
      <c r="B18" s="14" t="n"/>
      <c r="C18" s="14" t="n"/>
      <c r="D18" s="14" t="n"/>
      <c r="E18" s="14" t="n"/>
      <c r="F18" s="14" t="n"/>
      <c r="G18" s="14" t="n"/>
      <c r="H18" s="14" t="n"/>
    </row>
    <row r="19">
      <c r="A19" t="n">
        <v>16</v>
      </c>
      <c r="B19" s="14" t="n"/>
      <c r="C19" s="14" t="n"/>
      <c r="D19" s="14" t="n"/>
      <c r="E19" s="14" t="n"/>
      <c r="F19" s="14" t="n"/>
      <c r="G19" s="14" t="n"/>
      <c r="H19" s="14" t="n"/>
    </row>
    <row r="20">
      <c r="A20" t="n">
        <v>17</v>
      </c>
      <c r="B20" s="14" t="n"/>
      <c r="C20" s="14" t="n"/>
      <c r="D20" s="14" t="n"/>
      <c r="E20" s="14" t="n"/>
      <c r="F20" s="14" t="n"/>
      <c r="G20" s="14" t="n"/>
      <c r="H20" s="14" t="n"/>
    </row>
    <row r="21">
      <c r="A21" t="n">
        <v>18</v>
      </c>
      <c r="B21" s="14" t="n"/>
      <c r="C21" s="14" t="n"/>
      <c r="D21" s="14" t="n"/>
      <c r="E21" s="14" t="n"/>
      <c r="F21" s="14" t="n"/>
      <c r="G21" s="14" t="n"/>
      <c r="H21" s="14" t="n"/>
    </row>
    <row r="22">
      <c r="A22" t="n">
        <v>19</v>
      </c>
      <c r="B22" s="14" t="n"/>
      <c r="C22" s="14" t="n"/>
      <c r="D22" s="14" t="n"/>
      <c r="E22" s="14" t="n"/>
      <c r="F22" s="14" t="n"/>
      <c r="G22" s="14" t="n"/>
      <c r="H22" s="14" t="n"/>
    </row>
    <row r="23">
      <c r="A23" t="n">
        <v>20</v>
      </c>
      <c r="B23" s="14" t="n"/>
      <c r="C23" s="14" t="n"/>
      <c r="D23" s="14" t="n"/>
      <c r="E23" s="14" t="n"/>
      <c r="F23" s="14" t="n"/>
      <c r="G23" s="14" t="n"/>
      <c r="H23" s="14" t="n"/>
    </row>
    <row r="24">
      <c r="A24" t="n">
        <v>21</v>
      </c>
      <c r="B24" s="14" t="n"/>
      <c r="C24" s="14" t="n"/>
      <c r="D24" s="14" t="n"/>
      <c r="E24" s="14" t="n"/>
      <c r="F24" s="14" t="n"/>
      <c r="G24" s="14" t="n"/>
      <c r="H24" s="14" t="n"/>
    </row>
    <row r="25">
      <c r="A25" t="n">
        <v>22</v>
      </c>
      <c r="B25" s="14" t="n"/>
      <c r="C25" s="14" t="n"/>
      <c r="D25" s="14" t="n"/>
      <c r="E25" s="14" t="n"/>
      <c r="F25" s="14" t="n"/>
      <c r="G25" s="14" t="n"/>
      <c r="H25" s="14" t="n"/>
    </row>
    <row r="26">
      <c r="A26" t="n">
        <v>23</v>
      </c>
      <c r="B26" s="14" t="n"/>
      <c r="C26" s="14" t="n"/>
      <c r="D26" s="14" t="n"/>
      <c r="E26" s="14" t="n"/>
      <c r="F26" s="14" t="n"/>
      <c r="G26" s="14" t="n"/>
      <c r="H26" s="14" t="n"/>
    </row>
    <row r="27">
      <c r="A27" t="n">
        <v>24</v>
      </c>
      <c r="B27" s="14" t="n"/>
      <c r="C27" s="14" t="n"/>
      <c r="D27" s="14" t="n"/>
      <c r="E27" s="14" t="n"/>
      <c r="F27" s="14" t="n"/>
      <c r="G27" s="14" t="n"/>
      <c r="H27" s="14" t="n"/>
    </row>
    <row r="28">
      <c r="A28" t="n">
        <v>25</v>
      </c>
      <c r="B28" s="14" t="n"/>
      <c r="C28" s="14" t="n"/>
      <c r="D28" s="14" t="n"/>
      <c r="E28" s="14" t="n"/>
      <c r="F28" s="14" t="n"/>
      <c r="G28" s="14" t="n"/>
      <c r="H28" s="14" t="n"/>
    </row>
    <row r="29">
      <c r="A29" t="n">
        <v>26</v>
      </c>
      <c r="B29" s="14" t="n"/>
      <c r="C29" s="14" t="n"/>
      <c r="D29" s="14" t="n"/>
      <c r="E29" s="14" t="n"/>
      <c r="F29" s="14" t="n"/>
      <c r="G29" s="14" t="n"/>
      <c r="H29" s="14" t="n"/>
    </row>
    <row r="30">
      <c r="A30" t="n">
        <v>27</v>
      </c>
      <c r="B30" s="14" t="n"/>
      <c r="C30" s="14" t="n"/>
      <c r="D30" s="14" t="n"/>
      <c r="E30" s="14" t="n"/>
      <c r="F30" s="14" t="n"/>
      <c r="G30" s="14" t="n"/>
      <c r="H30" s="14" t="n"/>
    </row>
    <row r="31">
      <c r="A31" t="n">
        <v>28</v>
      </c>
      <c r="B31" s="14" t="n"/>
      <c r="C31" s="14" t="n"/>
      <c r="D31" s="14" t="n"/>
      <c r="E31" s="14" t="n"/>
      <c r="F31" s="14" t="n"/>
      <c r="G31" s="14" t="n"/>
      <c r="H31" s="14" t="n"/>
    </row>
    <row r="32">
      <c r="A32" t="n">
        <v>29</v>
      </c>
      <c r="B32" s="14" t="n"/>
      <c r="C32" s="14" t="n"/>
      <c r="D32" s="14" t="n"/>
      <c r="E32" s="14" t="n"/>
      <c r="F32" s="14" t="n"/>
      <c r="G32" s="14" t="n"/>
      <c r="H32" s="14" t="n"/>
    </row>
    <row r="33">
      <c r="A33" t="n">
        <v>30</v>
      </c>
      <c r="B33" s="14" t="n"/>
      <c r="C33" s="14" t="n"/>
      <c r="D33" s="14" t="n"/>
      <c r="E33" s="14" t="n"/>
      <c r="F33" s="14" t="n"/>
      <c r="G33" s="14" t="n"/>
      <c r="H33" s="14" t="n"/>
    </row>
    <row r="35">
      <c r="A35" s="15" t="inlineStr">
        <is>
          <t>Segmentation Remediation Approach</t>
        </is>
      </c>
      <c r="B35" s="6" t="n"/>
      <c r="C35" s="6" t="n"/>
      <c r="D35" s="6" t="n"/>
      <c r="E35" s="6" t="n"/>
      <c r="F35" s="6" t="n"/>
      <c r="G35" s="6" t="n"/>
      <c r="H35" s="6" t="n"/>
    </row>
    <row r="36">
      <c r="A36" s="12" t="inlineStr">
        <is>
          <t>1. CRITICAL FIRST: Address Critical gaps immediately (flat networks, bypass routes)</t>
        </is>
      </c>
    </row>
    <row r="37">
      <c r="A37" s="12" t="inlineStr">
        <is>
          <t>2. QUICK WINS: Implement easy improvements (VLAN assignment, ACL updates)</t>
        </is>
      </c>
    </row>
    <row r="38">
      <c r="A38" s="12" t="inlineStr">
        <is>
          <t>3. FIREWALL RULES: Review and tighten firewall rules between zones</t>
        </is>
      </c>
    </row>
    <row r="39">
      <c r="A39" s="12" t="inlineStr">
        <is>
          <t>4. TESTING: Re-test after each change to verify effectiveness</t>
        </is>
      </c>
    </row>
    <row r="40">
      <c r="A40" s="12" t="inlineStr">
        <is>
          <t>5. DOCUMENTATION: Update network documentation (topology, VLAN database)</t>
        </is>
      </c>
    </row>
    <row r="41">
      <c r="A41" s="12" t="inlineStr">
        <is>
          <t>6. MONITORING: Enable logging and alerting for inter-zone traffic</t>
        </is>
      </c>
    </row>
  </sheetData>
  <mergeCells count="9">
    <mergeCell ref="A39:H39"/>
    <mergeCell ref="A35:H35"/>
    <mergeCell ref="A38:H38"/>
    <mergeCell ref="A2:H2"/>
    <mergeCell ref="A41:H41"/>
    <mergeCell ref="A36:H36"/>
    <mergeCell ref="A1:H1"/>
    <mergeCell ref="A37:H37"/>
    <mergeCell ref="A40:H40"/>
  </mergeCells>
  <conditionalFormatting sqref="B4:B33">
    <cfRule type="cellIs" priority="1" operator="equal" dxfId="4">
      <formula>"Critical"</formula>
    </cfRule>
    <cfRule type="cellIs" priority="2" operator="equal" dxfId="5">
      <formula>"High"</formula>
    </cfRule>
    <cfRule type="cellIs" priority="3" operator="equal" dxfId="6">
      <formula>"Medium"</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Network Segmentation Assessment</t>
        </is>
      </c>
      <c r="C5" s="24" t="inlineStr">
        <is>
          <t>Screenshot</t>
        </is>
      </c>
      <c r="D5" s="24" t="inlineStr">
        <is>
          <t>Network segmentation test results and firewall rule review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SEGMENTATION MATRIX &amp; ASSESSMENT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Segmentation Testing</t>
        </is>
      </c>
      <c r="B6" s="32">
        <f>COUNTA('Segmentation Testing'!B5:B33)</f>
        <v/>
      </c>
      <c r="C6" s="32">
        <f>COUNTIF('Segmentation Testing'!G5:G33,"Pass")</f>
        <v/>
      </c>
      <c r="D6" s="32">
        <f>COUNTIF('Segmentation Testing'!G5:G33,"Partial")</f>
        <v/>
      </c>
      <c r="E6" s="32">
        <f>COUNTIF('Segmentation Testing'!G5:G33,"Fail")</f>
        <v/>
      </c>
      <c r="F6" s="32">
        <f>B6-(C6+D6+E6)</f>
        <v/>
      </c>
      <c r="G6" s="32">
        <f>IF((B6-F6)=0,"0%",ROUND(C6/(B6-F6)*100,1)&amp;"%")</f>
        <v/>
      </c>
    </row>
    <row r="7">
      <c r="A7" s="31" t="inlineStr">
        <is>
          <t>Firewall Rules Assessment</t>
        </is>
      </c>
      <c r="B7" s="32">
        <f>COUNTA('Firewall Rules Assessment'!B5:B103)</f>
        <v/>
      </c>
      <c r="C7" s="32">
        <f>COUNTIF('Firewall Rules Assessment'!J5:J103,"Current")</f>
        <v/>
      </c>
      <c r="D7" s="32">
        <f>COUNTIF('Firewall Rules Assessment'!J5:J103,"Requires Review")</f>
        <v/>
      </c>
      <c r="E7" s="32">
        <f>COUNTIF('Firewall Rules Assessment'!J5:J103,"Outdated")+COUNTIF('Firewall Rules Assessment'!J5:J103,"Unused")</f>
        <v/>
      </c>
      <c r="F7" s="32">
        <f>B7-(C7+D7+E7)</f>
        <v/>
      </c>
      <c r="G7" s="32">
        <f>IF((B7-F7)=0,"0%",ROUND(C7/(B7-F7)*100,1)&amp;"%")</f>
        <v/>
      </c>
    </row>
    <row r="8">
      <c r="A8" s="31" t="inlineStr">
        <is>
          <t>Gap Analysis</t>
        </is>
      </c>
      <c r="B8" s="32">
        <f>COUNTA('Gap Analysis'!B5:B53)</f>
        <v/>
      </c>
      <c r="C8" s="32">
        <f>COUNTIF('Gap Analysis'!I5:I53,"Resolved")</f>
        <v/>
      </c>
      <c r="D8" s="32">
        <f>COUNTIF('Gap Analysis'!I5:I53,"In Progress")</f>
        <v/>
      </c>
      <c r="E8" s="32">
        <f>COUNTIF('Gap Analysis'!I5:I53,"Open")</f>
        <v/>
      </c>
      <c r="F8" s="32">
        <f>B8-(C8+D8+E8)</f>
        <v/>
      </c>
      <c r="G8" s="32">
        <f>IF((B8-F8)=0,"0%",ROUND(C8/(B8-F8)*100,1)&amp;"%")</f>
        <v/>
      </c>
    </row>
    <row r="9">
      <c r="A9" s="33" t="inlineStr">
        <is>
          <t>TOTAL</t>
        </is>
      </c>
      <c r="B9" s="30">
        <f>SUM(B6:B8)</f>
        <v/>
      </c>
      <c r="C9" s="30">
        <f>SUM(C6:C8)</f>
        <v/>
      </c>
      <c r="D9" s="30">
        <f>SUM(D6:D8)</f>
        <v/>
      </c>
      <c r="E9" s="30">
        <f>SUM(E6:E8)</f>
        <v/>
      </c>
      <c r="F9" s="30">
        <f>SUM(F6:F8)</f>
        <v/>
      </c>
      <c r="G9" s="30">
        <f>IF((B9-F9)=0,"0%",ROUND(C9/(B9-F9)*100,1)&amp;"%")</f>
        <v/>
      </c>
    </row>
    <row r="11">
      <c r="A11" s="29" t="inlineStr">
        <is>
          <t>TABLE 2: KEY METRICS</t>
        </is>
      </c>
    </row>
    <row r="12">
      <c r="A12" s="33" t="inlineStr">
        <is>
          <t>Metric</t>
        </is>
      </c>
      <c r="B12" s="30" t="inlineStr">
        <is>
          <t>Value</t>
        </is>
      </c>
      <c r="C12" s="33" t="inlineStr">
        <is>
          <t>What This Shows</t>
        </is>
      </c>
    </row>
    <row r="13">
      <c r="A13" s="31" t="inlineStr">
        <is>
          <t>Failed Segmentation Tests</t>
        </is>
      </c>
      <c r="B13" s="32">
        <f>COUNTIF('Segmentation Testing'!G5:G33,"Fail")</f>
        <v/>
      </c>
      <c r="C13" s="34" t="inlineStr">
        <is>
          <t>Tests confirming bypass routes or misconfigurations (immediate investigation required)</t>
        </is>
      </c>
      <c r="D13" s="6" t="n"/>
      <c r="E13" s="6" t="n"/>
      <c r="F13" s="6" t="n"/>
      <c r="G13" s="6" t="n"/>
    </row>
    <row r="14">
      <c r="A14" s="31" t="inlineStr">
        <is>
          <t>Untested Segments</t>
        </is>
      </c>
      <c r="B14" s="32">
        <f>COUNTIF('Segmentation Testing'!G5:G33,"Not Tested")</f>
        <v/>
      </c>
      <c r="C14" s="34" t="inlineStr">
        <is>
          <t>Test cases not yet executed (unknown segmentation effectiveness)</t>
        </is>
      </c>
      <c r="D14" s="6" t="n"/>
      <c r="E14" s="6" t="n"/>
      <c r="F14" s="6" t="n"/>
      <c r="G14" s="6" t="n"/>
    </row>
    <row r="15">
      <c r="A15" s="31" t="inlineStr">
        <is>
          <t>Partial Test Results</t>
        </is>
      </c>
      <c r="B15" s="32">
        <f>COUNTIF('Segmentation Testing'!G5:G33,"Partial")</f>
        <v/>
      </c>
      <c r="C15" s="34" t="inlineStr">
        <is>
          <t>Tests with partial pass (incomplete segmentation enforcement)</t>
        </is>
      </c>
      <c r="D15" s="6" t="n"/>
      <c r="E15" s="6" t="n"/>
      <c r="F15" s="6" t="n"/>
      <c r="G15" s="6" t="n"/>
    </row>
    <row r="16">
      <c r="A16" s="31" t="inlineStr">
        <is>
          <t>Outdated Firewall Rules</t>
        </is>
      </c>
      <c r="B16" s="32">
        <f>COUNTIF('Firewall Rules Assessment'!J5:J103,"Outdated")</f>
        <v/>
      </c>
      <c r="C16" s="34" t="inlineStr">
        <is>
          <t>Firewall rules requiring immediate review (may permit unauthorised traffic)</t>
        </is>
      </c>
      <c r="D16" s="6" t="n"/>
      <c r="E16" s="6" t="n"/>
      <c r="F16" s="6" t="n"/>
      <c r="G16" s="6" t="n"/>
    </row>
    <row r="17">
      <c r="A17" s="31" t="inlineStr">
        <is>
          <t>Unused Firewall Rules</t>
        </is>
      </c>
      <c r="B17" s="32">
        <f>COUNTIF('Firewall Rules Assessment'!J5:J103,"Unused")</f>
        <v/>
      </c>
      <c r="C17" s="34" t="inlineStr">
        <is>
          <t>Unused rules creating unnecessary attack surface (remove or review)</t>
        </is>
      </c>
      <c r="D17" s="6" t="n"/>
      <c r="E17" s="6" t="n"/>
      <c r="F17" s="6" t="n"/>
      <c r="G17" s="6" t="n"/>
    </row>
    <row r="18">
      <c r="A18" s="31" t="inlineStr">
        <is>
          <t>Rules Requiring Review</t>
        </is>
      </c>
      <c r="B18" s="32">
        <f>COUNTIF('Firewall Rules Assessment'!J5:J103,"Requires Review")</f>
        <v/>
      </c>
      <c r="C18" s="34" t="inlineStr">
        <is>
          <t>Rules overdue for periodic review (potential policy violations)</t>
        </is>
      </c>
      <c r="D18" s="6" t="n"/>
      <c r="E18" s="6" t="n"/>
      <c r="F18" s="6" t="n"/>
      <c r="G18" s="6" t="n"/>
    </row>
    <row r="19">
      <c r="A19" s="31" t="inlineStr">
        <is>
          <t>Open Segmentation Gaps</t>
        </is>
      </c>
      <c r="B19" s="32">
        <f>COUNTIF('Gap Analysis'!I5:I53,"Open")</f>
        <v/>
      </c>
      <c r="C19" s="34" t="inlineStr">
        <is>
          <t>Outstanding segmentation gaps without active remediation</t>
        </is>
      </c>
      <c r="D19" s="6" t="n"/>
      <c r="E19" s="6" t="n"/>
      <c r="F19" s="6" t="n"/>
      <c r="G19" s="6" t="n"/>
    </row>
    <row r="20">
      <c r="A20" s="31" t="inlineStr">
        <is>
          <t>Overall Compliance Rate</t>
        </is>
      </c>
      <c r="B20" s="32">
        <f>G9</f>
        <v/>
      </c>
      <c r="C20" s="34" t="inlineStr">
        <is>
          <t>Overall network segmentation compliance percentage (TABLE 1 total)</t>
        </is>
      </c>
      <c r="D20" s="6" t="n"/>
      <c r="E20" s="6" t="n"/>
      <c r="F20" s="6" t="n"/>
      <c r="G20" s="6" t="n"/>
    </row>
    <row r="22">
      <c r="A22" s="35" t="inlineStr">
        <is>
          <t>TABLE 3: CRITICAL FINDINGS</t>
        </is>
      </c>
    </row>
    <row r="23">
      <c r="A23" s="33" t="inlineStr">
        <is>
          <t>Critical Finding Type</t>
        </is>
      </c>
      <c r="B23" s="30" t="inlineStr">
        <is>
          <t>Count</t>
        </is>
      </c>
      <c r="C23" s="33" t="inlineStr">
        <is>
          <t>Filter Instructions</t>
        </is>
      </c>
    </row>
    <row r="24">
      <c r="A24" s="36" t="inlineStr">
        <is>
          <t>Failed Segmentation Tests</t>
        </is>
      </c>
      <c r="B24" s="37">
        <f>COUNTIF('Segmentation Testing'!G5:G33,"Fail")</f>
        <v/>
      </c>
      <c r="C24" s="38" t="inlineStr">
        <is>
          <t>Filter Segmentation Testing: Test Result = "Fail"</t>
        </is>
      </c>
      <c r="D24" s="19" t="n"/>
      <c r="E24" s="19" t="n"/>
      <c r="F24" s="19" t="n"/>
      <c r="G24" s="19" t="n"/>
    </row>
    <row r="25">
      <c r="A25" s="36" t="inlineStr">
        <is>
          <t>Outdated Firewall Rules</t>
        </is>
      </c>
      <c r="B25" s="37">
        <f>COUNTIF('Firewall Rules Assessment'!J5:J103,"Outdated")</f>
        <v/>
      </c>
      <c r="C25" s="38" t="inlineStr">
        <is>
          <t>Filter Firewall Rules Assessment: Review Status = "Outdated"</t>
        </is>
      </c>
      <c r="D25" s="19" t="n"/>
      <c r="E25" s="19" t="n"/>
      <c r="F25" s="19" t="n"/>
      <c r="G25" s="19" t="n"/>
    </row>
    <row r="26">
      <c r="A26" s="36" t="inlineStr">
        <is>
          <t>Open Segmentation Gaps</t>
        </is>
      </c>
      <c r="B26" s="37">
        <f>COUNTIF('Gap Analysis'!I5:I53,"Open")</f>
        <v/>
      </c>
      <c r="C26" s="38" t="inlineStr">
        <is>
          <t>Filter Gap Analysis: Status = "Open"</t>
        </is>
      </c>
      <c r="D26" s="19" t="n"/>
      <c r="E26" s="19" t="n"/>
      <c r="F26" s="19" t="n"/>
      <c r="G26" s="19" t="n"/>
    </row>
    <row r="27">
      <c r="A27" s="36" t="inlineStr">
        <is>
          <t>Untested Segments</t>
        </is>
      </c>
      <c r="B27" s="37">
        <f>COUNTIF('Segmentation Testing'!G5:G33,"Not Tested")</f>
        <v/>
      </c>
      <c r="C27" s="38" t="inlineStr">
        <is>
          <t>Filter Segmentation Testing: Test Result = "Not Tested"</t>
        </is>
      </c>
      <c r="D27" s="19" t="n"/>
      <c r="E27" s="19" t="n"/>
      <c r="F27" s="19" t="n"/>
      <c r="G27" s="19" t="n"/>
    </row>
    <row r="28">
      <c r="A28" s="36" t="inlineStr">
        <is>
          <t>Critical Severity Gaps</t>
        </is>
      </c>
      <c r="B28" s="37">
        <f>COUNTIF('Gap Analysis'!F5:F53,"Critical")</f>
        <v/>
      </c>
      <c r="C28" s="38" t="inlineStr">
        <is>
          <t>Filter Gap Analysis: Severity = "Critical"</t>
        </is>
      </c>
      <c r="D28" s="19" t="n"/>
      <c r="E28" s="19" t="n"/>
      <c r="F28" s="19" t="n"/>
      <c r="G28" s="19" t="n"/>
    </row>
    <row r="29">
      <c r="A29" s="39" t="inlineStr">
        <is>
          <t>TOTAL</t>
        </is>
      </c>
      <c r="B29" s="40">
        <f>SUM(B24:B28)</f>
        <v/>
      </c>
      <c r="C29" s="41" t="inlineStr">
        <is>
          <t>Total critical findings requiring immediate remediation</t>
        </is>
      </c>
    </row>
  </sheetData>
  <mergeCells count="21">
    <mergeCell ref="C24:G24"/>
    <mergeCell ref="A22:G22"/>
    <mergeCell ref="C15:G15"/>
    <mergeCell ref="A4:G4"/>
    <mergeCell ref="C14:G14"/>
    <mergeCell ref="C26:G26"/>
    <mergeCell ref="C29:G29"/>
    <mergeCell ref="C20:G20"/>
    <mergeCell ref="C16:G16"/>
    <mergeCell ref="C25:G25"/>
    <mergeCell ref="A11:G11"/>
    <mergeCell ref="A1:G1"/>
    <mergeCell ref="C12:G12"/>
    <mergeCell ref="C27:G27"/>
    <mergeCell ref="C23:G23"/>
    <mergeCell ref="C17:G17"/>
    <mergeCell ref="C28:G28"/>
    <mergeCell ref="C19:G19"/>
    <mergeCell ref="A2:G2"/>
    <mergeCell ref="C13:G13"/>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5"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ISMS-IMP-A.8.20-21-22.S4 - Network Segmentation Matrix &amp; Assessment</t>
        </is>
      </c>
      <c r="C4" s="6" t="n"/>
      <c r="D4" s="6" t="n"/>
      <c r="E4" s="6" t="n"/>
    </row>
    <row r="5">
      <c r="A5" s="3" t="inlineStr">
        <is>
          <t>Assessment Period:</t>
        </is>
      </c>
      <c r="B5" s="19" t="inlineStr"/>
      <c r="C5" s="6" t="n"/>
      <c r="D5" s="6" t="n"/>
      <c r="E5" s="6" t="n"/>
    </row>
    <row r="6">
      <c r="A6" s="3" t="inlineStr">
        <is>
          <t>Overall Compliance Rating:</t>
        </is>
      </c>
      <c r="B6" s="44">
        <f>IFERROR(AVERAGE('Summary Dashboard'!G6:G8),"")</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ISMS-IMP-A.8.20-21-22.S4 — Network Segmentation Matrix &amp; Assessment</dc:title>
  <dc:description xmlns:dc="http://purl.org/dc/elements/1.1/">ISMS Implementation Workbook — ISMS-IMP-A.8.20-21-22.S4</dc:description>
  <dc:subject xmlns:dc="http://purl.org/dc/elements/1.1/">ISO/IEC 27001:2022 — Control A.8.20-21-22: Network Security</dc:subject>
  <dcterms:created xmlns:dcterms="http://purl.org/dc/terms/" xmlns:xsi="http://www.w3.org/2001/XMLSchema-instance" xsi:type="dcterms:W3CDTF">2026-03-07T11:28:18Z</dcterms:created>
  <dcterms:modified xmlns:dcterms="http://purl.org/dc/terms/" xmlns:xsi="http://www.w3.org/2001/XMLSchema-instance" xsi:type="dcterms:W3CDTF">2026-03-07T11:28:19Z</dcterms:modified>
</cp:coreProperties>
</file>