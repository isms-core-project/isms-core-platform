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rvices Catalog" sheetId="2" state="visible" r:id="rId2"/>
    <sheet xmlns:r="http://schemas.openxmlformats.org/officeDocument/2006/relationships" name="DNS Security Assessment" sheetId="3" state="visible" r:id="rId3"/>
    <sheet xmlns:r="http://schemas.openxmlformats.org/officeDocument/2006/relationships" name="DHCP Security Assessment" sheetId="4" state="visible" r:id="rId4"/>
    <sheet xmlns:r="http://schemas.openxmlformats.org/officeDocument/2006/relationships" name="NTP Security Assessment" sheetId="5" state="visible" r:id="rId5"/>
    <sheet xmlns:r="http://schemas.openxmlformats.org/officeDocument/2006/relationships" name="Proxy Security Assessment" sheetId="6" state="visible" r:id="rId6"/>
    <sheet xmlns:r="http://schemas.openxmlformats.org/officeDocument/2006/relationships" name="Additional Services" sheetId="7" state="visible" r:id="rId7"/>
    <sheet xmlns:r="http://schemas.openxmlformats.org/officeDocument/2006/relationships" name="Gap Analysis" sheetId="8" state="visible" r:id="rId8"/>
    <sheet xmlns:r="http://schemas.openxmlformats.org/officeDocument/2006/relationships" name="Service Dependencie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0" fillId="9" borderId="1" pivotButton="0" quotePrefix="0" xfId="0"/>
    <xf numFmtId="164" fontId="0" fillId="0" borderId="0" pivotButton="0" quotePrefix="0" xfId="0"/>
    <xf numFmtId="0" fontId="1" fillId="8" borderId="1" applyAlignment="1" pivotButton="0" quotePrefix="0" xfId="0">
      <alignment horizontal="center" vertical="center" wrapText="1"/>
    </xf>
    <xf numFmtId="0" fontId="6" fillId="9" borderId="1" pivotButton="0" quotePrefix="0" xfId="0"/>
    <xf numFmtId="164"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14" borderId="1" pivotButton="0" quotePrefix="0" xfId="0"/>
    <xf numFmtId="165" fontId="0" fillId="0" borderId="1" pivotButton="0" quotePrefix="0" xfId="0"/>
    <xf numFmtId="0" fontId="16" fillId="8" borderId="1" pivotButton="0" quotePrefix="0" xfId="0"/>
  </cellXfs>
  <cellStyles count="1">
    <cellStyle name="Normal" xfId="0" builtinId="0" hidden="0"/>
  </cellStyles>
  <dxfs count="7">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ISMS-IMP-A.8.20-21-22.S3  -  Network Services Catalog &amp; Security Assessment
ISO/IEC 27001:2022 - Control A.8.20-21-22: Network Security</t>
        </is>
      </c>
    </row>
    <row r="3">
      <c r="A3" s="2" t="inlineStr">
        <is>
          <t>Document Information</t>
        </is>
      </c>
    </row>
    <row r="4">
      <c r="A4" s="3" t="inlineStr">
        <is>
          <t>Document ID</t>
        </is>
      </c>
      <c r="B4" t="inlineStr">
        <is>
          <t>ISMS-IMP-A.8.20-21-22.S3</t>
        </is>
      </c>
    </row>
    <row r="5">
      <c r="A5" s="3" t="inlineStr">
        <is>
          <t>Workbook Title</t>
        </is>
      </c>
      <c r="B5" t="inlineStr">
        <is>
          <t>Network Services Catalog &amp; Security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Services Catalog for all network services deployed in your environment.</t>
        </is>
      </c>
    </row>
    <row r="14">
      <c r="A14" t="inlineStr">
        <is>
          <t>2. Assess DNS security controls in the DNS Security Assessment sheet.</t>
        </is>
      </c>
    </row>
    <row r="15">
      <c r="A15" t="inlineStr">
        <is>
          <t>3. Assess DHCP security controls in the DHCP Security Assessment sheet.</t>
        </is>
      </c>
    </row>
    <row r="16">
      <c r="A16" t="inlineStr">
        <is>
          <t>4. Assess NTP security controls in the NTP Security Assessment sheet.</t>
        </is>
      </c>
    </row>
    <row r="17">
      <c r="A17" t="inlineStr">
        <is>
          <t>5. Assess proxy/web gateway security in the Proxy Security Assessment sheet.</t>
        </is>
      </c>
    </row>
    <row r="18">
      <c r="A18" t="inlineStr">
        <is>
          <t>6. Document additional network services (RADIUS, SNMP, etc.) in the Additional Services sheet.</t>
        </is>
      </c>
    </row>
    <row r="19">
      <c r="A19" t="inlineStr">
        <is>
          <t>7. Review compliance scoring in the Service Compliance Summary sheet.</t>
        </is>
      </c>
    </row>
    <row r="20">
      <c r="A20" t="inlineStr">
        <is>
          <t>8. Identify and document gaps in the Gap Analysis sheet with remediation plans.</t>
        </is>
      </c>
    </row>
    <row r="21">
      <c r="A21" t="inlineStr">
        <is>
          <t>9. Document service dependencies in the Service Dependencies sheet.</t>
        </is>
      </c>
    </row>
    <row r="22">
      <c r="A22" t="inlineStr">
        <is>
          <t>10. Maintain the Evidence Register with all supporting documentation for audit traceability.</t>
        </is>
      </c>
    </row>
    <row r="23">
      <c r="A23" t="inlineStr">
        <is>
          <t>11.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35" customWidth="1" min="4" max="4"/>
    <col width="20" customWidth="1" min="5" max="5"/>
    <col width="15" customWidth="1" min="6" max="6"/>
    <col width="10" customWidth="1" min="7" max="7"/>
    <col width="12" customWidth="1" min="8" max="8"/>
    <col width="20" customWidth="1" min="9" max="9"/>
    <col width="15" customWidth="1" min="10" max="10"/>
    <col width="12" customWidth="1" min="11" max="11"/>
    <col width="20" customWidth="1" min="12" max="12"/>
    <col width="15" customWidth="1" min="13" max="13"/>
    <col width="12" customWidth="1" min="14" max="14"/>
    <col width="40" customWidth="1" min="15" max="15"/>
    <col width="20" customWidth="1" min="16" max="16"/>
  </cols>
  <sheetData>
    <row r="1" ht="35" customHeight="1">
      <c r="A1" s="11" t="inlineStr">
        <is>
          <t>NETWORK SERVICES CATALOG - GENERATED 01.03.2026</t>
        </is>
      </c>
    </row>
    <row r="2">
      <c r="A2" s="12" t="inlineStr">
        <is>
          <t>Master catalog of all network services. Yellow cells are input fields. Link to detailed assessments in service-specific sheets.</t>
        </is>
      </c>
    </row>
    <row r="3">
      <c r="A3" s="13" t="inlineStr">
        <is>
          <t>Service ID</t>
        </is>
      </c>
      <c r="B3" s="13" t="inlineStr">
        <is>
          <t>Service Type</t>
        </is>
      </c>
      <c r="C3" s="13" t="inlineStr">
        <is>
          <t>Service Name</t>
        </is>
      </c>
      <c r="D3" s="13" t="inlineStr">
        <is>
          <t>Purpose</t>
        </is>
      </c>
      <c r="E3" s="13" t="inlineStr">
        <is>
          <t>Hosting Location</t>
        </is>
      </c>
      <c r="F3" s="13" t="inlineStr">
        <is>
          <t>IP Address</t>
        </is>
      </c>
      <c r="G3" s="13" t="inlineStr">
        <is>
          <t>Port(s)</t>
        </is>
      </c>
      <c r="H3" s="13" t="inlineStr">
        <is>
          <t>Criticality</t>
        </is>
      </c>
      <c r="I3" s="13" t="inlineStr">
        <is>
          <t>Redundancy Level</t>
        </is>
      </c>
      <c r="J3" s="13" t="inlineStr">
        <is>
          <t>Monitoring Status</t>
        </is>
      </c>
      <c r="K3" s="13" t="inlineStr">
        <is>
          <t>SLA Uptime %</t>
        </is>
      </c>
      <c r="L3" s="13" t="inlineStr">
        <is>
          <t>Owner</t>
        </is>
      </c>
      <c r="M3" s="13" t="inlineStr">
        <is>
          <t>Last Security Review</t>
        </is>
      </c>
      <c r="N3" s="13" t="inlineStr">
        <is>
          <t>Status</t>
        </is>
      </c>
      <c r="O3" s="13" t="inlineStr">
        <is>
          <t>Notes</t>
        </is>
      </c>
      <c r="P3" s="13" t="inlineStr">
        <is>
          <t>Assessment Link</t>
        </is>
      </c>
    </row>
    <row r="4">
      <c r="A4">
        <f>IF(B4&lt;&gt;"","SVC-" &amp; TEXT(1,"000"),"")</f>
        <v/>
      </c>
      <c r="B4" s="14" t="n"/>
      <c r="C4" s="14" t="n"/>
      <c r="D4" s="14" t="n"/>
      <c r="E4" s="14" t="n"/>
      <c r="F4" s="14" t="n"/>
      <c r="G4" s="14" t="n"/>
      <c r="H4" s="14" t="n"/>
      <c r="I4" s="14" t="n"/>
      <c r="J4" s="14" t="n"/>
      <c r="K4" s="14" t="n"/>
      <c r="L4" s="14" t="n"/>
      <c r="M4" s="14" t="n"/>
      <c r="N4" s="14" t="n"/>
      <c r="O4" s="14" t="n"/>
      <c r="P4" s="14" t="n"/>
    </row>
    <row r="5">
      <c r="A5">
        <f>IF(B5&lt;&gt;"","SVC-" &amp; TEXT(2,"000"),"")</f>
        <v/>
      </c>
      <c r="B5" s="14" t="n"/>
      <c r="C5" s="14" t="n"/>
      <c r="D5" s="14" t="n"/>
      <c r="E5" s="14" t="n"/>
      <c r="F5" s="14" t="n"/>
      <c r="G5" s="14" t="n"/>
      <c r="H5" s="14" t="n"/>
      <c r="I5" s="14" t="n"/>
      <c r="J5" s="14" t="n"/>
      <c r="K5" s="14" t="n"/>
      <c r="L5" s="14" t="n"/>
      <c r="M5" s="14" t="n"/>
      <c r="N5" s="14" t="n"/>
      <c r="O5" s="14" t="n"/>
      <c r="P5" s="14" t="n"/>
    </row>
    <row r="6">
      <c r="A6">
        <f>IF(B6&lt;&gt;"","SVC-" &amp; TEXT(3,"000"),"")</f>
        <v/>
      </c>
      <c r="B6" s="14" t="n"/>
      <c r="C6" s="14" t="n"/>
      <c r="D6" s="14" t="n"/>
      <c r="E6" s="14" t="n"/>
      <c r="F6" s="14" t="n"/>
      <c r="G6" s="14" t="n"/>
      <c r="H6" s="14" t="n"/>
      <c r="I6" s="14" t="n"/>
      <c r="J6" s="14" t="n"/>
      <c r="K6" s="14" t="n"/>
      <c r="L6" s="14" t="n"/>
      <c r="M6" s="14" t="n"/>
      <c r="N6" s="14" t="n"/>
      <c r="O6" s="14" t="n"/>
      <c r="P6" s="14" t="n"/>
    </row>
    <row r="7">
      <c r="A7">
        <f>IF(B7&lt;&gt;"","SVC-" &amp; TEXT(4,"000"),"")</f>
        <v/>
      </c>
      <c r="B7" s="14" t="n"/>
      <c r="C7" s="14" t="n"/>
      <c r="D7" s="14" t="n"/>
      <c r="E7" s="14" t="n"/>
      <c r="F7" s="14" t="n"/>
      <c r="G7" s="14" t="n"/>
      <c r="H7" s="14" t="n"/>
      <c r="I7" s="14" t="n"/>
      <c r="J7" s="14" t="n"/>
      <c r="K7" s="14" t="n"/>
      <c r="L7" s="14" t="n"/>
      <c r="M7" s="14" t="n"/>
      <c r="N7" s="14" t="n"/>
      <c r="O7" s="14" t="n"/>
      <c r="P7" s="14" t="n"/>
    </row>
    <row r="8">
      <c r="A8">
        <f>IF(B8&lt;&gt;"","SVC-" &amp; TEXT(5,"000"),"")</f>
        <v/>
      </c>
      <c r="B8" s="14" t="n"/>
      <c r="C8" s="14" t="n"/>
      <c r="D8" s="14" t="n"/>
      <c r="E8" s="14" t="n"/>
      <c r="F8" s="14" t="n"/>
      <c r="G8" s="14" t="n"/>
      <c r="H8" s="14" t="n"/>
      <c r="I8" s="14" t="n"/>
      <c r="J8" s="14" t="n"/>
      <c r="K8" s="14" t="n"/>
      <c r="L8" s="14" t="n"/>
      <c r="M8" s="14" t="n"/>
      <c r="N8" s="14" t="n"/>
      <c r="O8" s="14" t="n"/>
      <c r="P8" s="14" t="n"/>
    </row>
    <row r="9">
      <c r="A9">
        <f>IF(B9&lt;&gt;"","SVC-" &amp; TEXT(6,"000"),"")</f>
        <v/>
      </c>
      <c r="B9" s="14" t="n"/>
      <c r="C9" s="14" t="n"/>
      <c r="D9" s="14" t="n"/>
      <c r="E9" s="14" t="n"/>
      <c r="F9" s="14" t="n"/>
      <c r="G9" s="14" t="n"/>
      <c r="H9" s="14" t="n"/>
      <c r="I9" s="14" t="n"/>
      <c r="J9" s="14" t="n"/>
      <c r="K9" s="14" t="n"/>
      <c r="L9" s="14" t="n"/>
      <c r="M9" s="14" t="n"/>
      <c r="N9" s="14" t="n"/>
      <c r="O9" s="14" t="n"/>
      <c r="P9" s="14" t="n"/>
    </row>
    <row r="10">
      <c r="A10">
        <f>IF(B10&lt;&gt;"","SVC-" &amp; TEXT(7,"000"),"")</f>
        <v/>
      </c>
      <c r="B10" s="14" t="n"/>
      <c r="C10" s="14" t="n"/>
      <c r="D10" s="14" t="n"/>
      <c r="E10" s="14" t="n"/>
      <c r="F10" s="14" t="n"/>
      <c r="G10" s="14" t="n"/>
      <c r="H10" s="14" t="n"/>
      <c r="I10" s="14" t="n"/>
      <c r="J10" s="14" t="n"/>
      <c r="K10" s="14" t="n"/>
      <c r="L10" s="14" t="n"/>
      <c r="M10" s="14" t="n"/>
      <c r="N10" s="14" t="n"/>
      <c r="O10" s="14" t="n"/>
      <c r="P10" s="14" t="n"/>
    </row>
    <row r="11">
      <c r="A11">
        <f>IF(B11&lt;&gt;"","SVC-" &amp; TEXT(8,"000"),"")</f>
        <v/>
      </c>
      <c r="B11" s="14" t="n"/>
      <c r="C11" s="14" t="n"/>
      <c r="D11" s="14" t="n"/>
      <c r="E11" s="14" t="n"/>
      <c r="F11" s="14" t="n"/>
      <c r="G11" s="14" t="n"/>
      <c r="H11" s="14" t="n"/>
      <c r="I11" s="14" t="n"/>
      <c r="J11" s="14" t="n"/>
      <c r="K11" s="14" t="n"/>
      <c r="L11" s="14" t="n"/>
      <c r="M11" s="14" t="n"/>
      <c r="N11" s="14" t="n"/>
      <c r="O11" s="14" t="n"/>
      <c r="P11" s="14" t="n"/>
    </row>
    <row r="12">
      <c r="A12">
        <f>IF(B12&lt;&gt;"","SVC-" &amp; TEXT(9,"000"),"")</f>
        <v/>
      </c>
      <c r="B12" s="14" t="n"/>
      <c r="C12" s="14" t="n"/>
      <c r="D12" s="14" t="n"/>
      <c r="E12" s="14" t="n"/>
      <c r="F12" s="14" t="n"/>
      <c r="G12" s="14" t="n"/>
      <c r="H12" s="14" t="n"/>
      <c r="I12" s="14" t="n"/>
      <c r="J12" s="14" t="n"/>
      <c r="K12" s="14" t="n"/>
      <c r="L12" s="14" t="n"/>
      <c r="M12" s="14" t="n"/>
      <c r="N12" s="14" t="n"/>
      <c r="O12" s="14" t="n"/>
      <c r="P12" s="14" t="n"/>
    </row>
    <row r="13">
      <c r="A13">
        <f>IF(B13&lt;&gt;"","SVC-" &amp; TEXT(10,"000"),"")</f>
        <v/>
      </c>
      <c r="B13" s="14" t="n"/>
      <c r="C13" s="14" t="n"/>
      <c r="D13" s="14" t="n"/>
      <c r="E13" s="14" t="n"/>
      <c r="F13" s="14" t="n"/>
      <c r="G13" s="14" t="n"/>
      <c r="H13" s="14" t="n"/>
      <c r="I13" s="14" t="n"/>
      <c r="J13" s="14" t="n"/>
      <c r="K13" s="14" t="n"/>
      <c r="L13" s="14" t="n"/>
      <c r="M13" s="14" t="n"/>
      <c r="N13" s="14" t="n"/>
      <c r="O13" s="14" t="n"/>
      <c r="P13" s="14" t="n"/>
    </row>
    <row r="14">
      <c r="A14">
        <f>IF(B14&lt;&gt;"","SVC-" &amp; TEXT(11,"000"),"")</f>
        <v/>
      </c>
      <c r="B14" s="14" t="n"/>
      <c r="C14" s="14" t="n"/>
      <c r="D14" s="14" t="n"/>
      <c r="E14" s="14" t="n"/>
      <c r="F14" s="14" t="n"/>
      <c r="G14" s="14" t="n"/>
      <c r="H14" s="14" t="n"/>
      <c r="I14" s="14" t="n"/>
      <c r="J14" s="14" t="n"/>
      <c r="K14" s="14" t="n"/>
      <c r="L14" s="14" t="n"/>
      <c r="M14" s="14" t="n"/>
      <c r="N14" s="14" t="n"/>
      <c r="O14" s="14" t="n"/>
      <c r="P14" s="14" t="n"/>
    </row>
    <row r="15">
      <c r="A15">
        <f>IF(B15&lt;&gt;"","SVC-" &amp; TEXT(12,"000"),"")</f>
        <v/>
      </c>
      <c r="B15" s="14" t="n"/>
      <c r="C15" s="14" t="n"/>
      <c r="D15" s="14" t="n"/>
      <c r="E15" s="14" t="n"/>
      <c r="F15" s="14" t="n"/>
      <c r="G15" s="14" t="n"/>
      <c r="H15" s="14" t="n"/>
      <c r="I15" s="14" t="n"/>
      <c r="J15" s="14" t="n"/>
      <c r="K15" s="14" t="n"/>
      <c r="L15" s="14" t="n"/>
      <c r="M15" s="14" t="n"/>
      <c r="N15" s="14" t="n"/>
      <c r="O15" s="14" t="n"/>
      <c r="P15" s="14" t="n"/>
    </row>
    <row r="16">
      <c r="A16">
        <f>IF(B16&lt;&gt;"","SVC-" &amp; TEXT(13,"000"),"")</f>
        <v/>
      </c>
      <c r="B16" s="14" t="n"/>
      <c r="C16" s="14" t="n"/>
      <c r="D16" s="14" t="n"/>
      <c r="E16" s="14" t="n"/>
      <c r="F16" s="14" t="n"/>
      <c r="G16" s="14" t="n"/>
      <c r="H16" s="14" t="n"/>
      <c r="I16" s="14" t="n"/>
      <c r="J16" s="14" t="n"/>
      <c r="K16" s="14" t="n"/>
      <c r="L16" s="14" t="n"/>
      <c r="M16" s="14" t="n"/>
      <c r="N16" s="14" t="n"/>
      <c r="O16" s="14" t="n"/>
      <c r="P16" s="14" t="n"/>
    </row>
    <row r="17">
      <c r="A17">
        <f>IF(B17&lt;&gt;"","SVC-" &amp; TEXT(14,"000"),"")</f>
        <v/>
      </c>
      <c r="B17" s="14" t="n"/>
      <c r="C17" s="14" t="n"/>
      <c r="D17" s="14" t="n"/>
      <c r="E17" s="14" t="n"/>
      <c r="F17" s="14" t="n"/>
      <c r="G17" s="14" t="n"/>
      <c r="H17" s="14" t="n"/>
      <c r="I17" s="14" t="n"/>
      <c r="J17" s="14" t="n"/>
      <c r="K17" s="14" t="n"/>
      <c r="L17" s="14" t="n"/>
      <c r="M17" s="14" t="n"/>
      <c r="N17" s="14" t="n"/>
      <c r="O17" s="14" t="n"/>
      <c r="P17" s="14" t="n"/>
    </row>
    <row r="18">
      <c r="A18">
        <f>IF(B18&lt;&gt;"","SVC-" &amp; TEXT(15,"000"),"")</f>
        <v/>
      </c>
      <c r="B18" s="14" t="n"/>
      <c r="C18" s="14" t="n"/>
      <c r="D18" s="14" t="n"/>
      <c r="E18" s="14" t="n"/>
      <c r="F18" s="14" t="n"/>
      <c r="G18" s="14" t="n"/>
      <c r="H18" s="14" t="n"/>
      <c r="I18" s="14" t="n"/>
      <c r="J18" s="14" t="n"/>
      <c r="K18" s="14" t="n"/>
      <c r="L18" s="14" t="n"/>
      <c r="M18" s="14" t="n"/>
      <c r="N18" s="14" t="n"/>
      <c r="O18" s="14" t="n"/>
      <c r="P18" s="14" t="n"/>
    </row>
    <row r="19">
      <c r="A19">
        <f>IF(B19&lt;&gt;"","SVC-" &amp; TEXT(16,"000"),"")</f>
        <v/>
      </c>
      <c r="B19" s="14" t="n"/>
      <c r="C19" s="14" t="n"/>
      <c r="D19" s="14" t="n"/>
      <c r="E19" s="14" t="n"/>
      <c r="F19" s="14" t="n"/>
      <c r="G19" s="14" t="n"/>
      <c r="H19" s="14" t="n"/>
      <c r="I19" s="14" t="n"/>
      <c r="J19" s="14" t="n"/>
      <c r="K19" s="14" t="n"/>
      <c r="L19" s="14" t="n"/>
      <c r="M19" s="14" t="n"/>
      <c r="N19" s="14" t="n"/>
      <c r="O19" s="14" t="n"/>
      <c r="P19" s="14" t="n"/>
    </row>
    <row r="20">
      <c r="A20">
        <f>IF(B20&lt;&gt;"","SVC-" &amp; TEXT(17,"000"),"")</f>
        <v/>
      </c>
      <c r="B20" s="14" t="n"/>
      <c r="C20" s="14" t="n"/>
      <c r="D20" s="14" t="n"/>
      <c r="E20" s="14" t="n"/>
      <c r="F20" s="14" t="n"/>
      <c r="G20" s="14" t="n"/>
      <c r="H20" s="14" t="n"/>
      <c r="I20" s="14" t="n"/>
      <c r="J20" s="14" t="n"/>
      <c r="K20" s="14" t="n"/>
      <c r="L20" s="14" t="n"/>
      <c r="M20" s="14" t="n"/>
      <c r="N20" s="14" t="n"/>
      <c r="O20" s="14" t="n"/>
      <c r="P20" s="14" t="n"/>
    </row>
    <row r="21">
      <c r="A21">
        <f>IF(B21&lt;&gt;"","SVC-" &amp; TEXT(18,"000"),"")</f>
        <v/>
      </c>
      <c r="B21" s="14" t="n"/>
      <c r="C21" s="14" t="n"/>
      <c r="D21" s="14" t="n"/>
      <c r="E21" s="14" t="n"/>
      <c r="F21" s="14" t="n"/>
      <c r="G21" s="14" t="n"/>
      <c r="H21" s="14" t="n"/>
      <c r="I21" s="14" t="n"/>
      <c r="J21" s="14" t="n"/>
      <c r="K21" s="14" t="n"/>
      <c r="L21" s="14" t="n"/>
      <c r="M21" s="14" t="n"/>
      <c r="N21" s="14" t="n"/>
      <c r="O21" s="14" t="n"/>
      <c r="P21" s="14" t="n"/>
    </row>
    <row r="22">
      <c r="A22">
        <f>IF(B22&lt;&gt;"","SVC-" &amp; TEXT(19,"000"),"")</f>
        <v/>
      </c>
      <c r="B22" s="14" t="n"/>
      <c r="C22" s="14" t="n"/>
      <c r="D22" s="14" t="n"/>
      <c r="E22" s="14" t="n"/>
      <c r="F22" s="14" t="n"/>
      <c r="G22" s="14" t="n"/>
      <c r="H22" s="14" t="n"/>
      <c r="I22" s="14" t="n"/>
      <c r="J22" s="14" t="n"/>
      <c r="K22" s="14" t="n"/>
      <c r="L22" s="14" t="n"/>
      <c r="M22" s="14" t="n"/>
      <c r="N22" s="14" t="n"/>
      <c r="O22" s="14" t="n"/>
      <c r="P22" s="14" t="n"/>
    </row>
    <row r="23">
      <c r="A23">
        <f>IF(B23&lt;&gt;"","SVC-" &amp; TEXT(20,"000"),"")</f>
        <v/>
      </c>
      <c r="B23" s="14" t="n"/>
      <c r="C23" s="14" t="n"/>
      <c r="D23" s="14" t="n"/>
      <c r="E23" s="14" t="n"/>
      <c r="F23" s="14" t="n"/>
      <c r="G23" s="14" t="n"/>
      <c r="H23" s="14" t="n"/>
      <c r="I23" s="14" t="n"/>
      <c r="J23" s="14" t="n"/>
      <c r="K23" s="14" t="n"/>
      <c r="L23" s="14" t="n"/>
      <c r="M23" s="14" t="n"/>
      <c r="N23" s="14" t="n"/>
      <c r="O23" s="14" t="n"/>
      <c r="P23" s="14" t="n"/>
    </row>
    <row r="24">
      <c r="A24">
        <f>IF(B24&lt;&gt;"","SVC-" &amp; TEXT(21,"000"),"")</f>
        <v/>
      </c>
      <c r="B24" s="14" t="n"/>
      <c r="C24" s="14" t="n"/>
      <c r="D24" s="14" t="n"/>
      <c r="E24" s="14" t="n"/>
      <c r="F24" s="14" t="n"/>
      <c r="G24" s="14" t="n"/>
      <c r="H24" s="14" t="n"/>
      <c r="I24" s="14" t="n"/>
      <c r="J24" s="14" t="n"/>
      <c r="K24" s="14" t="n"/>
      <c r="L24" s="14" t="n"/>
      <c r="M24" s="14" t="n"/>
      <c r="N24" s="14" t="n"/>
      <c r="O24" s="14" t="n"/>
      <c r="P24" s="14" t="n"/>
    </row>
    <row r="25">
      <c r="A25">
        <f>IF(B25&lt;&gt;"","SVC-" &amp; TEXT(22,"000"),"")</f>
        <v/>
      </c>
      <c r="B25" s="14" t="n"/>
      <c r="C25" s="14" t="n"/>
      <c r="D25" s="14" t="n"/>
      <c r="E25" s="14" t="n"/>
      <c r="F25" s="14" t="n"/>
      <c r="G25" s="14" t="n"/>
      <c r="H25" s="14" t="n"/>
      <c r="I25" s="14" t="n"/>
      <c r="J25" s="14" t="n"/>
      <c r="K25" s="14" t="n"/>
      <c r="L25" s="14" t="n"/>
      <c r="M25" s="14" t="n"/>
      <c r="N25" s="14" t="n"/>
      <c r="O25" s="14" t="n"/>
      <c r="P25" s="14" t="n"/>
    </row>
    <row r="26">
      <c r="A26">
        <f>IF(B26&lt;&gt;"","SVC-" &amp; TEXT(23,"000"),"")</f>
        <v/>
      </c>
      <c r="B26" s="14" t="n"/>
      <c r="C26" s="14" t="n"/>
      <c r="D26" s="14" t="n"/>
      <c r="E26" s="14" t="n"/>
      <c r="F26" s="14" t="n"/>
      <c r="G26" s="14" t="n"/>
      <c r="H26" s="14" t="n"/>
      <c r="I26" s="14" t="n"/>
      <c r="J26" s="14" t="n"/>
      <c r="K26" s="14" t="n"/>
      <c r="L26" s="14" t="n"/>
      <c r="M26" s="14" t="n"/>
      <c r="N26" s="14" t="n"/>
      <c r="O26" s="14" t="n"/>
      <c r="P26" s="14" t="n"/>
    </row>
    <row r="27">
      <c r="A27">
        <f>IF(B27&lt;&gt;"","SVC-" &amp; TEXT(24,"000"),"")</f>
        <v/>
      </c>
      <c r="B27" s="14" t="n"/>
      <c r="C27" s="14" t="n"/>
      <c r="D27" s="14" t="n"/>
      <c r="E27" s="14" t="n"/>
      <c r="F27" s="14" t="n"/>
      <c r="G27" s="14" t="n"/>
      <c r="H27" s="14" t="n"/>
      <c r="I27" s="14" t="n"/>
      <c r="J27" s="14" t="n"/>
      <c r="K27" s="14" t="n"/>
      <c r="L27" s="14" t="n"/>
      <c r="M27" s="14" t="n"/>
      <c r="N27" s="14" t="n"/>
      <c r="O27" s="14" t="n"/>
      <c r="P27" s="14" t="n"/>
    </row>
    <row r="28">
      <c r="A28">
        <f>IF(B28&lt;&gt;"","SVC-" &amp; TEXT(25,"000"),"")</f>
        <v/>
      </c>
      <c r="B28" s="14" t="n"/>
      <c r="C28" s="14" t="n"/>
      <c r="D28" s="14" t="n"/>
      <c r="E28" s="14" t="n"/>
      <c r="F28" s="14" t="n"/>
      <c r="G28" s="14" t="n"/>
      <c r="H28" s="14" t="n"/>
      <c r="I28" s="14" t="n"/>
      <c r="J28" s="14" t="n"/>
      <c r="K28" s="14" t="n"/>
      <c r="L28" s="14" t="n"/>
      <c r="M28" s="14" t="n"/>
      <c r="N28" s="14" t="n"/>
      <c r="O28" s="14" t="n"/>
      <c r="P28" s="14" t="n"/>
    </row>
    <row r="29">
      <c r="A29">
        <f>IF(B29&lt;&gt;"","SVC-" &amp; TEXT(26,"000"),"")</f>
        <v/>
      </c>
      <c r="B29" s="14" t="n"/>
      <c r="C29" s="14" t="n"/>
      <c r="D29" s="14" t="n"/>
      <c r="E29" s="14" t="n"/>
      <c r="F29" s="14" t="n"/>
      <c r="G29" s="14" t="n"/>
      <c r="H29" s="14" t="n"/>
      <c r="I29" s="14" t="n"/>
      <c r="J29" s="14" t="n"/>
      <c r="K29" s="14" t="n"/>
      <c r="L29" s="14" t="n"/>
      <c r="M29" s="14" t="n"/>
      <c r="N29" s="14" t="n"/>
      <c r="O29" s="14" t="n"/>
      <c r="P29" s="14" t="n"/>
    </row>
    <row r="30">
      <c r="A30">
        <f>IF(B30&lt;&gt;"","SVC-" &amp; TEXT(27,"000"),"")</f>
        <v/>
      </c>
      <c r="B30" s="14" t="n"/>
      <c r="C30" s="14" t="n"/>
      <c r="D30" s="14" t="n"/>
      <c r="E30" s="14" t="n"/>
      <c r="F30" s="14" t="n"/>
      <c r="G30" s="14" t="n"/>
      <c r="H30" s="14" t="n"/>
      <c r="I30" s="14" t="n"/>
      <c r="J30" s="14" t="n"/>
      <c r="K30" s="14" t="n"/>
      <c r="L30" s="14" t="n"/>
      <c r="M30" s="14" t="n"/>
      <c r="N30" s="14" t="n"/>
      <c r="O30" s="14" t="n"/>
      <c r="P30" s="14" t="n"/>
    </row>
    <row r="31">
      <c r="A31">
        <f>IF(B31&lt;&gt;"","SVC-" &amp; TEXT(28,"000"),"")</f>
        <v/>
      </c>
      <c r="B31" s="14" t="n"/>
      <c r="C31" s="14" t="n"/>
      <c r="D31" s="14" t="n"/>
      <c r="E31" s="14" t="n"/>
      <c r="F31" s="14" t="n"/>
      <c r="G31" s="14" t="n"/>
      <c r="H31" s="14" t="n"/>
      <c r="I31" s="14" t="n"/>
      <c r="J31" s="14" t="n"/>
      <c r="K31" s="14" t="n"/>
      <c r="L31" s="14" t="n"/>
      <c r="M31" s="14" t="n"/>
      <c r="N31" s="14" t="n"/>
      <c r="O31" s="14" t="n"/>
      <c r="P31" s="14" t="n"/>
    </row>
    <row r="32">
      <c r="A32">
        <f>IF(B32&lt;&gt;"","SVC-" &amp; TEXT(29,"000"),"")</f>
        <v/>
      </c>
      <c r="B32" s="14" t="n"/>
      <c r="C32" s="14" t="n"/>
      <c r="D32" s="14" t="n"/>
      <c r="E32" s="14" t="n"/>
      <c r="F32" s="14" t="n"/>
      <c r="G32" s="14" t="n"/>
      <c r="H32" s="14" t="n"/>
      <c r="I32" s="14" t="n"/>
      <c r="J32" s="14" t="n"/>
      <c r="K32" s="14" t="n"/>
      <c r="L32" s="14" t="n"/>
      <c r="M32" s="14" t="n"/>
      <c r="N32" s="14" t="n"/>
      <c r="O32" s="14" t="n"/>
      <c r="P32" s="14" t="n"/>
    </row>
    <row r="33">
      <c r="A33">
        <f>IF(B33&lt;&gt;"","SVC-" &amp; TEXT(30,"000"),"")</f>
        <v/>
      </c>
      <c r="B33" s="14" t="n"/>
      <c r="C33" s="14" t="n"/>
      <c r="D33" s="14" t="n"/>
      <c r="E33" s="14" t="n"/>
      <c r="F33" s="14" t="n"/>
      <c r="G33" s="14" t="n"/>
      <c r="H33" s="14" t="n"/>
      <c r="I33" s="14" t="n"/>
      <c r="J33" s="14" t="n"/>
      <c r="K33" s="14" t="n"/>
      <c r="L33" s="14" t="n"/>
      <c r="M33" s="14" t="n"/>
      <c r="N33" s="14" t="n"/>
      <c r="O33" s="14" t="n"/>
      <c r="P33" s="14" t="n"/>
    </row>
    <row r="34">
      <c r="A34">
        <f>IF(B34&lt;&gt;"","SVC-" &amp; TEXT(31,"000"),"")</f>
        <v/>
      </c>
      <c r="B34" s="14" t="n"/>
      <c r="C34" s="14" t="n"/>
      <c r="D34" s="14" t="n"/>
      <c r="E34" s="14" t="n"/>
      <c r="F34" s="14" t="n"/>
      <c r="G34" s="14" t="n"/>
      <c r="H34" s="14" t="n"/>
      <c r="I34" s="14" t="n"/>
      <c r="J34" s="14" t="n"/>
      <c r="K34" s="14" t="n"/>
      <c r="L34" s="14" t="n"/>
      <c r="M34" s="14" t="n"/>
      <c r="N34" s="14" t="n"/>
      <c r="O34" s="14" t="n"/>
      <c r="P34" s="14" t="n"/>
    </row>
    <row r="35">
      <c r="A35">
        <f>IF(B35&lt;&gt;"","SVC-" &amp; TEXT(32,"000"),"")</f>
        <v/>
      </c>
      <c r="B35" s="14" t="n"/>
      <c r="C35" s="14" t="n"/>
      <c r="D35" s="14" t="n"/>
      <c r="E35" s="14" t="n"/>
      <c r="F35" s="14" t="n"/>
      <c r="G35" s="14" t="n"/>
      <c r="H35" s="14" t="n"/>
      <c r="I35" s="14" t="n"/>
      <c r="J35" s="14" t="n"/>
      <c r="K35" s="14" t="n"/>
      <c r="L35" s="14" t="n"/>
      <c r="M35" s="14" t="n"/>
      <c r="N35" s="14" t="n"/>
      <c r="O35" s="14" t="n"/>
      <c r="P35" s="14" t="n"/>
    </row>
    <row r="36">
      <c r="A36">
        <f>IF(B36&lt;&gt;"","SVC-" &amp; TEXT(33,"000"),"")</f>
        <v/>
      </c>
      <c r="B36" s="14" t="n"/>
      <c r="C36" s="14" t="n"/>
      <c r="D36" s="14" t="n"/>
      <c r="E36" s="14" t="n"/>
      <c r="F36" s="14" t="n"/>
      <c r="G36" s="14" t="n"/>
      <c r="H36" s="14" t="n"/>
      <c r="I36" s="14" t="n"/>
      <c r="J36" s="14" t="n"/>
      <c r="K36" s="14" t="n"/>
      <c r="L36" s="14" t="n"/>
      <c r="M36" s="14" t="n"/>
      <c r="N36" s="14" t="n"/>
      <c r="O36" s="14" t="n"/>
      <c r="P36" s="14" t="n"/>
    </row>
    <row r="37">
      <c r="A37">
        <f>IF(B37&lt;&gt;"","SVC-" &amp; TEXT(34,"000"),"")</f>
        <v/>
      </c>
      <c r="B37" s="14" t="n"/>
      <c r="C37" s="14" t="n"/>
      <c r="D37" s="14" t="n"/>
      <c r="E37" s="14" t="n"/>
      <c r="F37" s="14" t="n"/>
      <c r="G37" s="14" t="n"/>
      <c r="H37" s="14" t="n"/>
      <c r="I37" s="14" t="n"/>
      <c r="J37" s="14" t="n"/>
      <c r="K37" s="14" t="n"/>
      <c r="L37" s="14" t="n"/>
      <c r="M37" s="14" t="n"/>
      <c r="N37" s="14" t="n"/>
      <c r="O37" s="14" t="n"/>
      <c r="P37" s="14" t="n"/>
    </row>
    <row r="38">
      <c r="A38">
        <f>IF(B38&lt;&gt;"","SVC-" &amp; TEXT(35,"000"),"")</f>
        <v/>
      </c>
      <c r="B38" s="14" t="n"/>
      <c r="C38" s="14" t="n"/>
      <c r="D38" s="14" t="n"/>
      <c r="E38" s="14" t="n"/>
      <c r="F38" s="14" t="n"/>
      <c r="G38" s="14" t="n"/>
      <c r="H38" s="14" t="n"/>
      <c r="I38" s="14" t="n"/>
      <c r="J38" s="14" t="n"/>
      <c r="K38" s="14" t="n"/>
      <c r="L38" s="14" t="n"/>
      <c r="M38" s="14" t="n"/>
      <c r="N38" s="14" t="n"/>
      <c r="O38" s="14" t="n"/>
      <c r="P38" s="14" t="n"/>
    </row>
    <row r="39">
      <c r="A39">
        <f>IF(B39&lt;&gt;"","SVC-" &amp; TEXT(36,"000"),"")</f>
        <v/>
      </c>
      <c r="B39" s="14" t="n"/>
      <c r="C39" s="14" t="n"/>
      <c r="D39" s="14" t="n"/>
      <c r="E39" s="14" t="n"/>
      <c r="F39" s="14" t="n"/>
      <c r="G39" s="14" t="n"/>
      <c r="H39" s="14" t="n"/>
      <c r="I39" s="14" t="n"/>
      <c r="J39" s="14" t="n"/>
      <c r="K39" s="14" t="n"/>
      <c r="L39" s="14" t="n"/>
      <c r="M39" s="14" t="n"/>
      <c r="N39" s="14" t="n"/>
      <c r="O39" s="14" t="n"/>
      <c r="P39" s="14" t="n"/>
    </row>
    <row r="40">
      <c r="A40">
        <f>IF(B40&lt;&gt;"","SVC-" &amp; TEXT(37,"000"),"")</f>
        <v/>
      </c>
      <c r="B40" s="14" t="n"/>
      <c r="C40" s="14" t="n"/>
      <c r="D40" s="14" t="n"/>
      <c r="E40" s="14" t="n"/>
      <c r="F40" s="14" t="n"/>
      <c r="G40" s="14" t="n"/>
      <c r="H40" s="14" t="n"/>
      <c r="I40" s="14" t="n"/>
      <c r="J40" s="14" t="n"/>
      <c r="K40" s="14" t="n"/>
      <c r="L40" s="14" t="n"/>
      <c r="M40" s="14" t="n"/>
      <c r="N40" s="14" t="n"/>
      <c r="O40" s="14" t="n"/>
      <c r="P40" s="14" t="n"/>
    </row>
    <row r="41">
      <c r="A41">
        <f>IF(B41&lt;&gt;"","SVC-" &amp; TEXT(38,"000"),"")</f>
        <v/>
      </c>
      <c r="B41" s="14" t="n"/>
      <c r="C41" s="14" t="n"/>
      <c r="D41" s="14" t="n"/>
      <c r="E41" s="14" t="n"/>
      <c r="F41" s="14" t="n"/>
      <c r="G41" s="14" t="n"/>
      <c r="H41" s="14" t="n"/>
      <c r="I41" s="14" t="n"/>
      <c r="J41" s="14" t="n"/>
      <c r="K41" s="14" t="n"/>
      <c r="L41" s="14" t="n"/>
      <c r="M41" s="14" t="n"/>
      <c r="N41" s="14" t="n"/>
      <c r="O41" s="14" t="n"/>
      <c r="P41" s="14" t="n"/>
    </row>
    <row r="42">
      <c r="A42">
        <f>IF(B42&lt;&gt;"","SVC-" &amp; TEXT(39,"000"),"")</f>
        <v/>
      </c>
      <c r="B42" s="14" t="n"/>
      <c r="C42" s="14" t="n"/>
      <c r="D42" s="14" t="n"/>
      <c r="E42" s="14" t="n"/>
      <c r="F42" s="14" t="n"/>
      <c r="G42" s="14" t="n"/>
      <c r="H42" s="14" t="n"/>
      <c r="I42" s="14" t="n"/>
      <c r="J42" s="14" t="n"/>
      <c r="K42" s="14" t="n"/>
      <c r="L42" s="14" t="n"/>
      <c r="M42" s="14" t="n"/>
      <c r="N42" s="14" t="n"/>
      <c r="O42" s="14" t="n"/>
      <c r="P42" s="14" t="n"/>
    </row>
    <row r="43">
      <c r="A43">
        <f>IF(B43&lt;&gt;"","SVC-" &amp; TEXT(40,"000"),"")</f>
        <v/>
      </c>
      <c r="B43" s="14" t="n"/>
      <c r="C43" s="14" t="n"/>
      <c r="D43" s="14" t="n"/>
      <c r="E43" s="14" t="n"/>
      <c r="F43" s="14" t="n"/>
      <c r="G43" s="14" t="n"/>
      <c r="H43" s="14" t="n"/>
      <c r="I43" s="14" t="n"/>
      <c r="J43" s="14" t="n"/>
      <c r="K43" s="14" t="n"/>
      <c r="L43" s="14" t="n"/>
      <c r="M43" s="14" t="n"/>
      <c r="N43" s="14" t="n"/>
      <c r="O43" s="14" t="n"/>
      <c r="P43" s="14" t="n"/>
    </row>
    <row r="44">
      <c r="A44">
        <f>IF(B44&lt;&gt;"","SVC-" &amp; TEXT(41,"000"),"")</f>
        <v/>
      </c>
      <c r="B44" s="14" t="n"/>
      <c r="C44" s="14" t="n"/>
      <c r="D44" s="14" t="n"/>
      <c r="E44" s="14" t="n"/>
      <c r="F44" s="14" t="n"/>
      <c r="G44" s="14" t="n"/>
      <c r="H44" s="14" t="n"/>
      <c r="I44" s="14" t="n"/>
      <c r="J44" s="14" t="n"/>
      <c r="K44" s="14" t="n"/>
      <c r="L44" s="14" t="n"/>
      <c r="M44" s="14" t="n"/>
      <c r="N44" s="14" t="n"/>
      <c r="O44" s="14" t="n"/>
      <c r="P44" s="14" t="n"/>
    </row>
    <row r="45">
      <c r="A45">
        <f>IF(B45&lt;&gt;"","SVC-" &amp; TEXT(42,"000"),"")</f>
        <v/>
      </c>
      <c r="B45" s="14" t="n"/>
      <c r="C45" s="14" t="n"/>
      <c r="D45" s="14" t="n"/>
      <c r="E45" s="14" t="n"/>
      <c r="F45" s="14" t="n"/>
      <c r="G45" s="14" t="n"/>
      <c r="H45" s="14" t="n"/>
      <c r="I45" s="14" t="n"/>
      <c r="J45" s="14" t="n"/>
      <c r="K45" s="14" t="n"/>
      <c r="L45" s="14" t="n"/>
      <c r="M45" s="14" t="n"/>
      <c r="N45" s="14" t="n"/>
      <c r="O45" s="14" t="n"/>
      <c r="P45" s="14" t="n"/>
    </row>
    <row r="46">
      <c r="A46">
        <f>IF(B46&lt;&gt;"","SVC-" &amp; TEXT(43,"000"),"")</f>
        <v/>
      </c>
      <c r="B46" s="14" t="n"/>
      <c r="C46" s="14" t="n"/>
      <c r="D46" s="14" t="n"/>
      <c r="E46" s="14" t="n"/>
      <c r="F46" s="14" t="n"/>
      <c r="G46" s="14" t="n"/>
      <c r="H46" s="14" t="n"/>
      <c r="I46" s="14" t="n"/>
      <c r="J46" s="14" t="n"/>
      <c r="K46" s="14" t="n"/>
      <c r="L46" s="14" t="n"/>
      <c r="M46" s="14" t="n"/>
      <c r="N46" s="14" t="n"/>
      <c r="O46" s="14" t="n"/>
      <c r="P46" s="14" t="n"/>
    </row>
    <row r="47">
      <c r="A47">
        <f>IF(B47&lt;&gt;"","SVC-" &amp; TEXT(44,"000"),"")</f>
        <v/>
      </c>
      <c r="B47" s="14" t="n"/>
      <c r="C47" s="14" t="n"/>
      <c r="D47" s="14" t="n"/>
      <c r="E47" s="14" t="n"/>
      <c r="F47" s="14" t="n"/>
      <c r="G47" s="14" t="n"/>
      <c r="H47" s="14" t="n"/>
      <c r="I47" s="14" t="n"/>
      <c r="J47" s="14" t="n"/>
      <c r="K47" s="14" t="n"/>
      <c r="L47" s="14" t="n"/>
      <c r="M47" s="14" t="n"/>
      <c r="N47" s="14" t="n"/>
      <c r="O47" s="14" t="n"/>
      <c r="P47" s="14" t="n"/>
    </row>
    <row r="48">
      <c r="A48">
        <f>IF(B48&lt;&gt;"","SVC-" &amp; TEXT(45,"000"),"")</f>
        <v/>
      </c>
      <c r="B48" s="14" t="n"/>
      <c r="C48" s="14" t="n"/>
      <c r="D48" s="14" t="n"/>
      <c r="E48" s="14" t="n"/>
      <c r="F48" s="14" t="n"/>
      <c r="G48" s="14" t="n"/>
      <c r="H48" s="14" t="n"/>
      <c r="I48" s="14" t="n"/>
      <c r="J48" s="14" t="n"/>
      <c r="K48" s="14" t="n"/>
      <c r="L48" s="14" t="n"/>
      <c r="M48" s="14" t="n"/>
      <c r="N48" s="14" t="n"/>
      <c r="O48" s="14" t="n"/>
      <c r="P48" s="14" t="n"/>
    </row>
    <row r="49">
      <c r="A49">
        <f>IF(B49&lt;&gt;"","SVC-" &amp; TEXT(46,"000"),"")</f>
        <v/>
      </c>
      <c r="B49" s="14" t="n"/>
      <c r="C49" s="14" t="n"/>
      <c r="D49" s="14" t="n"/>
      <c r="E49" s="14" t="n"/>
      <c r="F49" s="14" t="n"/>
      <c r="G49" s="14" t="n"/>
      <c r="H49" s="14" t="n"/>
      <c r="I49" s="14" t="n"/>
      <c r="J49" s="14" t="n"/>
      <c r="K49" s="14" t="n"/>
      <c r="L49" s="14" t="n"/>
      <c r="M49" s="14" t="n"/>
      <c r="N49" s="14" t="n"/>
      <c r="O49" s="14" t="n"/>
      <c r="P49" s="14" t="n"/>
    </row>
    <row r="50">
      <c r="A50">
        <f>IF(B50&lt;&gt;"","SVC-" &amp; TEXT(47,"000"),"")</f>
        <v/>
      </c>
      <c r="B50" s="14" t="n"/>
      <c r="C50" s="14" t="n"/>
      <c r="D50" s="14" t="n"/>
      <c r="E50" s="14" t="n"/>
      <c r="F50" s="14" t="n"/>
      <c r="G50" s="14" t="n"/>
      <c r="H50" s="14" t="n"/>
      <c r="I50" s="14" t="n"/>
      <c r="J50" s="14" t="n"/>
      <c r="K50" s="14" t="n"/>
      <c r="L50" s="14" t="n"/>
      <c r="M50" s="14" t="n"/>
      <c r="N50" s="14" t="n"/>
      <c r="O50" s="14" t="n"/>
      <c r="P50" s="14" t="n"/>
    </row>
    <row r="51">
      <c r="A51">
        <f>IF(B51&lt;&gt;"","SVC-" &amp; TEXT(48,"000"),"")</f>
        <v/>
      </c>
      <c r="B51" s="14" t="n"/>
      <c r="C51" s="14" t="n"/>
      <c r="D51" s="14" t="n"/>
      <c r="E51" s="14" t="n"/>
      <c r="F51" s="14" t="n"/>
      <c r="G51" s="14" t="n"/>
      <c r="H51" s="14" t="n"/>
      <c r="I51" s="14" t="n"/>
      <c r="J51" s="14" t="n"/>
      <c r="K51" s="14" t="n"/>
      <c r="L51" s="14" t="n"/>
      <c r="M51" s="14" t="n"/>
      <c r="N51" s="14" t="n"/>
      <c r="O51" s="14" t="n"/>
      <c r="P51" s="14" t="n"/>
    </row>
    <row r="52">
      <c r="A52">
        <f>IF(B52&lt;&gt;"","SVC-" &amp; TEXT(49,"000"),"")</f>
        <v/>
      </c>
      <c r="B52" s="14" t="n"/>
      <c r="C52" s="14" t="n"/>
      <c r="D52" s="14" t="n"/>
      <c r="E52" s="14" t="n"/>
      <c r="F52" s="14" t="n"/>
      <c r="G52" s="14" t="n"/>
      <c r="H52" s="14" t="n"/>
      <c r="I52" s="14" t="n"/>
      <c r="J52" s="14" t="n"/>
      <c r="K52" s="14" t="n"/>
      <c r="L52" s="14" t="n"/>
      <c r="M52" s="14" t="n"/>
      <c r="N52" s="14" t="n"/>
      <c r="O52" s="14" t="n"/>
      <c r="P52" s="14" t="n"/>
    </row>
    <row r="53">
      <c r="A53">
        <f>IF(B53&lt;&gt;"","SVC-" &amp; TEXT(50,"000"),"")</f>
        <v/>
      </c>
      <c r="B53" s="14" t="n"/>
      <c r="C53" s="14" t="n"/>
      <c r="D53" s="14" t="n"/>
      <c r="E53" s="14" t="n"/>
      <c r="F53" s="14" t="n"/>
      <c r="G53" s="14" t="n"/>
      <c r="H53" s="14" t="n"/>
      <c r="I53" s="14" t="n"/>
      <c r="J53" s="14" t="n"/>
      <c r="K53" s="14" t="n"/>
      <c r="L53" s="14" t="n"/>
      <c r="M53" s="14" t="n"/>
      <c r="N53" s="14" t="n"/>
      <c r="O53" s="14" t="n"/>
      <c r="P53" s="14" t="n"/>
    </row>
    <row r="54">
      <c r="A54">
        <f>IF(B54&lt;&gt;"","SVC-" &amp; TEXT(51,"000"),"")</f>
        <v/>
      </c>
      <c r="B54" s="14" t="n"/>
      <c r="C54" s="14" t="n"/>
      <c r="D54" s="14" t="n"/>
      <c r="E54" s="14" t="n"/>
      <c r="F54" s="14" t="n"/>
      <c r="G54" s="14" t="n"/>
      <c r="H54" s="14" t="n"/>
      <c r="I54" s="14" t="n"/>
      <c r="J54" s="14" t="n"/>
      <c r="K54" s="14" t="n"/>
      <c r="L54" s="14" t="n"/>
      <c r="M54" s="14" t="n"/>
      <c r="N54" s="14" t="n"/>
      <c r="O54" s="14" t="n"/>
      <c r="P54" s="14" t="n"/>
    </row>
    <row r="55">
      <c r="A55">
        <f>IF(B55&lt;&gt;"","SVC-" &amp; TEXT(52,"000"),"")</f>
        <v/>
      </c>
      <c r="B55" s="14" t="n"/>
      <c r="C55" s="14" t="n"/>
      <c r="D55" s="14" t="n"/>
      <c r="E55" s="14" t="n"/>
      <c r="F55" s="14" t="n"/>
      <c r="G55" s="14" t="n"/>
      <c r="H55" s="14" t="n"/>
      <c r="I55" s="14" t="n"/>
      <c r="J55" s="14" t="n"/>
      <c r="K55" s="14" t="n"/>
      <c r="L55" s="14" t="n"/>
      <c r="M55" s="14" t="n"/>
      <c r="N55" s="14" t="n"/>
      <c r="O55" s="14" t="n"/>
      <c r="P55" s="14" t="n"/>
    </row>
    <row r="56">
      <c r="A56">
        <f>IF(B56&lt;&gt;"","SVC-" &amp; TEXT(53,"000"),"")</f>
        <v/>
      </c>
      <c r="B56" s="14" t="n"/>
      <c r="C56" s="14" t="n"/>
      <c r="D56" s="14" t="n"/>
      <c r="E56" s="14" t="n"/>
      <c r="F56" s="14" t="n"/>
      <c r="G56" s="14" t="n"/>
      <c r="H56" s="14" t="n"/>
      <c r="I56" s="14" t="n"/>
      <c r="J56" s="14" t="n"/>
      <c r="K56" s="14" t="n"/>
      <c r="L56" s="14" t="n"/>
      <c r="M56" s="14" t="n"/>
      <c r="N56" s="14" t="n"/>
      <c r="O56" s="14" t="n"/>
      <c r="P56" s="14" t="n"/>
    </row>
    <row r="57">
      <c r="A57">
        <f>IF(B57&lt;&gt;"","SVC-" &amp; TEXT(54,"000"),"")</f>
        <v/>
      </c>
      <c r="B57" s="14" t="n"/>
      <c r="C57" s="14" t="n"/>
      <c r="D57" s="14" t="n"/>
      <c r="E57" s="14" t="n"/>
      <c r="F57" s="14" t="n"/>
      <c r="G57" s="14" t="n"/>
      <c r="H57" s="14" t="n"/>
      <c r="I57" s="14" t="n"/>
      <c r="J57" s="14" t="n"/>
      <c r="K57" s="14" t="n"/>
      <c r="L57" s="14" t="n"/>
      <c r="M57" s="14" t="n"/>
      <c r="N57" s="14" t="n"/>
      <c r="O57" s="14" t="n"/>
      <c r="P57" s="14" t="n"/>
    </row>
    <row r="58">
      <c r="A58">
        <f>IF(B58&lt;&gt;"","SVC-" &amp; TEXT(55,"000"),"")</f>
        <v/>
      </c>
      <c r="B58" s="14" t="n"/>
      <c r="C58" s="14" t="n"/>
      <c r="D58" s="14" t="n"/>
      <c r="E58" s="14" t="n"/>
      <c r="F58" s="14" t="n"/>
      <c r="G58" s="14" t="n"/>
      <c r="H58" s="14" t="n"/>
      <c r="I58" s="14" t="n"/>
      <c r="J58" s="14" t="n"/>
      <c r="K58" s="14" t="n"/>
      <c r="L58" s="14" t="n"/>
      <c r="M58" s="14" t="n"/>
      <c r="N58" s="14" t="n"/>
      <c r="O58" s="14" t="n"/>
      <c r="P58" s="14" t="n"/>
    </row>
    <row r="59">
      <c r="A59">
        <f>IF(B59&lt;&gt;"","SVC-" &amp; TEXT(56,"000"),"")</f>
        <v/>
      </c>
      <c r="B59" s="14" t="n"/>
      <c r="C59" s="14" t="n"/>
      <c r="D59" s="14" t="n"/>
      <c r="E59" s="14" t="n"/>
      <c r="F59" s="14" t="n"/>
      <c r="G59" s="14" t="n"/>
      <c r="H59" s="14" t="n"/>
      <c r="I59" s="14" t="n"/>
      <c r="J59" s="14" t="n"/>
      <c r="K59" s="14" t="n"/>
      <c r="L59" s="14" t="n"/>
      <c r="M59" s="14" t="n"/>
      <c r="N59" s="14" t="n"/>
      <c r="O59" s="14" t="n"/>
      <c r="P59" s="14" t="n"/>
    </row>
    <row r="60">
      <c r="A60">
        <f>IF(B60&lt;&gt;"","SVC-" &amp; TEXT(57,"000"),"")</f>
        <v/>
      </c>
      <c r="B60" s="14" t="n"/>
      <c r="C60" s="14" t="n"/>
      <c r="D60" s="14" t="n"/>
      <c r="E60" s="14" t="n"/>
      <c r="F60" s="14" t="n"/>
      <c r="G60" s="14" t="n"/>
      <c r="H60" s="14" t="n"/>
      <c r="I60" s="14" t="n"/>
      <c r="J60" s="14" t="n"/>
      <c r="K60" s="14" t="n"/>
      <c r="L60" s="14" t="n"/>
      <c r="M60" s="14" t="n"/>
      <c r="N60" s="14" t="n"/>
      <c r="O60" s="14" t="n"/>
      <c r="P60" s="14" t="n"/>
    </row>
    <row r="61">
      <c r="A61">
        <f>IF(B61&lt;&gt;"","SVC-" &amp; TEXT(58,"000"),"")</f>
        <v/>
      </c>
      <c r="B61" s="14" t="n"/>
      <c r="C61" s="14" t="n"/>
      <c r="D61" s="14" t="n"/>
      <c r="E61" s="14" t="n"/>
      <c r="F61" s="14" t="n"/>
      <c r="G61" s="14" t="n"/>
      <c r="H61" s="14" t="n"/>
      <c r="I61" s="14" t="n"/>
      <c r="J61" s="14" t="n"/>
      <c r="K61" s="14" t="n"/>
      <c r="L61" s="14" t="n"/>
      <c r="M61" s="14" t="n"/>
      <c r="N61" s="14" t="n"/>
      <c r="O61" s="14" t="n"/>
      <c r="P61" s="14" t="n"/>
    </row>
    <row r="62">
      <c r="A62">
        <f>IF(B62&lt;&gt;"","SVC-" &amp; TEXT(59,"000"),"")</f>
        <v/>
      </c>
      <c r="B62" s="14" t="n"/>
      <c r="C62" s="14" t="n"/>
      <c r="D62" s="14" t="n"/>
      <c r="E62" s="14" t="n"/>
      <c r="F62" s="14" t="n"/>
      <c r="G62" s="14" t="n"/>
      <c r="H62" s="14" t="n"/>
      <c r="I62" s="14" t="n"/>
      <c r="J62" s="14" t="n"/>
      <c r="K62" s="14" t="n"/>
      <c r="L62" s="14" t="n"/>
      <c r="M62" s="14" t="n"/>
      <c r="N62" s="14" t="n"/>
      <c r="O62" s="14" t="n"/>
      <c r="P62" s="14" t="n"/>
    </row>
    <row r="63">
      <c r="A63">
        <f>IF(B63&lt;&gt;"","SVC-" &amp; TEXT(60,"000"),"")</f>
        <v/>
      </c>
      <c r="B63" s="14" t="n"/>
      <c r="C63" s="14" t="n"/>
      <c r="D63" s="14" t="n"/>
      <c r="E63" s="14" t="n"/>
      <c r="F63" s="14" t="n"/>
      <c r="G63" s="14" t="n"/>
      <c r="H63" s="14" t="n"/>
      <c r="I63" s="14" t="n"/>
      <c r="J63" s="14" t="n"/>
      <c r="K63" s="14" t="n"/>
      <c r="L63" s="14" t="n"/>
      <c r="M63" s="14" t="n"/>
      <c r="N63" s="14" t="n"/>
      <c r="O63" s="14" t="n"/>
      <c r="P63" s="14" t="n"/>
    </row>
    <row r="64">
      <c r="A64">
        <f>IF(B64&lt;&gt;"","SVC-" &amp; TEXT(61,"000"),"")</f>
        <v/>
      </c>
      <c r="B64" s="14" t="n"/>
      <c r="C64" s="14" t="n"/>
      <c r="D64" s="14" t="n"/>
      <c r="E64" s="14" t="n"/>
      <c r="F64" s="14" t="n"/>
      <c r="G64" s="14" t="n"/>
      <c r="H64" s="14" t="n"/>
      <c r="I64" s="14" t="n"/>
      <c r="J64" s="14" t="n"/>
      <c r="K64" s="14" t="n"/>
      <c r="L64" s="14" t="n"/>
      <c r="M64" s="14" t="n"/>
      <c r="N64" s="14" t="n"/>
      <c r="O64" s="14" t="n"/>
      <c r="P64" s="14" t="n"/>
    </row>
    <row r="65">
      <c r="A65">
        <f>IF(B65&lt;&gt;"","SVC-" &amp; TEXT(62,"000"),"")</f>
        <v/>
      </c>
      <c r="B65" s="14" t="n"/>
      <c r="C65" s="14" t="n"/>
      <c r="D65" s="14" t="n"/>
      <c r="E65" s="14" t="n"/>
      <c r="F65" s="14" t="n"/>
      <c r="G65" s="14" t="n"/>
      <c r="H65" s="14" t="n"/>
      <c r="I65" s="14" t="n"/>
      <c r="J65" s="14" t="n"/>
      <c r="K65" s="14" t="n"/>
      <c r="L65" s="14" t="n"/>
      <c r="M65" s="14" t="n"/>
      <c r="N65" s="14" t="n"/>
      <c r="O65" s="14" t="n"/>
      <c r="P65" s="14" t="n"/>
    </row>
    <row r="66">
      <c r="A66">
        <f>IF(B66&lt;&gt;"","SVC-" &amp; TEXT(63,"000"),"")</f>
        <v/>
      </c>
      <c r="B66" s="14" t="n"/>
      <c r="C66" s="14" t="n"/>
      <c r="D66" s="14" t="n"/>
      <c r="E66" s="14" t="n"/>
      <c r="F66" s="14" t="n"/>
      <c r="G66" s="14" t="n"/>
      <c r="H66" s="14" t="n"/>
      <c r="I66" s="14" t="n"/>
      <c r="J66" s="14" t="n"/>
      <c r="K66" s="14" t="n"/>
      <c r="L66" s="14" t="n"/>
      <c r="M66" s="14" t="n"/>
      <c r="N66" s="14" t="n"/>
      <c r="O66" s="14" t="n"/>
      <c r="P66" s="14" t="n"/>
    </row>
    <row r="67">
      <c r="A67">
        <f>IF(B67&lt;&gt;"","SVC-" &amp; TEXT(64,"000"),"")</f>
        <v/>
      </c>
      <c r="B67" s="14" t="n"/>
      <c r="C67" s="14" t="n"/>
      <c r="D67" s="14" t="n"/>
      <c r="E67" s="14" t="n"/>
      <c r="F67" s="14" t="n"/>
      <c r="G67" s="14" t="n"/>
      <c r="H67" s="14" t="n"/>
      <c r="I67" s="14" t="n"/>
      <c r="J67" s="14" t="n"/>
      <c r="K67" s="14" t="n"/>
      <c r="L67" s="14" t="n"/>
      <c r="M67" s="14" t="n"/>
      <c r="N67" s="14" t="n"/>
      <c r="O67" s="14" t="n"/>
      <c r="P67" s="14" t="n"/>
    </row>
    <row r="68">
      <c r="A68">
        <f>IF(B68&lt;&gt;"","SVC-" &amp; TEXT(65,"000"),"")</f>
        <v/>
      </c>
      <c r="B68" s="14" t="n"/>
      <c r="C68" s="14" t="n"/>
      <c r="D68" s="14" t="n"/>
      <c r="E68" s="14" t="n"/>
      <c r="F68" s="14" t="n"/>
      <c r="G68" s="14" t="n"/>
      <c r="H68" s="14" t="n"/>
      <c r="I68" s="14" t="n"/>
      <c r="J68" s="14" t="n"/>
      <c r="K68" s="14" t="n"/>
      <c r="L68" s="14" t="n"/>
      <c r="M68" s="14" t="n"/>
      <c r="N68" s="14" t="n"/>
      <c r="O68" s="14" t="n"/>
      <c r="P68" s="14" t="n"/>
    </row>
    <row r="69">
      <c r="A69">
        <f>IF(B69&lt;&gt;"","SVC-" &amp; TEXT(66,"000"),"")</f>
        <v/>
      </c>
      <c r="B69" s="14" t="n"/>
      <c r="C69" s="14" t="n"/>
      <c r="D69" s="14" t="n"/>
      <c r="E69" s="14" t="n"/>
      <c r="F69" s="14" t="n"/>
      <c r="G69" s="14" t="n"/>
      <c r="H69" s="14" t="n"/>
      <c r="I69" s="14" t="n"/>
      <c r="J69" s="14" t="n"/>
      <c r="K69" s="14" t="n"/>
      <c r="L69" s="14" t="n"/>
      <c r="M69" s="14" t="n"/>
      <c r="N69" s="14" t="n"/>
      <c r="O69" s="14" t="n"/>
      <c r="P69" s="14" t="n"/>
    </row>
    <row r="70">
      <c r="A70">
        <f>IF(B70&lt;&gt;"","SVC-" &amp; TEXT(67,"000"),"")</f>
        <v/>
      </c>
      <c r="B70" s="14" t="n"/>
      <c r="C70" s="14" t="n"/>
      <c r="D70" s="14" t="n"/>
      <c r="E70" s="14" t="n"/>
      <c r="F70" s="14" t="n"/>
      <c r="G70" s="14" t="n"/>
      <c r="H70" s="14" t="n"/>
      <c r="I70" s="14" t="n"/>
      <c r="J70" s="14" t="n"/>
      <c r="K70" s="14" t="n"/>
      <c r="L70" s="14" t="n"/>
      <c r="M70" s="14" t="n"/>
      <c r="N70" s="14" t="n"/>
      <c r="O70" s="14" t="n"/>
      <c r="P70" s="14" t="n"/>
    </row>
    <row r="71">
      <c r="A71">
        <f>IF(B71&lt;&gt;"","SVC-" &amp; TEXT(68,"000"),"")</f>
        <v/>
      </c>
      <c r="B71" s="14" t="n"/>
      <c r="C71" s="14" t="n"/>
      <c r="D71" s="14" t="n"/>
      <c r="E71" s="14" t="n"/>
      <c r="F71" s="14" t="n"/>
      <c r="G71" s="14" t="n"/>
      <c r="H71" s="14" t="n"/>
      <c r="I71" s="14" t="n"/>
      <c r="J71" s="14" t="n"/>
      <c r="K71" s="14" t="n"/>
      <c r="L71" s="14" t="n"/>
      <c r="M71" s="14" t="n"/>
      <c r="N71" s="14" t="n"/>
      <c r="O71" s="14" t="n"/>
      <c r="P71" s="14" t="n"/>
    </row>
    <row r="72">
      <c r="A72">
        <f>IF(B72&lt;&gt;"","SVC-" &amp; TEXT(69,"000"),"")</f>
        <v/>
      </c>
      <c r="B72" s="14" t="n"/>
      <c r="C72" s="14" t="n"/>
      <c r="D72" s="14" t="n"/>
      <c r="E72" s="14" t="n"/>
      <c r="F72" s="14" t="n"/>
      <c r="G72" s="14" t="n"/>
      <c r="H72" s="14" t="n"/>
      <c r="I72" s="14" t="n"/>
      <c r="J72" s="14" t="n"/>
      <c r="K72" s="14" t="n"/>
      <c r="L72" s="14" t="n"/>
      <c r="M72" s="14" t="n"/>
      <c r="N72" s="14" t="n"/>
      <c r="O72" s="14" t="n"/>
      <c r="P72" s="14" t="n"/>
    </row>
    <row r="73">
      <c r="A73">
        <f>IF(B73&lt;&gt;"","SVC-" &amp; TEXT(70,"000"),"")</f>
        <v/>
      </c>
      <c r="B73" s="14" t="n"/>
      <c r="C73" s="14" t="n"/>
      <c r="D73" s="14" t="n"/>
      <c r="E73" s="14" t="n"/>
      <c r="F73" s="14" t="n"/>
      <c r="G73" s="14" t="n"/>
      <c r="H73" s="14" t="n"/>
      <c r="I73" s="14" t="n"/>
      <c r="J73" s="14" t="n"/>
      <c r="K73" s="14" t="n"/>
      <c r="L73" s="14" t="n"/>
      <c r="M73" s="14" t="n"/>
      <c r="N73" s="14" t="n"/>
      <c r="O73" s="14" t="n"/>
      <c r="P73" s="14" t="n"/>
    </row>
    <row r="74">
      <c r="A74">
        <f>IF(B74&lt;&gt;"","SVC-" &amp; TEXT(71,"000"),"")</f>
        <v/>
      </c>
      <c r="B74" s="14" t="n"/>
      <c r="C74" s="14" t="n"/>
      <c r="D74" s="14" t="n"/>
      <c r="E74" s="14" t="n"/>
      <c r="F74" s="14" t="n"/>
      <c r="G74" s="14" t="n"/>
      <c r="H74" s="14" t="n"/>
      <c r="I74" s="14" t="n"/>
      <c r="J74" s="14" t="n"/>
      <c r="K74" s="14" t="n"/>
      <c r="L74" s="14" t="n"/>
      <c r="M74" s="14" t="n"/>
      <c r="N74" s="14" t="n"/>
      <c r="O74" s="14" t="n"/>
      <c r="P74" s="14" t="n"/>
    </row>
    <row r="75">
      <c r="A75">
        <f>IF(B75&lt;&gt;"","SVC-" &amp; TEXT(72,"000"),"")</f>
        <v/>
      </c>
      <c r="B75" s="14" t="n"/>
      <c r="C75" s="14" t="n"/>
      <c r="D75" s="14" t="n"/>
      <c r="E75" s="14" t="n"/>
      <c r="F75" s="14" t="n"/>
      <c r="G75" s="14" t="n"/>
      <c r="H75" s="14" t="n"/>
      <c r="I75" s="14" t="n"/>
      <c r="J75" s="14" t="n"/>
      <c r="K75" s="14" t="n"/>
      <c r="L75" s="14" t="n"/>
      <c r="M75" s="14" t="n"/>
      <c r="N75" s="14" t="n"/>
      <c r="O75" s="14" t="n"/>
      <c r="P75" s="14" t="n"/>
    </row>
    <row r="76">
      <c r="A76">
        <f>IF(B76&lt;&gt;"","SVC-" &amp; TEXT(73,"000"),"")</f>
        <v/>
      </c>
      <c r="B76" s="14" t="n"/>
      <c r="C76" s="14" t="n"/>
      <c r="D76" s="14" t="n"/>
      <c r="E76" s="14" t="n"/>
      <c r="F76" s="14" t="n"/>
      <c r="G76" s="14" t="n"/>
      <c r="H76" s="14" t="n"/>
      <c r="I76" s="14" t="n"/>
      <c r="J76" s="14" t="n"/>
      <c r="K76" s="14" t="n"/>
      <c r="L76" s="14" t="n"/>
      <c r="M76" s="14" t="n"/>
      <c r="N76" s="14" t="n"/>
      <c r="O76" s="14" t="n"/>
      <c r="P76" s="14" t="n"/>
    </row>
    <row r="77">
      <c r="A77">
        <f>IF(B77&lt;&gt;"","SVC-" &amp; TEXT(74,"000"),"")</f>
        <v/>
      </c>
      <c r="B77" s="14" t="n"/>
      <c r="C77" s="14" t="n"/>
      <c r="D77" s="14" t="n"/>
      <c r="E77" s="14" t="n"/>
      <c r="F77" s="14" t="n"/>
      <c r="G77" s="14" t="n"/>
      <c r="H77" s="14" t="n"/>
      <c r="I77" s="14" t="n"/>
      <c r="J77" s="14" t="n"/>
      <c r="K77" s="14" t="n"/>
      <c r="L77" s="14" t="n"/>
      <c r="M77" s="14" t="n"/>
      <c r="N77" s="14" t="n"/>
      <c r="O77" s="14" t="n"/>
      <c r="P77" s="14" t="n"/>
    </row>
    <row r="78">
      <c r="A78">
        <f>IF(B78&lt;&gt;"","SVC-" &amp; TEXT(75,"000"),"")</f>
        <v/>
      </c>
      <c r="B78" s="14" t="n"/>
      <c r="C78" s="14" t="n"/>
      <c r="D78" s="14" t="n"/>
      <c r="E78" s="14" t="n"/>
      <c r="F78" s="14" t="n"/>
      <c r="G78" s="14" t="n"/>
      <c r="H78" s="14" t="n"/>
      <c r="I78" s="14" t="n"/>
      <c r="J78" s="14" t="n"/>
      <c r="K78" s="14" t="n"/>
      <c r="L78" s="14" t="n"/>
      <c r="M78" s="14" t="n"/>
      <c r="N78" s="14" t="n"/>
      <c r="O78" s="14" t="n"/>
      <c r="P78" s="14" t="n"/>
    </row>
    <row r="79">
      <c r="A79">
        <f>IF(B79&lt;&gt;"","SVC-" &amp; TEXT(76,"000"),"")</f>
        <v/>
      </c>
      <c r="B79" s="14" t="n"/>
      <c r="C79" s="14" t="n"/>
      <c r="D79" s="14" t="n"/>
      <c r="E79" s="14" t="n"/>
      <c r="F79" s="14" t="n"/>
      <c r="G79" s="14" t="n"/>
      <c r="H79" s="14" t="n"/>
      <c r="I79" s="14" t="n"/>
      <c r="J79" s="14" t="n"/>
      <c r="K79" s="14" t="n"/>
      <c r="L79" s="14" t="n"/>
      <c r="M79" s="14" t="n"/>
      <c r="N79" s="14" t="n"/>
      <c r="O79" s="14" t="n"/>
      <c r="P79" s="14" t="n"/>
    </row>
    <row r="80">
      <c r="A80">
        <f>IF(B80&lt;&gt;"","SVC-" &amp; TEXT(77,"000"),"")</f>
        <v/>
      </c>
      <c r="B80" s="14" t="n"/>
      <c r="C80" s="14" t="n"/>
      <c r="D80" s="14" t="n"/>
      <c r="E80" s="14" t="n"/>
      <c r="F80" s="14" t="n"/>
      <c r="G80" s="14" t="n"/>
      <c r="H80" s="14" t="n"/>
      <c r="I80" s="14" t="n"/>
      <c r="J80" s="14" t="n"/>
      <c r="K80" s="14" t="n"/>
      <c r="L80" s="14" t="n"/>
      <c r="M80" s="14" t="n"/>
      <c r="N80" s="14" t="n"/>
      <c r="O80" s="14" t="n"/>
      <c r="P80" s="14" t="n"/>
    </row>
    <row r="81">
      <c r="A81">
        <f>IF(B81&lt;&gt;"","SVC-" &amp; TEXT(78,"000"),"")</f>
        <v/>
      </c>
      <c r="B81" s="14" t="n"/>
      <c r="C81" s="14" t="n"/>
      <c r="D81" s="14" t="n"/>
      <c r="E81" s="14" t="n"/>
      <c r="F81" s="14" t="n"/>
      <c r="G81" s="14" t="n"/>
      <c r="H81" s="14" t="n"/>
      <c r="I81" s="14" t="n"/>
      <c r="J81" s="14" t="n"/>
      <c r="K81" s="14" t="n"/>
      <c r="L81" s="14" t="n"/>
      <c r="M81" s="14" t="n"/>
      <c r="N81" s="14" t="n"/>
      <c r="O81" s="14" t="n"/>
      <c r="P81" s="14" t="n"/>
    </row>
    <row r="82">
      <c r="A82">
        <f>IF(B82&lt;&gt;"","SVC-" &amp; TEXT(79,"000"),"")</f>
        <v/>
      </c>
      <c r="B82" s="14" t="n"/>
      <c r="C82" s="14" t="n"/>
      <c r="D82" s="14" t="n"/>
      <c r="E82" s="14" t="n"/>
      <c r="F82" s="14" t="n"/>
      <c r="G82" s="14" t="n"/>
      <c r="H82" s="14" t="n"/>
      <c r="I82" s="14" t="n"/>
      <c r="J82" s="14" t="n"/>
      <c r="K82" s="14" t="n"/>
      <c r="L82" s="14" t="n"/>
      <c r="M82" s="14" t="n"/>
      <c r="N82" s="14" t="n"/>
      <c r="O82" s="14" t="n"/>
      <c r="P82" s="14" t="n"/>
    </row>
    <row r="83">
      <c r="A83">
        <f>IF(B83&lt;&gt;"","SVC-" &amp; TEXT(80,"000"),"")</f>
        <v/>
      </c>
      <c r="B83" s="14" t="n"/>
      <c r="C83" s="14" t="n"/>
      <c r="D83" s="14" t="n"/>
      <c r="E83" s="14" t="n"/>
      <c r="F83" s="14" t="n"/>
      <c r="G83" s="14" t="n"/>
      <c r="H83" s="14" t="n"/>
      <c r="I83" s="14" t="n"/>
      <c r="J83" s="14" t="n"/>
      <c r="K83" s="14" t="n"/>
      <c r="L83" s="14" t="n"/>
      <c r="M83" s="14" t="n"/>
      <c r="N83" s="14" t="n"/>
      <c r="O83" s="14" t="n"/>
      <c r="P83" s="14" t="n"/>
    </row>
    <row r="84">
      <c r="A84">
        <f>IF(B84&lt;&gt;"","SVC-" &amp; TEXT(81,"000"),"")</f>
        <v/>
      </c>
      <c r="B84" s="14" t="n"/>
      <c r="C84" s="14" t="n"/>
      <c r="D84" s="14" t="n"/>
      <c r="E84" s="14" t="n"/>
      <c r="F84" s="14" t="n"/>
      <c r="G84" s="14" t="n"/>
      <c r="H84" s="14" t="n"/>
      <c r="I84" s="14" t="n"/>
      <c r="J84" s="14" t="n"/>
      <c r="K84" s="14" t="n"/>
      <c r="L84" s="14" t="n"/>
      <c r="M84" s="14" t="n"/>
      <c r="N84" s="14" t="n"/>
      <c r="O84" s="14" t="n"/>
      <c r="P84" s="14" t="n"/>
    </row>
    <row r="85">
      <c r="A85">
        <f>IF(B85&lt;&gt;"","SVC-" &amp; TEXT(82,"000"),"")</f>
        <v/>
      </c>
      <c r="B85" s="14" t="n"/>
      <c r="C85" s="14" t="n"/>
      <c r="D85" s="14" t="n"/>
      <c r="E85" s="14" t="n"/>
      <c r="F85" s="14" t="n"/>
      <c r="G85" s="14" t="n"/>
      <c r="H85" s="14" t="n"/>
      <c r="I85" s="14" t="n"/>
      <c r="J85" s="14" t="n"/>
      <c r="K85" s="14" t="n"/>
      <c r="L85" s="14" t="n"/>
      <c r="M85" s="14" t="n"/>
      <c r="N85" s="14" t="n"/>
      <c r="O85" s="14" t="n"/>
      <c r="P85" s="14" t="n"/>
    </row>
    <row r="86">
      <c r="A86">
        <f>IF(B86&lt;&gt;"","SVC-" &amp; TEXT(83,"000"),"")</f>
        <v/>
      </c>
      <c r="B86" s="14" t="n"/>
      <c r="C86" s="14" t="n"/>
      <c r="D86" s="14" t="n"/>
      <c r="E86" s="14" t="n"/>
      <c r="F86" s="14" t="n"/>
      <c r="G86" s="14" t="n"/>
      <c r="H86" s="14" t="n"/>
      <c r="I86" s="14" t="n"/>
      <c r="J86" s="14" t="n"/>
      <c r="K86" s="14" t="n"/>
      <c r="L86" s="14" t="n"/>
      <c r="M86" s="14" t="n"/>
      <c r="N86" s="14" t="n"/>
      <c r="O86" s="14" t="n"/>
      <c r="P86" s="14" t="n"/>
    </row>
    <row r="87">
      <c r="A87">
        <f>IF(B87&lt;&gt;"","SVC-" &amp; TEXT(84,"000"),"")</f>
        <v/>
      </c>
      <c r="B87" s="14" t="n"/>
      <c r="C87" s="14" t="n"/>
      <c r="D87" s="14" t="n"/>
      <c r="E87" s="14" t="n"/>
      <c r="F87" s="14" t="n"/>
      <c r="G87" s="14" t="n"/>
      <c r="H87" s="14" t="n"/>
      <c r="I87" s="14" t="n"/>
      <c r="J87" s="14" t="n"/>
      <c r="K87" s="14" t="n"/>
      <c r="L87" s="14" t="n"/>
      <c r="M87" s="14" t="n"/>
      <c r="N87" s="14" t="n"/>
      <c r="O87" s="14" t="n"/>
      <c r="P87" s="14" t="n"/>
    </row>
    <row r="88">
      <c r="A88">
        <f>IF(B88&lt;&gt;"","SVC-" &amp; TEXT(85,"000"),"")</f>
        <v/>
      </c>
      <c r="B88" s="14" t="n"/>
      <c r="C88" s="14" t="n"/>
      <c r="D88" s="14" t="n"/>
      <c r="E88" s="14" t="n"/>
      <c r="F88" s="14" t="n"/>
      <c r="G88" s="14" t="n"/>
      <c r="H88" s="14" t="n"/>
      <c r="I88" s="14" t="n"/>
      <c r="J88" s="14" t="n"/>
      <c r="K88" s="14" t="n"/>
      <c r="L88" s="14" t="n"/>
      <c r="M88" s="14" t="n"/>
      <c r="N88" s="14" t="n"/>
      <c r="O88" s="14" t="n"/>
      <c r="P88" s="14" t="n"/>
    </row>
    <row r="89">
      <c r="A89">
        <f>IF(B89&lt;&gt;"","SVC-" &amp; TEXT(86,"000"),"")</f>
        <v/>
      </c>
      <c r="B89" s="14" t="n"/>
      <c r="C89" s="14" t="n"/>
      <c r="D89" s="14" t="n"/>
      <c r="E89" s="14" t="n"/>
      <c r="F89" s="14" t="n"/>
      <c r="G89" s="14" t="n"/>
      <c r="H89" s="14" t="n"/>
      <c r="I89" s="14" t="n"/>
      <c r="J89" s="14" t="n"/>
      <c r="K89" s="14" t="n"/>
      <c r="L89" s="14" t="n"/>
      <c r="M89" s="14" t="n"/>
      <c r="N89" s="14" t="n"/>
      <c r="O89" s="14" t="n"/>
      <c r="P89" s="14" t="n"/>
    </row>
    <row r="90">
      <c r="A90">
        <f>IF(B90&lt;&gt;"","SVC-" &amp; TEXT(87,"000"),"")</f>
        <v/>
      </c>
      <c r="B90" s="14" t="n"/>
      <c r="C90" s="14" t="n"/>
      <c r="D90" s="14" t="n"/>
      <c r="E90" s="14" t="n"/>
      <c r="F90" s="14" t="n"/>
      <c r="G90" s="14" t="n"/>
      <c r="H90" s="14" t="n"/>
      <c r="I90" s="14" t="n"/>
      <c r="J90" s="14" t="n"/>
      <c r="K90" s="14" t="n"/>
      <c r="L90" s="14" t="n"/>
      <c r="M90" s="14" t="n"/>
      <c r="N90" s="14" t="n"/>
      <c r="O90" s="14" t="n"/>
      <c r="P90" s="14" t="n"/>
    </row>
    <row r="91">
      <c r="A91">
        <f>IF(B91&lt;&gt;"","SVC-" &amp; TEXT(88,"000"),"")</f>
        <v/>
      </c>
      <c r="B91" s="14" t="n"/>
      <c r="C91" s="14" t="n"/>
      <c r="D91" s="14" t="n"/>
      <c r="E91" s="14" t="n"/>
      <c r="F91" s="14" t="n"/>
      <c r="G91" s="14" t="n"/>
      <c r="H91" s="14" t="n"/>
      <c r="I91" s="14" t="n"/>
      <c r="J91" s="14" t="n"/>
      <c r="K91" s="14" t="n"/>
      <c r="L91" s="14" t="n"/>
      <c r="M91" s="14" t="n"/>
      <c r="N91" s="14" t="n"/>
      <c r="O91" s="14" t="n"/>
      <c r="P91" s="14" t="n"/>
    </row>
    <row r="92">
      <c r="A92">
        <f>IF(B92&lt;&gt;"","SVC-" &amp; TEXT(89,"000"),"")</f>
        <v/>
      </c>
      <c r="B92" s="14" t="n"/>
      <c r="C92" s="14" t="n"/>
      <c r="D92" s="14" t="n"/>
      <c r="E92" s="14" t="n"/>
      <c r="F92" s="14" t="n"/>
      <c r="G92" s="14" t="n"/>
      <c r="H92" s="14" t="n"/>
      <c r="I92" s="14" t="n"/>
      <c r="J92" s="14" t="n"/>
      <c r="K92" s="14" t="n"/>
      <c r="L92" s="14" t="n"/>
      <c r="M92" s="14" t="n"/>
      <c r="N92" s="14" t="n"/>
      <c r="O92" s="14" t="n"/>
      <c r="P92" s="14" t="n"/>
    </row>
    <row r="93">
      <c r="A93">
        <f>IF(B93&lt;&gt;"","SVC-" &amp; TEXT(90,"000"),"")</f>
        <v/>
      </c>
      <c r="B93" s="14" t="n"/>
      <c r="C93" s="14" t="n"/>
      <c r="D93" s="14" t="n"/>
      <c r="E93" s="14" t="n"/>
      <c r="F93" s="14" t="n"/>
      <c r="G93" s="14" t="n"/>
      <c r="H93" s="14" t="n"/>
      <c r="I93" s="14" t="n"/>
      <c r="J93" s="14" t="n"/>
      <c r="K93" s="14" t="n"/>
      <c r="L93" s="14" t="n"/>
      <c r="M93" s="14" t="n"/>
      <c r="N93" s="14" t="n"/>
      <c r="O93" s="14" t="n"/>
      <c r="P93" s="14" t="n"/>
    </row>
    <row r="94">
      <c r="A94">
        <f>IF(B94&lt;&gt;"","SVC-" &amp; TEXT(91,"000"),"")</f>
        <v/>
      </c>
      <c r="B94" s="14" t="n"/>
      <c r="C94" s="14" t="n"/>
      <c r="D94" s="14" t="n"/>
      <c r="E94" s="14" t="n"/>
      <c r="F94" s="14" t="n"/>
      <c r="G94" s="14" t="n"/>
      <c r="H94" s="14" t="n"/>
      <c r="I94" s="14" t="n"/>
      <c r="J94" s="14" t="n"/>
      <c r="K94" s="14" t="n"/>
      <c r="L94" s="14" t="n"/>
      <c r="M94" s="14" t="n"/>
      <c r="N94" s="14" t="n"/>
      <c r="O94" s="14" t="n"/>
      <c r="P94" s="14" t="n"/>
    </row>
    <row r="95">
      <c r="A95">
        <f>IF(B95&lt;&gt;"","SVC-" &amp; TEXT(92,"000"),"")</f>
        <v/>
      </c>
      <c r="B95" s="14" t="n"/>
      <c r="C95" s="14" t="n"/>
      <c r="D95" s="14" t="n"/>
      <c r="E95" s="14" t="n"/>
      <c r="F95" s="14" t="n"/>
      <c r="G95" s="14" t="n"/>
      <c r="H95" s="14" t="n"/>
      <c r="I95" s="14" t="n"/>
      <c r="J95" s="14" t="n"/>
      <c r="K95" s="14" t="n"/>
      <c r="L95" s="14" t="n"/>
      <c r="M95" s="14" t="n"/>
      <c r="N95" s="14" t="n"/>
      <c r="O95" s="14" t="n"/>
      <c r="P95" s="14" t="n"/>
    </row>
    <row r="96">
      <c r="A96">
        <f>IF(B96&lt;&gt;"","SVC-" &amp; TEXT(93,"000"),"")</f>
        <v/>
      </c>
      <c r="B96" s="14" t="n"/>
      <c r="C96" s="14" t="n"/>
      <c r="D96" s="14" t="n"/>
      <c r="E96" s="14" t="n"/>
      <c r="F96" s="14" t="n"/>
      <c r="G96" s="14" t="n"/>
      <c r="H96" s="14" t="n"/>
      <c r="I96" s="14" t="n"/>
      <c r="J96" s="14" t="n"/>
      <c r="K96" s="14" t="n"/>
      <c r="L96" s="14" t="n"/>
      <c r="M96" s="14" t="n"/>
      <c r="N96" s="14" t="n"/>
      <c r="O96" s="14" t="n"/>
      <c r="P96" s="14" t="n"/>
    </row>
    <row r="97">
      <c r="A97">
        <f>IF(B97&lt;&gt;"","SVC-" &amp; TEXT(94,"000"),"")</f>
        <v/>
      </c>
      <c r="B97" s="14" t="n"/>
      <c r="C97" s="14" t="n"/>
      <c r="D97" s="14" t="n"/>
      <c r="E97" s="14" t="n"/>
      <c r="F97" s="14" t="n"/>
      <c r="G97" s="14" t="n"/>
      <c r="H97" s="14" t="n"/>
      <c r="I97" s="14" t="n"/>
      <c r="J97" s="14" t="n"/>
      <c r="K97" s="14" t="n"/>
      <c r="L97" s="14" t="n"/>
      <c r="M97" s="14" t="n"/>
      <c r="N97" s="14" t="n"/>
      <c r="O97" s="14" t="n"/>
      <c r="P97" s="14" t="n"/>
    </row>
    <row r="98">
      <c r="A98">
        <f>IF(B98&lt;&gt;"","SVC-" &amp; TEXT(95,"000"),"")</f>
        <v/>
      </c>
      <c r="B98" s="14" t="n"/>
      <c r="C98" s="14" t="n"/>
      <c r="D98" s="14" t="n"/>
      <c r="E98" s="14" t="n"/>
      <c r="F98" s="14" t="n"/>
      <c r="G98" s="14" t="n"/>
      <c r="H98" s="14" t="n"/>
      <c r="I98" s="14" t="n"/>
      <c r="J98" s="14" t="n"/>
      <c r="K98" s="14" t="n"/>
      <c r="L98" s="14" t="n"/>
      <c r="M98" s="14" t="n"/>
      <c r="N98" s="14" t="n"/>
      <c r="O98" s="14" t="n"/>
      <c r="P98" s="14" t="n"/>
    </row>
    <row r="99">
      <c r="A99">
        <f>IF(B99&lt;&gt;"","SVC-" &amp; TEXT(96,"000"),"")</f>
        <v/>
      </c>
      <c r="B99" s="14" t="n"/>
      <c r="C99" s="14" t="n"/>
      <c r="D99" s="14" t="n"/>
      <c r="E99" s="14" t="n"/>
      <c r="F99" s="14" t="n"/>
      <c r="G99" s="14" t="n"/>
      <c r="H99" s="14" t="n"/>
      <c r="I99" s="14" t="n"/>
      <c r="J99" s="14" t="n"/>
      <c r="K99" s="14" t="n"/>
      <c r="L99" s="14" t="n"/>
      <c r="M99" s="14" t="n"/>
      <c r="N99" s="14" t="n"/>
      <c r="O99" s="14" t="n"/>
      <c r="P99" s="14" t="n"/>
    </row>
    <row r="100">
      <c r="A100">
        <f>IF(B100&lt;&gt;"","SVC-" &amp; TEXT(97,"000"),"")</f>
        <v/>
      </c>
      <c r="B100" s="14" t="n"/>
      <c r="C100" s="14" t="n"/>
      <c r="D100" s="14" t="n"/>
      <c r="E100" s="14" t="n"/>
      <c r="F100" s="14" t="n"/>
      <c r="G100" s="14" t="n"/>
      <c r="H100" s="14" t="n"/>
      <c r="I100" s="14" t="n"/>
      <c r="J100" s="14" t="n"/>
      <c r="K100" s="14" t="n"/>
      <c r="L100" s="14" t="n"/>
      <c r="M100" s="14" t="n"/>
      <c r="N100" s="14" t="n"/>
      <c r="O100" s="14" t="n"/>
      <c r="P100" s="14" t="n"/>
    </row>
    <row r="101">
      <c r="A101">
        <f>IF(B101&lt;&gt;"","SVC-" &amp; TEXT(98,"000"),"")</f>
        <v/>
      </c>
      <c r="B101" s="14" t="n"/>
      <c r="C101" s="14" t="n"/>
      <c r="D101" s="14" t="n"/>
      <c r="E101" s="14" t="n"/>
      <c r="F101" s="14" t="n"/>
      <c r="G101" s="14" t="n"/>
      <c r="H101" s="14" t="n"/>
      <c r="I101" s="14" t="n"/>
      <c r="J101" s="14" t="n"/>
      <c r="K101" s="14" t="n"/>
      <c r="L101" s="14" t="n"/>
      <c r="M101" s="14" t="n"/>
      <c r="N101" s="14" t="n"/>
      <c r="O101" s="14" t="n"/>
      <c r="P101" s="14" t="n"/>
    </row>
    <row r="102">
      <c r="A102">
        <f>IF(B102&lt;&gt;"","SVC-" &amp; TEXT(99,"000"),"")</f>
        <v/>
      </c>
      <c r="B102" s="14" t="n"/>
      <c r="C102" s="14" t="n"/>
      <c r="D102" s="14" t="n"/>
      <c r="E102" s="14" t="n"/>
      <c r="F102" s="14" t="n"/>
      <c r="G102" s="14" t="n"/>
      <c r="H102" s="14" t="n"/>
      <c r="I102" s="14" t="n"/>
      <c r="J102" s="14" t="n"/>
      <c r="K102" s="14" t="n"/>
      <c r="L102" s="14" t="n"/>
      <c r="M102" s="14" t="n"/>
      <c r="N102" s="14" t="n"/>
      <c r="O102" s="14" t="n"/>
      <c r="P102" s="14" t="n"/>
    </row>
    <row r="103">
      <c r="A103">
        <f>IF(B103&lt;&gt;"","SVC-" &amp; TEXT(100,"000"),"")</f>
        <v/>
      </c>
      <c r="B103" s="14" t="n"/>
      <c r="C103" s="14" t="n"/>
      <c r="D103" s="14" t="n"/>
      <c r="E103" s="14" t="n"/>
      <c r="F103" s="14" t="n"/>
      <c r="G103" s="14" t="n"/>
      <c r="H103" s="14" t="n"/>
      <c r="I103" s="14" t="n"/>
      <c r="J103" s="14" t="n"/>
      <c r="K103" s="14" t="n"/>
      <c r="L103" s="14" t="n"/>
      <c r="M103" s="14" t="n"/>
      <c r="N103" s="14" t="n"/>
      <c r="O103" s="14" t="n"/>
      <c r="P103" s="14" t="n"/>
    </row>
  </sheetData>
  <mergeCells count="2">
    <mergeCell ref="A1:P1"/>
    <mergeCell ref="A2:P2"/>
  </mergeCells>
  <conditionalFormatting sqref="H4:H10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5">
    <dataValidation sqref="B4:B103" showDropDown="0" showInputMessage="0" showErrorMessage="0" allowBlank="0" errorTitle="Service Type Error" error="Invalid service type" type="list">
      <formula1>"DNS,DHCP,NTP,Proxy/Web Filter,Load Balancer,RADIUS/TACACS+ (AAA),SNMP,Syslog,SMTP Relay,FTP/SFTP,Other"</formula1>
    </dataValidation>
    <dataValidation sqref="H4:H103" showDropDown="0" showInputMessage="0" showErrorMessage="0" allowBlank="0" type="list">
      <formula1>"Critical,High,Medium,Low"</formula1>
    </dataValidation>
    <dataValidation sqref="I4:I103" showDropDown="0" showInputMessage="0" showErrorMessage="0" allowBlank="1" type="list">
      <formula1>"Active-Active,Active-Passive,Clustered,Single Point of Failure,N/A"</formula1>
    </dataValidation>
    <dataValidation sqref="J4:J103" showDropDown="0" showInputMessage="0" showErrorMessage="0" allowBlank="1" type="list">
      <formula1>"Monitored,Not Monitored,Partially Monitored"</formula1>
    </dataValidation>
    <dataValidation sqref="N4:N103" showDropDown="0" showInputMessage="0" showErrorMessage="0" allowBlank="0" type="list">
      <formula1>"Active,Offline,Planned,Decommissioned"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6"/>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s>
  <sheetData>
    <row r="1" ht="35" customHeight="1">
      <c r="A1" s="11" t="inlineStr">
        <is>
          <t>DNS SECURITY ASSESSMENT</t>
        </is>
      </c>
    </row>
    <row r="2">
      <c r="A2" s="12" t="inlineStr">
        <is>
          <t>Assess DNS security controls per IMP-S4 guidance. One row per DNS service instance.</t>
        </is>
      </c>
    </row>
    <row r="3">
      <c r="A3" s="13" t="inlineStr">
        <is>
          <t>Service ID</t>
        </is>
      </c>
      <c r="B3" s="13" t="inlineStr">
        <is>
          <t>DNS Type</t>
        </is>
      </c>
      <c r="C3" s="13" t="inlineStr">
        <is>
          <t>DNSSEC Enabled</t>
        </is>
      </c>
      <c r="D3" s="13" t="inlineStr">
        <is>
          <t>Split DNS</t>
        </is>
      </c>
      <c r="E3" s="13" t="inlineStr">
        <is>
          <t>Rate Limiting</t>
        </is>
      </c>
      <c r="F3" s="13" t="inlineStr">
        <is>
          <t>Query Logging</t>
        </is>
      </c>
      <c r="G3" s="13" t="inlineStr">
        <is>
          <t>RPZ/Filtering</t>
        </is>
      </c>
      <c r="H3" s="13" t="inlineStr">
        <is>
          <t>Recursion Control</t>
        </is>
      </c>
      <c r="I3" s="13" t="inlineStr">
        <is>
          <t>Cache Poisoning Protection</t>
        </is>
      </c>
      <c r="J3" s="13" t="inlineStr">
        <is>
          <t>Zone Transfer Controls</t>
        </is>
      </c>
      <c r="K3" s="13" t="inlineStr">
        <is>
          <t>TSIG/SIG(0)</t>
        </is>
      </c>
      <c r="L3" s="13" t="inlineStr">
        <is>
          <t>Compliance Score %</t>
        </is>
      </c>
      <c r="M3" s="13" t="inlineStr">
        <is>
          <t>Last Assessed</t>
        </is>
      </c>
      <c r="N3" s="13" t="inlineStr">
        <is>
          <t>Notes</t>
        </is>
      </c>
    </row>
    <row r="4">
      <c r="A4" s="15" t="inlineStr">
        <is>
          <t>DNS-001</t>
        </is>
      </c>
      <c r="B4" s="15" t="inlineStr">
        <is>
          <t>Recursive</t>
        </is>
      </c>
      <c r="C4" s="15" t="inlineStr">
        <is>
          <t>Yes</t>
        </is>
      </c>
      <c r="D4" s="15" t="inlineStr">
        <is>
          <t>Yes</t>
        </is>
      </c>
      <c r="E4" s="15" t="inlineStr">
        <is>
          <t>Yes</t>
        </is>
      </c>
      <c r="F4" s="15" t="inlineStr">
        <is>
          <t>Yes</t>
        </is>
      </c>
      <c r="G4" s="15" t="inlineStr">
        <is>
          <t>Yes</t>
        </is>
      </c>
      <c r="H4" s="15" t="inlineStr">
        <is>
          <t>Yes</t>
        </is>
      </c>
      <c r="I4" s="15" t="inlineStr">
        <is>
          <t>Yes</t>
        </is>
      </c>
      <c r="J4" s="15" t="inlineStr">
        <is>
          <t>Yes</t>
        </is>
      </c>
      <c r="K4" s="15" t="inlineStr">
        <is>
          <t>Yes</t>
        </is>
      </c>
      <c r="L4" s="16">
        <f>IF(COUNTIF(C4:K4,"Yes")+COUNTIF(C4:K4,"No")=0,"",COUNTIF(C4:K4,"Yes")/(COUNTIF(C4:K4,"Yes")+COUNTIF(C4:K4,"No"))*100)</f>
        <v/>
      </c>
      <c r="M4" s="15" t="inlineStr">
        <is>
          <t>15.01.2026</t>
        </is>
      </c>
      <c r="N4" s="15" t="n"/>
    </row>
    <row r="5">
      <c r="A5" s="14" t="n"/>
      <c r="B5" s="14" t="n"/>
      <c r="C5" s="14" t="n"/>
      <c r="D5" s="14" t="n"/>
      <c r="E5" s="14" t="n"/>
      <c r="F5" s="14" t="n"/>
      <c r="G5" s="14" t="n"/>
      <c r="H5" s="14" t="n"/>
      <c r="I5" s="14" t="n"/>
      <c r="J5" s="14" t="n"/>
      <c r="K5" s="14" t="n"/>
      <c r="L5" s="16">
        <f>IF(COUNTIF(C5:K5,"Yes")+COUNTIF(C5:K5,"No")=0,"",COUNTIF(C5:K5,"Yes")/(COUNTIF(C5:K5,"Yes")+COUNTIF(C5:K5,"No"))*100)</f>
        <v/>
      </c>
      <c r="M5" s="14" t="n"/>
      <c r="N5" s="14" t="n"/>
    </row>
    <row r="6">
      <c r="A6" s="14" t="n"/>
      <c r="B6" s="14" t="n"/>
      <c r="C6" s="14" t="n"/>
      <c r="D6" s="14" t="n"/>
      <c r="E6" s="14" t="n"/>
      <c r="F6" s="14" t="n"/>
      <c r="G6" s="14" t="n"/>
      <c r="H6" s="14" t="n"/>
      <c r="I6" s="14" t="n"/>
      <c r="J6" s="14" t="n"/>
      <c r="K6" s="14" t="n"/>
      <c r="L6" s="16">
        <f>IF(COUNTIF(C6:K6,"Yes")+COUNTIF(C6:K6,"No")=0,"",COUNTIF(C6:K6,"Yes")/(COUNTIF(C6:K6,"Yes")+COUNTIF(C6:K6,"No"))*100)</f>
        <v/>
      </c>
      <c r="M6" s="14" t="n"/>
      <c r="N6" s="14" t="n"/>
    </row>
    <row r="7">
      <c r="A7" s="14" t="n"/>
      <c r="B7" s="14" t="n"/>
      <c r="C7" s="14" t="n"/>
      <c r="D7" s="14" t="n"/>
      <c r="E7" s="14" t="n"/>
      <c r="F7" s="14" t="n"/>
      <c r="G7" s="14" t="n"/>
      <c r="H7" s="14" t="n"/>
      <c r="I7" s="14" t="n"/>
      <c r="J7" s="14" t="n"/>
      <c r="K7" s="14" t="n"/>
      <c r="L7" s="16">
        <f>IF(COUNTIF(C7:K7,"Yes")+COUNTIF(C7:K7,"No")=0,"",COUNTIF(C7:K7,"Yes")/(COUNTIF(C7:K7,"Yes")+COUNTIF(C7:K7,"No"))*100)</f>
        <v/>
      </c>
      <c r="M7" s="14" t="n"/>
      <c r="N7" s="14" t="n"/>
    </row>
    <row r="8">
      <c r="A8" s="14" t="n"/>
      <c r="B8" s="14" t="n"/>
      <c r="C8" s="14" t="n"/>
      <c r="D8" s="14" t="n"/>
      <c r="E8" s="14" t="n"/>
      <c r="F8" s="14" t="n"/>
      <c r="G8" s="14" t="n"/>
      <c r="H8" s="14" t="n"/>
      <c r="I8" s="14" t="n"/>
      <c r="J8" s="14" t="n"/>
      <c r="K8" s="14" t="n"/>
      <c r="L8" s="16">
        <f>IF(COUNTIF(C8:K8,"Yes")+COUNTIF(C8:K8,"No")=0,"",COUNTIF(C8:K8,"Yes")/(COUNTIF(C8:K8,"Yes")+COUNTIF(C8:K8,"No"))*100)</f>
        <v/>
      </c>
      <c r="M8" s="14" t="n"/>
      <c r="N8" s="14" t="n"/>
    </row>
    <row r="9">
      <c r="A9" s="14" t="n"/>
      <c r="B9" s="14" t="n"/>
      <c r="C9" s="14" t="n"/>
      <c r="D9" s="14" t="n"/>
      <c r="E9" s="14" t="n"/>
      <c r="F9" s="14" t="n"/>
      <c r="G9" s="14" t="n"/>
      <c r="H9" s="14" t="n"/>
      <c r="I9" s="14" t="n"/>
      <c r="J9" s="14" t="n"/>
      <c r="K9" s="14" t="n"/>
      <c r="L9" s="16">
        <f>IF(COUNTIF(C9:K9,"Yes")+COUNTIF(C9:K9,"No")=0,"",COUNTIF(C9:K9,"Yes")/(COUNTIF(C9:K9,"Yes")+COUNTIF(C9:K9,"No"))*100)</f>
        <v/>
      </c>
      <c r="M9" s="14" t="n"/>
      <c r="N9" s="14" t="n"/>
    </row>
    <row r="10">
      <c r="A10" s="14" t="n"/>
      <c r="B10" s="14" t="n"/>
      <c r="C10" s="14" t="n"/>
      <c r="D10" s="14" t="n"/>
      <c r="E10" s="14" t="n"/>
      <c r="F10" s="14" t="n"/>
      <c r="G10" s="14" t="n"/>
      <c r="H10" s="14" t="n"/>
      <c r="I10" s="14" t="n"/>
      <c r="J10" s="14" t="n"/>
      <c r="K10" s="14" t="n"/>
      <c r="L10" s="16">
        <f>IF(COUNTIF(C10:K10,"Yes")+COUNTIF(C10:K10,"No")=0,"",COUNTIF(C10:K10,"Yes")/(COUNTIF(C10:K10,"Yes")+COUNTIF(C10:K10,"No"))*100)</f>
        <v/>
      </c>
      <c r="M10" s="14" t="n"/>
      <c r="N10" s="14" t="n"/>
    </row>
    <row r="11">
      <c r="A11" s="14" t="n"/>
      <c r="B11" s="14" t="n"/>
      <c r="C11" s="14" t="n"/>
      <c r="D11" s="14" t="n"/>
      <c r="E11" s="14" t="n"/>
      <c r="F11" s="14" t="n"/>
      <c r="G11" s="14" t="n"/>
      <c r="H11" s="14" t="n"/>
      <c r="I11" s="14" t="n"/>
      <c r="J11" s="14" t="n"/>
      <c r="K11" s="14" t="n"/>
      <c r="L11" s="16">
        <f>IF(COUNTIF(C11:K11,"Yes")+COUNTIF(C11:K11,"No")=0,"",COUNTIF(C11:K11,"Yes")/(COUNTIF(C11:K11,"Yes")+COUNTIF(C11:K11,"No"))*100)</f>
        <v/>
      </c>
      <c r="M11" s="14" t="n"/>
      <c r="N11" s="14" t="n"/>
    </row>
    <row r="12">
      <c r="A12" s="14" t="n"/>
      <c r="B12" s="14" t="n"/>
      <c r="C12" s="14" t="n"/>
      <c r="D12" s="14" t="n"/>
      <c r="E12" s="14" t="n"/>
      <c r="F12" s="14" t="n"/>
      <c r="G12" s="14" t="n"/>
      <c r="H12" s="14" t="n"/>
      <c r="I12" s="14" t="n"/>
      <c r="J12" s="14" t="n"/>
      <c r="K12" s="14" t="n"/>
      <c r="L12" s="16">
        <f>IF(COUNTIF(C12:K12,"Yes")+COUNTIF(C12:K12,"No")=0,"",COUNTIF(C12:K12,"Yes")/(COUNTIF(C12:K12,"Yes")+COUNTIF(C12:K12,"No"))*100)</f>
        <v/>
      </c>
      <c r="M12" s="14" t="n"/>
      <c r="N12" s="14" t="n"/>
    </row>
    <row r="13">
      <c r="A13" s="14" t="n"/>
      <c r="B13" s="14" t="n"/>
      <c r="C13" s="14" t="n"/>
      <c r="D13" s="14" t="n"/>
      <c r="E13" s="14" t="n"/>
      <c r="F13" s="14" t="n"/>
      <c r="G13" s="14" t="n"/>
      <c r="H13" s="14" t="n"/>
      <c r="I13" s="14" t="n"/>
      <c r="J13" s="14" t="n"/>
      <c r="K13" s="14" t="n"/>
      <c r="L13" s="16">
        <f>IF(COUNTIF(C13:K13,"Yes")+COUNTIF(C13:K13,"No")=0,"",COUNTIF(C13:K13,"Yes")/(COUNTIF(C13:K13,"Yes")+COUNTIF(C13:K13,"No"))*100)</f>
        <v/>
      </c>
      <c r="M13" s="14" t="n"/>
      <c r="N13" s="14" t="n"/>
    </row>
    <row r="14">
      <c r="A14" s="14" t="n"/>
      <c r="B14" s="14" t="n"/>
      <c r="C14" s="14" t="n"/>
      <c r="D14" s="14" t="n"/>
      <c r="E14" s="14" t="n"/>
      <c r="F14" s="14" t="n"/>
      <c r="G14" s="14" t="n"/>
      <c r="H14" s="14" t="n"/>
      <c r="I14" s="14" t="n"/>
      <c r="J14" s="14" t="n"/>
      <c r="K14" s="14" t="n"/>
      <c r="L14" s="16">
        <f>IF(COUNTIF(C14:K14,"Yes")+COUNTIF(C14:K14,"No")=0,"",COUNTIF(C14:K14,"Yes")/(COUNTIF(C14:K14,"Yes")+COUNTIF(C14:K14,"No"))*100)</f>
        <v/>
      </c>
      <c r="M14" s="14" t="n"/>
      <c r="N14" s="14" t="n"/>
    </row>
    <row r="15">
      <c r="A15" s="14" t="n"/>
      <c r="B15" s="14" t="n"/>
      <c r="C15" s="14" t="n"/>
      <c r="D15" s="14" t="n"/>
      <c r="E15" s="14" t="n"/>
      <c r="F15" s="14" t="n"/>
      <c r="G15" s="14" t="n"/>
      <c r="H15" s="14" t="n"/>
      <c r="I15" s="14" t="n"/>
      <c r="J15" s="14" t="n"/>
      <c r="K15" s="14" t="n"/>
      <c r="L15" s="16">
        <f>IF(COUNTIF(C15:K15,"Yes")+COUNTIF(C15:K15,"No")=0,"",COUNTIF(C15:K15,"Yes")/(COUNTIF(C15:K15,"Yes")+COUNTIF(C15:K15,"No"))*100)</f>
        <v/>
      </c>
      <c r="M15" s="14" t="n"/>
      <c r="N15" s="14" t="n"/>
    </row>
    <row r="16">
      <c r="A16" s="14" t="n"/>
      <c r="B16" s="14" t="n"/>
      <c r="C16" s="14" t="n"/>
      <c r="D16" s="14" t="n"/>
      <c r="E16" s="14" t="n"/>
      <c r="F16" s="14" t="n"/>
      <c r="G16" s="14" t="n"/>
      <c r="H16" s="14" t="n"/>
      <c r="I16" s="14" t="n"/>
      <c r="J16" s="14" t="n"/>
      <c r="K16" s="14" t="n"/>
      <c r="L16" s="16">
        <f>IF(COUNTIF(C16:K16,"Yes")+COUNTIF(C16:K16,"No")=0,"",COUNTIF(C16:K16,"Yes")/(COUNTIF(C16:K16,"Yes")+COUNTIF(C16:K16,"No"))*100)</f>
        <v/>
      </c>
      <c r="M16" s="14" t="n"/>
      <c r="N16" s="14" t="n"/>
    </row>
    <row r="17">
      <c r="A17" s="14" t="n"/>
      <c r="B17" s="14" t="n"/>
      <c r="C17" s="14" t="n"/>
      <c r="D17" s="14" t="n"/>
      <c r="E17" s="14" t="n"/>
      <c r="F17" s="14" t="n"/>
      <c r="G17" s="14" t="n"/>
      <c r="H17" s="14" t="n"/>
      <c r="I17" s="14" t="n"/>
      <c r="J17" s="14" t="n"/>
      <c r="K17" s="14" t="n"/>
      <c r="L17" s="16">
        <f>IF(COUNTIF(C17:K17,"Yes")+COUNTIF(C17:K17,"No")=0,"",COUNTIF(C17:K17,"Yes")/(COUNTIF(C17:K17,"Yes")+COUNTIF(C17:K17,"No"))*100)</f>
        <v/>
      </c>
      <c r="M17" s="14" t="n"/>
      <c r="N17" s="14" t="n"/>
    </row>
    <row r="18">
      <c r="A18" s="14" t="n"/>
      <c r="B18" s="14" t="n"/>
      <c r="C18" s="14" t="n"/>
      <c r="D18" s="14" t="n"/>
      <c r="E18" s="14" t="n"/>
      <c r="F18" s="14" t="n"/>
      <c r="G18" s="14" t="n"/>
      <c r="H18" s="14" t="n"/>
      <c r="I18" s="14" t="n"/>
      <c r="J18" s="14" t="n"/>
      <c r="K18" s="14" t="n"/>
      <c r="L18" s="16">
        <f>IF(COUNTIF(C18:K18,"Yes")+COUNTIF(C18:K18,"No")=0,"",COUNTIF(C18:K18,"Yes")/(COUNTIF(C18:K18,"Yes")+COUNTIF(C18:K18,"No"))*100)</f>
        <v/>
      </c>
      <c r="M18" s="14" t="n"/>
      <c r="N18" s="14" t="n"/>
    </row>
    <row r="19">
      <c r="A19" s="14" t="n"/>
      <c r="B19" s="14" t="n"/>
      <c r="C19" s="14" t="n"/>
      <c r="D19" s="14" t="n"/>
      <c r="E19" s="14" t="n"/>
      <c r="F19" s="14" t="n"/>
      <c r="G19" s="14" t="n"/>
      <c r="H19" s="14" t="n"/>
      <c r="I19" s="14" t="n"/>
      <c r="J19" s="14" t="n"/>
      <c r="K19" s="14" t="n"/>
      <c r="L19" s="16">
        <f>IF(COUNTIF(C19:K19,"Yes")+COUNTIF(C19:K19,"No")=0,"",COUNTIF(C19:K19,"Yes")/(COUNTIF(C19:K19,"Yes")+COUNTIF(C19:K19,"No"))*100)</f>
        <v/>
      </c>
      <c r="M19" s="14" t="n"/>
      <c r="N19" s="14" t="n"/>
    </row>
    <row r="20">
      <c r="A20" s="14" t="n"/>
      <c r="B20" s="14" t="n"/>
      <c r="C20" s="14" t="n"/>
      <c r="D20" s="14" t="n"/>
      <c r="E20" s="14" t="n"/>
      <c r="F20" s="14" t="n"/>
      <c r="G20" s="14" t="n"/>
      <c r="H20" s="14" t="n"/>
      <c r="I20" s="14" t="n"/>
      <c r="J20" s="14" t="n"/>
      <c r="K20" s="14" t="n"/>
      <c r="L20" s="16">
        <f>IF(COUNTIF(C20:K20,"Yes")+COUNTIF(C20:K20,"No")=0,"",COUNTIF(C20:K20,"Yes")/(COUNTIF(C20:K20,"Yes")+COUNTIF(C20:K20,"No"))*100)</f>
        <v/>
      </c>
      <c r="M20" s="14" t="n"/>
      <c r="N20" s="14" t="n"/>
    </row>
    <row r="21">
      <c r="A21" s="14" t="n"/>
      <c r="B21" s="14" t="n"/>
      <c r="C21" s="14" t="n"/>
      <c r="D21" s="14" t="n"/>
      <c r="E21" s="14" t="n"/>
      <c r="F21" s="14" t="n"/>
      <c r="G21" s="14" t="n"/>
      <c r="H21" s="14" t="n"/>
      <c r="I21" s="14" t="n"/>
      <c r="J21" s="14" t="n"/>
      <c r="K21" s="14" t="n"/>
      <c r="L21" s="16">
        <f>IF(COUNTIF(C21:K21,"Yes")+COUNTIF(C21:K21,"No")=0,"",COUNTIF(C21:K21,"Yes")/(COUNTIF(C21:K21,"Yes")+COUNTIF(C21:K21,"No"))*100)</f>
        <v/>
      </c>
      <c r="M21" s="14" t="n"/>
      <c r="N21" s="14" t="n"/>
    </row>
    <row r="22">
      <c r="A22" s="14" t="n"/>
      <c r="B22" s="14" t="n"/>
      <c r="C22" s="14" t="n"/>
      <c r="D22" s="14" t="n"/>
      <c r="E22" s="14" t="n"/>
      <c r="F22" s="14" t="n"/>
      <c r="G22" s="14" t="n"/>
      <c r="H22" s="14" t="n"/>
      <c r="I22" s="14" t="n"/>
      <c r="J22" s="14" t="n"/>
      <c r="K22" s="14" t="n"/>
      <c r="L22" s="16">
        <f>IF(COUNTIF(C22:K22,"Yes")+COUNTIF(C22:K22,"No")=0,"",COUNTIF(C22:K22,"Yes")/(COUNTIF(C22:K22,"Yes")+COUNTIF(C22:K22,"No"))*100)</f>
        <v/>
      </c>
      <c r="M22" s="14" t="n"/>
      <c r="N22" s="14" t="n"/>
    </row>
    <row r="23">
      <c r="A23" s="14" t="n"/>
      <c r="B23" s="14" t="n"/>
      <c r="C23" s="14" t="n"/>
      <c r="D23" s="14" t="n"/>
      <c r="E23" s="14" t="n"/>
      <c r="F23" s="14" t="n"/>
      <c r="G23" s="14" t="n"/>
      <c r="H23" s="14" t="n"/>
      <c r="I23" s="14" t="n"/>
      <c r="J23" s="14" t="n"/>
      <c r="K23" s="14" t="n"/>
      <c r="L23" s="16">
        <f>IF(COUNTIF(C23:K23,"Yes")+COUNTIF(C23:K23,"No")=0,"",COUNTIF(C23:K23,"Yes")/(COUNTIF(C23:K23,"Yes")+COUNTIF(C23:K23,"No"))*100)</f>
        <v/>
      </c>
      <c r="M23" s="14" t="n"/>
      <c r="N23" s="14" t="n"/>
    </row>
    <row r="24">
      <c r="A24" s="14" t="n"/>
      <c r="B24" s="14" t="n"/>
      <c r="C24" s="14" t="n"/>
      <c r="D24" s="14" t="n"/>
      <c r="E24" s="14" t="n"/>
      <c r="F24" s="14" t="n"/>
      <c r="G24" s="14" t="n"/>
      <c r="H24" s="14" t="n"/>
      <c r="I24" s="14" t="n"/>
      <c r="J24" s="14" t="n"/>
      <c r="K24" s="14" t="n"/>
      <c r="L24" s="16">
        <f>IF(COUNTIF(C24:K24,"Yes")+COUNTIF(C24:K24,"No")=0,"",COUNTIF(C24:K24,"Yes")/(COUNTIF(C24:K24,"Yes")+COUNTIF(C24:K24,"No"))*100)</f>
        <v/>
      </c>
      <c r="M24" s="14" t="n"/>
      <c r="N24" s="14" t="n"/>
    </row>
    <row r="25">
      <c r="A25" s="14" t="n"/>
      <c r="B25" s="14" t="n"/>
      <c r="C25" s="14" t="n"/>
      <c r="D25" s="14" t="n"/>
      <c r="E25" s="14" t="n"/>
      <c r="F25" s="14" t="n"/>
      <c r="G25" s="14" t="n"/>
      <c r="H25" s="14" t="n"/>
      <c r="I25" s="14" t="n"/>
      <c r="J25" s="14" t="n"/>
      <c r="K25" s="14" t="n"/>
      <c r="L25" s="16">
        <f>IF(COUNTIF(C25:K25,"Yes")+COUNTIF(C25:K25,"No")=0,"",COUNTIF(C25:K25,"Yes")/(COUNTIF(C25:K25,"Yes")+COUNTIF(C25:K25,"No"))*100)</f>
        <v/>
      </c>
      <c r="M25" s="14" t="n"/>
      <c r="N25" s="14" t="n"/>
    </row>
    <row r="26">
      <c r="A26" s="14" t="n"/>
      <c r="B26" s="14" t="n"/>
      <c r="C26" s="14" t="n"/>
      <c r="D26" s="14" t="n"/>
      <c r="E26" s="14" t="n"/>
      <c r="F26" s="14" t="n"/>
      <c r="G26" s="14" t="n"/>
      <c r="H26" s="14" t="n"/>
      <c r="I26" s="14" t="n"/>
      <c r="J26" s="14" t="n"/>
      <c r="K26" s="14" t="n"/>
      <c r="L26" s="16">
        <f>IF(COUNTIF(C26:K26,"Yes")+COUNTIF(C26:K26,"No")=0,"",COUNTIF(C26:K26,"Yes")/(COUNTIF(C26:K26,"Yes")+COUNTIF(C26:K26,"No"))*100)</f>
        <v/>
      </c>
      <c r="M26" s="14" t="n"/>
      <c r="N26" s="14" t="n"/>
    </row>
    <row r="27">
      <c r="A27" s="14" t="n"/>
      <c r="B27" s="14" t="n"/>
      <c r="C27" s="14" t="n"/>
      <c r="D27" s="14" t="n"/>
      <c r="E27" s="14" t="n"/>
      <c r="F27" s="14" t="n"/>
      <c r="G27" s="14" t="n"/>
      <c r="H27" s="14" t="n"/>
      <c r="I27" s="14" t="n"/>
      <c r="J27" s="14" t="n"/>
      <c r="K27" s="14" t="n"/>
      <c r="L27" s="16">
        <f>IF(COUNTIF(C27:K27,"Yes")+COUNTIF(C27:K27,"No")=0,"",COUNTIF(C27:K27,"Yes")/(COUNTIF(C27:K27,"Yes")+COUNTIF(C27:K27,"No"))*100)</f>
        <v/>
      </c>
      <c r="M27" s="14" t="n"/>
      <c r="N27" s="14" t="n"/>
    </row>
    <row r="28">
      <c r="A28" s="14" t="n"/>
      <c r="B28" s="14" t="n"/>
      <c r="C28" s="14" t="n"/>
      <c r="D28" s="14" t="n"/>
      <c r="E28" s="14" t="n"/>
      <c r="F28" s="14" t="n"/>
      <c r="G28" s="14" t="n"/>
      <c r="H28" s="14" t="n"/>
      <c r="I28" s="14" t="n"/>
      <c r="J28" s="14" t="n"/>
      <c r="K28" s="14" t="n"/>
      <c r="L28" s="16">
        <f>IF(COUNTIF(C28:K28,"Yes")+COUNTIF(C28:K28,"No")=0,"",COUNTIF(C28:K28,"Yes")/(COUNTIF(C28:K28,"Yes")+COUNTIF(C28:K28,"No"))*100)</f>
        <v/>
      </c>
      <c r="M28" s="14" t="n"/>
      <c r="N28" s="14" t="n"/>
    </row>
    <row r="29">
      <c r="A29" s="14" t="n"/>
      <c r="B29" s="14" t="n"/>
      <c r="C29" s="14" t="n"/>
      <c r="D29" s="14" t="n"/>
      <c r="E29" s="14" t="n"/>
      <c r="F29" s="14" t="n"/>
      <c r="G29" s="14" t="n"/>
      <c r="H29" s="14" t="n"/>
      <c r="I29" s="14" t="n"/>
      <c r="J29" s="14" t="n"/>
      <c r="K29" s="14" t="n"/>
      <c r="L29" s="16">
        <f>IF(COUNTIF(C29:K29,"Yes")+COUNTIF(C29:K29,"No")=0,"",COUNTIF(C29:K29,"Yes")/(COUNTIF(C29:K29,"Yes")+COUNTIF(C29:K29,"No"))*100)</f>
        <v/>
      </c>
      <c r="M29" s="14" t="n"/>
      <c r="N29" s="14" t="n"/>
    </row>
    <row r="30">
      <c r="A30" s="14" t="n"/>
      <c r="B30" s="14" t="n"/>
      <c r="C30" s="14" t="n"/>
      <c r="D30" s="14" t="n"/>
      <c r="E30" s="14" t="n"/>
      <c r="F30" s="14" t="n"/>
      <c r="G30" s="14" t="n"/>
      <c r="H30" s="14" t="n"/>
      <c r="I30" s="14" t="n"/>
      <c r="J30" s="14" t="n"/>
      <c r="K30" s="14" t="n"/>
      <c r="L30" s="16">
        <f>IF(COUNTIF(C30:K30,"Yes")+COUNTIF(C30:K30,"No")=0,"",COUNTIF(C30:K30,"Yes")/(COUNTIF(C30:K30,"Yes")+COUNTIF(C30:K30,"No"))*100)</f>
        <v/>
      </c>
      <c r="M30" s="14" t="n"/>
      <c r="N30" s="14" t="n"/>
    </row>
    <row r="31">
      <c r="A31" s="14" t="n"/>
      <c r="B31" s="14" t="n"/>
      <c r="C31" s="14" t="n"/>
      <c r="D31" s="14" t="n"/>
      <c r="E31" s="14" t="n"/>
      <c r="F31" s="14" t="n"/>
      <c r="G31" s="14" t="n"/>
      <c r="H31" s="14" t="n"/>
      <c r="I31" s="14" t="n"/>
      <c r="J31" s="14" t="n"/>
      <c r="K31" s="14" t="n"/>
      <c r="L31" s="16">
        <f>IF(COUNTIF(C31:K31,"Yes")+COUNTIF(C31:K31,"No")=0,"",COUNTIF(C31:K31,"Yes")/(COUNTIF(C31:K31,"Yes")+COUNTIF(C31:K31,"No"))*100)</f>
        <v/>
      </c>
      <c r="M31" s="14" t="n"/>
      <c r="N31" s="14" t="n"/>
    </row>
    <row r="32">
      <c r="A32" s="14" t="n"/>
      <c r="B32" s="14" t="n"/>
      <c r="C32" s="14" t="n"/>
      <c r="D32" s="14" t="n"/>
      <c r="E32" s="14" t="n"/>
      <c r="F32" s="14" t="n"/>
      <c r="G32" s="14" t="n"/>
      <c r="H32" s="14" t="n"/>
      <c r="I32" s="14" t="n"/>
      <c r="J32" s="14" t="n"/>
      <c r="K32" s="14" t="n"/>
      <c r="L32" s="16">
        <f>IF(COUNTIF(C32:K32,"Yes")+COUNTIF(C32:K32,"No")=0,"",COUNTIF(C32:K32,"Yes")/(COUNTIF(C32:K32,"Yes")+COUNTIF(C32:K32,"No"))*100)</f>
        <v/>
      </c>
      <c r="M32" s="14" t="n"/>
      <c r="N32" s="14" t="n"/>
    </row>
    <row r="33">
      <c r="A33" s="14" t="n"/>
      <c r="B33" s="14" t="n"/>
      <c r="C33" s="14" t="n"/>
      <c r="D33" s="14" t="n"/>
      <c r="E33" s="14" t="n"/>
      <c r="F33" s="14" t="n"/>
      <c r="G33" s="14" t="n"/>
      <c r="H33" s="14" t="n"/>
      <c r="I33" s="14" t="n"/>
      <c r="J33" s="14" t="n"/>
      <c r="K33" s="14" t="n"/>
      <c r="L33" s="16">
        <f>IF(COUNTIF(C33:K33,"Yes")+COUNTIF(C33:K33,"No")=0,"",COUNTIF(C33:K33,"Yes")/(COUNTIF(C33:K33,"Yes")+COUNTIF(C33:K33,"No"))*100)</f>
        <v/>
      </c>
      <c r="M33" s="14" t="n"/>
      <c r="N33" s="14" t="n"/>
    </row>
    <row r="34">
      <c r="A34" s="14" t="n"/>
      <c r="B34" s="14" t="n"/>
      <c r="C34" s="14" t="n"/>
      <c r="D34" s="14" t="n"/>
      <c r="E34" s="14" t="n"/>
      <c r="F34" s="14" t="n"/>
      <c r="G34" s="14" t="n"/>
      <c r="H34" s="14" t="n"/>
      <c r="I34" s="14" t="n"/>
      <c r="J34" s="14" t="n"/>
      <c r="K34" s="14" t="n"/>
      <c r="L34" s="16">
        <f>IF(COUNTIF(C34:K34,"Yes")+COUNTIF(C34:K34,"No")=0,"",COUNTIF(C34:K34,"Yes")/(COUNTIF(C34:K34,"Yes")+COUNTIF(C34:K34,"No"))*100)</f>
        <v/>
      </c>
      <c r="M34" s="14" t="n"/>
      <c r="N34" s="14" t="n"/>
    </row>
    <row r="35">
      <c r="A35" s="14" t="n"/>
      <c r="B35" s="14" t="n"/>
      <c r="C35" s="14" t="n"/>
      <c r="D35" s="14" t="n"/>
      <c r="E35" s="14" t="n"/>
      <c r="F35" s="14" t="n"/>
      <c r="G35" s="14" t="n"/>
      <c r="H35" s="14" t="n"/>
      <c r="I35" s="14" t="n"/>
      <c r="J35" s="14" t="n"/>
      <c r="K35" s="14" t="n"/>
      <c r="L35" s="16">
        <f>IF(COUNTIF(C35:K35,"Yes")+COUNTIF(C35:K35,"No")=0,"",COUNTIF(C35:K35,"Yes")/(COUNTIF(C35:K35,"Yes")+COUNTIF(C35:K35,"No"))*100)</f>
        <v/>
      </c>
      <c r="M35" s="14" t="n"/>
      <c r="N35" s="14" t="n"/>
    </row>
    <row r="36">
      <c r="A36" s="14" t="n"/>
      <c r="B36" s="14" t="n"/>
      <c r="C36" s="14" t="n"/>
      <c r="D36" s="14" t="n"/>
      <c r="E36" s="14" t="n"/>
      <c r="F36" s="14" t="n"/>
      <c r="G36" s="14" t="n"/>
      <c r="H36" s="14" t="n"/>
      <c r="I36" s="14" t="n"/>
      <c r="J36" s="14" t="n"/>
      <c r="K36" s="14" t="n"/>
      <c r="L36" s="16">
        <f>IF(COUNTIF(C36:K36,"Yes")+COUNTIF(C36:K36,"No")=0,"",COUNTIF(C36:K36,"Yes")/(COUNTIF(C36:K36,"Yes")+COUNTIF(C36:K36,"No"))*100)</f>
        <v/>
      </c>
      <c r="M36" s="14" t="n"/>
      <c r="N36" s="14" t="n"/>
    </row>
    <row r="37">
      <c r="A37" s="14" t="n"/>
      <c r="B37" s="14" t="n"/>
      <c r="C37" s="14" t="n"/>
      <c r="D37" s="14" t="n"/>
      <c r="E37" s="14" t="n"/>
      <c r="F37" s="14" t="n"/>
      <c r="G37" s="14" t="n"/>
      <c r="H37" s="14" t="n"/>
      <c r="I37" s="14" t="n"/>
      <c r="J37" s="14" t="n"/>
      <c r="K37" s="14" t="n"/>
      <c r="L37" s="16">
        <f>IF(COUNTIF(C37:K37,"Yes")+COUNTIF(C37:K37,"No")=0,"",COUNTIF(C37:K37,"Yes")/(COUNTIF(C37:K37,"Yes")+COUNTIF(C37:K37,"No"))*100)</f>
        <v/>
      </c>
      <c r="M37" s="14" t="n"/>
      <c r="N37" s="14" t="n"/>
    </row>
    <row r="38">
      <c r="A38" s="14" t="n"/>
      <c r="B38" s="14" t="n"/>
      <c r="C38" s="14" t="n"/>
      <c r="D38" s="14" t="n"/>
      <c r="E38" s="14" t="n"/>
      <c r="F38" s="14" t="n"/>
      <c r="G38" s="14" t="n"/>
      <c r="H38" s="14" t="n"/>
      <c r="I38" s="14" t="n"/>
      <c r="J38" s="14" t="n"/>
      <c r="K38" s="14" t="n"/>
      <c r="L38" s="16">
        <f>IF(COUNTIF(C38:K38,"Yes")+COUNTIF(C38:K38,"No")=0,"",COUNTIF(C38:K38,"Yes")/(COUNTIF(C38:K38,"Yes")+COUNTIF(C38:K38,"No"))*100)</f>
        <v/>
      </c>
      <c r="M38" s="14" t="n"/>
      <c r="N38" s="14" t="n"/>
    </row>
    <row r="39">
      <c r="A39" s="14" t="n"/>
      <c r="B39" s="14" t="n"/>
      <c r="C39" s="14" t="n"/>
      <c r="D39" s="14" t="n"/>
      <c r="E39" s="14" t="n"/>
      <c r="F39" s="14" t="n"/>
      <c r="G39" s="14" t="n"/>
      <c r="H39" s="14" t="n"/>
      <c r="I39" s="14" t="n"/>
      <c r="J39" s="14" t="n"/>
      <c r="K39" s="14" t="n"/>
      <c r="L39" s="16">
        <f>IF(COUNTIF(C39:K39,"Yes")+COUNTIF(C39:K39,"No")=0,"",COUNTIF(C39:K39,"Yes")/(COUNTIF(C39:K39,"Yes")+COUNTIF(C39:K39,"No"))*100)</f>
        <v/>
      </c>
      <c r="M39" s="14" t="n"/>
      <c r="N39" s="14" t="n"/>
    </row>
    <row r="40">
      <c r="A40" s="14" t="n"/>
      <c r="B40" s="14" t="n"/>
      <c r="C40" s="14" t="n"/>
      <c r="D40" s="14" t="n"/>
      <c r="E40" s="14" t="n"/>
      <c r="F40" s="14" t="n"/>
      <c r="G40" s="14" t="n"/>
      <c r="H40" s="14" t="n"/>
      <c r="I40" s="14" t="n"/>
      <c r="J40" s="14" t="n"/>
      <c r="K40" s="14" t="n"/>
      <c r="L40" s="16">
        <f>IF(COUNTIF(C40:K40,"Yes")+COUNTIF(C40:K40,"No")=0,"",COUNTIF(C40:K40,"Yes")/(COUNTIF(C40:K40,"Yes")+COUNTIF(C40:K40,"No"))*100)</f>
        <v/>
      </c>
      <c r="M40" s="14" t="n"/>
      <c r="N40" s="14" t="n"/>
    </row>
    <row r="41">
      <c r="A41" s="14" t="n"/>
      <c r="B41" s="14" t="n"/>
      <c r="C41" s="14" t="n"/>
      <c r="D41" s="14" t="n"/>
      <c r="E41" s="14" t="n"/>
      <c r="F41" s="14" t="n"/>
      <c r="G41" s="14" t="n"/>
      <c r="H41" s="14" t="n"/>
      <c r="I41" s="14" t="n"/>
      <c r="J41" s="14" t="n"/>
      <c r="K41" s="14" t="n"/>
      <c r="L41" s="16">
        <f>IF(COUNTIF(C41:K41,"Yes")+COUNTIF(C41:K41,"No")=0,"",COUNTIF(C41:K41,"Yes")/(COUNTIF(C41:K41,"Yes")+COUNTIF(C41:K41,"No"))*100)</f>
        <v/>
      </c>
      <c r="M41" s="14" t="n"/>
      <c r="N41" s="14" t="n"/>
    </row>
    <row r="42">
      <c r="A42" s="14" t="n"/>
      <c r="B42" s="14" t="n"/>
      <c r="C42" s="14" t="n"/>
      <c r="D42" s="14" t="n"/>
      <c r="E42" s="14" t="n"/>
      <c r="F42" s="14" t="n"/>
      <c r="G42" s="14" t="n"/>
      <c r="H42" s="14" t="n"/>
      <c r="I42" s="14" t="n"/>
      <c r="J42" s="14" t="n"/>
      <c r="K42" s="14" t="n"/>
      <c r="L42" s="16">
        <f>IF(COUNTIF(C42:K42,"Yes")+COUNTIF(C42:K42,"No")=0,"",COUNTIF(C42:K42,"Yes")/(COUNTIF(C42:K42,"Yes")+COUNTIF(C42:K42,"No"))*100)</f>
        <v/>
      </c>
      <c r="M42" s="14" t="n"/>
      <c r="N42" s="14" t="n"/>
    </row>
    <row r="43">
      <c r="A43" s="14" t="n"/>
      <c r="B43" s="14" t="n"/>
      <c r="C43" s="14" t="n"/>
      <c r="D43" s="14" t="n"/>
      <c r="E43" s="14" t="n"/>
      <c r="F43" s="14" t="n"/>
      <c r="G43" s="14" t="n"/>
      <c r="H43" s="14" t="n"/>
      <c r="I43" s="14" t="n"/>
      <c r="J43" s="14" t="n"/>
      <c r="K43" s="14" t="n"/>
      <c r="L43" s="16">
        <f>IF(COUNTIF(C43:K43,"Yes")+COUNTIF(C43:K43,"No")=0,"",COUNTIF(C43:K43,"Yes")/(COUNTIF(C43:K43,"Yes")+COUNTIF(C43:K43,"No"))*100)</f>
        <v/>
      </c>
      <c r="M43" s="14" t="n"/>
      <c r="N43" s="14" t="n"/>
    </row>
    <row r="44">
      <c r="A44" s="14" t="n"/>
      <c r="B44" s="14" t="n"/>
      <c r="C44" s="14" t="n"/>
      <c r="D44" s="14" t="n"/>
      <c r="E44" s="14" t="n"/>
      <c r="F44" s="14" t="n"/>
      <c r="G44" s="14" t="n"/>
      <c r="H44" s="14" t="n"/>
      <c r="I44" s="14" t="n"/>
      <c r="J44" s="14" t="n"/>
      <c r="K44" s="14" t="n"/>
      <c r="L44" s="16">
        <f>IF(COUNTIF(C44:K44,"Yes")+COUNTIF(C44:K44,"No")=0,"",COUNTIF(C44:K44,"Yes")/(COUNTIF(C44:K44,"Yes")+COUNTIF(C44:K44,"No"))*100)</f>
        <v/>
      </c>
      <c r="M44" s="14" t="n"/>
      <c r="N44" s="14" t="n"/>
    </row>
    <row r="45">
      <c r="A45" s="14" t="n"/>
      <c r="B45" s="14" t="n"/>
      <c r="C45" s="14" t="n"/>
      <c r="D45" s="14" t="n"/>
      <c r="E45" s="14" t="n"/>
      <c r="F45" s="14" t="n"/>
      <c r="G45" s="14" t="n"/>
      <c r="H45" s="14" t="n"/>
      <c r="I45" s="14" t="n"/>
      <c r="J45" s="14" t="n"/>
      <c r="K45" s="14" t="n"/>
      <c r="L45" s="16">
        <f>IF(COUNTIF(C45:K45,"Yes")+COUNTIF(C45:K45,"No")=0,"",COUNTIF(C45:K45,"Yes")/(COUNTIF(C45:K45,"Yes")+COUNTIF(C45:K45,"No"))*100)</f>
        <v/>
      </c>
      <c r="M45" s="14" t="n"/>
      <c r="N45" s="14" t="n"/>
    </row>
    <row r="46">
      <c r="A46" s="14" t="n"/>
      <c r="B46" s="14" t="n"/>
      <c r="C46" s="14" t="n"/>
      <c r="D46" s="14" t="n"/>
      <c r="E46" s="14" t="n"/>
      <c r="F46" s="14" t="n"/>
      <c r="G46" s="14" t="n"/>
      <c r="H46" s="14" t="n"/>
      <c r="I46" s="14" t="n"/>
      <c r="J46" s="14" t="n"/>
      <c r="K46" s="14" t="n"/>
      <c r="L46" s="16">
        <f>IF(COUNTIF(C46:K46,"Yes")+COUNTIF(C46:K46,"No")=0,"",COUNTIF(C46:K46,"Yes")/(COUNTIF(C46:K46,"Yes")+COUNTIF(C46:K46,"No"))*100)</f>
        <v/>
      </c>
      <c r="M46" s="14" t="n"/>
      <c r="N46" s="14" t="n"/>
    </row>
    <row r="47">
      <c r="A47" s="14" t="n"/>
      <c r="B47" s="14" t="n"/>
      <c r="C47" s="14" t="n"/>
      <c r="D47" s="14" t="n"/>
      <c r="E47" s="14" t="n"/>
      <c r="F47" s="14" t="n"/>
      <c r="G47" s="14" t="n"/>
      <c r="H47" s="14" t="n"/>
      <c r="I47" s="14" t="n"/>
      <c r="J47" s="14" t="n"/>
      <c r="K47" s="14" t="n"/>
      <c r="L47" s="16">
        <f>IF(COUNTIF(C47:K47,"Yes")+COUNTIF(C47:K47,"No")=0,"",COUNTIF(C47:K47,"Yes")/(COUNTIF(C47:K47,"Yes")+COUNTIF(C47:K47,"No"))*100)</f>
        <v/>
      </c>
      <c r="M47" s="14" t="n"/>
      <c r="N47" s="14" t="n"/>
    </row>
    <row r="48">
      <c r="A48" s="14" t="n"/>
      <c r="B48" s="14" t="n"/>
      <c r="C48" s="14" t="n"/>
      <c r="D48" s="14" t="n"/>
      <c r="E48" s="14" t="n"/>
      <c r="F48" s="14" t="n"/>
      <c r="G48" s="14" t="n"/>
      <c r="H48" s="14" t="n"/>
      <c r="I48" s="14" t="n"/>
      <c r="J48" s="14" t="n"/>
      <c r="K48" s="14" t="n"/>
      <c r="L48" s="16">
        <f>IF(COUNTIF(C48:K48,"Yes")+COUNTIF(C48:K48,"No")=0,"",COUNTIF(C48:K48,"Yes")/(COUNTIF(C48:K48,"Yes")+COUNTIF(C48:K48,"No"))*100)</f>
        <v/>
      </c>
      <c r="M48" s="14" t="n"/>
      <c r="N48" s="14" t="n"/>
    </row>
    <row r="49">
      <c r="A49" s="14" t="n"/>
      <c r="B49" s="14" t="n"/>
      <c r="C49" s="14" t="n"/>
      <c r="D49" s="14" t="n"/>
      <c r="E49" s="14" t="n"/>
      <c r="F49" s="14" t="n"/>
      <c r="G49" s="14" t="n"/>
      <c r="H49" s="14" t="n"/>
      <c r="I49" s="14" t="n"/>
      <c r="J49" s="14" t="n"/>
      <c r="K49" s="14" t="n"/>
      <c r="L49" s="16">
        <f>IF(COUNTIF(C49:K49,"Yes")+COUNTIF(C49:K49,"No")=0,"",COUNTIF(C49:K49,"Yes")/(COUNTIF(C49:K49,"Yes")+COUNTIF(C49:K49,"No"))*100)</f>
        <v/>
      </c>
      <c r="M49" s="14" t="n"/>
      <c r="N49" s="14" t="n"/>
    </row>
    <row r="50">
      <c r="A50" s="14" t="n"/>
      <c r="B50" s="14" t="n"/>
      <c r="C50" s="14" t="n"/>
      <c r="D50" s="14" t="n"/>
      <c r="E50" s="14" t="n"/>
      <c r="F50" s="14" t="n"/>
      <c r="G50" s="14" t="n"/>
      <c r="H50" s="14" t="n"/>
      <c r="I50" s="14" t="n"/>
      <c r="J50" s="14" t="n"/>
      <c r="K50" s="14" t="n"/>
      <c r="L50" s="16">
        <f>IF(COUNTIF(C50:K50,"Yes")+COUNTIF(C50:K50,"No")=0,"",COUNTIF(C50:K50,"Yes")/(COUNTIF(C50:K50,"Yes")+COUNTIF(C50:K50,"No"))*100)</f>
        <v/>
      </c>
      <c r="M50" s="14" t="n"/>
      <c r="N50" s="14" t="n"/>
    </row>
    <row r="51">
      <c r="A51" s="14" t="n"/>
      <c r="B51" s="14" t="n"/>
      <c r="C51" s="14" t="n"/>
      <c r="D51" s="14" t="n"/>
      <c r="E51" s="14" t="n"/>
      <c r="F51" s="14" t="n"/>
      <c r="G51" s="14" t="n"/>
      <c r="H51" s="14" t="n"/>
      <c r="I51" s="14" t="n"/>
      <c r="J51" s="14" t="n"/>
      <c r="K51" s="14" t="n"/>
      <c r="L51" s="16">
        <f>IF(COUNTIF(C51:K51,"Yes")+COUNTIF(C51:K51,"No")=0,"",COUNTIF(C51:K51,"Yes")/(COUNTIF(C51:K51,"Yes")+COUNTIF(C51:K51,"No"))*100)</f>
        <v/>
      </c>
      <c r="M51" s="14" t="n"/>
      <c r="N51" s="14" t="n"/>
    </row>
    <row r="52">
      <c r="A52" s="14" t="n"/>
      <c r="B52" s="14" t="n"/>
      <c r="C52" s="14" t="n"/>
      <c r="D52" s="14" t="n"/>
      <c r="E52" s="14" t="n"/>
      <c r="F52" s="14" t="n"/>
      <c r="G52" s="14" t="n"/>
      <c r="H52" s="14" t="n"/>
      <c r="I52" s="14" t="n"/>
      <c r="J52" s="14" t="n"/>
      <c r="K52" s="14" t="n"/>
      <c r="L52" s="16">
        <f>IF(COUNTIF(C52:K52,"Yes")+COUNTIF(C52:K52,"No")=0,"",COUNTIF(C52:K52,"Yes")/(COUNTIF(C52:K52,"Yes")+COUNTIF(C52:K52,"No"))*100)</f>
        <v/>
      </c>
      <c r="M52" s="14" t="n"/>
      <c r="N52" s="14" t="n"/>
    </row>
    <row r="53">
      <c r="A53" s="14" t="n"/>
      <c r="B53" s="14" t="n"/>
      <c r="C53" s="14" t="n"/>
      <c r="D53" s="14" t="n"/>
      <c r="E53" s="14" t="n"/>
      <c r="F53" s="14" t="n"/>
      <c r="G53" s="14" t="n"/>
      <c r="H53" s="14" t="n"/>
      <c r="I53" s="14" t="n"/>
      <c r="J53" s="14" t="n"/>
      <c r="K53" s="14" t="n"/>
      <c r="L53" s="16">
        <f>IF(COUNTIF(C53:K53,"Yes")+COUNTIF(C53:K53,"No")=0,"",COUNTIF(C53:K53,"Yes")/(COUNTIF(C53:K53,"Yes")+COUNTIF(C53:K53,"No"))*100)</f>
        <v/>
      </c>
      <c r="M53" s="14" t="n"/>
      <c r="N53" s="14" t="n"/>
    </row>
    <row r="54">
      <c r="A54" s="14" t="n"/>
      <c r="B54" s="14" t="n"/>
      <c r="C54" s="14" t="n"/>
      <c r="D54" s="14" t="n"/>
      <c r="E54" s="14" t="n"/>
      <c r="F54" s="14" t="n"/>
      <c r="G54" s="14" t="n"/>
      <c r="H54" s="14" t="n"/>
      <c r="I54" s="14" t="n"/>
      <c r="J54" s="14" t="n"/>
      <c r="K54" s="14" t="n"/>
      <c r="L54" s="16">
        <f>IF(COUNTIF(C54:K54,"Yes")+COUNTIF(C54:K54,"No")=0,"",COUNTIF(C54:K54,"Yes")/(COUNTIF(C54:K54,"Yes")+COUNTIF(C54:K54,"No"))*100)</f>
        <v/>
      </c>
      <c r="M54" s="14" t="n"/>
      <c r="N54" s="14" t="n"/>
    </row>
    <row r="56">
      <c r="A56" s="17" t="inlineStr">
        <is>
          <t>DNS Security Controls - Implementation Reference (per IMP-S4)</t>
        </is>
      </c>
      <c r="B56" s="6" t="n"/>
      <c r="C56" s="6" t="n"/>
      <c r="D56" s="6" t="n"/>
      <c r="E56" s="6" t="n"/>
      <c r="F56" s="6" t="n"/>
      <c r="G56" s="6" t="n"/>
      <c r="H56" s="6" t="n"/>
      <c r="I56" s="6" t="n"/>
      <c r="J56" s="6" t="n"/>
      <c r="K56" s="6" t="n"/>
      <c r="L56" s="6" t="n"/>
      <c r="M56" s="6" t="n"/>
      <c r="N56" s="6" t="n"/>
    </row>
    <row r="57">
      <c r="A57" s="13" t="inlineStr">
        <is>
          <t>Control</t>
        </is>
      </c>
      <c r="B57" s="13" t="inlineStr">
        <is>
          <t>Implementation Guidance</t>
        </is>
      </c>
    </row>
    <row r="58">
      <c r="A58" s="13" t="inlineStr">
        <is>
          <t>DNSSEC</t>
        </is>
      </c>
      <c r="B58" s="12" t="inlineStr">
        <is>
          <t>Enable zone signing, publish DS records to parent, configure trust anchors</t>
        </is>
      </c>
    </row>
    <row r="59">
      <c r="A59" s="13" t="inlineStr">
        <is>
          <t>Split DNS</t>
        </is>
      </c>
      <c r="B59" s="12" t="inlineStr">
        <is>
          <t>Internal view for private zones, external view for public zones</t>
        </is>
      </c>
    </row>
    <row r="60">
      <c r="A60" s="13" t="inlineStr">
        <is>
          <t>Rate Limiting</t>
        </is>
      </c>
      <c r="B60" s="12" t="inlineStr">
        <is>
          <t>Configure response rate limiting (RRL) to prevent DDoS amplification</t>
        </is>
      </c>
    </row>
    <row r="61">
      <c r="A61" s="13" t="inlineStr">
        <is>
          <t>Query Logging</t>
        </is>
      </c>
      <c r="B61" s="12" t="inlineStr">
        <is>
          <t>Enable query logging for security monitoring and forensics</t>
        </is>
      </c>
    </row>
    <row r="62">
      <c r="A62" s="13" t="inlineStr">
        <is>
          <t>RPZ/Filtering</t>
        </is>
      </c>
      <c r="B62" s="12" t="inlineStr">
        <is>
          <t>Implement Response Policy Zones for malware/phishing domain blocking</t>
        </is>
      </c>
    </row>
    <row r="63">
      <c r="A63" s="13" t="inlineStr">
        <is>
          <t>Recursion Control</t>
        </is>
      </c>
      <c r="B63" s="12" t="inlineStr">
        <is>
          <t>Disable recursion on authoritative servers, restrict recursive queries by ACL</t>
        </is>
      </c>
    </row>
    <row r="64">
      <c r="A64" s="13" t="inlineStr">
        <is>
          <t>Cache Poisoning Protection</t>
        </is>
      </c>
      <c r="B64" s="12" t="inlineStr">
        <is>
          <t>Enable DNSSEC validation, source port randomization</t>
        </is>
      </c>
    </row>
    <row r="65">
      <c r="A65" s="13" t="inlineStr">
        <is>
          <t>Zone Transfer Controls</t>
        </is>
      </c>
      <c r="B65" s="12" t="inlineStr">
        <is>
          <t>Restrict zone transfers (AXFR) to authorised secondary servers only</t>
        </is>
      </c>
    </row>
    <row r="66">
      <c r="A66" s="13" t="inlineStr">
        <is>
          <t>TSIG/SIG(0)</t>
        </is>
      </c>
      <c r="B66" s="12" t="inlineStr">
        <is>
          <t>Use TSIG for authenticated zone transfers and dynamic updates</t>
        </is>
      </c>
    </row>
  </sheetData>
  <mergeCells count="12">
    <mergeCell ref="B59:N59"/>
    <mergeCell ref="A56:N56"/>
    <mergeCell ref="B60:N60"/>
    <mergeCell ref="B66:N66"/>
    <mergeCell ref="B63:N63"/>
    <mergeCell ref="B61:N61"/>
    <mergeCell ref="B65:N65"/>
    <mergeCell ref="A2:N2"/>
    <mergeCell ref="B58:N58"/>
    <mergeCell ref="B62:N62"/>
    <mergeCell ref="B64:N64"/>
    <mergeCell ref="A1:N1"/>
  </mergeCells>
  <conditionalFormatting sqref="C5:C54">
    <cfRule type="cellIs" priority="1" operator="equal" dxfId="4">
      <formula>"Yes"</formula>
    </cfRule>
    <cfRule type="cellIs" priority="2" operator="equal" dxfId="5">
      <formula>"No"</formula>
    </cfRule>
    <cfRule type="cellIs" priority="3" operator="equal" dxfId="6">
      <formula>"N/A"</formula>
    </cfRule>
  </conditionalFormatting>
  <conditionalFormatting sqref="D5:D54">
    <cfRule type="cellIs" priority="4" operator="equal" dxfId="4">
      <formula>"Yes"</formula>
    </cfRule>
    <cfRule type="cellIs" priority="5" operator="equal" dxfId="5">
      <formula>"No"</formula>
    </cfRule>
    <cfRule type="cellIs" priority="6" operator="equal" dxfId="6">
      <formula>"N/A"</formula>
    </cfRule>
  </conditionalFormatting>
  <conditionalFormatting sqref="E5:E54">
    <cfRule type="cellIs" priority="7" operator="equal" dxfId="4">
      <formula>"Yes"</formula>
    </cfRule>
    <cfRule type="cellIs" priority="8" operator="equal" dxfId="5">
      <formula>"No"</formula>
    </cfRule>
    <cfRule type="cellIs" priority="9" operator="equal" dxfId="6">
      <formula>"N/A"</formula>
    </cfRule>
  </conditionalFormatting>
  <conditionalFormatting sqref="F5:F54">
    <cfRule type="cellIs" priority="10" operator="equal" dxfId="4">
      <formula>"Yes"</formula>
    </cfRule>
    <cfRule type="cellIs" priority="11" operator="equal" dxfId="5">
      <formula>"No"</formula>
    </cfRule>
    <cfRule type="cellIs" priority="12" operator="equal" dxfId="6">
      <formula>"N/A"</formula>
    </cfRule>
  </conditionalFormatting>
  <conditionalFormatting sqref="G5:G54">
    <cfRule type="cellIs" priority="13" operator="equal" dxfId="4">
      <formula>"Yes"</formula>
    </cfRule>
    <cfRule type="cellIs" priority="14" operator="equal" dxfId="5">
      <formula>"No"</formula>
    </cfRule>
    <cfRule type="cellIs" priority="15" operator="equal" dxfId="6">
      <formula>"N/A"</formula>
    </cfRule>
  </conditionalFormatting>
  <conditionalFormatting sqref="H5:H54">
    <cfRule type="cellIs" priority="16" operator="equal" dxfId="4">
      <formula>"Yes"</formula>
    </cfRule>
    <cfRule type="cellIs" priority="17" operator="equal" dxfId="5">
      <formula>"No"</formula>
    </cfRule>
    <cfRule type="cellIs" priority="18" operator="equal" dxfId="6">
      <formula>"N/A"</formula>
    </cfRule>
  </conditionalFormatting>
  <conditionalFormatting sqref="I5:I54">
    <cfRule type="cellIs" priority="19" operator="equal" dxfId="4">
      <formula>"Yes"</formula>
    </cfRule>
    <cfRule type="cellIs" priority="20" operator="equal" dxfId="5">
      <formula>"No"</formula>
    </cfRule>
    <cfRule type="cellIs" priority="21" operator="equal" dxfId="6">
      <formula>"N/A"</formula>
    </cfRule>
  </conditionalFormatting>
  <conditionalFormatting sqref="J5:J54">
    <cfRule type="cellIs" priority="22" operator="equal" dxfId="4">
      <formula>"Yes"</formula>
    </cfRule>
    <cfRule type="cellIs" priority="23" operator="equal" dxfId="5">
      <formula>"No"</formula>
    </cfRule>
    <cfRule type="cellIs" priority="24" operator="equal" dxfId="6">
      <formula>"N/A"</formula>
    </cfRule>
  </conditionalFormatting>
  <conditionalFormatting sqref="K5:K54">
    <cfRule type="cellIs" priority="25" operator="equal" dxfId="4">
      <formula>"Yes"</formula>
    </cfRule>
    <cfRule type="cellIs" priority="26" operator="equal" dxfId="5">
      <formula>"No"</formula>
    </cfRule>
    <cfRule type="cellIs" priority="27" operator="equal" dxfId="6">
      <formula>"N/A"</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40" customWidth="1" min="12" max="12"/>
  </cols>
  <sheetData>
    <row r="1" ht="35" customHeight="1">
      <c r="A1" s="11" t="inlineStr">
        <is>
          <t>DHCP SECURITY ASSESSMENT</t>
        </is>
      </c>
    </row>
    <row r="2">
      <c r="A2" s="12" t="inlineStr">
        <is>
          <t>Assess DHCP security controls per IMP-S4 guidance. One row per DHCP server/scope.</t>
        </is>
      </c>
    </row>
    <row r="3">
      <c r="A3" s="13" t="inlineStr">
        <is>
          <t>Service ID</t>
        </is>
      </c>
      <c r="B3" s="13" t="inlineStr">
        <is>
          <t>DHCP Scope</t>
        </is>
      </c>
      <c r="C3" s="13" t="inlineStr">
        <is>
          <t>DHCP Snooping</t>
        </is>
      </c>
      <c r="D3" s="13" t="inlineStr">
        <is>
          <t>Rogue DHCP Detection</t>
        </is>
      </c>
      <c r="E3" s="13" t="inlineStr">
        <is>
          <t>Server Hardening</t>
        </is>
      </c>
      <c r="F3" s="13" t="inlineStr">
        <is>
          <t>Lease Time Appropriate</t>
        </is>
      </c>
      <c r="G3" s="13" t="inlineStr">
        <is>
          <t>Utilization Monitoring</t>
        </is>
      </c>
      <c r="H3" s="13" t="inlineStr">
        <is>
          <t>Reservation Management</t>
        </is>
      </c>
      <c r="I3" s="13" t="inlineStr">
        <is>
          <t>Logging Enabled</t>
        </is>
      </c>
      <c r="J3" s="13" t="inlineStr">
        <is>
          <t>Compliance Score %</t>
        </is>
      </c>
      <c r="K3" s="13" t="inlineStr">
        <is>
          <t>Last Assessed</t>
        </is>
      </c>
      <c r="L3" s="13" t="inlineStr">
        <is>
          <t>Notes</t>
        </is>
      </c>
    </row>
    <row r="4">
      <c r="A4" s="15" t="inlineStr">
        <is>
          <t>DHCP-001</t>
        </is>
      </c>
      <c r="B4" s="15" t="inlineStr">
        <is>
          <t>192.168.1.0/24</t>
        </is>
      </c>
      <c r="C4" s="15" t="inlineStr">
        <is>
          <t>Yes</t>
        </is>
      </c>
      <c r="D4" s="15" t="inlineStr">
        <is>
          <t>Yes</t>
        </is>
      </c>
      <c r="E4" s="15" t="inlineStr">
        <is>
          <t>Yes</t>
        </is>
      </c>
      <c r="F4" s="15" t="inlineStr">
        <is>
          <t>Yes</t>
        </is>
      </c>
      <c r="G4" s="15" t="inlineStr">
        <is>
          <t>Yes</t>
        </is>
      </c>
      <c r="H4" s="15" t="inlineStr">
        <is>
          <t>Yes</t>
        </is>
      </c>
      <c r="I4" s="15" t="inlineStr">
        <is>
          <t>Yes</t>
        </is>
      </c>
      <c r="J4" s="16">
        <f>IF(COUNTIF(C4:I4,"Yes")+COUNTIF(C4:I4,"No")=0,"",COUNTIF(C4:I4,"Yes")/(COUNTIF(C4:I4,"Yes")+COUNTIF(C4:I4,"No"))*100)</f>
        <v/>
      </c>
      <c r="K4" s="15" t="inlineStr">
        <is>
          <t>15.01.2026</t>
        </is>
      </c>
      <c r="L4" s="15" t="n"/>
    </row>
    <row r="5">
      <c r="A5" s="14" t="n"/>
      <c r="B5" s="14" t="n"/>
      <c r="C5" s="14" t="n"/>
      <c r="D5" s="14" t="n"/>
      <c r="E5" s="14" t="n"/>
      <c r="F5" s="14" t="n"/>
      <c r="G5" s="14" t="n"/>
      <c r="H5" s="14" t="n"/>
      <c r="I5" s="14" t="n"/>
      <c r="J5" s="16">
        <f>IF(COUNTIF(C5:I5,"Yes")+COUNTIF(C5:I5,"No")=0,"",COUNTIF(C5:I5,"Yes")/(COUNTIF(C5:I5,"Yes")+COUNTIF(C5:I5,"No"))*100)</f>
        <v/>
      </c>
      <c r="K5" s="14" t="n"/>
      <c r="L5" s="14" t="n"/>
    </row>
    <row r="6">
      <c r="A6" s="14" t="n"/>
      <c r="B6" s="14" t="n"/>
      <c r="C6" s="14" t="n"/>
      <c r="D6" s="14" t="n"/>
      <c r="E6" s="14" t="n"/>
      <c r="F6" s="14" t="n"/>
      <c r="G6" s="14" t="n"/>
      <c r="H6" s="14" t="n"/>
      <c r="I6" s="14" t="n"/>
      <c r="J6" s="16">
        <f>IF(COUNTIF(C6:I6,"Yes")+COUNTIF(C6:I6,"No")=0,"",COUNTIF(C6:I6,"Yes")/(COUNTIF(C6:I6,"Yes")+COUNTIF(C6:I6,"No"))*100)</f>
        <v/>
      </c>
      <c r="K6" s="14" t="n"/>
      <c r="L6" s="14" t="n"/>
    </row>
    <row r="7">
      <c r="A7" s="14" t="n"/>
      <c r="B7" s="14" t="n"/>
      <c r="C7" s="14" t="n"/>
      <c r="D7" s="14" t="n"/>
      <c r="E7" s="14" t="n"/>
      <c r="F7" s="14" t="n"/>
      <c r="G7" s="14" t="n"/>
      <c r="H7" s="14" t="n"/>
      <c r="I7" s="14" t="n"/>
      <c r="J7" s="16">
        <f>IF(COUNTIF(C7:I7,"Yes")+COUNTIF(C7:I7,"No")=0,"",COUNTIF(C7:I7,"Yes")/(COUNTIF(C7:I7,"Yes")+COUNTIF(C7:I7,"No"))*100)</f>
        <v/>
      </c>
      <c r="K7" s="14" t="n"/>
      <c r="L7" s="14" t="n"/>
    </row>
    <row r="8">
      <c r="A8" s="14" t="n"/>
      <c r="B8" s="14" t="n"/>
      <c r="C8" s="14" t="n"/>
      <c r="D8" s="14" t="n"/>
      <c r="E8" s="14" t="n"/>
      <c r="F8" s="14" t="n"/>
      <c r="G8" s="14" t="n"/>
      <c r="H8" s="14" t="n"/>
      <c r="I8" s="14" t="n"/>
      <c r="J8" s="16">
        <f>IF(COUNTIF(C8:I8,"Yes")+COUNTIF(C8:I8,"No")=0,"",COUNTIF(C8:I8,"Yes")/(COUNTIF(C8:I8,"Yes")+COUNTIF(C8:I8,"No"))*100)</f>
        <v/>
      </c>
      <c r="K8" s="14" t="n"/>
      <c r="L8" s="14" t="n"/>
    </row>
    <row r="9">
      <c r="A9" s="14" t="n"/>
      <c r="B9" s="14" t="n"/>
      <c r="C9" s="14" t="n"/>
      <c r="D9" s="14" t="n"/>
      <c r="E9" s="14" t="n"/>
      <c r="F9" s="14" t="n"/>
      <c r="G9" s="14" t="n"/>
      <c r="H9" s="14" t="n"/>
      <c r="I9" s="14" t="n"/>
      <c r="J9" s="16">
        <f>IF(COUNTIF(C9:I9,"Yes")+COUNTIF(C9:I9,"No")=0,"",COUNTIF(C9:I9,"Yes")/(COUNTIF(C9:I9,"Yes")+COUNTIF(C9:I9,"No"))*100)</f>
        <v/>
      </c>
      <c r="K9" s="14" t="n"/>
      <c r="L9" s="14" t="n"/>
    </row>
    <row r="10">
      <c r="A10" s="14" t="n"/>
      <c r="B10" s="14" t="n"/>
      <c r="C10" s="14" t="n"/>
      <c r="D10" s="14" t="n"/>
      <c r="E10" s="14" t="n"/>
      <c r="F10" s="14" t="n"/>
      <c r="G10" s="14" t="n"/>
      <c r="H10" s="14" t="n"/>
      <c r="I10" s="14" t="n"/>
      <c r="J10" s="16">
        <f>IF(COUNTIF(C10:I10,"Yes")+COUNTIF(C10:I10,"No")=0,"",COUNTIF(C10:I10,"Yes")/(COUNTIF(C10:I10,"Yes")+COUNTIF(C10:I10,"No"))*100)</f>
        <v/>
      </c>
      <c r="K10" s="14" t="n"/>
      <c r="L10" s="14" t="n"/>
    </row>
    <row r="11">
      <c r="A11" s="14" t="n"/>
      <c r="B11" s="14" t="n"/>
      <c r="C11" s="14" t="n"/>
      <c r="D11" s="14" t="n"/>
      <c r="E11" s="14" t="n"/>
      <c r="F11" s="14" t="n"/>
      <c r="G11" s="14" t="n"/>
      <c r="H11" s="14" t="n"/>
      <c r="I11" s="14" t="n"/>
      <c r="J11" s="16">
        <f>IF(COUNTIF(C11:I11,"Yes")+COUNTIF(C11:I11,"No")=0,"",COUNTIF(C11:I11,"Yes")/(COUNTIF(C11:I11,"Yes")+COUNTIF(C11:I11,"No"))*100)</f>
        <v/>
      </c>
      <c r="K11" s="14" t="n"/>
      <c r="L11" s="14" t="n"/>
    </row>
    <row r="12">
      <c r="A12" s="14" t="n"/>
      <c r="B12" s="14" t="n"/>
      <c r="C12" s="14" t="n"/>
      <c r="D12" s="14" t="n"/>
      <c r="E12" s="14" t="n"/>
      <c r="F12" s="14" t="n"/>
      <c r="G12" s="14" t="n"/>
      <c r="H12" s="14" t="n"/>
      <c r="I12" s="14" t="n"/>
      <c r="J12" s="16">
        <f>IF(COUNTIF(C12:I12,"Yes")+COUNTIF(C12:I12,"No")=0,"",COUNTIF(C12:I12,"Yes")/(COUNTIF(C12:I12,"Yes")+COUNTIF(C12:I12,"No"))*100)</f>
        <v/>
      </c>
      <c r="K12" s="14" t="n"/>
      <c r="L12" s="14" t="n"/>
    </row>
    <row r="13">
      <c r="A13" s="14" t="n"/>
      <c r="B13" s="14" t="n"/>
      <c r="C13" s="14" t="n"/>
      <c r="D13" s="14" t="n"/>
      <c r="E13" s="14" t="n"/>
      <c r="F13" s="14" t="n"/>
      <c r="G13" s="14" t="n"/>
      <c r="H13" s="14" t="n"/>
      <c r="I13" s="14" t="n"/>
      <c r="J13" s="16">
        <f>IF(COUNTIF(C13:I13,"Yes")+COUNTIF(C13:I13,"No")=0,"",COUNTIF(C13:I13,"Yes")/(COUNTIF(C13:I13,"Yes")+COUNTIF(C13:I13,"No"))*100)</f>
        <v/>
      </c>
      <c r="K13" s="14" t="n"/>
      <c r="L13" s="14" t="n"/>
    </row>
    <row r="14">
      <c r="A14" s="14" t="n"/>
      <c r="B14" s="14" t="n"/>
      <c r="C14" s="14" t="n"/>
      <c r="D14" s="14" t="n"/>
      <c r="E14" s="14" t="n"/>
      <c r="F14" s="14" t="n"/>
      <c r="G14" s="14" t="n"/>
      <c r="H14" s="14" t="n"/>
      <c r="I14" s="14" t="n"/>
      <c r="J14" s="16">
        <f>IF(COUNTIF(C14:I14,"Yes")+COUNTIF(C14:I14,"No")=0,"",COUNTIF(C14:I14,"Yes")/(COUNTIF(C14:I14,"Yes")+COUNTIF(C14:I14,"No"))*100)</f>
        <v/>
      </c>
      <c r="K14" s="14" t="n"/>
      <c r="L14" s="14" t="n"/>
    </row>
    <row r="15">
      <c r="A15" s="14" t="n"/>
      <c r="B15" s="14" t="n"/>
      <c r="C15" s="14" t="n"/>
      <c r="D15" s="14" t="n"/>
      <c r="E15" s="14" t="n"/>
      <c r="F15" s="14" t="n"/>
      <c r="G15" s="14" t="n"/>
      <c r="H15" s="14" t="n"/>
      <c r="I15" s="14" t="n"/>
      <c r="J15" s="16">
        <f>IF(COUNTIF(C15:I15,"Yes")+COUNTIF(C15:I15,"No")=0,"",COUNTIF(C15:I15,"Yes")/(COUNTIF(C15:I15,"Yes")+COUNTIF(C15:I15,"No"))*100)</f>
        <v/>
      </c>
      <c r="K15" s="14" t="n"/>
      <c r="L15" s="14" t="n"/>
    </row>
    <row r="16">
      <c r="A16" s="14" t="n"/>
      <c r="B16" s="14" t="n"/>
      <c r="C16" s="14" t="n"/>
      <c r="D16" s="14" t="n"/>
      <c r="E16" s="14" t="n"/>
      <c r="F16" s="14" t="n"/>
      <c r="G16" s="14" t="n"/>
      <c r="H16" s="14" t="n"/>
      <c r="I16" s="14" t="n"/>
      <c r="J16" s="16">
        <f>IF(COUNTIF(C16:I16,"Yes")+COUNTIF(C16:I16,"No")=0,"",COUNTIF(C16:I16,"Yes")/(COUNTIF(C16:I16,"Yes")+COUNTIF(C16:I16,"No"))*100)</f>
        <v/>
      </c>
      <c r="K16" s="14" t="n"/>
      <c r="L16" s="14" t="n"/>
    </row>
    <row r="17">
      <c r="A17" s="14" t="n"/>
      <c r="B17" s="14" t="n"/>
      <c r="C17" s="14" t="n"/>
      <c r="D17" s="14" t="n"/>
      <c r="E17" s="14" t="n"/>
      <c r="F17" s="14" t="n"/>
      <c r="G17" s="14" t="n"/>
      <c r="H17" s="14" t="n"/>
      <c r="I17" s="14" t="n"/>
      <c r="J17" s="16">
        <f>IF(COUNTIF(C17:I17,"Yes")+COUNTIF(C17:I17,"No")=0,"",COUNTIF(C17:I17,"Yes")/(COUNTIF(C17:I17,"Yes")+COUNTIF(C17:I17,"No"))*100)</f>
        <v/>
      </c>
      <c r="K17" s="14" t="n"/>
      <c r="L17" s="14" t="n"/>
    </row>
    <row r="18">
      <c r="A18" s="14" t="n"/>
      <c r="B18" s="14" t="n"/>
      <c r="C18" s="14" t="n"/>
      <c r="D18" s="14" t="n"/>
      <c r="E18" s="14" t="n"/>
      <c r="F18" s="14" t="n"/>
      <c r="G18" s="14" t="n"/>
      <c r="H18" s="14" t="n"/>
      <c r="I18" s="14" t="n"/>
      <c r="J18" s="16">
        <f>IF(COUNTIF(C18:I18,"Yes")+COUNTIF(C18:I18,"No")=0,"",COUNTIF(C18:I18,"Yes")/(COUNTIF(C18:I18,"Yes")+COUNTIF(C18:I18,"No"))*100)</f>
        <v/>
      </c>
      <c r="K18" s="14" t="n"/>
      <c r="L18" s="14" t="n"/>
    </row>
    <row r="19">
      <c r="A19" s="14" t="n"/>
      <c r="B19" s="14" t="n"/>
      <c r="C19" s="14" t="n"/>
      <c r="D19" s="14" t="n"/>
      <c r="E19" s="14" t="n"/>
      <c r="F19" s="14" t="n"/>
      <c r="G19" s="14" t="n"/>
      <c r="H19" s="14" t="n"/>
      <c r="I19" s="14" t="n"/>
      <c r="J19" s="16">
        <f>IF(COUNTIF(C19:I19,"Yes")+COUNTIF(C19:I19,"No")=0,"",COUNTIF(C19:I19,"Yes")/(COUNTIF(C19:I19,"Yes")+COUNTIF(C19:I19,"No"))*100)</f>
        <v/>
      </c>
      <c r="K19" s="14" t="n"/>
      <c r="L19" s="14" t="n"/>
    </row>
    <row r="20">
      <c r="A20" s="14" t="n"/>
      <c r="B20" s="14" t="n"/>
      <c r="C20" s="14" t="n"/>
      <c r="D20" s="14" t="n"/>
      <c r="E20" s="14" t="n"/>
      <c r="F20" s="14" t="n"/>
      <c r="G20" s="14" t="n"/>
      <c r="H20" s="14" t="n"/>
      <c r="I20" s="14" t="n"/>
      <c r="J20" s="16">
        <f>IF(COUNTIF(C20:I20,"Yes")+COUNTIF(C20:I20,"No")=0,"",COUNTIF(C20:I20,"Yes")/(COUNTIF(C20:I20,"Yes")+COUNTIF(C20:I20,"No"))*100)</f>
        <v/>
      </c>
      <c r="K20" s="14" t="n"/>
      <c r="L20" s="14" t="n"/>
    </row>
    <row r="21">
      <c r="A21" s="14" t="n"/>
      <c r="B21" s="14" t="n"/>
      <c r="C21" s="14" t="n"/>
      <c r="D21" s="14" t="n"/>
      <c r="E21" s="14" t="n"/>
      <c r="F21" s="14" t="n"/>
      <c r="G21" s="14" t="n"/>
      <c r="H21" s="14" t="n"/>
      <c r="I21" s="14" t="n"/>
      <c r="J21" s="16">
        <f>IF(COUNTIF(C21:I21,"Yes")+COUNTIF(C21:I21,"No")=0,"",COUNTIF(C21:I21,"Yes")/(COUNTIF(C21:I21,"Yes")+COUNTIF(C21:I21,"No"))*100)</f>
        <v/>
      </c>
      <c r="K21" s="14" t="n"/>
      <c r="L21" s="14" t="n"/>
    </row>
    <row r="22">
      <c r="A22" s="14" t="n"/>
      <c r="B22" s="14" t="n"/>
      <c r="C22" s="14" t="n"/>
      <c r="D22" s="14" t="n"/>
      <c r="E22" s="14" t="n"/>
      <c r="F22" s="14" t="n"/>
      <c r="G22" s="14" t="n"/>
      <c r="H22" s="14" t="n"/>
      <c r="I22" s="14" t="n"/>
      <c r="J22" s="16">
        <f>IF(COUNTIF(C22:I22,"Yes")+COUNTIF(C22:I22,"No")=0,"",COUNTIF(C22:I22,"Yes")/(COUNTIF(C22:I22,"Yes")+COUNTIF(C22:I22,"No"))*100)</f>
        <v/>
      </c>
      <c r="K22" s="14" t="n"/>
      <c r="L22" s="14" t="n"/>
    </row>
    <row r="23">
      <c r="A23" s="14" t="n"/>
      <c r="B23" s="14" t="n"/>
      <c r="C23" s="14" t="n"/>
      <c r="D23" s="14" t="n"/>
      <c r="E23" s="14" t="n"/>
      <c r="F23" s="14" t="n"/>
      <c r="G23" s="14" t="n"/>
      <c r="H23" s="14" t="n"/>
      <c r="I23" s="14" t="n"/>
      <c r="J23" s="16">
        <f>IF(COUNTIF(C23:I23,"Yes")+COUNTIF(C23:I23,"No")=0,"",COUNTIF(C23:I23,"Yes")/(COUNTIF(C23:I23,"Yes")+COUNTIF(C23:I23,"No"))*100)</f>
        <v/>
      </c>
      <c r="K23" s="14" t="n"/>
      <c r="L23" s="14" t="n"/>
    </row>
    <row r="24">
      <c r="A24" s="14" t="n"/>
      <c r="B24" s="14" t="n"/>
      <c r="C24" s="14" t="n"/>
      <c r="D24" s="14" t="n"/>
      <c r="E24" s="14" t="n"/>
      <c r="F24" s="14" t="n"/>
      <c r="G24" s="14" t="n"/>
      <c r="H24" s="14" t="n"/>
      <c r="I24" s="14" t="n"/>
      <c r="J24" s="16">
        <f>IF(COUNTIF(C24:I24,"Yes")+COUNTIF(C24:I24,"No")=0,"",COUNTIF(C24:I24,"Yes")/(COUNTIF(C24:I24,"Yes")+COUNTIF(C24:I24,"No"))*100)</f>
        <v/>
      </c>
      <c r="K24" s="14" t="n"/>
      <c r="L24" s="14" t="n"/>
    </row>
    <row r="25">
      <c r="A25" s="14" t="n"/>
      <c r="B25" s="14" t="n"/>
      <c r="C25" s="14" t="n"/>
      <c r="D25" s="14" t="n"/>
      <c r="E25" s="14" t="n"/>
      <c r="F25" s="14" t="n"/>
      <c r="G25" s="14" t="n"/>
      <c r="H25" s="14" t="n"/>
      <c r="I25" s="14" t="n"/>
      <c r="J25" s="16">
        <f>IF(COUNTIF(C25:I25,"Yes")+COUNTIF(C25:I25,"No")=0,"",COUNTIF(C25:I25,"Yes")/(COUNTIF(C25:I25,"Yes")+COUNTIF(C25:I25,"No"))*100)</f>
        <v/>
      </c>
      <c r="K25" s="14" t="n"/>
      <c r="L25" s="14" t="n"/>
    </row>
    <row r="26">
      <c r="A26" s="14" t="n"/>
      <c r="B26" s="14" t="n"/>
      <c r="C26" s="14" t="n"/>
      <c r="D26" s="14" t="n"/>
      <c r="E26" s="14" t="n"/>
      <c r="F26" s="14" t="n"/>
      <c r="G26" s="14" t="n"/>
      <c r="H26" s="14" t="n"/>
      <c r="I26" s="14" t="n"/>
      <c r="J26" s="16">
        <f>IF(COUNTIF(C26:I26,"Yes")+COUNTIF(C26:I26,"No")=0,"",COUNTIF(C26:I26,"Yes")/(COUNTIF(C26:I26,"Yes")+COUNTIF(C26:I26,"No"))*100)</f>
        <v/>
      </c>
      <c r="K26" s="14" t="n"/>
      <c r="L26" s="14" t="n"/>
    </row>
    <row r="27">
      <c r="A27" s="14" t="n"/>
      <c r="B27" s="14" t="n"/>
      <c r="C27" s="14" t="n"/>
      <c r="D27" s="14" t="n"/>
      <c r="E27" s="14" t="n"/>
      <c r="F27" s="14" t="n"/>
      <c r="G27" s="14" t="n"/>
      <c r="H27" s="14" t="n"/>
      <c r="I27" s="14" t="n"/>
      <c r="J27" s="16">
        <f>IF(COUNTIF(C27:I27,"Yes")+COUNTIF(C27:I27,"No")=0,"",COUNTIF(C27:I27,"Yes")/(COUNTIF(C27:I27,"Yes")+COUNTIF(C27:I27,"No"))*100)</f>
        <v/>
      </c>
      <c r="K27" s="14" t="n"/>
      <c r="L27" s="14" t="n"/>
    </row>
    <row r="28">
      <c r="A28" s="14" t="n"/>
      <c r="B28" s="14" t="n"/>
      <c r="C28" s="14" t="n"/>
      <c r="D28" s="14" t="n"/>
      <c r="E28" s="14" t="n"/>
      <c r="F28" s="14" t="n"/>
      <c r="G28" s="14" t="n"/>
      <c r="H28" s="14" t="n"/>
      <c r="I28" s="14" t="n"/>
      <c r="J28" s="16">
        <f>IF(COUNTIF(C28:I28,"Yes")+COUNTIF(C28:I28,"No")=0,"",COUNTIF(C28:I28,"Yes")/(COUNTIF(C28:I28,"Yes")+COUNTIF(C28:I28,"No"))*100)</f>
        <v/>
      </c>
      <c r="K28" s="14" t="n"/>
      <c r="L28" s="14" t="n"/>
    </row>
    <row r="29">
      <c r="A29" s="14" t="n"/>
      <c r="B29" s="14" t="n"/>
      <c r="C29" s="14" t="n"/>
      <c r="D29" s="14" t="n"/>
      <c r="E29" s="14" t="n"/>
      <c r="F29" s="14" t="n"/>
      <c r="G29" s="14" t="n"/>
      <c r="H29" s="14" t="n"/>
      <c r="I29" s="14" t="n"/>
      <c r="J29" s="16">
        <f>IF(COUNTIF(C29:I29,"Yes")+COUNTIF(C29:I29,"No")=0,"",COUNTIF(C29:I29,"Yes")/(COUNTIF(C29:I29,"Yes")+COUNTIF(C29:I29,"No"))*100)</f>
        <v/>
      </c>
      <c r="K29" s="14" t="n"/>
      <c r="L29" s="14" t="n"/>
    </row>
    <row r="30">
      <c r="A30" s="14" t="n"/>
      <c r="B30" s="14" t="n"/>
      <c r="C30" s="14" t="n"/>
      <c r="D30" s="14" t="n"/>
      <c r="E30" s="14" t="n"/>
      <c r="F30" s="14" t="n"/>
      <c r="G30" s="14" t="n"/>
      <c r="H30" s="14" t="n"/>
      <c r="I30" s="14" t="n"/>
      <c r="J30" s="16">
        <f>IF(COUNTIF(C30:I30,"Yes")+COUNTIF(C30:I30,"No")=0,"",COUNTIF(C30:I30,"Yes")/(COUNTIF(C30:I30,"Yes")+COUNTIF(C30:I30,"No"))*100)</f>
        <v/>
      </c>
      <c r="K30" s="14" t="n"/>
      <c r="L30" s="14" t="n"/>
    </row>
    <row r="31">
      <c r="A31" s="14" t="n"/>
      <c r="B31" s="14" t="n"/>
      <c r="C31" s="14" t="n"/>
      <c r="D31" s="14" t="n"/>
      <c r="E31" s="14" t="n"/>
      <c r="F31" s="14" t="n"/>
      <c r="G31" s="14" t="n"/>
      <c r="H31" s="14" t="n"/>
      <c r="I31" s="14" t="n"/>
      <c r="J31" s="16">
        <f>IF(COUNTIF(C31:I31,"Yes")+COUNTIF(C31:I31,"No")=0,"",COUNTIF(C31:I31,"Yes")/(COUNTIF(C31:I31,"Yes")+COUNTIF(C31:I31,"No"))*100)</f>
        <v/>
      </c>
      <c r="K31" s="14" t="n"/>
      <c r="L31" s="14" t="n"/>
    </row>
    <row r="32">
      <c r="A32" s="14" t="n"/>
      <c r="B32" s="14" t="n"/>
      <c r="C32" s="14" t="n"/>
      <c r="D32" s="14" t="n"/>
      <c r="E32" s="14" t="n"/>
      <c r="F32" s="14" t="n"/>
      <c r="G32" s="14" t="n"/>
      <c r="H32" s="14" t="n"/>
      <c r="I32" s="14" t="n"/>
      <c r="J32" s="16">
        <f>IF(COUNTIF(C32:I32,"Yes")+COUNTIF(C32:I32,"No")=0,"",COUNTIF(C32:I32,"Yes")/(COUNTIF(C32:I32,"Yes")+COUNTIF(C32:I32,"No"))*100)</f>
        <v/>
      </c>
      <c r="K32" s="14" t="n"/>
      <c r="L32" s="14" t="n"/>
    </row>
    <row r="33">
      <c r="A33" s="14" t="n"/>
      <c r="B33" s="14" t="n"/>
      <c r="C33" s="14" t="n"/>
      <c r="D33" s="14" t="n"/>
      <c r="E33" s="14" t="n"/>
      <c r="F33" s="14" t="n"/>
      <c r="G33" s="14" t="n"/>
      <c r="H33" s="14" t="n"/>
      <c r="I33" s="14" t="n"/>
      <c r="J33" s="16">
        <f>IF(COUNTIF(C33:I33,"Yes")+COUNTIF(C33:I33,"No")=0,"",COUNTIF(C33:I33,"Yes")/(COUNTIF(C33:I33,"Yes")+COUNTIF(C33:I33,"No"))*100)</f>
        <v/>
      </c>
      <c r="K33" s="14" t="n"/>
      <c r="L33" s="14" t="n"/>
    </row>
    <row r="34">
      <c r="A34" s="14" t="n"/>
      <c r="B34" s="14" t="n"/>
      <c r="C34" s="14" t="n"/>
      <c r="D34" s="14" t="n"/>
      <c r="E34" s="14" t="n"/>
      <c r="F34" s="14" t="n"/>
      <c r="G34" s="14" t="n"/>
      <c r="H34" s="14" t="n"/>
      <c r="I34" s="14" t="n"/>
      <c r="J34" s="16">
        <f>IF(COUNTIF(C34:I34,"Yes")+COUNTIF(C34:I34,"No")=0,"",COUNTIF(C34:I34,"Yes")/(COUNTIF(C34:I34,"Yes")+COUNTIF(C34:I34,"No"))*100)</f>
        <v/>
      </c>
      <c r="K34" s="14" t="n"/>
      <c r="L34" s="14" t="n"/>
    </row>
    <row r="35">
      <c r="A35" s="14" t="n"/>
      <c r="B35" s="14" t="n"/>
      <c r="C35" s="14" t="n"/>
      <c r="D35" s="14" t="n"/>
      <c r="E35" s="14" t="n"/>
      <c r="F35" s="14" t="n"/>
      <c r="G35" s="14" t="n"/>
      <c r="H35" s="14" t="n"/>
      <c r="I35" s="14" t="n"/>
      <c r="J35" s="16">
        <f>IF(COUNTIF(C35:I35,"Yes")+COUNTIF(C35:I35,"No")=0,"",COUNTIF(C35:I35,"Yes")/(COUNTIF(C35:I35,"Yes")+COUNTIF(C35:I35,"No"))*100)</f>
        <v/>
      </c>
      <c r="K35" s="14" t="n"/>
      <c r="L35" s="14" t="n"/>
    </row>
    <row r="36">
      <c r="A36" s="14" t="n"/>
      <c r="B36" s="14" t="n"/>
      <c r="C36" s="14" t="n"/>
      <c r="D36" s="14" t="n"/>
      <c r="E36" s="14" t="n"/>
      <c r="F36" s="14" t="n"/>
      <c r="G36" s="14" t="n"/>
      <c r="H36" s="14" t="n"/>
      <c r="I36" s="14" t="n"/>
      <c r="J36" s="16">
        <f>IF(COUNTIF(C36:I36,"Yes")+COUNTIF(C36:I36,"No")=0,"",COUNTIF(C36:I36,"Yes")/(COUNTIF(C36:I36,"Yes")+COUNTIF(C36:I36,"No"))*100)</f>
        <v/>
      </c>
      <c r="K36" s="14" t="n"/>
      <c r="L36" s="14" t="n"/>
    </row>
    <row r="37">
      <c r="A37" s="14" t="n"/>
      <c r="B37" s="14" t="n"/>
      <c r="C37" s="14" t="n"/>
      <c r="D37" s="14" t="n"/>
      <c r="E37" s="14" t="n"/>
      <c r="F37" s="14" t="n"/>
      <c r="G37" s="14" t="n"/>
      <c r="H37" s="14" t="n"/>
      <c r="I37" s="14" t="n"/>
      <c r="J37" s="16">
        <f>IF(COUNTIF(C37:I37,"Yes")+COUNTIF(C37:I37,"No")=0,"",COUNTIF(C37:I37,"Yes")/(COUNTIF(C37:I37,"Yes")+COUNTIF(C37:I37,"No"))*100)</f>
        <v/>
      </c>
      <c r="K37" s="14" t="n"/>
      <c r="L37" s="14" t="n"/>
    </row>
    <row r="38">
      <c r="A38" s="14" t="n"/>
      <c r="B38" s="14" t="n"/>
      <c r="C38" s="14" t="n"/>
      <c r="D38" s="14" t="n"/>
      <c r="E38" s="14" t="n"/>
      <c r="F38" s="14" t="n"/>
      <c r="G38" s="14" t="n"/>
      <c r="H38" s="14" t="n"/>
      <c r="I38" s="14" t="n"/>
      <c r="J38" s="16">
        <f>IF(COUNTIF(C38:I38,"Yes")+COUNTIF(C38:I38,"No")=0,"",COUNTIF(C38:I38,"Yes")/(COUNTIF(C38:I38,"Yes")+COUNTIF(C38:I38,"No"))*100)</f>
        <v/>
      </c>
      <c r="K38" s="14" t="n"/>
      <c r="L38" s="14" t="n"/>
    </row>
    <row r="39">
      <c r="A39" s="14" t="n"/>
      <c r="B39" s="14" t="n"/>
      <c r="C39" s="14" t="n"/>
      <c r="D39" s="14" t="n"/>
      <c r="E39" s="14" t="n"/>
      <c r="F39" s="14" t="n"/>
      <c r="G39" s="14" t="n"/>
      <c r="H39" s="14" t="n"/>
      <c r="I39" s="14" t="n"/>
      <c r="J39" s="16">
        <f>IF(COUNTIF(C39:I39,"Yes")+COUNTIF(C39:I39,"No")=0,"",COUNTIF(C39:I39,"Yes")/(COUNTIF(C39:I39,"Yes")+COUNTIF(C39:I39,"No"))*100)</f>
        <v/>
      </c>
      <c r="K39" s="14" t="n"/>
      <c r="L39" s="14" t="n"/>
    </row>
    <row r="40">
      <c r="A40" s="14" t="n"/>
      <c r="B40" s="14" t="n"/>
      <c r="C40" s="14" t="n"/>
      <c r="D40" s="14" t="n"/>
      <c r="E40" s="14" t="n"/>
      <c r="F40" s="14" t="n"/>
      <c r="G40" s="14" t="n"/>
      <c r="H40" s="14" t="n"/>
      <c r="I40" s="14" t="n"/>
      <c r="J40" s="16">
        <f>IF(COUNTIF(C40:I40,"Yes")+COUNTIF(C40:I40,"No")=0,"",COUNTIF(C40:I40,"Yes")/(COUNTIF(C40:I40,"Yes")+COUNTIF(C40:I40,"No"))*100)</f>
        <v/>
      </c>
      <c r="K40" s="14" t="n"/>
      <c r="L40" s="14" t="n"/>
    </row>
    <row r="41">
      <c r="A41" s="14" t="n"/>
      <c r="B41" s="14" t="n"/>
      <c r="C41" s="14" t="n"/>
      <c r="D41" s="14" t="n"/>
      <c r="E41" s="14" t="n"/>
      <c r="F41" s="14" t="n"/>
      <c r="G41" s="14" t="n"/>
      <c r="H41" s="14" t="n"/>
      <c r="I41" s="14" t="n"/>
      <c r="J41" s="16">
        <f>IF(COUNTIF(C41:I41,"Yes")+COUNTIF(C41:I41,"No")=0,"",COUNTIF(C41:I41,"Yes")/(COUNTIF(C41:I41,"Yes")+COUNTIF(C41:I41,"No"))*100)</f>
        <v/>
      </c>
      <c r="K41" s="14" t="n"/>
      <c r="L41" s="14" t="n"/>
    </row>
    <row r="42">
      <c r="A42" s="14" t="n"/>
      <c r="B42" s="14" t="n"/>
      <c r="C42" s="14" t="n"/>
      <c r="D42" s="14" t="n"/>
      <c r="E42" s="14" t="n"/>
      <c r="F42" s="14" t="n"/>
      <c r="G42" s="14" t="n"/>
      <c r="H42" s="14" t="n"/>
      <c r="I42" s="14" t="n"/>
      <c r="J42" s="16">
        <f>IF(COUNTIF(C42:I42,"Yes")+COUNTIF(C42:I42,"No")=0,"",COUNTIF(C42:I42,"Yes")/(COUNTIF(C42:I42,"Yes")+COUNTIF(C42:I42,"No"))*100)</f>
        <v/>
      </c>
      <c r="K42" s="14" t="n"/>
      <c r="L42" s="14" t="n"/>
    </row>
    <row r="43">
      <c r="A43" s="14" t="n"/>
      <c r="B43" s="14" t="n"/>
      <c r="C43" s="14" t="n"/>
      <c r="D43" s="14" t="n"/>
      <c r="E43" s="14" t="n"/>
      <c r="F43" s="14" t="n"/>
      <c r="G43" s="14" t="n"/>
      <c r="H43" s="14" t="n"/>
      <c r="I43" s="14" t="n"/>
      <c r="J43" s="16">
        <f>IF(COUNTIF(C43:I43,"Yes")+COUNTIF(C43:I43,"No")=0,"",COUNTIF(C43:I43,"Yes")/(COUNTIF(C43:I43,"Yes")+COUNTIF(C43:I43,"No"))*100)</f>
        <v/>
      </c>
      <c r="K43" s="14" t="n"/>
      <c r="L43" s="14" t="n"/>
    </row>
    <row r="44">
      <c r="A44" s="14" t="n"/>
      <c r="B44" s="14" t="n"/>
      <c r="C44" s="14" t="n"/>
      <c r="D44" s="14" t="n"/>
      <c r="E44" s="14" t="n"/>
      <c r="F44" s="14" t="n"/>
      <c r="G44" s="14" t="n"/>
      <c r="H44" s="14" t="n"/>
      <c r="I44" s="14" t="n"/>
      <c r="J44" s="16">
        <f>IF(COUNTIF(C44:I44,"Yes")+COUNTIF(C44:I44,"No")=0,"",COUNTIF(C44:I44,"Yes")/(COUNTIF(C44:I44,"Yes")+COUNTIF(C44:I44,"No"))*100)</f>
        <v/>
      </c>
      <c r="K44" s="14" t="n"/>
      <c r="L44" s="14" t="n"/>
    </row>
    <row r="45">
      <c r="A45" s="14" t="n"/>
      <c r="B45" s="14" t="n"/>
      <c r="C45" s="14" t="n"/>
      <c r="D45" s="14" t="n"/>
      <c r="E45" s="14" t="n"/>
      <c r="F45" s="14" t="n"/>
      <c r="G45" s="14" t="n"/>
      <c r="H45" s="14" t="n"/>
      <c r="I45" s="14" t="n"/>
      <c r="J45" s="16">
        <f>IF(COUNTIF(C45:I45,"Yes")+COUNTIF(C45:I45,"No")=0,"",COUNTIF(C45:I45,"Yes")/(COUNTIF(C45:I45,"Yes")+COUNTIF(C45:I45,"No"))*100)</f>
        <v/>
      </c>
      <c r="K45" s="14" t="n"/>
      <c r="L45" s="14" t="n"/>
    </row>
    <row r="46">
      <c r="A46" s="14" t="n"/>
      <c r="B46" s="14" t="n"/>
      <c r="C46" s="14" t="n"/>
      <c r="D46" s="14" t="n"/>
      <c r="E46" s="14" t="n"/>
      <c r="F46" s="14" t="n"/>
      <c r="G46" s="14" t="n"/>
      <c r="H46" s="14" t="n"/>
      <c r="I46" s="14" t="n"/>
      <c r="J46" s="16">
        <f>IF(COUNTIF(C46:I46,"Yes")+COUNTIF(C46:I46,"No")=0,"",COUNTIF(C46:I46,"Yes")/(COUNTIF(C46:I46,"Yes")+COUNTIF(C46:I46,"No"))*100)</f>
        <v/>
      </c>
      <c r="K46" s="14" t="n"/>
      <c r="L46" s="14" t="n"/>
    </row>
    <row r="47">
      <c r="A47" s="14" t="n"/>
      <c r="B47" s="14" t="n"/>
      <c r="C47" s="14" t="n"/>
      <c r="D47" s="14" t="n"/>
      <c r="E47" s="14" t="n"/>
      <c r="F47" s="14" t="n"/>
      <c r="G47" s="14" t="n"/>
      <c r="H47" s="14" t="n"/>
      <c r="I47" s="14" t="n"/>
      <c r="J47" s="16">
        <f>IF(COUNTIF(C47:I47,"Yes")+COUNTIF(C47:I47,"No")=0,"",COUNTIF(C47:I47,"Yes")/(COUNTIF(C47:I47,"Yes")+COUNTIF(C47:I47,"No"))*100)</f>
        <v/>
      </c>
      <c r="K47" s="14" t="n"/>
      <c r="L47" s="14" t="n"/>
    </row>
    <row r="48">
      <c r="A48" s="14" t="n"/>
      <c r="B48" s="14" t="n"/>
      <c r="C48" s="14" t="n"/>
      <c r="D48" s="14" t="n"/>
      <c r="E48" s="14" t="n"/>
      <c r="F48" s="14" t="n"/>
      <c r="G48" s="14" t="n"/>
      <c r="H48" s="14" t="n"/>
      <c r="I48" s="14" t="n"/>
      <c r="J48" s="16">
        <f>IF(COUNTIF(C48:I48,"Yes")+COUNTIF(C48:I48,"No")=0,"",COUNTIF(C48:I48,"Yes")/(COUNTIF(C48:I48,"Yes")+COUNTIF(C48:I48,"No"))*100)</f>
        <v/>
      </c>
      <c r="K48" s="14" t="n"/>
      <c r="L48" s="14" t="n"/>
    </row>
    <row r="49">
      <c r="A49" s="14" t="n"/>
      <c r="B49" s="14" t="n"/>
      <c r="C49" s="14" t="n"/>
      <c r="D49" s="14" t="n"/>
      <c r="E49" s="14" t="n"/>
      <c r="F49" s="14" t="n"/>
      <c r="G49" s="14" t="n"/>
      <c r="H49" s="14" t="n"/>
      <c r="I49" s="14" t="n"/>
      <c r="J49" s="16">
        <f>IF(COUNTIF(C49:I49,"Yes")+COUNTIF(C49:I49,"No")=0,"",COUNTIF(C49:I49,"Yes")/(COUNTIF(C49:I49,"Yes")+COUNTIF(C49:I49,"No"))*100)</f>
        <v/>
      </c>
      <c r="K49" s="14" t="n"/>
      <c r="L49" s="14" t="n"/>
    </row>
    <row r="50">
      <c r="A50" s="14" t="n"/>
      <c r="B50" s="14" t="n"/>
      <c r="C50" s="14" t="n"/>
      <c r="D50" s="14" t="n"/>
      <c r="E50" s="14" t="n"/>
      <c r="F50" s="14" t="n"/>
      <c r="G50" s="14" t="n"/>
      <c r="H50" s="14" t="n"/>
      <c r="I50" s="14" t="n"/>
      <c r="J50" s="16">
        <f>IF(COUNTIF(C50:I50,"Yes")+COUNTIF(C50:I50,"No")=0,"",COUNTIF(C50:I50,"Yes")/(COUNTIF(C50:I50,"Yes")+COUNTIF(C50:I50,"No"))*100)</f>
        <v/>
      </c>
      <c r="K50" s="14" t="n"/>
      <c r="L50" s="14" t="n"/>
    </row>
    <row r="51">
      <c r="A51" s="14" t="n"/>
      <c r="B51" s="14" t="n"/>
      <c r="C51" s="14" t="n"/>
      <c r="D51" s="14" t="n"/>
      <c r="E51" s="14" t="n"/>
      <c r="F51" s="14" t="n"/>
      <c r="G51" s="14" t="n"/>
      <c r="H51" s="14" t="n"/>
      <c r="I51" s="14" t="n"/>
      <c r="J51" s="16">
        <f>IF(COUNTIF(C51:I51,"Yes")+COUNTIF(C51:I51,"No")=0,"",COUNTIF(C51:I51,"Yes")/(COUNTIF(C51:I51,"Yes")+COUNTIF(C51:I51,"No"))*100)</f>
        <v/>
      </c>
      <c r="K51" s="14" t="n"/>
      <c r="L51" s="14" t="n"/>
    </row>
    <row r="52">
      <c r="A52" s="14" t="n"/>
      <c r="B52" s="14" t="n"/>
      <c r="C52" s="14" t="n"/>
      <c r="D52" s="14" t="n"/>
      <c r="E52" s="14" t="n"/>
      <c r="F52" s="14" t="n"/>
      <c r="G52" s="14" t="n"/>
      <c r="H52" s="14" t="n"/>
      <c r="I52" s="14" t="n"/>
      <c r="J52" s="16">
        <f>IF(COUNTIF(C52:I52,"Yes")+COUNTIF(C52:I52,"No")=0,"",COUNTIF(C52:I52,"Yes")/(COUNTIF(C52:I52,"Yes")+COUNTIF(C52:I52,"No"))*100)</f>
        <v/>
      </c>
      <c r="K52" s="14" t="n"/>
      <c r="L52" s="14" t="n"/>
    </row>
    <row r="53">
      <c r="A53" s="14" t="n"/>
      <c r="B53" s="14" t="n"/>
      <c r="C53" s="14" t="n"/>
      <c r="D53" s="14" t="n"/>
      <c r="E53" s="14" t="n"/>
      <c r="F53" s="14" t="n"/>
      <c r="G53" s="14" t="n"/>
      <c r="H53" s="14" t="n"/>
      <c r="I53" s="14" t="n"/>
      <c r="J53" s="16">
        <f>IF(COUNTIF(C53:I53,"Yes")+COUNTIF(C53:I53,"No")=0,"",COUNTIF(C53:I53,"Yes")/(COUNTIF(C53:I53,"Yes")+COUNTIF(C53:I53,"No"))*100)</f>
        <v/>
      </c>
      <c r="K53" s="14" t="n"/>
      <c r="L53" s="14" t="n"/>
    </row>
    <row r="54">
      <c r="A54" s="14" t="n"/>
      <c r="B54" s="14" t="n"/>
      <c r="C54" s="14" t="n"/>
      <c r="D54" s="14" t="n"/>
      <c r="E54" s="14" t="n"/>
      <c r="F54" s="14" t="n"/>
      <c r="G54" s="14" t="n"/>
      <c r="H54" s="14" t="n"/>
      <c r="I54" s="14" t="n"/>
      <c r="J54" s="16">
        <f>IF(COUNTIF(C54:I54,"Yes")+COUNTIF(C54:I54,"No")=0,"",COUNTIF(C54:I54,"Yes")/(COUNTIF(C54:I54,"Yes")+COUNTIF(C54:I54,"No"))*100)</f>
        <v/>
      </c>
      <c r="K54" s="14" t="n"/>
      <c r="L54" s="14" t="n"/>
    </row>
    <row r="56">
      <c r="A56" s="17" t="inlineStr">
        <is>
          <t>DHCP Security Controls - Implementation Reference</t>
        </is>
      </c>
      <c r="B56" s="6" t="n"/>
      <c r="C56" s="6" t="n"/>
      <c r="D56" s="6" t="n"/>
      <c r="E56" s="6" t="n"/>
      <c r="F56" s="6" t="n"/>
      <c r="G56" s="6" t="n"/>
      <c r="H56" s="6" t="n"/>
      <c r="I56" s="6" t="n"/>
      <c r="J56" s="6" t="n"/>
      <c r="K56" s="6" t="n"/>
      <c r="L56" s="6" t="n"/>
    </row>
    <row r="57">
      <c r="A57" s="13" t="inlineStr">
        <is>
          <t>Control</t>
        </is>
      </c>
      <c r="B57" s="13" t="inlineStr">
        <is>
          <t>Implementation Guidance</t>
        </is>
      </c>
    </row>
    <row r="58">
      <c r="A58" s="13" t="inlineStr">
        <is>
          <t>DHCP Snooping</t>
        </is>
      </c>
      <c r="B58" s="12" t="inlineStr">
        <is>
          <t>Enable on access switches to prevent rogue DHCP servers</t>
        </is>
      </c>
    </row>
    <row r="59">
      <c r="A59" s="13" t="inlineStr">
        <is>
          <t>Rogue Detection</t>
        </is>
      </c>
      <c r="B59" s="12" t="inlineStr">
        <is>
          <t>Active scanning or monitoring for unauthorised DHCP responses</t>
        </is>
      </c>
    </row>
    <row r="60">
      <c r="A60" s="13" t="inlineStr">
        <is>
          <t>Server Hardening</t>
        </is>
      </c>
      <c r="B60" s="12" t="inlineStr">
        <is>
          <t>Apply OS hardening, disable unnecessary services, patch regularly</t>
        </is>
      </c>
    </row>
    <row r="61">
      <c r="A61" s="13" t="inlineStr">
        <is>
          <t>Lease Time</t>
        </is>
      </c>
      <c r="B61" s="12" t="inlineStr">
        <is>
          <t>Appropriate lease time (8 hours workstations, 24 hours servers, 1 hour guest)</t>
        </is>
      </c>
    </row>
    <row r="62">
      <c r="A62" s="13" t="inlineStr">
        <is>
          <t>Utilization Monitoring</t>
        </is>
      </c>
      <c r="B62" s="12" t="inlineStr">
        <is>
          <t>Monitor scope utilization, alert at 80% threshold</t>
        </is>
      </c>
    </row>
    <row r="63">
      <c r="A63" s="13" t="inlineStr">
        <is>
          <t>Reservation Management</t>
        </is>
      </c>
      <c r="B63" s="12" t="inlineStr">
        <is>
          <t>Document static reservations, review regularly</t>
        </is>
      </c>
    </row>
    <row r="64">
      <c r="A64" s="13" t="inlineStr">
        <is>
          <t>Logging</t>
        </is>
      </c>
      <c r="B64" s="12" t="inlineStr">
        <is>
          <t>Enable DHCP server logging for all lease actions</t>
        </is>
      </c>
    </row>
  </sheetData>
  <mergeCells count="10">
    <mergeCell ref="A2:L2"/>
    <mergeCell ref="B58:L58"/>
    <mergeCell ref="B62:L62"/>
    <mergeCell ref="B64:L64"/>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0" customWidth="1" min="11" max="11"/>
  </cols>
  <sheetData>
    <row r="1" ht="35" customHeight="1">
      <c r="A1" s="11" t="inlineStr">
        <is>
          <t>NTP SECURITY ASSESSMENT</t>
        </is>
      </c>
    </row>
    <row r="2">
      <c r="A2" s="12" t="inlineStr">
        <is>
          <t>Assess NTP security controls per IMP-S4 guidance. One row per NTP server/client.</t>
        </is>
      </c>
    </row>
    <row r="3">
      <c r="A3" s="13" t="inlineStr">
        <is>
          <t>Service ID</t>
        </is>
      </c>
      <c r="B3" s="13" t="inlineStr">
        <is>
          <t>NTP Role</t>
        </is>
      </c>
      <c r="C3" s="13" t="inlineStr">
        <is>
          <t>Authentication</t>
        </is>
      </c>
      <c r="D3" s="13" t="inlineStr">
        <is>
          <t>Access Control</t>
        </is>
      </c>
      <c r="E3" s="13" t="inlineStr">
        <is>
          <t>Stratum Appropriate</t>
        </is>
      </c>
      <c r="F3" s="13" t="inlineStr">
        <is>
          <t>Source Validation</t>
        </is>
      </c>
      <c r="G3" s="13" t="inlineStr">
        <is>
          <t>Monitoring</t>
        </is>
      </c>
      <c r="H3" s="13" t="inlineStr">
        <is>
          <t>Compliance Score %</t>
        </is>
      </c>
      <c r="I3" s="13" t="inlineStr">
        <is>
          <t>Stratum Level</t>
        </is>
      </c>
      <c r="J3" s="13" t="inlineStr">
        <is>
          <t>Last Assessed</t>
        </is>
      </c>
      <c r="K3" s="13" t="inlineStr">
        <is>
          <t>Notes</t>
        </is>
      </c>
    </row>
    <row r="4">
      <c r="A4" s="15" t="inlineStr">
        <is>
          <t>NTP-001</t>
        </is>
      </c>
      <c r="B4" s="15" t="inlineStr">
        <is>
          <t>Server</t>
        </is>
      </c>
      <c r="C4" s="15" t="inlineStr">
        <is>
          <t>Yes</t>
        </is>
      </c>
      <c r="D4" s="15" t="inlineStr">
        <is>
          <t>Yes</t>
        </is>
      </c>
      <c r="E4" s="15" t="inlineStr">
        <is>
          <t>Yes</t>
        </is>
      </c>
      <c r="F4" s="15" t="inlineStr">
        <is>
          <t>Yes</t>
        </is>
      </c>
      <c r="G4" s="15" t="inlineStr">
        <is>
          <t>Yes</t>
        </is>
      </c>
      <c r="H4" s="16">
        <f>IF(COUNTIF(C4:G4,"Yes")+COUNTIF(C4:G4,"No")=0,"",COUNTIF(C4:G4,"Yes")/(COUNTIF(C4:G4,"Yes")+COUNTIF(C4:G4,"No"))*100)</f>
        <v/>
      </c>
      <c r="I4" s="15" t="inlineStr">
        <is>
          <t>2</t>
        </is>
      </c>
      <c r="J4" s="15" t="inlineStr">
        <is>
          <t>15.01.2026</t>
        </is>
      </c>
      <c r="K4" s="15" t="n"/>
    </row>
    <row r="5">
      <c r="A5" s="14" t="n"/>
      <c r="B5" s="14" t="n"/>
      <c r="C5" s="14" t="n"/>
      <c r="D5" s="14" t="n"/>
      <c r="E5" s="14" t="n"/>
      <c r="F5" s="14" t="n"/>
      <c r="G5" s="14" t="n"/>
      <c r="H5" s="16">
        <f>IF(COUNTIF(C5:G5,"Yes")+COUNTIF(C5:G5,"No")=0,"",COUNTIF(C5:G5,"Yes")/(COUNTIF(C5:G5,"Yes")+COUNTIF(C5:G5,"No"))*100)</f>
        <v/>
      </c>
      <c r="I5" s="14" t="n"/>
      <c r="J5" s="14" t="n"/>
      <c r="K5" s="14" t="n"/>
    </row>
    <row r="6">
      <c r="A6" s="14" t="n"/>
      <c r="B6" s="14" t="n"/>
      <c r="C6" s="14" t="n"/>
      <c r="D6" s="14" t="n"/>
      <c r="E6" s="14" t="n"/>
      <c r="F6" s="14" t="n"/>
      <c r="G6" s="14" t="n"/>
      <c r="H6" s="16">
        <f>IF(COUNTIF(C6:G6,"Yes")+COUNTIF(C6:G6,"No")=0,"",COUNTIF(C6:G6,"Yes")/(COUNTIF(C6:G6,"Yes")+COUNTIF(C6:G6,"No"))*100)</f>
        <v/>
      </c>
      <c r="I6" s="14" t="n"/>
      <c r="J6" s="14" t="n"/>
      <c r="K6" s="14" t="n"/>
    </row>
    <row r="7">
      <c r="A7" s="14" t="n"/>
      <c r="B7" s="14" t="n"/>
      <c r="C7" s="14" t="n"/>
      <c r="D7" s="14" t="n"/>
      <c r="E7" s="14" t="n"/>
      <c r="F7" s="14" t="n"/>
      <c r="G7" s="14" t="n"/>
      <c r="H7" s="16">
        <f>IF(COUNTIF(C7:G7,"Yes")+COUNTIF(C7:G7,"No")=0,"",COUNTIF(C7:G7,"Yes")/(COUNTIF(C7:G7,"Yes")+COUNTIF(C7:G7,"No"))*100)</f>
        <v/>
      </c>
      <c r="I7" s="14" t="n"/>
      <c r="J7" s="14" t="n"/>
      <c r="K7" s="14" t="n"/>
    </row>
    <row r="8">
      <c r="A8" s="14" t="n"/>
      <c r="B8" s="14" t="n"/>
      <c r="C8" s="14" t="n"/>
      <c r="D8" s="14" t="n"/>
      <c r="E8" s="14" t="n"/>
      <c r="F8" s="14" t="n"/>
      <c r="G8" s="14" t="n"/>
      <c r="H8" s="16">
        <f>IF(COUNTIF(C8:G8,"Yes")+COUNTIF(C8:G8,"No")=0,"",COUNTIF(C8:G8,"Yes")/(COUNTIF(C8:G8,"Yes")+COUNTIF(C8:G8,"No"))*100)</f>
        <v/>
      </c>
      <c r="I8" s="14" t="n"/>
      <c r="J8" s="14" t="n"/>
      <c r="K8" s="14" t="n"/>
    </row>
    <row r="9">
      <c r="A9" s="14" t="n"/>
      <c r="B9" s="14" t="n"/>
      <c r="C9" s="14" t="n"/>
      <c r="D9" s="14" t="n"/>
      <c r="E9" s="14" t="n"/>
      <c r="F9" s="14" t="n"/>
      <c r="G9" s="14" t="n"/>
      <c r="H9" s="16">
        <f>IF(COUNTIF(C9:G9,"Yes")+COUNTIF(C9:G9,"No")=0,"",COUNTIF(C9:G9,"Yes")/(COUNTIF(C9:G9,"Yes")+COUNTIF(C9:G9,"No"))*100)</f>
        <v/>
      </c>
      <c r="I9" s="14" t="n"/>
      <c r="J9" s="14" t="n"/>
      <c r="K9" s="14" t="n"/>
    </row>
    <row r="10">
      <c r="A10" s="14" t="n"/>
      <c r="B10" s="14" t="n"/>
      <c r="C10" s="14" t="n"/>
      <c r="D10" s="14" t="n"/>
      <c r="E10" s="14" t="n"/>
      <c r="F10" s="14" t="n"/>
      <c r="G10" s="14" t="n"/>
      <c r="H10" s="16">
        <f>IF(COUNTIF(C10:G10,"Yes")+COUNTIF(C10:G10,"No")=0,"",COUNTIF(C10:G10,"Yes")/(COUNTIF(C10:G10,"Yes")+COUNTIF(C10:G10,"No"))*100)</f>
        <v/>
      </c>
      <c r="I10" s="14" t="n"/>
      <c r="J10" s="14" t="n"/>
      <c r="K10" s="14" t="n"/>
    </row>
    <row r="11">
      <c r="A11" s="14" t="n"/>
      <c r="B11" s="14" t="n"/>
      <c r="C11" s="14" t="n"/>
      <c r="D11" s="14" t="n"/>
      <c r="E11" s="14" t="n"/>
      <c r="F11" s="14" t="n"/>
      <c r="G11" s="14" t="n"/>
      <c r="H11" s="16">
        <f>IF(COUNTIF(C11:G11,"Yes")+COUNTIF(C11:G11,"No")=0,"",COUNTIF(C11:G11,"Yes")/(COUNTIF(C11:G11,"Yes")+COUNTIF(C11:G11,"No"))*100)</f>
        <v/>
      </c>
      <c r="I11" s="14" t="n"/>
      <c r="J11" s="14" t="n"/>
      <c r="K11" s="14" t="n"/>
    </row>
    <row r="12">
      <c r="A12" s="14" t="n"/>
      <c r="B12" s="14" t="n"/>
      <c r="C12" s="14" t="n"/>
      <c r="D12" s="14" t="n"/>
      <c r="E12" s="14" t="n"/>
      <c r="F12" s="14" t="n"/>
      <c r="G12" s="14" t="n"/>
      <c r="H12" s="16">
        <f>IF(COUNTIF(C12:G12,"Yes")+COUNTIF(C12:G12,"No")=0,"",COUNTIF(C12:G12,"Yes")/(COUNTIF(C12:G12,"Yes")+COUNTIF(C12:G12,"No"))*100)</f>
        <v/>
      </c>
      <c r="I12" s="14" t="n"/>
      <c r="J12" s="14" t="n"/>
      <c r="K12" s="14" t="n"/>
    </row>
    <row r="13">
      <c r="A13" s="14" t="n"/>
      <c r="B13" s="14" t="n"/>
      <c r="C13" s="14" t="n"/>
      <c r="D13" s="14" t="n"/>
      <c r="E13" s="14" t="n"/>
      <c r="F13" s="14" t="n"/>
      <c r="G13" s="14" t="n"/>
      <c r="H13" s="16">
        <f>IF(COUNTIF(C13:G13,"Yes")+COUNTIF(C13:G13,"No")=0,"",COUNTIF(C13:G13,"Yes")/(COUNTIF(C13:G13,"Yes")+COUNTIF(C13:G13,"No"))*100)</f>
        <v/>
      </c>
      <c r="I13" s="14" t="n"/>
      <c r="J13" s="14" t="n"/>
      <c r="K13" s="14" t="n"/>
    </row>
    <row r="14">
      <c r="A14" s="14" t="n"/>
      <c r="B14" s="14" t="n"/>
      <c r="C14" s="14" t="n"/>
      <c r="D14" s="14" t="n"/>
      <c r="E14" s="14" t="n"/>
      <c r="F14" s="14" t="n"/>
      <c r="G14" s="14" t="n"/>
      <c r="H14" s="16">
        <f>IF(COUNTIF(C14:G14,"Yes")+COUNTIF(C14:G14,"No")=0,"",COUNTIF(C14:G14,"Yes")/(COUNTIF(C14:G14,"Yes")+COUNTIF(C14:G14,"No"))*100)</f>
        <v/>
      </c>
      <c r="I14" s="14" t="n"/>
      <c r="J14" s="14" t="n"/>
      <c r="K14" s="14" t="n"/>
    </row>
    <row r="15">
      <c r="A15" s="14" t="n"/>
      <c r="B15" s="14" t="n"/>
      <c r="C15" s="14" t="n"/>
      <c r="D15" s="14" t="n"/>
      <c r="E15" s="14" t="n"/>
      <c r="F15" s="14" t="n"/>
      <c r="G15" s="14" t="n"/>
      <c r="H15" s="16">
        <f>IF(COUNTIF(C15:G15,"Yes")+COUNTIF(C15:G15,"No")=0,"",COUNTIF(C15:G15,"Yes")/(COUNTIF(C15:G15,"Yes")+COUNTIF(C15:G15,"No"))*100)</f>
        <v/>
      </c>
      <c r="I15" s="14" t="n"/>
      <c r="J15" s="14" t="n"/>
      <c r="K15" s="14" t="n"/>
    </row>
    <row r="16">
      <c r="A16" s="14" t="n"/>
      <c r="B16" s="14" t="n"/>
      <c r="C16" s="14" t="n"/>
      <c r="D16" s="14" t="n"/>
      <c r="E16" s="14" t="n"/>
      <c r="F16" s="14" t="n"/>
      <c r="G16" s="14" t="n"/>
      <c r="H16" s="16">
        <f>IF(COUNTIF(C16:G16,"Yes")+COUNTIF(C16:G16,"No")=0,"",COUNTIF(C16:G16,"Yes")/(COUNTIF(C16:G16,"Yes")+COUNTIF(C16:G16,"No"))*100)</f>
        <v/>
      </c>
      <c r="I16" s="14" t="n"/>
      <c r="J16" s="14" t="n"/>
      <c r="K16" s="14" t="n"/>
    </row>
    <row r="17">
      <c r="A17" s="14" t="n"/>
      <c r="B17" s="14" t="n"/>
      <c r="C17" s="14" t="n"/>
      <c r="D17" s="14" t="n"/>
      <c r="E17" s="14" t="n"/>
      <c r="F17" s="14" t="n"/>
      <c r="G17" s="14" t="n"/>
      <c r="H17" s="16">
        <f>IF(COUNTIF(C17:G17,"Yes")+COUNTIF(C17:G17,"No")=0,"",COUNTIF(C17:G17,"Yes")/(COUNTIF(C17:G17,"Yes")+COUNTIF(C17:G17,"No"))*100)</f>
        <v/>
      </c>
      <c r="I17" s="14" t="n"/>
      <c r="J17" s="14" t="n"/>
      <c r="K17" s="14" t="n"/>
    </row>
    <row r="18">
      <c r="A18" s="14" t="n"/>
      <c r="B18" s="14" t="n"/>
      <c r="C18" s="14" t="n"/>
      <c r="D18" s="14" t="n"/>
      <c r="E18" s="14" t="n"/>
      <c r="F18" s="14" t="n"/>
      <c r="G18" s="14" t="n"/>
      <c r="H18" s="16">
        <f>IF(COUNTIF(C18:G18,"Yes")+COUNTIF(C18:G18,"No")=0,"",COUNTIF(C18:G18,"Yes")/(COUNTIF(C18:G18,"Yes")+COUNTIF(C18:G18,"No"))*100)</f>
        <v/>
      </c>
      <c r="I18" s="14" t="n"/>
      <c r="J18" s="14" t="n"/>
      <c r="K18" s="14" t="n"/>
    </row>
    <row r="19">
      <c r="A19" s="14" t="n"/>
      <c r="B19" s="14" t="n"/>
      <c r="C19" s="14" t="n"/>
      <c r="D19" s="14" t="n"/>
      <c r="E19" s="14" t="n"/>
      <c r="F19" s="14" t="n"/>
      <c r="G19" s="14" t="n"/>
      <c r="H19" s="16">
        <f>IF(COUNTIF(C19:G19,"Yes")+COUNTIF(C19:G19,"No")=0,"",COUNTIF(C19:G19,"Yes")/(COUNTIF(C19:G19,"Yes")+COUNTIF(C19:G19,"No"))*100)</f>
        <v/>
      </c>
      <c r="I19" s="14" t="n"/>
      <c r="J19" s="14" t="n"/>
      <c r="K19" s="14" t="n"/>
    </row>
    <row r="20">
      <c r="A20" s="14" t="n"/>
      <c r="B20" s="14" t="n"/>
      <c r="C20" s="14" t="n"/>
      <c r="D20" s="14" t="n"/>
      <c r="E20" s="14" t="n"/>
      <c r="F20" s="14" t="n"/>
      <c r="G20" s="14" t="n"/>
      <c r="H20" s="16">
        <f>IF(COUNTIF(C20:G20,"Yes")+COUNTIF(C20:G20,"No")=0,"",COUNTIF(C20:G20,"Yes")/(COUNTIF(C20:G20,"Yes")+COUNTIF(C20:G20,"No"))*100)</f>
        <v/>
      </c>
      <c r="I20" s="14" t="n"/>
      <c r="J20" s="14" t="n"/>
      <c r="K20" s="14" t="n"/>
    </row>
    <row r="21">
      <c r="A21" s="14" t="n"/>
      <c r="B21" s="14" t="n"/>
      <c r="C21" s="14" t="n"/>
      <c r="D21" s="14" t="n"/>
      <c r="E21" s="14" t="n"/>
      <c r="F21" s="14" t="n"/>
      <c r="G21" s="14" t="n"/>
      <c r="H21" s="16">
        <f>IF(COUNTIF(C21:G21,"Yes")+COUNTIF(C21:G21,"No")=0,"",COUNTIF(C21:G21,"Yes")/(COUNTIF(C21:G21,"Yes")+COUNTIF(C21:G21,"No"))*100)</f>
        <v/>
      </c>
      <c r="I21" s="14" t="n"/>
      <c r="J21" s="14" t="n"/>
      <c r="K21" s="14" t="n"/>
    </row>
    <row r="22">
      <c r="A22" s="14" t="n"/>
      <c r="B22" s="14" t="n"/>
      <c r="C22" s="14" t="n"/>
      <c r="D22" s="14" t="n"/>
      <c r="E22" s="14" t="n"/>
      <c r="F22" s="14" t="n"/>
      <c r="G22" s="14" t="n"/>
      <c r="H22" s="16">
        <f>IF(COUNTIF(C22:G22,"Yes")+COUNTIF(C22:G22,"No")=0,"",COUNTIF(C22:G22,"Yes")/(COUNTIF(C22:G22,"Yes")+COUNTIF(C22:G22,"No"))*100)</f>
        <v/>
      </c>
      <c r="I22" s="14" t="n"/>
      <c r="J22" s="14" t="n"/>
      <c r="K22" s="14" t="n"/>
    </row>
    <row r="23">
      <c r="A23" s="14" t="n"/>
      <c r="B23" s="14" t="n"/>
      <c r="C23" s="14" t="n"/>
      <c r="D23" s="14" t="n"/>
      <c r="E23" s="14" t="n"/>
      <c r="F23" s="14" t="n"/>
      <c r="G23" s="14" t="n"/>
      <c r="H23" s="16">
        <f>IF(COUNTIF(C23:G23,"Yes")+COUNTIF(C23:G23,"No")=0,"",COUNTIF(C23:G23,"Yes")/(COUNTIF(C23:G23,"Yes")+COUNTIF(C23:G23,"No"))*100)</f>
        <v/>
      </c>
      <c r="I23" s="14" t="n"/>
      <c r="J23" s="14" t="n"/>
      <c r="K23" s="14" t="n"/>
    </row>
    <row r="24">
      <c r="A24" s="14" t="n"/>
      <c r="B24" s="14" t="n"/>
      <c r="C24" s="14" t="n"/>
      <c r="D24" s="14" t="n"/>
      <c r="E24" s="14" t="n"/>
      <c r="F24" s="14" t="n"/>
      <c r="G24" s="14" t="n"/>
      <c r="H24" s="16">
        <f>IF(COUNTIF(C24:G24,"Yes")+COUNTIF(C24:G24,"No")=0,"",COUNTIF(C24:G24,"Yes")/(COUNTIF(C24:G24,"Yes")+COUNTIF(C24:G24,"No"))*100)</f>
        <v/>
      </c>
      <c r="I24" s="14" t="n"/>
      <c r="J24" s="14" t="n"/>
      <c r="K24" s="14" t="n"/>
    </row>
    <row r="25">
      <c r="A25" s="14" t="n"/>
      <c r="B25" s="14" t="n"/>
      <c r="C25" s="14" t="n"/>
      <c r="D25" s="14" t="n"/>
      <c r="E25" s="14" t="n"/>
      <c r="F25" s="14" t="n"/>
      <c r="G25" s="14" t="n"/>
      <c r="H25" s="16">
        <f>IF(COUNTIF(C25:G25,"Yes")+COUNTIF(C25:G25,"No")=0,"",COUNTIF(C25:G25,"Yes")/(COUNTIF(C25:G25,"Yes")+COUNTIF(C25:G25,"No"))*100)</f>
        <v/>
      </c>
      <c r="I25" s="14" t="n"/>
      <c r="J25" s="14" t="n"/>
      <c r="K25" s="14" t="n"/>
    </row>
    <row r="26">
      <c r="A26" s="14" t="n"/>
      <c r="B26" s="14" t="n"/>
      <c r="C26" s="14" t="n"/>
      <c r="D26" s="14" t="n"/>
      <c r="E26" s="14" t="n"/>
      <c r="F26" s="14" t="n"/>
      <c r="G26" s="14" t="n"/>
      <c r="H26" s="16">
        <f>IF(COUNTIF(C26:G26,"Yes")+COUNTIF(C26:G26,"No")=0,"",COUNTIF(C26:G26,"Yes")/(COUNTIF(C26:G26,"Yes")+COUNTIF(C26:G26,"No"))*100)</f>
        <v/>
      </c>
      <c r="I26" s="14" t="n"/>
      <c r="J26" s="14" t="n"/>
      <c r="K26" s="14" t="n"/>
    </row>
    <row r="27">
      <c r="A27" s="14" t="n"/>
      <c r="B27" s="14" t="n"/>
      <c r="C27" s="14" t="n"/>
      <c r="D27" s="14" t="n"/>
      <c r="E27" s="14" t="n"/>
      <c r="F27" s="14" t="n"/>
      <c r="G27" s="14" t="n"/>
      <c r="H27" s="16">
        <f>IF(COUNTIF(C27:G27,"Yes")+COUNTIF(C27:G27,"No")=0,"",COUNTIF(C27:G27,"Yes")/(COUNTIF(C27:G27,"Yes")+COUNTIF(C27:G27,"No"))*100)</f>
        <v/>
      </c>
      <c r="I27" s="14" t="n"/>
      <c r="J27" s="14" t="n"/>
      <c r="K27" s="14" t="n"/>
    </row>
    <row r="28">
      <c r="A28" s="14" t="n"/>
      <c r="B28" s="14" t="n"/>
      <c r="C28" s="14" t="n"/>
      <c r="D28" s="14" t="n"/>
      <c r="E28" s="14" t="n"/>
      <c r="F28" s="14" t="n"/>
      <c r="G28" s="14" t="n"/>
      <c r="H28" s="16">
        <f>IF(COUNTIF(C28:G28,"Yes")+COUNTIF(C28:G28,"No")=0,"",COUNTIF(C28:G28,"Yes")/(COUNTIF(C28:G28,"Yes")+COUNTIF(C28:G28,"No"))*100)</f>
        <v/>
      </c>
      <c r="I28" s="14" t="n"/>
      <c r="J28" s="14" t="n"/>
      <c r="K28" s="14" t="n"/>
    </row>
    <row r="29">
      <c r="A29" s="14" t="n"/>
      <c r="B29" s="14" t="n"/>
      <c r="C29" s="14" t="n"/>
      <c r="D29" s="14" t="n"/>
      <c r="E29" s="14" t="n"/>
      <c r="F29" s="14" t="n"/>
      <c r="G29" s="14" t="n"/>
      <c r="H29" s="16">
        <f>IF(COUNTIF(C29:G29,"Yes")+COUNTIF(C29:G29,"No")=0,"",COUNTIF(C29:G29,"Yes")/(COUNTIF(C29:G29,"Yes")+COUNTIF(C29:G29,"No"))*100)</f>
        <v/>
      </c>
      <c r="I29" s="14" t="n"/>
      <c r="J29" s="14" t="n"/>
      <c r="K29" s="14" t="n"/>
    </row>
    <row r="30">
      <c r="A30" s="14" t="n"/>
      <c r="B30" s="14" t="n"/>
      <c r="C30" s="14" t="n"/>
      <c r="D30" s="14" t="n"/>
      <c r="E30" s="14" t="n"/>
      <c r="F30" s="14" t="n"/>
      <c r="G30" s="14" t="n"/>
      <c r="H30" s="16">
        <f>IF(COUNTIF(C30:G30,"Yes")+COUNTIF(C30:G30,"No")=0,"",COUNTIF(C30:G30,"Yes")/(COUNTIF(C30:G30,"Yes")+COUNTIF(C30:G30,"No"))*100)</f>
        <v/>
      </c>
      <c r="I30" s="14" t="n"/>
      <c r="J30" s="14" t="n"/>
      <c r="K30" s="14" t="n"/>
    </row>
    <row r="31">
      <c r="A31" s="14" t="n"/>
      <c r="B31" s="14" t="n"/>
      <c r="C31" s="14" t="n"/>
      <c r="D31" s="14" t="n"/>
      <c r="E31" s="14" t="n"/>
      <c r="F31" s="14" t="n"/>
      <c r="G31" s="14" t="n"/>
      <c r="H31" s="16">
        <f>IF(COUNTIF(C31:G31,"Yes")+COUNTIF(C31:G31,"No")=0,"",COUNTIF(C31:G31,"Yes")/(COUNTIF(C31:G31,"Yes")+COUNTIF(C31:G31,"No"))*100)</f>
        <v/>
      </c>
      <c r="I31" s="14" t="n"/>
      <c r="J31" s="14" t="n"/>
      <c r="K31" s="14" t="n"/>
    </row>
    <row r="32">
      <c r="A32" s="14" t="n"/>
      <c r="B32" s="14" t="n"/>
      <c r="C32" s="14" t="n"/>
      <c r="D32" s="14" t="n"/>
      <c r="E32" s="14" t="n"/>
      <c r="F32" s="14" t="n"/>
      <c r="G32" s="14" t="n"/>
      <c r="H32" s="16">
        <f>IF(COUNTIF(C32:G32,"Yes")+COUNTIF(C32:G32,"No")=0,"",COUNTIF(C32:G32,"Yes")/(COUNTIF(C32:G32,"Yes")+COUNTIF(C32:G32,"No"))*100)</f>
        <v/>
      </c>
      <c r="I32" s="14" t="n"/>
      <c r="J32" s="14" t="n"/>
      <c r="K32" s="14" t="n"/>
    </row>
    <row r="33">
      <c r="A33" s="14" t="n"/>
      <c r="B33" s="14" t="n"/>
      <c r="C33" s="14" t="n"/>
      <c r="D33" s="14" t="n"/>
      <c r="E33" s="14" t="n"/>
      <c r="F33" s="14" t="n"/>
      <c r="G33" s="14" t="n"/>
      <c r="H33" s="16">
        <f>IF(COUNTIF(C33:G33,"Yes")+COUNTIF(C33:G33,"No")=0,"",COUNTIF(C33:G33,"Yes")/(COUNTIF(C33:G33,"Yes")+COUNTIF(C33:G33,"No"))*100)</f>
        <v/>
      </c>
      <c r="I33" s="14" t="n"/>
      <c r="J33" s="14" t="n"/>
      <c r="K33" s="14" t="n"/>
    </row>
    <row r="34">
      <c r="A34" s="14" t="n"/>
      <c r="B34" s="14" t="n"/>
      <c r="C34" s="14" t="n"/>
      <c r="D34" s="14" t="n"/>
      <c r="E34" s="14" t="n"/>
      <c r="F34" s="14" t="n"/>
      <c r="G34" s="14" t="n"/>
      <c r="H34" s="16">
        <f>IF(COUNTIF(C34:G34,"Yes")+COUNTIF(C34:G34,"No")=0,"",COUNTIF(C34:G34,"Yes")/(COUNTIF(C34:G34,"Yes")+COUNTIF(C34:G34,"No"))*100)</f>
        <v/>
      </c>
      <c r="I34" s="14" t="n"/>
      <c r="J34" s="14" t="n"/>
      <c r="K34" s="14" t="n"/>
    </row>
    <row r="35">
      <c r="A35" s="14" t="n"/>
      <c r="B35" s="14" t="n"/>
      <c r="C35" s="14" t="n"/>
      <c r="D35" s="14" t="n"/>
      <c r="E35" s="14" t="n"/>
      <c r="F35" s="14" t="n"/>
      <c r="G35" s="14" t="n"/>
      <c r="H35" s="16">
        <f>IF(COUNTIF(C35:G35,"Yes")+COUNTIF(C35:G35,"No")=0,"",COUNTIF(C35:G35,"Yes")/(COUNTIF(C35:G35,"Yes")+COUNTIF(C35:G35,"No"))*100)</f>
        <v/>
      </c>
      <c r="I35" s="14" t="n"/>
      <c r="J35" s="14" t="n"/>
      <c r="K35" s="14" t="n"/>
    </row>
    <row r="36">
      <c r="A36" s="14" t="n"/>
      <c r="B36" s="14" t="n"/>
      <c r="C36" s="14" t="n"/>
      <c r="D36" s="14" t="n"/>
      <c r="E36" s="14" t="n"/>
      <c r="F36" s="14" t="n"/>
      <c r="G36" s="14" t="n"/>
      <c r="H36" s="16">
        <f>IF(COUNTIF(C36:G36,"Yes")+COUNTIF(C36:G36,"No")=0,"",COUNTIF(C36:G36,"Yes")/(COUNTIF(C36:G36,"Yes")+COUNTIF(C36:G36,"No"))*100)</f>
        <v/>
      </c>
      <c r="I36" s="14" t="n"/>
      <c r="J36" s="14" t="n"/>
      <c r="K36" s="14" t="n"/>
    </row>
    <row r="37">
      <c r="A37" s="14" t="n"/>
      <c r="B37" s="14" t="n"/>
      <c r="C37" s="14" t="n"/>
      <c r="D37" s="14" t="n"/>
      <c r="E37" s="14" t="n"/>
      <c r="F37" s="14" t="n"/>
      <c r="G37" s="14" t="n"/>
      <c r="H37" s="16">
        <f>IF(COUNTIF(C37:G37,"Yes")+COUNTIF(C37:G37,"No")=0,"",COUNTIF(C37:G37,"Yes")/(COUNTIF(C37:G37,"Yes")+COUNTIF(C37:G37,"No"))*100)</f>
        <v/>
      </c>
      <c r="I37" s="14" t="n"/>
      <c r="J37" s="14" t="n"/>
      <c r="K37" s="14" t="n"/>
    </row>
    <row r="38">
      <c r="A38" s="14" t="n"/>
      <c r="B38" s="14" t="n"/>
      <c r="C38" s="14" t="n"/>
      <c r="D38" s="14" t="n"/>
      <c r="E38" s="14" t="n"/>
      <c r="F38" s="14" t="n"/>
      <c r="G38" s="14" t="n"/>
      <c r="H38" s="16">
        <f>IF(COUNTIF(C38:G38,"Yes")+COUNTIF(C38:G38,"No")=0,"",COUNTIF(C38:G38,"Yes")/(COUNTIF(C38:G38,"Yes")+COUNTIF(C38:G38,"No"))*100)</f>
        <v/>
      </c>
      <c r="I38" s="14" t="n"/>
      <c r="J38" s="14" t="n"/>
      <c r="K38" s="14" t="n"/>
    </row>
    <row r="39">
      <c r="A39" s="14" t="n"/>
      <c r="B39" s="14" t="n"/>
      <c r="C39" s="14" t="n"/>
      <c r="D39" s="14" t="n"/>
      <c r="E39" s="14" t="n"/>
      <c r="F39" s="14" t="n"/>
      <c r="G39" s="14" t="n"/>
      <c r="H39" s="16">
        <f>IF(COUNTIF(C39:G39,"Yes")+COUNTIF(C39:G39,"No")=0,"",COUNTIF(C39:G39,"Yes")/(COUNTIF(C39:G39,"Yes")+COUNTIF(C39:G39,"No"))*100)</f>
        <v/>
      </c>
      <c r="I39" s="14" t="n"/>
      <c r="J39" s="14" t="n"/>
      <c r="K39" s="14" t="n"/>
    </row>
    <row r="40">
      <c r="A40" s="14" t="n"/>
      <c r="B40" s="14" t="n"/>
      <c r="C40" s="14" t="n"/>
      <c r="D40" s="14" t="n"/>
      <c r="E40" s="14" t="n"/>
      <c r="F40" s="14" t="n"/>
      <c r="G40" s="14" t="n"/>
      <c r="H40" s="16">
        <f>IF(COUNTIF(C40:G40,"Yes")+COUNTIF(C40:G40,"No")=0,"",COUNTIF(C40:G40,"Yes")/(COUNTIF(C40:G40,"Yes")+COUNTIF(C40:G40,"No"))*100)</f>
        <v/>
      </c>
      <c r="I40" s="14" t="n"/>
      <c r="J40" s="14" t="n"/>
      <c r="K40" s="14" t="n"/>
    </row>
    <row r="41">
      <c r="A41" s="14" t="n"/>
      <c r="B41" s="14" t="n"/>
      <c r="C41" s="14" t="n"/>
      <c r="D41" s="14" t="n"/>
      <c r="E41" s="14" t="n"/>
      <c r="F41" s="14" t="n"/>
      <c r="G41" s="14" t="n"/>
      <c r="H41" s="16">
        <f>IF(COUNTIF(C41:G41,"Yes")+COUNTIF(C41:G41,"No")=0,"",COUNTIF(C41:G41,"Yes")/(COUNTIF(C41:G41,"Yes")+COUNTIF(C41:G41,"No"))*100)</f>
        <v/>
      </c>
      <c r="I41" s="14" t="n"/>
      <c r="J41" s="14" t="n"/>
      <c r="K41" s="14" t="n"/>
    </row>
    <row r="42">
      <c r="A42" s="14" t="n"/>
      <c r="B42" s="14" t="n"/>
      <c r="C42" s="14" t="n"/>
      <c r="D42" s="14" t="n"/>
      <c r="E42" s="14" t="n"/>
      <c r="F42" s="14" t="n"/>
      <c r="G42" s="14" t="n"/>
      <c r="H42" s="16">
        <f>IF(COUNTIF(C42:G42,"Yes")+COUNTIF(C42:G42,"No")=0,"",COUNTIF(C42:G42,"Yes")/(COUNTIF(C42:G42,"Yes")+COUNTIF(C42:G42,"No"))*100)</f>
        <v/>
      </c>
      <c r="I42" s="14" t="n"/>
      <c r="J42" s="14" t="n"/>
      <c r="K42" s="14" t="n"/>
    </row>
    <row r="43">
      <c r="A43" s="14" t="n"/>
      <c r="B43" s="14" t="n"/>
      <c r="C43" s="14" t="n"/>
      <c r="D43" s="14" t="n"/>
      <c r="E43" s="14" t="n"/>
      <c r="F43" s="14" t="n"/>
      <c r="G43" s="14" t="n"/>
      <c r="H43" s="16">
        <f>IF(COUNTIF(C43:G43,"Yes")+COUNTIF(C43:G43,"No")=0,"",COUNTIF(C43:G43,"Yes")/(COUNTIF(C43:G43,"Yes")+COUNTIF(C43:G43,"No"))*100)</f>
        <v/>
      </c>
      <c r="I43" s="14" t="n"/>
      <c r="J43" s="14" t="n"/>
      <c r="K43" s="14" t="n"/>
    </row>
    <row r="44">
      <c r="A44" s="14" t="n"/>
      <c r="B44" s="14" t="n"/>
      <c r="C44" s="14" t="n"/>
      <c r="D44" s="14" t="n"/>
      <c r="E44" s="14" t="n"/>
      <c r="F44" s="14" t="n"/>
      <c r="G44" s="14" t="n"/>
      <c r="H44" s="16">
        <f>IF(COUNTIF(C44:G44,"Yes")+COUNTIF(C44:G44,"No")=0,"",COUNTIF(C44:G44,"Yes")/(COUNTIF(C44:G44,"Yes")+COUNTIF(C44:G44,"No"))*100)</f>
        <v/>
      </c>
      <c r="I44" s="14" t="n"/>
      <c r="J44" s="14" t="n"/>
      <c r="K44" s="14" t="n"/>
    </row>
    <row r="45">
      <c r="A45" s="14" t="n"/>
      <c r="B45" s="14" t="n"/>
      <c r="C45" s="14" t="n"/>
      <c r="D45" s="14" t="n"/>
      <c r="E45" s="14" t="n"/>
      <c r="F45" s="14" t="n"/>
      <c r="G45" s="14" t="n"/>
      <c r="H45" s="16">
        <f>IF(COUNTIF(C45:G45,"Yes")+COUNTIF(C45:G45,"No")=0,"",COUNTIF(C45:G45,"Yes")/(COUNTIF(C45:G45,"Yes")+COUNTIF(C45:G45,"No"))*100)</f>
        <v/>
      </c>
      <c r="I45" s="14" t="n"/>
      <c r="J45" s="14" t="n"/>
      <c r="K45" s="14" t="n"/>
    </row>
    <row r="46">
      <c r="A46" s="14" t="n"/>
      <c r="B46" s="14" t="n"/>
      <c r="C46" s="14" t="n"/>
      <c r="D46" s="14" t="n"/>
      <c r="E46" s="14" t="n"/>
      <c r="F46" s="14" t="n"/>
      <c r="G46" s="14" t="n"/>
      <c r="H46" s="16">
        <f>IF(COUNTIF(C46:G46,"Yes")+COUNTIF(C46:G46,"No")=0,"",COUNTIF(C46:G46,"Yes")/(COUNTIF(C46:G46,"Yes")+COUNTIF(C46:G46,"No"))*100)</f>
        <v/>
      </c>
      <c r="I46" s="14" t="n"/>
      <c r="J46" s="14" t="n"/>
      <c r="K46" s="14" t="n"/>
    </row>
    <row r="47">
      <c r="A47" s="14" t="n"/>
      <c r="B47" s="14" t="n"/>
      <c r="C47" s="14" t="n"/>
      <c r="D47" s="14" t="n"/>
      <c r="E47" s="14" t="n"/>
      <c r="F47" s="14" t="n"/>
      <c r="G47" s="14" t="n"/>
      <c r="H47" s="16">
        <f>IF(COUNTIF(C47:G47,"Yes")+COUNTIF(C47:G47,"No")=0,"",COUNTIF(C47:G47,"Yes")/(COUNTIF(C47:G47,"Yes")+COUNTIF(C47:G47,"No"))*100)</f>
        <v/>
      </c>
      <c r="I47" s="14" t="n"/>
      <c r="J47" s="14" t="n"/>
      <c r="K47" s="14" t="n"/>
    </row>
    <row r="48">
      <c r="A48" s="14" t="n"/>
      <c r="B48" s="14" t="n"/>
      <c r="C48" s="14" t="n"/>
      <c r="D48" s="14" t="n"/>
      <c r="E48" s="14" t="n"/>
      <c r="F48" s="14" t="n"/>
      <c r="G48" s="14" t="n"/>
      <c r="H48" s="16">
        <f>IF(COUNTIF(C48:G48,"Yes")+COUNTIF(C48:G48,"No")=0,"",COUNTIF(C48:G48,"Yes")/(COUNTIF(C48:G48,"Yes")+COUNTIF(C48:G48,"No"))*100)</f>
        <v/>
      </c>
      <c r="I48" s="14" t="n"/>
      <c r="J48" s="14" t="n"/>
      <c r="K48" s="14" t="n"/>
    </row>
    <row r="49">
      <c r="A49" s="14" t="n"/>
      <c r="B49" s="14" t="n"/>
      <c r="C49" s="14" t="n"/>
      <c r="D49" s="14" t="n"/>
      <c r="E49" s="14" t="n"/>
      <c r="F49" s="14" t="n"/>
      <c r="G49" s="14" t="n"/>
      <c r="H49" s="16">
        <f>IF(COUNTIF(C49:G49,"Yes")+COUNTIF(C49:G49,"No")=0,"",COUNTIF(C49:G49,"Yes")/(COUNTIF(C49:G49,"Yes")+COUNTIF(C49:G49,"No"))*100)</f>
        <v/>
      </c>
      <c r="I49" s="14" t="n"/>
      <c r="J49" s="14" t="n"/>
      <c r="K49" s="14" t="n"/>
    </row>
    <row r="50">
      <c r="A50" s="14" t="n"/>
      <c r="B50" s="14" t="n"/>
      <c r="C50" s="14" t="n"/>
      <c r="D50" s="14" t="n"/>
      <c r="E50" s="14" t="n"/>
      <c r="F50" s="14" t="n"/>
      <c r="G50" s="14" t="n"/>
      <c r="H50" s="16">
        <f>IF(COUNTIF(C50:G50,"Yes")+COUNTIF(C50:G50,"No")=0,"",COUNTIF(C50:G50,"Yes")/(COUNTIF(C50:G50,"Yes")+COUNTIF(C50:G50,"No"))*100)</f>
        <v/>
      </c>
      <c r="I50" s="14" t="n"/>
      <c r="J50" s="14" t="n"/>
      <c r="K50" s="14" t="n"/>
    </row>
    <row r="51">
      <c r="A51" s="14" t="n"/>
      <c r="B51" s="14" t="n"/>
      <c r="C51" s="14" t="n"/>
      <c r="D51" s="14" t="n"/>
      <c r="E51" s="14" t="n"/>
      <c r="F51" s="14" t="n"/>
      <c r="G51" s="14" t="n"/>
      <c r="H51" s="16">
        <f>IF(COUNTIF(C51:G51,"Yes")+COUNTIF(C51:G51,"No")=0,"",COUNTIF(C51:G51,"Yes")/(COUNTIF(C51:G51,"Yes")+COUNTIF(C51:G51,"No"))*100)</f>
        <v/>
      </c>
      <c r="I51" s="14" t="n"/>
      <c r="J51" s="14" t="n"/>
      <c r="K51" s="14" t="n"/>
    </row>
    <row r="52">
      <c r="A52" s="14" t="n"/>
      <c r="B52" s="14" t="n"/>
      <c r="C52" s="14" t="n"/>
      <c r="D52" s="14" t="n"/>
      <c r="E52" s="14" t="n"/>
      <c r="F52" s="14" t="n"/>
      <c r="G52" s="14" t="n"/>
      <c r="H52" s="16">
        <f>IF(COUNTIF(C52:G52,"Yes")+COUNTIF(C52:G52,"No")=0,"",COUNTIF(C52:G52,"Yes")/(COUNTIF(C52:G52,"Yes")+COUNTIF(C52:G52,"No"))*100)</f>
        <v/>
      </c>
      <c r="I52" s="14" t="n"/>
      <c r="J52" s="14" t="n"/>
      <c r="K52" s="14" t="n"/>
    </row>
    <row r="53">
      <c r="A53" s="14" t="n"/>
      <c r="B53" s="14" t="n"/>
      <c r="C53" s="14" t="n"/>
      <c r="D53" s="14" t="n"/>
      <c r="E53" s="14" t="n"/>
      <c r="F53" s="14" t="n"/>
      <c r="G53" s="14" t="n"/>
      <c r="H53" s="16">
        <f>IF(COUNTIF(C53:G53,"Yes")+COUNTIF(C53:G53,"No")=0,"",COUNTIF(C53:G53,"Yes")/(COUNTIF(C53:G53,"Yes")+COUNTIF(C53:G53,"No"))*100)</f>
        <v/>
      </c>
      <c r="I53" s="14" t="n"/>
      <c r="J53" s="14" t="n"/>
      <c r="K53" s="14" t="n"/>
    </row>
    <row r="54">
      <c r="A54" s="14" t="n"/>
      <c r="B54" s="14" t="n"/>
      <c r="C54" s="14" t="n"/>
      <c r="D54" s="14" t="n"/>
      <c r="E54" s="14" t="n"/>
      <c r="F54" s="14" t="n"/>
      <c r="G54" s="14" t="n"/>
      <c r="H54" s="16">
        <f>IF(COUNTIF(C54:G54,"Yes")+COUNTIF(C54:G54,"No")=0,"",COUNTIF(C54:G54,"Yes")/(COUNTIF(C54:G54,"Yes")+COUNTIF(C54:G54,"No"))*100)</f>
        <v/>
      </c>
      <c r="I54" s="14" t="n"/>
      <c r="J54" s="14" t="n"/>
      <c r="K54" s="14" t="n"/>
    </row>
    <row r="56">
      <c r="A56" s="17" t="inlineStr">
        <is>
          <t>NTP Security Controls - Implementation Reference</t>
        </is>
      </c>
      <c r="B56" s="6" t="n"/>
      <c r="C56" s="6" t="n"/>
      <c r="D56" s="6" t="n"/>
      <c r="E56" s="6" t="n"/>
      <c r="F56" s="6" t="n"/>
      <c r="G56" s="6" t="n"/>
      <c r="H56" s="6" t="n"/>
      <c r="I56" s="6" t="n"/>
      <c r="J56" s="6" t="n"/>
      <c r="K56" s="6" t="n"/>
    </row>
    <row r="57">
      <c r="A57" s="13" t="inlineStr">
        <is>
          <t>Control</t>
        </is>
      </c>
      <c r="B57" s="13" t="inlineStr">
        <is>
          <t>Implementation Guidance</t>
        </is>
      </c>
    </row>
    <row r="58">
      <c r="A58" s="13" t="inlineStr">
        <is>
          <t>Authentication</t>
        </is>
      </c>
      <c r="B58" s="12" t="inlineStr">
        <is>
          <t>Enable NTP authentication (MD5 keys) between servers</t>
        </is>
      </c>
    </row>
    <row r="59">
      <c r="A59" s="13" t="inlineStr">
        <is>
          <t>Access Control</t>
        </is>
      </c>
      <c r="B59" s="12" t="inlineStr">
        <is>
          <t>Restrict NTP queries and modifications (restrict default kod nomodify notrap)</t>
        </is>
      </c>
    </row>
    <row r="60">
      <c r="A60" s="13" t="inlineStr">
        <is>
          <t>Stratum Hierarchy</t>
        </is>
      </c>
      <c r="B60" s="12" t="inlineStr">
        <is>
          <t>Appropriate stratum levels (Stratum 1/2 for internal servers)</t>
        </is>
      </c>
    </row>
    <row r="61">
      <c r="A61" s="13" t="inlineStr">
        <is>
          <t>Source Validation</t>
        </is>
      </c>
      <c r="B61" s="12" t="inlineStr">
        <is>
          <t>Verify NTP server sources, use multiple reliable sources</t>
        </is>
      </c>
    </row>
    <row r="62">
      <c r="A62" s="13" t="inlineStr">
        <is>
          <t>Monitoring</t>
        </is>
      </c>
      <c r="B62" s="12" t="inlineStr">
        <is>
          <t>Monitor time offset, alert on significant drift (&gt;1 second)</t>
        </is>
      </c>
    </row>
  </sheetData>
  <mergeCells count="8">
    <mergeCell ref="B61:K61"/>
    <mergeCell ref="B59:K59"/>
    <mergeCell ref="B58:K58"/>
    <mergeCell ref="A2:K2"/>
    <mergeCell ref="B62:K62"/>
    <mergeCell ref="A1:K1"/>
    <mergeCell ref="A56:K56"/>
    <mergeCell ref="B60:K60"/>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PROXY/WEB FILTER SECURITY ASSESSMENT</t>
        </is>
      </c>
    </row>
    <row r="2">
      <c r="A2" s="12" t="inlineStr">
        <is>
          <t>Assess Proxy/Web Filtering security controls per IMP-S4 guidance.</t>
        </is>
      </c>
    </row>
    <row r="3">
      <c r="A3" s="13" t="inlineStr">
        <is>
          <t>Service ID</t>
        </is>
      </c>
      <c r="B3" s="13" t="inlineStr">
        <is>
          <t>Proxy Type</t>
        </is>
      </c>
      <c r="C3" s="13" t="inlineStr">
        <is>
          <t>Authentication</t>
        </is>
      </c>
      <c r="D3" s="13" t="inlineStr">
        <is>
          <t>SSL Inspection</t>
        </is>
      </c>
      <c r="E3" s="13" t="inlineStr">
        <is>
          <t>Category Filtering</t>
        </is>
      </c>
      <c r="F3" s="13" t="inlineStr">
        <is>
          <t>Malware Scanning</t>
        </is>
      </c>
      <c r="G3" s="13" t="inlineStr">
        <is>
          <t>Logging</t>
        </is>
      </c>
      <c r="H3" s="13" t="inlineStr">
        <is>
          <t>Bypass Prevention</t>
        </is>
      </c>
      <c r="I3" s="13" t="inlineStr">
        <is>
          <t>Redundancy</t>
        </is>
      </c>
      <c r="J3" s="13" t="inlineStr">
        <is>
          <t>Compliance Score %</t>
        </is>
      </c>
      <c r="K3" s="13" t="inlineStr">
        <is>
          <t>Last Assessed</t>
        </is>
      </c>
      <c r="L3" s="13" t="inlineStr">
        <is>
          <t>Filter Categories</t>
        </is>
      </c>
      <c r="M3" s="13" t="inlineStr">
        <is>
          <t>Notes</t>
        </is>
      </c>
    </row>
    <row r="4">
      <c r="A4" s="18" t="inlineStr">
        <is>
          <t>PRXY-001</t>
        </is>
      </c>
      <c r="B4" s="18" t="inlineStr">
        <is>
          <t>Forward</t>
        </is>
      </c>
      <c r="C4" s="18" t="inlineStr">
        <is>
          <t>Yes</t>
        </is>
      </c>
      <c r="D4" s="18" t="inlineStr">
        <is>
          <t>Yes</t>
        </is>
      </c>
      <c r="E4" s="18" t="inlineStr">
        <is>
          <t>Yes</t>
        </is>
      </c>
      <c r="F4" s="18" t="inlineStr">
        <is>
          <t>Yes</t>
        </is>
      </c>
      <c r="G4" s="18" t="inlineStr">
        <is>
          <t>Yes</t>
        </is>
      </c>
      <c r="H4" s="18" t="inlineStr">
        <is>
          <t>Yes</t>
        </is>
      </c>
      <c r="I4" s="18" t="inlineStr">
        <is>
          <t>Yes</t>
        </is>
      </c>
      <c r="J4" s="19" t="n">
        <v>100</v>
      </c>
      <c r="K4" s="18" t="inlineStr">
        <is>
          <t>15.01.2026</t>
        </is>
      </c>
      <c r="L4" s="18" t="inlineStr">
        <is>
          <t>Malware, Adult Content</t>
        </is>
      </c>
      <c r="M4" s="18" t="inlineStr"/>
    </row>
    <row r="5">
      <c r="A5" s="14" t="n"/>
      <c r="B5" s="14" t="n"/>
      <c r="C5" s="14" t="n"/>
      <c r="D5" s="14" t="n"/>
      <c r="E5" s="14" t="n"/>
      <c r="F5" s="14" t="n"/>
      <c r="G5" s="14" t="n"/>
      <c r="H5" s="14" t="n"/>
      <c r="I5" s="14" t="n"/>
      <c r="J5" s="16">
        <f>IF(COUNTIF(C5:I5,"Yes")+COUNTIF(C5:I5,"No")=0,"",COUNTIF(C5:I5,"Yes")/(COUNTIF(C5:I5,"Yes")+COUNTIF(C5:I5,"No"))*100)</f>
        <v/>
      </c>
      <c r="K5" s="14" t="n"/>
      <c r="L5" s="14" t="n"/>
      <c r="M5" s="14" t="n"/>
    </row>
    <row r="6">
      <c r="A6" s="14" t="n"/>
      <c r="B6" s="14" t="n"/>
      <c r="C6" s="14" t="n"/>
      <c r="D6" s="14" t="n"/>
      <c r="E6" s="14" t="n"/>
      <c r="F6" s="14" t="n"/>
      <c r="G6" s="14" t="n"/>
      <c r="H6" s="14" t="n"/>
      <c r="I6" s="14" t="n"/>
      <c r="J6" s="16">
        <f>IF(COUNTIF(C6:I6,"Yes")+COUNTIF(C6:I6,"No")=0,"",COUNTIF(C6:I6,"Yes")/(COUNTIF(C6:I6,"Yes")+COUNTIF(C6:I6,"No"))*100)</f>
        <v/>
      </c>
      <c r="K6" s="14" t="n"/>
      <c r="L6" s="14" t="n"/>
      <c r="M6" s="14" t="n"/>
    </row>
    <row r="7">
      <c r="A7" s="14" t="n"/>
      <c r="B7" s="14" t="n"/>
      <c r="C7" s="14" t="n"/>
      <c r="D7" s="14" t="n"/>
      <c r="E7" s="14" t="n"/>
      <c r="F7" s="14" t="n"/>
      <c r="G7" s="14" t="n"/>
      <c r="H7" s="14" t="n"/>
      <c r="I7" s="14" t="n"/>
      <c r="J7" s="16">
        <f>IF(COUNTIF(C7:I7,"Yes")+COUNTIF(C7:I7,"No")=0,"",COUNTIF(C7:I7,"Yes")/(COUNTIF(C7:I7,"Yes")+COUNTIF(C7:I7,"No"))*100)</f>
        <v/>
      </c>
      <c r="K7" s="14" t="n"/>
      <c r="L7" s="14" t="n"/>
      <c r="M7" s="14" t="n"/>
    </row>
    <row r="8">
      <c r="A8" s="14" t="n"/>
      <c r="B8" s="14" t="n"/>
      <c r="C8" s="14" t="n"/>
      <c r="D8" s="14" t="n"/>
      <c r="E8" s="14" t="n"/>
      <c r="F8" s="14" t="n"/>
      <c r="G8" s="14" t="n"/>
      <c r="H8" s="14" t="n"/>
      <c r="I8" s="14" t="n"/>
      <c r="J8" s="16">
        <f>IF(COUNTIF(C8:I8,"Yes")+COUNTIF(C8:I8,"No")=0,"",COUNTIF(C8:I8,"Yes")/(COUNTIF(C8:I8,"Yes")+COUNTIF(C8:I8,"No"))*100)</f>
        <v/>
      </c>
      <c r="K8" s="14" t="n"/>
      <c r="L8" s="14" t="n"/>
      <c r="M8" s="14" t="n"/>
    </row>
    <row r="9">
      <c r="A9" s="14" t="n"/>
      <c r="B9" s="14" t="n"/>
      <c r="C9" s="14" t="n"/>
      <c r="D9" s="14" t="n"/>
      <c r="E9" s="14" t="n"/>
      <c r="F9" s="14" t="n"/>
      <c r="G9" s="14" t="n"/>
      <c r="H9" s="14" t="n"/>
      <c r="I9" s="14" t="n"/>
      <c r="J9" s="16">
        <f>IF(COUNTIF(C9:I9,"Yes")+COUNTIF(C9:I9,"No")=0,"",COUNTIF(C9:I9,"Yes")/(COUNTIF(C9:I9,"Yes")+COUNTIF(C9:I9,"No"))*100)</f>
        <v/>
      </c>
      <c r="K9" s="14" t="n"/>
      <c r="L9" s="14" t="n"/>
      <c r="M9" s="14" t="n"/>
    </row>
    <row r="10">
      <c r="A10" s="14" t="n"/>
      <c r="B10" s="14" t="n"/>
      <c r="C10" s="14" t="n"/>
      <c r="D10" s="14" t="n"/>
      <c r="E10" s="14" t="n"/>
      <c r="F10" s="14" t="n"/>
      <c r="G10" s="14" t="n"/>
      <c r="H10" s="14" t="n"/>
      <c r="I10" s="14" t="n"/>
      <c r="J10" s="16">
        <f>IF(COUNTIF(C10:I10,"Yes")+COUNTIF(C10:I10,"No")=0,"",COUNTIF(C10:I10,"Yes")/(COUNTIF(C10:I10,"Yes")+COUNTIF(C10:I10,"No"))*100)</f>
        <v/>
      </c>
      <c r="K10" s="14" t="n"/>
      <c r="L10" s="14" t="n"/>
      <c r="M10" s="14" t="n"/>
    </row>
    <row r="11">
      <c r="A11" s="14" t="n"/>
      <c r="B11" s="14" t="n"/>
      <c r="C11" s="14" t="n"/>
      <c r="D11" s="14" t="n"/>
      <c r="E11" s="14" t="n"/>
      <c r="F11" s="14" t="n"/>
      <c r="G11" s="14" t="n"/>
      <c r="H11" s="14" t="n"/>
      <c r="I11" s="14" t="n"/>
      <c r="J11" s="16">
        <f>IF(COUNTIF(C11:I11,"Yes")+COUNTIF(C11:I11,"No")=0,"",COUNTIF(C11:I11,"Yes")/(COUNTIF(C11:I11,"Yes")+COUNTIF(C11:I11,"No"))*100)</f>
        <v/>
      </c>
      <c r="K11" s="14" t="n"/>
      <c r="L11" s="14" t="n"/>
      <c r="M11" s="14" t="n"/>
    </row>
    <row r="12">
      <c r="A12" s="14" t="n"/>
      <c r="B12" s="14" t="n"/>
      <c r="C12" s="14" t="n"/>
      <c r="D12" s="14" t="n"/>
      <c r="E12" s="14" t="n"/>
      <c r="F12" s="14" t="n"/>
      <c r="G12" s="14" t="n"/>
      <c r="H12" s="14" t="n"/>
      <c r="I12" s="14" t="n"/>
      <c r="J12" s="16">
        <f>IF(COUNTIF(C12:I12,"Yes")+COUNTIF(C12:I12,"No")=0,"",COUNTIF(C12:I12,"Yes")/(COUNTIF(C12:I12,"Yes")+COUNTIF(C12:I12,"No"))*100)</f>
        <v/>
      </c>
      <c r="K12" s="14" t="n"/>
      <c r="L12" s="14" t="n"/>
      <c r="M12" s="14" t="n"/>
    </row>
    <row r="13">
      <c r="A13" s="14" t="n"/>
      <c r="B13" s="14" t="n"/>
      <c r="C13" s="14" t="n"/>
      <c r="D13" s="14" t="n"/>
      <c r="E13" s="14" t="n"/>
      <c r="F13" s="14" t="n"/>
      <c r="G13" s="14" t="n"/>
      <c r="H13" s="14" t="n"/>
      <c r="I13" s="14" t="n"/>
      <c r="J13" s="16">
        <f>IF(COUNTIF(C13:I13,"Yes")+COUNTIF(C13:I13,"No")=0,"",COUNTIF(C13:I13,"Yes")/(COUNTIF(C13:I13,"Yes")+COUNTIF(C13:I13,"No"))*100)</f>
        <v/>
      </c>
      <c r="K13" s="14" t="n"/>
      <c r="L13" s="14" t="n"/>
      <c r="M13" s="14" t="n"/>
    </row>
    <row r="14">
      <c r="A14" s="14" t="n"/>
      <c r="B14" s="14" t="n"/>
      <c r="C14" s="14" t="n"/>
      <c r="D14" s="14" t="n"/>
      <c r="E14" s="14" t="n"/>
      <c r="F14" s="14" t="n"/>
      <c r="G14" s="14" t="n"/>
      <c r="H14" s="14" t="n"/>
      <c r="I14" s="14" t="n"/>
      <c r="J14" s="16">
        <f>IF(COUNTIF(C14:I14,"Yes")+COUNTIF(C14:I14,"No")=0,"",COUNTIF(C14:I14,"Yes")/(COUNTIF(C14:I14,"Yes")+COUNTIF(C14:I14,"No"))*100)</f>
        <v/>
      </c>
      <c r="K14" s="14" t="n"/>
      <c r="L14" s="14" t="n"/>
      <c r="M14" s="14" t="n"/>
    </row>
    <row r="15">
      <c r="A15" s="14" t="n"/>
      <c r="B15" s="14" t="n"/>
      <c r="C15" s="14" t="n"/>
      <c r="D15" s="14" t="n"/>
      <c r="E15" s="14" t="n"/>
      <c r="F15" s="14" t="n"/>
      <c r="G15" s="14" t="n"/>
      <c r="H15" s="14" t="n"/>
      <c r="I15" s="14" t="n"/>
      <c r="J15" s="16">
        <f>IF(COUNTIF(C15:I15,"Yes")+COUNTIF(C15:I15,"No")=0,"",COUNTIF(C15:I15,"Yes")/(COUNTIF(C15:I15,"Yes")+COUNTIF(C15:I15,"No"))*100)</f>
        <v/>
      </c>
      <c r="K15" s="14" t="n"/>
      <c r="L15" s="14" t="n"/>
      <c r="M15" s="14" t="n"/>
    </row>
    <row r="16">
      <c r="A16" s="14" t="n"/>
      <c r="B16" s="14" t="n"/>
      <c r="C16" s="14" t="n"/>
      <c r="D16" s="14" t="n"/>
      <c r="E16" s="14" t="n"/>
      <c r="F16" s="14" t="n"/>
      <c r="G16" s="14" t="n"/>
      <c r="H16" s="14" t="n"/>
      <c r="I16" s="14" t="n"/>
      <c r="J16" s="16">
        <f>IF(COUNTIF(C16:I16,"Yes")+COUNTIF(C16:I16,"No")=0,"",COUNTIF(C16:I16,"Yes")/(COUNTIF(C16:I16,"Yes")+COUNTIF(C16:I16,"No"))*100)</f>
        <v/>
      </c>
      <c r="K16" s="14" t="n"/>
      <c r="L16" s="14" t="n"/>
      <c r="M16" s="14" t="n"/>
    </row>
    <row r="17">
      <c r="A17" s="14" t="n"/>
      <c r="B17" s="14" t="n"/>
      <c r="C17" s="14" t="n"/>
      <c r="D17" s="14" t="n"/>
      <c r="E17" s="14" t="n"/>
      <c r="F17" s="14" t="n"/>
      <c r="G17" s="14" t="n"/>
      <c r="H17" s="14" t="n"/>
      <c r="I17" s="14" t="n"/>
      <c r="J17" s="16">
        <f>IF(COUNTIF(C17:I17,"Yes")+COUNTIF(C17:I17,"No")=0,"",COUNTIF(C17:I17,"Yes")/(COUNTIF(C17:I17,"Yes")+COUNTIF(C17:I17,"No"))*100)</f>
        <v/>
      </c>
      <c r="K17" s="14" t="n"/>
      <c r="L17" s="14" t="n"/>
      <c r="M17" s="14" t="n"/>
    </row>
    <row r="18">
      <c r="A18" s="14" t="n"/>
      <c r="B18" s="14" t="n"/>
      <c r="C18" s="14" t="n"/>
      <c r="D18" s="14" t="n"/>
      <c r="E18" s="14" t="n"/>
      <c r="F18" s="14" t="n"/>
      <c r="G18" s="14" t="n"/>
      <c r="H18" s="14" t="n"/>
      <c r="I18" s="14" t="n"/>
      <c r="J18" s="16">
        <f>IF(COUNTIF(C18:I18,"Yes")+COUNTIF(C18:I18,"No")=0,"",COUNTIF(C18:I18,"Yes")/(COUNTIF(C18:I18,"Yes")+COUNTIF(C18:I18,"No"))*100)</f>
        <v/>
      </c>
      <c r="K18" s="14" t="n"/>
      <c r="L18" s="14" t="n"/>
      <c r="M18" s="14" t="n"/>
    </row>
    <row r="19">
      <c r="A19" s="14" t="n"/>
      <c r="B19" s="14" t="n"/>
      <c r="C19" s="14" t="n"/>
      <c r="D19" s="14" t="n"/>
      <c r="E19" s="14" t="n"/>
      <c r="F19" s="14" t="n"/>
      <c r="G19" s="14" t="n"/>
      <c r="H19" s="14" t="n"/>
      <c r="I19" s="14" t="n"/>
      <c r="J19" s="16">
        <f>IF(COUNTIF(C19:I19,"Yes")+COUNTIF(C19:I19,"No")=0,"",COUNTIF(C19:I19,"Yes")/(COUNTIF(C19:I19,"Yes")+COUNTIF(C19:I19,"No"))*100)</f>
        <v/>
      </c>
      <c r="K19" s="14" t="n"/>
      <c r="L19" s="14" t="n"/>
      <c r="M19" s="14" t="n"/>
    </row>
    <row r="20">
      <c r="A20" s="14" t="n"/>
      <c r="B20" s="14" t="n"/>
      <c r="C20" s="14" t="n"/>
      <c r="D20" s="14" t="n"/>
      <c r="E20" s="14" t="n"/>
      <c r="F20" s="14" t="n"/>
      <c r="G20" s="14" t="n"/>
      <c r="H20" s="14" t="n"/>
      <c r="I20" s="14" t="n"/>
      <c r="J20" s="16">
        <f>IF(COUNTIF(C20:I20,"Yes")+COUNTIF(C20:I20,"No")=0,"",COUNTIF(C20:I20,"Yes")/(COUNTIF(C20:I20,"Yes")+COUNTIF(C20:I20,"No"))*100)</f>
        <v/>
      </c>
      <c r="K20" s="14" t="n"/>
      <c r="L20" s="14" t="n"/>
      <c r="M20" s="14" t="n"/>
    </row>
    <row r="21">
      <c r="A21" s="14" t="n"/>
      <c r="B21" s="14" t="n"/>
      <c r="C21" s="14" t="n"/>
      <c r="D21" s="14" t="n"/>
      <c r="E21" s="14" t="n"/>
      <c r="F21" s="14" t="n"/>
      <c r="G21" s="14" t="n"/>
      <c r="H21" s="14" t="n"/>
      <c r="I21" s="14" t="n"/>
      <c r="J21" s="16">
        <f>IF(COUNTIF(C21:I21,"Yes")+COUNTIF(C21:I21,"No")=0,"",COUNTIF(C21:I21,"Yes")/(COUNTIF(C21:I21,"Yes")+COUNTIF(C21:I21,"No"))*100)</f>
        <v/>
      </c>
      <c r="K21" s="14" t="n"/>
      <c r="L21" s="14" t="n"/>
      <c r="M21" s="14" t="n"/>
    </row>
    <row r="22">
      <c r="A22" s="14" t="n"/>
      <c r="B22" s="14" t="n"/>
      <c r="C22" s="14" t="n"/>
      <c r="D22" s="14" t="n"/>
      <c r="E22" s="14" t="n"/>
      <c r="F22" s="14" t="n"/>
      <c r="G22" s="14" t="n"/>
      <c r="H22" s="14" t="n"/>
      <c r="I22" s="14" t="n"/>
      <c r="J22" s="16">
        <f>IF(COUNTIF(C22:I22,"Yes")+COUNTIF(C22:I22,"No")=0,"",COUNTIF(C22:I22,"Yes")/(COUNTIF(C22:I22,"Yes")+COUNTIF(C22:I22,"No"))*100)</f>
        <v/>
      </c>
      <c r="K22" s="14" t="n"/>
      <c r="L22" s="14" t="n"/>
      <c r="M22" s="14" t="n"/>
    </row>
    <row r="23">
      <c r="A23" s="14" t="n"/>
      <c r="B23" s="14" t="n"/>
      <c r="C23" s="14" t="n"/>
      <c r="D23" s="14" t="n"/>
      <c r="E23" s="14" t="n"/>
      <c r="F23" s="14" t="n"/>
      <c r="G23" s="14" t="n"/>
      <c r="H23" s="14" t="n"/>
      <c r="I23" s="14" t="n"/>
      <c r="J23" s="16">
        <f>IF(COUNTIF(C23:I23,"Yes")+COUNTIF(C23:I23,"No")=0,"",COUNTIF(C23:I23,"Yes")/(COUNTIF(C23:I23,"Yes")+COUNTIF(C23:I23,"No"))*100)</f>
        <v/>
      </c>
      <c r="K23" s="14" t="n"/>
      <c r="L23" s="14" t="n"/>
      <c r="M23" s="14" t="n"/>
    </row>
    <row r="24">
      <c r="A24" s="14" t="n"/>
      <c r="B24" s="14" t="n"/>
      <c r="C24" s="14" t="n"/>
      <c r="D24" s="14" t="n"/>
      <c r="E24" s="14" t="n"/>
      <c r="F24" s="14" t="n"/>
      <c r="G24" s="14" t="n"/>
      <c r="H24" s="14" t="n"/>
      <c r="I24" s="14" t="n"/>
      <c r="J24" s="16">
        <f>IF(COUNTIF(C24:I24,"Yes")+COUNTIF(C24:I24,"No")=0,"",COUNTIF(C24:I24,"Yes")/(COUNTIF(C24:I24,"Yes")+COUNTIF(C24:I24,"No"))*100)</f>
        <v/>
      </c>
      <c r="K24" s="14" t="n"/>
      <c r="L24" s="14" t="n"/>
      <c r="M24" s="14" t="n"/>
    </row>
    <row r="25">
      <c r="A25" s="14" t="n"/>
      <c r="B25" s="14" t="n"/>
      <c r="C25" s="14" t="n"/>
      <c r="D25" s="14" t="n"/>
      <c r="E25" s="14" t="n"/>
      <c r="F25" s="14" t="n"/>
      <c r="G25" s="14" t="n"/>
      <c r="H25" s="14" t="n"/>
      <c r="I25" s="14" t="n"/>
      <c r="J25" s="16">
        <f>IF(COUNTIF(C25:I25,"Yes")+COUNTIF(C25:I25,"No")=0,"",COUNTIF(C25:I25,"Yes")/(COUNTIF(C25:I25,"Yes")+COUNTIF(C25:I25,"No"))*100)</f>
        <v/>
      </c>
      <c r="K25" s="14" t="n"/>
      <c r="L25" s="14" t="n"/>
      <c r="M25" s="14" t="n"/>
    </row>
    <row r="26">
      <c r="A26" s="14" t="n"/>
      <c r="B26" s="14" t="n"/>
      <c r="C26" s="14" t="n"/>
      <c r="D26" s="14" t="n"/>
      <c r="E26" s="14" t="n"/>
      <c r="F26" s="14" t="n"/>
      <c r="G26" s="14" t="n"/>
      <c r="H26" s="14" t="n"/>
      <c r="I26" s="14" t="n"/>
      <c r="J26" s="16">
        <f>IF(COUNTIF(C26:I26,"Yes")+COUNTIF(C26:I26,"No")=0,"",COUNTIF(C26:I26,"Yes")/(COUNTIF(C26:I26,"Yes")+COUNTIF(C26:I26,"No"))*100)</f>
        <v/>
      </c>
      <c r="K26" s="14" t="n"/>
      <c r="L26" s="14" t="n"/>
      <c r="M26" s="14" t="n"/>
    </row>
    <row r="27">
      <c r="A27" s="14" t="n"/>
      <c r="B27" s="14" t="n"/>
      <c r="C27" s="14" t="n"/>
      <c r="D27" s="14" t="n"/>
      <c r="E27" s="14" t="n"/>
      <c r="F27" s="14" t="n"/>
      <c r="G27" s="14" t="n"/>
      <c r="H27" s="14" t="n"/>
      <c r="I27" s="14" t="n"/>
      <c r="J27" s="16">
        <f>IF(COUNTIF(C27:I27,"Yes")+COUNTIF(C27:I27,"No")=0,"",COUNTIF(C27:I27,"Yes")/(COUNTIF(C27:I27,"Yes")+COUNTIF(C27:I27,"No"))*100)</f>
        <v/>
      </c>
      <c r="K27" s="14" t="n"/>
      <c r="L27" s="14" t="n"/>
      <c r="M27" s="14" t="n"/>
    </row>
    <row r="28">
      <c r="A28" s="14" t="n"/>
      <c r="B28" s="14" t="n"/>
      <c r="C28" s="14" t="n"/>
      <c r="D28" s="14" t="n"/>
      <c r="E28" s="14" t="n"/>
      <c r="F28" s="14" t="n"/>
      <c r="G28" s="14" t="n"/>
      <c r="H28" s="14" t="n"/>
      <c r="I28" s="14" t="n"/>
      <c r="J28" s="16">
        <f>IF(COUNTIF(C28:I28,"Yes")+COUNTIF(C28:I28,"No")=0,"",COUNTIF(C28:I28,"Yes")/(COUNTIF(C28:I28,"Yes")+COUNTIF(C28:I28,"No"))*100)</f>
        <v/>
      </c>
      <c r="K28" s="14" t="n"/>
      <c r="L28" s="14" t="n"/>
      <c r="M28" s="14" t="n"/>
    </row>
    <row r="29">
      <c r="A29" s="14" t="n"/>
      <c r="B29" s="14" t="n"/>
      <c r="C29" s="14" t="n"/>
      <c r="D29" s="14" t="n"/>
      <c r="E29" s="14" t="n"/>
      <c r="F29" s="14" t="n"/>
      <c r="G29" s="14" t="n"/>
      <c r="H29" s="14" t="n"/>
      <c r="I29" s="14" t="n"/>
      <c r="J29" s="16">
        <f>IF(COUNTIF(C29:I29,"Yes")+COUNTIF(C29:I29,"No")=0,"",COUNTIF(C29:I29,"Yes")/(COUNTIF(C29:I29,"Yes")+COUNTIF(C29:I29,"No"))*100)</f>
        <v/>
      </c>
      <c r="K29" s="14" t="n"/>
      <c r="L29" s="14" t="n"/>
      <c r="M29" s="14" t="n"/>
    </row>
    <row r="30">
      <c r="A30" s="14" t="n"/>
      <c r="B30" s="14" t="n"/>
      <c r="C30" s="14" t="n"/>
      <c r="D30" s="14" t="n"/>
      <c r="E30" s="14" t="n"/>
      <c r="F30" s="14" t="n"/>
      <c r="G30" s="14" t="n"/>
      <c r="H30" s="14" t="n"/>
      <c r="I30" s="14" t="n"/>
      <c r="J30" s="16">
        <f>IF(COUNTIF(C30:I30,"Yes")+COUNTIF(C30:I30,"No")=0,"",COUNTIF(C30:I30,"Yes")/(COUNTIF(C30:I30,"Yes")+COUNTIF(C30:I30,"No"))*100)</f>
        <v/>
      </c>
      <c r="K30" s="14" t="n"/>
      <c r="L30" s="14" t="n"/>
      <c r="M30" s="14" t="n"/>
    </row>
    <row r="31">
      <c r="A31" s="14" t="n"/>
      <c r="B31" s="14" t="n"/>
      <c r="C31" s="14" t="n"/>
      <c r="D31" s="14" t="n"/>
      <c r="E31" s="14" t="n"/>
      <c r="F31" s="14" t="n"/>
      <c r="G31" s="14" t="n"/>
      <c r="H31" s="14" t="n"/>
      <c r="I31" s="14" t="n"/>
      <c r="J31" s="16">
        <f>IF(COUNTIF(C31:I31,"Yes")+COUNTIF(C31:I31,"No")=0,"",COUNTIF(C31:I31,"Yes")/(COUNTIF(C31:I31,"Yes")+COUNTIF(C31:I31,"No"))*100)</f>
        <v/>
      </c>
      <c r="K31" s="14" t="n"/>
      <c r="L31" s="14" t="n"/>
      <c r="M31" s="14" t="n"/>
    </row>
    <row r="32">
      <c r="A32" s="14" t="n"/>
      <c r="B32" s="14" t="n"/>
      <c r="C32" s="14" t="n"/>
      <c r="D32" s="14" t="n"/>
      <c r="E32" s="14" t="n"/>
      <c r="F32" s="14" t="n"/>
      <c r="G32" s="14" t="n"/>
      <c r="H32" s="14" t="n"/>
      <c r="I32" s="14" t="n"/>
      <c r="J32" s="16">
        <f>IF(COUNTIF(C32:I32,"Yes")+COUNTIF(C32:I32,"No")=0,"",COUNTIF(C32:I32,"Yes")/(COUNTIF(C32:I32,"Yes")+COUNTIF(C32:I32,"No"))*100)</f>
        <v/>
      </c>
      <c r="K32" s="14" t="n"/>
      <c r="L32" s="14" t="n"/>
      <c r="M32" s="14" t="n"/>
    </row>
    <row r="33">
      <c r="A33" s="14" t="n"/>
      <c r="B33" s="14" t="n"/>
      <c r="C33" s="14" t="n"/>
      <c r="D33" s="14" t="n"/>
      <c r="E33" s="14" t="n"/>
      <c r="F33" s="14" t="n"/>
      <c r="G33" s="14" t="n"/>
      <c r="H33" s="14" t="n"/>
      <c r="I33" s="14" t="n"/>
      <c r="J33" s="16">
        <f>IF(COUNTIF(C33:I33,"Yes")+COUNTIF(C33:I33,"No")=0,"",COUNTIF(C33:I33,"Yes")/(COUNTIF(C33:I33,"Yes")+COUNTIF(C33:I33,"No"))*100)</f>
        <v/>
      </c>
      <c r="K33" s="14" t="n"/>
      <c r="L33" s="14" t="n"/>
      <c r="M33" s="14" t="n"/>
    </row>
    <row r="34">
      <c r="A34" s="14" t="n"/>
      <c r="B34" s="14" t="n"/>
      <c r="C34" s="14" t="n"/>
      <c r="D34" s="14" t="n"/>
      <c r="E34" s="14" t="n"/>
      <c r="F34" s="14" t="n"/>
      <c r="G34" s="14" t="n"/>
      <c r="H34" s="14" t="n"/>
      <c r="I34" s="14" t="n"/>
      <c r="J34" s="16">
        <f>IF(COUNTIF(C34:I34,"Yes")+COUNTIF(C34:I34,"No")=0,"",COUNTIF(C34:I34,"Yes")/(COUNTIF(C34:I34,"Yes")+COUNTIF(C34:I34,"No"))*100)</f>
        <v/>
      </c>
      <c r="K34" s="14" t="n"/>
      <c r="L34" s="14" t="n"/>
      <c r="M34" s="14" t="n"/>
    </row>
    <row r="35">
      <c r="A35" s="14" t="n"/>
      <c r="B35" s="14" t="n"/>
      <c r="C35" s="14" t="n"/>
      <c r="D35" s="14" t="n"/>
      <c r="E35" s="14" t="n"/>
      <c r="F35" s="14" t="n"/>
      <c r="G35" s="14" t="n"/>
      <c r="H35" s="14" t="n"/>
      <c r="I35" s="14" t="n"/>
      <c r="J35" s="16">
        <f>IF(COUNTIF(C35:I35,"Yes")+COUNTIF(C35:I35,"No")=0,"",COUNTIF(C35:I35,"Yes")/(COUNTIF(C35:I35,"Yes")+COUNTIF(C35:I35,"No"))*100)</f>
        <v/>
      </c>
      <c r="K35" s="14" t="n"/>
      <c r="L35" s="14" t="n"/>
      <c r="M35" s="14" t="n"/>
    </row>
    <row r="36">
      <c r="A36" s="14" t="n"/>
      <c r="B36" s="14" t="n"/>
      <c r="C36" s="14" t="n"/>
      <c r="D36" s="14" t="n"/>
      <c r="E36" s="14" t="n"/>
      <c r="F36" s="14" t="n"/>
      <c r="G36" s="14" t="n"/>
      <c r="H36" s="14" t="n"/>
      <c r="I36" s="14" t="n"/>
      <c r="J36" s="16">
        <f>IF(COUNTIF(C36:I36,"Yes")+COUNTIF(C36:I36,"No")=0,"",COUNTIF(C36:I36,"Yes")/(COUNTIF(C36:I36,"Yes")+COUNTIF(C36:I36,"No"))*100)</f>
        <v/>
      </c>
      <c r="K36" s="14" t="n"/>
      <c r="L36" s="14" t="n"/>
      <c r="M36" s="14" t="n"/>
    </row>
    <row r="37">
      <c r="A37" s="14" t="n"/>
      <c r="B37" s="14" t="n"/>
      <c r="C37" s="14" t="n"/>
      <c r="D37" s="14" t="n"/>
      <c r="E37" s="14" t="n"/>
      <c r="F37" s="14" t="n"/>
      <c r="G37" s="14" t="n"/>
      <c r="H37" s="14" t="n"/>
      <c r="I37" s="14" t="n"/>
      <c r="J37" s="16">
        <f>IF(COUNTIF(C37:I37,"Yes")+COUNTIF(C37:I37,"No")=0,"",COUNTIF(C37:I37,"Yes")/(COUNTIF(C37:I37,"Yes")+COUNTIF(C37:I37,"No"))*100)</f>
        <v/>
      </c>
      <c r="K37" s="14" t="n"/>
      <c r="L37" s="14" t="n"/>
      <c r="M37" s="14" t="n"/>
    </row>
    <row r="38">
      <c r="A38" s="14" t="n"/>
      <c r="B38" s="14" t="n"/>
      <c r="C38" s="14" t="n"/>
      <c r="D38" s="14" t="n"/>
      <c r="E38" s="14" t="n"/>
      <c r="F38" s="14" t="n"/>
      <c r="G38" s="14" t="n"/>
      <c r="H38" s="14" t="n"/>
      <c r="I38" s="14" t="n"/>
      <c r="J38" s="16">
        <f>IF(COUNTIF(C38:I38,"Yes")+COUNTIF(C38:I38,"No")=0,"",COUNTIF(C38:I38,"Yes")/(COUNTIF(C38:I38,"Yes")+COUNTIF(C38:I38,"No"))*100)</f>
        <v/>
      </c>
      <c r="K38" s="14" t="n"/>
      <c r="L38" s="14" t="n"/>
      <c r="M38" s="14" t="n"/>
    </row>
    <row r="39">
      <c r="A39" s="14" t="n"/>
      <c r="B39" s="14" t="n"/>
      <c r="C39" s="14" t="n"/>
      <c r="D39" s="14" t="n"/>
      <c r="E39" s="14" t="n"/>
      <c r="F39" s="14" t="n"/>
      <c r="G39" s="14" t="n"/>
      <c r="H39" s="14" t="n"/>
      <c r="I39" s="14" t="n"/>
      <c r="J39" s="16">
        <f>IF(COUNTIF(C39:I39,"Yes")+COUNTIF(C39:I39,"No")=0,"",COUNTIF(C39:I39,"Yes")/(COUNTIF(C39:I39,"Yes")+COUNTIF(C39:I39,"No"))*100)</f>
        <v/>
      </c>
      <c r="K39" s="14" t="n"/>
      <c r="L39" s="14" t="n"/>
      <c r="M39" s="14" t="n"/>
    </row>
    <row r="40">
      <c r="A40" s="14" t="n"/>
      <c r="B40" s="14" t="n"/>
      <c r="C40" s="14" t="n"/>
      <c r="D40" s="14" t="n"/>
      <c r="E40" s="14" t="n"/>
      <c r="F40" s="14" t="n"/>
      <c r="G40" s="14" t="n"/>
      <c r="H40" s="14" t="n"/>
      <c r="I40" s="14" t="n"/>
      <c r="J40" s="16">
        <f>IF(COUNTIF(C40:I40,"Yes")+COUNTIF(C40:I40,"No")=0,"",COUNTIF(C40:I40,"Yes")/(COUNTIF(C40:I40,"Yes")+COUNTIF(C40:I40,"No"))*100)</f>
        <v/>
      </c>
      <c r="K40" s="14" t="n"/>
      <c r="L40" s="14" t="n"/>
      <c r="M40" s="14" t="n"/>
    </row>
    <row r="41">
      <c r="A41" s="14" t="n"/>
      <c r="B41" s="14" t="n"/>
      <c r="C41" s="14" t="n"/>
      <c r="D41" s="14" t="n"/>
      <c r="E41" s="14" t="n"/>
      <c r="F41" s="14" t="n"/>
      <c r="G41" s="14" t="n"/>
      <c r="H41" s="14" t="n"/>
      <c r="I41" s="14" t="n"/>
      <c r="J41" s="16">
        <f>IF(COUNTIF(C41:I41,"Yes")+COUNTIF(C41:I41,"No")=0,"",COUNTIF(C41:I41,"Yes")/(COUNTIF(C41:I41,"Yes")+COUNTIF(C41:I41,"No"))*100)</f>
        <v/>
      </c>
      <c r="K41" s="14" t="n"/>
      <c r="L41" s="14" t="n"/>
      <c r="M41" s="14" t="n"/>
    </row>
    <row r="42">
      <c r="A42" s="14" t="n"/>
      <c r="B42" s="14" t="n"/>
      <c r="C42" s="14" t="n"/>
      <c r="D42" s="14" t="n"/>
      <c r="E42" s="14" t="n"/>
      <c r="F42" s="14" t="n"/>
      <c r="G42" s="14" t="n"/>
      <c r="H42" s="14" t="n"/>
      <c r="I42" s="14" t="n"/>
      <c r="J42" s="16">
        <f>IF(COUNTIF(C42:I42,"Yes")+COUNTIF(C42:I42,"No")=0,"",COUNTIF(C42:I42,"Yes")/(COUNTIF(C42:I42,"Yes")+COUNTIF(C42:I42,"No"))*100)</f>
        <v/>
      </c>
      <c r="K42" s="14" t="n"/>
      <c r="L42" s="14" t="n"/>
      <c r="M42" s="14" t="n"/>
    </row>
    <row r="43">
      <c r="A43" s="14" t="n"/>
      <c r="B43" s="14" t="n"/>
      <c r="C43" s="14" t="n"/>
      <c r="D43" s="14" t="n"/>
      <c r="E43" s="14" t="n"/>
      <c r="F43" s="14" t="n"/>
      <c r="G43" s="14" t="n"/>
      <c r="H43" s="14" t="n"/>
      <c r="I43" s="14" t="n"/>
      <c r="J43" s="16">
        <f>IF(COUNTIF(C43:I43,"Yes")+COUNTIF(C43:I43,"No")=0,"",COUNTIF(C43:I43,"Yes")/(COUNTIF(C43:I43,"Yes")+COUNTIF(C43:I43,"No"))*100)</f>
        <v/>
      </c>
      <c r="K43" s="14" t="n"/>
      <c r="L43" s="14" t="n"/>
      <c r="M43" s="14" t="n"/>
    </row>
    <row r="44">
      <c r="A44" s="14" t="n"/>
      <c r="B44" s="14" t="n"/>
      <c r="C44" s="14" t="n"/>
      <c r="D44" s="14" t="n"/>
      <c r="E44" s="14" t="n"/>
      <c r="F44" s="14" t="n"/>
      <c r="G44" s="14" t="n"/>
      <c r="H44" s="14" t="n"/>
      <c r="I44" s="14" t="n"/>
      <c r="J44" s="16">
        <f>IF(COUNTIF(C44:I44,"Yes")+COUNTIF(C44:I44,"No")=0,"",COUNTIF(C44:I44,"Yes")/(COUNTIF(C44:I44,"Yes")+COUNTIF(C44:I44,"No"))*100)</f>
        <v/>
      </c>
      <c r="K44" s="14" t="n"/>
      <c r="L44" s="14" t="n"/>
      <c r="M44" s="14" t="n"/>
    </row>
    <row r="45">
      <c r="A45" s="14" t="n"/>
      <c r="B45" s="14" t="n"/>
      <c r="C45" s="14" t="n"/>
      <c r="D45" s="14" t="n"/>
      <c r="E45" s="14" t="n"/>
      <c r="F45" s="14" t="n"/>
      <c r="G45" s="14" t="n"/>
      <c r="H45" s="14" t="n"/>
      <c r="I45" s="14" t="n"/>
      <c r="J45" s="16">
        <f>IF(COUNTIF(C45:I45,"Yes")+COUNTIF(C45:I45,"No")=0,"",COUNTIF(C45:I45,"Yes")/(COUNTIF(C45:I45,"Yes")+COUNTIF(C45:I45,"No"))*100)</f>
        <v/>
      </c>
      <c r="K45" s="14" t="n"/>
      <c r="L45" s="14" t="n"/>
      <c r="M45" s="14" t="n"/>
    </row>
    <row r="46">
      <c r="A46" s="14" t="n"/>
      <c r="B46" s="14" t="n"/>
      <c r="C46" s="14" t="n"/>
      <c r="D46" s="14" t="n"/>
      <c r="E46" s="14" t="n"/>
      <c r="F46" s="14" t="n"/>
      <c r="G46" s="14" t="n"/>
      <c r="H46" s="14" t="n"/>
      <c r="I46" s="14" t="n"/>
      <c r="J46" s="16">
        <f>IF(COUNTIF(C46:I46,"Yes")+COUNTIF(C46:I46,"No")=0,"",COUNTIF(C46:I46,"Yes")/(COUNTIF(C46:I46,"Yes")+COUNTIF(C46:I46,"No"))*100)</f>
        <v/>
      </c>
      <c r="K46" s="14" t="n"/>
      <c r="L46" s="14" t="n"/>
      <c r="M46" s="14" t="n"/>
    </row>
    <row r="47">
      <c r="A47" s="14" t="n"/>
      <c r="B47" s="14" t="n"/>
      <c r="C47" s="14" t="n"/>
      <c r="D47" s="14" t="n"/>
      <c r="E47" s="14" t="n"/>
      <c r="F47" s="14" t="n"/>
      <c r="G47" s="14" t="n"/>
      <c r="H47" s="14" t="n"/>
      <c r="I47" s="14" t="n"/>
      <c r="J47" s="16">
        <f>IF(COUNTIF(C47:I47,"Yes")+COUNTIF(C47:I47,"No")=0,"",COUNTIF(C47:I47,"Yes")/(COUNTIF(C47:I47,"Yes")+COUNTIF(C47:I47,"No"))*100)</f>
        <v/>
      </c>
      <c r="K47" s="14" t="n"/>
      <c r="L47" s="14" t="n"/>
      <c r="M47" s="14" t="n"/>
    </row>
    <row r="48">
      <c r="A48" s="14" t="n"/>
      <c r="B48" s="14" t="n"/>
      <c r="C48" s="14" t="n"/>
      <c r="D48" s="14" t="n"/>
      <c r="E48" s="14" t="n"/>
      <c r="F48" s="14" t="n"/>
      <c r="G48" s="14" t="n"/>
      <c r="H48" s="14" t="n"/>
      <c r="I48" s="14" t="n"/>
      <c r="J48" s="16">
        <f>IF(COUNTIF(C48:I48,"Yes")+COUNTIF(C48:I48,"No")=0,"",COUNTIF(C48:I48,"Yes")/(COUNTIF(C48:I48,"Yes")+COUNTIF(C48:I48,"No"))*100)</f>
        <v/>
      </c>
      <c r="K48" s="14" t="n"/>
      <c r="L48" s="14" t="n"/>
      <c r="M48" s="14" t="n"/>
    </row>
    <row r="49">
      <c r="A49" s="14" t="n"/>
      <c r="B49" s="14" t="n"/>
      <c r="C49" s="14" t="n"/>
      <c r="D49" s="14" t="n"/>
      <c r="E49" s="14" t="n"/>
      <c r="F49" s="14" t="n"/>
      <c r="G49" s="14" t="n"/>
      <c r="H49" s="14" t="n"/>
      <c r="I49" s="14" t="n"/>
      <c r="J49" s="16">
        <f>IF(COUNTIF(C49:I49,"Yes")+COUNTIF(C49:I49,"No")=0,"",COUNTIF(C49:I49,"Yes")/(COUNTIF(C49:I49,"Yes")+COUNTIF(C49:I49,"No"))*100)</f>
        <v/>
      </c>
      <c r="K49" s="14" t="n"/>
      <c r="L49" s="14" t="n"/>
      <c r="M49" s="14" t="n"/>
    </row>
    <row r="50">
      <c r="A50" s="14" t="n"/>
      <c r="B50" s="14" t="n"/>
      <c r="C50" s="14" t="n"/>
      <c r="D50" s="14" t="n"/>
      <c r="E50" s="14" t="n"/>
      <c r="F50" s="14" t="n"/>
      <c r="G50" s="14" t="n"/>
      <c r="H50" s="14" t="n"/>
      <c r="I50" s="14" t="n"/>
      <c r="J50" s="16">
        <f>IF(COUNTIF(C50:I50,"Yes")+COUNTIF(C50:I50,"No")=0,"",COUNTIF(C50:I50,"Yes")/(COUNTIF(C50:I50,"Yes")+COUNTIF(C50:I50,"No"))*100)</f>
        <v/>
      </c>
      <c r="K50" s="14" t="n"/>
      <c r="L50" s="14" t="n"/>
      <c r="M50" s="14" t="n"/>
    </row>
    <row r="51">
      <c r="A51" s="14" t="n"/>
      <c r="B51" s="14" t="n"/>
      <c r="C51" s="14" t="n"/>
      <c r="D51" s="14" t="n"/>
      <c r="E51" s="14" t="n"/>
      <c r="F51" s="14" t="n"/>
      <c r="G51" s="14" t="n"/>
      <c r="H51" s="14" t="n"/>
      <c r="I51" s="14" t="n"/>
      <c r="J51" s="16">
        <f>IF(COUNTIF(C51:I51,"Yes")+COUNTIF(C51:I51,"No")=0,"",COUNTIF(C51:I51,"Yes")/(COUNTIF(C51:I51,"Yes")+COUNTIF(C51:I51,"No"))*100)</f>
        <v/>
      </c>
      <c r="K51" s="14" t="n"/>
      <c r="L51" s="14" t="n"/>
      <c r="M51" s="14" t="n"/>
    </row>
    <row r="52">
      <c r="A52" s="14" t="n"/>
      <c r="B52" s="14" t="n"/>
      <c r="C52" s="14" t="n"/>
      <c r="D52" s="14" t="n"/>
      <c r="E52" s="14" t="n"/>
      <c r="F52" s="14" t="n"/>
      <c r="G52" s="14" t="n"/>
      <c r="H52" s="14" t="n"/>
      <c r="I52" s="14" t="n"/>
      <c r="J52" s="16">
        <f>IF(COUNTIF(C52:I52,"Yes")+COUNTIF(C52:I52,"No")=0,"",COUNTIF(C52:I52,"Yes")/(COUNTIF(C52:I52,"Yes")+COUNTIF(C52:I52,"No"))*100)</f>
        <v/>
      </c>
      <c r="K52" s="14" t="n"/>
      <c r="L52" s="14" t="n"/>
      <c r="M52" s="14" t="n"/>
    </row>
    <row r="53">
      <c r="A53" s="14" t="n"/>
      <c r="B53" s="14" t="n"/>
      <c r="C53" s="14" t="n"/>
      <c r="D53" s="14" t="n"/>
      <c r="E53" s="14" t="n"/>
      <c r="F53" s="14" t="n"/>
      <c r="G53" s="14" t="n"/>
      <c r="H53" s="14" t="n"/>
      <c r="I53" s="14" t="n"/>
      <c r="J53" s="16">
        <f>IF(COUNTIF(C53:I53,"Yes")+COUNTIF(C53:I53,"No")=0,"",COUNTIF(C53:I53,"Yes")/(COUNTIF(C53:I53,"Yes")+COUNTIF(C53:I53,"No"))*100)</f>
        <v/>
      </c>
      <c r="K53" s="14" t="n"/>
      <c r="L53" s="14" t="n"/>
      <c r="M53" s="14" t="n"/>
    </row>
    <row r="54">
      <c r="A54" s="14" t="n"/>
      <c r="B54" s="14" t="n"/>
      <c r="C54" s="14" t="n"/>
      <c r="D54" s="14" t="n"/>
      <c r="E54" s="14" t="n"/>
      <c r="F54" s="14" t="n"/>
      <c r="G54" s="14" t="n"/>
      <c r="H54" s="14" t="n"/>
      <c r="I54" s="14" t="n"/>
      <c r="J54" s="16">
        <f>IF(COUNTIF(C54:I54,"Yes")+COUNTIF(C54:I54,"No")=0,"",COUNTIF(C54:I54,"Yes")/(COUNTIF(C54:I54,"Yes")+COUNTIF(C54:I54,"No"))*100)</f>
        <v/>
      </c>
      <c r="K54" s="14" t="n"/>
      <c r="L54" s="14" t="n"/>
      <c r="M54" s="14" t="n"/>
    </row>
    <row r="56">
      <c r="A56" s="17" t="inlineStr">
        <is>
          <t>Proxy Security Controls - Implementation Reference</t>
        </is>
      </c>
      <c r="B56" s="6" t="n"/>
      <c r="C56" s="6" t="n"/>
      <c r="D56" s="6" t="n"/>
      <c r="E56" s="6" t="n"/>
      <c r="F56" s="6" t="n"/>
      <c r="G56" s="6" t="n"/>
      <c r="H56" s="6" t="n"/>
      <c r="I56" s="6" t="n"/>
      <c r="J56" s="6" t="n"/>
      <c r="K56" s="6" t="n"/>
      <c r="L56" s="6" t="n"/>
      <c r="M56" s="6" t="n"/>
    </row>
    <row r="57">
      <c r="A57" s="13" t="inlineStr">
        <is>
          <t>Control</t>
        </is>
      </c>
      <c r="B57" s="13" t="inlineStr">
        <is>
          <t>Implementation Guidance</t>
        </is>
      </c>
    </row>
    <row r="58">
      <c r="A58" s="13" t="inlineStr">
        <is>
          <t>Authentication</t>
        </is>
      </c>
      <c r="B58" s="12" t="inlineStr">
        <is>
          <t>LDAP/AD authentication, Kerberos/NTLM for transparent proxy</t>
        </is>
      </c>
    </row>
    <row r="59">
      <c r="A59" s="13" t="inlineStr">
        <is>
          <t>SSL Inspection</t>
        </is>
      </c>
      <c r="B59" s="12" t="inlineStr">
        <is>
          <t>SSL/TLS decryption and inspection (with CA cert deployment)</t>
        </is>
      </c>
    </row>
    <row r="60">
      <c r="A60" s="13" t="inlineStr">
        <is>
          <t>Category Filtering</t>
        </is>
      </c>
      <c r="B60" s="12" t="inlineStr">
        <is>
          <t>Block malicious/inappropriate categories (malware, adult, gambling, etc.)</t>
        </is>
      </c>
    </row>
    <row r="61">
      <c r="A61" s="13" t="inlineStr">
        <is>
          <t>Malware Scanning</t>
        </is>
      </c>
      <c r="B61" s="12" t="inlineStr">
        <is>
          <t>Real-time malware scanning of downloaded content</t>
        </is>
      </c>
    </row>
    <row r="62">
      <c r="A62" s="13" t="inlineStr">
        <is>
          <t>Logging</t>
        </is>
      </c>
      <c r="B62" s="12" t="inlineStr">
        <is>
          <t>Log all requests with user, URL, timestamp, action (allow/block)</t>
        </is>
      </c>
    </row>
    <row r="63">
      <c r="A63" s="13" t="inlineStr">
        <is>
          <t>Bypass Prevention</t>
        </is>
      </c>
      <c r="B63" s="12" t="inlineStr">
        <is>
          <t>Block direct internet access, enforce proxy via firewall rules</t>
        </is>
      </c>
    </row>
    <row r="64">
      <c r="A64" s="13" t="inlineStr">
        <is>
          <t>Redundancy</t>
        </is>
      </c>
      <c r="B64" s="12" t="inlineStr">
        <is>
          <t>High availability configuration (multiple proxy servers)</t>
        </is>
      </c>
    </row>
  </sheetData>
  <mergeCells count="10">
    <mergeCell ref="B62:M62"/>
    <mergeCell ref="B64:M64"/>
    <mergeCell ref="A1:M1"/>
    <mergeCell ref="B59:M59"/>
    <mergeCell ref="B60:M60"/>
    <mergeCell ref="B63:M63"/>
    <mergeCell ref="B61:M61"/>
    <mergeCell ref="A56:M56"/>
    <mergeCell ref="B58:M58"/>
    <mergeCell ref="A2:M2"/>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5" customWidth="1" min="11" max="11"/>
    <col width="40" customWidth="1" min="12" max="12"/>
  </cols>
  <sheetData>
    <row r="1" ht="35" customHeight="1">
      <c r="A1" s="11" t="inlineStr">
        <is>
          <t>ADDITIONAL NETWORK SERVICES ASSESSMENT</t>
        </is>
      </c>
    </row>
    <row r="2">
      <c r="A2" s="12" t="inlineStr">
        <is>
          <t>Assess other network services: Load Balancers, AAA (RADIUS/TACACS+), SNMP, Syslog, SMTP, FTP, etc.</t>
        </is>
      </c>
    </row>
    <row r="3">
      <c r="A3" s="13" t="inlineStr">
        <is>
          <t>Service ID</t>
        </is>
      </c>
      <c r="B3" s="13" t="inlineStr">
        <is>
          <t>Service Type</t>
        </is>
      </c>
      <c r="C3" s="13" t="inlineStr">
        <is>
          <t>Authentication</t>
        </is>
      </c>
      <c r="D3" s="13" t="inlineStr">
        <is>
          <t>Encryption</t>
        </is>
      </c>
      <c r="E3" s="13" t="inlineStr">
        <is>
          <t>Access Control</t>
        </is>
      </c>
      <c r="F3" s="13" t="inlineStr">
        <is>
          <t>Logging</t>
        </is>
      </c>
      <c r="G3" s="13" t="inlineStr">
        <is>
          <t>Monitoring</t>
        </is>
      </c>
      <c r="H3" s="13" t="inlineStr">
        <is>
          <t>Hardening Applied</t>
        </is>
      </c>
      <c r="I3" s="13" t="inlineStr">
        <is>
          <t>Compliance Score %</t>
        </is>
      </c>
      <c r="J3" s="13" t="inlineStr">
        <is>
          <t>Last Assessed</t>
        </is>
      </c>
      <c r="K3" s="13" t="inlineStr">
        <is>
          <t>Key Controls</t>
        </is>
      </c>
      <c r="L3" s="13" t="inlineStr">
        <is>
          <t>Notes</t>
        </is>
      </c>
    </row>
    <row r="4">
      <c r="A4" s="18" t="inlineStr">
        <is>
          <t>SVC-001</t>
        </is>
      </c>
      <c r="B4" s="18" t="inlineStr">
        <is>
          <t>RADIUS/AAA</t>
        </is>
      </c>
      <c r="C4" s="18" t="inlineStr">
        <is>
          <t>Yes</t>
        </is>
      </c>
      <c r="D4" s="18" t="inlineStr">
        <is>
          <t>Yes</t>
        </is>
      </c>
      <c r="E4" s="18" t="inlineStr">
        <is>
          <t>Yes</t>
        </is>
      </c>
      <c r="F4" s="18" t="inlineStr">
        <is>
          <t>Yes</t>
        </is>
      </c>
      <c r="G4" s="18" t="inlineStr">
        <is>
          <t>Yes</t>
        </is>
      </c>
      <c r="H4" s="18" t="inlineStr">
        <is>
          <t>Yes</t>
        </is>
      </c>
      <c r="I4" s="19" t="n">
        <v>100</v>
      </c>
      <c r="J4" s="18" t="inlineStr">
        <is>
          <t>15.01.2026</t>
        </is>
      </c>
      <c r="K4" s="18" t="inlineStr">
        <is>
          <t>TACACS+, SNMPv3</t>
        </is>
      </c>
      <c r="L4" s="18" t="inlineStr"/>
    </row>
    <row r="5">
      <c r="A5" s="14" t="n"/>
      <c r="B5" s="14" t="n"/>
      <c r="C5" s="14" t="n"/>
      <c r="D5" s="14" t="n"/>
      <c r="E5" s="14" t="n"/>
      <c r="F5" s="14" t="n"/>
      <c r="G5" s="14" t="n"/>
      <c r="H5" s="14" t="n"/>
      <c r="I5" s="16">
        <f>IF(COUNTIF(C5:H5,"Yes")+COUNTIF(C5:H5,"No")=0,"",COUNTIF(C5:H5,"Yes")/(COUNTIF(C5:H5,"Yes")+COUNTIF(C5:H5,"No"))*100)</f>
        <v/>
      </c>
      <c r="J5" s="14" t="n"/>
      <c r="K5" s="14" t="n"/>
      <c r="L5" s="14" t="n"/>
    </row>
    <row r="6">
      <c r="A6" s="14" t="n"/>
      <c r="B6" s="14" t="n"/>
      <c r="C6" s="14" t="n"/>
      <c r="D6" s="14" t="n"/>
      <c r="E6" s="14" t="n"/>
      <c r="F6" s="14" t="n"/>
      <c r="G6" s="14" t="n"/>
      <c r="H6" s="14" t="n"/>
      <c r="I6" s="16">
        <f>IF(COUNTIF(C6:H6,"Yes")+COUNTIF(C6:H6,"No")=0,"",COUNTIF(C6:H6,"Yes")/(COUNTIF(C6:H6,"Yes")+COUNTIF(C6:H6,"No"))*100)</f>
        <v/>
      </c>
      <c r="J6" s="14" t="n"/>
      <c r="K6" s="14" t="n"/>
      <c r="L6" s="14" t="n"/>
    </row>
    <row r="7">
      <c r="A7" s="14" t="n"/>
      <c r="B7" s="14" t="n"/>
      <c r="C7" s="14" t="n"/>
      <c r="D7" s="14" t="n"/>
      <c r="E7" s="14" t="n"/>
      <c r="F7" s="14" t="n"/>
      <c r="G7" s="14" t="n"/>
      <c r="H7" s="14" t="n"/>
      <c r="I7" s="16">
        <f>IF(COUNTIF(C7:H7,"Yes")+COUNTIF(C7:H7,"No")=0,"",COUNTIF(C7:H7,"Yes")/(COUNTIF(C7:H7,"Yes")+COUNTIF(C7:H7,"No"))*100)</f>
        <v/>
      </c>
      <c r="J7" s="14" t="n"/>
      <c r="K7" s="14" t="n"/>
      <c r="L7" s="14" t="n"/>
    </row>
    <row r="8">
      <c r="A8" s="14" t="n"/>
      <c r="B8" s="14" t="n"/>
      <c r="C8" s="14" t="n"/>
      <c r="D8" s="14" t="n"/>
      <c r="E8" s="14" t="n"/>
      <c r="F8" s="14" t="n"/>
      <c r="G8" s="14" t="n"/>
      <c r="H8" s="14" t="n"/>
      <c r="I8" s="16">
        <f>IF(COUNTIF(C8:H8,"Yes")+COUNTIF(C8:H8,"No")=0,"",COUNTIF(C8:H8,"Yes")/(COUNTIF(C8:H8,"Yes")+COUNTIF(C8:H8,"No"))*100)</f>
        <v/>
      </c>
      <c r="J8" s="14" t="n"/>
      <c r="K8" s="14" t="n"/>
      <c r="L8" s="14" t="n"/>
    </row>
    <row r="9">
      <c r="A9" s="14" t="n"/>
      <c r="B9" s="14" t="n"/>
      <c r="C9" s="14" t="n"/>
      <c r="D9" s="14" t="n"/>
      <c r="E9" s="14" t="n"/>
      <c r="F9" s="14" t="n"/>
      <c r="G9" s="14" t="n"/>
      <c r="H9" s="14" t="n"/>
      <c r="I9" s="16">
        <f>IF(COUNTIF(C9:H9,"Yes")+COUNTIF(C9:H9,"No")=0,"",COUNTIF(C9:H9,"Yes")/(COUNTIF(C9:H9,"Yes")+COUNTIF(C9:H9,"No"))*100)</f>
        <v/>
      </c>
      <c r="J9" s="14" t="n"/>
      <c r="K9" s="14" t="n"/>
      <c r="L9" s="14" t="n"/>
    </row>
    <row r="10">
      <c r="A10" s="14" t="n"/>
      <c r="B10" s="14" t="n"/>
      <c r="C10" s="14" t="n"/>
      <c r="D10" s="14" t="n"/>
      <c r="E10" s="14" t="n"/>
      <c r="F10" s="14" t="n"/>
      <c r="G10" s="14" t="n"/>
      <c r="H10" s="14" t="n"/>
      <c r="I10" s="16">
        <f>IF(COUNTIF(C10:H10,"Yes")+COUNTIF(C10:H10,"No")=0,"",COUNTIF(C10:H10,"Yes")/(COUNTIF(C10:H10,"Yes")+COUNTIF(C10:H10,"No"))*100)</f>
        <v/>
      </c>
      <c r="J10" s="14" t="n"/>
      <c r="K10" s="14" t="n"/>
      <c r="L10" s="14" t="n"/>
    </row>
    <row r="11">
      <c r="A11" s="14" t="n"/>
      <c r="B11" s="14" t="n"/>
      <c r="C11" s="14" t="n"/>
      <c r="D11" s="14" t="n"/>
      <c r="E11" s="14" t="n"/>
      <c r="F11" s="14" t="n"/>
      <c r="G11" s="14" t="n"/>
      <c r="H11" s="14" t="n"/>
      <c r="I11" s="16">
        <f>IF(COUNTIF(C11:H11,"Yes")+COUNTIF(C11:H11,"No")=0,"",COUNTIF(C11:H11,"Yes")/(COUNTIF(C11:H11,"Yes")+COUNTIF(C11:H11,"No"))*100)</f>
        <v/>
      </c>
      <c r="J11" s="14" t="n"/>
      <c r="K11" s="14" t="n"/>
      <c r="L11" s="14" t="n"/>
    </row>
    <row r="12">
      <c r="A12" s="14" t="n"/>
      <c r="B12" s="14" t="n"/>
      <c r="C12" s="14" t="n"/>
      <c r="D12" s="14" t="n"/>
      <c r="E12" s="14" t="n"/>
      <c r="F12" s="14" t="n"/>
      <c r="G12" s="14" t="n"/>
      <c r="H12" s="14" t="n"/>
      <c r="I12" s="16">
        <f>IF(COUNTIF(C12:H12,"Yes")+COUNTIF(C12:H12,"No")=0,"",COUNTIF(C12:H12,"Yes")/(COUNTIF(C12:H12,"Yes")+COUNTIF(C12:H12,"No"))*100)</f>
        <v/>
      </c>
      <c r="J12" s="14" t="n"/>
      <c r="K12" s="14" t="n"/>
      <c r="L12" s="14" t="n"/>
    </row>
    <row r="13">
      <c r="A13" s="14" t="n"/>
      <c r="B13" s="14" t="n"/>
      <c r="C13" s="14" t="n"/>
      <c r="D13" s="14" t="n"/>
      <c r="E13" s="14" t="n"/>
      <c r="F13" s="14" t="n"/>
      <c r="G13" s="14" t="n"/>
      <c r="H13" s="14" t="n"/>
      <c r="I13" s="16">
        <f>IF(COUNTIF(C13:H13,"Yes")+COUNTIF(C13:H13,"No")=0,"",COUNTIF(C13:H13,"Yes")/(COUNTIF(C13:H13,"Yes")+COUNTIF(C13:H13,"No"))*100)</f>
        <v/>
      </c>
      <c r="J13" s="14" t="n"/>
      <c r="K13" s="14" t="n"/>
      <c r="L13" s="14" t="n"/>
    </row>
    <row r="14">
      <c r="A14" s="14" t="n"/>
      <c r="B14" s="14" t="n"/>
      <c r="C14" s="14" t="n"/>
      <c r="D14" s="14" t="n"/>
      <c r="E14" s="14" t="n"/>
      <c r="F14" s="14" t="n"/>
      <c r="G14" s="14" t="n"/>
      <c r="H14" s="14" t="n"/>
      <c r="I14" s="16">
        <f>IF(COUNTIF(C14:H14,"Yes")+COUNTIF(C14:H14,"No")=0,"",COUNTIF(C14:H14,"Yes")/(COUNTIF(C14:H14,"Yes")+COUNTIF(C14:H14,"No"))*100)</f>
        <v/>
      </c>
      <c r="J14" s="14" t="n"/>
      <c r="K14" s="14" t="n"/>
      <c r="L14" s="14" t="n"/>
    </row>
    <row r="15">
      <c r="A15" s="14" t="n"/>
      <c r="B15" s="14" t="n"/>
      <c r="C15" s="14" t="n"/>
      <c r="D15" s="14" t="n"/>
      <c r="E15" s="14" t="n"/>
      <c r="F15" s="14" t="n"/>
      <c r="G15" s="14" t="n"/>
      <c r="H15" s="14" t="n"/>
      <c r="I15" s="16">
        <f>IF(COUNTIF(C15:H15,"Yes")+COUNTIF(C15:H15,"No")=0,"",COUNTIF(C15:H15,"Yes")/(COUNTIF(C15:H15,"Yes")+COUNTIF(C15:H15,"No"))*100)</f>
        <v/>
      </c>
      <c r="J15" s="14" t="n"/>
      <c r="K15" s="14" t="n"/>
      <c r="L15" s="14" t="n"/>
    </row>
    <row r="16">
      <c r="A16" s="14" t="n"/>
      <c r="B16" s="14" t="n"/>
      <c r="C16" s="14" t="n"/>
      <c r="D16" s="14" t="n"/>
      <c r="E16" s="14" t="n"/>
      <c r="F16" s="14" t="n"/>
      <c r="G16" s="14" t="n"/>
      <c r="H16" s="14" t="n"/>
      <c r="I16" s="16">
        <f>IF(COUNTIF(C16:H16,"Yes")+COUNTIF(C16:H16,"No")=0,"",COUNTIF(C16:H16,"Yes")/(COUNTIF(C16:H16,"Yes")+COUNTIF(C16:H16,"No"))*100)</f>
        <v/>
      </c>
      <c r="J16" s="14" t="n"/>
      <c r="K16" s="14" t="n"/>
      <c r="L16" s="14" t="n"/>
    </row>
    <row r="17">
      <c r="A17" s="14" t="n"/>
      <c r="B17" s="14" t="n"/>
      <c r="C17" s="14" t="n"/>
      <c r="D17" s="14" t="n"/>
      <c r="E17" s="14" t="n"/>
      <c r="F17" s="14" t="n"/>
      <c r="G17" s="14" t="n"/>
      <c r="H17" s="14" t="n"/>
      <c r="I17" s="16">
        <f>IF(COUNTIF(C17:H17,"Yes")+COUNTIF(C17:H17,"No")=0,"",COUNTIF(C17:H17,"Yes")/(COUNTIF(C17:H17,"Yes")+COUNTIF(C17:H17,"No"))*100)</f>
        <v/>
      </c>
      <c r="J17" s="14" t="n"/>
      <c r="K17" s="14" t="n"/>
      <c r="L17" s="14" t="n"/>
    </row>
    <row r="18">
      <c r="A18" s="14" t="n"/>
      <c r="B18" s="14" t="n"/>
      <c r="C18" s="14" t="n"/>
      <c r="D18" s="14" t="n"/>
      <c r="E18" s="14" t="n"/>
      <c r="F18" s="14" t="n"/>
      <c r="G18" s="14" t="n"/>
      <c r="H18" s="14" t="n"/>
      <c r="I18" s="16">
        <f>IF(COUNTIF(C18:H18,"Yes")+COUNTIF(C18:H18,"No")=0,"",COUNTIF(C18:H18,"Yes")/(COUNTIF(C18:H18,"Yes")+COUNTIF(C18:H18,"No"))*100)</f>
        <v/>
      </c>
      <c r="J18" s="14" t="n"/>
      <c r="K18" s="14" t="n"/>
      <c r="L18" s="14" t="n"/>
    </row>
    <row r="19">
      <c r="A19" s="14" t="n"/>
      <c r="B19" s="14" t="n"/>
      <c r="C19" s="14" t="n"/>
      <c r="D19" s="14" t="n"/>
      <c r="E19" s="14" t="n"/>
      <c r="F19" s="14" t="n"/>
      <c r="G19" s="14" t="n"/>
      <c r="H19" s="14" t="n"/>
      <c r="I19" s="16">
        <f>IF(COUNTIF(C19:H19,"Yes")+COUNTIF(C19:H19,"No")=0,"",COUNTIF(C19:H19,"Yes")/(COUNTIF(C19:H19,"Yes")+COUNTIF(C19:H19,"No"))*100)</f>
        <v/>
      </c>
      <c r="J19" s="14" t="n"/>
      <c r="K19" s="14" t="n"/>
      <c r="L19" s="14" t="n"/>
    </row>
    <row r="20">
      <c r="A20" s="14" t="n"/>
      <c r="B20" s="14" t="n"/>
      <c r="C20" s="14" t="n"/>
      <c r="D20" s="14" t="n"/>
      <c r="E20" s="14" t="n"/>
      <c r="F20" s="14" t="n"/>
      <c r="G20" s="14" t="n"/>
      <c r="H20" s="14" t="n"/>
      <c r="I20" s="16">
        <f>IF(COUNTIF(C20:H20,"Yes")+COUNTIF(C20:H20,"No")=0,"",COUNTIF(C20:H20,"Yes")/(COUNTIF(C20:H20,"Yes")+COUNTIF(C20:H20,"No"))*100)</f>
        <v/>
      </c>
      <c r="J20" s="14" t="n"/>
      <c r="K20" s="14" t="n"/>
      <c r="L20" s="14" t="n"/>
    </row>
    <row r="21">
      <c r="A21" s="14" t="n"/>
      <c r="B21" s="14" t="n"/>
      <c r="C21" s="14" t="n"/>
      <c r="D21" s="14" t="n"/>
      <c r="E21" s="14" t="n"/>
      <c r="F21" s="14" t="n"/>
      <c r="G21" s="14" t="n"/>
      <c r="H21" s="14" t="n"/>
      <c r="I21" s="16">
        <f>IF(COUNTIF(C21:H21,"Yes")+COUNTIF(C21:H21,"No")=0,"",COUNTIF(C21:H21,"Yes")/(COUNTIF(C21:H21,"Yes")+COUNTIF(C21:H21,"No"))*100)</f>
        <v/>
      </c>
      <c r="J21" s="14" t="n"/>
      <c r="K21" s="14" t="n"/>
      <c r="L21" s="14" t="n"/>
    </row>
    <row r="22">
      <c r="A22" s="14" t="n"/>
      <c r="B22" s="14" t="n"/>
      <c r="C22" s="14" t="n"/>
      <c r="D22" s="14" t="n"/>
      <c r="E22" s="14" t="n"/>
      <c r="F22" s="14" t="n"/>
      <c r="G22" s="14" t="n"/>
      <c r="H22" s="14" t="n"/>
      <c r="I22" s="16">
        <f>IF(COUNTIF(C22:H22,"Yes")+COUNTIF(C22:H22,"No")=0,"",COUNTIF(C22:H22,"Yes")/(COUNTIF(C22:H22,"Yes")+COUNTIF(C22:H22,"No"))*100)</f>
        <v/>
      </c>
      <c r="J22" s="14" t="n"/>
      <c r="K22" s="14" t="n"/>
      <c r="L22" s="14" t="n"/>
    </row>
    <row r="23">
      <c r="A23" s="14" t="n"/>
      <c r="B23" s="14" t="n"/>
      <c r="C23" s="14" t="n"/>
      <c r="D23" s="14" t="n"/>
      <c r="E23" s="14" t="n"/>
      <c r="F23" s="14" t="n"/>
      <c r="G23" s="14" t="n"/>
      <c r="H23" s="14" t="n"/>
      <c r="I23" s="16">
        <f>IF(COUNTIF(C23:H23,"Yes")+COUNTIF(C23:H23,"No")=0,"",COUNTIF(C23:H23,"Yes")/(COUNTIF(C23:H23,"Yes")+COUNTIF(C23:H23,"No"))*100)</f>
        <v/>
      </c>
      <c r="J23" s="14" t="n"/>
      <c r="K23" s="14" t="n"/>
      <c r="L23" s="14" t="n"/>
    </row>
    <row r="24">
      <c r="A24" s="14" t="n"/>
      <c r="B24" s="14" t="n"/>
      <c r="C24" s="14" t="n"/>
      <c r="D24" s="14" t="n"/>
      <c r="E24" s="14" t="n"/>
      <c r="F24" s="14" t="n"/>
      <c r="G24" s="14" t="n"/>
      <c r="H24" s="14" t="n"/>
      <c r="I24" s="16">
        <f>IF(COUNTIF(C24:H24,"Yes")+COUNTIF(C24:H24,"No")=0,"",COUNTIF(C24:H24,"Yes")/(COUNTIF(C24:H24,"Yes")+COUNTIF(C24:H24,"No"))*100)</f>
        <v/>
      </c>
      <c r="J24" s="14" t="n"/>
      <c r="K24" s="14" t="n"/>
      <c r="L24" s="14" t="n"/>
    </row>
    <row r="25">
      <c r="A25" s="14" t="n"/>
      <c r="B25" s="14" t="n"/>
      <c r="C25" s="14" t="n"/>
      <c r="D25" s="14" t="n"/>
      <c r="E25" s="14" t="n"/>
      <c r="F25" s="14" t="n"/>
      <c r="G25" s="14" t="n"/>
      <c r="H25" s="14" t="n"/>
      <c r="I25" s="16">
        <f>IF(COUNTIF(C25:H25,"Yes")+COUNTIF(C25:H25,"No")=0,"",COUNTIF(C25:H25,"Yes")/(COUNTIF(C25:H25,"Yes")+COUNTIF(C25:H25,"No"))*100)</f>
        <v/>
      </c>
      <c r="J25" s="14" t="n"/>
      <c r="K25" s="14" t="n"/>
      <c r="L25" s="14" t="n"/>
    </row>
    <row r="26">
      <c r="A26" s="14" t="n"/>
      <c r="B26" s="14" t="n"/>
      <c r="C26" s="14" t="n"/>
      <c r="D26" s="14" t="n"/>
      <c r="E26" s="14" t="n"/>
      <c r="F26" s="14" t="n"/>
      <c r="G26" s="14" t="n"/>
      <c r="H26" s="14" t="n"/>
      <c r="I26" s="16">
        <f>IF(COUNTIF(C26:H26,"Yes")+COUNTIF(C26:H26,"No")=0,"",COUNTIF(C26:H26,"Yes")/(COUNTIF(C26:H26,"Yes")+COUNTIF(C26:H26,"No"))*100)</f>
        <v/>
      </c>
      <c r="J26" s="14" t="n"/>
      <c r="K26" s="14" t="n"/>
      <c r="L26" s="14" t="n"/>
    </row>
    <row r="27">
      <c r="A27" s="14" t="n"/>
      <c r="B27" s="14" t="n"/>
      <c r="C27" s="14" t="n"/>
      <c r="D27" s="14" t="n"/>
      <c r="E27" s="14" t="n"/>
      <c r="F27" s="14" t="n"/>
      <c r="G27" s="14" t="n"/>
      <c r="H27" s="14" t="n"/>
      <c r="I27" s="16">
        <f>IF(COUNTIF(C27:H27,"Yes")+COUNTIF(C27:H27,"No")=0,"",COUNTIF(C27:H27,"Yes")/(COUNTIF(C27:H27,"Yes")+COUNTIF(C27:H27,"No"))*100)</f>
        <v/>
      </c>
      <c r="J27" s="14" t="n"/>
      <c r="K27" s="14" t="n"/>
      <c r="L27" s="14" t="n"/>
    </row>
    <row r="28">
      <c r="A28" s="14" t="n"/>
      <c r="B28" s="14" t="n"/>
      <c r="C28" s="14" t="n"/>
      <c r="D28" s="14" t="n"/>
      <c r="E28" s="14" t="n"/>
      <c r="F28" s="14" t="n"/>
      <c r="G28" s="14" t="n"/>
      <c r="H28" s="14" t="n"/>
      <c r="I28" s="16">
        <f>IF(COUNTIF(C28:H28,"Yes")+COUNTIF(C28:H28,"No")=0,"",COUNTIF(C28:H28,"Yes")/(COUNTIF(C28:H28,"Yes")+COUNTIF(C28:H28,"No"))*100)</f>
        <v/>
      </c>
      <c r="J28" s="14" t="n"/>
      <c r="K28" s="14" t="n"/>
      <c r="L28" s="14" t="n"/>
    </row>
    <row r="29">
      <c r="A29" s="14" t="n"/>
      <c r="B29" s="14" t="n"/>
      <c r="C29" s="14" t="n"/>
      <c r="D29" s="14" t="n"/>
      <c r="E29" s="14" t="n"/>
      <c r="F29" s="14" t="n"/>
      <c r="G29" s="14" t="n"/>
      <c r="H29" s="14" t="n"/>
      <c r="I29" s="16">
        <f>IF(COUNTIF(C29:H29,"Yes")+COUNTIF(C29:H29,"No")=0,"",COUNTIF(C29:H29,"Yes")/(COUNTIF(C29:H29,"Yes")+COUNTIF(C29:H29,"No"))*100)</f>
        <v/>
      </c>
      <c r="J29" s="14" t="n"/>
      <c r="K29" s="14" t="n"/>
      <c r="L29" s="14" t="n"/>
    </row>
    <row r="30">
      <c r="A30" s="14" t="n"/>
      <c r="B30" s="14" t="n"/>
      <c r="C30" s="14" t="n"/>
      <c r="D30" s="14" t="n"/>
      <c r="E30" s="14" t="n"/>
      <c r="F30" s="14" t="n"/>
      <c r="G30" s="14" t="n"/>
      <c r="H30" s="14" t="n"/>
      <c r="I30" s="16">
        <f>IF(COUNTIF(C30:H30,"Yes")+COUNTIF(C30:H30,"No")=0,"",COUNTIF(C30:H30,"Yes")/(COUNTIF(C30:H30,"Yes")+COUNTIF(C30:H30,"No"))*100)</f>
        <v/>
      </c>
      <c r="J30" s="14" t="n"/>
      <c r="K30" s="14" t="n"/>
      <c r="L30" s="14" t="n"/>
    </row>
    <row r="31">
      <c r="A31" s="14" t="n"/>
      <c r="B31" s="14" t="n"/>
      <c r="C31" s="14" t="n"/>
      <c r="D31" s="14" t="n"/>
      <c r="E31" s="14" t="n"/>
      <c r="F31" s="14" t="n"/>
      <c r="G31" s="14" t="n"/>
      <c r="H31" s="14" t="n"/>
      <c r="I31" s="16">
        <f>IF(COUNTIF(C31:H31,"Yes")+COUNTIF(C31:H31,"No")=0,"",COUNTIF(C31:H31,"Yes")/(COUNTIF(C31:H31,"Yes")+COUNTIF(C31:H31,"No"))*100)</f>
        <v/>
      </c>
      <c r="J31" s="14" t="n"/>
      <c r="K31" s="14" t="n"/>
      <c r="L31" s="14" t="n"/>
    </row>
    <row r="32">
      <c r="A32" s="14" t="n"/>
      <c r="B32" s="14" t="n"/>
      <c r="C32" s="14" t="n"/>
      <c r="D32" s="14" t="n"/>
      <c r="E32" s="14" t="n"/>
      <c r="F32" s="14" t="n"/>
      <c r="G32" s="14" t="n"/>
      <c r="H32" s="14" t="n"/>
      <c r="I32" s="16">
        <f>IF(COUNTIF(C32:H32,"Yes")+COUNTIF(C32:H32,"No")=0,"",COUNTIF(C32:H32,"Yes")/(COUNTIF(C32:H32,"Yes")+COUNTIF(C32:H32,"No"))*100)</f>
        <v/>
      </c>
      <c r="J32" s="14" t="n"/>
      <c r="K32" s="14" t="n"/>
      <c r="L32" s="14" t="n"/>
    </row>
    <row r="33">
      <c r="A33" s="14" t="n"/>
      <c r="B33" s="14" t="n"/>
      <c r="C33" s="14" t="n"/>
      <c r="D33" s="14" t="n"/>
      <c r="E33" s="14" t="n"/>
      <c r="F33" s="14" t="n"/>
      <c r="G33" s="14" t="n"/>
      <c r="H33" s="14" t="n"/>
      <c r="I33" s="16">
        <f>IF(COUNTIF(C33:H33,"Yes")+COUNTIF(C33:H33,"No")=0,"",COUNTIF(C33:H33,"Yes")/(COUNTIF(C33:H33,"Yes")+COUNTIF(C33:H33,"No"))*100)</f>
        <v/>
      </c>
      <c r="J33" s="14" t="n"/>
      <c r="K33" s="14" t="n"/>
      <c r="L33" s="14" t="n"/>
    </row>
    <row r="34">
      <c r="A34" s="14" t="n"/>
      <c r="B34" s="14" t="n"/>
      <c r="C34" s="14" t="n"/>
      <c r="D34" s="14" t="n"/>
      <c r="E34" s="14" t="n"/>
      <c r="F34" s="14" t="n"/>
      <c r="G34" s="14" t="n"/>
      <c r="H34" s="14" t="n"/>
      <c r="I34" s="16">
        <f>IF(COUNTIF(C34:H34,"Yes")+COUNTIF(C34:H34,"No")=0,"",COUNTIF(C34:H34,"Yes")/(COUNTIF(C34:H34,"Yes")+COUNTIF(C34:H34,"No"))*100)</f>
        <v/>
      </c>
      <c r="J34" s="14" t="n"/>
      <c r="K34" s="14" t="n"/>
      <c r="L34" s="14" t="n"/>
    </row>
    <row r="35">
      <c r="A35" s="14" t="n"/>
      <c r="B35" s="14" t="n"/>
      <c r="C35" s="14" t="n"/>
      <c r="D35" s="14" t="n"/>
      <c r="E35" s="14" t="n"/>
      <c r="F35" s="14" t="n"/>
      <c r="G35" s="14" t="n"/>
      <c r="H35" s="14" t="n"/>
      <c r="I35" s="16">
        <f>IF(COUNTIF(C35:H35,"Yes")+COUNTIF(C35:H35,"No")=0,"",COUNTIF(C35:H35,"Yes")/(COUNTIF(C35:H35,"Yes")+COUNTIF(C35:H35,"No"))*100)</f>
        <v/>
      </c>
      <c r="J35" s="14" t="n"/>
      <c r="K35" s="14" t="n"/>
      <c r="L35" s="14" t="n"/>
    </row>
    <row r="36">
      <c r="A36" s="14" t="n"/>
      <c r="B36" s="14" t="n"/>
      <c r="C36" s="14" t="n"/>
      <c r="D36" s="14" t="n"/>
      <c r="E36" s="14" t="n"/>
      <c r="F36" s="14" t="n"/>
      <c r="G36" s="14" t="n"/>
      <c r="H36" s="14" t="n"/>
      <c r="I36" s="16">
        <f>IF(COUNTIF(C36:H36,"Yes")+COUNTIF(C36:H36,"No")=0,"",COUNTIF(C36:H36,"Yes")/(COUNTIF(C36:H36,"Yes")+COUNTIF(C36:H36,"No"))*100)</f>
        <v/>
      </c>
      <c r="J36" s="14" t="n"/>
      <c r="K36" s="14" t="n"/>
      <c r="L36" s="14" t="n"/>
    </row>
    <row r="37">
      <c r="A37" s="14" t="n"/>
      <c r="B37" s="14" t="n"/>
      <c r="C37" s="14" t="n"/>
      <c r="D37" s="14" t="n"/>
      <c r="E37" s="14" t="n"/>
      <c r="F37" s="14" t="n"/>
      <c r="G37" s="14" t="n"/>
      <c r="H37" s="14" t="n"/>
      <c r="I37" s="16">
        <f>IF(COUNTIF(C37:H37,"Yes")+COUNTIF(C37:H37,"No")=0,"",COUNTIF(C37:H37,"Yes")/(COUNTIF(C37:H37,"Yes")+COUNTIF(C37:H37,"No"))*100)</f>
        <v/>
      </c>
      <c r="J37" s="14" t="n"/>
      <c r="K37" s="14" t="n"/>
      <c r="L37" s="14" t="n"/>
    </row>
    <row r="38">
      <c r="A38" s="14" t="n"/>
      <c r="B38" s="14" t="n"/>
      <c r="C38" s="14" t="n"/>
      <c r="D38" s="14" t="n"/>
      <c r="E38" s="14" t="n"/>
      <c r="F38" s="14" t="n"/>
      <c r="G38" s="14" t="n"/>
      <c r="H38" s="14" t="n"/>
      <c r="I38" s="16">
        <f>IF(COUNTIF(C38:H38,"Yes")+COUNTIF(C38:H38,"No")=0,"",COUNTIF(C38:H38,"Yes")/(COUNTIF(C38:H38,"Yes")+COUNTIF(C38:H38,"No"))*100)</f>
        <v/>
      </c>
      <c r="J38" s="14" t="n"/>
      <c r="K38" s="14" t="n"/>
      <c r="L38" s="14" t="n"/>
    </row>
    <row r="39">
      <c r="A39" s="14" t="n"/>
      <c r="B39" s="14" t="n"/>
      <c r="C39" s="14" t="n"/>
      <c r="D39" s="14" t="n"/>
      <c r="E39" s="14" t="n"/>
      <c r="F39" s="14" t="n"/>
      <c r="G39" s="14" t="n"/>
      <c r="H39" s="14" t="n"/>
      <c r="I39" s="16">
        <f>IF(COUNTIF(C39:H39,"Yes")+COUNTIF(C39:H39,"No")=0,"",COUNTIF(C39:H39,"Yes")/(COUNTIF(C39:H39,"Yes")+COUNTIF(C39:H39,"No"))*100)</f>
        <v/>
      </c>
      <c r="J39" s="14" t="n"/>
      <c r="K39" s="14" t="n"/>
      <c r="L39" s="14" t="n"/>
    </row>
    <row r="40">
      <c r="A40" s="14" t="n"/>
      <c r="B40" s="14" t="n"/>
      <c r="C40" s="14" t="n"/>
      <c r="D40" s="14" t="n"/>
      <c r="E40" s="14" t="n"/>
      <c r="F40" s="14" t="n"/>
      <c r="G40" s="14" t="n"/>
      <c r="H40" s="14" t="n"/>
      <c r="I40" s="16">
        <f>IF(COUNTIF(C40:H40,"Yes")+COUNTIF(C40:H40,"No")=0,"",COUNTIF(C40:H40,"Yes")/(COUNTIF(C40:H40,"Yes")+COUNTIF(C40:H40,"No"))*100)</f>
        <v/>
      </c>
      <c r="J40" s="14" t="n"/>
      <c r="K40" s="14" t="n"/>
      <c r="L40" s="14" t="n"/>
    </row>
    <row r="41">
      <c r="A41" s="14" t="n"/>
      <c r="B41" s="14" t="n"/>
      <c r="C41" s="14" t="n"/>
      <c r="D41" s="14" t="n"/>
      <c r="E41" s="14" t="n"/>
      <c r="F41" s="14" t="n"/>
      <c r="G41" s="14" t="n"/>
      <c r="H41" s="14" t="n"/>
      <c r="I41" s="16">
        <f>IF(COUNTIF(C41:H41,"Yes")+COUNTIF(C41:H41,"No")=0,"",COUNTIF(C41:H41,"Yes")/(COUNTIF(C41:H41,"Yes")+COUNTIF(C41:H41,"No"))*100)</f>
        <v/>
      </c>
      <c r="J41" s="14" t="n"/>
      <c r="K41" s="14" t="n"/>
      <c r="L41" s="14" t="n"/>
    </row>
    <row r="42">
      <c r="A42" s="14" t="n"/>
      <c r="B42" s="14" t="n"/>
      <c r="C42" s="14" t="n"/>
      <c r="D42" s="14" t="n"/>
      <c r="E42" s="14" t="n"/>
      <c r="F42" s="14" t="n"/>
      <c r="G42" s="14" t="n"/>
      <c r="H42" s="14" t="n"/>
      <c r="I42" s="16">
        <f>IF(COUNTIF(C42:H42,"Yes")+COUNTIF(C42:H42,"No")=0,"",COUNTIF(C42:H42,"Yes")/(COUNTIF(C42:H42,"Yes")+COUNTIF(C42:H42,"No"))*100)</f>
        <v/>
      </c>
      <c r="J42" s="14" t="n"/>
      <c r="K42" s="14" t="n"/>
      <c r="L42" s="14" t="n"/>
    </row>
    <row r="43">
      <c r="A43" s="14" t="n"/>
      <c r="B43" s="14" t="n"/>
      <c r="C43" s="14" t="n"/>
      <c r="D43" s="14" t="n"/>
      <c r="E43" s="14" t="n"/>
      <c r="F43" s="14" t="n"/>
      <c r="G43" s="14" t="n"/>
      <c r="H43" s="14" t="n"/>
      <c r="I43" s="16">
        <f>IF(COUNTIF(C43:H43,"Yes")+COUNTIF(C43:H43,"No")=0,"",COUNTIF(C43:H43,"Yes")/(COUNTIF(C43:H43,"Yes")+COUNTIF(C43:H43,"No"))*100)</f>
        <v/>
      </c>
      <c r="J43" s="14" t="n"/>
      <c r="K43" s="14" t="n"/>
      <c r="L43" s="14" t="n"/>
    </row>
    <row r="44">
      <c r="A44" s="14" t="n"/>
      <c r="B44" s="14" t="n"/>
      <c r="C44" s="14" t="n"/>
      <c r="D44" s="14" t="n"/>
      <c r="E44" s="14" t="n"/>
      <c r="F44" s="14" t="n"/>
      <c r="G44" s="14" t="n"/>
      <c r="H44" s="14" t="n"/>
      <c r="I44" s="16">
        <f>IF(COUNTIF(C44:H44,"Yes")+COUNTIF(C44:H44,"No")=0,"",COUNTIF(C44:H44,"Yes")/(COUNTIF(C44:H44,"Yes")+COUNTIF(C44:H44,"No"))*100)</f>
        <v/>
      </c>
      <c r="J44" s="14" t="n"/>
      <c r="K44" s="14" t="n"/>
      <c r="L44" s="14" t="n"/>
    </row>
    <row r="45">
      <c r="A45" s="14" t="n"/>
      <c r="B45" s="14" t="n"/>
      <c r="C45" s="14" t="n"/>
      <c r="D45" s="14" t="n"/>
      <c r="E45" s="14" t="n"/>
      <c r="F45" s="14" t="n"/>
      <c r="G45" s="14" t="n"/>
      <c r="H45" s="14" t="n"/>
      <c r="I45" s="16">
        <f>IF(COUNTIF(C45:H45,"Yes")+COUNTIF(C45:H45,"No")=0,"",COUNTIF(C45:H45,"Yes")/(COUNTIF(C45:H45,"Yes")+COUNTIF(C45:H45,"No"))*100)</f>
        <v/>
      </c>
      <c r="J45" s="14" t="n"/>
      <c r="K45" s="14" t="n"/>
      <c r="L45" s="14" t="n"/>
    </row>
    <row r="46">
      <c r="A46" s="14" t="n"/>
      <c r="B46" s="14" t="n"/>
      <c r="C46" s="14" t="n"/>
      <c r="D46" s="14" t="n"/>
      <c r="E46" s="14" t="n"/>
      <c r="F46" s="14" t="n"/>
      <c r="G46" s="14" t="n"/>
      <c r="H46" s="14" t="n"/>
      <c r="I46" s="16">
        <f>IF(COUNTIF(C46:H46,"Yes")+COUNTIF(C46:H46,"No")=0,"",COUNTIF(C46:H46,"Yes")/(COUNTIF(C46:H46,"Yes")+COUNTIF(C46:H46,"No"))*100)</f>
        <v/>
      </c>
      <c r="J46" s="14" t="n"/>
      <c r="K46" s="14" t="n"/>
      <c r="L46" s="14" t="n"/>
    </row>
    <row r="47">
      <c r="A47" s="14" t="n"/>
      <c r="B47" s="14" t="n"/>
      <c r="C47" s="14" t="n"/>
      <c r="D47" s="14" t="n"/>
      <c r="E47" s="14" t="n"/>
      <c r="F47" s="14" t="n"/>
      <c r="G47" s="14" t="n"/>
      <c r="H47" s="14" t="n"/>
      <c r="I47" s="16">
        <f>IF(COUNTIF(C47:H47,"Yes")+COUNTIF(C47:H47,"No")=0,"",COUNTIF(C47:H47,"Yes")/(COUNTIF(C47:H47,"Yes")+COUNTIF(C47:H47,"No"))*100)</f>
        <v/>
      </c>
      <c r="J47" s="14" t="n"/>
      <c r="K47" s="14" t="n"/>
      <c r="L47" s="14" t="n"/>
    </row>
    <row r="48">
      <c r="A48" s="14" t="n"/>
      <c r="B48" s="14" t="n"/>
      <c r="C48" s="14" t="n"/>
      <c r="D48" s="14" t="n"/>
      <c r="E48" s="14" t="n"/>
      <c r="F48" s="14" t="n"/>
      <c r="G48" s="14" t="n"/>
      <c r="H48" s="14" t="n"/>
      <c r="I48" s="16">
        <f>IF(COUNTIF(C48:H48,"Yes")+COUNTIF(C48:H48,"No")=0,"",COUNTIF(C48:H48,"Yes")/(COUNTIF(C48:H48,"Yes")+COUNTIF(C48:H48,"No"))*100)</f>
        <v/>
      </c>
      <c r="J48" s="14" t="n"/>
      <c r="K48" s="14" t="n"/>
      <c r="L48" s="14" t="n"/>
    </row>
    <row r="49">
      <c r="A49" s="14" t="n"/>
      <c r="B49" s="14" t="n"/>
      <c r="C49" s="14" t="n"/>
      <c r="D49" s="14" t="n"/>
      <c r="E49" s="14" t="n"/>
      <c r="F49" s="14" t="n"/>
      <c r="G49" s="14" t="n"/>
      <c r="H49" s="14" t="n"/>
      <c r="I49" s="16">
        <f>IF(COUNTIF(C49:H49,"Yes")+COUNTIF(C49:H49,"No")=0,"",COUNTIF(C49:H49,"Yes")/(COUNTIF(C49:H49,"Yes")+COUNTIF(C49:H49,"No"))*100)</f>
        <v/>
      </c>
      <c r="J49" s="14" t="n"/>
      <c r="K49" s="14" t="n"/>
      <c r="L49" s="14" t="n"/>
    </row>
    <row r="50">
      <c r="A50" s="14" t="n"/>
      <c r="B50" s="14" t="n"/>
      <c r="C50" s="14" t="n"/>
      <c r="D50" s="14" t="n"/>
      <c r="E50" s="14" t="n"/>
      <c r="F50" s="14" t="n"/>
      <c r="G50" s="14" t="n"/>
      <c r="H50" s="14" t="n"/>
      <c r="I50" s="16">
        <f>IF(COUNTIF(C50:H50,"Yes")+COUNTIF(C50:H50,"No")=0,"",COUNTIF(C50:H50,"Yes")/(COUNTIF(C50:H50,"Yes")+COUNTIF(C50:H50,"No"))*100)</f>
        <v/>
      </c>
      <c r="J50" s="14" t="n"/>
      <c r="K50" s="14" t="n"/>
      <c r="L50" s="14" t="n"/>
    </row>
    <row r="51">
      <c r="A51" s="14" t="n"/>
      <c r="B51" s="14" t="n"/>
      <c r="C51" s="14" t="n"/>
      <c r="D51" s="14" t="n"/>
      <c r="E51" s="14" t="n"/>
      <c r="F51" s="14" t="n"/>
      <c r="G51" s="14" t="n"/>
      <c r="H51" s="14" t="n"/>
      <c r="I51" s="16">
        <f>IF(COUNTIF(C51:H51,"Yes")+COUNTIF(C51:H51,"No")=0,"",COUNTIF(C51:H51,"Yes")/(COUNTIF(C51:H51,"Yes")+COUNTIF(C51:H51,"No"))*100)</f>
        <v/>
      </c>
      <c r="J51" s="14" t="n"/>
      <c r="K51" s="14" t="n"/>
      <c r="L51" s="14" t="n"/>
    </row>
    <row r="52">
      <c r="A52" s="14" t="n"/>
      <c r="B52" s="14" t="n"/>
      <c r="C52" s="14" t="n"/>
      <c r="D52" s="14" t="n"/>
      <c r="E52" s="14" t="n"/>
      <c r="F52" s="14" t="n"/>
      <c r="G52" s="14" t="n"/>
      <c r="H52" s="14" t="n"/>
      <c r="I52" s="16">
        <f>IF(COUNTIF(C52:H52,"Yes")+COUNTIF(C52:H52,"No")=0,"",COUNTIF(C52:H52,"Yes")/(COUNTIF(C52:H52,"Yes")+COUNTIF(C52:H52,"No"))*100)</f>
        <v/>
      </c>
      <c r="J52" s="14" t="n"/>
      <c r="K52" s="14" t="n"/>
      <c r="L52" s="14" t="n"/>
    </row>
    <row r="53">
      <c r="A53" s="14" t="n"/>
      <c r="B53" s="14" t="n"/>
      <c r="C53" s="14" t="n"/>
      <c r="D53" s="14" t="n"/>
      <c r="E53" s="14" t="n"/>
      <c r="F53" s="14" t="n"/>
      <c r="G53" s="14" t="n"/>
      <c r="H53" s="14" t="n"/>
      <c r="I53" s="16">
        <f>IF(COUNTIF(C53:H53,"Yes")+COUNTIF(C53:H53,"No")=0,"",COUNTIF(C53:H53,"Yes")/(COUNTIF(C53:H53,"Yes")+COUNTIF(C53:H53,"No"))*100)</f>
        <v/>
      </c>
      <c r="J53" s="14" t="n"/>
      <c r="K53" s="14" t="n"/>
      <c r="L53" s="14" t="n"/>
    </row>
    <row r="54">
      <c r="A54" s="14" t="n"/>
      <c r="B54" s="14" t="n"/>
      <c r="C54" s="14" t="n"/>
      <c r="D54" s="14" t="n"/>
      <c r="E54" s="14" t="n"/>
      <c r="F54" s="14" t="n"/>
      <c r="G54" s="14" t="n"/>
      <c r="H54" s="14" t="n"/>
      <c r="I54" s="16">
        <f>IF(COUNTIF(C54:H54,"Yes")+COUNTIF(C54:H54,"No")=0,"",COUNTIF(C54:H54,"Yes")/(COUNTIF(C54:H54,"Yes")+COUNTIF(C54:H54,"No"))*100)</f>
        <v/>
      </c>
      <c r="J54" s="14" t="n"/>
      <c r="K54" s="14" t="n"/>
      <c r="L54" s="14" t="n"/>
    </row>
    <row r="56">
      <c r="A56" s="17" t="inlineStr">
        <is>
          <t>Service-Specific Security Controls Reference</t>
        </is>
      </c>
      <c r="B56" s="6" t="n"/>
      <c r="C56" s="6" t="n"/>
      <c r="D56" s="6" t="n"/>
      <c r="E56" s="6" t="n"/>
      <c r="F56" s="6" t="n"/>
      <c r="G56" s="6" t="n"/>
      <c r="H56" s="6" t="n"/>
      <c r="I56" s="6" t="n"/>
      <c r="J56" s="6" t="n"/>
      <c r="K56" s="6" t="n"/>
      <c r="L56" s="6" t="n"/>
    </row>
    <row r="57">
      <c r="A57" s="13" t="inlineStr">
        <is>
          <t>Service Type</t>
        </is>
      </c>
      <c r="B57" s="13" t="inlineStr">
        <is>
          <t>Key Security Controls</t>
        </is>
      </c>
    </row>
    <row r="58">
      <c r="A58" s="13" t="inlineStr">
        <is>
          <t>Load Balancer</t>
        </is>
      </c>
      <c r="B58" s="12" t="inlineStr">
        <is>
          <t>SSL/TLS termination, strong ciphers, health checks, session persistence security, DDoS protection</t>
        </is>
      </c>
    </row>
    <row r="59">
      <c r="A59" s="13" t="inlineStr">
        <is>
          <t>RADIUS/TACACS+</t>
        </is>
      </c>
      <c r="B59" s="12" t="inlineStr">
        <is>
          <t>Strong authentication, command authorisation (TACACS+), encrypted communication, MFA support, logging</t>
        </is>
      </c>
    </row>
    <row r="60">
      <c r="A60" s="13" t="inlineStr">
        <is>
          <t>SNMP</t>
        </is>
      </c>
      <c r="B60" s="12" t="inlineStr">
        <is>
          <t>SNMPv3 only (v1/v2c disabled), authentication (authPriv), encryption, access control, trap security</t>
        </is>
      </c>
    </row>
    <row r="61">
      <c r="A61" s="13" t="inlineStr">
        <is>
          <t>Syslog</t>
        </is>
      </c>
      <c r="B61" s="12" t="inlineStr">
        <is>
          <t>TLS encryption (rsyslog/syslog-ng), log retention policy, log rotation, integrity protection</t>
        </is>
      </c>
    </row>
    <row r="62">
      <c r="A62" s="13" t="inlineStr">
        <is>
          <t>SMTP Relay</t>
        </is>
      </c>
      <c r="B62" s="12" t="inlineStr">
        <is>
          <t>Authentication required, relay restrictions, SPF/DKIM/DMARC, TLS encryption, rate limiting</t>
        </is>
      </c>
    </row>
    <row r="63">
      <c r="A63" s="13" t="inlineStr">
        <is>
          <t>FTP/SFTP</t>
        </is>
      </c>
      <c r="B63" s="12" t="inlineStr">
        <is>
          <t>Use SFTP (SSH), disable FTP, strong authentication, access control, logging</t>
        </is>
      </c>
    </row>
  </sheetData>
  <mergeCells count="9">
    <mergeCell ref="A2:L2"/>
    <mergeCell ref="B58:L58"/>
    <mergeCell ref="B62:L62"/>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8" customWidth="1" min="3" max="3"/>
    <col width="35"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SERVICE SECURITY GAPS - REMEDIATION TRACKING</t>
        </is>
      </c>
    </row>
    <row r="2">
      <c r="A2" s="12" t="inlineStr">
        <is>
          <t>Document all service security gaps (missing controls, misconfigurations). Track remediation progress.</t>
        </is>
      </c>
    </row>
    <row r="3">
      <c r="A3" s="13" t="inlineStr">
        <is>
          <t>Gap ID</t>
        </is>
      </c>
      <c r="B3" s="13" t="inlineStr">
        <is>
          <t>Service ID</t>
        </is>
      </c>
      <c r="C3" s="13" t="inlineStr">
        <is>
          <t>Service Type</t>
        </is>
      </c>
      <c r="D3" s="13" t="inlineStr">
        <is>
          <t>Security Gap</t>
        </is>
      </c>
      <c r="E3" s="13" t="inlineStr">
        <is>
          <t>Current State</t>
        </is>
      </c>
      <c r="F3" s="13" t="inlineStr">
        <is>
          <t>Severity</t>
        </is>
      </c>
      <c r="G3" s="13" t="inlineStr">
        <is>
          <t>Remediation Plan</t>
        </is>
      </c>
      <c r="H3" s="13" t="inlineStr">
        <is>
          <t>Owner</t>
        </is>
      </c>
      <c r="I3" s="13" t="inlineStr">
        <is>
          <t>Status</t>
        </is>
      </c>
      <c r="J3" s="13" t="inlineStr">
        <is>
          <t>Target Date</t>
        </is>
      </c>
    </row>
    <row r="4">
      <c r="A4" s="18" t="inlineStr">
        <is>
          <t>SVC-GAP-001</t>
        </is>
      </c>
      <c r="B4" s="18" t="inlineStr">
        <is>
          <t>SVC-001</t>
        </is>
      </c>
      <c r="C4" s="18" t="inlineStr">
        <is>
          <t>DNS</t>
        </is>
      </c>
      <c r="D4" s="18" t="inlineStr">
        <is>
          <t>No DNSSEC validation on internal resolver</t>
        </is>
      </c>
      <c r="E4" s="18" t="inlineStr">
        <is>
          <t>DNS cache poisoning possible on corporate resolver</t>
        </is>
      </c>
      <c r="F4" s="18" t="inlineStr">
        <is>
          <t>High</t>
        </is>
      </c>
      <c r="G4" s="18" t="inlineStr">
        <is>
          <t>Enable DNSSEC validation on all internal DNS resolvers</t>
        </is>
      </c>
      <c r="H4" s="18" t="inlineStr">
        <is>
          <t>Network Team</t>
        </is>
      </c>
      <c r="I4" s="18" t="inlineStr">
        <is>
          <t>Open</t>
        </is>
      </c>
      <c r="J4" s="18" t="inlineStr">
        <is>
          <t>28.02.2026</t>
        </is>
      </c>
    </row>
    <row r="5">
      <c r="A5" s="20">
        <f>IF(B5&lt;&gt;"","SVC-GAP-" &amp; TEXT(2,"000"),"")</f>
        <v/>
      </c>
      <c r="B5" s="14" t="n"/>
      <c r="C5" s="14" t="n"/>
      <c r="D5" s="14" t="n"/>
      <c r="E5" s="14" t="n"/>
      <c r="F5" s="14" t="n"/>
      <c r="G5" s="14" t="n"/>
      <c r="H5" s="14" t="n"/>
      <c r="I5" s="14" t="n"/>
      <c r="J5" s="14" t="n"/>
    </row>
    <row r="6">
      <c r="A6" s="20">
        <f>IF(B6&lt;&gt;"","SVC-GAP-" &amp; TEXT(3,"000"),"")</f>
        <v/>
      </c>
      <c r="B6" s="14" t="n"/>
      <c r="C6" s="14" t="n"/>
      <c r="D6" s="14" t="n"/>
      <c r="E6" s="14" t="n"/>
      <c r="F6" s="14" t="n"/>
      <c r="G6" s="14" t="n"/>
      <c r="H6" s="14" t="n"/>
      <c r="I6" s="14" t="n"/>
      <c r="J6" s="14" t="n"/>
    </row>
    <row r="7">
      <c r="A7" s="20">
        <f>IF(B7&lt;&gt;"","SVC-GAP-" &amp; TEXT(4,"000"),"")</f>
        <v/>
      </c>
      <c r="B7" s="14" t="n"/>
      <c r="C7" s="14" t="n"/>
      <c r="D7" s="14" t="n"/>
      <c r="E7" s="14" t="n"/>
      <c r="F7" s="14" t="n"/>
      <c r="G7" s="14" t="n"/>
      <c r="H7" s="14" t="n"/>
      <c r="I7" s="14" t="n"/>
      <c r="J7" s="14" t="n"/>
    </row>
    <row r="8">
      <c r="A8" s="20">
        <f>IF(B8&lt;&gt;"","SVC-GAP-" &amp; TEXT(5,"000"),"")</f>
        <v/>
      </c>
      <c r="B8" s="14" t="n"/>
      <c r="C8" s="14" t="n"/>
      <c r="D8" s="14" t="n"/>
      <c r="E8" s="14" t="n"/>
      <c r="F8" s="14" t="n"/>
      <c r="G8" s="14" t="n"/>
      <c r="H8" s="14" t="n"/>
      <c r="I8" s="14" t="n"/>
      <c r="J8" s="14" t="n"/>
    </row>
    <row r="9">
      <c r="A9" s="20">
        <f>IF(B9&lt;&gt;"","SVC-GAP-" &amp; TEXT(6,"000"),"")</f>
        <v/>
      </c>
      <c r="B9" s="14" t="n"/>
      <c r="C9" s="14" t="n"/>
      <c r="D9" s="14" t="n"/>
      <c r="E9" s="14" t="n"/>
      <c r="F9" s="14" t="n"/>
      <c r="G9" s="14" t="n"/>
      <c r="H9" s="14" t="n"/>
      <c r="I9" s="14" t="n"/>
      <c r="J9" s="14" t="n"/>
    </row>
    <row r="10">
      <c r="A10" s="20">
        <f>IF(B10&lt;&gt;"","SVC-GAP-" &amp; TEXT(7,"000"),"")</f>
        <v/>
      </c>
      <c r="B10" s="14" t="n"/>
      <c r="C10" s="14" t="n"/>
      <c r="D10" s="14" t="n"/>
      <c r="E10" s="14" t="n"/>
      <c r="F10" s="14" t="n"/>
      <c r="G10" s="14" t="n"/>
      <c r="H10" s="14" t="n"/>
      <c r="I10" s="14" t="n"/>
      <c r="J10" s="14" t="n"/>
    </row>
    <row r="11">
      <c r="A11" s="20">
        <f>IF(B11&lt;&gt;"","SVC-GAP-" &amp; TEXT(8,"000"),"")</f>
        <v/>
      </c>
      <c r="B11" s="14" t="n"/>
      <c r="C11" s="14" t="n"/>
      <c r="D11" s="14" t="n"/>
      <c r="E11" s="14" t="n"/>
      <c r="F11" s="14" t="n"/>
      <c r="G11" s="14" t="n"/>
      <c r="H11" s="14" t="n"/>
      <c r="I11" s="14" t="n"/>
      <c r="J11" s="14" t="n"/>
    </row>
    <row r="12">
      <c r="A12" s="20">
        <f>IF(B12&lt;&gt;"","SVC-GAP-" &amp; TEXT(9,"000"),"")</f>
        <v/>
      </c>
      <c r="B12" s="14" t="n"/>
      <c r="C12" s="14" t="n"/>
      <c r="D12" s="14" t="n"/>
      <c r="E12" s="14" t="n"/>
      <c r="F12" s="14" t="n"/>
      <c r="G12" s="14" t="n"/>
      <c r="H12" s="14" t="n"/>
      <c r="I12" s="14" t="n"/>
      <c r="J12" s="14" t="n"/>
    </row>
    <row r="13">
      <c r="A13" s="20">
        <f>IF(B13&lt;&gt;"","SVC-GAP-" &amp; TEXT(10,"000"),"")</f>
        <v/>
      </c>
      <c r="B13" s="14" t="n"/>
      <c r="C13" s="14" t="n"/>
      <c r="D13" s="14" t="n"/>
      <c r="E13" s="14" t="n"/>
      <c r="F13" s="14" t="n"/>
      <c r="G13" s="14" t="n"/>
      <c r="H13" s="14" t="n"/>
      <c r="I13" s="14" t="n"/>
      <c r="J13" s="14" t="n"/>
    </row>
    <row r="14">
      <c r="A14" s="20">
        <f>IF(B14&lt;&gt;"","SVC-GAP-" &amp; TEXT(11,"000"),"")</f>
        <v/>
      </c>
      <c r="B14" s="14" t="n"/>
      <c r="C14" s="14" t="n"/>
      <c r="D14" s="14" t="n"/>
      <c r="E14" s="14" t="n"/>
      <c r="F14" s="14" t="n"/>
      <c r="G14" s="14" t="n"/>
      <c r="H14" s="14" t="n"/>
      <c r="I14" s="14" t="n"/>
      <c r="J14" s="14" t="n"/>
    </row>
    <row r="15">
      <c r="A15" s="20">
        <f>IF(B15&lt;&gt;"","SVC-GAP-" &amp; TEXT(12,"000"),"")</f>
        <v/>
      </c>
      <c r="B15" s="14" t="n"/>
      <c r="C15" s="14" t="n"/>
      <c r="D15" s="14" t="n"/>
      <c r="E15" s="14" t="n"/>
      <c r="F15" s="14" t="n"/>
      <c r="G15" s="14" t="n"/>
      <c r="H15" s="14" t="n"/>
      <c r="I15" s="14" t="n"/>
      <c r="J15" s="14" t="n"/>
    </row>
    <row r="16">
      <c r="A16" s="20">
        <f>IF(B16&lt;&gt;"","SVC-GAP-" &amp; TEXT(13,"000"),"")</f>
        <v/>
      </c>
      <c r="B16" s="14" t="n"/>
      <c r="C16" s="14" t="n"/>
      <c r="D16" s="14" t="n"/>
      <c r="E16" s="14" t="n"/>
      <c r="F16" s="14" t="n"/>
      <c r="G16" s="14" t="n"/>
      <c r="H16" s="14" t="n"/>
      <c r="I16" s="14" t="n"/>
      <c r="J16" s="14" t="n"/>
    </row>
    <row r="17">
      <c r="A17" s="20">
        <f>IF(B17&lt;&gt;"","SVC-GAP-" &amp; TEXT(14,"000"),"")</f>
        <v/>
      </c>
      <c r="B17" s="14" t="n"/>
      <c r="C17" s="14" t="n"/>
      <c r="D17" s="14" t="n"/>
      <c r="E17" s="14" t="n"/>
      <c r="F17" s="14" t="n"/>
      <c r="G17" s="14" t="n"/>
      <c r="H17" s="14" t="n"/>
      <c r="I17" s="14" t="n"/>
      <c r="J17" s="14" t="n"/>
    </row>
    <row r="18">
      <c r="A18" s="20">
        <f>IF(B18&lt;&gt;"","SVC-GAP-" &amp; TEXT(15,"000"),"")</f>
        <v/>
      </c>
      <c r="B18" s="14" t="n"/>
      <c r="C18" s="14" t="n"/>
      <c r="D18" s="14" t="n"/>
      <c r="E18" s="14" t="n"/>
      <c r="F18" s="14" t="n"/>
      <c r="G18" s="14" t="n"/>
      <c r="H18" s="14" t="n"/>
      <c r="I18" s="14" t="n"/>
      <c r="J18" s="14" t="n"/>
    </row>
    <row r="19">
      <c r="A19" s="20">
        <f>IF(B19&lt;&gt;"","SVC-GAP-" &amp; TEXT(16,"000"),"")</f>
        <v/>
      </c>
      <c r="B19" s="14" t="n"/>
      <c r="C19" s="14" t="n"/>
      <c r="D19" s="14" t="n"/>
      <c r="E19" s="14" t="n"/>
      <c r="F19" s="14" t="n"/>
      <c r="G19" s="14" t="n"/>
      <c r="H19" s="14" t="n"/>
      <c r="I19" s="14" t="n"/>
      <c r="J19" s="14" t="n"/>
    </row>
    <row r="20">
      <c r="A20" s="20">
        <f>IF(B20&lt;&gt;"","SVC-GAP-" &amp; TEXT(17,"000"),"")</f>
        <v/>
      </c>
      <c r="B20" s="14" t="n"/>
      <c r="C20" s="14" t="n"/>
      <c r="D20" s="14" t="n"/>
      <c r="E20" s="14" t="n"/>
      <c r="F20" s="14" t="n"/>
      <c r="G20" s="14" t="n"/>
      <c r="H20" s="14" t="n"/>
      <c r="I20" s="14" t="n"/>
      <c r="J20" s="14" t="n"/>
    </row>
    <row r="21">
      <c r="A21" s="20">
        <f>IF(B21&lt;&gt;"","SVC-GAP-" &amp; TEXT(18,"000"),"")</f>
        <v/>
      </c>
      <c r="B21" s="14" t="n"/>
      <c r="C21" s="14" t="n"/>
      <c r="D21" s="14" t="n"/>
      <c r="E21" s="14" t="n"/>
      <c r="F21" s="14" t="n"/>
      <c r="G21" s="14" t="n"/>
      <c r="H21" s="14" t="n"/>
      <c r="I21" s="14" t="n"/>
      <c r="J21" s="14" t="n"/>
    </row>
    <row r="22">
      <c r="A22" s="20">
        <f>IF(B22&lt;&gt;"","SVC-GAP-" &amp; TEXT(19,"000"),"")</f>
        <v/>
      </c>
      <c r="B22" s="14" t="n"/>
      <c r="C22" s="14" t="n"/>
      <c r="D22" s="14" t="n"/>
      <c r="E22" s="14" t="n"/>
      <c r="F22" s="14" t="n"/>
      <c r="G22" s="14" t="n"/>
      <c r="H22" s="14" t="n"/>
      <c r="I22" s="14" t="n"/>
      <c r="J22" s="14" t="n"/>
    </row>
    <row r="23">
      <c r="A23" s="20">
        <f>IF(B23&lt;&gt;"","SVC-GAP-" &amp; TEXT(20,"000"),"")</f>
        <v/>
      </c>
      <c r="B23" s="14" t="n"/>
      <c r="C23" s="14" t="n"/>
      <c r="D23" s="14" t="n"/>
      <c r="E23" s="14" t="n"/>
      <c r="F23" s="14" t="n"/>
      <c r="G23" s="14" t="n"/>
      <c r="H23" s="14" t="n"/>
      <c r="I23" s="14" t="n"/>
      <c r="J23" s="14" t="n"/>
    </row>
    <row r="24">
      <c r="A24" s="20">
        <f>IF(B24&lt;&gt;"","SVC-GAP-" &amp; TEXT(21,"000"),"")</f>
        <v/>
      </c>
      <c r="B24" s="14" t="n"/>
      <c r="C24" s="14" t="n"/>
      <c r="D24" s="14" t="n"/>
      <c r="E24" s="14" t="n"/>
      <c r="F24" s="14" t="n"/>
      <c r="G24" s="14" t="n"/>
      <c r="H24" s="14" t="n"/>
      <c r="I24" s="14" t="n"/>
      <c r="J24" s="14" t="n"/>
    </row>
    <row r="25">
      <c r="A25" s="20">
        <f>IF(B25&lt;&gt;"","SVC-GAP-" &amp; TEXT(22,"000"),"")</f>
        <v/>
      </c>
      <c r="B25" s="14" t="n"/>
      <c r="C25" s="14" t="n"/>
      <c r="D25" s="14" t="n"/>
      <c r="E25" s="14" t="n"/>
      <c r="F25" s="14" t="n"/>
      <c r="G25" s="14" t="n"/>
      <c r="H25" s="14" t="n"/>
      <c r="I25" s="14" t="n"/>
      <c r="J25" s="14" t="n"/>
    </row>
    <row r="26">
      <c r="A26" s="20">
        <f>IF(B26&lt;&gt;"","SVC-GAP-" &amp; TEXT(23,"000"),"")</f>
        <v/>
      </c>
      <c r="B26" s="14" t="n"/>
      <c r="C26" s="14" t="n"/>
      <c r="D26" s="14" t="n"/>
      <c r="E26" s="14" t="n"/>
      <c r="F26" s="14" t="n"/>
      <c r="G26" s="14" t="n"/>
      <c r="H26" s="14" t="n"/>
      <c r="I26" s="14" t="n"/>
      <c r="J26" s="14" t="n"/>
    </row>
    <row r="27">
      <c r="A27" s="20">
        <f>IF(B27&lt;&gt;"","SVC-GAP-" &amp; TEXT(24,"000"),"")</f>
        <v/>
      </c>
      <c r="B27" s="14" t="n"/>
      <c r="C27" s="14" t="n"/>
      <c r="D27" s="14" t="n"/>
      <c r="E27" s="14" t="n"/>
      <c r="F27" s="14" t="n"/>
      <c r="G27" s="14" t="n"/>
      <c r="H27" s="14" t="n"/>
      <c r="I27" s="14" t="n"/>
      <c r="J27" s="14" t="n"/>
    </row>
    <row r="28">
      <c r="A28" s="20">
        <f>IF(B28&lt;&gt;"","SVC-GAP-" &amp; TEXT(25,"000"),"")</f>
        <v/>
      </c>
      <c r="B28" s="14" t="n"/>
      <c r="C28" s="14" t="n"/>
      <c r="D28" s="14" t="n"/>
      <c r="E28" s="14" t="n"/>
      <c r="F28" s="14" t="n"/>
      <c r="G28" s="14" t="n"/>
      <c r="H28" s="14" t="n"/>
      <c r="I28" s="14" t="n"/>
      <c r="J28" s="14" t="n"/>
    </row>
    <row r="29">
      <c r="A29" s="20">
        <f>IF(B29&lt;&gt;"","SVC-GAP-" &amp; TEXT(26,"000"),"")</f>
        <v/>
      </c>
      <c r="B29" s="14" t="n"/>
      <c r="C29" s="14" t="n"/>
      <c r="D29" s="14" t="n"/>
      <c r="E29" s="14" t="n"/>
      <c r="F29" s="14" t="n"/>
      <c r="G29" s="14" t="n"/>
      <c r="H29" s="14" t="n"/>
      <c r="I29" s="14" t="n"/>
      <c r="J29" s="14" t="n"/>
    </row>
    <row r="30">
      <c r="A30" s="20">
        <f>IF(B30&lt;&gt;"","SVC-GAP-" &amp; TEXT(27,"000"),"")</f>
        <v/>
      </c>
      <c r="B30" s="14" t="n"/>
      <c r="C30" s="14" t="n"/>
      <c r="D30" s="14" t="n"/>
      <c r="E30" s="14" t="n"/>
      <c r="F30" s="14" t="n"/>
      <c r="G30" s="14" t="n"/>
      <c r="H30" s="14" t="n"/>
      <c r="I30" s="14" t="n"/>
      <c r="J30" s="14" t="n"/>
    </row>
    <row r="31">
      <c r="A31" s="20">
        <f>IF(B31&lt;&gt;"","SVC-GAP-" &amp; TEXT(28,"000"),"")</f>
        <v/>
      </c>
      <c r="B31" s="14" t="n"/>
      <c r="C31" s="14" t="n"/>
      <c r="D31" s="14" t="n"/>
      <c r="E31" s="14" t="n"/>
      <c r="F31" s="14" t="n"/>
      <c r="G31" s="14" t="n"/>
      <c r="H31" s="14" t="n"/>
      <c r="I31" s="14" t="n"/>
      <c r="J31" s="14" t="n"/>
    </row>
    <row r="32">
      <c r="A32" s="20">
        <f>IF(B32&lt;&gt;"","SVC-GAP-" &amp; TEXT(29,"000"),"")</f>
        <v/>
      </c>
      <c r="B32" s="14" t="n"/>
      <c r="C32" s="14" t="n"/>
      <c r="D32" s="14" t="n"/>
      <c r="E32" s="14" t="n"/>
      <c r="F32" s="14" t="n"/>
      <c r="G32" s="14" t="n"/>
      <c r="H32" s="14" t="n"/>
      <c r="I32" s="14" t="n"/>
      <c r="J32" s="14" t="n"/>
    </row>
    <row r="33">
      <c r="A33" s="20">
        <f>IF(B33&lt;&gt;"","SVC-GAP-" &amp; TEXT(30,"000"),"")</f>
        <v/>
      </c>
      <c r="B33" s="14" t="n"/>
      <c r="C33" s="14" t="n"/>
      <c r="D33" s="14" t="n"/>
      <c r="E33" s="14" t="n"/>
      <c r="F33" s="14" t="n"/>
      <c r="G33" s="14" t="n"/>
      <c r="H33" s="14" t="n"/>
      <c r="I33" s="14" t="n"/>
      <c r="J33" s="14" t="n"/>
    </row>
    <row r="34">
      <c r="A34" s="20">
        <f>IF(B34&lt;&gt;"","SVC-GAP-" &amp; TEXT(31,"000"),"")</f>
        <v/>
      </c>
      <c r="B34" s="14" t="n"/>
      <c r="C34" s="14" t="n"/>
      <c r="D34" s="14" t="n"/>
      <c r="E34" s="14" t="n"/>
      <c r="F34" s="14" t="n"/>
      <c r="G34" s="14" t="n"/>
      <c r="H34" s="14" t="n"/>
      <c r="I34" s="14" t="n"/>
      <c r="J34" s="14" t="n"/>
    </row>
    <row r="35">
      <c r="A35" s="20">
        <f>IF(B35&lt;&gt;"","SVC-GAP-" &amp; TEXT(32,"000"),"")</f>
        <v/>
      </c>
      <c r="B35" s="14" t="n"/>
      <c r="C35" s="14" t="n"/>
      <c r="D35" s="14" t="n"/>
      <c r="E35" s="14" t="n"/>
      <c r="F35" s="14" t="n"/>
      <c r="G35" s="14" t="n"/>
      <c r="H35" s="14" t="n"/>
      <c r="I35" s="14" t="n"/>
      <c r="J35" s="14" t="n"/>
    </row>
    <row r="36">
      <c r="A36" s="20">
        <f>IF(B36&lt;&gt;"","SVC-GAP-" &amp; TEXT(33,"000"),"")</f>
        <v/>
      </c>
      <c r="B36" s="14" t="n"/>
      <c r="C36" s="14" t="n"/>
      <c r="D36" s="14" t="n"/>
      <c r="E36" s="14" t="n"/>
      <c r="F36" s="14" t="n"/>
      <c r="G36" s="14" t="n"/>
      <c r="H36" s="14" t="n"/>
      <c r="I36" s="14" t="n"/>
      <c r="J36" s="14" t="n"/>
    </row>
    <row r="37">
      <c r="A37" s="20">
        <f>IF(B37&lt;&gt;"","SVC-GAP-" &amp; TEXT(34,"000"),"")</f>
        <v/>
      </c>
      <c r="B37" s="14" t="n"/>
      <c r="C37" s="14" t="n"/>
      <c r="D37" s="14" t="n"/>
      <c r="E37" s="14" t="n"/>
      <c r="F37" s="14" t="n"/>
      <c r="G37" s="14" t="n"/>
      <c r="H37" s="14" t="n"/>
      <c r="I37" s="14" t="n"/>
      <c r="J37" s="14" t="n"/>
    </row>
    <row r="38">
      <c r="A38" s="20">
        <f>IF(B38&lt;&gt;"","SVC-GAP-" &amp; TEXT(35,"000"),"")</f>
        <v/>
      </c>
      <c r="B38" s="14" t="n"/>
      <c r="C38" s="14" t="n"/>
      <c r="D38" s="14" t="n"/>
      <c r="E38" s="14" t="n"/>
      <c r="F38" s="14" t="n"/>
      <c r="G38" s="14" t="n"/>
      <c r="H38" s="14" t="n"/>
      <c r="I38" s="14" t="n"/>
      <c r="J38" s="14" t="n"/>
    </row>
    <row r="39">
      <c r="A39" s="20">
        <f>IF(B39&lt;&gt;"","SVC-GAP-" &amp; TEXT(36,"000"),"")</f>
        <v/>
      </c>
      <c r="B39" s="14" t="n"/>
      <c r="C39" s="14" t="n"/>
      <c r="D39" s="14" t="n"/>
      <c r="E39" s="14" t="n"/>
      <c r="F39" s="14" t="n"/>
      <c r="G39" s="14" t="n"/>
      <c r="H39" s="14" t="n"/>
      <c r="I39" s="14" t="n"/>
      <c r="J39" s="14" t="n"/>
    </row>
    <row r="40">
      <c r="A40" s="20">
        <f>IF(B40&lt;&gt;"","SVC-GAP-" &amp; TEXT(37,"000"),"")</f>
        <v/>
      </c>
      <c r="B40" s="14" t="n"/>
      <c r="C40" s="14" t="n"/>
      <c r="D40" s="14" t="n"/>
      <c r="E40" s="14" t="n"/>
      <c r="F40" s="14" t="n"/>
      <c r="G40" s="14" t="n"/>
      <c r="H40" s="14" t="n"/>
      <c r="I40" s="14" t="n"/>
      <c r="J40" s="14" t="n"/>
    </row>
    <row r="41">
      <c r="A41" s="20">
        <f>IF(B41&lt;&gt;"","SVC-GAP-" &amp; TEXT(38,"000"),"")</f>
        <v/>
      </c>
      <c r="B41" s="14" t="n"/>
      <c r="C41" s="14" t="n"/>
      <c r="D41" s="14" t="n"/>
      <c r="E41" s="14" t="n"/>
      <c r="F41" s="14" t="n"/>
      <c r="G41" s="14" t="n"/>
      <c r="H41" s="14" t="n"/>
      <c r="I41" s="14" t="n"/>
      <c r="J41" s="14" t="n"/>
    </row>
    <row r="42">
      <c r="A42" s="20">
        <f>IF(B42&lt;&gt;"","SVC-GAP-" &amp; TEXT(39,"000"),"")</f>
        <v/>
      </c>
      <c r="B42" s="14" t="n"/>
      <c r="C42" s="14" t="n"/>
      <c r="D42" s="14" t="n"/>
      <c r="E42" s="14" t="n"/>
      <c r="F42" s="14" t="n"/>
      <c r="G42" s="14" t="n"/>
      <c r="H42" s="14" t="n"/>
      <c r="I42" s="14" t="n"/>
      <c r="J42" s="14" t="n"/>
    </row>
    <row r="43">
      <c r="A43" s="20">
        <f>IF(B43&lt;&gt;"","SVC-GAP-" &amp; TEXT(40,"000"),"")</f>
        <v/>
      </c>
      <c r="B43" s="14" t="n"/>
      <c r="C43" s="14" t="n"/>
      <c r="D43" s="14" t="n"/>
      <c r="E43" s="14" t="n"/>
      <c r="F43" s="14" t="n"/>
      <c r="G43" s="14" t="n"/>
      <c r="H43" s="14" t="n"/>
      <c r="I43" s="14" t="n"/>
      <c r="J43" s="14" t="n"/>
    </row>
    <row r="44">
      <c r="A44" s="20">
        <f>IF(B44&lt;&gt;"","SVC-GAP-" &amp; TEXT(41,"000"),"")</f>
        <v/>
      </c>
      <c r="B44" s="14" t="n"/>
      <c r="C44" s="14" t="n"/>
      <c r="D44" s="14" t="n"/>
      <c r="E44" s="14" t="n"/>
      <c r="F44" s="14" t="n"/>
      <c r="G44" s="14" t="n"/>
      <c r="H44" s="14" t="n"/>
      <c r="I44" s="14" t="n"/>
      <c r="J44" s="14" t="n"/>
    </row>
    <row r="45">
      <c r="A45" s="20">
        <f>IF(B45&lt;&gt;"","SVC-GAP-" &amp; TEXT(42,"000"),"")</f>
        <v/>
      </c>
      <c r="B45" s="14" t="n"/>
      <c r="C45" s="14" t="n"/>
      <c r="D45" s="14" t="n"/>
      <c r="E45" s="14" t="n"/>
      <c r="F45" s="14" t="n"/>
      <c r="G45" s="14" t="n"/>
      <c r="H45" s="14" t="n"/>
      <c r="I45" s="14" t="n"/>
      <c r="J45" s="14" t="n"/>
    </row>
    <row r="46">
      <c r="A46" s="20">
        <f>IF(B46&lt;&gt;"","SVC-GAP-" &amp; TEXT(43,"000"),"")</f>
        <v/>
      </c>
      <c r="B46" s="14" t="n"/>
      <c r="C46" s="14" t="n"/>
      <c r="D46" s="14" t="n"/>
      <c r="E46" s="14" t="n"/>
      <c r="F46" s="14" t="n"/>
      <c r="G46" s="14" t="n"/>
      <c r="H46" s="14" t="n"/>
      <c r="I46" s="14" t="n"/>
      <c r="J46" s="14" t="n"/>
    </row>
    <row r="47">
      <c r="A47" s="20">
        <f>IF(B47&lt;&gt;"","SVC-GAP-" &amp; TEXT(44,"000"),"")</f>
        <v/>
      </c>
      <c r="B47" s="14" t="n"/>
      <c r="C47" s="14" t="n"/>
      <c r="D47" s="14" t="n"/>
      <c r="E47" s="14" t="n"/>
      <c r="F47" s="14" t="n"/>
      <c r="G47" s="14" t="n"/>
      <c r="H47" s="14" t="n"/>
      <c r="I47" s="14" t="n"/>
      <c r="J47" s="14" t="n"/>
    </row>
    <row r="48">
      <c r="A48" s="20">
        <f>IF(B48&lt;&gt;"","SVC-GAP-" &amp; TEXT(45,"000"),"")</f>
        <v/>
      </c>
      <c r="B48" s="14" t="n"/>
      <c r="C48" s="14" t="n"/>
      <c r="D48" s="14" t="n"/>
      <c r="E48" s="14" t="n"/>
      <c r="F48" s="14" t="n"/>
      <c r="G48" s="14" t="n"/>
      <c r="H48" s="14" t="n"/>
      <c r="I48" s="14" t="n"/>
      <c r="J48" s="14" t="n"/>
    </row>
    <row r="49">
      <c r="A49" s="20">
        <f>IF(B49&lt;&gt;"","SVC-GAP-" &amp; TEXT(46,"000"),"")</f>
        <v/>
      </c>
      <c r="B49" s="14" t="n"/>
      <c r="C49" s="14" t="n"/>
      <c r="D49" s="14" t="n"/>
      <c r="E49" s="14" t="n"/>
      <c r="F49" s="14" t="n"/>
      <c r="G49" s="14" t="n"/>
      <c r="H49" s="14" t="n"/>
      <c r="I49" s="14" t="n"/>
      <c r="J49" s="14" t="n"/>
    </row>
    <row r="50">
      <c r="A50" s="20">
        <f>IF(B50&lt;&gt;"","SVC-GAP-" &amp; TEXT(47,"000"),"")</f>
        <v/>
      </c>
      <c r="B50" s="14" t="n"/>
      <c r="C50" s="14" t="n"/>
      <c r="D50" s="14" t="n"/>
      <c r="E50" s="14" t="n"/>
      <c r="F50" s="14" t="n"/>
      <c r="G50" s="14" t="n"/>
      <c r="H50" s="14" t="n"/>
      <c r="I50" s="14" t="n"/>
      <c r="J50" s="14" t="n"/>
    </row>
    <row r="51">
      <c r="A51" s="20">
        <f>IF(B51&lt;&gt;"","SVC-GAP-" &amp; TEXT(48,"000"),"")</f>
        <v/>
      </c>
      <c r="B51" s="14" t="n"/>
      <c r="C51" s="14" t="n"/>
      <c r="D51" s="14" t="n"/>
      <c r="E51" s="14" t="n"/>
      <c r="F51" s="14" t="n"/>
      <c r="G51" s="14" t="n"/>
      <c r="H51" s="14" t="n"/>
      <c r="I51" s="14" t="n"/>
      <c r="J51" s="14" t="n"/>
    </row>
    <row r="52">
      <c r="A52" s="20">
        <f>IF(B52&lt;&gt;"","SVC-GAP-" &amp; TEXT(49,"000"),"")</f>
        <v/>
      </c>
      <c r="B52" s="14" t="n"/>
      <c r="C52" s="14" t="n"/>
      <c r="D52" s="14" t="n"/>
      <c r="E52" s="14" t="n"/>
      <c r="F52" s="14" t="n"/>
      <c r="G52" s="14" t="n"/>
      <c r="H52" s="14" t="n"/>
      <c r="I52" s="14" t="n"/>
      <c r="J52" s="14" t="n"/>
    </row>
    <row r="53">
      <c r="A53" s="20">
        <f>IF(B53&lt;&gt;"","SVC-GAP-" &amp; TEXT(50,"000"),"")</f>
        <v/>
      </c>
      <c r="B53" s="14" t="n"/>
      <c r="C53" s="14" t="n"/>
      <c r="D53" s="14" t="n"/>
      <c r="E53" s="14" t="n"/>
      <c r="F53" s="14" t="n"/>
      <c r="G53" s="14" t="n"/>
      <c r="H53" s="14" t="n"/>
      <c r="I53" s="14" t="n"/>
      <c r="J53" s="14" t="n"/>
    </row>
  </sheetData>
  <mergeCells count="2">
    <mergeCell ref="A1:J1"/>
    <mergeCell ref="A2:J2"/>
  </mergeCells>
  <conditionalFormatting sqref="F4:F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F5:F53" showDropDown="0" showInputMessage="0" showErrorMessage="0" allowBlank="0" type="list">
      <formula1>"Critical,High,Medium,Low"</formula1>
    </dataValidation>
    <dataValidation sqref="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 width="35" customWidth="1" min="5" max="5"/>
    <col width="40" customWidth="1" min="6" max="6"/>
  </cols>
  <sheetData>
    <row r="1" ht="35" customHeight="1">
      <c r="A1" s="11" t="inlineStr">
        <is>
          <t>SERVICE DEPENDENCIES MAPPING</t>
        </is>
      </c>
    </row>
    <row r="2">
      <c r="A2" s="12" t="inlineStr">
        <is>
          <t>Map service dependencies to understand impact of service failures.</t>
        </is>
      </c>
    </row>
    <row r="3">
      <c r="A3" s="13" t="inlineStr">
        <is>
          <t>Service ID</t>
        </is>
      </c>
      <c r="B3" s="13" t="inlineStr">
        <is>
          <t>Service Name</t>
        </is>
      </c>
      <c r="C3" s="13" t="inlineStr">
        <is>
          <t>Depends On</t>
        </is>
      </c>
      <c r="D3" s="13" t="inlineStr">
        <is>
          <t>Required By</t>
        </is>
      </c>
      <c r="E3" s="13" t="inlineStr">
        <is>
          <t>Impact of Failure</t>
        </is>
      </c>
      <c r="F3" s="13" t="inlineStr">
        <is>
          <t>Notes</t>
        </is>
      </c>
    </row>
    <row r="4">
      <c r="A4" s="18" t="inlineStr">
        <is>
          <t>SVC-DEP-001</t>
        </is>
      </c>
      <c r="B4" s="18" t="inlineStr">
        <is>
          <t>DNS (Primary)</t>
        </is>
      </c>
      <c r="C4" s="18" t="inlineStr">
        <is>
          <t>NTP-001</t>
        </is>
      </c>
      <c r="D4" s="18" t="inlineStr">
        <is>
          <t>Active Directory, Email, Web Apps</t>
        </is>
      </c>
      <c r="E4" s="18" t="inlineStr">
        <is>
          <t>High availability — all name resolution fails if DNS fails</t>
        </is>
      </c>
      <c r="F4" s="18" t="inlineStr"/>
    </row>
    <row r="5">
      <c r="A5" s="14" t="n"/>
      <c r="B5" s="14" t="n"/>
      <c r="C5" s="14" t="n"/>
      <c r="D5" s="14" t="n"/>
      <c r="E5" s="14" t="n"/>
      <c r="F5" s="14" t="n"/>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6">
      <c r="A56" s="17" t="inlineStr">
        <is>
          <t>Common Service Dependencies - Examples</t>
        </is>
      </c>
      <c r="B56" s="6" t="n"/>
      <c r="C56" s="6" t="n"/>
      <c r="D56" s="6" t="n"/>
      <c r="E56" s="6" t="n"/>
      <c r="F56" s="6" t="n"/>
    </row>
    <row r="57">
      <c r="A57" s="13" t="inlineStr">
        <is>
          <t>Service</t>
        </is>
      </c>
      <c r="B57" s="13" t="inlineStr">
        <is>
          <t>Typical Dependencies</t>
        </is>
      </c>
    </row>
    <row r="58">
      <c r="A58" s="13" t="inlineStr">
        <is>
          <t>Active Directory</t>
        </is>
      </c>
      <c r="B58" s="12" t="inlineStr">
        <is>
          <t>Depends On: DNS, NTP, DHCP (optional)</t>
        </is>
      </c>
    </row>
    <row r="59">
      <c r="A59" s="13" t="inlineStr">
        <is>
          <t>Email (Exchange/O365)</t>
        </is>
      </c>
      <c r="B59" s="12" t="inlineStr">
        <is>
          <t>Depends On: DNS, Active Directory, Network Connectivity</t>
        </is>
      </c>
    </row>
    <row r="60">
      <c r="A60" s="13" t="inlineStr">
        <is>
          <t>Web Applications</t>
        </is>
      </c>
      <c r="B60" s="12" t="inlineStr">
        <is>
          <t>Depends On: DNS, Load Balancer, Database, Authentication (LDAP/AD)</t>
        </is>
      </c>
    </row>
    <row r="61">
      <c r="A61" s="13" t="inlineStr">
        <is>
          <t>VPN Access</t>
        </is>
      </c>
      <c r="B61" s="12" t="inlineStr">
        <is>
          <t>Depends On: RADIUS/TACACS+, Active Directory, DNS</t>
        </is>
      </c>
    </row>
    <row r="62">
      <c r="A62" s="13" t="inlineStr">
        <is>
          <t>DHCP</t>
        </is>
      </c>
      <c r="B62" s="12" t="inlineStr">
        <is>
          <t>Depends On: Network connectivity (usually no dependencies)</t>
        </is>
      </c>
    </row>
    <row r="63">
      <c r="A63" s="13" t="inlineStr">
        <is>
          <t>DNS</t>
        </is>
      </c>
      <c r="B63" s="12" t="inlineStr">
        <is>
          <t>Depends On: Network connectivity, NTP (for DNSSEC)</t>
        </is>
      </c>
    </row>
  </sheetData>
  <mergeCells count="9">
    <mergeCell ref="A2:F2"/>
    <mergeCell ref="B62:F62"/>
    <mergeCell ref="A1:F1"/>
    <mergeCell ref="B59:F59"/>
    <mergeCell ref="B60:F60"/>
    <mergeCell ref="B63:F63"/>
    <mergeCell ref="B61:F61"/>
    <mergeCell ref="A56:F56"/>
    <mergeCell ref="B58:F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row>
    <row r="2">
      <c r="A2" s="22" t="inlineStr">
        <is>
          <t>List all evidence files/documents referenced in this assessment (audit traceability).</t>
        </is>
      </c>
    </row>
    <row r="4">
      <c r="A4" s="23" t="inlineStr">
        <is>
          <t>Evidence ID</t>
        </is>
      </c>
      <c r="B4" s="23" t="inlineStr">
        <is>
          <t>Assessment Area</t>
        </is>
      </c>
      <c r="C4" s="23" t="inlineStr">
        <is>
          <t>Evidence Type</t>
        </is>
      </c>
      <c r="D4" s="23" t="inlineStr">
        <is>
          <t>Description</t>
        </is>
      </c>
      <c r="E4" s="23" t="inlineStr">
        <is>
          <t>Location/Path</t>
        </is>
      </c>
      <c r="F4" s="23" t="inlineStr">
        <is>
          <t>Date Collected</t>
        </is>
      </c>
      <c r="G4" s="23" t="inlineStr">
        <is>
          <t>Collected By</t>
        </is>
      </c>
      <c r="H4" s="23" t="inlineStr">
        <is>
          <t>Verification Status</t>
        </is>
      </c>
    </row>
    <row r="5">
      <c r="A5" s="24" t="inlineStr">
        <is>
          <t>EV-001</t>
        </is>
      </c>
      <c r="B5" s="25" t="inlineStr">
        <is>
          <t>Network Services Assessment</t>
        </is>
      </c>
      <c r="C5" s="25" t="inlineStr">
        <is>
          <t>Configuration file</t>
        </is>
      </c>
      <c r="D5" s="25" t="inlineStr">
        <is>
          <t>DNS/DHCP/NTP service configuration exports and security assessment records</t>
        </is>
      </c>
      <c r="E5" s="25" t="inlineStr">
        <is>
          <t>/evidence/A.8.20-22/</t>
        </is>
      </c>
      <c r="F5" s="25" t="inlineStr">
        <is>
          <t>15.01.2026</t>
        </is>
      </c>
      <c r="G5" s="25" t="inlineStr">
        <is>
          <t>Assessor Name</t>
        </is>
      </c>
      <c r="H5" s="25" t="inlineStr">
        <is>
          <t>✅ Verified</t>
        </is>
      </c>
    </row>
    <row r="6">
      <c r="A6" s="26" t="n"/>
      <c r="B6" s="27" t="n"/>
      <c r="C6" s="27" t="n"/>
      <c r="D6" s="27" t="n"/>
      <c r="E6" s="27" t="n"/>
      <c r="F6" s="27" t="n"/>
      <c r="G6" s="27" t="n"/>
      <c r="H6" s="27" t="n"/>
    </row>
    <row r="7">
      <c r="A7" s="26" t="n"/>
      <c r="B7" s="27" t="n"/>
      <c r="C7" s="27" t="n"/>
      <c r="D7" s="27" t="n"/>
      <c r="E7" s="27" t="n"/>
      <c r="F7" s="27" t="n"/>
      <c r="G7" s="27" t="n"/>
      <c r="H7" s="27" t="n"/>
    </row>
    <row r="8">
      <c r="A8" s="26" t="n"/>
      <c r="B8" s="27" t="n"/>
      <c r="C8" s="27" t="n"/>
      <c r="D8" s="27" t="n"/>
      <c r="E8" s="27" t="n"/>
      <c r="F8" s="27" t="n"/>
      <c r="G8" s="27" t="n"/>
      <c r="H8" s="27" t="n"/>
    </row>
    <row r="9">
      <c r="A9" s="26" t="n"/>
      <c r="B9" s="27" t="n"/>
      <c r="C9" s="27" t="n"/>
      <c r="D9" s="27" t="n"/>
      <c r="E9" s="27" t="n"/>
      <c r="F9" s="27" t="n"/>
      <c r="G9" s="27" t="n"/>
      <c r="H9" s="27" t="n"/>
    </row>
    <row r="10">
      <c r="A10" s="26" t="n"/>
      <c r="B10" s="27" t="n"/>
      <c r="C10" s="27" t="n"/>
      <c r="D10" s="27" t="n"/>
      <c r="E10" s="27" t="n"/>
      <c r="F10" s="27" t="n"/>
      <c r="G10" s="27" t="n"/>
      <c r="H10" s="27" t="n"/>
    </row>
    <row r="11">
      <c r="A11" s="26" t="n"/>
      <c r="B11" s="27" t="n"/>
      <c r="C11" s="27" t="n"/>
      <c r="D11" s="27" t="n"/>
      <c r="E11" s="27" t="n"/>
      <c r="F11" s="27" t="n"/>
      <c r="G11" s="27" t="n"/>
      <c r="H11" s="27" t="n"/>
    </row>
    <row r="12">
      <c r="A12" s="26" t="n"/>
      <c r="B12" s="27" t="n"/>
      <c r="C12" s="27" t="n"/>
      <c r="D12" s="27" t="n"/>
      <c r="E12" s="27" t="n"/>
      <c r="F12" s="27" t="n"/>
      <c r="G12" s="27" t="n"/>
      <c r="H12" s="27" t="n"/>
    </row>
    <row r="13">
      <c r="A13" s="26" t="n"/>
      <c r="B13" s="27" t="n"/>
      <c r="C13" s="27" t="n"/>
      <c r="D13" s="27" t="n"/>
      <c r="E13" s="27" t="n"/>
      <c r="F13" s="27" t="n"/>
      <c r="G13" s="27" t="n"/>
      <c r="H13" s="27" t="n"/>
    </row>
    <row r="14">
      <c r="A14" s="26" t="n"/>
      <c r="B14" s="27" t="n"/>
      <c r="C14" s="27" t="n"/>
      <c r="D14" s="27" t="n"/>
      <c r="E14" s="27" t="n"/>
      <c r="F14" s="27" t="n"/>
      <c r="G14" s="27" t="n"/>
      <c r="H14" s="27" t="n"/>
    </row>
    <row r="15">
      <c r="A15" s="26" t="n"/>
      <c r="B15" s="27" t="n"/>
      <c r="C15" s="27" t="n"/>
      <c r="D15" s="27" t="n"/>
      <c r="E15" s="27" t="n"/>
      <c r="F15" s="27" t="n"/>
      <c r="G15" s="27" t="n"/>
      <c r="H15" s="27" t="n"/>
    </row>
    <row r="16">
      <c r="A16" s="26" t="n"/>
      <c r="B16" s="27" t="n"/>
      <c r="C16" s="27" t="n"/>
      <c r="D16" s="27" t="n"/>
      <c r="E16" s="27" t="n"/>
      <c r="F16" s="27" t="n"/>
      <c r="G16" s="27" t="n"/>
      <c r="H16" s="27" t="n"/>
    </row>
    <row r="17">
      <c r="A17" s="26" t="n"/>
      <c r="B17" s="27" t="n"/>
      <c r="C17" s="27" t="n"/>
      <c r="D17" s="27" t="n"/>
      <c r="E17" s="27" t="n"/>
      <c r="F17" s="27" t="n"/>
      <c r="G17" s="27" t="n"/>
      <c r="H17" s="27" t="n"/>
    </row>
    <row r="18">
      <c r="A18" s="26" t="n"/>
      <c r="B18" s="27" t="n"/>
      <c r="C18" s="27" t="n"/>
      <c r="D18" s="27" t="n"/>
      <c r="E18" s="27" t="n"/>
      <c r="F18" s="27" t="n"/>
      <c r="G18" s="27" t="n"/>
      <c r="H18" s="27" t="n"/>
    </row>
    <row r="19">
      <c r="A19" s="26" t="n"/>
      <c r="B19" s="27" t="n"/>
      <c r="C19" s="27" t="n"/>
      <c r="D19" s="27" t="n"/>
      <c r="E19" s="27" t="n"/>
      <c r="F19" s="27" t="n"/>
      <c r="G19" s="27" t="n"/>
      <c r="H19" s="27" t="n"/>
    </row>
    <row r="20">
      <c r="A20" s="26" t="n"/>
      <c r="B20" s="27" t="n"/>
      <c r="C20" s="27" t="n"/>
      <c r="D20" s="27" t="n"/>
      <c r="E20" s="27" t="n"/>
      <c r="F20" s="27" t="n"/>
      <c r="G20" s="27" t="n"/>
      <c r="H20" s="27" t="n"/>
    </row>
    <row r="21">
      <c r="A21" s="26" t="n"/>
      <c r="B21" s="27" t="n"/>
      <c r="C21" s="27" t="n"/>
      <c r="D21" s="27" t="n"/>
      <c r="E21" s="27" t="n"/>
      <c r="F21" s="27" t="n"/>
      <c r="G21" s="27" t="n"/>
      <c r="H21" s="27" t="n"/>
    </row>
    <row r="22">
      <c r="A22" s="26" t="n"/>
      <c r="B22" s="27" t="n"/>
      <c r="C22" s="27" t="n"/>
      <c r="D22" s="27" t="n"/>
      <c r="E22" s="27" t="n"/>
      <c r="F22" s="27" t="n"/>
      <c r="G22" s="27" t="n"/>
      <c r="H22" s="27" t="n"/>
    </row>
    <row r="23">
      <c r="A23" s="26" t="n"/>
      <c r="B23" s="27" t="n"/>
      <c r="C23" s="27" t="n"/>
      <c r="D23" s="27" t="n"/>
      <c r="E23" s="27" t="n"/>
      <c r="F23" s="27" t="n"/>
      <c r="G23" s="27" t="n"/>
      <c r="H23" s="27" t="n"/>
    </row>
    <row r="24">
      <c r="A24" s="26" t="n"/>
      <c r="B24" s="27" t="n"/>
      <c r="C24" s="27" t="n"/>
      <c r="D24" s="27" t="n"/>
      <c r="E24" s="27" t="n"/>
      <c r="F24" s="27" t="n"/>
      <c r="G24" s="27" t="n"/>
      <c r="H24" s="27" t="n"/>
    </row>
    <row r="25">
      <c r="A25" s="26" t="n"/>
      <c r="B25" s="27" t="n"/>
      <c r="C25" s="27" t="n"/>
      <c r="D25" s="27" t="n"/>
      <c r="E25" s="27" t="n"/>
      <c r="F25" s="27" t="n"/>
      <c r="G25" s="27" t="n"/>
      <c r="H25" s="27" t="n"/>
    </row>
    <row r="26">
      <c r="A26" s="26" t="n"/>
      <c r="B26" s="27" t="n"/>
      <c r="C26" s="27" t="n"/>
      <c r="D26" s="27" t="n"/>
      <c r="E26" s="27" t="n"/>
      <c r="F26" s="27" t="n"/>
      <c r="G26" s="27" t="n"/>
      <c r="H26" s="27" t="n"/>
    </row>
    <row r="27">
      <c r="A27" s="26" t="n"/>
      <c r="B27" s="27" t="n"/>
      <c r="C27" s="27" t="n"/>
      <c r="D27" s="27" t="n"/>
      <c r="E27" s="27" t="n"/>
      <c r="F27" s="27" t="n"/>
      <c r="G27" s="27" t="n"/>
      <c r="H27" s="27" t="n"/>
    </row>
    <row r="28">
      <c r="A28" s="26" t="n"/>
      <c r="B28" s="27" t="n"/>
      <c r="C28" s="27" t="n"/>
      <c r="D28" s="27" t="n"/>
      <c r="E28" s="27" t="n"/>
      <c r="F28" s="27" t="n"/>
      <c r="G28" s="27" t="n"/>
      <c r="H28" s="27" t="n"/>
    </row>
    <row r="29">
      <c r="A29" s="26" t="n"/>
      <c r="B29" s="27" t="n"/>
      <c r="C29" s="27" t="n"/>
      <c r="D29" s="27" t="n"/>
      <c r="E29" s="27" t="n"/>
      <c r="F29" s="27" t="n"/>
      <c r="G29" s="27" t="n"/>
      <c r="H29" s="27" t="n"/>
    </row>
    <row r="30">
      <c r="A30" s="26" t="n"/>
      <c r="B30" s="27" t="n"/>
      <c r="C30" s="27" t="n"/>
      <c r="D30" s="27" t="n"/>
      <c r="E30" s="27" t="n"/>
      <c r="F30" s="27" t="n"/>
      <c r="G30" s="27" t="n"/>
      <c r="H30" s="27" t="n"/>
    </row>
    <row r="31">
      <c r="A31" s="26" t="n"/>
      <c r="B31" s="27" t="n"/>
      <c r="C31" s="27" t="n"/>
      <c r="D31" s="27" t="n"/>
      <c r="E31" s="27" t="n"/>
      <c r="F31" s="27" t="n"/>
      <c r="G31" s="27" t="n"/>
      <c r="H31" s="27" t="n"/>
    </row>
    <row r="32">
      <c r="A32" s="26" t="n"/>
      <c r="B32" s="27" t="n"/>
      <c r="C32" s="27" t="n"/>
      <c r="D32" s="27" t="n"/>
      <c r="E32" s="27" t="n"/>
      <c r="F32" s="27" t="n"/>
      <c r="G32" s="27" t="n"/>
      <c r="H32" s="27" t="n"/>
    </row>
    <row r="33">
      <c r="A33" s="26" t="n"/>
      <c r="B33" s="27" t="n"/>
      <c r="C33" s="27" t="n"/>
      <c r="D33" s="27" t="n"/>
      <c r="E33" s="27" t="n"/>
      <c r="F33" s="27" t="n"/>
      <c r="G33" s="27" t="n"/>
      <c r="H33" s="27" t="n"/>
    </row>
    <row r="34">
      <c r="A34" s="26" t="n"/>
      <c r="B34" s="27" t="n"/>
      <c r="C34" s="27" t="n"/>
      <c r="D34" s="27" t="n"/>
      <c r="E34" s="27" t="n"/>
      <c r="F34" s="27" t="n"/>
      <c r="G34" s="27" t="n"/>
      <c r="H34" s="27" t="n"/>
    </row>
    <row r="35">
      <c r="A35" s="26" t="n"/>
      <c r="B35" s="27" t="n"/>
      <c r="C35" s="27" t="n"/>
      <c r="D35" s="27" t="n"/>
      <c r="E35" s="27" t="n"/>
      <c r="F35" s="27" t="n"/>
      <c r="G35" s="27" t="n"/>
      <c r="H35" s="27" t="n"/>
    </row>
    <row r="36">
      <c r="A36" s="26" t="n"/>
      <c r="B36" s="27" t="n"/>
      <c r="C36" s="27" t="n"/>
      <c r="D36" s="27" t="n"/>
      <c r="E36" s="27" t="n"/>
      <c r="F36" s="27" t="n"/>
      <c r="G36" s="27" t="n"/>
      <c r="H36" s="27" t="n"/>
    </row>
    <row r="37">
      <c r="A37" s="26" t="n"/>
      <c r="B37" s="27" t="n"/>
      <c r="C37" s="27" t="n"/>
      <c r="D37" s="27" t="n"/>
      <c r="E37" s="27" t="n"/>
      <c r="F37" s="27" t="n"/>
      <c r="G37" s="27" t="n"/>
      <c r="H37" s="27" t="n"/>
    </row>
    <row r="38">
      <c r="A38" s="26" t="n"/>
      <c r="B38" s="27" t="n"/>
      <c r="C38" s="27" t="n"/>
      <c r="D38" s="27" t="n"/>
      <c r="E38" s="27" t="n"/>
      <c r="F38" s="27" t="n"/>
      <c r="G38" s="27" t="n"/>
      <c r="H38" s="27" t="n"/>
    </row>
    <row r="39">
      <c r="A39" s="26" t="n"/>
      <c r="B39" s="27" t="n"/>
      <c r="C39" s="27" t="n"/>
      <c r="D39" s="27" t="n"/>
      <c r="E39" s="27" t="n"/>
      <c r="F39" s="27" t="n"/>
      <c r="G39" s="27" t="n"/>
      <c r="H39" s="27" t="n"/>
    </row>
    <row r="40">
      <c r="A40" s="26" t="n"/>
      <c r="B40" s="27" t="n"/>
      <c r="C40" s="27" t="n"/>
      <c r="D40" s="27" t="n"/>
      <c r="E40" s="27" t="n"/>
      <c r="F40" s="27" t="n"/>
      <c r="G40" s="27" t="n"/>
      <c r="H40" s="27" t="n"/>
    </row>
    <row r="41">
      <c r="A41" s="26" t="n"/>
      <c r="B41" s="27" t="n"/>
      <c r="C41" s="27" t="n"/>
      <c r="D41" s="27" t="n"/>
      <c r="E41" s="27" t="n"/>
      <c r="F41" s="27" t="n"/>
      <c r="G41" s="27" t="n"/>
      <c r="H41" s="27" t="n"/>
    </row>
    <row r="42">
      <c r="A42" s="26" t="n"/>
      <c r="B42" s="27" t="n"/>
      <c r="C42" s="27" t="n"/>
      <c r="D42" s="27" t="n"/>
      <c r="E42" s="27" t="n"/>
      <c r="F42" s="27" t="n"/>
      <c r="G42" s="27" t="n"/>
      <c r="H42" s="27" t="n"/>
    </row>
    <row r="43">
      <c r="A43" s="26" t="n"/>
      <c r="B43" s="27" t="n"/>
      <c r="C43" s="27" t="n"/>
      <c r="D43" s="27" t="n"/>
      <c r="E43" s="27" t="n"/>
      <c r="F43" s="27" t="n"/>
      <c r="G43" s="27" t="n"/>
      <c r="H43" s="27" t="n"/>
    </row>
    <row r="44">
      <c r="A44" s="26" t="n"/>
      <c r="B44" s="27" t="n"/>
      <c r="C44" s="27" t="n"/>
      <c r="D44" s="27" t="n"/>
      <c r="E44" s="27" t="n"/>
      <c r="F44" s="27" t="n"/>
      <c r="G44" s="27" t="n"/>
      <c r="H44" s="27" t="n"/>
    </row>
    <row r="45">
      <c r="A45" s="26" t="n"/>
      <c r="B45" s="27" t="n"/>
      <c r="C45" s="27" t="n"/>
      <c r="D45" s="27" t="n"/>
      <c r="E45" s="27" t="n"/>
      <c r="F45" s="27" t="n"/>
      <c r="G45" s="27" t="n"/>
      <c r="H45" s="27" t="n"/>
    </row>
    <row r="46">
      <c r="A46" s="26" t="n"/>
      <c r="B46" s="27" t="n"/>
      <c r="C46" s="27" t="n"/>
      <c r="D46" s="27" t="n"/>
      <c r="E46" s="27" t="n"/>
      <c r="F46" s="27" t="n"/>
      <c r="G46" s="27" t="n"/>
      <c r="H46" s="27" t="n"/>
    </row>
    <row r="47">
      <c r="A47" s="26" t="n"/>
      <c r="B47" s="27" t="n"/>
      <c r="C47" s="27" t="n"/>
      <c r="D47" s="27" t="n"/>
      <c r="E47" s="27" t="n"/>
      <c r="F47" s="27" t="n"/>
      <c r="G47" s="27" t="n"/>
      <c r="H47" s="27" t="n"/>
    </row>
    <row r="48">
      <c r="A48" s="26" t="n"/>
      <c r="B48" s="27" t="n"/>
      <c r="C48" s="27" t="n"/>
      <c r="D48" s="27" t="n"/>
      <c r="E48" s="27" t="n"/>
      <c r="F48" s="27" t="n"/>
      <c r="G48" s="27" t="n"/>
      <c r="H48" s="27" t="n"/>
    </row>
    <row r="49">
      <c r="A49" s="26" t="n"/>
      <c r="B49" s="27" t="n"/>
      <c r="C49" s="27" t="n"/>
      <c r="D49" s="27" t="n"/>
      <c r="E49" s="27" t="n"/>
      <c r="F49" s="27" t="n"/>
      <c r="G49" s="27" t="n"/>
      <c r="H49" s="27" t="n"/>
    </row>
    <row r="50">
      <c r="A50" s="26" t="n"/>
      <c r="B50" s="27" t="n"/>
      <c r="C50" s="27" t="n"/>
      <c r="D50" s="27" t="n"/>
      <c r="E50" s="27" t="n"/>
      <c r="F50" s="27" t="n"/>
      <c r="G50" s="27" t="n"/>
      <c r="H50" s="27" t="n"/>
    </row>
    <row r="51">
      <c r="A51" s="26" t="n"/>
      <c r="B51" s="27" t="n"/>
      <c r="C51" s="27" t="n"/>
      <c r="D51" s="27" t="n"/>
      <c r="E51" s="27" t="n"/>
      <c r="F51" s="27" t="n"/>
      <c r="G51" s="27" t="n"/>
      <c r="H51" s="27" t="n"/>
    </row>
    <row r="52">
      <c r="A52" s="26" t="n"/>
      <c r="B52" s="27" t="n"/>
      <c r="C52" s="27" t="n"/>
      <c r="D52" s="27" t="n"/>
      <c r="E52" s="27" t="n"/>
      <c r="F52" s="27" t="n"/>
      <c r="G52" s="27" t="n"/>
      <c r="H52" s="27" t="n"/>
    </row>
    <row r="53">
      <c r="A53" s="26" t="n"/>
      <c r="B53" s="27" t="n"/>
      <c r="C53" s="27" t="n"/>
      <c r="D53" s="27" t="n"/>
      <c r="E53" s="27" t="n"/>
      <c r="F53" s="27" t="n"/>
      <c r="G53" s="27" t="n"/>
      <c r="H53" s="27" t="n"/>
    </row>
    <row r="54">
      <c r="A54" s="26" t="n"/>
      <c r="B54" s="27" t="n"/>
      <c r="C54" s="27" t="n"/>
      <c r="D54" s="27" t="n"/>
      <c r="E54" s="27" t="n"/>
      <c r="F54" s="27" t="n"/>
      <c r="G54" s="27" t="n"/>
      <c r="H54" s="27" t="n"/>
    </row>
    <row r="55">
      <c r="A55" s="26" t="n"/>
      <c r="B55" s="27" t="n"/>
      <c r="C55" s="27" t="n"/>
      <c r="D55" s="27" t="n"/>
      <c r="E55" s="27" t="n"/>
      <c r="F55" s="27" t="n"/>
      <c r="G55" s="27" t="n"/>
      <c r="H55" s="27" t="n"/>
    </row>
    <row r="56">
      <c r="A56" s="26" t="n"/>
      <c r="B56" s="27" t="n"/>
      <c r="C56" s="27" t="n"/>
      <c r="D56" s="27" t="n"/>
      <c r="E56" s="27" t="n"/>
      <c r="F56" s="27" t="n"/>
      <c r="G56" s="27" t="n"/>
      <c r="H56" s="27" t="n"/>
    </row>
    <row r="57">
      <c r="A57" s="26" t="n"/>
      <c r="B57" s="27" t="n"/>
      <c r="C57" s="27" t="n"/>
      <c r="D57" s="27" t="n"/>
      <c r="E57" s="27" t="n"/>
      <c r="F57" s="27" t="n"/>
      <c r="G57" s="27" t="n"/>
      <c r="H57" s="27" t="n"/>
    </row>
    <row r="58">
      <c r="A58" s="26" t="n"/>
      <c r="B58" s="27" t="n"/>
      <c r="C58" s="27" t="n"/>
      <c r="D58" s="27" t="n"/>
      <c r="E58" s="27" t="n"/>
      <c r="F58" s="27" t="n"/>
      <c r="G58" s="27" t="n"/>
      <c r="H58" s="27" t="n"/>
    </row>
    <row r="59">
      <c r="A59" s="26" t="n"/>
      <c r="B59" s="27" t="n"/>
      <c r="C59" s="27" t="n"/>
      <c r="D59" s="27" t="n"/>
      <c r="E59" s="27" t="n"/>
      <c r="F59" s="27" t="n"/>
      <c r="G59" s="27" t="n"/>
      <c r="H59" s="27" t="n"/>
    </row>
    <row r="60">
      <c r="A60" s="26" t="n"/>
      <c r="B60" s="27" t="n"/>
      <c r="C60" s="27" t="n"/>
      <c r="D60" s="27" t="n"/>
      <c r="E60" s="27" t="n"/>
      <c r="F60" s="27" t="n"/>
      <c r="G60" s="27" t="n"/>
      <c r="H60" s="27" t="n"/>
    </row>
    <row r="61">
      <c r="A61" s="26" t="n"/>
      <c r="B61" s="27" t="n"/>
      <c r="C61" s="27" t="n"/>
      <c r="D61" s="27" t="n"/>
      <c r="E61" s="27" t="n"/>
      <c r="F61" s="27" t="n"/>
      <c r="G61" s="27" t="n"/>
      <c r="H61" s="27" t="n"/>
    </row>
    <row r="62">
      <c r="A62" s="26" t="n"/>
      <c r="B62" s="27" t="n"/>
      <c r="C62" s="27" t="n"/>
      <c r="D62" s="27" t="n"/>
      <c r="E62" s="27" t="n"/>
      <c r="F62" s="27" t="n"/>
      <c r="G62" s="27" t="n"/>
      <c r="H62" s="27" t="n"/>
    </row>
    <row r="63">
      <c r="A63" s="26" t="n"/>
      <c r="B63" s="27" t="n"/>
      <c r="C63" s="27" t="n"/>
      <c r="D63" s="27" t="n"/>
      <c r="E63" s="27" t="n"/>
      <c r="F63" s="27" t="n"/>
      <c r="G63" s="27" t="n"/>
      <c r="H63" s="27" t="n"/>
    </row>
    <row r="64">
      <c r="A64" s="26" t="n"/>
      <c r="B64" s="27" t="n"/>
      <c r="C64" s="27" t="n"/>
      <c r="D64" s="27" t="n"/>
      <c r="E64" s="27" t="n"/>
      <c r="F64" s="27" t="n"/>
      <c r="G64" s="27" t="n"/>
      <c r="H64" s="27" t="n"/>
    </row>
    <row r="65">
      <c r="A65" s="26" t="n"/>
      <c r="B65" s="27" t="n"/>
      <c r="C65" s="27" t="n"/>
      <c r="D65" s="27" t="n"/>
      <c r="E65" s="27" t="n"/>
      <c r="F65" s="27" t="n"/>
      <c r="G65" s="27" t="n"/>
      <c r="H65" s="27" t="n"/>
    </row>
    <row r="66">
      <c r="A66" s="26" t="n"/>
      <c r="B66" s="27" t="n"/>
      <c r="C66" s="27" t="n"/>
      <c r="D66" s="27" t="n"/>
      <c r="E66" s="27" t="n"/>
      <c r="F66" s="27" t="n"/>
      <c r="G66" s="27" t="n"/>
      <c r="H66" s="27" t="n"/>
    </row>
    <row r="67">
      <c r="A67" s="26" t="n"/>
      <c r="B67" s="27" t="n"/>
      <c r="C67" s="27" t="n"/>
      <c r="D67" s="27" t="n"/>
      <c r="E67" s="27" t="n"/>
      <c r="F67" s="27" t="n"/>
      <c r="G67" s="27" t="n"/>
      <c r="H67" s="27" t="n"/>
    </row>
    <row r="68">
      <c r="A68" s="26" t="n"/>
      <c r="B68" s="27" t="n"/>
      <c r="C68" s="27" t="n"/>
      <c r="D68" s="27" t="n"/>
      <c r="E68" s="27" t="n"/>
      <c r="F68" s="27" t="n"/>
      <c r="G68" s="27" t="n"/>
      <c r="H68" s="27" t="n"/>
    </row>
    <row r="69">
      <c r="A69" s="26" t="n"/>
      <c r="B69" s="27" t="n"/>
      <c r="C69" s="27" t="n"/>
      <c r="D69" s="27" t="n"/>
      <c r="E69" s="27" t="n"/>
      <c r="F69" s="27" t="n"/>
      <c r="G69" s="27" t="n"/>
      <c r="H69" s="27" t="n"/>
    </row>
    <row r="70">
      <c r="A70" s="26" t="n"/>
      <c r="B70" s="27" t="n"/>
      <c r="C70" s="27" t="n"/>
      <c r="D70" s="27" t="n"/>
      <c r="E70" s="27" t="n"/>
      <c r="F70" s="27" t="n"/>
      <c r="G70" s="27" t="n"/>
      <c r="H70" s="27" t="n"/>
    </row>
    <row r="71">
      <c r="A71" s="26" t="n"/>
      <c r="B71" s="27" t="n"/>
      <c r="C71" s="27" t="n"/>
      <c r="D71" s="27" t="n"/>
      <c r="E71" s="27" t="n"/>
      <c r="F71" s="27" t="n"/>
      <c r="G71" s="27" t="n"/>
      <c r="H71" s="27" t="n"/>
    </row>
    <row r="72">
      <c r="A72" s="26" t="n"/>
      <c r="B72" s="27" t="n"/>
      <c r="C72" s="27" t="n"/>
      <c r="D72" s="27" t="n"/>
      <c r="E72" s="27" t="n"/>
      <c r="F72" s="27" t="n"/>
      <c r="G72" s="27" t="n"/>
      <c r="H72" s="27" t="n"/>
    </row>
    <row r="73">
      <c r="A73" s="26" t="n"/>
      <c r="B73" s="27" t="n"/>
      <c r="C73" s="27" t="n"/>
      <c r="D73" s="27" t="n"/>
      <c r="E73" s="27" t="n"/>
      <c r="F73" s="27" t="n"/>
      <c r="G73" s="27" t="n"/>
      <c r="H73" s="27" t="n"/>
    </row>
    <row r="74">
      <c r="A74" s="26" t="n"/>
      <c r="B74" s="27" t="n"/>
      <c r="C74" s="27" t="n"/>
      <c r="D74" s="27" t="n"/>
      <c r="E74" s="27" t="n"/>
      <c r="F74" s="27" t="n"/>
      <c r="G74" s="27" t="n"/>
      <c r="H74" s="27" t="n"/>
    </row>
    <row r="75">
      <c r="A75" s="26" t="n"/>
      <c r="B75" s="27" t="n"/>
      <c r="C75" s="27" t="n"/>
      <c r="D75" s="27" t="n"/>
      <c r="E75" s="27" t="n"/>
      <c r="F75" s="27" t="n"/>
      <c r="G75" s="27" t="n"/>
      <c r="H75" s="27" t="n"/>
    </row>
    <row r="76">
      <c r="A76" s="26" t="n"/>
      <c r="B76" s="27" t="n"/>
      <c r="C76" s="27" t="n"/>
      <c r="D76" s="27" t="n"/>
      <c r="E76" s="27" t="n"/>
      <c r="F76" s="27" t="n"/>
      <c r="G76" s="27" t="n"/>
      <c r="H76" s="27" t="n"/>
    </row>
    <row r="77">
      <c r="A77" s="26" t="n"/>
      <c r="B77" s="27" t="n"/>
      <c r="C77" s="27" t="n"/>
      <c r="D77" s="27" t="n"/>
      <c r="E77" s="27" t="n"/>
      <c r="F77" s="27" t="n"/>
      <c r="G77" s="27" t="n"/>
      <c r="H77" s="27" t="n"/>
    </row>
    <row r="78">
      <c r="A78" s="26" t="n"/>
      <c r="B78" s="27" t="n"/>
      <c r="C78" s="27" t="n"/>
      <c r="D78" s="27" t="n"/>
      <c r="E78" s="27" t="n"/>
      <c r="F78" s="27" t="n"/>
      <c r="G78" s="27" t="n"/>
      <c r="H78" s="27" t="n"/>
    </row>
    <row r="79">
      <c r="A79" s="26" t="n"/>
      <c r="B79" s="27" t="n"/>
      <c r="C79" s="27" t="n"/>
      <c r="D79" s="27" t="n"/>
      <c r="E79" s="27" t="n"/>
      <c r="F79" s="27" t="n"/>
      <c r="G79" s="27" t="n"/>
      <c r="H79" s="27" t="n"/>
    </row>
    <row r="80">
      <c r="A80" s="26" t="n"/>
      <c r="B80" s="27" t="n"/>
      <c r="C80" s="27" t="n"/>
      <c r="D80" s="27" t="n"/>
      <c r="E80" s="27" t="n"/>
      <c r="F80" s="27" t="n"/>
      <c r="G80" s="27" t="n"/>
      <c r="H80" s="27" t="n"/>
    </row>
    <row r="81">
      <c r="A81" s="26" t="n"/>
      <c r="B81" s="27" t="n"/>
      <c r="C81" s="27" t="n"/>
      <c r="D81" s="27" t="n"/>
      <c r="E81" s="27" t="n"/>
      <c r="F81" s="27" t="n"/>
      <c r="G81" s="27" t="n"/>
      <c r="H81" s="27" t="n"/>
    </row>
    <row r="82">
      <c r="A82" s="26" t="n"/>
      <c r="B82" s="27" t="n"/>
      <c r="C82" s="27" t="n"/>
      <c r="D82" s="27" t="n"/>
      <c r="E82" s="27" t="n"/>
      <c r="F82" s="27" t="n"/>
      <c r="G82" s="27" t="n"/>
      <c r="H82" s="27" t="n"/>
    </row>
    <row r="83">
      <c r="A83" s="26" t="n"/>
      <c r="B83" s="27" t="n"/>
      <c r="C83" s="27" t="n"/>
      <c r="D83" s="27" t="n"/>
      <c r="E83" s="27" t="n"/>
      <c r="F83" s="27" t="n"/>
      <c r="G83" s="27" t="n"/>
      <c r="H83" s="27" t="n"/>
    </row>
    <row r="84">
      <c r="A84" s="26" t="n"/>
      <c r="B84" s="27" t="n"/>
      <c r="C84" s="27" t="n"/>
      <c r="D84" s="27" t="n"/>
      <c r="E84" s="27" t="n"/>
      <c r="F84" s="27" t="n"/>
      <c r="G84" s="27" t="n"/>
      <c r="H84" s="27" t="n"/>
    </row>
    <row r="85">
      <c r="A85" s="26" t="n"/>
      <c r="B85" s="27" t="n"/>
      <c r="C85" s="27" t="n"/>
      <c r="D85" s="27" t="n"/>
      <c r="E85" s="27" t="n"/>
      <c r="F85" s="27" t="n"/>
      <c r="G85" s="27" t="n"/>
      <c r="H85" s="27" t="n"/>
    </row>
    <row r="86">
      <c r="A86" s="26" t="n"/>
      <c r="B86" s="27" t="n"/>
      <c r="C86" s="27" t="n"/>
      <c r="D86" s="27" t="n"/>
      <c r="E86" s="27" t="n"/>
      <c r="F86" s="27" t="n"/>
      <c r="G86" s="27" t="n"/>
      <c r="H86" s="27" t="n"/>
    </row>
    <row r="87">
      <c r="A87" s="26" t="n"/>
      <c r="B87" s="27" t="n"/>
      <c r="C87" s="27" t="n"/>
      <c r="D87" s="27" t="n"/>
      <c r="E87" s="27" t="n"/>
      <c r="F87" s="27" t="n"/>
      <c r="G87" s="27" t="n"/>
      <c r="H87" s="27" t="n"/>
    </row>
    <row r="88">
      <c r="A88" s="26" t="n"/>
      <c r="B88" s="27" t="n"/>
      <c r="C88" s="27" t="n"/>
      <c r="D88" s="27" t="n"/>
      <c r="E88" s="27" t="n"/>
      <c r="F88" s="27" t="n"/>
      <c r="G88" s="27" t="n"/>
      <c r="H88" s="27" t="n"/>
    </row>
    <row r="89">
      <c r="A89" s="26" t="n"/>
      <c r="B89" s="27" t="n"/>
      <c r="C89" s="27" t="n"/>
      <c r="D89" s="27" t="n"/>
      <c r="E89" s="27" t="n"/>
      <c r="F89" s="27" t="n"/>
      <c r="G89" s="27" t="n"/>
      <c r="H89" s="27" t="n"/>
    </row>
    <row r="90">
      <c r="A90" s="26" t="n"/>
      <c r="B90" s="27" t="n"/>
      <c r="C90" s="27" t="n"/>
      <c r="D90" s="27" t="n"/>
      <c r="E90" s="27" t="n"/>
      <c r="F90" s="27" t="n"/>
      <c r="G90" s="27" t="n"/>
      <c r="H90" s="27" t="n"/>
    </row>
    <row r="91">
      <c r="A91" s="26" t="n"/>
      <c r="B91" s="27" t="n"/>
      <c r="C91" s="27" t="n"/>
      <c r="D91" s="27" t="n"/>
      <c r="E91" s="27" t="n"/>
      <c r="F91" s="27" t="n"/>
      <c r="G91" s="27" t="n"/>
      <c r="H91" s="27" t="n"/>
    </row>
    <row r="92">
      <c r="A92" s="26" t="n"/>
      <c r="B92" s="27" t="n"/>
      <c r="C92" s="27" t="n"/>
      <c r="D92" s="27" t="n"/>
      <c r="E92" s="27" t="n"/>
      <c r="F92" s="27" t="n"/>
      <c r="G92" s="27" t="n"/>
      <c r="H92" s="27" t="n"/>
    </row>
    <row r="93">
      <c r="A93" s="26" t="n"/>
      <c r="B93" s="27" t="n"/>
      <c r="C93" s="27" t="n"/>
      <c r="D93" s="27" t="n"/>
      <c r="E93" s="27" t="n"/>
      <c r="F93" s="27" t="n"/>
      <c r="G93" s="27" t="n"/>
      <c r="H93" s="27" t="n"/>
    </row>
    <row r="94">
      <c r="A94" s="26" t="n"/>
      <c r="B94" s="27" t="n"/>
      <c r="C94" s="27" t="n"/>
      <c r="D94" s="27" t="n"/>
      <c r="E94" s="27" t="n"/>
      <c r="F94" s="27" t="n"/>
      <c r="G94" s="27" t="n"/>
      <c r="H94" s="27" t="n"/>
    </row>
    <row r="95">
      <c r="A95" s="26" t="n"/>
      <c r="B95" s="27" t="n"/>
      <c r="C95" s="27" t="n"/>
      <c r="D95" s="27" t="n"/>
      <c r="E95" s="27" t="n"/>
      <c r="F95" s="27" t="n"/>
      <c r="G95" s="27" t="n"/>
      <c r="H95" s="27" t="n"/>
    </row>
    <row r="96">
      <c r="A96" s="26" t="n"/>
      <c r="B96" s="27" t="n"/>
      <c r="C96" s="27" t="n"/>
      <c r="D96" s="27" t="n"/>
      <c r="E96" s="27" t="n"/>
      <c r="F96" s="27" t="n"/>
      <c r="G96" s="27" t="n"/>
      <c r="H96" s="27" t="n"/>
    </row>
    <row r="97">
      <c r="A97" s="26" t="n"/>
      <c r="B97" s="27" t="n"/>
      <c r="C97" s="27" t="n"/>
      <c r="D97" s="27" t="n"/>
      <c r="E97" s="27" t="n"/>
      <c r="F97" s="27" t="n"/>
      <c r="G97" s="27" t="n"/>
      <c r="H97" s="27" t="n"/>
    </row>
    <row r="98">
      <c r="A98" s="26" t="n"/>
      <c r="B98" s="27" t="n"/>
      <c r="C98" s="27" t="n"/>
      <c r="D98" s="27" t="n"/>
      <c r="E98" s="27" t="n"/>
      <c r="F98" s="27" t="n"/>
      <c r="G98" s="27" t="n"/>
      <c r="H98" s="27" t="n"/>
    </row>
    <row r="99">
      <c r="A99" s="26" t="n"/>
      <c r="B99" s="27" t="n"/>
      <c r="C99" s="27" t="n"/>
      <c r="D99" s="27" t="n"/>
      <c r="E99" s="27" t="n"/>
      <c r="F99" s="27" t="n"/>
      <c r="G99" s="27" t="n"/>
      <c r="H99" s="27" t="n"/>
    </row>
    <row r="100">
      <c r="A100" s="26" t="n"/>
      <c r="B100" s="27" t="n"/>
      <c r="C100" s="27" t="n"/>
      <c r="D100" s="27" t="n"/>
      <c r="E100" s="27" t="n"/>
      <c r="F100" s="27" t="n"/>
      <c r="G100" s="27" t="n"/>
      <c r="H100" s="27" t="n"/>
    </row>
    <row r="101">
      <c r="A101" s="26" t="n"/>
      <c r="B101" s="27" t="n"/>
      <c r="C101" s="27" t="n"/>
      <c r="D101" s="27" t="n"/>
      <c r="E101" s="27" t="n"/>
      <c r="F101" s="27" t="n"/>
      <c r="G101" s="27" t="n"/>
      <c r="H101" s="27" t="n"/>
    </row>
    <row r="102">
      <c r="A102" s="26" t="n"/>
      <c r="B102" s="27" t="n"/>
      <c r="C102" s="27" t="n"/>
      <c r="D102" s="27" t="n"/>
      <c r="E102" s="27" t="n"/>
      <c r="F102" s="27" t="n"/>
      <c r="G102" s="27" t="n"/>
      <c r="H102" s="27" t="n"/>
    </row>
    <row r="103">
      <c r="A103" s="26" t="n"/>
      <c r="B103" s="27" t="n"/>
      <c r="C103" s="27" t="n"/>
      <c r="D103" s="27" t="n"/>
      <c r="E103" s="27" t="n"/>
      <c r="F103" s="27" t="n"/>
      <c r="G103" s="27" t="n"/>
      <c r="H103" s="27" t="n"/>
    </row>
    <row r="104">
      <c r="A104" s="26" t="n"/>
      <c r="B104" s="27" t="n"/>
      <c r="C104" s="27" t="n"/>
      <c r="D104" s="27" t="n"/>
      <c r="E104" s="27" t="n"/>
      <c r="F104" s="27" t="n"/>
      <c r="G104" s="27" t="n"/>
      <c r="H104" s="27" t="n"/>
    </row>
    <row r="105">
      <c r="A105" s="26" t="n"/>
      <c r="B105" s="27" t="n"/>
      <c r="C105" s="27" t="n"/>
      <c r="D105" s="27" t="n"/>
      <c r="E105" s="27" t="n"/>
      <c r="F105" s="27" t="n"/>
      <c r="G105" s="27" t="n"/>
      <c r="H105" s="2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8" t="inlineStr">
        <is>
          <t>NETWORK SERVICES CATALOG &amp; SECURITY ASSESSMENT — SUMMARY DASHBOARD</t>
        </is>
      </c>
    </row>
    <row r="2">
      <c r="A2" s="29" t="inlineStr">
        <is>
          <t>ISO/IEC 27001:2022 — Controls A.8.20 · A.8.21 · A.8.22: Network Security, Security of Network Services and Segregation of Networks</t>
        </is>
      </c>
    </row>
    <row r="4">
      <c r="A4" s="30" t="inlineStr">
        <is>
          <t>TABLE 1: ASSESSMENT AREA COMPLIANCE</t>
        </is>
      </c>
    </row>
    <row r="5">
      <c r="A5" s="31" t="inlineStr">
        <is>
          <t>Assessment Area</t>
        </is>
      </c>
      <c r="B5" s="31" t="inlineStr">
        <is>
          <t>Total</t>
        </is>
      </c>
      <c r="C5" s="31" t="inlineStr">
        <is>
          <t>Yes</t>
        </is>
      </c>
      <c r="D5" s="31" t="inlineStr">
        <is>
          <t>Partial</t>
        </is>
      </c>
      <c r="E5" s="31" t="inlineStr">
        <is>
          <t>No</t>
        </is>
      </c>
      <c r="F5" s="31" t="inlineStr">
        <is>
          <t>N-A</t>
        </is>
      </c>
      <c r="G5" s="31" t="inlineStr">
        <is>
          <t>Compliance %</t>
        </is>
      </c>
    </row>
    <row r="6">
      <c r="A6" s="32" t="inlineStr">
        <is>
          <t>DNS Security Assessment</t>
        </is>
      </c>
      <c r="B6" s="33">
        <f>COUNTA('DNS Security Assessment'!A5:A54)</f>
        <v/>
      </c>
      <c r="C6" s="33">
        <f>COUNTIF('DNS Security Assessment'!L5:L54,"&gt;=80")</f>
        <v/>
      </c>
      <c r="D6" s="33">
        <f>COUNTIFS('DNS Security Assessment'!L5:L54,"&gt;=50",'DNS Security Assessment'!L5:L54,"&lt;80")</f>
        <v/>
      </c>
      <c r="E6" s="33">
        <f>COUNTIFS('DNS Security Assessment'!L5:L54,"&gt;=0",'DNS Security Assessment'!L5:L54,"&lt;50")</f>
        <v/>
      </c>
      <c r="F6" s="33">
        <f>B6-(C6+D6+E6)</f>
        <v/>
      </c>
      <c r="G6" s="33">
        <f>IF((B6-F6)=0,"0%",ROUND(C6/(B6-F6)*100,1)&amp;"%")</f>
        <v/>
      </c>
    </row>
    <row r="7">
      <c r="A7" s="32" t="inlineStr">
        <is>
          <t>DHCP Security Assessment</t>
        </is>
      </c>
      <c r="B7" s="33">
        <f>COUNTA('DHCP Security Assessment'!C5:I54)</f>
        <v/>
      </c>
      <c r="C7" s="33">
        <f>COUNTIF('DHCP Security Assessment'!C5:I54,"Yes")</f>
        <v/>
      </c>
      <c r="D7" s="33" t="inlineStr"/>
      <c r="E7" s="33">
        <f>COUNTIF('DHCP Security Assessment'!C5:I54,"No")</f>
        <v/>
      </c>
      <c r="F7" s="33">
        <f>COUNTIF('DHCP Security Assessment'!C5:I54,"N/A")</f>
        <v/>
      </c>
      <c r="G7" s="33">
        <f>IF((B7-F7)=0,"0%",ROUND(C7/(B7-F7)*100,1)&amp;"%")</f>
        <v/>
      </c>
    </row>
    <row r="8">
      <c r="A8" s="32" t="inlineStr">
        <is>
          <t>NTP Security Assessment</t>
        </is>
      </c>
      <c r="B8" s="33">
        <f>COUNTA('NTP Security Assessment'!C5:G54)</f>
        <v/>
      </c>
      <c r="C8" s="33">
        <f>COUNTIF('NTP Security Assessment'!C5:G54,"Yes")</f>
        <v/>
      </c>
      <c r="D8" s="33" t="inlineStr"/>
      <c r="E8" s="33">
        <f>COUNTIF('NTP Security Assessment'!C5:G54,"No")</f>
        <v/>
      </c>
      <c r="F8" s="33">
        <f>COUNTIF('NTP Security Assessment'!C5:G54,"N/A")</f>
        <v/>
      </c>
      <c r="G8" s="33">
        <f>IF((B8-F8)=0,"0%",ROUND(C8/(B8-F8)*100,1)&amp;"%")</f>
        <v/>
      </c>
    </row>
    <row r="9">
      <c r="A9" s="32" t="inlineStr">
        <is>
          <t>Proxy Security Assessment</t>
        </is>
      </c>
      <c r="B9" s="33">
        <f>COUNTA('Proxy Security Assessment'!C5:I54)</f>
        <v/>
      </c>
      <c r="C9" s="33">
        <f>COUNTIF('Proxy Security Assessment'!C5:I54,"Yes")</f>
        <v/>
      </c>
      <c r="D9" s="33" t="inlineStr"/>
      <c r="E9" s="33">
        <f>COUNTIF('Proxy Security Assessment'!C5:I54,"No")</f>
        <v/>
      </c>
      <c r="F9" s="33">
        <f>COUNTIF('Proxy Security Assessment'!C5:I54,"N/A")</f>
        <v/>
      </c>
      <c r="G9" s="33">
        <f>IF((B9-F9)=0,"0%",ROUND(C9/(B9-F9)*100,1)&amp;"%")</f>
        <v/>
      </c>
    </row>
    <row r="10">
      <c r="A10" s="32" t="inlineStr">
        <is>
          <t>Additional Services</t>
        </is>
      </c>
      <c r="B10" s="33">
        <f>COUNTA('Additional Services'!C5:H54)</f>
        <v/>
      </c>
      <c r="C10" s="33">
        <f>COUNTIF('Additional Services'!C5:H54,"Yes")</f>
        <v/>
      </c>
      <c r="D10" s="33" t="inlineStr"/>
      <c r="E10" s="33">
        <f>COUNTIF('Additional Services'!C5:H54,"No")</f>
        <v/>
      </c>
      <c r="F10" s="33">
        <f>COUNTIF('Additional Services'!C5:H54,"N/A")</f>
        <v/>
      </c>
      <c r="G10" s="33">
        <f>IF((B10-F10)=0,"0%",ROUND(C10/(B10-F10)*100,1)&amp;"%")</f>
        <v/>
      </c>
    </row>
    <row r="11">
      <c r="A11" s="32" t="inlineStr">
        <is>
          <t>Gap Analysis</t>
        </is>
      </c>
      <c r="B11" s="33">
        <f>COUNTA('Gap Analysis'!B5:B53)</f>
        <v/>
      </c>
      <c r="C11" s="33">
        <f>COUNTIF('Gap Analysis'!I5:I53,"Resolved")</f>
        <v/>
      </c>
      <c r="D11" s="33">
        <f>COUNTIF('Gap Analysis'!I5:I53,"In Progress")</f>
        <v/>
      </c>
      <c r="E11" s="33">
        <f>COUNTIF('Gap Analysis'!I5:I53,"Open")</f>
        <v/>
      </c>
      <c r="F11" s="33">
        <f>B11-(C11+D11+E11)</f>
        <v/>
      </c>
      <c r="G11" s="33">
        <f>IF((B11-F11)=0,"0%",ROUND(C11/(B11-F11)*100,1)&amp;"%")</f>
        <v/>
      </c>
    </row>
    <row r="12">
      <c r="A12" s="34" t="inlineStr">
        <is>
          <t>TOTAL</t>
        </is>
      </c>
      <c r="B12" s="31">
        <f>SUM(B6:B11)</f>
        <v/>
      </c>
      <c r="C12" s="31">
        <f>SUM(C6:C11)</f>
        <v/>
      </c>
      <c r="D12" s="31">
        <f>SUM(D6:D11)</f>
        <v/>
      </c>
      <c r="E12" s="31">
        <f>SUM(E6:E11)</f>
        <v/>
      </c>
      <c r="F12" s="31">
        <f>SUM(F6:F11)</f>
        <v/>
      </c>
      <c r="G12" s="31">
        <f>IF((B12-F12)=0,"0%",ROUND(C12/(B12-F12)*100,1)&amp;"%")</f>
        <v/>
      </c>
    </row>
    <row r="14">
      <c r="A14" s="30" t="inlineStr">
        <is>
          <t>TABLE 2: KEY METRICS</t>
        </is>
      </c>
    </row>
    <row r="15">
      <c r="A15" s="34" t="inlineStr">
        <is>
          <t>Metric</t>
        </is>
      </c>
      <c r="B15" s="31" t="inlineStr">
        <is>
          <t>Value</t>
        </is>
      </c>
      <c r="C15" s="34" t="inlineStr">
        <is>
          <t>What This Shows</t>
        </is>
      </c>
    </row>
    <row r="16">
      <c r="A16" s="32" t="inlineStr">
        <is>
          <t>DNS Services Below 80%</t>
        </is>
      </c>
      <c r="B16" s="33">
        <f>COUNTIFS('DNS Security Assessment'!L5:L54,"&gt;=0",'DNS Security Assessment'!L5:L54,"&lt;80")</f>
        <v/>
      </c>
      <c r="C16" s="35" t="inlineStr">
        <is>
          <t>DNS services below 80% compliance (DNSSEC, logging, and filtering gaps)</t>
        </is>
      </c>
      <c r="D16" s="6" t="n"/>
      <c r="E16" s="6" t="n"/>
      <c r="F16" s="6" t="n"/>
      <c r="G16" s="6" t="n"/>
    </row>
    <row r="17">
      <c r="A17" s="32" t="inlineStr">
        <is>
          <t>NTP Services Below Threshold</t>
        </is>
      </c>
      <c r="B17" s="33">
        <f>COUNTIFS('NTP Security Assessment'!H5:H54,"&gt;=0",'NTP Security Assessment'!H5:H54,"&lt;80")</f>
        <v/>
      </c>
      <c r="C17" s="35" t="inlineStr">
        <is>
          <t>NTP services below 80% (authentication and authorisation gaps)</t>
        </is>
      </c>
      <c r="D17" s="6" t="n"/>
      <c r="E17" s="6" t="n"/>
      <c r="F17" s="6" t="n"/>
      <c r="G17" s="6" t="n"/>
    </row>
    <row r="18">
      <c r="A18" s="32" t="inlineStr">
        <is>
          <t>DHCP Services Below Threshold</t>
        </is>
      </c>
      <c r="B18" s="33">
        <f>COUNTIFS('DHCP Security Assessment'!J5:J54,"&gt;=0",'DHCP Security Assessment'!J5:J54,"&lt;80")</f>
        <v/>
      </c>
      <c r="C18" s="35" t="inlineStr">
        <is>
          <t>DHCP services below 80% (snooping, rogue DHCP prevention gaps)</t>
        </is>
      </c>
      <c r="D18" s="6" t="n"/>
      <c r="E18" s="6" t="n"/>
      <c r="F18" s="6" t="n"/>
      <c r="G18" s="6" t="n"/>
    </row>
    <row r="19">
      <c r="A19" s="32" t="inlineStr">
        <is>
          <t>Unmonitored Services</t>
        </is>
      </c>
      <c r="B19" s="33">
        <f>COUNTIF('Services Catalog'!J5:J104,"Not Monitored")</f>
        <v/>
      </c>
      <c r="C19" s="35" t="inlineStr">
        <is>
          <t>Network services not monitored (blind spots in security posture)</t>
        </is>
      </c>
      <c r="D19" s="6" t="n"/>
      <c r="E19" s="6" t="n"/>
      <c r="F19" s="6" t="n"/>
      <c r="G19" s="6" t="n"/>
    </row>
    <row r="20">
      <c r="A20" s="32" t="inlineStr">
        <is>
          <t>Critical Services Count</t>
        </is>
      </c>
      <c r="B20" s="33">
        <f>COUNTIF('Services Catalog'!H5:H104,"Critical")</f>
        <v/>
      </c>
      <c r="C20" s="35" t="inlineStr">
        <is>
          <t>Total critical services requiring priority security attention</t>
        </is>
      </c>
      <c r="D20" s="6" t="n"/>
      <c r="E20" s="6" t="n"/>
      <c r="F20" s="6" t="n"/>
      <c r="G20" s="6" t="n"/>
    </row>
    <row r="21">
      <c r="A21" s="32" t="inlineStr">
        <is>
          <t>Open Service Security Gaps</t>
        </is>
      </c>
      <c r="B21" s="33">
        <f>COUNTIF('Gap Analysis'!I5:I53,"Open")</f>
        <v/>
      </c>
      <c r="C21" s="35" t="inlineStr">
        <is>
          <t>Outstanding service security gaps without remediation</t>
        </is>
      </c>
      <c r="D21" s="6" t="n"/>
      <c r="E21" s="6" t="n"/>
      <c r="F21" s="6" t="n"/>
      <c r="G21" s="6" t="n"/>
    </row>
    <row r="22">
      <c r="A22" s="32" t="inlineStr">
        <is>
          <t>Critical Gap Count</t>
        </is>
      </c>
      <c r="B22" s="33">
        <f>COUNTIF('Gap Analysis'!F5:F53,"Critical")</f>
        <v/>
      </c>
      <c r="C22" s="35" t="inlineStr">
        <is>
          <t>Critical-severity service security gaps requiring immediate action</t>
        </is>
      </c>
      <c r="D22" s="6" t="n"/>
      <c r="E22" s="6" t="n"/>
      <c r="F22" s="6" t="n"/>
      <c r="G22" s="6" t="n"/>
    </row>
    <row r="23">
      <c r="A23" s="32" t="inlineStr">
        <is>
          <t>Overall Compliance Rate</t>
        </is>
      </c>
      <c r="B23" s="33">
        <f>G12</f>
        <v/>
      </c>
      <c r="C23" s="35" t="inlineStr">
        <is>
          <t>Overall network services security compliance percentage (TABLE 1 total)</t>
        </is>
      </c>
      <c r="D23" s="6" t="n"/>
      <c r="E23" s="6" t="n"/>
      <c r="F23" s="6" t="n"/>
      <c r="G23" s="6" t="n"/>
    </row>
    <row r="25">
      <c r="A25" s="36" t="inlineStr">
        <is>
          <t>TABLE 3: CRITICAL FINDINGS</t>
        </is>
      </c>
    </row>
    <row r="26">
      <c r="A26" s="34" t="inlineStr">
        <is>
          <t>Critical Finding Type</t>
        </is>
      </c>
      <c r="B26" s="31" t="inlineStr">
        <is>
          <t>Count</t>
        </is>
      </c>
      <c r="C26" s="34" t="inlineStr">
        <is>
          <t>Filter Instructions</t>
        </is>
      </c>
    </row>
    <row r="27">
      <c r="A27" s="37" t="inlineStr">
        <is>
          <t>DNS Services Below 80%</t>
        </is>
      </c>
      <c r="B27" s="38">
        <f>COUNTIFS('DNS Security Assessment'!L5:L54,"&gt;=0",'DNS Security Assessment'!L5:L54,"&lt;80")</f>
        <v/>
      </c>
      <c r="C27" s="39" t="inlineStr">
        <is>
          <t>Filter DNS Security Assessment: Score &lt; 80</t>
        </is>
      </c>
      <c r="D27" s="20" t="n"/>
      <c r="E27" s="20" t="n"/>
      <c r="F27" s="20" t="n"/>
      <c r="G27" s="20" t="n"/>
    </row>
    <row r="28">
      <c r="A28" s="37" t="inlineStr">
        <is>
          <t>Critical Severity Service Gaps</t>
        </is>
      </c>
      <c r="B28" s="38">
        <f>COUNTIF('Gap Analysis'!F5:F53,"Critical")</f>
        <v/>
      </c>
      <c r="C28" s="39" t="inlineStr">
        <is>
          <t>Filter Gap Analysis: Severity = "Critical"</t>
        </is>
      </c>
      <c r="D28" s="20" t="n"/>
      <c r="E28" s="20" t="n"/>
      <c r="F28" s="20" t="n"/>
      <c r="G28" s="20" t="n"/>
    </row>
    <row r="29">
      <c r="A29" s="37" t="inlineStr">
        <is>
          <t>Open Service Security Gaps</t>
        </is>
      </c>
      <c r="B29" s="38">
        <f>COUNTIF('Gap Analysis'!I5:I53,"Open")</f>
        <v/>
      </c>
      <c r="C29" s="39" t="inlineStr">
        <is>
          <t>Filter Gap Analysis: Status = "Open"</t>
        </is>
      </c>
      <c r="D29" s="20" t="n"/>
      <c r="E29" s="20" t="n"/>
      <c r="F29" s="20" t="n"/>
      <c r="G29" s="20" t="n"/>
    </row>
    <row r="30">
      <c r="A30" s="37" t="inlineStr">
        <is>
          <t>Unmonitored Critical Services</t>
        </is>
      </c>
      <c r="B30" s="38">
        <f>COUNTIFS('Services Catalog'!H5:H104,"Critical",'Services Catalog'!J5:J104,"Not Monitored")</f>
        <v/>
      </c>
      <c r="C30" s="39" t="inlineStr">
        <is>
          <t>Filter Services Catalog: Criticality = "Critical" AND Monitoring = "Not Monitored"</t>
        </is>
      </c>
      <c r="D30" s="20" t="n"/>
      <c r="E30" s="20" t="n"/>
      <c r="F30" s="20" t="n"/>
      <c r="G30" s="20" t="n"/>
    </row>
    <row r="31">
      <c r="A31" s="37" t="inlineStr">
        <is>
          <t>NTP/DHCP Services Below Threshold</t>
        </is>
      </c>
      <c r="B31" s="38">
        <f>COUNTIFS('NTP Security Assessment'!H5:H54,"&gt;=0",'NTP Security Assessment'!H5:H54,"&lt;80")+COUNTIFS('DHCP Security Assessment'!J5:J54,"&gt;=0",'DHCP Security Assessment'!J5:J54,"&lt;80")</f>
        <v/>
      </c>
      <c r="C31" s="39" t="inlineStr">
        <is>
          <t>Filter NTP sheet: Score &lt; 80; or filter DHCP sheet: Score &lt; 80</t>
        </is>
      </c>
      <c r="D31" s="20" t="n"/>
      <c r="E31" s="20" t="n"/>
      <c r="F31" s="20" t="n"/>
      <c r="G31" s="20" t="n"/>
    </row>
    <row r="32">
      <c r="A32" s="40" t="inlineStr">
        <is>
          <t>TOTAL</t>
        </is>
      </c>
      <c r="B32" s="41">
        <f>SUM(B27:B31)</f>
        <v/>
      </c>
      <c r="C32" s="42" t="inlineStr">
        <is>
          <t>Total critical findings requiring immediate remediation</t>
        </is>
      </c>
    </row>
  </sheetData>
  <mergeCells count="21">
    <mergeCell ref="A14:G14"/>
    <mergeCell ref="C30:G30"/>
    <mergeCell ref="C15:G15"/>
    <mergeCell ref="A4:G4"/>
    <mergeCell ref="C26:G26"/>
    <mergeCell ref="C29:G29"/>
    <mergeCell ref="C20:G20"/>
    <mergeCell ref="C16:G16"/>
    <mergeCell ref="C31:G31"/>
    <mergeCell ref="C22:G22"/>
    <mergeCell ref="C21:G21"/>
    <mergeCell ref="A1:G1"/>
    <mergeCell ref="C27:G27"/>
    <mergeCell ref="A25:G25"/>
    <mergeCell ref="C23:G23"/>
    <mergeCell ref="C17:G17"/>
    <mergeCell ref="C32:G32"/>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3" t="inlineStr">
        <is>
          <t>ASSESSMENT SUMMARY</t>
        </is>
      </c>
      <c r="B3" s="6" t="n"/>
      <c r="C3" s="6" t="n"/>
      <c r="D3" s="6" t="n"/>
      <c r="E3" s="6" t="n"/>
    </row>
    <row r="4">
      <c r="A4" s="3" t="inlineStr">
        <is>
          <t>Document:</t>
        </is>
      </c>
      <c r="B4" s="6" t="inlineStr">
        <is>
          <t>ISMS-IMP-A.8.20-21-22.S3 - Network Services Catalog &amp; Security Assessment</t>
        </is>
      </c>
      <c r="C4" s="6" t="n"/>
      <c r="D4" s="6" t="n"/>
      <c r="E4" s="6" t="n"/>
    </row>
    <row r="5">
      <c r="A5" s="3" t="inlineStr">
        <is>
          <t>Assessment Period:</t>
        </is>
      </c>
      <c r="B5" s="20" t="inlineStr"/>
      <c r="C5" s="6" t="n"/>
      <c r="D5" s="6" t="n"/>
      <c r="E5" s="6" t="n"/>
    </row>
    <row r="6">
      <c r="A6" s="3" t="inlineStr">
        <is>
          <t>Overall Compliance:</t>
        </is>
      </c>
      <c r="B6" s="44">
        <f>IFERROR(AVERAGE('Summary Dashboard'!G6:G11),"")</f>
        <v/>
      </c>
      <c r="C6" s="6" t="n"/>
      <c r="D6" s="6" t="n"/>
      <c r="E6" s="6" t="n"/>
    </row>
    <row r="7">
      <c r="A7" s="3" t="inlineStr">
        <is>
          <t>Assessment Status:</t>
        </is>
      </c>
      <c r="B7" s="20" t="inlineStr"/>
      <c r="C7" s="6" t="n"/>
      <c r="D7" s="6" t="n"/>
      <c r="E7" s="6" t="n"/>
    </row>
    <row r="10">
      <c r="A10" s="43" t="inlineStr">
        <is>
          <t>COMPLETED BY (NETWORK ENGINEERING)</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3"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45"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3"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ISMS-IMP-A.8.20-21-22.S3 — Network Services Catalog &amp; Security Assessment</dc:title>
  <dc:description xmlns:dc="http://purl.org/dc/elements/1.1/">ISMS Implementation Workbook — ISMS-IMP-A.8.20-21-22.S3</dc:description>
  <dc:subject xmlns:dc="http://purl.org/dc/elements/1.1/">ISO/IEC 27001:2022 — Control A.8.20-21-22: Network Security</dc:subject>
  <dcterms:created xmlns:dcterms="http://purl.org/dc/terms/" xmlns:xsi="http://www.w3.org/2001/XMLSchema-instance" xsi:type="dcterms:W3CDTF">2026-03-01T10:19:39Z</dcterms:created>
  <dcterms:modified xmlns:dcterms="http://purl.org/dc/terms/" xmlns:xsi="http://www.w3.org/2001/XMLSchema-instance" xsi:type="dcterms:W3CDTF">2026-03-01T10:19:39Z</dcterms:modified>
</cp:coreProperties>
</file>