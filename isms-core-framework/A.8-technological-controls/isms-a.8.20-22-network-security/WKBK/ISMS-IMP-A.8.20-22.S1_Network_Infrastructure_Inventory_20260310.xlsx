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Device Inventory" sheetId="2" state="visible" r:id="rId2"/>
    <sheet xmlns:r="http://schemas.openxmlformats.org/officeDocument/2006/relationships" name="Device Criticality Matrix" sheetId="3" state="visible" r:id="rId3"/>
    <sheet xmlns:r="http://schemas.openxmlformats.org/officeDocument/2006/relationships" name="Device Type Summary" sheetId="4" state="visible" r:id="rId4"/>
    <sheet xmlns:r="http://schemas.openxmlformats.org/officeDocument/2006/relationships" name="Discovery Metadata" sheetId="5" state="visible" r:id="rId5"/>
    <sheet xmlns:r="http://schemas.openxmlformats.org/officeDocument/2006/relationships" name="Gap Analysis" sheetId="6" state="visible" r:id="rId6"/>
    <sheet xmlns:r="http://schemas.openxmlformats.org/officeDocument/2006/relationships" name="Validation Rules"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color rgb="00808080"/>
    </font>
    <font>
      <name val="Calibri"/>
      <b val="1"/>
      <color rgb="00FFFFFF"/>
      <sz val="10"/>
    </font>
    <font>
      <name val="Calibri"/>
      <sz val="10"/>
    </font>
    <font>
      <name val="Calibri"/>
      <i val="1"/>
    </font>
    <font>
      <name val="Calibri"/>
      <b val="1"/>
      <color rgb="00FFFFFF"/>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6" fillId="0" borderId="0" pivotButton="0" quotePrefix="0" xfId="0"/>
    <xf numFmtId="0" fontId="6" fillId="9" borderId="1" pivotButton="0" quotePrefix="0" xfId="0"/>
    <xf numFmtId="0" fontId="0" fillId="11" borderId="1" applyAlignment="1" pivotButton="0" quotePrefix="0" xfId="0">
      <alignment horizontal="left" vertical="center"/>
    </xf>
    <xf numFmtId="0" fontId="1" fillId="8" borderId="1" applyAlignment="1" pivotButton="0" quotePrefix="0" xfId="0">
      <alignment horizontal="center" vertical="center" wrapText="1"/>
    </xf>
    <xf numFmtId="0" fontId="7" fillId="12" borderId="1" pivotButton="0" quotePrefix="0" xfId="0"/>
    <xf numFmtId="0" fontId="8" fillId="13" borderId="1" pivotButton="0" quotePrefix="0" xfId="0"/>
    <xf numFmtId="0" fontId="8" fillId="11" borderId="1" pivotButton="0" quotePrefix="0" xfId="0"/>
    <xf numFmtId="0" fontId="8" fillId="14" borderId="1" pivotButton="0" quotePrefix="0" xfId="0"/>
    <xf numFmtId="0" fontId="6" fillId="9" borderId="1" applyAlignment="1" pivotButton="0" quotePrefix="0" xfId="0">
      <alignment horizontal="left" vertical="center"/>
    </xf>
    <xf numFmtId="164" fontId="6" fillId="9" borderId="1" applyAlignment="1" pivotButton="0" quotePrefix="0" xfId="0">
      <alignment horizontal="left" vertical="center"/>
    </xf>
    <xf numFmtId="164" fontId="0" fillId="11" borderId="1" applyAlignment="1" pivotButton="0" quotePrefix="0" xfId="0">
      <alignment horizontal="left" vertical="center"/>
    </xf>
    <xf numFmtId="0" fontId="9" fillId="0" borderId="0" applyAlignment="1" pivotButton="0" quotePrefix="0" xfId="0">
      <alignment horizontal="left" vertical="center"/>
    </xf>
    <xf numFmtId="0" fontId="0" fillId="11" borderId="1" pivotButton="0" quotePrefix="0" xfId="0"/>
    <xf numFmtId="165" fontId="0" fillId="9" borderId="1" applyAlignment="1" pivotButton="0" quotePrefix="0" xfId="0">
      <alignment horizontal="left" vertical="top" wrapText="1"/>
    </xf>
    <xf numFmtId="0" fontId="1" fillId="8" borderId="0" applyAlignment="1" pivotButton="0" quotePrefix="0" xfId="0">
      <alignment horizontal="center" vertical="center" wrapText="1"/>
    </xf>
    <xf numFmtId="0" fontId="10"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8"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1" fillId="8" borderId="0" applyAlignment="1" pivotButton="0" quotePrefix="0" xfId="0">
      <alignment horizontal="center" vertical="center" wrapText="1"/>
    </xf>
    <xf numFmtId="0" fontId="12" fillId="0" borderId="0" applyAlignment="1" pivotButton="0" quotePrefix="0" xfId="0">
      <alignment horizontal="left" vertical="center"/>
    </xf>
    <xf numFmtId="0" fontId="13" fillId="8" borderId="0" pivotButton="0" quotePrefix="0" xfId="0"/>
    <xf numFmtId="0" fontId="14" fillId="10" borderId="1" applyAlignment="1" pivotButton="0" quotePrefix="0" xfId="0">
      <alignment horizontal="center" vertical="center"/>
    </xf>
    <xf numFmtId="0" fontId="15" fillId="0" borderId="1" applyAlignment="1" pivotButton="0" quotePrefix="0" xfId="0">
      <alignment horizontal="left" vertical="center"/>
    </xf>
    <xf numFmtId="0" fontId="15" fillId="0" borderId="1" applyAlignment="1" pivotButton="0" quotePrefix="0" xfId="0">
      <alignment horizontal="center" vertical="center"/>
    </xf>
    <xf numFmtId="0" fontId="14" fillId="10" borderId="1" applyAlignment="1" pivotButton="0" quotePrefix="0" xfId="0">
      <alignment horizontal="left" vertical="center"/>
    </xf>
    <xf numFmtId="0" fontId="16" fillId="0" borderId="1" applyAlignment="1" pivotButton="0" quotePrefix="0" xfId="0">
      <alignment horizontal="left" vertical="top" wrapText="1"/>
    </xf>
    <xf numFmtId="0" fontId="13" fillId="15" borderId="0" pivotButton="0" quotePrefix="0" xfId="0"/>
    <xf numFmtId="0" fontId="15" fillId="11" borderId="1" applyAlignment="1" pivotButton="0" quotePrefix="0" xfId="0">
      <alignment horizontal="left" vertical="center"/>
    </xf>
    <xf numFmtId="0" fontId="15" fillId="11" borderId="1" applyAlignment="1" pivotButton="0" quotePrefix="0" xfId="0">
      <alignment horizontal="center" vertical="center"/>
    </xf>
    <xf numFmtId="0" fontId="16" fillId="11" borderId="1" applyAlignment="1" pivotButton="0" quotePrefix="0" xfId="0">
      <alignment horizontal="left" vertical="top" wrapText="1"/>
    </xf>
    <xf numFmtId="0" fontId="14" fillId="0" borderId="1" applyAlignment="1" pivotButton="0" quotePrefix="0" xfId="0">
      <alignment horizontal="left" vertical="center"/>
    </xf>
    <xf numFmtId="0" fontId="14" fillId="13" borderId="1" applyAlignment="1" pivotButton="0" quotePrefix="0" xfId="0">
      <alignment horizontal="center" vertical="center"/>
    </xf>
    <xf numFmtId="0" fontId="16" fillId="0" borderId="0" applyAlignment="1" pivotButton="0" quotePrefix="0" xfId="0">
      <alignment horizontal="left" vertical="center"/>
    </xf>
    <xf numFmtId="0" fontId="17" fillId="16" borderId="1" pivotButton="0" quotePrefix="0" xfId="0"/>
    <xf numFmtId="165" fontId="0" fillId="0" borderId="1" pivotButton="0" quotePrefix="0" xfId="0"/>
    <xf numFmtId="0" fontId="17" fillId="8" borderId="1" pivotButton="0" quotePrefix="0" xfId="0"/>
  </cellXfs>
  <cellStyles count="1">
    <cellStyle name="Normal" xfId="0" builtinId="0" hidden="0"/>
  </cellStyles>
  <dxfs count="5">
    <dxf>
      <fill>
        <patternFill patternType="solid">
          <fgColor rgb="00FFC7CE"/>
          <bgColor rgb="00FFC7CE"/>
        </patternFill>
      </fill>
    </dxf>
    <dxf>
      <fill>
        <patternFill patternType="solid">
          <fgColor rgb="00FFEB9C"/>
          <bgColor rgb="00FFEB9C"/>
        </patternFill>
      </fill>
    </dxf>
    <dxf>
      <fill>
        <patternFill patternType="solid">
          <fgColor rgb="00FFFFCC"/>
          <bgColor rgb="00FFFFCC"/>
        </patternFill>
      </fill>
    </dxf>
    <dxf>
      <fill>
        <patternFill patternType="solid">
          <fgColor rgb="00C6EFCE"/>
          <bgColor rgb="00C6EFCE"/>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ISMS-IMP-A.8.20-22.S1  -  Network Infrastructure Inventory
ISO/IEC 27001:2022 - Control A.8.20-22: Network Security</t>
        </is>
      </c>
    </row>
    <row r="3">
      <c r="A3" s="2" t="inlineStr">
        <is>
          <t>Document Information</t>
        </is>
      </c>
    </row>
    <row r="4">
      <c r="A4" s="3" t="inlineStr">
        <is>
          <t>Document ID</t>
        </is>
      </c>
      <c r="B4" t="inlineStr">
        <is>
          <t>ISMS-IMP-A.8.20-22.S1</t>
        </is>
      </c>
    </row>
    <row r="5">
      <c r="A5" s="3" t="inlineStr">
        <is>
          <t>Workbook Title</t>
        </is>
      </c>
      <c r="B5" t="inlineStr">
        <is>
          <t>Network Infrastructure Inventory</t>
        </is>
      </c>
    </row>
    <row r="6">
      <c r="A6" s="3" t="inlineStr">
        <is>
          <t>Control Reference</t>
        </is>
      </c>
      <c r="B6" t="inlineStr">
        <is>
          <t>ISO/IEC 27001:2022 - Control A.8.20-22: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Device Inventory sheet for every network device in scope.</t>
        </is>
      </c>
    </row>
    <row r="14">
      <c r="A14" t="inlineStr">
        <is>
          <t>2. Use dropdown menus for standardised assessments (device type, status, criticality).</t>
        </is>
      </c>
    </row>
    <row r="15">
      <c r="A15" t="inlineStr">
        <is>
          <t>3. Assess device criticality using the Device Criticality Matrix framework.</t>
        </is>
      </c>
    </row>
    <row r="16">
      <c r="A16" t="inlineStr">
        <is>
          <t>4. Review the Device Type Summary for coverage statistics across device categories.</t>
        </is>
      </c>
    </row>
    <row r="17">
      <c r="A17" t="inlineStr">
        <is>
          <t>5. Document discovery metadata and methodology in the Discovery Metadata sheet.</t>
        </is>
      </c>
    </row>
    <row r="18">
      <c r="A18" t="inlineStr">
        <is>
          <t>6. Identify and document gaps in the Gap Analysis sheet with remediation plans.</t>
        </is>
      </c>
    </row>
    <row r="19">
      <c r="A19" t="inlineStr">
        <is>
          <t>7. Review the Validation Rules sheet for data quality checks.</t>
        </is>
      </c>
    </row>
    <row r="20">
      <c r="A20" t="inlineStr">
        <is>
          <t>8. Maintain the Evidence Register with all supporting documentation for audit traceability.</t>
        </is>
      </c>
    </row>
    <row r="21">
      <c r="A21" t="inlineStr">
        <is>
          <t>9. Obtain final approval and sign-off from IT Security, ISO, and CISO.</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3"/>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25" customWidth="1" min="3" max="3"/>
    <col width="30" customWidth="1" min="4" max="4"/>
    <col width="15" customWidth="1" min="5" max="5"/>
    <col width="15" customWidth="1" min="6" max="6"/>
    <col width="25" customWidth="1" min="7" max="7"/>
    <col width="15" customWidth="1" min="8" max="8"/>
    <col width="30" customWidth="1" min="9" max="9"/>
    <col width="12" customWidth="1" min="10" max="10"/>
    <col width="25" customWidth="1" min="11" max="11"/>
    <col width="12" customWidth="1" min="12" max="12"/>
    <col width="18" customWidth="1" min="13" max="13"/>
    <col width="18" customWidth="1" min="14" max="14"/>
    <col width="18" customWidth="1" min="15" max="15"/>
    <col width="18" customWidth="1" min="16" max="16"/>
    <col width="12" customWidth="1" min="17" max="17"/>
    <col width="40" customWidth="1" min="18" max="18"/>
  </cols>
  <sheetData>
    <row r="1" ht="35" customHeight="1">
      <c r="A1" s="11" t="inlineStr">
        <is>
          <t>NETWORK INFRASTRUCTURE INVENTORY - GENERATED 10.03.2026</t>
        </is>
      </c>
    </row>
    <row r="2">
      <c r="A2" s="12" t="inlineStr">
        <is>
          <t>Complete inventory for all network devices discovered per IMP-S1. Yellow cells are input fields. Device IDs auto-generate.</t>
        </is>
      </c>
    </row>
    <row r="3">
      <c r="A3" s="13" t="inlineStr">
        <is>
          <t>Device ID</t>
        </is>
      </c>
      <c r="B3" s="13" t="inlineStr">
        <is>
          <t>Device Type</t>
        </is>
      </c>
      <c r="C3" s="13" t="inlineStr">
        <is>
          <t>Make/Model</t>
        </is>
      </c>
      <c r="D3" s="13" t="inlineStr">
        <is>
          <t>Hostname</t>
        </is>
      </c>
      <c r="E3" s="13" t="inlineStr">
        <is>
          <t>Primary IP</t>
        </is>
      </c>
      <c r="F3" s="13" t="inlineStr">
        <is>
          <t>Management IP</t>
        </is>
      </c>
      <c r="G3" s="13" t="inlineStr">
        <is>
          <t>Location</t>
        </is>
      </c>
      <c r="H3" s="13" t="inlineStr">
        <is>
          <t>Security Zone</t>
        </is>
      </c>
      <c r="I3" s="13" t="inlineStr">
        <is>
          <t>Purpose</t>
        </is>
      </c>
      <c r="J3" s="13" t="inlineStr">
        <is>
          <t>Criticality</t>
        </is>
      </c>
      <c r="K3" s="13" t="inlineStr">
        <is>
          <t>Owner</t>
        </is>
      </c>
      <c r="L3" s="13" t="inlineStr">
        <is>
          <t>Last Discovered</t>
        </is>
      </c>
      <c r="M3" s="13" t="inlineStr">
        <is>
          <t>Discovery Method</t>
        </is>
      </c>
      <c r="N3" s="13" t="inlineStr">
        <is>
          <t>Firmware Version</t>
        </is>
      </c>
      <c r="O3" s="13" t="inlineStr">
        <is>
          <t>Serial Number</t>
        </is>
      </c>
      <c r="P3" s="13" t="inlineStr">
        <is>
          <t>Compliance Status</t>
        </is>
      </c>
      <c r="Q3" s="13" t="inlineStr">
        <is>
          <t>Status</t>
        </is>
      </c>
      <c r="R3" s="13" t="inlineStr">
        <is>
          <t>Notes</t>
        </is>
      </c>
    </row>
    <row r="4">
      <c r="A4" s="14" t="inlineStr">
        <is>
          <t>NET-DEV-001</t>
        </is>
      </c>
      <c r="B4" s="15" t="inlineStr">
        <is>
          <t>Router</t>
        </is>
      </c>
      <c r="C4" s="15" t="inlineStr">
        <is>
          <t>Cisco ISR 4451</t>
        </is>
      </c>
      <c r="D4" s="15" t="inlineStr">
        <is>
          <t>core-rtr-01</t>
        </is>
      </c>
      <c r="E4" s="15" t="inlineStr">
        <is>
          <t>192.168.1.1</t>
        </is>
      </c>
      <c r="F4" s="15" t="inlineStr">
        <is>
          <t>192.168.1.250</t>
        </is>
      </c>
      <c r="G4" s="15" t="inlineStr">
        <is>
          <t>Server Room Rack 1</t>
        </is>
      </c>
      <c r="H4" s="15" t="inlineStr">
        <is>
          <t>Management</t>
        </is>
      </c>
      <c r="I4" s="15" t="inlineStr">
        <is>
          <t>Core routing and inter-VLAN routing</t>
        </is>
      </c>
      <c r="J4" s="15" t="inlineStr">
        <is>
          <t>Critical</t>
        </is>
      </c>
      <c r="K4" s="15" t="inlineStr">
        <is>
          <t>IT Infrastructure Team</t>
        </is>
      </c>
      <c r="L4" s="15" t="inlineStr">
        <is>
          <t>01.01.2026</t>
        </is>
      </c>
      <c r="M4" s="15" t="inlineStr">
        <is>
          <t>Network Scan</t>
        </is>
      </c>
      <c r="N4" s="15" t="inlineStr">
        <is>
          <t>15.3.8a</t>
        </is>
      </c>
      <c r="O4" s="15" t="inlineStr">
        <is>
          <t>FTX12345678</t>
        </is>
      </c>
      <c r="P4" s="15" t="inlineStr">
        <is>
          <t>Compliant</t>
        </is>
      </c>
      <c r="Q4" s="15" t="inlineStr">
        <is>
          <t>Active</t>
        </is>
      </c>
      <c r="R4" s="15" t="inlineStr"/>
    </row>
    <row r="5">
      <c r="A5">
        <f>IF(B5&lt;&gt;"","NET-DEV-" &amp; TEXT(2,"000"),"")</f>
        <v/>
      </c>
      <c r="B5" s="16" t="n"/>
      <c r="C5" s="16" t="n"/>
      <c r="D5" s="16" t="n"/>
      <c r="E5" s="16" t="n"/>
      <c r="F5" s="16" t="n"/>
      <c r="G5" s="16" t="n"/>
      <c r="H5" s="16" t="n"/>
      <c r="I5" s="16" t="n"/>
      <c r="J5" s="16" t="n"/>
      <c r="K5" s="16" t="n"/>
      <c r="L5" s="16" t="n"/>
      <c r="M5" s="16" t="n"/>
      <c r="N5" s="16" t="n"/>
      <c r="O5" s="16" t="n"/>
      <c r="P5" s="16" t="n"/>
      <c r="Q5" s="16" t="n"/>
      <c r="R5" s="16" t="n"/>
    </row>
    <row r="6">
      <c r="A6">
        <f>IF(B6&lt;&gt;"","NET-DEV-" &amp; TEXT(3,"000"),"")</f>
        <v/>
      </c>
      <c r="B6" s="16" t="n"/>
      <c r="C6" s="16" t="n"/>
      <c r="D6" s="16" t="n"/>
      <c r="E6" s="16" t="n"/>
      <c r="F6" s="16" t="n"/>
      <c r="G6" s="16" t="n"/>
      <c r="H6" s="16" t="n"/>
      <c r="I6" s="16" t="n"/>
      <c r="J6" s="16" t="n"/>
      <c r="K6" s="16" t="n"/>
      <c r="L6" s="16" t="n"/>
      <c r="M6" s="16" t="n"/>
      <c r="N6" s="16" t="n"/>
      <c r="O6" s="16" t="n"/>
      <c r="P6" s="16" t="n"/>
      <c r="Q6" s="16" t="n"/>
      <c r="R6" s="16" t="n"/>
    </row>
    <row r="7">
      <c r="A7">
        <f>IF(B7&lt;&gt;"","NET-DEV-" &amp; TEXT(4,"000"),"")</f>
        <v/>
      </c>
      <c r="B7" s="16" t="n"/>
      <c r="C7" s="16" t="n"/>
      <c r="D7" s="16" t="n"/>
      <c r="E7" s="16" t="n"/>
      <c r="F7" s="16" t="n"/>
      <c r="G7" s="16" t="n"/>
      <c r="H7" s="16" t="n"/>
      <c r="I7" s="16" t="n"/>
      <c r="J7" s="16" t="n"/>
      <c r="K7" s="16" t="n"/>
      <c r="L7" s="16" t="n"/>
      <c r="M7" s="16" t="n"/>
      <c r="N7" s="16" t="n"/>
      <c r="O7" s="16" t="n"/>
      <c r="P7" s="16" t="n"/>
      <c r="Q7" s="16" t="n"/>
      <c r="R7" s="16" t="n"/>
    </row>
    <row r="8">
      <c r="A8">
        <f>IF(B8&lt;&gt;"","NET-DEV-" &amp; TEXT(5,"000"),"")</f>
        <v/>
      </c>
      <c r="B8" s="16" t="n"/>
      <c r="C8" s="16" t="n"/>
      <c r="D8" s="16" t="n"/>
      <c r="E8" s="16" t="n"/>
      <c r="F8" s="16" t="n"/>
      <c r="G8" s="16" t="n"/>
      <c r="H8" s="16" t="n"/>
      <c r="I8" s="16" t="n"/>
      <c r="J8" s="16" t="n"/>
      <c r="K8" s="16" t="n"/>
      <c r="L8" s="16" t="n"/>
      <c r="M8" s="16" t="n"/>
      <c r="N8" s="16" t="n"/>
      <c r="O8" s="16" t="n"/>
      <c r="P8" s="16" t="n"/>
      <c r="Q8" s="16" t="n"/>
      <c r="R8" s="16" t="n"/>
    </row>
    <row r="9">
      <c r="A9">
        <f>IF(B9&lt;&gt;"","NET-DEV-" &amp; TEXT(6,"000"),"")</f>
        <v/>
      </c>
      <c r="B9" s="16" t="n"/>
      <c r="C9" s="16" t="n"/>
      <c r="D9" s="16" t="n"/>
      <c r="E9" s="16" t="n"/>
      <c r="F9" s="16" t="n"/>
      <c r="G9" s="16" t="n"/>
      <c r="H9" s="16" t="n"/>
      <c r="I9" s="16" t="n"/>
      <c r="J9" s="16" t="n"/>
      <c r="K9" s="16" t="n"/>
      <c r="L9" s="16" t="n"/>
      <c r="M9" s="16" t="n"/>
      <c r="N9" s="16" t="n"/>
      <c r="O9" s="16" t="n"/>
      <c r="P9" s="16" t="n"/>
      <c r="Q9" s="16" t="n"/>
      <c r="R9" s="16" t="n"/>
    </row>
    <row r="10">
      <c r="A10">
        <f>IF(B10&lt;&gt;"","NET-DEV-" &amp; TEXT(7,"000"),"")</f>
        <v/>
      </c>
      <c r="B10" s="16" t="n"/>
      <c r="C10" s="16" t="n"/>
      <c r="D10" s="16" t="n"/>
      <c r="E10" s="16" t="n"/>
      <c r="F10" s="16" t="n"/>
      <c r="G10" s="16" t="n"/>
      <c r="H10" s="16" t="n"/>
      <c r="I10" s="16" t="n"/>
      <c r="J10" s="16" t="n"/>
      <c r="K10" s="16" t="n"/>
      <c r="L10" s="16" t="n"/>
      <c r="M10" s="16" t="n"/>
      <c r="N10" s="16" t="n"/>
      <c r="O10" s="16" t="n"/>
      <c r="P10" s="16" t="n"/>
      <c r="Q10" s="16" t="n"/>
      <c r="R10" s="16" t="n"/>
    </row>
    <row r="11">
      <c r="A11">
        <f>IF(B11&lt;&gt;"","NET-DEV-" &amp; TEXT(8,"000"),"")</f>
        <v/>
      </c>
      <c r="B11" s="16" t="n"/>
      <c r="C11" s="16" t="n"/>
      <c r="D11" s="16" t="n"/>
      <c r="E11" s="16" t="n"/>
      <c r="F11" s="16" t="n"/>
      <c r="G11" s="16" t="n"/>
      <c r="H11" s="16" t="n"/>
      <c r="I11" s="16" t="n"/>
      <c r="J11" s="16" t="n"/>
      <c r="K11" s="16" t="n"/>
      <c r="L11" s="16" t="n"/>
      <c r="M11" s="16" t="n"/>
      <c r="N11" s="16" t="n"/>
      <c r="O11" s="16" t="n"/>
      <c r="P11" s="16" t="n"/>
      <c r="Q11" s="16" t="n"/>
      <c r="R11" s="16" t="n"/>
    </row>
    <row r="12">
      <c r="A12">
        <f>IF(B12&lt;&gt;"","NET-DEV-" &amp; TEXT(9,"000"),"")</f>
        <v/>
      </c>
      <c r="B12" s="16" t="n"/>
      <c r="C12" s="16" t="n"/>
      <c r="D12" s="16" t="n"/>
      <c r="E12" s="16" t="n"/>
      <c r="F12" s="16" t="n"/>
      <c r="G12" s="16" t="n"/>
      <c r="H12" s="16" t="n"/>
      <c r="I12" s="16" t="n"/>
      <c r="J12" s="16" t="n"/>
      <c r="K12" s="16" t="n"/>
      <c r="L12" s="16" t="n"/>
      <c r="M12" s="16" t="n"/>
      <c r="N12" s="16" t="n"/>
      <c r="O12" s="16" t="n"/>
      <c r="P12" s="16" t="n"/>
      <c r="Q12" s="16" t="n"/>
      <c r="R12" s="16" t="n"/>
    </row>
    <row r="13">
      <c r="A13">
        <f>IF(B13&lt;&gt;"","NET-DEV-" &amp; TEXT(10,"000"),"")</f>
        <v/>
      </c>
      <c r="B13" s="16" t="n"/>
      <c r="C13" s="16" t="n"/>
      <c r="D13" s="16" t="n"/>
      <c r="E13" s="16" t="n"/>
      <c r="F13" s="16" t="n"/>
      <c r="G13" s="16" t="n"/>
      <c r="H13" s="16" t="n"/>
      <c r="I13" s="16" t="n"/>
      <c r="J13" s="16" t="n"/>
      <c r="K13" s="16" t="n"/>
      <c r="L13" s="16" t="n"/>
      <c r="M13" s="16" t="n"/>
      <c r="N13" s="16" t="n"/>
      <c r="O13" s="16" t="n"/>
      <c r="P13" s="16" t="n"/>
      <c r="Q13" s="16" t="n"/>
      <c r="R13" s="16" t="n"/>
    </row>
    <row r="14">
      <c r="A14">
        <f>IF(B14&lt;&gt;"","NET-DEV-" &amp; TEXT(11,"000"),"")</f>
        <v/>
      </c>
      <c r="B14" s="16" t="n"/>
      <c r="C14" s="16" t="n"/>
      <c r="D14" s="16" t="n"/>
      <c r="E14" s="16" t="n"/>
      <c r="F14" s="16" t="n"/>
      <c r="G14" s="16" t="n"/>
      <c r="H14" s="16" t="n"/>
      <c r="I14" s="16" t="n"/>
      <c r="J14" s="16" t="n"/>
      <c r="K14" s="16" t="n"/>
      <c r="L14" s="16" t="n"/>
      <c r="M14" s="16" t="n"/>
      <c r="N14" s="16" t="n"/>
      <c r="O14" s="16" t="n"/>
      <c r="P14" s="16" t="n"/>
      <c r="Q14" s="16" t="n"/>
      <c r="R14" s="16" t="n"/>
    </row>
    <row r="15">
      <c r="A15">
        <f>IF(B15&lt;&gt;"","NET-DEV-" &amp; TEXT(12,"000"),"")</f>
        <v/>
      </c>
      <c r="B15" s="16" t="n"/>
      <c r="C15" s="16" t="n"/>
      <c r="D15" s="16" t="n"/>
      <c r="E15" s="16" t="n"/>
      <c r="F15" s="16" t="n"/>
      <c r="G15" s="16" t="n"/>
      <c r="H15" s="16" t="n"/>
      <c r="I15" s="16" t="n"/>
      <c r="J15" s="16" t="n"/>
      <c r="K15" s="16" t="n"/>
      <c r="L15" s="16" t="n"/>
      <c r="M15" s="16" t="n"/>
      <c r="N15" s="16" t="n"/>
      <c r="O15" s="16" t="n"/>
      <c r="P15" s="16" t="n"/>
      <c r="Q15" s="16" t="n"/>
      <c r="R15" s="16" t="n"/>
    </row>
    <row r="16">
      <c r="A16">
        <f>IF(B16&lt;&gt;"","NET-DEV-" &amp; TEXT(13,"000"),"")</f>
        <v/>
      </c>
      <c r="B16" s="16" t="n"/>
      <c r="C16" s="16" t="n"/>
      <c r="D16" s="16" t="n"/>
      <c r="E16" s="16" t="n"/>
      <c r="F16" s="16" t="n"/>
      <c r="G16" s="16" t="n"/>
      <c r="H16" s="16" t="n"/>
      <c r="I16" s="16" t="n"/>
      <c r="J16" s="16" t="n"/>
      <c r="K16" s="16" t="n"/>
      <c r="L16" s="16" t="n"/>
      <c r="M16" s="16" t="n"/>
      <c r="N16" s="16" t="n"/>
      <c r="O16" s="16" t="n"/>
      <c r="P16" s="16" t="n"/>
      <c r="Q16" s="16" t="n"/>
      <c r="R16" s="16" t="n"/>
    </row>
    <row r="17">
      <c r="A17">
        <f>IF(B17&lt;&gt;"","NET-DEV-" &amp; TEXT(14,"000"),"")</f>
        <v/>
      </c>
      <c r="B17" s="16" t="n"/>
      <c r="C17" s="16" t="n"/>
      <c r="D17" s="16" t="n"/>
      <c r="E17" s="16" t="n"/>
      <c r="F17" s="16" t="n"/>
      <c r="G17" s="16" t="n"/>
      <c r="H17" s="16" t="n"/>
      <c r="I17" s="16" t="n"/>
      <c r="J17" s="16" t="n"/>
      <c r="K17" s="16" t="n"/>
      <c r="L17" s="16" t="n"/>
      <c r="M17" s="16" t="n"/>
      <c r="N17" s="16" t="n"/>
      <c r="O17" s="16" t="n"/>
      <c r="P17" s="16" t="n"/>
      <c r="Q17" s="16" t="n"/>
      <c r="R17" s="16" t="n"/>
    </row>
    <row r="18">
      <c r="A18">
        <f>IF(B18&lt;&gt;"","NET-DEV-" &amp; TEXT(15,"000"),"")</f>
        <v/>
      </c>
      <c r="B18" s="16" t="n"/>
      <c r="C18" s="16" t="n"/>
      <c r="D18" s="16" t="n"/>
      <c r="E18" s="16" t="n"/>
      <c r="F18" s="16" t="n"/>
      <c r="G18" s="16" t="n"/>
      <c r="H18" s="16" t="n"/>
      <c r="I18" s="16" t="n"/>
      <c r="J18" s="16" t="n"/>
      <c r="K18" s="16" t="n"/>
      <c r="L18" s="16" t="n"/>
      <c r="M18" s="16" t="n"/>
      <c r="N18" s="16" t="n"/>
      <c r="O18" s="16" t="n"/>
      <c r="P18" s="16" t="n"/>
      <c r="Q18" s="16" t="n"/>
      <c r="R18" s="16" t="n"/>
    </row>
    <row r="19">
      <c r="A19">
        <f>IF(B19&lt;&gt;"","NET-DEV-" &amp; TEXT(16,"000"),"")</f>
        <v/>
      </c>
      <c r="B19" s="16" t="n"/>
      <c r="C19" s="16" t="n"/>
      <c r="D19" s="16" t="n"/>
      <c r="E19" s="16" t="n"/>
      <c r="F19" s="16" t="n"/>
      <c r="G19" s="16" t="n"/>
      <c r="H19" s="16" t="n"/>
      <c r="I19" s="16" t="n"/>
      <c r="J19" s="16" t="n"/>
      <c r="K19" s="16" t="n"/>
      <c r="L19" s="16" t="n"/>
      <c r="M19" s="16" t="n"/>
      <c r="N19" s="16" t="n"/>
      <c r="O19" s="16" t="n"/>
      <c r="P19" s="16" t="n"/>
      <c r="Q19" s="16" t="n"/>
      <c r="R19" s="16" t="n"/>
    </row>
    <row r="20">
      <c r="A20">
        <f>IF(B20&lt;&gt;"","NET-DEV-" &amp; TEXT(17,"000"),"")</f>
        <v/>
      </c>
      <c r="B20" s="16" t="n"/>
      <c r="C20" s="16" t="n"/>
      <c r="D20" s="16" t="n"/>
      <c r="E20" s="16" t="n"/>
      <c r="F20" s="16" t="n"/>
      <c r="G20" s="16" t="n"/>
      <c r="H20" s="16" t="n"/>
      <c r="I20" s="16" t="n"/>
      <c r="J20" s="16" t="n"/>
      <c r="K20" s="16" t="n"/>
      <c r="L20" s="16" t="n"/>
      <c r="M20" s="16" t="n"/>
      <c r="N20" s="16" t="n"/>
      <c r="O20" s="16" t="n"/>
      <c r="P20" s="16" t="n"/>
      <c r="Q20" s="16" t="n"/>
      <c r="R20" s="16" t="n"/>
    </row>
    <row r="21">
      <c r="A21">
        <f>IF(B21&lt;&gt;"","NET-DEV-" &amp; TEXT(18,"000"),"")</f>
        <v/>
      </c>
      <c r="B21" s="16" t="n"/>
      <c r="C21" s="16" t="n"/>
      <c r="D21" s="16" t="n"/>
      <c r="E21" s="16" t="n"/>
      <c r="F21" s="16" t="n"/>
      <c r="G21" s="16" t="n"/>
      <c r="H21" s="16" t="n"/>
      <c r="I21" s="16" t="n"/>
      <c r="J21" s="16" t="n"/>
      <c r="K21" s="16" t="n"/>
      <c r="L21" s="16" t="n"/>
      <c r="M21" s="16" t="n"/>
      <c r="N21" s="16" t="n"/>
      <c r="O21" s="16" t="n"/>
      <c r="P21" s="16" t="n"/>
      <c r="Q21" s="16" t="n"/>
      <c r="R21" s="16" t="n"/>
    </row>
    <row r="22">
      <c r="A22">
        <f>IF(B22&lt;&gt;"","NET-DEV-" &amp; TEXT(19,"000"),"")</f>
        <v/>
      </c>
      <c r="B22" s="16" t="n"/>
      <c r="C22" s="16" t="n"/>
      <c r="D22" s="16" t="n"/>
      <c r="E22" s="16" t="n"/>
      <c r="F22" s="16" t="n"/>
      <c r="G22" s="16" t="n"/>
      <c r="H22" s="16" t="n"/>
      <c r="I22" s="16" t="n"/>
      <c r="J22" s="16" t="n"/>
      <c r="K22" s="16" t="n"/>
      <c r="L22" s="16" t="n"/>
      <c r="M22" s="16" t="n"/>
      <c r="N22" s="16" t="n"/>
      <c r="O22" s="16" t="n"/>
      <c r="P22" s="16" t="n"/>
      <c r="Q22" s="16" t="n"/>
      <c r="R22" s="16" t="n"/>
    </row>
    <row r="23">
      <c r="A23">
        <f>IF(B23&lt;&gt;"","NET-DEV-" &amp; TEXT(20,"000"),"")</f>
        <v/>
      </c>
      <c r="B23" s="16" t="n"/>
      <c r="C23" s="16" t="n"/>
      <c r="D23" s="16" t="n"/>
      <c r="E23" s="16" t="n"/>
      <c r="F23" s="16" t="n"/>
      <c r="G23" s="16" t="n"/>
      <c r="H23" s="16" t="n"/>
      <c r="I23" s="16" t="n"/>
      <c r="J23" s="16" t="n"/>
      <c r="K23" s="16" t="n"/>
      <c r="L23" s="16" t="n"/>
      <c r="M23" s="16" t="n"/>
      <c r="N23" s="16" t="n"/>
      <c r="O23" s="16" t="n"/>
      <c r="P23" s="16" t="n"/>
      <c r="Q23" s="16" t="n"/>
      <c r="R23" s="16" t="n"/>
    </row>
    <row r="24">
      <c r="A24">
        <f>IF(B24&lt;&gt;"","NET-DEV-" &amp; TEXT(21,"000"),"")</f>
        <v/>
      </c>
      <c r="B24" s="16" t="n"/>
      <c r="C24" s="16" t="n"/>
      <c r="D24" s="16" t="n"/>
      <c r="E24" s="16" t="n"/>
      <c r="F24" s="16" t="n"/>
      <c r="G24" s="16" t="n"/>
      <c r="H24" s="16" t="n"/>
      <c r="I24" s="16" t="n"/>
      <c r="J24" s="16" t="n"/>
      <c r="K24" s="16" t="n"/>
      <c r="L24" s="16" t="n"/>
      <c r="M24" s="16" t="n"/>
      <c r="N24" s="16" t="n"/>
      <c r="O24" s="16" t="n"/>
      <c r="P24" s="16" t="n"/>
      <c r="Q24" s="16" t="n"/>
      <c r="R24" s="16" t="n"/>
    </row>
    <row r="25">
      <c r="A25">
        <f>IF(B25&lt;&gt;"","NET-DEV-" &amp; TEXT(22,"000"),"")</f>
        <v/>
      </c>
      <c r="B25" s="16" t="n"/>
      <c r="C25" s="16" t="n"/>
      <c r="D25" s="16" t="n"/>
      <c r="E25" s="16" t="n"/>
      <c r="F25" s="16" t="n"/>
      <c r="G25" s="16" t="n"/>
      <c r="H25" s="16" t="n"/>
      <c r="I25" s="16" t="n"/>
      <c r="J25" s="16" t="n"/>
      <c r="K25" s="16" t="n"/>
      <c r="L25" s="16" t="n"/>
      <c r="M25" s="16" t="n"/>
      <c r="N25" s="16" t="n"/>
      <c r="O25" s="16" t="n"/>
      <c r="P25" s="16" t="n"/>
      <c r="Q25" s="16" t="n"/>
      <c r="R25" s="16" t="n"/>
    </row>
    <row r="26">
      <c r="A26">
        <f>IF(B26&lt;&gt;"","NET-DEV-" &amp; TEXT(23,"000"),"")</f>
        <v/>
      </c>
      <c r="B26" s="16" t="n"/>
      <c r="C26" s="16" t="n"/>
      <c r="D26" s="16" t="n"/>
      <c r="E26" s="16" t="n"/>
      <c r="F26" s="16" t="n"/>
      <c r="G26" s="16" t="n"/>
      <c r="H26" s="16" t="n"/>
      <c r="I26" s="16" t="n"/>
      <c r="J26" s="16" t="n"/>
      <c r="K26" s="16" t="n"/>
      <c r="L26" s="16" t="n"/>
      <c r="M26" s="16" t="n"/>
      <c r="N26" s="16" t="n"/>
      <c r="O26" s="16" t="n"/>
      <c r="P26" s="16" t="n"/>
      <c r="Q26" s="16" t="n"/>
      <c r="R26" s="16" t="n"/>
    </row>
    <row r="27">
      <c r="A27">
        <f>IF(B27&lt;&gt;"","NET-DEV-" &amp; TEXT(24,"000"),"")</f>
        <v/>
      </c>
      <c r="B27" s="16" t="n"/>
      <c r="C27" s="16" t="n"/>
      <c r="D27" s="16" t="n"/>
      <c r="E27" s="16" t="n"/>
      <c r="F27" s="16" t="n"/>
      <c r="G27" s="16" t="n"/>
      <c r="H27" s="16" t="n"/>
      <c r="I27" s="16" t="n"/>
      <c r="J27" s="16" t="n"/>
      <c r="K27" s="16" t="n"/>
      <c r="L27" s="16" t="n"/>
      <c r="M27" s="16" t="n"/>
      <c r="N27" s="16" t="n"/>
      <c r="O27" s="16" t="n"/>
      <c r="P27" s="16" t="n"/>
      <c r="Q27" s="16" t="n"/>
      <c r="R27" s="16" t="n"/>
    </row>
    <row r="28">
      <c r="A28">
        <f>IF(B28&lt;&gt;"","NET-DEV-" &amp; TEXT(25,"000"),"")</f>
        <v/>
      </c>
      <c r="B28" s="16" t="n"/>
      <c r="C28" s="16" t="n"/>
      <c r="D28" s="16" t="n"/>
      <c r="E28" s="16" t="n"/>
      <c r="F28" s="16" t="n"/>
      <c r="G28" s="16" t="n"/>
      <c r="H28" s="16" t="n"/>
      <c r="I28" s="16" t="n"/>
      <c r="J28" s="16" t="n"/>
      <c r="K28" s="16" t="n"/>
      <c r="L28" s="16" t="n"/>
      <c r="M28" s="16" t="n"/>
      <c r="N28" s="16" t="n"/>
      <c r="O28" s="16" t="n"/>
      <c r="P28" s="16" t="n"/>
      <c r="Q28" s="16" t="n"/>
      <c r="R28" s="16" t="n"/>
    </row>
    <row r="29">
      <c r="A29">
        <f>IF(B29&lt;&gt;"","NET-DEV-" &amp; TEXT(26,"000"),"")</f>
        <v/>
      </c>
      <c r="B29" s="16" t="n"/>
      <c r="C29" s="16" t="n"/>
      <c r="D29" s="16" t="n"/>
      <c r="E29" s="16" t="n"/>
      <c r="F29" s="16" t="n"/>
      <c r="G29" s="16" t="n"/>
      <c r="H29" s="16" t="n"/>
      <c r="I29" s="16" t="n"/>
      <c r="J29" s="16" t="n"/>
      <c r="K29" s="16" t="n"/>
      <c r="L29" s="16" t="n"/>
      <c r="M29" s="16" t="n"/>
      <c r="N29" s="16" t="n"/>
      <c r="O29" s="16" t="n"/>
      <c r="P29" s="16" t="n"/>
      <c r="Q29" s="16" t="n"/>
      <c r="R29" s="16" t="n"/>
    </row>
    <row r="30">
      <c r="A30">
        <f>IF(B30&lt;&gt;"","NET-DEV-" &amp; TEXT(27,"000"),"")</f>
        <v/>
      </c>
      <c r="B30" s="16" t="n"/>
      <c r="C30" s="16" t="n"/>
      <c r="D30" s="16" t="n"/>
      <c r="E30" s="16" t="n"/>
      <c r="F30" s="16" t="n"/>
      <c r="G30" s="16" t="n"/>
      <c r="H30" s="16" t="n"/>
      <c r="I30" s="16" t="n"/>
      <c r="J30" s="16" t="n"/>
      <c r="K30" s="16" t="n"/>
      <c r="L30" s="16" t="n"/>
      <c r="M30" s="16" t="n"/>
      <c r="N30" s="16" t="n"/>
      <c r="O30" s="16" t="n"/>
      <c r="P30" s="16" t="n"/>
      <c r="Q30" s="16" t="n"/>
      <c r="R30" s="16" t="n"/>
    </row>
    <row r="31">
      <c r="A31">
        <f>IF(B31&lt;&gt;"","NET-DEV-" &amp; TEXT(28,"000"),"")</f>
        <v/>
      </c>
      <c r="B31" s="16" t="n"/>
      <c r="C31" s="16" t="n"/>
      <c r="D31" s="16" t="n"/>
      <c r="E31" s="16" t="n"/>
      <c r="F31" s="16" t="n"/>
      <c r="G31" s="16" t="n"/>
      <c r="H31" s="16" t="n"/>
      <c r="I31" s="16" t="n"/>
      <c r="J31" s="16" t="n"/>
      <c r="K31" s="16" t="n"/>
      <c r="L31" s="16" t="n"/>
      <c r="M31" s="16" t="n"/>
      <c r="N31" s="16" t="n"/>
      <c r="O31" s="16" t="n"/>
      <c r="P31" s="16" t="n"/>
      <c r="Q31" s="16" t="n"/>
      <c r="R31" s="16" t="n"/>
    </row>
    <row r="32">
      <c r="A32">
        <f>IF(B32&lt;&gt;"","NET-DEV-" &amp; TEXT(29,"000"),"")</f>
        <v/>
      </c>
      <c r="B32" s="16" t="n"/>
      <c r="C32" s="16" t="n"/>
      <c r="D32" s="16" t="n"/>
      <c r="E32" s="16" t="n"/>
      <c r="F32" s="16" t="n"/>
      <c r="G32" s="16" t="n"/>
      <c r="H32" s="16" t="n"/>
      <c r="I32" s="16" t="n"/>
      <c r="J32" s="16" t="n"/>
      <c r="K32" s="16" t="n"/>
      <c r="L32" s="16" t="n"/>
      <c r="M32" s="16" t="n"/>
      <c r="N32" s="16" t="n"/>
      <c r="O32" s="16" t="n"/>
      <c r="P32" s="16" t="n"/>
      <c r="Q32" s="16" t="n"/>
      <c r="R32" s="16" t="n"/>
    </row>
    <row r="33">
      <c r="A33">
        <f>IF(B33&lt;&gt;"","NET-DEV-" &amp; TEXT(30,"000"),"")</f>
        <v/>
      </c>
      <c r="B33" s="16" t="n"/>
      <c r="C33" s="16" t="n"/>
      <c r="D33" s="16" t="n"/>
      <c r="E33" s="16" t="n"/>
      <c r="F33" s="16" t="n"/>
      <c r="G33" s="16" t="n"/>
      <c r="H33" s="16" t="n"/>
      <c r="I33" s="16" t="n"/>
      <c r="J33" s="16" t="n"/>
      <c r="K33" s="16" t="n"/>
      <c r="L33" s="16" t="n"/>
      <c r="M33" s="16" t="n"/>
      <c r="N33" s="16" t="n"/>
      <c r="O33" s="16" t="n"/>
      <c r="P33" s="16" t="n"/>
      <c r="Q33" s="16" t="n"/>
      <c r="R33" s="16" t="n"/>
    </row>
    <row r="34">
      <c r="A34">
        <f>IF(B34&lt;&gt;"","NET-DEV-" &amp; TEXT(31,"000"),"")</f>
        <v/>
      </c>
      <c r="B34" s="16" t="n"/>
      <c r="C34" s="16" t="n"/>
      <c r="D34" s="16" t="n"/>
      <c r="E34" s="16" t="n"/>
      <c r="F34" s="16" t="n"/>
      <c r="G34" s="16" t="n"/>
      <c r="H34" s="16" t="n"/>
      <c r="I34" s="16" t="n"/>
      <c r="J34" s="16" t="n"/>
      <c r="K34" s="16" t="n"/>
      <c r="L34" s="16" t="n"/>
      <c r="M34" s="16" t="n"/>
      <c r="N34" s="16" t="n"/>
      <c r="O34" s="16" t="n"/>
      <c r="P34" s="16" t="n"/>
      <c r="Q34" s="16" t="n"/>
      <c r="R34" s="16" t="n"/>
    </row>
    <row r="35">
      <c r="A35">
        <f>IF(B35&lt;&gt;"","NET-DEV-" &amp; TEXT(32,"000"),"")</f>
        <v/>
      </c>
      <c r="B35" s="16" t="n"/>
      <c r="C35" s="16" t="n"/>
      <c r="D35" s="16" t="n"/>
      <c r="E35" s="16" t="n"/>
      <c r="F35" s="16" t="n"/>
      <c r="G35" s="16" t="n"/>
      <c r="H35" s="16" t="n"/>
      <c r="I35" s="16" t="n"/>
      <c r="J35" s="16" t="n"/>
      <c r="K35" s="16" t="n"/>
      <c r="L35" s="16" t="n"/>
      <c r="M35" s="16" t="n"/>
      <c r="N35" s="16" t="n"/>
      <c r="O35" s="16" t="n"/>
      <c r="P35" s="16" t="n"/>
      <c r="Q35" s="16" t="n"/>
      <c r="R35" s="16" t="n"/>
    </row>
    <row r="36">
      <c r="A36">
        <f>IF(B36&lt;&gt;"","NET-DEV-" &amp; TEXT(33,"000"),"")</f>
        <v/>
      </c>
      <c r="B36" s="16" t="n"/>
      <c r="C36" s="16" t="n"/>
      <c r="D36" s="16" t="n"/>
      <c r="E36" s="16" t="n"/>
      <c r="F36" s="16" t="n"/>
      <c r="G36" s="16" t="n"/>
      <c r="H36" s="16" t="n"/>
      <c r="I36" s="16" t="n"/>
      <c r="J36" s="16" t="n"/>
      <c r="K36" s="16" t="n"/>
      <c r="L36" s="16" t="n"/>
      <c r="M36" s="16" t="n"/>
      <c r="N36" s="16" t="n"/>
      <c r="O36" s="16" t="n"/>
      <c r="P36" s="16" t="n"/>
      <c r="Q36" s="16" t="n"/>
      <c r="R36" s="16" t="n"/>
    </row>
    <row r="37">
      <c r="A37">
        <f>IF(B37&lt;&gt;"","NET-DEV-" &amp; TEXT(34,"000"),"")</f>
        <v/>
      </c>
      <c r="B37" s="16" t="n"/>
      <c r="C37" s="16" t="n"/>
      <c r="D37" s="16" t="n"/>
      <c r="E37" s="16" t="n"/>
      <c r="F37" s="16" t="n"/>
      <c r="G37" s="16" t="n"/>
      <c r="H37" s="16" t="n"/>
      <c r="I37" s="16" t="n"/>
      <c r="J37" s="16" t="n"/>
      <c r="K37" s="16" t="n"/>
      <c r="L37" s="16" t="n"/>
      <c r="M37" s="16" t="n"/>
      <c r="N37" s="16" t="n"/>
      <c r="O37" s="16" t="n"/>
      <c r="P37" s="16" t="n"/>
      <c r="Q37" s="16" t="n"/>
      <c r="R37" s="16" t="n"/>
    </row>
    <row r="38">
      <c r="A38">
        <f>IF(B38&lt;&gt;"","NET-DEV-" &amp; TEXT(35,"000"),"")</f>
        <v/>
      </c>
      <c r="B38" s="16" t="n"/>
      <c r="C38" s="16" t="n"/>
      <c r="D38" s="16" t="n"/>
      <c r="E38" s="16" t="n"/>
      <c r="F38" s="16" t="n"/>
      <c r="G38" s="16" t="n"/>
      <c r="H38" s="16" t="n"/>
      <c r="I38" s="16" t="n"/>
      <c r="J38" s="16" t="n"/>
      <c r="K38" s="16" t="n"/>
      <c r="L38" s="16" t="n"/>
      <c r="M38" s="16" t="n"/>
      <c r="N38" s="16" t="n"/>
      <c r="O38" s="16" t="n"/>
      <c r="P38" s="16" t="n"/>
      <c r="Q38" s="16" t="n"/>
      <c r="R38" s="16" t="n"/>
    </row>
    <row r="39">
      <c r="A39">
        <f>IF(B39&lt;&gt;"","NET-DEV-" &amp; TEXT(36,"000"),"")</f>
        <v/>
      </c>
      <c r="B39" s="16" t="n"/>
      <c r="C39" s="16" t="n"/>
      <c r="D39" s="16" t="n"/>
      <c r="E39" s="16" t="n"/>
      <c r="F39" s="16" t="n"/>
      <c r="G39" s="16" t="n"/>
      <c r="H39" s="16" t="n"/>
      <c r="I39" s="16" t="n"/>
      <c r="J39" s="16" t="n"/>
      <c r="K39" s="16" t="n"/>
      <c r="L39" s="16" t="n"/>
      <c r="M39" s="16" t="n"/>
      <c r="N39" s="16" t="n"/>
      <c r="O39" s="16" t="n"/>
      <c r="P39" s="16" t="n"/>
      <c r="Q39" s="16" t="n"/>
      <c r="R39" s="16" t="n"/>
    </row>
    <row r="40">
      <c r="A40">
        <f>IF(B40&lt;&gt;"","NET-DEV-" &amp; TEXT(37,"000"),"")</f>
        <v/>
      </c>
      <c r="B40" s="16" t="n"/>
      <c r="C40" s="16" t="n"/>
      <c r="D40" s="16" t="n"/>
      <c r="E40" s="16" t="n"/>
      <c r="F40" s="16" t="n"/>
      <c r="G40" s="16" t="n"/>
      <c r="H40" s="16" t="n"/>
      <c r="I40" s="16" t="n"/>
      <c r="J40" s="16" t="n"/>
      <c r="K40" s="16" t="n"/>
      <c r="L40" s="16" t="n"/>
      <c r="M40" s="16" t="n"/>
      <c r="N40" s="16" t="n"/>
      <c r="O40" s="16" t="n"/>
      <c r="P40" s="16" t="n"/>
      <c r="Q40" s="16" t="n"/>
      <c r="R40" s="16" t="n"/>
    </row>
    <row r="41">
      <c r="A41">
        <f>IF(B41&lt;&gt;"","NET-DEV-" &amp; TEXT(38,"000"),"")</f>
        <v/>
      </c>
      <c r="B41" s="16" t="n"/>
      <c r="C41" s="16" t="n"/>
      <c r="D41" s="16" t="n"/>
      <c r="E41" s="16" t="n"/>
      <c r="F41" s="16" t="n"/>
      <c r="G41" s="16" t="n"/>
      <c r="H41" s="16" t="n"/>
      <c r="I41" s="16" t="n"/>
      <c r="J41" s="16" t="n"/>
      <c r="K41" s="16" t="n"/>
      <c r="L41" s="16" t="n"/>
      <c r="M41" s="16" t="n"/>
      <c r="N41" s="16" t="n"/>
      <c r="O41" s="16" t="n"/>
      <c r="P41" s="16" t="n"/>
      <c r="Q41" s="16" t="n"/>
      <c r="R41" s="16" t="n"/>
    </row>
    <row r="42">
      <c r="A42">
        <f>IF(B42&lt;&gt;"","NET-DEV-" &amp; TEXT(39,"000"),"")</f>
        <v/>
      </c>
      <c r="B42" s="16" t="n"/>
      <c r="C42" s="16" t="n"/>
      <c r="D42" s="16" t="n"/>
      <c r="E42" s="16" t="n"/>
      <c r="F42" s="16" t="n"/>
      <c r="G42" s="16" t="n"/>
      <c r="H42" s="16" t="n"/>
      <c r="I42" s="16" t="n"/>
      <c r="J42" s="16" t="n"/>
      <c r="K42" s="16" t="n"/>
      <c r="L42" s="16" t="n"/>
      <c r="M42" s="16" t="n"/>
      <c r="N42" s="16" t="n"/>
      <c r="O42" s="16" t="n"/>
      <c r="P42" s="16" t="n"/>
      <c r="Q42" s="16" t="n"/>
      <c r="R42" s="16" t="n"/>
    </row>
    <row r="43">
      <c r="A43">
        <f>IF(B43&lt;&gt;"","NET-DEV-" &amp; TEXT(40,"000"),"")</f>
        <v/>
      </c>
      <c r="B43" s="16" t="n"/>
      <c r="C43" s="16" t="n"/>
      <c r="D43" s="16" t="n"/>
      <c r="E43" s="16" t="n"/>
      <c r="F43" s="16" t="n"/>
      <c r="G43" s="16" t="n"/>
      <c r="H43" s="16" t="n"/>
      <c r="I43" s="16" t="n"/>
      <c r="J43" s="16" t="n"/>
      <c r="K43" s="16" t="n"/>
      <c r="L43" s="16" t="n"/>
      <c r="M43" s="16" t="n"/>
      <c r="N43" s="16" t="n"/>
      <c r="O43" s="16" t="n"/>
      <c r="P43" s="16" t="n"/>
      <c r="Q43" s="16" t="n"/>
      <c r="R43" s="16" t="n"/>
    </row>
    <row r="44">
      <c r="A44">
        <f>IF(B44&lt;&gt;"","NET-DEV-" &amp; TEXT(41,"000"),"")</f>
        <v/>
      </c>
      <c r="B44" s="16" t="n"/>
      <c r="C44" s="16" t="n"/>
      <c r="D44" s="16" t="n"/>
      <c r="E44" s="16" t="n"/>
      <c r="F44" s="16" t="n"/>
      <c r="G44" s="16" t="n"/>
      <c r="H44" s="16" t="n"/>
      <c r="I44" s="16" t="n"/>
      <c r="J44" s="16" t="n"/>
      <c r="K44" s="16" t="n"/>
      <c r="L44" s="16" t="n"/>
      <c r="M44" s="16" t="n"/>
      <c r="N44" s="16" t="n"/>
      <c r="O44" s="16" t="n"/>
      <c r="P44" s="16" t="n"/>
      <c r="Q44" s="16" t="n"/>
      <c r="R44" s="16" t="n"/>
    </row>
    <row r="45">
      <c r="A45">
        <f>IF(B45&lt;&gt;"","NET-DEV-" &amp; TEXT(42,"000"),"")</f>
        <v/>
      </c>
      <c r="B45" s="16" t="n"/>
      <c r="C45" s="16" t="n"/>
      <c r="D45" s="16" t="n"/>
      <c r="E45" s="16" t="n"/>
      <c r="F45" s="16" t="n"/>
      <c r="G45" s="16" t="n"/>
      <c r="H45" s="16" t="n"/>
      <c r="I45" s="16" t="n"/>
      <c r="J45" s="16" t="n"/>
      <c r="K45" s="16" t="n"/>
      <c r="L45" s="16" t="n"/>
      <c r="M45" s="16" t="n"/>
      <c r="N45" s="16" t="n"/>
      <c r="O45" s="16" t="n"/>
      <c r="P45" s="16" t="n"/>
      <c r="Q45" s="16" t="n"/>
      <c r="R45" s="16" t="n"/>
    </row>
    <row r="46">
      <c r="A46">
        <f>IF(B46&lt;&gt;"","NET-DEV-" &amp; TEXT(43,"000"),"")</f>
        <v/>
      </c>
      <c r="B46" s="16" t="n"/>
      <c r="C46" s="16" t="n"/>
      <c r="D46" s="16" t="n"/>
      <c r="E46" s="16" t="n"/>
      <c r="F46" s="16" t="n"/>
      <c r="G46" s="16" t="n"/>
      <c r="H46" s="16" t="n"/>
      <c r="I46" s="16" t="n"/>
      <c r="J46" s="16" t="n"/>
      <c r="K46" s="16" t="n"/>
      <c r="L46" s="16" t="n"/>
      <c r="M46" s="16" t="n"/>
      <c r="N46" s="16" t="n"/>
      <c r="O46" s="16" t="n"/>
      <c r="P46" s="16" t="n"/>
      <c r="Q46" s="16" t="n"/>
      <c r="R46" s="16" t="n"/>
    </row>
    <row r="47">
      <c r="A47">
        <f>IF(B47&lt;&gt;"","NET-DEV-" &amp; TEXT(44,"000"),"")</f>
        <v/>
      </c>
      <c r="B47" s="16" t="n"/>
      <c r="C47" s="16" t="n"/>
      <c r="D47" s="16" t="n"/>
      <c r="E47" s="16" t="n"/>
      <c r="F47" s="16" t="n"/>
      <c r="G47" s="16" t="n"/>
      <c r="H47" s="16" t="n"/>
      <c r="I47" s="16" t="n"/>
      <c r="J47" s="16" t="n"/>
      <c r="K47" s="16" t="n"/>
      <c r="L47" s="16" t="n"/>
      <c r="M47" s="16" t="n"/>
      <c r="N47" s="16" t="n"/>
      <c r="O47" s="16" t="n"/>
      <c r="P47" s="16" t="n"/>
      <c r="Q47" s="16" t="n"/>
      <c r="R47" s="16" t="n"/>
    </row>
    <row r="48">
      <c r="A48">
        <f>IF(B48&lt;&gt;"","NET-DEV-" &amp; TEXT(45,"000"),"")</f>
        <v/>
      </c>
      <c r="B48" s="16" t="n"/>
      <c r="C48" s="16" t="n"/>
      <c r="D48" s="16" t="n"/>
      <c r="E48" s="16" t="n"/>
      <c r="F48" s="16" t="n"/>
      <c r="G48" s="16" t="n"/>
      <c r="H48" s="16" t="n"/>
      <c r="I48" s="16" t="n"/>
      <c r="J48" s="16" t="n"/>
      <c r="K48" s="16" t="n"/>
      <c r="L48" s="16" t="n"/>
      <c r="M48" s="16" t="n"/>
      <c r="N48" s="16" t="n"/>
      <c r="O48" s="16" t="n"/>
      <c r="P48" s="16" t="n"/>
      <c r="Q48" s="16" t="n"/>
      <c r="R48" s="16" t="n"/>
    </row>
    <row r="49">
      <c r="A49">
        <f>IF(B49&lt;&gt;"","NET-DEV-" &amp; TEXT(46,"000"),"")</f>
        <v/>
      </c>
      <c r="B49" s="16" t="n"/>
      <c r="C49" s="16" t="n"/>
      <c r="D49" s="16" t="n"/>
      <c r="E49" s="16" t="n"/>
      <c r="F49" s="16" t="n"/>
      <c r="G49" s="16" t="n"/>
      <c r="H49" s="16" t="n"/>
      <c r="I49" s="16" t="n"/>
      <c r="J49" s="16" t="n"/>
      <c r="K49" s="16" t="n"/>
      <c r="L49" s="16" t="n"/>
      <c r="M49" s="16" t="n"/>
      <c r="N49" s="16" t="n"/>
      <c r="O49" s="16" t="n"/>
      <c r="P49" s="16" t="n"/>
      <c r="Q49" s="16" t="n"/>
      <c r="R49" s="16" t="n"/>
    </row>
    <row r="50">
      <c r="A50">
        <f>IF(B50&lt;&gt;"","NET-DEV-" &amp; TEXT(47,"000"),"")</f>
        <v/>
      </c>
      <c r="B50" s="16" t="n"/>
      <c r="C50" s="16" t="n"/>
      <c r="D50" s="16" t="n"/>
      <c r="E50" s="16" t="n"/>
      <c r="F50" s="16" t="n"/>
      <c r="G50" s="16" t="n"/>
      <c r="H50" s="16" t="n"/>
      <c r="I50" s="16" t="n"/>
      <c r="J50" s="16" t="n"/>
      <c r="K50" s="16" t="n"/>
      <c r="L50" s="16" t="n"/>
      <c r="M50" s="16" t="n"/>
      <c r="N50" s="16" t="n"/>
      <c r="O50" s="16" t="n"/>
      <c r="P50" s="16" t="n"/>
      <c r="Q50" s="16" t="n"/>
      <c r="R50" s="16" t="n"/>
    </row>
    <row r="51">
      <c r="A51">
        <f>IF(B51&lt;&gt;"","NET-DEV-" &amp; TEXT(48,"000"),"")</f>
        <v/>
      </c>
      <c r="B51" s="16" t="n"/>
      <c r="C51" s="16" t="n"/>
      <c r="D51" s="16" t="n"/>
      <c r="E51" s="16" t="n"/>
      <c r="F51" s="16" t="n"/>
      <c r="G51" s="16" t="n"/>
      <c r="H51" s="16" t="n"/>
      <c r="I51" s="16" t="n"/>
      <c r="J51" s="16" t="n"/>
      <c r="K51" s="16" t="n"/>
      <c r="L51" s="16" t="n"/>
      <c r="M51" s="16" t="n"/>
      <c r="N51" s="16" t="n"/>
      <c r="O51" s="16" t="n"/>
      <c r="P51" s="16" t="n"/>
      <c r="Q51" s="16" t="n"/>
      <c r="R51" s="16" t="n"/>
    </row>
    <row r="52">
      <c r="A52">
        <f>IF(B52&lt;&gt;"","NET-DEV-" &amp; TEXT(49,"000"),"")</f>
        <v/>
      </c>
      <c r="B52" s="16" t="n"/>
      <c r="C52" s="16" t="n"/>
      <c r="D52" s="16" t="n"/>
      <c r="E52" s="16" t="n"/>
      <c r="F52" s="16" t="n"/>
      <c r="G52" s="16" t="n"/>
      <c r="H52" s="16" t="n"/>
      <c r="I52" s="16" t="n"/>
      <c r="J52" s="16" t="n"/>
      <c r="K52" s="16" t="n"/>
      <c r="L52" s="16" t="n"/>
      <c r="M52" s="16" t="n"/>
      <c r="N52" s="16" t="n"/>
      <c r="O52" s="16" t="n"/>
      <c r="P52" s="16" t="n"/>
      <c r="Q52" s="16" t="n"/>
      <c r="R52" s="16" t="n"/>
    </row>
    <row r="53">
      <c r="A53">
        <f>IF(B53&lt;&gt;"","NET-DEV-" &amp; TEXT(50,"000"),"")</f>
        <v/>
      </c>
      <c r="B53" s="16" t="n"/>
      <c r="C53" s="16" t="n"/>
      <c r="D53" s="16" t="n"/>
      <c r="E53" s="16" t="n"/>
      <c r="F53" s="16" t="n"/>
      <c r="G53" s="16" t="n"/>
      <c r="H53" s="16" t="n"/>
      <c r="I53" s="16" t="n"/>
      <c r="J53" s="16" t="n"/>
      <c r="K53" s="16" t="n"/>
      <c r="L53" s="16" t="n"/>
      <c r="M53" s="16" t="n"/>
      <c r="N53" s="16" t="n"/>
      <c r="O53" s="16" t="n"/>
      <c r="P53" s="16" t="n"/>
      <c r="Q53" s="16" t="n"/>
      <c r="R53" s="16" t="n"/>
    </row>
    <row r="54">
      <c r="A54">
        <f>IF(B54&lt;&gt;"","NET-DEV-" &amp; TEXT(51,"000"),"")</f>
        <v/>
      </c>
      <c r="B54" s="16" t="n"/>
      <c r="C54" s="16" t="n"/>
      <c r="D54" s="16" t="n"/>
      <c r="E54" s="16" t="n"/>
      <c r="F54" s="16" t="n"/>
      <c r="G54" s="16" t="n"/>
      <c r="H54" s="16" t="n"/>
      <c r="I54" s="16" t="n"/>
      <c r="J54" s="16" t="n"/>
      <c r="K54" s="16" t="n"/>
      <c r="L54" s="16" t="n"/>
      <c r="M54" s="16" t="n"/>
      <c r="N54" s="16" t="n"/>
      <c r="O54" s="16" t="n"/>
      <c r="P54" s="16" t="n"/>
      <c r="Q54" s="16" t="n"/>
      <c r="R54" s="16" t="n"/>
    </row>
    <row r="55">
      <c r="A55">
        <f>IF(B55&lt;&gt;"","NET-DEV-" &amp; TEXT(52,"000"),"")</f>
        <v/>
      </c>
      <c r="B55" s="16" t="n"/>
      <c r="C55" s="16" t="n"/>
      <c r="D55" s="16" t="n"/>
      <c r="E55" s="16" t="n"/>
      <c r="F55" s="16" t="n"/>
      <c r="G55" s="16" t="n"/>
      <c r="H55" s="16" t="n"/>
      <c r="I55" s="16" t="n"/>
      <c r="J55" s="16" t="n"/>
      <c r="K55" s="16" t="n"/>
      <c r="L55" s="16" t="n"/>
      <c r="M55" s="16" t="n"/>
      <c r="N55" s="16" t="n"/>
      <c r="O55" s="16" t="n"/>
      <c r="P55" s="16" t="n"/>
      <c r="Q55" s="16" t="n"/>
      <c r="R55" s="16" t="n"/>
    </row>
    <row r="56">
      <c r="A56">
        <f>IF(B56&lt;&gt;"","NET-DEV-" &amp; TEXT(53,"000"),"")</f>
        <v/>
      </c>
      <c r="B56" s="16" t="n"/>
      <c r="C56" s="16" t="n"/>
      <c r="D56" s="16" t="n"/>
      <c r="E56" s="16" t="n"/>
      <c r="F56" s="16" t="n"/>
      <c r="G56" s="16" t="n"/>
      <c r="H56" s="16" t="n"/>
      <c r="I56" s="16" t="n"/>
      <c r="J56" s="16" t="n"/>
      <c r="K56" s="16" t="n"/>
      <c r="L56" s="16" t="n"/>
      <c r="M56" s="16" t="n"/>
      <c r="N56" s="16" t="n"/>
      <c r="O56" s="16" t="n"/>
      <c r="P56" s="16" t="n"/>
      <c r="Q56" s="16" t="n"/>
      <c r="R56" s="16" t="n"/>
    </row>
    <row r="57">
      <c r="A57">
        <f>IF(B57&lt;&gt;"","NET-DEV-" &amp; TEXT(54,"000"),"")</f>
        <v/>
      </c>
      <c r="B57" s="16" t="n"/>
      <c r="C57" s="16" t="n"/>
      <c r="D57" s="16" t="n"/>
      <c r="E57" s="16" t="n"/>
      <c r="F57" s="16" t="n"/>
      <c r="G57" s="16" t="n"/>
      <c r="H57" s="16" t="n"/>
      <c r="I57" s="16" t="n"/>
      <c r="J57" s="16" t="n"/>
      <c r="K57" s="16" t="n"/>
      <c r="L57" s="16" t="n"/>
      <c r="M57" s="16" t="n"/>
      <c r="N57" s="16" t="n"/>
      <c r="O57" s="16" t="n"/>
      <c r="P57" s="16" t="n"/>
      <c r="Q57" s="16" t="n"/>
      <c r="R57" s="16" t="n"/>
    </row>
    <row r="58">
      <c r="A58">
        <f>IF(B58&lt;&gt;"","NET-DEV-" &amp; TEXT(55,"000"),"")</f>
        <v/>
      </c>
      <c r="B58" s="16" t="n"/>
      <c r="C58" s="16" t="n"/>
      <c r="D58" s="16" t="n"/>
      <c r="E58" s="16" t="n"/>
      <c r="F58" s="16" t="n"/>
      <c r="G58" s="16" t="n"/>
      <c r="H58" s="16" t="n"/>
      <c r="I58" s="16" t="n"/>
      <c r="J58" s="16" t="n"/>
      <c r="K58" s="16" t="n"/>
      <c r="L58" s="16" t="n"/>
      <c r="M58" s="16" t="n"/>
      <c r="N58" s="16" t="n"/>
      <c r="O58" s="16" t="n"/>
      <c r="P58" s="16" t="n"/>
      <c r="Q58" s="16" t="n"/>
      <c r="R58" s="16" t="n"/>
    </row>
    <row r="59">
      <c r="A59">
        <f>IF(B59&lt;&gt;"","NET-DEV-" &amp; TEXT(56,"000"),"")</f>
        <v/>
      </c>
      <c r="B59" s="16" t="n"/>
      <c r="C59" s="16" t="n"/>
      <c r="D59" s="16" t="n"/>
      <c r="E59" s="16" t="n"/>
      <c r="F59" s="16" t="n"/>
      <c r="G59" s="16" t="n"/>
      <c r="H59" s="16" t="n"/>
      <c r="I59" s="16" t="n"/>
      <c r="J59" s="16" t="n"/>
      <c r="K59" s="16" t="n"/>
      <c r="L59" s="16" t="n"/>
      <c r="M59" s="16" t="n"/>
      <c r="N59" s="16" t="n"/>
      <c r="O59" s="16" t="n"/>
      <c r="P59" s="16" t="n"/>
      <c r="Q59" s="16" t="n"/>
      <c r="R59" s="16" t="n"/>
    </row>
    <row r="60">
      <c r="A60">
        <f>IF(B60&lt;&gt;"","NET-DEV-" &amp; TEXT(57,"000"),"")</f>
        <v/>
      </c>
      <c r="B60" s="16" t="n"/>
      <c r="C60" s="16" t="n"/>
      <c r="D60" s="16" t="n"/>
      <c r="E60" s="16" t="n"/>
      <c r="F60" s="16" t="n"/>
      <c r="G60" s="16" t="n"/>
      <c r="H60" s="16" t="n"/>
      <c r="I60" s="16" t="n"/>
      <c r="J60" s="16" t="n"/>
      <c r="K60" s="16" t="n"/>
      <c r="L60" s="16" t="n"/>
      <c r="M60" s="16" t="n"/>
      <c r="N60" s="16" t="n"/>
      <c r="O60" s="16" t="n"/>
      <c r="P60" s="16" t="n"/>
      <c r="Q60" s="16" t="n"/>
      <c r="R60" s="16" t="n"/>
    </row>
    <row r="61">
      <c r="A61">
        <f>IF(B61&lt;&gt;"","NET-DEV-" &amp; TEXT(58,"000"),"")</f>
        <v/>
      </c>
      <c r="B61" s="16" t="n"/>
      <c r="C61" s="16" t="n"/>
      <c r="D61" s="16" t="n"/>
      <c r="E61" s="16" t="n"/>
      <c r="F61" s="16" t="n"/>
      <c r="G61" s="16" t="n"/>
      <c r="H61" s="16" t="n"/>
      <c r="I61" s="16" t="n"/>
      <c r="J61" s="16" t="n"/>
      <c r="K61" s="16" t="n"/>
      <c r="L61" s="16" t="n"/>
      <c r="M61" s="16" t="n"/>
      <c r="N61" s="16" t="n"/>
      <c r="O61" s="16" t="n"/>
      <c r="P61" s="16" t="n"/>
      <c r="Q61" s="16" t="n"/>
      <c r="R61" s="16" t="n"/>
    </row>
    <row r="62">
      <c r="A62">
        <f>IF(B62&lt;&gt;"","NET-DEV-" &amp; TEXT(59,"000"),"")</f>
        <v/>
      </c>
      <c r="B62" s="16" t="n"/>
      <c r="C62" s="16" t="n"/>
      <c r="D62" s="16" t="n"/>
      <c r="E62" s="16" t="n"/>
      <c r="F62" s="16" t="n"/>
      <c r="G62" s="16" t="n"/>
      <c r="H62" s="16" t="n"/>
      <c r="I62" s="16" t="n"/>
      <c r="J62" s="16" t="n"/>
      <c r="K62" s="16" t="n"/>
      <c r="L62" s="16" t="n"/>
      <c r="M62" s="16" t="n"/>
      <c r="N62" s="16" t="n"/>
      <c r="O62" s="16" t="n"/>
      <c r="P62" s="16" t="n"/>
      <c r="Q62" s="16" t="n"/>
      <c r="R62" s="16" t="n"/>
    </row>
    <row r="63">
      <c r="A63">
        <f>IF(B63&lt;&gt;"","NET-DEV-" &amp; TEXT(60,"000"),"")</f>
        <v/>
      </c>
      <c r="B63" s="16" t="n"/>
      <c r="C63" s="16" t="n"/>
      <c r="D63" s="16" t="n"/>
      <c r="E63" s="16" t="n"/>
      <c r="F63" s="16" t="n"/>
      <c r="G63" s="16" t="n"/>
      <c r="H63" s="16" t="n"/>
      <c r="I63" s="16" t="n"/>
      <c r="J63" s="16" t="n"/>
      <c r="K63" s="16" t="n"/>
      <c r="L63" s="16" t="n"/>
      <c r="M63" s="16" t="n"/>
      <c r="N63" s="16" t="n"/>
      <c r="O63" s="16" t="n"/>
      <c r="P63" s="16" t="n"/>
      <c r="Q63" s="16" t="n"/>
      <c r="R63" s="16" t="n"/>
    </row>
    <row r="64">
      <c r="A64">
        <f>IF(B64&lt;&gt;"","NET-DEV-" &amp; TEXT(61,"000"),"")</f>
        <v/>
      </c>
      <c r="B64" s="16" t="n"/>
      <c r="C64" s="16" t="n"/>
      <c r="D64" s="16" t="n"/>
      <c r="E64" s="16" t="n"/>
      <c r="F64" s="16" t="n"/>
      <c r="G64" s="16" t="n"/>
      <c r="H64" s="16" t="n"/>
      <c r="I64" s="16" t="n"/>
      <c r="J64" s="16" t="n"/>
      <c r="K64" s="16" t="n"/>
      <c r="L64" s="16" t="n"/>
      <c r="M64" s="16" t="n"/>
      <c r="N64" s="16" t="n"/>
      <c r="O64" s="16" t="n"/>
      <c r="P64" s="16" t="n"/>
      <c r="Q64" s="16" t="n"/>
      <c r="R64" s="16" t="n"/>
    </row>
    <row r="65">
      <c r="A65">
        <f>IF(B65&lt;&gt;"","NET-DEV-" &amp; TEXT(62,"000"),"")</f>
        <v/>
      </c>
      <c r="B65" s="16" t="n"/>
      <c r="C65" s="16" t="n"/>
      <c r="D65" s="16" t="n"/>
      <c r="E65" s="16" t="n"/>
      <c r="F65" s="16" t="n"/>
      <c r="G65" s="16" t="n"/>
      <c r="H65" s="16" t="n"/>
      <c r="I65" s="16" t="n"/>
      <c r="J65" s="16" t="n"/>
      <c r="K65" s="16" t="n"/>
      <c r="L65" s="16" t="n"/>
      <c r="M65" s="16" t="n"/>
      <c r="N65" s="16" t="n"/>
      <c r="O65" s="16" t="n"/>
      <c r="P65" s="16" t="n"/>
      <c r="Q65" s="16" t="n"/>
      <c r="R65" s="16" t="n"/>
    </row>
    <row r="66">
      <c r="A66">
        <f>IF(B66&lt;&gt;"","NET-DEV-" &amp; TEXT(63,"000"),"")</f>
        <v/>
      </c>
      <c r="B66" s="16" t="n"/>
      <c r="C66" s="16" t="n"/>
      <c r="D66" s="16" t="n"/>
      <c r="E66" s="16" t="n"/>
      <c r="F66" s="16" t="n"/>
      <c r="G66" s="16" t="n"/>
      <c r="H66" s="16" t="n"/>
      <c r="I66" s="16" t="n"/>
      <c r="J66" s="16" t="n"/>
      <c r="K66" s="16" t="n"/>
      <c r="L66" s="16" t="n"/>
      <c r="M66" s="16" t="n"/>
      <c r="N66" s="16" t="n"/>
      <c r="O66" s="16" t="n"/>
      <c r="P66" s="16" t="n"/>
      <c r="Q66" s="16" t="n"/>
      <c r="R66" s="16" t="n"/>
    </row>
    <row r="67">
      <c r="A67">
        <f>IF(B67&lt;&gt;"","NET-DEV-" &amp; TEXT(64,"000"),"")</f>
        <v/>
      </c>
      <c r="B67" s="16" t="n"/>
      <c r="C67" s="16" t="n"/>
      <c r="D67" s="16" t="n"/>
      <c r="E67" s="16" t="n"/>
      <c r="F67" s="16" t="n"/>
      <c r="G67" s="16" t="n"/>
      <c r="H67" s="16" t="n"/>
      <c r="I67" s="16" t="n"/>
      <c r="J67" s="16" t="n"/>
      <c r="K67" s="16" t="n"/>
      <c r="L67" s="16" t="n"/>
      <c r="M67" s="16" t="n"/>
      <c r="N67" s="16" t="n"/>
      <c r="O67" s="16" t="n"/>
      <c r="P67" s="16" t="n"/>
      <c r="Q67" s="16" t="n"/>
      <c r="R67" s="16" t="n"/>
    </row>
    <row r="68">
      <c r="A68">
        <f>IF(B68&lt;&gt;"","NET-DEV-" &amp; TEXT(65,"000"),"")</f>
        <v/>
      </c>
      <c r="B68" s="16" t="n"/>
      <c r="C68" s="16" t="n"/>
      <c r="D68" s="16" t="n"/>
      <c r="E68" s="16" t="n"/>
      <c r="F68" s="16" t="n"/>
      <c r="G68" s="16" t="n"/>
      <c r="H68" s="16" t="n"/>
      <c r="I68" s="16" t="n"/>
      <c r="J68" s="16" t="n"/>
      <c r="K68" s="16" t="n"/>
      <c r="L68" s="16" t="n"/>
      <c r="M68" s="16" t="n"/>
      <c r="N68" s="16" t="n"/>
      <c r="O68" s="16" t="n"/>
      <c r="P68" s="16" t="n"/>
      <c r="Q68" s="16" t="n"/>
      <c r="R68" s="16" t="n"/>
    </row>
    <row r="69">
      <c r="A69">
        <f>IF(B69&lt;&gt;"","NET-DEV-" &amp; TEXT(66,"000"),"")</f>
        <v/>
      </c>
      <c r="B69" s="16" t="n"/>
      <c r="C69" s="16" t="n"/>
      <c r="D69" s="16" t="n"/>
      <c r="E69" s="16" t="n"/>
      <c r="F69" s="16" t="n"/>
      <c r="G69" s="16" t="n"/>
      <c r="H69" s="16" t="n"/>
      <c r="I69" s="16" t="n"/>
      <c r="J69" s="16" t="n"/>
      <c r="K69" s="16" t="n"/>
      <c r="L69" s="16" t="n"/>
      <c r="M69" s="16" t="n"/>
      <c r="N69" s="16" t="n"/>
      <c r="O69" s="16" t="n"/>
      <c r="P69" s="16" t="n"/>
      <c r="Q69" s="16" t="n"/>
      <c r="R69" s="16" t="n"/>
    </row>
    <row r="70">
      <c r="A70">
        <f>IF(B70&lt;&gt;"","NET-DEV-" &amp; TEXT(67,"000"),"")</f>
        <v/>
      </c>
      <c r="B70" s="16" t="n"/>
      <c r="C70" s="16" t="n"/>
      <c r="D70" s="16" t="n"/>
      <c r="E70" s="16" t="n"/>
      <c r="F70" s="16" t="n"/>
      <c r="G70" s="16" t="n"/>
      <c r="H70" s="16" t="n"/>
      <c r="I70" s="16" t="n"/>
      <c r="J70" s="16" t="n"/>
      <c r="K70" s="16" t="n"/>
      <c r="L70" s="16" t="n"/>
      <c r="M70" s="16" t="n"/>
      <c r="N70" s="16" t="n"/>
      <c r="O70" s="16" t="n"/>
      <c r="P70" s="16" t="n"/>
      <c r="Q70" s="16" t="n"/>
      <c r="R70" s="16" t="n"/>
    </row>
    <row r="71">
      <c r="A71">
        <f>IF(B71&lt;&gt;"","NET-DEV-" &amp; TEXT(68,"000"),"")</f>
        <v/>
      </c>
      <c r="B71" s="16" t="n"/>
      <c r="C71" s="16" t="n"/>
      <c r="D71" s="16" t="n"/>
      <c r="E71" s="16" t="n"/>
      <c r="F71" s="16" t="n"/>
      <c r="G71" s="16" t="n"/>
      <c r="H71" s="16" t="n"/>
      <c r="I71" s="16" t="n"/>
      <c r="J71" s="16" t="n"/>
      <c r="K71" s="16" t="n"/>
      <c r="L71" s="16" t="n"/>
      <c r="M71" s="16" t="n"/>
      <c r="N71" s="16" t="n"/>
      <c r="O71" s="16" t="n"/>
      <c r="P71" s="16" t="n"/>
      <c r="Q71" s="16" t="n"/>
      <c r="R71" s="16" t="n"/>
    </row>
    <row r="72">
      <c r="A72">
        <f>IF(B72&lt;&gt;"","NET-DEV-" &amp; TEXT(69,"000"),"")</f>
        <v/>
      </c>
      <c r="B72" s="16" t="n"/>
      <c r="C72" s="16" t="n"/>
      <c r="D72" s="16" t="n"/>
      <c r="E72" s="16" t="n"/>
      <c r="F72" s="16" t="n"/>
      <c r="G72" s="16" t="n"/>
      <c r="H72" s="16" t="n"/>
      <c r="I72" s="16" t="n"/>
      <c r="J72" s="16" t="n"/>
      <c r="K72" s="16" t="n"/>
      <c r="L72" s="16" t="n"/>
      <c r="M72" s="16" t="n"/>
      <c r="N72" s="16" t="n"/>
      <c r="O72" s="16" t="n"/>
      <c r="P72" s="16" t="n"/>
      <c r="Q72" s="16" t="n"/>
      <c r="R72" s="16" t="n"/>
    </row>
    <row r="73">
      <c r="A73">
        <f>IF(B73&lt;&gt;"","NET-DEV-" &amp; TEXT(70,"000"),"")</f>
        <v/>
      </c>
      <c r="B73" s="16" t="n"/>
      <c r="C73" s="16" t="n"/>
      <c r="D73" s="16" t="n"/>
      <c r="E73" s="16" t="n"/>
      <c r="F73" s="16" t="n"/>
      <c r="G73" s="16" t="n"/>
      <c r="H73" s="16" t="n"/>
      <c r="I73" s="16" t="n"/>
      <c r="J73" s="16" t="n"/>
      <c r="K73" s="16" t="n"/>
      <c r="L73" s="16" t="n"/>
      <c r="M73" s="16" t="n"/>
      <c r="N73" s="16" t="n"/>
      <c r="O73" s="16" t="n"/>
      <c r="P73" s="16" t="n"/>
      <c r="Q73" s="16" t="n"/>
      <c r="R73" s="16" t="n"/>
    </row>
    <row r="74">
      <c r="A74">
        <f>IF(B74&lt;&gt;"","NET-DEV-" &amp; TEXT(71,"000"),"")</f>
        <v/>
      </c>
      <c r="B74" s="16" t="n"/>
      <c r="C74" s="16" t="n"/>
      <c r="D74" s="16" t="n"/>
      <c r="E74" s="16" t="n"/>
      <c r="F74" s="16" t="n"/>
      <c r="G74" s="16" t="n"/>
      <c r="H74" s="16" t="n"/>
      <c r="I74" s="16" t="n"/>
      <c r="J74" s="16" t="n"/>
      <c r="K74" s="16" t="n"/>
      <c r="L74" s="16" t="n"/>
      <c r="M74" s="16" t="n"/>
      <c r="N74" s="16" t="n"/>
      <c r="O74" s="16" t="n"/>
      <c r="P74" s="16" t="n"/>
      <c r="Q74" s="16" t="n"/>
      <c r="R74" s="16" t="n"/>
    </row>
    <row r="75">
      <c r="A75">
        <f>IF(B75&lt;&gt;"","NET-DEV-" &amp; TEXT(72,"000"),"")</f>
        <v/>
      </c>
      <c r="B75" s="16" t="n"/>
      <c r="C75" s="16" t="n"/>
      <c r="D75" s="16" t="n"/>
      <c r="E75" s="16" t="n"/>
      <c r="F75" s="16" t="n"/>
      <c r="G75" s="16" t="n"/>
      <c r="H75" s="16" t="n"/>
      <c r="I75" s="16" t="n"/>
      <c r="J75" s="16" t="n"/>
      <c r="K75" s="16" t="n"/>
      <c r="L75" s="16" t="n"/>
      <c r="M75" s="16" t="n"/>
      <c r="N75" s="16" t="n"/>
      <c r="O75" s="16" t="n"/>
      <c r="P75" s="16" t="n"/>
      <c r="Q75" s="16" t="n"/>
      <c r="R75" s="16" t="n"/>
    </row>
    <row r="76">
      <c r="A76">
        <f>IF(B76&lt;&gt;"","NET-DEV-" &amp; TEXT(73,"000"),"")</f>
        <v/>
      </c>
      <c r="B76" s="16" t="n"/>
      <c r="C76" s="16" t="n"/>
      <c r="D76" s="16" t="n"/>
      <c r="E76" s="16" t="n"/>
      <c r="F76" s="16" t="n"/>
      <c r="G76" s="16" t="n"/>
      <c r="H76" s="16" t="n"/>
      <c r="I76" s="16" t="n"/>
      <c r="J76" s="16" t="n"/>
      <c r="K76" s="16" t="n"/>
      <c r="L76" s="16" t="n"/>
      <c r="M76" s="16" t="n"/>
      <c r="N76" s="16" t="n"/>
      <c r="O76" s="16" t="n"/>
      <c r="P76" s="16" t="n"/>
      <c r="Q76" s="16" t="n"/>
      <c r="R76" s="16" t="n"/>
    </row>
    <row r="77">
      <c r="A77">
        <f>IF(B77&lt;&gt;"","NET-DEV-" &amp; TEXT(74,"000"),"")</f>
        <v/>
      </c>
      <c r="B77" s="16" t="n"/>
      <c r="C77" s="16" t="n"/>
      <c r="D77" s="16" t="n"/>
      <c r="E77" s="16" t="n"/>
      <c r="F77" s="16" t="n"/>
      <c r="G77" s="16" t="n"/>
      <c r="H77" s="16" t="n"/>
      <c r="I77" s="16" t="n"/>
      <c r="J77" s="16" t="n"/>
      <c r="K77" s="16" t="n"/>
      <c r="L77" s="16" t="n"/>
      <c r="M77" s="16" t="n"/>
      <c r="N77" s="16" t="n"/>
      <c r="O77" s="16" t="n"/>
      <c r="P77" s="16" t="n"/>
      <c r="Q77" s="16" t="n"/>
      <c r="R77" s="16" t="n"/>
    </row>
    <row r="78">
      <c r="A78">
        <f>IF(B78&lt;&gt;"","NET-DEV-" &amp; TEXT(75,"000"),"")</f>
        <v/>
      </c>
      <c r="B78" s="16" t="n"/>
      <c r="C78" s="16" t="n"/>
      <c r="D78" s="16" t="n"/>
      <c r="E78" s="16" t="n"/>
      <c r="F78" s="16" t="n"/>
      <c r="G78" s="16" t="n"/>
      <c r="H78" s="16" t="n"/>
      <c r="I78" s="16" t="n"/>
      <c r="J78" s="16" t="n"/>
      <c r="K78" s="16" t="n"/>
      <c r="L78" s="16" t="n"/>
      <c r="M78" s="16" t="n"/>
      <c r="N78" s="16" t="n"/>
      <c r="O78" s="16" t="n"/>
      <c r="P78" s="16" t="n"/>
      <c r="Q78" s="16" t="n"/>
      <c r="R78" s="16" t="n"/>
    </row>
    <row r="79">
      <c r="A79">
        <f>IF(B79&lt;&gt;"","NET-DEV-" &amp; TEXT(76,"000"),"")</f>
        <v/>
      </c>
      <c r="B79" s="16" t="n"/>
      <c r="C79" s="16" t="n"/>
      <c r="D79" s="16" t="n"/>
      <c r="E79" s="16" t="n"/>
      <c r="F79" s="16" t="n"/>
      <c r="G79" s="16" t="n"/>
      <c r="H79" s="16" t="n"/>
      <c r="I79" s="16" t="n"/>
      <c r="J79" s="16" t="n"/>
      <c r="K79" s="16" t="n"/>
      <c r="L79" s="16" t="n"/>
      <c r="M79" s="16" t="n"/>
      <c r="N79" s="16" t="n"/>
      <c r="O79" s="16" t="n"/>
      <c r="P79" s="16" t="n"/>
      <c r="Q79" s="16" t="n"/>
      <c r="R79" s="16" t="n"/>
    </row>
    <row r="80">
      <c r="A80">
        <f>IF(B80&lt;&gt;"","NET-DEV-" &amp; TEXT(77,"000"),"")</f>
        <v/>
      </c>
      <c r="B80" s="16" t="n"/>
      <c r="C80" s="16" t="n"/>
      <c r="D80" s="16" t="n"/>
      <c r="E80" s="16" t="n"/>
      <c r="F80" s="16" t="n"/>
      <c r="G80" s="16" t="n"/>
      <c r="H80" s="16" t="n"/>
      <c r="I80" s="16" t="n"/>
      <c r="J80" s="16" t="n"/>
      <c r="K80" s="16" t="n"/>
      <c r="L80" s="16" t="n"/>
      <c r="M80" s="16" t="n"/>
      <c r="N80" s="16" t="n"/>
      <c r="O80" s="16" t="n"/>
      <c r="P80" s="16" t="n"/>
      <c r="Q80" s="16" t="n"/>
      <c r="R80" s="16" t="n"/>
    </row>
    <row r="81">
      <c r="A81">
        <f>IF(B81&lt;&gt;"","NET-DEV-" &amp; TEXT(78,"000"),"")</f>
        <v/>
      </c>
      <c r="B81" s="16" t="n"/>
      <c r="C81" s="16" t="n"/>
      <c r="D81" s="16" t="n"/>
      <c r="E81" s="16" t="n"/>
      <c r="F81" s="16" t="n"/>
      <c r="G81" s="16" t="n"/>
      <c r="H81" s="16" t="n"/>
      <c r="I81" s="16" t="n"/>
      <c r="J81" s="16" t="n"/>
      <c r="K81" s="16" t="n"/>
      <c r="L81" s="16" t="n"/>
      <c r="M81" s="16" t="n"/>
      <c r="N81" s="16" t="n"/>
      <c r="O81" s="16" t="n"/>
      <c r="P81" s="16" t="n"/>
      <c r="Q81" s="16" t="n"/>
      <c r="R81" s="16" t="n"/>
    </row>
    <row r="82">
      <c r="A82">
        <f>IF(B82&lt;&gt;"","NET-DEV-" &amp; TEXT(79,"000"),"")</f>
        <v/>
      </c>
      <c r="B82" s="16" t="n"/>
      <c r="C82" s="16" t="n"/>
      <c r="D82" s="16" t="n"/>
      <c r="E82" s="16" t="n"/>
      <c r="F82" s="16" t="n"/>
      <c r="G82" s="16" t="n"/>
      <c r="H82" s="16" t="n"/>
      <c r="I82" s="16" t="n"/>
      <c r="J82" s="16" t="n"/>
      <c r="K82" s="16" t="n"/>
      <c r="L82" s="16" t="n"/>
      <c r="M82" s="16" t="n"/>
      <c r="N82" s="16" t="n"/>
      <c r="O82" s="16" t="n"/>
      <c r="P82" s="16" t="n"/>
      <c r="Q82" s="16" t="n"/>
      <c r="R82" s="16" t="n"/>
    </row>
    <row r="83">
      <c r="A83">
        <f>IF(B83&lt;&gt;"","NET-DEV-" &amp; TEXT(80,"000"),"")</f>
        <v/>
      </c>
      <c r="B83" s="16" t="n"/>
      <c r="C83" s="16" t="n"/>
      <c r="D83" s="16" t="n"/>
      <c r="E83" s="16" t="n"/>
      <c r="F83" s="16" t="n"/>
      <c r="G83" s="16" t="n"/>
      <c r="H83" s="16" t="n"/>
      <c r="I83" s="16" t="n"/>
      <c r="J83" s="16" t="n"/>
      <c r="K83" s="16" t="n"/>
      <c r="L83" s="16" t="n"/>
      <c r="M83" s="16" t="n"/>
      <c r="N83" s="16" t="n"/>
      <c r="O83" s="16" t="n"/>
      <c r="P83" s="16" t="n"/>
      <c r="Q83" s="16" t="n"/>
      <c r="R83" s="16" t="n"/>
    </row>
    <row r="84">
      <c r="A84">
        <f>IF(B84&lt;&gt;"","NET-DEV-" &amp; TEXT(81,"000"),"")</f>
        <v/>
      </c>
      <c r="B84" s="16" t="n"/>
      <c r="C84" s="16" t="n"/>
      <c r="D84" s="16" t="n"/>
      <c r="E84" s="16" t="n"/>
      <c r="F84" s="16" t="n"/>
      <c r="G84" s="16" t="n"/>
      <c r="H84" s="16" t="n"/>
      <c r="I84" s="16" t="n"/>
      <c r="J84" s="16" t="n"/>
      <c r="K84" s="16" t="n"/>
      <c r="L84" s="16" t="n"/>
      <c r="M84" s="16" t="n"/>
      <c r="N84" s="16" t="n"/>
      <c r="O84" s="16" t="n"/>
      <c r="P84" s="16" t="n"/>
      <c r="Q84" s="16" t="n"/>
      <c r="R84" s="16" t="n"/>
    </row>
    <row r="85">
      <c r="A85">
        <f>IF(B85&lt;&gt;"","NET-DEV-" &amp; TEXT(82,"000"),"")</f>
        <v/>
      </c>
      <c r="B85" s="16" t="n"/>
      <c r="C85" s="16" t="n"/>
      <c r="D85" s="16" t="n"/>
      <c r="E85" s="16" t="n"/>
      <c r="F85" s="16" t="n"/>
      <c r="G85" s="16" t="n"/>
      <c r="H85" s="16" t="n"/>
      <c r="I85" s="16" t="n"/>
      <c r="J85" s="16" t="n"/>
      <c r="K85" s="16" t="n"/>
      <c r="L85" s="16" t="n"/>
      <c r="M85" s="16" t="n"/>
      <c r="N85" s="16" t="n"/>
      <c r="O85" s="16" t="n"/>
      <c r="P85" s="16" t="n"/>
      <c r="Q85" s="16" t="n"/>
      <c r="R85" s="16" t="n"/>
    </row>
    <row r="86">
      <c r="A86">
        <f>IF(B86&lt;&gt;"","NET-DEV-" &amp; TEXT(83,"000"),"")</f>
        <v/>
      </c>
      <c r="B86" s="16" t="n"/>
      <c r="C86" s="16" t="n"/>
      <c r="D86" s="16" t="n"/>
      <c r="E86" s="16" t="n"/>
      <c r="F86" s="16" t="n"/>
      <c r="G86" s="16" t="n"/>
      <c r="H86" s="16" t="n"/>
      <c r="I86" s="16" t="n"/>
      <c r="J86" s="16" t="n"/>
      <c r="K86" s="16" t="n"/>
      <c r="L86" s="16" t="n"/>
      <c r="M86" s="16" t="n"/>
      <c r="N86" s="16" t="n"/>
      <c r="O86" s="16" t="n"/>
      <c r="P86" s="16" t="n"/>
      <c r="Q86" s="16" t="n"/>
      <c r="R86" s="16" t="n"/>
    </row>
    <row r="87">
      <c r="A87">
        <f>IF(B87&lt;&gt;"","NET-DEV-" &amp; TEXT(84,"000"),"")</f>
        <v/>
      </c>
      <c r="B87" s="16" t="n"/>
      <c r="C87" s="16" t="n"/>
      <c r="D87" s="16" t="n"/>
      <c r="E87" s="16" t="n"/>
      <c r="F87" s="16" t="n"/>
      <c r="G87" s="16" t="n"/>
      <c r="H87" s="16" t="n"/>
      <c r="I87" s="16" t="n"/>
      <c r="J87" s="16" t="n"/>
      <c r="K87" s="16" t="n"/>
      <c r="L87" s="16" t="n"/>
      <c r="M87" s="16" t="n"/>
      <c r="N87" s="16" t="n"/>
      <c r="O87" s="16" t="n"/>
      <c r="P87" s="16" t="n"/>
      <c r="Q87" s="16" t="n"/>
      <c r="R87" s="16" t="n"/>
    </row>
    <row r="88">
      <c r="A88">
        <f>IF(B88&lt;&gt;"","NET-DEV-" &amp; TEXT(85,"000"),"")</f>
        <v/>
      </c>
      <c r="B88" s="16" t="n"/>
      <c r="C88" s="16" t="n"/>
      <c r="D88" s="16" t="n"/>
      <c r="E88" s="16" t="n"/>
      <c r="F88" s="16" t="n"/>
      <c r="G88" s="16" t="n"/>
      <c r="H88" s="16" t="n"/>
      <c r="I88" s="16" t="n"/>
      <c r="J88" s="16" t="n"/>
      <c r="K88" s="16" t="n"/>
      <c r="L88" s="16" t="n"/>
      <c r="M88" s="16" t="n"/>
      <c r="N88" s="16" t="n"/>
      <c r="O88" s="16" t="n"/>
      <c r="P88" s="16" t="n"/>
      <c r="Q88" s="16" t="n"/>
      <c r="R88" s="16" t="n"/>
    </row>
    <row r="89">
      <c r="A89">
        <f>IF(B89&lt;&gt;"","NET-DEV-" &amp; TEXT(86,"000"),"")</f>
        <v/>
      </c>
      <c r="B89" s="16" t="n"/>
      <c r="C89" s="16" t="n"/>
      <c r="D89" s="16" t="n"/>
      <c r="E89" s="16" t="n"/>
      <c r="F89" s="16" t="n"/>
      <c r="G89" s="16" t="n"/>
      <c r="H89" s="16" t="n"/>
      <c r="I89" s="16" t="n"/>
      <c r="J89" s="16" t="n"/>
      <c r="K89" s="16" t="n"/>
      <c r="L89" s="16" t="n"/>
      <c r="M89" s="16" t="n"/>
      <c r="N89" s="16" t="n"/>
      <c r="O89" s="16" t="n"/>
      <c r="P89" s="16" t="n"/>
      <c r="Q89" s="16" t="n"/>
      <c r="R89" s="16" t="n"/>
    </row>
    <row r="90">
      <c r="A90">
        <f>IF(B90&lt;&gt;"","NET-DEV-" &amp; TEXT(87,"000"),"")</f>
        <v/>
      </c>
      <c r="B90" s="16" t="n"/>
      <c r="C90" s="16" t="n"/>
      <c r="D90" s="16" t="n"/>
      <c r="E90" s="16" t="n"/>
      <c r="F90" s="16" t="n"/>
      <c r="G90" s="16" t="n"/>
      <c r="H90" s="16" t="n"/>
      <c r="I90" s="16" t="n"/>
      <c r="J90" s="16" t="n"/>
      <c r="K90" s="16" t="n"/>
      <c r="L90" s="16" t="n"/>
      <c r="M90" s="16" t="n"/>
      <c r="N90" s="16" t="n"/>
      <c r="O90" s="16" t="n"/>
      <c r="P90" s="16" t="n"/>
      <c r="Q90" s="16" t="n"/>
      <c r="R90" s="16" t="n"/>
    </row>
    <row r="91">
      <c r="A91">
        <f>IF(B91&lt;&gt;"","NET-DEV-" &amp; TEXT(88,"000"),"")</f>
        <v/>
      </c>
      <c r="B91" s="16" t="n"/>
      <c r="C91" s="16" t="n"/>
      <c r="D91" s="16" t="n"/>
      <c r="E91" s="16" t="n"/>
      <c r="F91" s="16" t="n"/>
      <c r="G91" s="16" t="n"/>
      <c r="H91" s="16" t="n"/>
      <c r="I91" s="16" t="n"/>
      <c r="J91" s="16" t="n"/>
      <c r="K91" s="16" t="n"/>
      <c r="L91" s="16" t="n"/>
      <c r="M91" s="16" t="n"/>
      <c r="N91" s="16" t="n"/>
      <c r="O91" s="16" t="n"/>
      <c r="P91" s="16" t="n"/>
      <c r="Q91" s="16" t="n"/>
      <c r="R91" s="16" t="n"/>
    </row>
    <row r="92">
      <c r="A92">
        <f>IF(B92&lt;&gt;"","NET-DEV-" &amp; TEXT(89,"000"),"")</f>
        <v/>
      </c>
      <c r="B92" s="16" t="n"/>
      <c r="C92" s="16" t="n"/>
      <c r="D92" s="16" t="n"/>
      <c r="E92" s="16" t="n"/>
      <c r="F92" s="16" t="n"/>
      <c r="G92" s="16" t="n"/>
      <c r="H92" s="16" t="n"/>
      <c r="I92" s="16" t="n"/>
      <c r="J92" s="16" t="n"/>
      <c r="K92" s="16" t="n"/>
      <c r="L92" s="16" t="n"/>
      <c r="M92" s="16" t="n"/>
      <c r="N92" s="16" t="n"/>
      <c r="O92" s="16" t="n"/>
      <c r="P92" s="16" t="n"/>
      <c r="Q92" s="16" t="n"/>
      <c r="R92" s="16" t="n"/>
    </row>
    <row r="93">
      <c r="A93">
        <f>IF(B93&lt;&gt;"","NET-DEV-" &amp; TEXT(90,"000"),"")</f>
        <v/>
      </c>
      <c r="B93" s="16" t="n"/>
      <c r="C93" s="16" t="n"/>
      <c r="D93" s="16" t="n"/>
      <c r="E93" s="16" t="n"/>
      <c r="F93" s="16" t="n"/>
      <c r="G93" s="16" t="n"/>
      <c r="H93" s="16" t="n"/>
      <c r="I93" s="16" t="n"/>
      <c r="J93" s="16" t="n"/>
      <c r="K93" s="16" t="n"/>
      <c r="L93" s="16" t="n"/>
      <c r="M93" s="16" t="n"/>
      <c r="N93" s="16" t="n"/>
      <c r="O93" s="16" t="n"/>
      <c r="P93" s="16" t="n"/>
      <c r="Q93" s="16" t="n"/>
      <c r="R93" s="16" t="n"/>
    </row>
    <row r="94">
      <c r="A94">
        <f>IF(B94&lt;&gt;"","NET-DEV-" &amp; TEXT(91,"000"),"")</f>
        <v/>
      </c>
      <c r="B94" s="16" t="n"/>
      <c r="C94" s="16" t="n"/>
      <c r="D94" s="16" t="n"/>
      <c r="E94" s="16" t="n"/>
      <c r="F94" s="16" t="n"/>
      <c r="G94" s="16" t="n"/>
      <c r="H94" s="16" t="n"/>
      <c r="I94" s="16" t="n"/>
      <c r="J94" s="16" t="n"/>
      <c r="K94" s="16" t="n"/>
      <c r="L94" s="16" t="n"/>
      <c r="M94" s="16" t="n"/>
      <c r="N94" s="16" t="n"/>
      <c r="O94" s="16" t="n"/>
      <c r="P94" s="16" t="n"/>
      <c r="Q94" s="16" t="n"/>
      <c r="R94" s="16" t="n"/>
    </row>
    <row r="95">
      <c r="A95">
        <f>IF(B95&lt;&gt;"","NET-DEV-" &amp; TEXT(92,"000"),"")</f>
        <v/>
      </c>
      <c r="B95" s="16" t="n"/>
      <c r="C95" s="16" t="n"/>
      <c r="D95" s="16" t="n"/>
      <c r="E95" s="16" t="n"/>
      <c r="F95" s="16" t="n"/>
      <c r="G95" s="16" t="n"/>
      <c r="H95" s="16" t="n"/>
      <c r="I95" s="16" t="n"/>
      <c r="J95" s="16" t="n"/>
      <c r="K95" s="16" t="n"/>
      <c r="L95" s="16" t="n"/>
      <c r="M95" s="16" t="n"/>
      <c r="N95" s="16" t="n"/>
      <c r="O95" s="16" t="n"/>
      <c r="P95" s="16" t="n"/>
      <c r="Q95" s="16" t="n"/>
      <c r="R95" s="16" t="n"/>
    </row>
    <row r="96">
      <c r="A96">
        <f>IF(B96&lt;&gt;"","NET-DEV-" &amp; TEXT(93,"000"),"")</f>
        <v/>
      </c>
      <c r="B96" s="16" t="n"/>
      <c r="C96" s="16" t="n"/>
      <c r="D96" s="16" t="n"/>
      <c r="E96" s="16" t="n"/>
      <c r="F96" s="16" t="n"/>
      <c r="G96" s="16" t="n"/>
      <c r="H96" s="16" t="n"/>
      <c r="I96" s="16" t="n"/>
      <c r="J96" s="16" t="n"/>
      <c r="K96" s="16" t="n"/>
      <c r="L96" s="16" t="n"/>
      <c r="M96" s="16" t="n"/>
      <c r="N96" s="16" t="n"/>
      <c r="O96" s="16" t="n"/>
      <c r="P96" s="16" t="n"/>
      <c r="Q96" s="16" t="n"/>
      <c r="R96" s="16" t="n"/>
    </row>
    <row r="97">
      <c r="A97">
        <f>IF(B97&lt;&gt;"","NET-DEV-" &amp; TEXT(94,"000"),"")</f>
        <v/>
      </c>
      <c r="B97" s="16" t="n"/>
      <c r="C97" s="16" t="n"/>
      <c r="D97" s="16" t="n"/>
      <c r="E97" s="16" t="n"/>
      <c r="F97" s="16" t="n"/>
      <c r="G97" s="16" t="n"/>
      <c r="H97" s="16" t="n"/>
      <c r="I97" s="16" t="n"/>
      <c r="J97" s="16" t="n"/>
      <c r="K97" s="16" t="n"/>
      <c r="L97" s="16" t="n"/>
      <c r="M97" s="16" t="n"/>
      <c r="N97" s="16" t="n"/>
      <c r="O97" s="16" t="n"/>
      <c r="P97" s="16" t="n"/>
      <c r="Q97" s="16" t="n"/>
      <c r="R97" s="16" t="n"/>
    </row>
    <row r="98">
      <c r="A98">
        <f>IF(B98&lt;&gt;"","NET-DEV-" &amp; TEXT(95,"000"),"")</f>
        <v/>
      </c>
      <c r="B98" s="16" t="n"/>
      <c r="C98" s="16" t="n"/>
      <c r="D98" s="16" t="n"/>
      <c r="E98" s="16" t="n"/>
      <c r="F98" s="16" t="n"/>
      <c r="G98" s="16" t="n"/>
      <c r="H98" s="16" t="n"/>
      <c r="I98" s="16" t="n"/>
      <c r="J98" s="16" t="n"/>
      <c r="K98" s="16" t="n"/>
      <c r="L98" s="16" t="n"/>
      <c r="M98" s="16" t="n"/>
      <c r="N98" s="16" t="n"/>
      <c r="O98" s="16" t="n"/>
      <c r="P98" s="16" t="n"/>
      <c r="Q98" s="16" t="n"/>
      <c r="R98" s="16" t="n"/>
    </row>
    <row r="99">
      <c r="A99">
        <f>IF(B99&lt;&gt;"","NET-DEV-" &amp; TEXT(96,"000"),"")</f>
        <v/>
      </c>
      <c r="B99" s="16" t="n"/>
      <c r="C99" s="16" t="n"/>
      <c r="D99" s="16" t="n"/>
      <c r="E99" s="16" t="n"/>
      <c r="F99" s="16" t="n"/>
      <c r="G99" s="16" t="n"/>
      <c r="H99" s="16" t="n"/>
      <c r="I99" s="16" t="n"/>
      <c r="J99" s="16" t="n"/>
      <c r="K99" s="16" t="n"/>
      <c r="L99" s="16" t="n"/>
      <c r="M99" s="16" t="n"/>
      <c r="N99" s="16" t="n"/>
      <c r="O99" s="16" t="n"/>
      <c r="P99" s="16" t="n"/>
      <c r="Q99" s="16" t="n"/>
      <c r="R99" s="16" t="n"/>
    </row>
    <row r="100">
      <c r="A100">
        <f>IF(B100&lt;&gt;"","NET-DEV-" &amp; TEXT(97,"000"),"")</f>
        <v/>
      </c>
      <c r="B100" s="16" t="n"/>
      <c r="C100" s="16" t="n"/>
      <c r="D100" s="16" t="n"/>
      <c r="E100" s="16" t="n"/>
      <c r="F100" s="16" t="n"/>
      <c r="G100" s="16" t="n"/>
      <c r="H100" s="16" t="n"/>
      <c r="I100" s="16" t="n"/>
      <c r="J100" s="16" t="n"/>
      <c r="K100" s="16" t="n"/>
      <c r="L100" s="16" t="n"/>
      <c r="M100" s="16" t="n"/>
      <c r="N100" s="16" t="n"/>
      <c r="O100" s="16" t="n"/>
      <c r="P100" s="16" t="n"/>
      <c r="Q100" s="16" t="n"/>
      <c r="R100" s="16" t="n"/>
    </row>
    <row r="101">
      <c r="A101">
        <f>IF(B101&lt;&gt;"","NET-DEV-" &amp; TEXT(98,"000"),"")</f>
        <v/>
      </c>
      <c r="B101" s="16" t="n"/>
      <c r="C101" s="16" t="n"/>
      <c r="D101" s="16" t="n"/>
      <c r="E101" s="16" t="n"/>
      <c r="F101" s="16" t="n"/>
      <c r="G101" s="16" t="n"/>
      <c r="H101" s="16" t="n"/>
      <c r="I101" s="16" t="n"/>
      <c r="J101" s="16" t="n"/>
      <c r="K101" s="16" t="n"/>
      <c r="L101" s="16" t="n"/>
      <c r="M101" s="16" t="n"/>
      <c r="N101" s="16" t="n"/>
      <c r="O101" s="16" t="n"/>
      <c r="P101" s="16" t="n"/>
      <c r="Q101" s="16" t="n"/>
      <c r="R101" s="16" t="n"/>
    </row>
    <row r="102">
      <c r="A102">
        <f>IF(B102&lt;&gt;"","NET-DEV-" &amp; TEXT(99,"000"),"")</f>
        <v/>
      </c>
      <c r="B102" s="16" t="n"/>
      <c r="C102" s="16" t="n"/>
      <c r="D102" s="16" t="n"/>
      <c r="E102" s="16" t="n"/>
      <c r="F102" s="16" t="n"/>
      <c r="G102" s="16" t="n"/>
      <c r="H102" s="16" t="n"/>
      <c r="I102" s="16" t="n"/>
      <c r="J102" s="16" t="n"/>
      <c r="K102" s="16" t="n"/>
      <c r="L102" s="16" t="n"/>
      <c r="M102" s="16" t="n"/>
      <c r="N102" s="16" t="n"/>
      <c r="O102" s="16" t="n"/>
      <c r="P102" s="16" t="n"/>
      <c r="Q102" s="16" t="n"/>
      <c r="R102" s="16" t="n"/>
    </row>
    <row r="103">
      <c r="A103">
        <f>IF(B103&lt;&gt;"","NET-DEV-" &amp; TEXT(100,"000"),"")</f>
        <v/>
      </c>
      <c r="B103" s="16" t="n"/>
      <c r="C103" s="16" t="n"/>
      <c r="D103" s="16" t="n"/>
      <c r="E103" s="16" t="n"/>
      <c r="F103" s="16" t="n"/>
      <c r="G103" s="16" t="n"/>
      <c r="H103" s="16" t="n"/>
      <c r="I103" s="16" t="n"/>
      <c r="J103" s="16" t="n"/>
      <c r="K103" s="16" t="n"/>
      <c r="L103" s="16" t="n"/>
      <c r="M103" s="16" t="n"/>
      <c r="N103" s="16" t="n"/>
      <c r="O103" s="16" t="n"/>
      <c r="P103" s="16" t="n"/>
      <c r="Q103" s="16" t="n"/>
      <c r="R103" s="16" t="n"/>
    </row>
    <row r="104">
      <c r="A104">
        <f>IF(B104&lt;&gt;"","NET-DEV-" &amp; TEXT(101,"000"),"")</f>
        <v/>
      </c>
      <c r="B104" s="16" t="n"/>
      <c r="C104" s="16" t="n"/>
      <c r="D104" s="16" t="n"/>
      <c r="E104" s="16" t="n"/>
      <c r="F104" s="16" t="n"/>
      <c r="G104" s="16" t="n"/>
      <c r="H104" s="16" t="n"/>
      <c r="I104" s="16" t="n"/>
      <c r="J104" s="16" t="n"/>
      <c r="K104" s="16" t="n"/>
      <c r="L104" s="16" t="n"/>
      <c r="M104" s="16" t="n"/>
      <c r="N104" s="16" t="n"/>
      <c r="O104" s="16" t="n"/>
      <c r="P104" s="16" t="n"/>
      <c r="Q104" s="16" t="n"/>
      <c r="R104" s="16" t="n"/>
    </row>
    <row r="105">
      <c r="A105">
        <f>IF(B105&lt;&gt;"","NET-DEV-" &amp; TEXT(102,"000"),"")</f>
        <v/>
      </c>
      <c r="B105" s="16" t="n"/>
      <c r="C105" s="16" t="n"/>
      <c r="D105" s="16" t="n"/>
      <c r="E105" s="16" t="n"/>
      <c r="F105" s="16" t="n"/>
      <c r="G105" s="16" t="n"/>
      <c r="H105" s="16" t="n"/>
      <c r="I105" s="16" t="n"/>
      <c r="J105" s="16" t="n"/>
      <c r="K105" s="16" t="n"/>
      <c r="L105" s="16" t="n"/>
      <c r="M105" s="16" t="n"/>
      <c r="N105" s="16" t="n"/>
      <c r="O105" s="16" t="n"/>
      <c r="P105" s="16" t="n"/>
      <c r="Q105" s="16" t="n"/>
      <c r="R105" s="16" t="n"/>
    </row>
    <row r="106">
      <c r="A106">
        <f>IF(B106&lt;&gt;"","NET-DEV-" &amp; TEXT(103,"000"),"")</f>
        <v/>
      </c>
      <c r="B106" s="16" t="n"/>
      <c r="C106" s="16" t="n"/>
      <c r="D106" s="16" t="n"/>
      <c r="E106" s="16" t="n"/>
      <c r="F106" s="16" t="n"/>
      <c r="G106" s="16" t="n"/>
      <c r="H106" s="16" t="n"/>
      <c r="I106" s="16" t="n"/>
      <c r="J106" s="16" t="n"/>
      <c r="K106" s="16" t="n"/>
      <c r="L106" s="16" t="n"/>
      <c r="M106" s="16" t="n"/>
      <c r="N106" s="16" t="n"/>
      <c r="O106" s="16" t="n"/>
      <c r="P106" s="16" t="n"/>
      <c r="Q106" s="16" t="n"/>
      <c r="R106" s="16" t="n"/>
    </row>
    <row r="107">
      <c r="A107">
        <f>IF(B107&lt;&gt;"","NET-DEV-" &amp; TEXT(104,"000"),"")</f>
        <v/>
      </c>
      <c r="B107" s="16" t="n"/>
      <c r="C107" s="16" t="n"/>
      <c r="D107" s="16" t="n"/>
      <c r="E107" s="16" t="n"/>
      <c r="F107" s="16" t="n"/>
      <c r="G107" s="16" t="n"/>
      <c r="H107" s="16" t="n"/>
      <c r="I107" s="16" t="n"/>
      <c r="J107" s="16" t="n"/>
      <c r="K107" s="16" t="n"/>
      <c r="L107" s="16" t="n"/>
      <c r="M107" s="16" t="n"/>
      <c r="N107" s="16" t="n"/>
      <c r="O107" s="16" t="n"/>
      <c r="P107" s="16" t="n"/>
      <c r="Q107" s="16" t="n"/>
      <c r="R107" s="16" t="n"/>
    </row>
    <row r="108">
      <c r="A108">
        <f>IF(B108&lt;&gt;"","NET-DEV-" &amp; TEXT(105,"000"),"")</f>
        <v/>
      </c>
      <c r="B108" s="16" t="n"/>
      <c r="C108" s="16" t="n"/>
      <c r="D108" s="16" t="n"/>
      <c r="E108" s="16" t="n"/>
      <c r="F108" s="16" t="n"/>
      <c r="G108" s="16" t="n"/>
      <c r="H108" s="16" t="n"/>
      <c r="I108" s="16" t="n"/>
      <c r="J108" s="16" t="n"/>
      <c r="K108" s="16" t="n"/>
      <c r="L108" s="16" t="n"/>
      <c r="M108" s="16" t="n"/>
      <c r="N108" s="16" t="n"/>
      <c r="O108" s="16" t="n"/>
      <c r="P108" s="16" t="n"/>
      <c r="Q108" s="16" t="n"/>
      <c r="R108" s="16" t="n"/>
    </row>
    <row r="109">
      <c r="A109">
        <f>IF(B109&lt;&gt;"","NET-DEV-" &amp; TEXT(106,"000"),"")</f>
        <v/>
      </c>
      <c r="B109" s="16" t="n"/>
      <c r="C109" s="16" t="n"/>
      <c r="D109" s="16" t="n"/>
      <c r="E109" s="16" t="n"/>
      <c r="F109" s="16" t="n"/>
      <c r="G109" s="16" t="n"/>
      <c r="H109" s="16" t="n"/>
      <c r="I109" s="16" t="n"/>
      <c r="J109" s="16" t="n"/>
      <c r="K109" s="16" t="n"/>
      <c r="L109" s="16" t="n"/>
      <c r="M109" s="16" t="n"/>
      <c r="N109" s="16" t="n"/>
      <c r="O109" s="16" t="n"/>
      <c r="P109" s="16" t="n"/>
      <c r="Q109" s="16" t="n"/>
      <c r="R109" s="16" t="n"/>
    </row>
    <row r="110">
      <c r="A110">
        <f>IF(B110&lt;&gt;"","NET-DEV-" &amp; TEXT(107,"000"),"")</f>
        <v/>
      </c>
      <c r="B110" s="16" t="n"/>
      <c r="C110" s="16" t="n"/>
      <c r="D110" s="16" t="n"/>
      <c r="E110" s="16" t="n"/>
      <c r="F110" s="16" t="n"/>
      <c r="G110" s="16" t="n"/>
      <c r="H110" s="16" t="n"/>
      <c r="I110" s="16" t="n"/>
      <c r="J110" s="16" t="n"/>
      <c r="K110" s="16" t="n"/>
      <c r="L110" s="16" t="n"/>
      <c r="M110" s="16" t="n"/>
      <c r="N110" s="16" t="n"/>
      <c r="O110" s="16" t="n"/>
      <c r="P110" s="16" t="n"/>
      <c r="Q110" s="16" t="n"/>
      <c r="R110" s="16" t="n"/>
    </row>
    <row r="111">
      <c r="A111">
        <f>IF(B111&lt;&gt;"","NET-DEV-" &amp; TEXT(108,"000"),"")</f>
        <v/>
      </c>
      <c r="B111" s="16" t="n"/>
      <c r="C111" s="16" t="n"/>
      <c r="D111" s="16" t="n"/>
      <c r="E111" s="16" t="n"/>
      <c r="F111" s="16" t="n"/>
      <c r="G111" s="16" t="n"/>
      <c r="H111" s="16" t="n"/>
      <c r="I111" s="16" t="n"/>
      <c r="J111" s="16" t="n"/>
      <c r="K111" s="16" t="n"/>
      <c r="L111" s="16" t="n"/>
      <c r="M111" s="16" t="n"/>
      <c r="N111" s="16" t="n"/>
      <c r="O111" s="16" t="n"/>
      <c r="P111" s="16" t="n"/>
      <c r="Q111" s="16" t="n"/>
      <c r="R111" s="16" t="n"/>
    </row>
    <row r="112">
      <c r="A112">
        <f>IF(B112&lt;&gt;"","NET-DEV-" &amp; TEXT(109,"000"),"")</f>
        <v/>
      </c>
      <c r="B112" s="16" t="n"/>
      <c r="C112" s="16" t="n"/>
      <c r="D112" s="16" t="n"/>
      <c r="E112" s="16" t="n"/>
      <c r="F112" s="16" t="n"/>
      <c r="G112" s="16" t="n"/>
      <c r="H112" s="16" t="n"/>
      <c r="I112" s="16" t="n"/>
      <c r="J112" s="16" t="n"/>
      <c r="K112" s="16" t="n"/>
      <c r="L112" s="16" t="n"/>
      <c r="M112" s="16" t="n"/>
      <c r="N112" s="16" t="n"/>
      <c r="O112" s="16" t="n"/>
      <c r="P112" s="16" t="n"/>
      <c r="Q112" s="16" t="n"/>
      <c r="R112" s="16" t="n"/>
    </row>
    <row r="113">
      <c r="A113">
        <f>IF(B113&lt;&gt;"","NET-DEV-" &amp; TEXT(110,"000"),"")</f>
        <v/>
      </c>
      <c r="B113" s="16" t="n"/>
      <c r="C113" s="16" t="n"/>
      <c r="D113" s="16" t="n"/>
      <c r="E113" s="16" t="n"/>
      <c r="F113" s="16" t="n"/>
      <c r="G113" s="16" t="n"/>
      <c r="H113" s="16" t="n"/>
      <c r="I113" s="16" t="n"/>
      <c r="J113" s="16" t="n"/>
      <c r="K113" s="16" t="n"/>
      <c r="L113" s="16" t="n"/>
      <c r="M113" s="16" t="n"/>
      <c r="N113" s="16" t="n"/>
      <c r="O113" s="16" t="n"/>
      <c r="P113" s="16" t="n"/>
      <c r="Q113" s="16" t="n"/>
      <c r="R113" s="16" t="n"/>
    </row>
    <row r="114">
      <c r="A114">
        <f>IF(B114&lt;&gt;"","NET-DEV-" &amp; TEXT(111,"000"),"")</f>
        <v/>
      </c>
      <c r="B114" s="16" t="n"/>
      <c r="C114" s="16" t="n"/>
      <c r="D114" s="16" t="n"/>
      <c r="E114" s="16" t="n"/>
      <c r="F114" s="16" t="n"/>
      <c r="G114" s="16" t="n"/>
      <c r="H114" s="16" t="n"/>
      <c r="I114" s="16" t="n"/>
      <c r="J114" s="16" t="n"/>
      <c r="K114" s="16" t="n"/>
      <c r="L114" s="16" t="n"/>
      <c r="M114" s="16" t="n"/>
      <c r="N114" s="16" t="n"/>
      <c r="O114" s="16" t="n"/>
      <c r="P114" s="16" t="n"/>
      <c r="Q114" s="16" t="n"/>
      <c r="R114" s="16" t="n"/>
    </row>
    <row r="115">
      <c r="A115">
        <f>IF(B115&lt;&gt;"","NET-DEV-" &amp; TEXT(112,"000"),"")</f>
        <v/>
      </c>
      <c r="B115" s="16" t="n"/>
      <c r="C115" s="16" t="n"/>
      <c r="D115" s="16" t="n"/>
      <c r="E115" s="16" t="n"/>
      <c r="F115" s="16" t="n"/>
      <c r="G115" s="16" t="n"/>
      <c r="H115" s="16" t="n"/>
      <c r="I115" s="16" t="n"/>
      <c r="J115" s="16" t="n"/>
      <c r="K115" s="16" t="n"/>
      <c r="L115" s="16" t="n"/>
      <c r="M115" s="16" t="n"/>
      <c r="N115" s="16" t="n"/>
      <c r="O115" s="16" t="n"/>
      <c r="P115" s="16" t="n"/>
      <c r="Q115" s="16" t="n"/>
      <c r="R115" s="16" t="n"/>
    </row>
    <row r="116">
      <c r="A116">
        <f>IF(B116&lt;&gt;"","NET-DEV-" &amp; TEXT(113,"000"),"")</f>
        <v/>
      </c>
      <c r="B116" s="16" t="n"/>
      <c r="C116" s="16" t="n"/>
      <c r="D116" s="16" t="n"/>
      <c r="E116" s="16" t="n"/>
      <c r="F116" s="16" t="n"/>
      <c r="G116" s="16" t="n"/>
      <c r="H116" s="16" t="n"/>
      <c r="I116" s="16" t="n"/>
      <c r="J116" s="16" t="n"/>
      <c r="K116" s="16" t="n"/>
      <c r="L116" s="16" t="n"/>
      <c r="M116" s="16" t="n"/>
      <c r="N116" s="16" t="n"/>
      <c r="O116" s="16" t="n"/>
      <c r="P116" s="16" t="n"/>
      <c r="Q116" s="16" t="n"/>
      <c r="R116" s="16" t="n"/>
    </row>
    <row r="117">
      <c r="A117">
        <f>IF(B117&lt;&gt;"","NET-DEV-" &amp; TEXT(114,"000"),"")</f>
        <v/>
      </c>
      <c r="B117" s="16" t="n"/>
      <c r="C117" s="16" t="n"/>
      <c r="D117" s="16" t="n"/>
      <c r="E117" s="16" t="n"/>
      <c r="F117" s="16" t="n"/>
      <c r="G117" s="16" t="n"/>
      <c r="H117" s="16" t="n"/>
      <c r="I117" s="16" t="n"/>
      <c r="J117" s="16" t="n"/>
      <c r="K117" s="16" t="n"/>
      <c r="L117" s="16" t="n"/>
      <c r="M117" s="16" t="n"/>
      <c r="N117" s="16" t="n"/>
      <c r="O117" s="16" t="n"/>
      <c r="P117" s="16" t="n"/>
      <c r="Q117" s="16" t="n"/>
      <c r="R117" s="16" t="n"/>
    </row>
    <row r="118">
      <c r="A118">
        <f>IF(B118&lt;&gt;"","NET-DEV-" &amp; TEXT(115,"000"),"")</f>
        <v/>
      </c>
      <c r="B118" s="16" t="n"/>
      <c r="C118" s="16" t="n"/>
      <c r="D118" s="16" t="n"/>
      <c r="E118" s="16" t="n"/>
      <c r="F118" s="16" t="n"/>
      <c r="G118" s="16" t="n"/>
      <c r="H118" s="16" t="n"/>
      <c r="I118" s="16" t="n"/>
      <c r="J118" s="16" t="n"/>
      <c r="K118" s="16" t="n"/>
      <c r="L118" s="16" t="n"/>
      <c r="M118" s="16" t="n"/>
      <c r="N118" s="16" t="n"/>
      <c r="O118" s="16" t="n"/>
      <c r="P118" s="16" t="n"/>
      <c r="Q118" s="16" t="n"/>
      <c r="R118" s="16" t="n"/>
    </row>
    <row r="119">
      <c r="A119">
        <f>IF(B119&lt;&gt;"","NET-DEV-" &amp; TEXT(116,"000"),"")</f>
        <v/>
      </c>
      <c r="B119" s="16" t="n"/>
      <c r="C119" s="16" t="n"/>
      <c r="D119" s="16" t="n"/>
      <c r="E119" s="16" t="n"/>
      <c r="F119" s="16" t="n"/>
      <c r="G119" s="16" t="n"/>
      <c r="H119" s="16" t="n"/>
      <c r="I119" s="16" t="n"/>
      <c r="J119" s="16" t="n"/>
      <c r="K119" s="16" t="n"/>
      <c r="L119" s="16" t="n"/>
      <c r="M119" s="16" t="n"/>
      <c r="N119" s="16" t="n"/>
      <c r="O119" s="16" t="n"/>
      <c r="P119" s="16" t="n"/>
      <c r="Q119" s="16" t="n"/>
      <c r="R119" s="16" t="n"/>
    </row>
    <row r="120">
      <c r="A120">
        <f>IF(B120&lt;&gt;"","NET-DEV-" &amp; TEXT(117,"000"),"")</f>
        <v/>
      </c>
      <c r="B120" s="16" t="n"/>
      <c r="C120" s="16" t="n"/>
      <c r="D120" s="16" t="n"/>
      <c r="E120" s="16" t="n"/>
      <c r="F120" s="16" t="n"/>
      <c r="G120" s="16" t="n"/>
      <c r="H120" s="16" t="n"/>
      <c r="I120" s="16" t="n"/>
      <c r="J120" s="16" t="n"/>
      <c r="K120" s="16" t="n"/>
      <c r="L120" s="16" t="n"/>
      <c r="M120" s="16" t="n"/>
      <c r="N120" s="16" t="n"/>
      <c r="O120" s="16" t="n"/>
      <c r="P120" s="16" t="n"/>
      <c r="Q120" s="16" t="n"/>
      <c r="R120" s="16" t="n"/>
    </row>
    <row r="121">
      <c r="A121">
        <f>IF(B121&lt;&gt;"","NET-DEV-" &amp; TEXT(118,"000"),"")</f>
        <v/>
      </c>
      <c r="B121" s="16" t="n"/>
      <c r="C121" s="16" t="n"/>
      <c r="D121" s="16" t="n"/>
      <c r="E121" s="16" t="n"/>
      <c r="F121" s="16" t="n"/>
      <c r="G121" s="16" t="n"/>
      <c r="H121" s="16" t="n"/>
      <c r="I121" s="16" t="n"/>
      <c r="J121" s="16" t="n"/>
      <c r="K121" s="16" t="n"/>
      <c r="L121" s="16" t="n"/>
      <c r="M121" s="16" t="n"/>
      <c r="N121" s="16" t="n"/>
      <c r="O121" s="16" t="n"/>
      <c r="P121" s="16" t="n"/>
      <c r="Q121" s="16" t="n"/>
      <c r="R121" s="16" t="n"/>
    </row>
    <row r="122">
      <c r="A122">
        <f>IF(B122&lt;&gt;"","NET-DEV-" &amp; TEXT(119,"000"),"")</f>
        <v/>
      </c>
      <c r="B122" s="16" t="n"/>
      <c r="C122" s="16" t="n"/>
      <c r="D122" s="16" t="n"/>
      <c r="E122" s="16" t="n"/>
      <c r="F122" s="16" t="n"/>
      <c r="G122" s="16" t="n"/>
      <c r="H122" s="16" t="n"/>
      <c r="I122" s="16" t="n"/>
      <c r="J122" s="16" t="n"/>
      <c r="K122" s="16" t="n"/>
      <c r="L122" s="16" t="n"/>
      <c r="M122" s="16" t="n"/>
      <c r="N122" s="16" t="n"/>
      <c r="O122" s="16" t="n"/>
      <c r="P122" s="16" t="n"/>
      <c r="Q122" s="16" t="n"/>
      <c r="R122" s="16" t="n"/>
    </row>
    <row r="123">
      <c r="A123">
        <f>IF(B123&lt;&gt;"","NET-DEV-" &amp; TEXT(120,"000"),"")</f>
        <v/>
      </c>
      <c r="B123" s="16" t="n"/>
      <c r="C123" s="16" t="n"/>
      <c r="D123" s="16" t="n"/>
      <c r="E123" s="16" t="n"/>
      <c r="F123" s="16" t="n"/>
      <c r="G123" s="16" t="n"/>
      <c r="H123" s="16" t="n"/>
      <c r="I123" s="16" t="n"/>
      <c r="J123" s="16" t="n"/>
      <c r="K123" s="16" t="n"/>
      <c r="L123" s="16" t="n"/>
      <c r="M123" s="16" t="n"/>
      <c r="N123" s="16" t="n"/>
      <c r="O123" s="16" t="n"/>
      <c r="P123" s="16" t="n"/>
      <c r="Q123" s="16" t="n"/>
      <c r="R123" s="16" t="n"/>
    </row>
    <row r="124">
      <c r="A124">
        <f>IF(B124&lt;&gt;"","NET-DEV-" &amp; TEXT(121,"000"),"")</f>
        <v/>
      </c>
      <c r="B124" s="16" t="n"/>
      <c r="C124" s="16" t="n"/>
      <c r="D124" s="16" t="n"/>
      <c r="E124" s="16" t="n"/>
      <c r="F124" s="16" t="n"/>
      <c r="G124" s="16" t="n"/>
      <c r="H124" s="16" t="n"/>
      <c r="I124" s="16" t="n"/>
      <c r="J124" s="16" t="n"/>
      <c r="K124" s="16" t="n"/>
      <c r="L124" s="16" t="n"/>
      <c r="M124" s="16" t="n"/>
      <c r="N124" s="16" t="n"/>
      <c r="O124" s="16" t="n"/>
      <c r="P124" s="16" t="n"/>
      <c r="Q124" s="16" t="n"/>
      <c r="R124" s="16" t="n"/>
    </row>
    <row r="125">
      <c r="A125">
        <f>IF(B125&lt;&gt;"","NET-DEV-" &amp; TEXT(122,"000"),"")</f>
        <v/>
      </c>
      <c r="B125" s="16" t="n"/>
      <c r="C125" s="16" t="n"/>
      <c r="D125" s="16" t="n"/>
      <c r="E125" s="16" t="n"/>
      <c r="F125" s="16" t="n"/>
      <c r="G125" s="16" t="n"/>
      <c r="H125" s="16" t="n"/>
      <c r="I125" s="16" t="n"/>
      <c r="J125" s="16" t="n"/>
      <c r="K125" s="16" t="n"/>
      <c r="L125" s="16" t="n"/>
      <c r="M125" s="16" t="n"/>
      <c r="N125" s="16" t="n"/>
      <c r="O125" s="16" t="n"/>
      <c r="P125" s="16" t="n"/>
      <c r="Q125" s="16" t="n"/>
      <c r="R125" s="16" t="n"/>
    </row>
    <row r="126">
      <c r="A126">
        <f>IF(B126&lt;&gt;"","NET-DEV-" &amp; TEXT(123,"000"),"")</f>
        <v/>
      </c>
      <c r="B126" s="16" t="n"/>
      <c r="C126" s="16" t="n"/>
      <c r="D126" s="16" t="n"/>
      <c r="E126" s="16" t="n"/>
      <c r="F126" s="16" t="n"/>
      <c r="G126" s="16" t="n"/>
      <c r="H126" s="16" t="n"/>
      <c r="I126" s="16" t="n"/>
      <c r="J126" s="16" t="n"/>
      <c r="K126" s="16" t="n"/>
      <c r="L126" s="16" t="n"/>
      <c r="M126" s="16" t="n"/>
      <c r="N126" s="16" t="n"/>
      <c r="O126" s="16" t="n"/>
      <c r="P126" s="16" t="n"/>
      <c r="Q126" s="16" t="n"/>
      <c r="R126" s="16" t="n"/>
    </row>
    <row r="127">
      <c r="A127">
        <f>IF(B127&lt;&gt;"","NET-DEV-" &amp; TEXT(124,"000"),"")</f>
        <v/>
      </c>
      <c r="B127" s="16" t="n"/>
      <c r="C127" s="16" t="n"/>
      <c r="D127" s="16" t="n"/>
      <c r="E127" s="16" t="n"/>
      <c r="F127" s="16" t="n"/>
      <c r="G127" s="16" t="n"/>
      <c r="H127" s="16" t="n"/>
      <c r="I127" s="16" t="n"/>
      <c r="J127" s="16" t="n"/>
      <c r="K127" s="16" t="n"/>
      <c r="L127" s="16" t="n"/>
      <c r="M127" s="16" t="n"/>
      <c r="N127" s="16" t="n"/>
      <c r="O127" s="16" t="n"/>
      <c r="P127" s="16" t="n"/>
      <c r="Q127" s="16" t="n"/>
      <c r="R127" s="16" t="n"/>
    </row>
    <row r="128">
      <c r="A128">
        <f>IF(B128&lt;&gt;"","NET-DEV-" &amp; TEXT(125,"000"),"")</f>
        <v/>
      </c>
      <c r="B128" s="16" t="n"/>
      <c r="C128" s="16" t="n"/>
      <c r="D128" s="16" t="n"/>
      <c r="E128" s="16" t="n"/>
      <c r="F128" s="16" t="n"/>
      <c r="G128" s="16" t="n"/>
      <c r="H128" s="16" t="n"/>
      <c r="I128" s="16" t="n"/>
      <c r="J128" s="16" t="n"/>
      <c r="K128" s="16" t="n"/>
      <c r="L128" s="16" t="n"/>
      <c r="M128" s="16" t="n"/>
      <c r="N128" s="16" t="n"/>
      <c r="O128" s="16" t="n"/>
      <c r="P128" s="16" t="n"/>
      <c r="Q128" s="16" t="n"/>
      <c r="R128" s="16" t="n"/>
    </row>
    <row r="129">
      <c r="A129">
        <f>IF(B129&lt;&gt;"","NET-DEV-" &amp; TEXT(126,"000"),"")</f>
        <v/>
      </c>
      <c r="B129" s="16" t="n"/>
      <c r="C129" s="16" t="n"/>
      <c r="D129" s="16" t="n"/>
      <c r="E129" s="16" t="n"/>
      <c r="F129" s="16" t="n"/>
      <c r="G129" s="16" t="n"/>
      <c r="H129" s="16" t="n"/>
      <c r="I129" s="16" t="n"/>
      <c r="J129" s="16" t="n"/>
      <c r="K129" s="16" t="n"/>
      <c r="L129" s="16" t="n"/>
      <c r="M129" s="16" t="n"/>
      <c r="N129" s="16" t="n"/>
      <c r="O129" s="16" t="n"/>
      <c r="P129" s="16" t="n"/>
      <c r="Q129" s="16" t="n"/>
      <c r="R129" s="16" t="n"/>
    </row>
    <row r="130">
      <c r="A130">
        <f>IF(B130&lt;&gt;"","NET-DEV-" &amp; TEXT(127,"000"),"")</f>
        <v/>
      </c>
      <c r="B130" s="16" t="n"/>
      <c r="C130" s="16" t="n"/>
      <c r="D130" s="16" t="n"/>
      <c r="E130" s="16" t="n"/>
      <c r="F130" s="16" t="n"/>
      <c r="G130" s="16" t="n"/>
      <c r="H130" s="16" t="n"/>
      <c r="I130" s="16" t="n"/>
      <c r="J130" s="16" t="n"/>
      <c r="K130" s="16" t="n"/>
      <c r="L130" s="16" t="n"/>
      <c r="M130" s="16" t="n"/>
      <c r="N130" s="16" t="n"/>
      <c r="O130" s="16" t="n"/>
      <c r="P130" s="16" t="n"/>
      <c r="Q130" s="16" t="n"/>
      <c r="R130" s="16" t="n"/>
    </row>
    <row r="131">
      <c r="A131">
        <f>IF(B131&lt;&gt;"","NET-DEV-" &amp; TEXT(128,"000"),"")</f>
        <v/>
      </c>
      <c r="B131" s="16" t="n"/>
      <c r="C131" s="16" t="n"/>
      <c r="D131" s="16" t="n"/>
      <c r="E131" s="16" t="n"/>
      <c r="F131" s="16" t="n"/>
      <c r="G131" s="16" t="n"/>
      <c r="H131" s="16" t="n"/>
      <c r="I131" s="16" t="n"/>
      <c r="J131" s="16" t="n"/>
      <c r="K131" s="16" t="n"/>
      <c r="L131" s="16" t="n"/>
      <c r="M131" s="16" t="n"/>
      <c r="N131" s="16" t="n"/>
      <c r="O131" s="16" t="n"/>
      <c r="P131" s="16" t="n"/>
      <c r="Q131" s="16" t="n"/>
      <c r="R131" s="16" t="n"/>
    </row>
    <row r="132">
      <c r="A132">
        <f>IF(B132&lt;&gt;"","NET-DEV-" &amp; TEXT(129,"000"),"")</f>
        <v/>
      </c>
      <c r="B132" s="16" t="n"/>
      <c r="C132" s="16" t="n"/>
      <c r="D132" s="16" t="n"/>
      <c r="E132" s="16" t="n"/>
      <c r="F132" s="16" t="n"/>
      <c r="G132" s="16" t="n"/>
      <c r="H132" s="16" t="n"/>
      <c r="I132" s="16" t="n"/>
      <c r="J132" s="16" t="n"/>
      <c r="K132" s="16" t="n"/>
      <c r="L132" s="16" t="n"/>
      <c r="M132" s="16" t="n"/>
      <c r="N132" s="16" t="n"/>
      <c r="O132" s="16" t="n"/>
      <c r="P132" s="16" t="n"/>
      <c r="Q132" s="16" t="n"/>
      <c r="R132" s="16" t="n"/>
    </row>
    <row r="133">
      <c r="A133">
        <f>IF(B133&lt;&gt;"","NET-DEV-" &amp; TEXT(130,"000"),"")</f>
        <v/>
      </c>
      <c r="B133" s="16" t="n"/>
      <c r="C133" s="16" t="n"/>
      <c r="D133" s="16" t="n"/>
      <c r="E133" s="16" t="n"/>
      <c r="F133" s="16" t="n"/>
      <c r="G133" s="16" t="n"/>
      <c r="H133" s="16" t="n"/>
      <c r="I133" s="16" t="n"/>
      <c r="J133" s="16" t="n"/>
      <c r="K133" s="16" t="n"/>
      <c r="L133" s="16" t="n"/>
      <c r="M133" s="16" t="n"/>
      <c r="N133" s="16" t="n"/>
      <c r="O133" s="16" t="n"/>
      <c r="P133" s="16" t="n"/>
      <c r="Q133" s="16" t="n"/>
      <c r="R133" s="16" t="n"/>
    </row>
    <row r="134">
      <c r="A134">
        <f>IF(B134&lt;&gt;"","NET-DEV-" &amp; TEXT(131,"000"),"")</f>
        <v/>
      </c>
      <c r="B134" s="16" t="n"/>
      <c r="C134" s="16" t="n"/>
      <c r="D134" s="16" t="n"/>
      <c r="E134" s="16" t="n"/>
      <c r="F134" s="16" t="n"/>
      <c r="G134" s="16" t="n"/>
      <c r="H134" s="16" t="n"/>
      <c r="I134" s="16" t="n"/>
      <c r="J134" s="16" t="n"/>
      <c r="K134" s="16" t="n"/>
      <c r="L134" s="16" t="n"/>
      <c r="M134" s="16" t="n"/>
      <c r="N134" s="16" t="n"/>
      <c r="O134" s="16" t="n"/>
      <c r="P134" s="16" t="n"/>
      <c r="Q134" s="16" t="n"/>
      <c r="R134" s="16" t="n"/>
    </row>
    <row r="135">
      <c r="A135">
        <f>IF(B135&lt;&gt;"","NET-DEV-" &amp; TEXT(132,"000"),"")</f>
        <v/>
      </c>
      <c r="B135" s="16" t="n"/>
      <c r="C135" s="16" t="n"/>
      <c r="D135" s="16" t="n"/>
      <c r="E135" s="16" t="n"/>
      <c r="F135" s="16" t="n"/>
      <c r="G135" s="16" t="n"/>
      <c r="H135" s="16" t="n"/>
      <c r="I135" s="16" t="n"/>
      <c r="J135" s="16" t="n"/>
      <c r="K135" s="16" t="n"/>
      <c r="L135" s="16" t="n"/>
      <c r="M135" s="16" t="n"/>
      <c r="N135" s="16" t="n"/>
      <c r="O135" s="16" t="n"/>
      <c r="P135" s="16" t="n"/>
      <c r="Q135" s="16" t="n"/>
      <c r="R135" s="16" t="n"/>
    </row>
    <row r="136">
      <c r="A136">
        <f>IF(B136&lt;&gt;"","NET-DEV-" &amp; TEXT(133,"000"),"")</f>
        <v/>
      </c>
      <c r="B136" s="16" t="n"/>
      <c r="C136" s="16" t="n"/>
      <c r="D136" s="16" t="n"/>
      <c r="E136" s="16" t="n"/>
      <c r="F136" s="16" t="n"/>
      <c r="G136" s="16" t="n"/>
      <c r="H136" s="16" t="n"/>
      <c r="I136" s="16" t="n"/>
      <c r="J136" s="16" t="n"/>
      <c r="K136" s="16" t="n"/>
      <c r="L136" s="16" t="n"/>
      <c r="M136" s="16" t="n"/>
      <c r="N136" s="16" t="n"/>
      <c r="O136" s="16" t="n"/>
      <c r="P136" s="16" t="n"/>
      <c r="Q136" s="16" t="n"/>
      <c r="R136" s="16" t="n"/>
    </row>
    <row r="137">
      <c r="A137">
        <f>IF(B137&lt;&gt;"","NET-DEV-" &amp; TEXT(134,"000"),"")</f>
        <v/>
      </c>
      <c r="B137" s="16" t="n"/>
      <c r="C137" s="16" t="n"/>
      <c r="D137" s="16" t="n"/>
      <c r="E137" s="16" t="n"/>
      <c r="F137" s="16" t="n"/>
      <c r="G137" s="16" t="n"/>
      <c r="H137" s="16" t="n"/>
      <c r="I137" s="16" t="n"/>
      <c r="J137" s="16" t="n"/>
      <c r="K137" s="16" t="n"/>
      <c r="L137" s="16" t="n"/>
      <c r="M137" s="16" t="n"/>
      <c r="N137" s="16" t="n"/>
      <c r="O137" s="16" t="n"/>
      <c r="P137" s="16" t="n"/>
      <c r="Q137" s="16" t="n"/>
      <c r="R137" s="16" t="n"/>
    </row>
    <row r="138">
      <c r="A138">
        <f>IF(B138&lt;&gt;"","NET-DEV-" &amp; TEXT(135,"000"),"")</f>
        <v/>
      </c>
      <c r="B138" s="16" t="n"/>
      <c r="C138" s="16" t="n"/>
      <c r="D138" s="16" t="n"/>
      <c r="E138" s="16" t="n"/>
      <c r="F138" s="16" t="n"/>
      <c r="G138" s="16" t="n"/>
      <c r="H138" s="16" t="n"/>
      <c r="I138" s="16" t="n"/>
      <c r="J138" s="16" t="n"/>
      <c r="K138" s="16" t="n"/>
      <c r="L138" s="16" t="n"/>
      <c r="M138" s="16" t="n"/>
      <c r="N138" s="16" t="n"/>
      <c r="O138" s="16" t="n"/>
      <c r="P138" s="16" t="n"/>
      <c r="Q138" s="16" t="n"/>
      <c r="R138" s="16" t="n"/>
    </row>
    <row r="139">
      <c r="A139">
        <f>IF(B139&lt;&gt;"","NET-DEV-" &amp; TEXT(136,"000"),"")</f>
        <v/>
      </c>
      <c r="B139" s="16" t="n"/>
      <c r="C139" s="16" t="n"/>
      <c r="D139" s="16" t="n"/>
      <c r="E139" s="16" t="n"/>
      <c r="F139" s="16" t="n"/>
      <c r="G139" s="16" t="n"/>
      <c r="H139" s="16" t="n"/>
      <c r="I139" s="16" t="n"/>
      <c r="J139" s="16" t="n"/>
      <c r="K139" s="16" t="n"/>
      <c r="L139" s="16" t="n"/>
      <c r="M139" s="16" t="n"/>
      <c r="N139" s="16" t="n"/>
      <c r="O139" s="16" t="n"/>
      <c r="P139" s="16" t="n"/>
      <c r="Q139" s="16" t="n"/>
      <c r="R139" s="16" t="n"/>
    </row>
    <row r="140">
      <c r="A140">
        <f>IF(B140&lt;&gt;"","NET-DEV-" &amp; TEXT(137,"000"),"")</f>
        <v/>
      </c>
      <c r="B140" s="16" t="n"/>
      <c r="C140" s="16" t="n"/>
      <c r="D140" s="16" t="n"/>
      <c r="E140" s="16" t="n"/>
      <c r="F140" s="16" t="n"/>
      <c r="G140" s="16" t="n"/>
      <c r="H140" s="16" t="n"/>
      <c r="I140" s="16" t="n"/>
      <c r="J140" s="16" t="n"/>
      <c r="K140" s="16" t="n"/>
      <c r="L140" s="16" t="n"/>
      <c r="M140" s="16" t="n"/>
      <c r="N140" s="16" t="n"/>
      <c r="O140" s="16" t="n"/>
      <c r="P140" s="16" t="n"/>
      <c r="Q140" s="16" t="n"/>
      <c r="R140" s="16" t="n"/>
    </row>
    <row r="141">
      <c r="A141">
        <f>IF(B141&lt;&gt;"","NET-DEV-" &amp; TEXT(138,"000"),"")</f>
        <v/>
      </c>
      <c r="B141" s="16" t="n"/>
      <c r="C141" s="16" t="n"/>
      <c r="D141" s="16" t="n"/>
      <c r="E141" s="16" t="n"/>
      <c r="F141" s="16" t="n"/>
      <c r="G141" s="16" t="n"/>
      <c r="H141" s="16" t="n"/>
      <c r="I141" s="16" t="n"/>
      <c r="J141" s="16" t="n"/>
      <c r="K141" s="16" t="n"/>
      <c r="L141" s="16" t="n"/>
      <c r="M141" s="16" t="n"/>
      <c r="N141" s="16" t="n"/>
      <c r="O141" s="16" t="n"/>
      <c r="P141" s="16" t="n"/>
      <c r="Q141" s="16" t="n"/>
      <c r="R141" s="16" t="n"/>
    </row>
    <row r="142">
      <c r="A142">
        <f>IF(B142&lt;&gt;"","NET-DEV-" &amp; TEXT(139,"000"),"")</f>
        <v/>
      </c>
      <c r="B142" s="16" t="n"/>
      <c r="C142" s="16" t="n"/>
      <c r="D142" s="16" t="n"/>
      <c r="E142" s="16" t="n"/>
      <c r="F142" s="16" t="n"/>
      <c r="G142" s="16" t="n"/>
      <c r="H142" s="16" t="n"/>
      <c r="I142" s="16" t="n"/>
      <c r="J142" s="16" t="n"/>
      <c r="K142" s="16" t="n"/>
      <c r="L142" s="16" t="n"/>
      <c r="M142" s="16" t="n"/>
      <c r="N142" s="16" t="n"/>
      <c r="O142" s="16" t="n"/>
      <c r="P142" s="16" t="n"/>
      <c r="Q142" s="16" t="n"/>
      <c r="R142" s="16" t="n"/>
    </row>
    <row r="143">
      <c r="A143">
        <f>IF(B143&lt;&gt;"","NET-DEV-" &amp; TEXT(140,"000"),"")</f>
        <v/>
      </c>
      <c r="B143" s="16" t="n"/>
      <c r="C143" s="16" t="n"/>
      <c r="D143" s="16" t="n"/>
      <c r="E143" s="16" t="n"/>
      <c r="F143" s="16" t="n"/>
      <c r="G143" s="16" t="n"/>
      <c r="H143" s="16" t="n"/>
      <c r="I143" s="16" t="n"/>
      <c r="J143" s="16" t="n"/>
      <c r="K143" s="16" t="n"/>
      <c r="L143" s="16" t="n"/>
      <c r="M143" s="16" t="n"/>
      <c r="N143" s="16" t="n"/>
      <c r="O143" s="16" t="n"/>
      <c r="P143" s="16" t="n"/>
      <c r="Q143" s="16" t="n"/>
      <c r="R143" s="16" t="n"/>
    </row>
    <row r="144">
      <c r="A144">
        <f>IF(B144&lt;&gt;"","NET-DEV-" &amp; TEXT(141,"000"),"")</f>
        <v/>
      </c>
      <c r="B144" s="16" t="n"/>
      <c r="C144" s="16" t="n"/>
      <c r="D144" s="16" t="n"/>
      <c r="E144" s="16" t="n"/>
      <c r="F144" s="16" t="n"/>
      <c r="G144" s="16" t="n"/>
      <c r="H144" s="16" t="n"/>
      <c r="I144" s="16" t="n"/>
      <c r="J144" s="16" t="n"/>
      <c r="K144" s="16" t="n"/>
      <c r="L144" s="16" t="n"/>
      <c r="M144" s="16" t="n"/>
      <c r="N144" s="16" t="n"/>
      <c r="O144" s="16" t="n"/>
      <c r="P144" s="16" t="n"/>
      <c r="Q144" s="16" t="n"/>
      <c r="R144" s="16" t="n"/>
    </row>
    <row r="145">
      <c r="A145">
        <f>IF(B145&lt;&gt;"","NET-DEV-" &amp; TEXT(142,"000"),"")</f>
        <v/>
      </c>
      <c r="B145" s="16" t="n"/>
      <c r="C145" s="16" t="n"/>
      <c r="D145" s="16" t="n"/>
      <c r="E145" s="16" t="n"/>
      <c r="F145" s="16" t="n"/>
      <c r="G145" s="16" t="n"/>
      <c r="H145" s="16" t="n"/>
      <c r="I145" s="16" t="n"/>
      <c r="J145" s="16" t="n"/>
      <c r="K145" s="16" t="n"/>
      <c r="L145" s="16" t="n"/>
      <c r="M145" s="16" t="n"/>
      <c r="N145" s="16" t="n"/>
      <c r="O145" s="16" t="n"/>
      <c r="P145" s="16" t="n"/>
      <c r="Q145" s="16" t="n"/>
      <c r="R145" s="16" t="n"/>
    </row>
    <row r="146">
      <c r="A146">
        <f>IF(B146&lt;&gt;"","NET-DEV-" &amp; TEXT(143,"000"),"")</f>
        <v/>
      </c>
      <c r="B146" s="16" t="n"/>
      <c r="C146" s="16" t="n"/>
      <c r="D146" s="16" t="n"/>
      <c r="E146" s="16" t="n"/>
      <c r="F146" s="16" t="n"/>
      <c r="G146" s="16" t="n"/>
      <c r="H146" s="16" t="n"/>
      <c r="I146" s="16" t="n"/>
      <c r="J146" s="16" t="n"/>
      <c r="K146" s="16" t="n"/>
      <c r="L146" s="16" t="n"/>
      <c r="M146" s="16" t="n"/>
      <c r="N146" s="16" t="n"/>
      <c r="O146" s="16" t="n"/>
      <c r="P146" s="16" t="n"/>
      <c r="Q146" s="16" t="n"/>
      <c r="R146" s="16" t="n"/>
    </row>
    <row r="147">
      <c r="A147">
        <f>IF(B147&lt;&gt;"","NET-DEV-" &amp; TEXT(144,"000"),"")</f>
        <v/>
      </c>
      <c r="B147" s="16" t="n"/>
      <c r="C147" s="16" t="n"/>
      <c r="D147" s="16" t="n"/>
      <c r="E147" s="16" t="n"/>
      <c r="F147" s="16" t="n"/>
      <c r="G147" s="16" t="n"/>
      <c r="H147" s="16" t="n"/>
      <c r="I147" s="16" t="n"/>
      <c r="J147" s="16" t="n"/>
      <c r="K147" s="16" t="n"/>
      <c r="L147" s="16" t="n"/>
      <c r="M147" s="16" t="n"/>
      <c r="N147" s="16" t="n"/>
      <c r="O147" s="16" t="n"/>
      <c r="P147" s="16" t="n"/>
      <c r="Q147" s="16" t="n"/>
      <c r="R147" s="16" t="n"/>
    </row>
    <row r="148">
      <c r="A148">
        <f>IF(B148&lt;&gt;"","NET-DEV-" &amp; TEXT(145,"000"),"")</f>
        <v/>
      </c>
      <c r="B148" s="16" t="n"/>
      <c r="C148" s="16" t="n"/>
      <c r="D148" s="16" t="n"/>
      <c r="E148" s="16" t="n"/>
      <c r="F148" s="16" t="n"/>
      <c r="G148" s="16" t="n"/>
      <c r="H148" s="16" t="n"/>
      <c r="I148" s="16" t="n"/>
      <c r="J148" s="16" t="n"/>
      <c r="K148" s="16" t="n"/>
      <c r="L148" s="16" t="n"/>
      <c r="M148" s="16" t="n"/>
      <c r="N148" s="16" t="n"/>
      <c r="O148" s="16" t="n"/>
      <c r="P148" s="16" t="n"/>
      <c r="Q148" s="16" t="n"/>
      <c r="R148" s="16" t="n"/>
    </row>
    <row r="149">
      <c r="A149">
        <f>IF(B149&lt;&gt;"","NET-DEV-" &amp; TEXT(146,"000"),"")</f>
        <v/>
      </c>
      <c r="B149" s="16" t="n"/>
      <c r="C149" s="16" t="n"/>
      <c r="D149" s="16" t="n"/>
      <c r="E149" s="16" t="n"/>
      <c r="F149" s="16" t="n"/>
      <c r="G149" s="16" t="n"/>
      <c r="H149" s="16" t="n"/>
      <c r="I149" s="16" t="n"/>
      <c r="J149" s="16" t="n"/>
      <c r="K149" s="16" t="n"/>
      <c r="L149" s="16" t="n"/>
      <c r="M149" s="16" t="n"/>
      <c r="N149" s="16" t="n"/>
      <c r="O149" s="16" t="n"/>
      <c r="P149" s="16" t="n"/>
      <c r="Q149" s="16" t="n"/>
      <c r="R149" s="16" t="n"/>
    </row>
    <row r="150">
      <c r="A150">
        <f>IF(B150&lt;&gt;"","NET-DEV-" &amp; TEXT(147,"000"),"")</f>
        <v/>
      </c>
      <c r="B150" s="16" t="n"/>
      <c r="C150" s="16" t="n"/>
      <c r="D150" s="16" t="n"/>
      <c r="E150" s="16" t="n"/>
      <c r="F150" s="16" t="n"/>
      <c r="G150" s="16" t="n"/>
      <c r="H150" s="16" t="n"/>
      <c r="I150" s="16" t="n"/>
      <c r="J150" s="16" t="n"/>
      <c r="K150" s="16" t="n"/>
      <c r="L150" s="16" t="n"/>
      <c r="M150" s="16" t="n"/>
      <c r="N150" s="16" t="n"/>
      <c r="O150" s="16" t="n"/>
      <c r="P150" s="16" t="n"/>
      <c r="Q150" s="16" t="n"/>
      <c r="R150" s="16" t="n"/>
    </row>
    <row r="151">
      <c r="A151">
        <f>IF(B151&lt;&gt;"","NET-DEV-" &amp; TEXT(148,"000"),"")</f>
        <v/>
      </c>
      <c r="B151" s="16" t="n"/>
      <c r="C151" s="16" t="n"/>
      <c r="D151" s="16" t="n"/>
      <c r="E151" s="16" t="n"/>
      <c r="F151" s="16" t="n"/>
      <c r="G151" s="16" t="n"/>
      <c r="H151" s="16" t="n"/>
      <c r="I151" s="16" t="n"/>
      <c r="J151" s="16" t="n"/>
      <c r="K151" s="16" t="n"/>
      <c r="L151" s="16" t="n"/>
      <c r="M151" s="16" t="n"/>
      <c r="N151" s="16" t="n"/>
      <c r="O151" s="16" t="n"/>
      <c r="P151" s="16" t="n"/>
      <c r="Q151" s="16" t="n"/>
      <c r="R151" s="16" t="n"/>
    </row>
    <row r="152">
      <c r="A152">
        <f>IF(B152&lt;&gt;"","NET-DEV-" &amp; TEXT(149,"000"),"")</f>
        <v/>
      </c>
      <c r="B152" s="16" t="n"/>
      <c r="C152" s="16" t="n"/>
      <c r="D152" s="16" t="n"/>
      <c r="E152" s="16" t="n"/>
      <c r="F152" s="16" t="n"/>
      <c r="G152" s="16" t="n"/>
      <c r="H152" s="16" t="n"/>
      <c r="I152" s="16" t="n"/>
      <c r="J152" s="16" t="n"/>
      <c r="K152" s="16" t="n"/>
      <c r="L152" s="16" t="n"/>
      <c r="M152" s="16" t="n"/>
      <c r="N152" s="16" t="n"/>
      <c r="O152" s="16" t="n"/>
      <c r="P152" s="16" t="n"/>
      <c r="Q152" s="16" t="n"/>
      <c r="R152" s="16" t="n"/>
    </row>
    <row r="153">
      <c r="A153">
        <f>IF(B153&lt;&gt;"","NET-DEV-" &amp; TEXT(150,"000"),"")</f>
        <v/>
      </c>
      <c r="B153" s="16" t="n"/>
      <c r="C153" s="16" t="n"/>
      <c r="D153" s="16" t="n"/>
      <c r="E153" s="16" t="n"/>
      <c r="F153" s="16" t="n"/>
      <c r="G153" s="16" t="n"/>
      <c r="H153" s="16" t="n"/>
      <c r="I153" s="16" t="n"/>
      <c r="J153" s="16" t="n"/>
      <c r="K153" s="16" t="n"/>
      <c r="L153" s="16" t="n"/>
      <c r="M153" s="16" t="n"/>
      <c r="N153" s="16" t="n"/>
      <c r="O153" s="16" t="n"/>
      <c r="P153" s="16" t="n"/>
      <c r="Q153" s="16" t="n"/>
      <c r="R153" s="16" t="n"/>
    </row>
  </sheetData>
  <mergeCells count="2">
    <mergeCell ref="A2:R2"/>
    <mergeCell ref="A1:R1"/>
  </mergeCells>
  <conditionalFormatting sqref="J4:J15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Q4:Q153">
    <cfRule type="cellIs" priority="5" operator="equal" dxfId="3">
      <formula>"Active"</formula>
    </cfRule>
    <cfRule type="cellIs" priority="6" operator="equal" dxfId="0">
      <formula>"Offline"</formula>
    </cfRule>
    <cfRule type="cellIs" priority="7" operator="equal" dxfId="4">
      <formula>"Decommissioned"</formula>
    </cfRule>
  </conditionalFormatting>
  <dataValidations count="6">
    <dataValidation sqref="B5:B153" showDropDown="0" showInputMessage="0" showErrorMessage="0" allowBlank="0" errorTitle="Device Type Error" error="Invalid device type" type="list">
      <formula1>"Router,Switch,Firewall,Wireless AP,Load Balancer,VPN Concentrator,IDS/IPS,Network Management,Other"</formula1>
    </dataValidation>
    <dataValidation sqref="J5:J153" showDropDown="0" showInputMessage="0" showErrorMessage="0" allowBlank="0" errorTitle="Criticality Error" error="Must be Critical, High, Medium, or Low" type="list">
      <formula1>"Critical,High,Medium,Low"</formula1>
    </dataValidation>
    <dataValidation sqref="H5:H153" showDropDown="0" showInputMessage="0" showErrorMessage="0" allowBlank="1" errorTitle="Zone Error" error="Invalid security zone" type="list">
      <formula1>"Internet/DMZ,Internal,Management,Guest,Datacenter,Branch,Cloud,Unknown"</formula1>
    </dataValidation>
    <dataValidation sqref="M5:M153" showDropDown="0" showInputMessage="0" showErrorMessage="0" allowBlank="1" type="list">
      <formula1>"Nmap Scan,SNMP Walk,Cloud API,Manual Entry,Documentation Review,Other"</formula1>
    </dataValidation>
    <dataValidation sqref="P5:P153" showDropDown="0" showInputMessage="0" showErrorMessage="0" allowBlank="1" type="list">
      <formula1>"Compliant,Non-Compliant,⚠️ Partial,❓ Not Assessed"</formula1>
    </dataValidation>
    <dataValidation sqref="Q5:Q153" showDropDown="0" showInputMessage="0" showErrorMessage="0" allowBlank="0" errorTitle="Status Error" error="Invalid status" type="list">
      <formula1>"Active,Offline,Decommissioned,Planned"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20" customWidth="1" min="1" max="1"/>
    <col width="30" customWidth="1" min="2" max="2"/>
    <col width="50" customWidth="1" min="3" max="3"/>
    <col width="20" customWidth="1" min="4" max="4"/>
    <col width="20" customWidth="1" min="5" max="5"/>
    <col width="25" customWidth="1" min="6" max="6"/>
  </cols>
  <sheetData>
    <row r="1" ht="35" customHeight="1">
      <c r="A1" s="11" t="inlineStr">
        <is>
          <t>DEVICE CRITICALITY ASSESSMENT MATRIX</t>
        </is>
      </c>
      <c r="B1" s="6" t="n"/>
      <c r="C1" s="6" t="n"/>
      <c r="D1" s="6" t="n"/>
      <c r="E1" s="6" t="n"/>
      <c r="F1" s="6" t="n"/>
    </row>
    <row r="2">
      <c r="A2" s="12" t="inlineStr">
        <is>
          <t>Use this matrix to assess device criticality based on business impact if device fails</t>
        </is>
      </c>
      <c r="B2" s="6" t="n"/>
      <c r="C2" s="6" t="n"/>
      <c r="D2" s="6" t="n"/>
      <c r="E2" s="6" t="n"/>
      <c r="F2" s="6" t="n"/>
    </row>
    <row r="4">
      <c r="A4" s="17" t="inlineStr">
        <is>
          <t>Assessment Criteria</t>
        </is>
      </c>
      <c r="B4" s="6" t="n"/>
      <c r="C4" s="6" t="n"/>
      <c r="D4" s="6" t="n"/>
      <c r="E4" s="6" t="n"/>
      <c r="F4" s="6" t="n"/>
    </row>
    <row r="5">
      <c r="A5" s="13" t="inlineStr">
        <is>
          <t>Criticality</t>
        </is>
      </c>
      <c r="B5" s="13" t="inlineStr">
        <is>
          <t>Service Impact</t>
        </is>
      </c>
      <c r="C5" s="13" t="inlineStr">
        <is>
          <t>Recovery Time</t>
        </is>
      </c>
      <c r="D5" s="13" t="inlineStr">
        <is>
          <t>User Impact</t>
        </is>
      </c>
      <c r="E5" s="13" t="inlineStr">
        <is>
          <t>Revenue Impact</t>
        </is>
      </c>
      <c r="F5" s="13" t="inlineStr">
        <is>
          <t>Redundancy</t>
        </is>
      </c>
    </row>
    <row r="6">
      <c r="A6" s="18" t="inlineStr">
        <is>
          <t>Critical</t>
        </is>
      </c>
      <c r="B6" s="12" t="inlineStr">
        <is>
          <t>Complete outage of critical services</t>
        </is>
      </c>
      <c r="C6" s="12" t="inlineStr">
        <is>
          <t>&lt; 1 hour</t>
        </is>
      </c>
      <c r="D6" s="12" t="inlineStr">
        <is>
          <t>All users affected</t>
        </is>
      </c>
      <c r="E6" s="12" t="inlineStr">
        <is>
          <t>Significant revenue loss</t>
        </is>
      </c>
      <c r="F6" s="12" t="inlineStr">
        <is>
          <t>Single point of failure</t>
        </is>
      </c>
    </row>
    <row r="7">
      <c r="A7" s="19" t="inlineStr">
        <is>
          <t>High</t>
        </is>
      </c>
      <c r="B7" s="12" t="inlineStr">
        <is>
          <t>Significant service degradation</t>
        </is>
      </c>
      <c r="C7" s="12" t="inlineStr">
        <is>
          <t>&lt; 4 hours</t>
        </is>
      </c>
      <c r="D7" s="12" t="inlineStr">
        <is>
          <t>Large user group affected</t>
        </is>
      </c>
      <c r="E7" s="12" t="inlineStr">
        <is>
          <t>Notable revenue impact</t>
        </is>
      </c>
      <c r="F7" s="12" t="inlineStr">
        <is>
          <t>Limited redundancy</t>
        </is>
      </c>
    </row>
    <row r="8">
      <c r="A8" s="20" t="inlineStr">
        <is>
          <t>Medium</t>
        </is>
      </c>
      <c r="B8" s="12" t="inlineStr">
        <is>
          <t>Localized service impact</t>
        </is>
      </c>
      <c r="C8" s="12" t="inlineStr">
        <is>
          <t>&lt; 24 hours</t>
        </is>
      </c>
      <c r="D8" s="12" t="inlineStr">
        <is>
          <t>Department/team affected</t>
        </is>
      </c>
      <c r="E8" s="12" t="inlineStr">
        <is>
          <t>Minimal revenue impact</t>
        </is>
      </c>
      <c r="F8" s="12" t="inlineStr">
        <is>
          <t>Redundant but important</t>
        </is>
      </c>
    </row>
    <row r="9">
      <c r="A9" s="21" t="inlineStr">
        <is>
          <t>Low</t>
        </is>
      </c>
      <c r="B9" s="12" t="inlineStr">
        <is>
          <t>Minimal or no service impact</t>
        </is>
      </c>
      <c r="C9" s="12" t="inlineStr">
        <is>
          <t>&gt; 24 hours acceptable</t>
        </is>
      </c>
      <c r="D9" s="12" t="inlineStr">
        <is>
          <t>Few users affected</t>
        </is>
      </c>
      <c r="E9" s="12" t="inlineStr">
        <is>
          <t>No revenue impact</t>
        </is>
      </c>
      <c r="F9" s="12" t="inlineStr">
        <is>
          <t>Fully redundant or non-critical</t>
        </is>
      </c>
    </row>
    <row r="11">
      <c r="A11" s="17" t="inlineStr">
        <is>
          <t>Device Type - Typical Criticality Mapping (Guidance Only)</t>
        </is>
      </c>
      <c r="B11" s="6" t="n"/>
      <c r="C11" s="6" t="n"/>
    </row>
    <row r="12">
      <c r="A12" s="13" t="inlineStr">
        <is>
          <t>Device Type</t>
        </is>
      </c>
      <c r="B12" s="13" t="inlineStr">
        <is>
          <t>Typical Criticality</t>
        </is>
      </c>
      <c r="C12" s="13" t="inlineStr">
        <is>
          <t>Rationale</t>
        </is>
      </c>
    </row>
    <row r="13">
      <c r="A13" s="12" t="inlineStr">
        <is>
          <t>Core Router</t>
        </is>
      </c>
      <c r="B13" s="18" t="inlineStr">
        <is>
          <t>Critical</t>
        </is>
      </c>
      <c r="C13" s="12" t="inlineStr">
        <is>
          <t>Single point of failure for all WAN/Internet traffic</t>
        </is>
      </c>
    </row>
    <row r="14">
      <c r="A14" s="12" t="inlineStr">
        <is>
          <t>Core Switch</t>
        </is>
      </c>
      <c r="B14" s="18" t="inlineStr">
        <is>
          <t>Critical</t>
        </is>
      </c>
      <c r="C14" s="12" t="inlineStr">
        <is>
          <t>Aggregates all access layer traffic</t>
        </is>
      </c>
    </row>
    <row r="15">
      <c r="A15" s="12" t="inlineStr">
        <is>
          <t>Primary Firewall</t>
        </is>
      </c>
      <c r="B15" s="18" t="inlineStr">
        <is>
          <t>Critical</t>
        </is>
      </c>
      <c r="C15" s="12" t="inlineStr">
        <is>
          <t>Controls all ingress/egress traffic</t>
        </is>
      </c>
    </row>
    <row r="16">
      <c r="A16" s="12" t="inlineStr">
        <is>
          <t>Datacenter Switch</t>
        </is>
      </c>
      <c r="B16" s="18" t="inlineStr">
        <is>
          <t>Critical</t>
        </is>
      </c>
      <c r="C16" s="12" t="inlineStr">
        <is>
          <t>Connects production servers</t>
        </is>
      </c>
    </row>
    <row r="17">
      <c r="A17" s="12" t="inlineStr">
        <is>
          <t>Distribution Switch</t>
        </is>
      </c>
      <c r="B17" s="19" t="inlineStr">
        <is>
          <t>High</t>
        </is>
      </c>
      <c r="C17" s="12" t="inlineStr">
        <is>
          <t>Aggregates multiple access switches</t>
        </is>
      </c>
    </row>
    <row r="18">
      <c r="A18" s="12" t="inlineStr">
        <is>
          <t>WAN Router</t>
        </is>
      </c>
      <c r="B18" s="19" t="inlineStr">
        <is>
          <t>High</t>
        </is>
      </c>
      <c r="C18" s="12" t="inlineStr">
        <is>
          <t>Connects branch to HQ</t>
        </is>
      </c>
    </row>
    <row r="19">
      <c r="A19" s="12" t="inlineStr">
        <is>
          <t>Secondary Firewall</t>
        </is>
      </c>
      <c r="B19" s="19" t="inlineStr">
        <is>
          <t>High</t>
        </is>
      </c>
      <c r="C19" s="12" t="inlineStr">
        <is>
          <t>Backup for primary firewall</t>
        </is>
      </c>
    </row>
    <row r="20">
      <c r="A20" s="12" t="inlineStr">
        <is>
          <t>Access Switch</t>
        </is>
      </c>
      <c r="B20" s="20" t="inlineStr">
        <is>
          <t>Medium</t>
        </is>
      </c>
      <c r="C20" s="12" t="inlineStr">
        <is>
          <t>Localized impact (single floor/department)</t>
        </is>
      </c>
    </row>
    <row r="21">
      <c r="A21" s="12" t="inlineStr">
        <is>
          <t>Wireless AP</t>
        </is>
      </c>
      <c r="B21" s="20" t="inlineStr">
        <is>
          <t>Medium</t>
        </is>
      </c>
      <c r="C21" s="12" t="inlineStr">
        <is>
          <t>Affects wireless users only</t>
        </is>
      </c>
    </row>
    <row r="22">
      <c r="A22" s="12" t="inlineStr">
        <is>
          <t>Management Device</t>
        </is>
      </c>
      <c r="B22" s="20" t="inlineStr">
        <is>
          <t>Medium</t>
        </is>
      </c>
      <c r="C22" s="12" t="inlineStr">
        <is>
          <t>Does not forward production traffic</t>
        </is>
      </c>
    </row>
    <row r="23">
      <c r="A23" s="12" t="inlineStr">
        <is>
          <t>Guest Wi-Fi AP</t>
        </is>
      </c>
      <c r="B23" s="21" t="inlineStr">
        <is>
          <t>Low</t>
        </is>
      </c>
      <c r="C23" s="12" t="inlineStr">
        <is>
          <t>Non-business critical</t>
        </is>
      </c>
    </row>
    <row r="24">
      <c r="A24" s="12" t="inlineStr">
        <is>
          <t>Lab Equipment</t>
        </is>
      </c>
      <c r="B24" s="21" t="inlineStr">
        <is>
          <t>Low</t>
        </is>
      </c>
      <c r="C24" s="12" t="inlineStr">
        <is>
          <t>Test/development only</t>
        </is>
      </c>
    </row>
    <row r="26">
      <c r="A26" s="12" t="inlineStr">
        <is>
          <t>⚠️ Important: Criticality assessment must consider YOUR organisation's specific context, not just device type. Always assess based on business impact.</t>
        </is>
      </c>
      <c r="B26" s="6" t="n"/>
      <c r="C26" s="6" t="n"/>
      <c r="D26" s="6" t="n"/>
      <c r="E26" s="6" t="n"/>
      <c r="F26" s="6" t="n"/>
    </row>
  </sheetData>
  <mergeCells count="5">
    <mergeCell ref="A2:F2"/>
    <mergeCell ref="A11:C11"/>
    <mergeCell ref="A1:F1"/>
    <mergeCell ref="A4:F4"/>
    <mergeCell ref="A26:F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4"/>
  <sheetViews>
    <sheetView showGridLines="0" workbookViewId="0">
      <pane ySplit="3" topLeftCell="A4" activePane="bottomLeft" state="frozen"/>
      <selection pane="bottomLeft" activeCell="A1" sqref="A1"/>
    </sheetView>
  </sheetViews>
  <sheetFormatPr baseColWidth="8" defaultRowHeight="15"/>
  <cols>
    <col width="25" customWidth="1" min="1" max="1"/>
    <col width="14" customWidth="1" min="2" max="2"/>
    <col width="12" customWidth="1" min="3" max="3"/>
    <col width="12" customWidth="1" min="4" max="4"/>
    <col width="14" customWidth="1" min="5" max="5"/>
    <col width="16" customWidth="1" min="6" max="6"/>
    <col width="14" customWidth="1" min="7" max="7"/>
    <col width="40" customWidth="1" min="8" max="8"/>
  </cols>
  <sheetData>
    <row r="1" ht="35" customHeight="1">
      <c r="A1" s="11" t="inlineStr">
        <is>
          <t>DEVICE TYPE SUMMARY &amp; STATISTICS</t>
        </is>
      </c>
    </row>
    <row r="2">
      <c r="A2" s="12" t="inlineStr">
        <is>
          <t>Categorise network device types, record counts and compliance status. One row per device category.</t>
        </is>
      </c>
    </row>
    <row r="3">
      <c r="A3" s="13" t="inlineStr">
        <is>
          <t>Device Type</t>
        </is>
      </c>
      <c r="B3" s="13" t="inlineStr">
        <is>
          <t>Total Count</t>
        </is>
      </c>
      <c r="C3" s="13" t="inlineStr">
        <is>
          <t>Active</t>
        </is>
      </c>
      <c r="D3" s="13" t="inlineStr">
        <is>
          <t>Offline</t>
        </is>
      </c>
      <c r="E3" s="13" t="inlineStr">
        <is>
          <t>Critical Count</t>
        </is>
      </c>
      <c r="F3" s="13" t="inlineStr">
        <is>
          <t>Compliant Count</t>
        </is>
      </c>
      <c r="G3" s="13" t="inlineStr">
        <is>
          <t>Compliance %</t>
        </is>
      </c>
      <c r="H3" s="13" t="inlineStr">
        <is>
          <t>Notes</t>
        </is>
      </c>
    </row>
    <row r="4">
      <c r="A4" s="22" t="inlineStr">
        <is>
          <t>Router</t>
        </is>
      </c>
      <c r="B4" s="22">
        <f>IF(A4="","",COUNTIF('Device Inventory'!B5:B153,A4))</f>
        <v/>
      </c>
      <c r="C4" s="22">
        <f>IF(A4="","",COUNTIFS('Device Inventory'!B5:B153,A4,'Device Inventory'!Q5:Q153,"Active"))</f>
        <v/>
      </c>
      <c r="D4" s="22">
        <f>IF(A4="","",COUNTIFS('Device Inventory'!B5:B153,A4,'Device Inventory'!Q5:Q153,"Offline"))</f>
        <v/>
      </c>
      <c r="E4" s="22">
        <f>IF(A4="","",COUNTIFS('Device Inventory'!B5:B153,A4,'Device Inventory'!J5:J153,"Critical"))</f>
        <v/>
      </c>
      <c r="F4" s="22">
        <f>IF(A4="","",COUNTIFS('Device Inventory'!B5:B153,A4,'Device Inventory'!P5:P153,"Compliant"))</f>
        <v/>
      </c>
      <c r="G4" s="23">
        <f>IF(OR(A4="",B4=0),"",F4/B4*100)</f>
        <v/>
      </c>
      <c r="H4" s="22" t="inlineStr"/>
    </row>
    <row r="5">
      <c r="A5" s="16" t="n"/>
      <c r="B5" s="16">
        <f>IF(A5="","",COUNTIF('Device Inventory'!B5:B153,A5))</f>
        <v/>
      </c>
      <c r="C5" s="16">
        <f>IF(A5="","",COUNTIFS('Device Inventory'!B5:B153,A5,'Device Inventory'!Q5:Q153,"Active"))</f>
        <v/>
      </c>
      <c r="D5" s="16">
        <f>IF(A5="","",COUNTIFS('Device Inventory'!B5:B153,A5,'Device Inventory'!Q5:Q153,"Offline"))</f>
        <v/>
      </c>
      <c r="E5" s="16">
        <f>IF(A5="","",COUNTIFS('Device Inventory'!B5:B153,A5,'Device Inventory'!J5:J153,"Critical"))</f>
        <v/>
      </c>
      <c r="F5" s="16">
        <f>IF(A5="","",COUNTIFS('Device Inventory'!B5:B153,A5,'Device Inventory'!P5:P153,"Compliant"))</f>
        <v/>
      </c>
      <c r="G5" s="24">
        <f>IF(OR(A5="",B5=0),"",F5/B5*100)</f>
        <v/>
      </c>
      <c r="H5" s="16" t="n"/>
    </row>
    <row r="6">
      <c r="A6" s="16" t="n"/>
      <c r="B6" s="16">
        <f>IF(A6="","",COUNTIF('Device Inventory'!B5:B153,A6))</f>
        <v/>
      </c>
      <c r="C6" s="16">
        <f>IF(A6="","",COUNTIFS('Device Inventory'!B5:B153,A6,'Device Inventory'!Q5:Q153,"Active"))</f>
        <v/>
      </c>
      <c r="D6" s="16">
        <f>IF(A6="","",COUNTIFS('Device Inventory'!B5:B153,A6,'Device Inventory'!Q5:Q153,"Offline"))</f>
        <v/>
      </c>
      <c r="E6" s="16">
        <f>IF(A6="","",COUNTIFS('Device Inventory'!B5:B153,A6,'Device Inventory'!J5:J153,"Critical"))</f>
        <v/>
      </c>
      <c r="F6" s="16">
        <f>IF(A6="","",COUNTIFS('Device Inventory'!B5:B153,A6,'Device Inventory'!P5:P153,"Compliant"))</f>
        <v/>
      </c>
      <c r="G6" s="24">
        <f>IF(OR(A6="",B6=0),"",F6/B6*100)</f>
        <v/>
      </c>
      <c r="H6" s="16" t="n"/>
    </row>
    <row r="7">
      <c r="A7" s="16" t="n"/>
      <c r="B7" s="16">
        <f>IF(A7="","",COUNTIF('Device Inventory'!B5:B153,A7))</f>
        <v/>
      </c>
      <c r="C7" s="16">
        <f>IF(A7="","",COUNTIFS('Device Inventory'!B5:B153,A7,'Device Inventory'!Q5:Q153,"Active"))</f>
        <v/>
      </c>
      <c r="D7" s="16">
        <f>IF(A7="","",COUNTIFS('Device Inventory'!B5:B153,A7,'Device Inventory'!Q5:Q153,"Offline"))</f>
        <v/>
      </c>
      <c r="E7" s="16">
        <f>IF(A7="","",COUNTIFS('Device Inventory'!B5:B153,A7,'Device Inventory'!J5:J153,"Critical"))</f>
        <v/>
      </c>
      <c r="F7" s="16">
        <f>IF(A7="","",COUNTIFS('Device Inventory'!B5:B153,A7,'Device Inventory'!P5:P153,"Compliant"))</f>
        <v/>
      </c>
      <c r="G7" s="24">
        <f>IF(OR(A7="",B7=0),"",F7/B7*100)</f>
        <v/>
      </c>
      <c r="H7" s="16" t="n"/>
    </row>
    <row r="8">
      <c r="A8" s="16" t="n"/>
      <c r="B8" s="16">
        <f>IF(A8="","",COUNTIF('Device Inventory'!B5:B153,A8))</f>
        <v/>
      </c>
      <c r="C8" s="16">
        <f>IF(A8="","",COUNTIFS('Device Inventory'!B5:B153,A8,'Device Inventory'!Q5:Q153,"Active"))</f>
        <v/>
      </c>
      <c r="D8" s="16">
        <f>IF(A8="","",COUNTIFS('Device Inventory'!B5:B153,A8,'Device Inventory'!Q5:Q153,"Offline"))</f>
        <v/>
      </c>
      <c r="E8" s="16">
        <f>IF(A8="","",COUNTIFS('Device Inventory'!B5:B153,A8,'Device Inventory'!J5:J153,"Critical"))</f>
        <v/>
      </c>
      <c r="F8" s="16">
        <f>IF(A8="","",COUNTIFS('Device Inventory'!B5:B153,A8,'Device Inventory'!P5:P153,"Compliant"))</f>
        <v/>
      </c>
      <c r="G8" s="24">
        <f>IF(OR(A8="",B8=0),"",F8/B8*100)</f>
        <v/>
      </c>
      <c r="H8" s="16" t="n"/>
    </row>
    <row r="9">
      <c r="A9" s="16" t="n"/>
      <c r="B9" s="16">
        <f>IF(A9="","",COUNTIF('Device Inventory'!B5:B153,A9))</f>
        <v/>
      </c>
      <c r="C9" s="16">
        <f>IF(A9="","",COUNTIFS('Device Inventory'!B5:B153,A9,'Device Inventory'!Q5:Q153,"Active"))</f>
        <v/>
      </c>
      <c r="D9" s="16">
        <f>IF(A9="","",COUNTIFS('Device Inventory'!B5:B153,A9,'Device Inventory'!Q5:Q153,"Offline"))</f>
        <v/>
      </c>
      <c r="E9" s="16">
        <f>IF(A9="","",COUNTIFS('Device Inventory'!B5:B153,A9,'Device Inventory'!J5:J153,"Critical"))</f>
        <v/>
      </c>
      <c r="F9" s="16">
        <f>IF(A9="","",COUNTIFS('Device Inventory'!B5:B153,A9,'Device Inventory'!P5:P153,"Compliant"))</f>
        <v/>
      </c>
      <c r="G9" s="24">
        <f>IF(OR(A9="",B9=0),"",F9/B9*100)</f>
        <v/>
      </c>
      <c r="H9" s="16" t="n"/>
    </row>
    <row r="10">
      <c r="A10" s="16" t="n"/>
      <c r="B10" s="16">
        <f>IF(A10="","",COUNTIF('Device Inventory'!B5:B153,A10))</f>
        <v/>
      </c>
      <c r="C10" s="16">
        <f>IF(A10="","",COUNTIFS('Device Inventory'!B5:B153,A10,'Device Inventory'!Q5:Q153,"Active"))</f>
        <v/>
      </c>
      <c r="D10" s="16">
        <f>IF(A10="","",COUNTIFS('Device Inventory'!B5:B153,A10,'Device Inventory'!Q5:Q153,"Offline"))</f>
        <v/>
      </c>
      <c r="E10" s="16">
        <f>IF(A10="","",COUNTIFS('Device Inventory'!B5:B153,A10,'Device Inventory'!J5:J153,"Critical"))</f>
        <v/>
      </c>
      <c r="F10" s="16">
        <f>IF(A10="","",COUNTIFS('Device Inventory'!B5:B153,A10,'Device Inventory'!P5:P153,"Compliant"))</f>
        <v/>
      </c>
      <c r="G10" s="24">
        <f>IF(OR(A10="",B10=0),"",F10/B10*100)</f>
        <v/>
      </c>
      <c r="H10" s="16" t="n"/>
    </row>
    <row r="11">
      <c r="A11" s="16" t="n"/>
      <c r="B11" s="16">
        <f>IF(A11="","",COUNTIF('Device Inventory'!B5:B153,A11))</f>
        <v/>
      </c>
      <c r="C11" s="16">
        <f>IF(A11="","",COUNTIFS('Device Inventory'!B5:B153,A11,'Device Inventory'!Q5:Q153,"Active"))</f>
        <v/>
      </c>
      <c r="D11" s="16">
        <f>IF(A11="","",COUNTIFS('Device Inventory'!B5:B153,A11,'Device Inventory'!Q5:Q153,"Offline"))</f>
        <v/>
      </c>
      <c r="E11" s="16">
        <f>IF(A11="","",COUNTIFS('Device Inventory'!B5:B153,A11,'Device Inventory'!J5:J153,"Critical"))</f>
        <v/>
      </c>
      <c r="F11" s="16">
        <f>IF(A11="","",COUNTIFS('Device Inventory'!B5:B153,A11,'Device Inventory'!P5:P153,"Compliant"))</f>
        <v/>
      </c>
      <c r="G11" s="24">
        <f>IF(OR(A11="",B11=0),"",F11/B11*100)</f>
        <v/>
      </c>
      <c r="H11" s="16" t="n"/>
    </row>
    <row r="12">
      <c r="A12" s="16" t="n"/>
      <c r="B12" s="16">
        <f>IF(A12="","",COUNTIF('Device Inventory'!B5:B153,A12))</f>
        <v/>
      </c>
      <c r="C12" s="16">
        <f>IF(A12="","",COUNTIFS('Device Inventory'!B5:B153,A12,'Device Inventory'!Q5:Q153,"Active"))</f>
        <v/>
      </c>
      <c r="D12" s="16">
        <f>IF(A12="","",COUNTIFS('Device Inventory'!B5:B153,A12,'Device Inventory'!Q5:Q153,"Offline"))</f>
        <v/>
      </c>
      <c r="E12" s="16">
        <f>IF(A12="","",COUNTIFS('Device Inventory'!B5:B153,A12,'Device Inventory'!J5:J153,"Critical"))</f>
        <v/>
      </c>
      <c r="F12" s="16">
        <f>IF(A12="","",COUNTIFS('Device Inventory'!B5:B153,A12,'Device Inventory'!P5:P153,"Compliant"))</f>
        <v/>
      </c>
      <c r="G12" s="24">
        <f>IF(OR(A12="",B12=0),"",F12/B12*100)</f>
        <v/>
      </c>
      <c r="H12" s="16" t="n"/>
    </row>
    <row r="13">
      <c r="A13" s="16" t="n"/>
      <c r="B13" s="16">
        <f>IF(A13="","",COUNTIF('Device Inventory'!B5:B153,A13))</f>
        <v/>
      </c>
      <c r="C13" s="16">
        <f>IF(A13="","",COUNTIFS('Device Inventory'!B5:B153,A13,'Device Inventory'!Q5:Q153,"Active"))</f>
        <v/>
      </c>
      <c r="D13" s="16">
        <f>IF(A13="","",COUNTIFS('Device Inventory'!B5:B153,A13,'Device Inventory'!Q5:Q153,"Offline"))</f>
        <v/>
      </c>
      <c r="E13" s="16">
        <f>IF(A13="","",COUNTIFS('Device Inventory'!B5:B153,A13,'Device Inventory'!J5:J153,"Critical"))</f>
        <v/>
      </c>
      <c r="F13" s="16">
        <f>IF(A13="","",COUNTIFS('Device Inventory'!B5:B153,A13,'Device Inventory'!P5:P153,"Compliant"))</f>
        <v/>
      </c>
      <c r="G13" s="24">
        <f>IF(OR(A13="",B13=0),"",F13/B13*100)</f>
        <v/>
      </c>
      <c r="H13" s="16" t="n"/>
    </row>
    <row r="14">
      <c r="A14" s="16" t="n"/>
      <c r="B14" s="16">
        <f>IF(A14="","",COUNTIF('Device Inventory'!B5:B153,A14))</f>
        <v/>
      </c>
      <c r="C14" s="16">
        <f>IF(A14="","",COUNTIFS('Device Inventory'!B5:B153,A14,'Device Inventory'!Q5:Q153,"Active"))</f>
        <v/>
      </c>
      <c r="D14" s="16">
        <f>IF(A14="","",COUNTIFS('Device Inventory'!B5:B153,A14,'Device Inventory'!Q5:Q153,"Offline"))</f>
        <v/>
      </c>
      <c r="E14" s="16">
        <f>IF(A14="","",COUNTIFS('Device Inventory'!B5:B153,A14,'Device Inventory'!J5:J153,"Critical"))</f>
        <v/>
      </c>
      <c r="F14" s="16">
        <f>IF(A14="","",COUNTIFS('Device Inventory'!B5:B153,A14,'Device Inventory'!P5:P153,"Compliant"))</f>
        <v/>
      </c>
      <c r="G14" s="24">
        <f>IF(OR(A14="",B14=0),"",F14/B14*100)</f>
        <v/>
      </c>
      <c r="H14" s="16" t="n"/>
    </row>
    <row r="15">
      <c r="A15" s="16" t="n"/>
      <c r="B15" s="16">
        <f>IF(A15="","",COUNTIF('Device Inventory'!B5:B153,A15))</f>
        <v/>
      </c>
      <c r="C15" s="16">
        <f>IF(A15="","",COUNTIFS('Device Inventory'!B5:B153,A15,'Device Inventory'!Q5:Q153,"Active"))</f>
        <v/>
      </c>
      <c r="D15" s="16">
        <f>IF(A15="","",COUNTIFS('Device Inventory'!B5:B153,A15,'Device Inventory'!Q5:Q153,"Offline"))</f>
        <v/>
      </c>
      <c r="E15" s="16">
        <f>IF(A15="","",COUNTIFS('Device Inventory'!B5:B153,A15,'Device Inventory'!J5:J153,"Critical"))</f>
        <v/>
      </c>
      <c r="F15" s="16">
        <f>IF(A15="","",COUNTIFS('Device Inventory'!B5:B153,A15,'Device Inventory'!P5:P153,"Compliant"))</f>
        <v/>
      </c>
      <c r="G15" s="24">
        <f>IF(OR(A15="",B15=0),"",F15/B15*100)</f>
        <v/>
      </c>
      <c r="H15" s="16" t="n"/>
    </row>
    <row r="16">
      <c r="A16" s="16" t="n"/>
      <c r="B16" s="16">
        <f>IF(A16="","",COUNTIF('Device Inventory'!B5:B153,A16))</f>
        <v/>
      </c>
      <c r="C16" s="16">
        <f>IF(A16="","",COUNTIFS('Device Inventory'!B5:B153,A16,'Device Inventory'!Q5:Q153,"Active"))</f>
        <v/>
      </c>
      <c r="D16" s="16">
        <f>IF(A16="","",COUNTIFS('Device Inventory'!B5:B153,A16,'Device Inventory'!Q5:Q153,"Offline"))</f>
        <v/>
      </c>
      <c r="E16" s="16">
        <f>IF(A16="","",COUNTIFS('Device Inventory'!B5:B153,A16,'Device Inventory'!J5:J153,"Critical"))</f>
        <v/>
      </c>
      <c r="F16" s="16">
        <f>IF(A16="","",COUNTIFS('Device Inventory'!B5:B153,A16,'Device Inventory'!P5:P153,"Compliant"))</f>
        <v/>
      </c>
      <c r="G16" s="24">
        <f>IF(OR(A16="",B16=0),"",F16/B16*100)</f>
        <v/>
      </c>
      <c r="H16" s="16" t="n"/>
    </row>
    <row r="17">
      <c r="A17" s="16" t="n"/>
      <c r="B17" s="16">
        <f>IF(A17="","",COUNTIF('Device Inventory'!B5:B153,A17))</f>
        <v/>
      </c>
      <c r="C17" s="16">
        <f>IF(A17="","",COUNTIFS('Device Inventory'!B5:B153,A17,'Device Inventory'!Q5:Q153,"Active"))</f>
        <v/>
      </c>
      <c r="D17" s="16">
        <f>IF(A17="","",COUNTIFS('Device Inventory'!B5:B153,A17,'Device Inventory'!Q5:Q153,"Offline"))</f>
        <v/>
      </c>
      <c r="E17" s="16">
        <f>IF(A17="","",COUNTIFS('Device Inventory'!B5:B153,A17,'Device Inventory'!J5:J153,"Critical"))</f>
        <v/>
      </c>
      <c r="F17" s="16">
        <f>IF(A17="","",COUNTIFS('Device Inventory'!B5:B153,A17,'Device Inventory'!P5:P153,"Compliant"))</f>
        <v/>
      </c>
      <c r="G17" s="24">
        <f>IF(OR(A17="",B17=0),"",F17/B17*100)</f>
        <v/>
      </c>
      <c r="H17" s="16" t="n"/>
    </row>
    <row r="18">
      <c r="A18" s="16" t="n"/>
      <c r="B18" s="16">
        <f>IF(A18="","",COUNTIF('Device Inventory'!B5:B153,A18))</f>
        <v/>
      </c>
      <c r="C18" s="16">
        <f>IF(A18="","",COUNTIFS('Device Inventory'!B5:B153,A18,'Device Inventory'!Q5:Q153,"Active"))</f>
        <v/>
      </c>
      <c r="D18" s="16">
        <f>IF(A18="","",COUNTIFS('Device Inventory'!B5:B153,A18,'Device Inventory'!Q5:Q153,"Offline"))</f>
        <v/>
      </c>
      <c r="E18" s="16">
        <f>IF(A18="","",COUNTIFS('Device Inventory'!B5:B153,A18,'Device Inventory'!J5:J153,"Critical"))</f>
        <v/>
      </c>
      <c r="F18" s="16">
        <f>IF(A18="","",COUNTIFS('Device Inventory'!B5:B153,A18,'Device Inventory'!P5:P153,"Compliant"))</f>
        <v/>
      </c>
      <c r="G18" s="24">
        <f>IF(OR(A18="",B18=0),"",F18/B18*100)</f>
        <v/>
      </c>
      <c r="H18" s="16" t="n"/>
    </row>
    <row r="19">
      <c r="A19" s="16" t="n"/>
      <c r="B19" s="16">
        <f>IF(A19="","",COUNTIF('Device Inventory'!B5:B153,A19))</f>
        <v/>
      </c>
      <c r="C19" s="16">
        <f>IF(A19="","",COUNTIFS('Device Inventory'!B5:B153,A19,'Device Inventory'!Q5:Q153,"Active"))</f>
        <v/>
      </c>
      <c r="D19" s="16">
        <f>IF(A19="","",COUNTIFS('Device Inventory'!B5:B153,A19,'Device Inventory'!Q5:Q153,"Offline"))</f>
        <v/>
      </c>
      <c r="E19" s="16">
        <f>IF(A19="","",COUNTIFS('Device Inventory'!B5:B153,A19,'Device Inventory'!J5:J153,"Critical"))</f>
        <v/>
      </c>
      <c r="F19" s="16">
        <f>IF(A19="","",COUNTIFS('Device Inventory'!B5:B153,A19,'Device Inventory'!P5:P153,"Compliant"))</f>
        <v/>
      </c>
      <c r="G19" s="24">
        <f>IF(OR(A19="",B19=0),"",F19/B19*100)</f>
        <v/>
      </c>
      <c r="H19" s="16" t="n"/>
    </row>
    <row r="20">
      <c r="A20" s="16" t="n"/>
      <c r="B20" s="16">
        <f>IF(A20="","",COUNTIF('Device Inventory'!B5:B153,A20))</f>
        <v/>
      </c>
      <c r="C20" s="16">
        <f>IF(A20="","",COUNTIFS('Device Inventory'!B5:B153,A20,'Device Inventory'!Q5:Q153,"Active"))</f>
        <v/>
      </c>
      <c r="D20" s="16">
        <f>IF(A20="","",COUNTIFS('Device Inventory'!B5:B153,A20,'Device Inventory'!Q5:Q153,"Offline"))</f>
        <v/>
      </c>
      <c r="E20" s="16">
        <f>IF(A20="","",COUNTIFS('Device Inventory'!B5:B153,A20,'Device Inventory'!J5:J153,"Critical"))</f>
        <v/>
      </c>
      <c r="F20" s="16">
        <f>IF(A20="","",COUNTIFS('Device Inventory'!B5:B153,A20,'Device Inventory'!P5:P153,"Compliant"))</f>
        <v/>
      </c>
      <c r="G20" s="24">
        <f>IF(OR(A20="",B20=0),"",F20/B20*100)</f>
        <v/>
      </c>
      <c r="H20" s="16" t="n"/>
    </row>
    <row r="21">
      <c r="A21" s="16" t="n"/>
      <c r="B21" s="16">
        <f>IF(A21="","",COUNTIF('Device Inventory'!B5:B153,A21))</f>
        <v/>
      </c>
      <c r="C21" s="16">
        <f>IF(A21="","",COUNTIFS('Device Inventory'!B5:B153,A21,'Device Inventory'!Q5:Q153,"Active"))</f>
        <v/>
      </c>
      <c r="D21" s="16">
        <f>IF(A21="","",COUNTIFS('Device Inventory'!B5:B153,A21,'Device Inventory'!Q5:Q153,"Offline"))</f>
        <v/>
      </c>
      <c r="E21" s="16">
        <f>IF(A21="","",COUNTIFS('Device Inventory'!B5:B153,A21,'Device Inventory'!J5:J153,"Critical"))</f>
        <v/>
      </c>
      <c r="F21" s="16">
        <f>IF(A21="","",COUNTIFS('Device Inventory'!B5:B153,A21,'Device Inventory'!P5:P153,"Compliant"))</f>
        <v/>
      </c>
      <c r="G21" s="24">
        <f>IF(OR(A21="",B21=0),"",F21/B21*100)</f>
        <v/>
      </c>
      <c r="H21" s="16" t="n"/>
    </row>
    <row r="22">
      <c r="A22" s="16" t="n"/>
      <c r="B22" s="16">
        <f>IF(A22="","",COUNTIF('Device Inventory'!B5:B153,A22))</f>
        <v/>
      </c>
      <c r="C22" s="16">
        <f>IF(A22="","",COUNTIFS('Device Inventory'!B5:B153,A22,'Device Inventory'!Q5:Q153,"Active"))</f>
        <v/>
      </c>
      <c r="D22" s="16">
        <f>IF(A22="","",COUNTIFS('Device Inventory'!B5:B153,A22,'Device Inventory'!Q5:Q153,"Offline"))</f>
        <v/>
      </c>
      <c r="E22" s="16">
        <f>IF(A22="","",COUNTIFS('Device Inventory'!B5:B153,A22,'Device Inventory'!J5:J153,"Critical"))</f>
        <v/>
      </c>
      <c r="F22" s="16">
        <f>IF(A22="","",COUNTIFS('Device Inventory'!B5:B153,A22,'Device Inventory'!P5:P153,"Compliant"))</f>
        <v/>
      </c>
      <c r="G22" s="24">
        <f>IF(OR(A22="",B22=0),"",F22/B22*100)</f>
        <v/>
      </c>
      <c r="H22" s="16" t="n"/>
    </row>
    <row r="23">
      <c r="A23" s="16" t="n"/>
      <c r="B23" s="16">
        <f>IF(A23="","",COUNTIF('Device Inventory'!B5:B153,A23))</f>
        <v/>
      </c>
      <c r="C23" s="16">
        <f>IF(A23="","",COUNTIFS('Device Inventory'!B5:B153,A23,'Device Inventory'!Q5:Q153,"Active"))</f>
        <v/>
      </c>
      <c r="D23" s="16">
        <f>IF(A23="","",COUNTIFS('Device Inventory'!B5:B153,A23,'Device Inventory'!Q5:Q153,"Offline"))</f>
        <v/>
      </c>
      <c r="E23" s="16">
        <f>IF(A23="","",COUNTIFS('Device Inventory'!B5:B153,A23,'Device Inventory'!J5:J153,"Critical"))</f>
        <v/>
      </c>
      <c r="F23" s="16">
        <f>IF(A23="","",COUNTIFS('Device Inventory'!B5:B153,A23,'Device Inventory'!P5:P153,"Compliant"))</f>
        <v/>
      </c>
      <c r="G23" s="24">
        <f>IF(OR(A23="",B23=0),"",F23/B23*100)</f>
        <v/>
      </c>
      <c r="H23" s="16" t="n"/>
    </row>
    <row r="24">
      <c r="A24" s="16" t="n"/>
      <c r="B24" s="16">
        <f>IF(A24="","",COUNTIF('Device Inventory'!B5:B153,A24))</f>
        <v/>
      </c>
      <c r="C24" s="16">
        <f>IF(A24="","",COUNTIFS('Device Inventory'!B5:B153,A24,'Device Inventory'!Q5:Q153,"Active"))</f>
        <v/>
      </c>
      <c r="D24" s="16">
        <f>IF(A24="","",COUNTIFS('Device Inventory'!B5:B153,A24,'Device Inventory'!Q5:Q153,"Offline"))</f>
        <v/>
      </c>
      <c r="E24" s="16">
        <f>IF(A24="","",COUNTIFS('Device Inventory'!B5:B153,A24,'Device Inventory'!J5:J153,"Critical"))</f>
        <v/>
      </c>
      <c r="F24" s="16">
        <f>IF(A24="","",COUNTIFS('Device Inventory'!B5:B153,A24,'Device Inventory'!P5:P153,"Compliant"))</f>
        <v/>
      </c>
      <c r="G24" s="24">
        <f>IF(OR(A24="",B24=0),"",F24/B24*100)</f>
        <v/>
      </c>
      <c r="H24" s="16" t="n"/>
    </row>
    <row r="25">
      <c r="A25" s="16" t="n"/>
      <c r="B25" s="16">
        <f>IF(A25="","",COUNTIF('Device Inventory'!B5:B153,A25))</f>
        <v/>
      </c>
      <c r="C25" s="16">
        <f>IF(A25="","",COUNTIFS('Device Inventory'!B5:B153,A25,'Device Inventory'!Q5:Q153,"Active"))</f>
        <v/>
      </c>
      <c r="D25" s="16">
        <f>IF(A25="","",COUNTIFS('Device Inventory'!B5:B153,A25,'Device Inventory'!Q5:Q153,"Offline"))</f>
        <v/>
      </c>
      <c r="E25" s="16">
        <f>IF(A25="","",COUNTIFS('Device Inventory'!B5:B153,A25,'Device Inventory'!J5:J153,"Critical"))</f>
        <v/>
      </c>
      <c r="F25" s="16">
        <f>IF(A25="","",COUNTIFS('Device Inventory'!B5:B153,A25,'Device Inventory'!P5:P153,"Compliant"))</f>
        <v/>
      </c>
      <c r="G25" s="24">
        <f>IF(OR(A25="",B25=0),"",F25/B25*100)</f>
        <v/>
      </c>
      <c r="H25" s="16" t="n"/>
    </row>
    <row r="26">
      <c r="A26" s="16" t="n"/>
      <c r="B26" s="16">
        <f>IF(A26="","",COUNTIF('Device Inventory'!B5:B153,A26))</f>
        <v/>
      </c>
      <c r="C26" s="16">
        <f>IF(A26="","",COUNTIFS('Device Inventory'!B5:B153,A26,'Device Inventory'!Q5:Q153,"Active"))</f>
        <v/>
      </c>
      <c r="D26" s="16">
        <f>IF(A26="","",COUNTIFS('Device Inventory'!B5:B153,A26,'Device Inventory'!Q5:Q153,"Offline"))</f>
        <v/>
      </c>
      <c r="E26" s="16">
        <f>IF(A26="","",COUNTIFS('Device Inventory'!B5:B153,A26,'Device Inventory'!J5:J153,"Critical"))</f>
        <v/>
      </c>
      <c r="F26" s="16">
        <f>IF(A26="","",COUNTIFS('Device Inventory'!B5:B153,A26,'Device Inventory'!P5:P153,"Compliant"))</f>
        <v/>
      </c>
      <c r="G26" s="24">
        <f>IF(OR(A26="",B26=0),"",F26/B26*100)</f>
        <v/>
      </c>
      <c r="H26" s="16" t="n"/>
    </row>
    <row r="27">
      <c r="A27" s="16" t="n"/>
      <c r="B27" s="16">
        <f>IF(A27="","",COUNTIF('Device Inventory'!B5:B153,A27))</f>
        <v/>
      </c>
      <c r="C27" s="16">
        <f>IF(A27="","",COUNTIFS('Device Inventory'!B5:B153,A27,'Device Inventory'!Q5:Q153,"Active"))</f>
        <v/>
      </c>
      <c r="D27" s="16">
        <f>IF(A27="","",COUNTIFS('Device Inventory'!B5:B153,A27,'Device Inventory'!Q5:Q153,"Offline"))</f>
        <v/>
      </c>
      <c r="E27" s="16">
        <f>IF(A27="","",COUNTIFS('Device Inventory'!B5:B153,A27,'Device Inventory'!J5:J153,"Critical"))</f>
        <v/>
      </c>
      <c r="F27" s="16">
        <f>IF(A27="","",COUNTIFS('Device Inventory'!B5:B153,A27,'Device Inventory'!P5:P153,"Compliant"))</f>
        <v/>
      </c>
      <c r="G27" s="24">
        <f>IF(OR(A27="",B27=0),"",F27/B27*100)</f>
        <v/>
      </c>
      <c r="H27" s="16" t="n"/>
    </row>
    <row r="28">
      <c r="A28" s="16" t="n"/>
      <c r="B28" s="16">
        <f>IF(A28="","",COUNTIF('Device Inventory'!B5:B153,A28))</f>
        <v/>
      </c>
      <c r="C28" s="16">
        <f>IF(A28="","",COUNTIFS('Device Inventory'!B5:B153,A28,'Device Inventory'!Q5:Q153,"Active"))</f>
        <v/>
      </c>
      <c r="D28" s="16">
        <f>IF(A28="","",COUNTIFS('Device Inventory'!B5:B153,A28,'Device Inventory'!Q5:Q153,"Offline"))</f>
        <v/>
      </c>
      <c r="E28" s="16">
        <f>IF(A28="","",COUNTIFS('Device Inventory'!B5:B153,A28,'Device Inventory'!J5:J153,"Critical"))</f>
        <v/>
      </c>
      <c r="F28" s="16">
        <f>IF(A28="","",COUNTIFS('Device Inventory'!B5:B153,A28,'Device Inventory'!P5:P153,"Compliant"))</f>
        <v/>
      </c>
      <c r="G28" s="24">
        <f>IF(OR(A28="",B28=0),"",F28/B28*100)</f>
        <v/>
      </c>
      <c r="H28" s="16" t="n"/>
    </row>
    <row r="29">
      <c r="A29" s="16" t="n"/>
      <c r="B29" s="16">
        <f>IF(A29="","",COUNTIF('Device Inventory'!B5:B153,A29))</f>
        <v/>
      </c>
      <c r="C29" s="16">
        <f>IF(A29="","",COUNTIFS('Device Inventory'!B5:B153,A29,'Device Inventory'!Q5:Q153,"Active"))</f>
        <v/>
      </c>
      <c r="D29" s="16">
        <f>IF(A29="","",COUNTIFS('Device Inventory'!B5:B153,A29,'Device Inventory'!Q5:Q153,"Offline"))</f>
        <v/>
      </c>
      <c r="E29" s="16">
        <f>IF(A29="","",COUNTIFS('Device Inventory'!B5:B153,A29,'Device Inventory'!J5:J153,"Critical"))</f>
        <v/>
      </c>
      <c r="F29" s="16">
        <f>IF(A29="","",COUNTIFS('Device Inventory'!B5:B153,A29,'Device Inventory'!P5:P153,"Compliant"))</f>
        <v/>
      </c>
      <c r="G29" s="24">
        <f>IF(OR(A29="",B29=0),"",F29/B29*100)</f>
        <v/>
      </c>
      <c r="H29" s="16" t="n"/>
    </row>
    <row r="30">
      <c r="A30" s="16" t="n"/>
      <c r="B30" s="16">
        <f>IF(A30="","",COUNTIF('Device Inventory'!B5:B153,A30))</f>
        <v/>
      </c>
      <c r="C30" s="16">
        <f>IF(A30="","",COUNTIFS('Device Inventory'!B5:B153,A30,'Device Inventory'!Q5:Q153,"Active"))</f>
        <v/>
      </c>
      <c r="D30" s="16">
        <f>IF(A30="","",COUNTIFS('Device Inventory'!B5:B153,A30,'Device Inventory'!Q5:Q153,"Offline"))</f>
        <v/>
      </c>
      <c r="E30" s="16">
        <f>IF(A30="","",COUNTIFS('Device Inventory'!B5:B153,A30,'Device Inventory'!J5:J153,"Critical"))</f>
        <v/>
      </c>
      <c r="F30" s="16">
        <f>IF(A30="","",COUNTIFS('Device Inventory'!B5:B153,A30,'Device Inventory'!P5:P153,"Compliant"))</f>
        <v/>
      </c>
      <c r="G30" s="24">
        <f>IF(OR(A30="",B30=0),"",F30/B30*100)</f>
        <v/>
      </c>
      <c r="H30" s="16" t="n"/>
    </row>
    <row r="31">
      <c r="A31" s="16" t="n"/>
      <c r="B31" s="16">
        <f>IF(A31="","",COUNTIF('Device Inventory'!B5:B153,A31))</f>
        <v/>
      </c>
      <c r="C31" s="16">
        <f>IF(A31="","",COUNTIFS('Device Inventory'!B5:B153,A31,'Device Inventory'!Q5:Q153,"Active"))</f>
        <v/>
      </c>
      <c r="D31" s="16">
        <f>IF(A31="","",COUNTIFS('Device Inventory'!B5:B153,A31,'Device Inventory'!Q5:Q153,"Offline"))</f>
        <v/>
      </c>
      <c r="E31" s="16">
        <f>IF(A31="","",COUNTIFS('Device Inventory'!B5:B153,A31,'Device Inventory'!J5:J153,"Critical"))</f>
        <v/>
      </c>
      <c r="F31" s="16">
        <f>IF(A31="","",COUNTIFS('Device Inventory'!B5:B153,A31,'Device Inventory'!P5:P153,"Compliant"))</f>
        <v/>
      </c>
      <c r="G31" s="24">
        <f>IF(OR(A31="",B31=0),"",F31/B31*100)</f>
        <v/>
      </c>
      <c r="H31" s="16" t="n"/>
    </row>
    <row r="32">
      <c r="A32" s="16" t="n"/>
      <c r="B32" s="16">
        <f>IF(A32="","",COUNTIF('Device Inventory'!B5:B153,A32))</f>
        <v/>
      </c>
      <c r="C32" s="16">
        <f>IF(A32="","",COUNTIFS('Device Inventory'!B5:B153,A32,'Device Inventory'!Q5:Q153,"Active"))</f>
        <v/>
      </c>
      <c r="D32" s="16">
        <f>IF(A32="","",COUNTIFS('Device Inventory'!B5:B153,A32,'Device Inventory'!Q5:Q153,"Offline"))</f>
        <v/>
      </c>
      <c r="E32" s="16">
        <f>IF(A32="","",COUNTIFS('Device Inventory'!B5:B153,A32,'Device Inventory'!J5:J153,"Critical"))</f>
        <v/>
      </c>
      <c r="F32" s="16">
        <f>IF(A32="","",COUNTIFS('Device Inventory'!B5:B153,A32,'Device Inventory'!P5:P153,"Compliant"))</f>
        <v/>
      </c>
      <c r="G32" s="24">
        <f>IF(OR(A32="",B32=0),"",F32/B32*100)</f>
        <v/>
      </c>
      <c r="H32" s="16" t="n"/>
    </row>
    <row r="33">
      <c r="A33" s="16" t="n"/>
      <c r="B33" s="16">
        <f>IF(A33="","",COUNTIF('Device Inventory'!B5:B153,A33))</f>
        <v/>
      </c>
      <c r="C33" s="16">
        <f>IF(A33="","",COUNTIFS('Device Inventory'!B5:B153,A33,'Device Inventory'!Q5:Q153,"Active"))</f>
        <v/>
      </c>
      <c r="D33" s="16">
        <f>IF(A33="","",COUNTIFS('Device Inventory'!B5:B153,A33,'Device Inventory'!Q5:Q153,"Offline"))</f>
        <v/>
      </c>
      <c r="E33" s="16">
        <f>IF(A33="","",COUNTIFS('Device Inventory'!B5:B153,A33,'Device Inventory'!J5:J153,"Critical"))</f>
        <v/>
      </c>
      <c r="F33" s="16">
        <f>IF(A33="","",COUNTIFS('Device Inventory'!B5:B153,A33,'Device Inventory'!P5:P153,"Compliant"))</f>
        <v/>
      </c>
      <c r="G33" s="24">
        <f>IF(OR(A33="",B33=0),"",F33/B33*100)</f>
        <v/>
      </c>
      <c r="H33" s="16" t="n"/>
    </row>
    <row r="34">
      <c r="A34" s="16" t="n"/>
      <c r="B34" s="16">
        <f>IF(A34="","",COUNTIF('Device Inventory'!B5:B153,A34))</f>
        <v/>
      </c>
      <c r="C34" s="16">
        <f>IF(A34="","",COUNTIFS('Device Inventory'!B5:B153,A34,'Device Inventory'!Q5:Q153,"Active"))</f>
        <v/>
      </c>
      <c r="D34" s="16">
        <f>IF(A34="","",COUNTIFS('Device Inventory'!B5:B153,A34,'Device Inventory'!Q5:Q153,"Offline"))</f>
        <v/>
      </c>
      <c r="E34" s="16">
        <f>IF(A34="","",COUNTIFS('Device Inventory'!B5:B153,A34,'Device Inventory'!J5:J153,"Critical"))</f>
        <v/>
      </c>
      <c r="F34" s="16">
        <f>IF(A34="","",COUNTIFS('Device Inventory'!B5:B153,A34,'Device Inventory'!P5:P153,"Compliant"))</f>
        <v/>
      </c>
      <c r="G34" s="24">
        <f>IF(OR(A34="",B34=0),"",F34/B34*100)</f>
        <v/>
      </c>
      <c r="H34" s="16" t="n"/>
    </row>
    <row r="35">
      <c r="A35" s="16" t="n"/>
      <c r="B35" s="16">
        <f>IF(A35="","",COUNTIF('Device Inventory'!B5:B153,A35))</f>
        <v/>
      </c>
      <c r="C35" s="16">
        <f>IF(A35="","",COUNTIFS('Device Inventory'!B5:B153,A35,'Device Inventory'!Q5:Q153,"Active"))</f>
        <v/>
      </c>
      <c r="D35" s="16">
        <f>IF(A35="","",COUNTIFS('Device Inventory'!B5:B153,A35,'Device Inventory'!Q5:Q153,"Offline"))</f>
        <v/>
      </c>
      <c r="E35" s="16">
        <f>IF(A35="","",COUNTIFS('Device Inventory'!B5:B153,A35,'Device Inventory'!J5:J153,"Critical"))</f>
        <v/>
      </c>
      <c r="F35" s="16">
        <f>IF(A35="","",COUNTIFS('Device Inventory'!B5:B153,A35,'Device Inventory'!P5:P153,"Compliant"))</f>
        <v/>
      </c>
      <c r="G35" s="24">
        <f>IF(OR(A35="",B35=0),"",F35/B35*100)</f>
        <v/>
      </c>
      <c r="H35" s="16" t="n"/>
    </row>
    <row r="36">
      <c r="A36" s="16" t="n"/>
      <c r="B36" s="16">
        <f>IF(A36="","",COUNTIF('Device Inventory'!B5:B153,A36))</f>
        <v/>
      </c>
      <c r="C36" s="16">
        <f>IF(A36="","",COUNTIFS('Device Inventory'!B5:B153,A36,'Device Inventory'!Q5:Q153,"Active"))</f>
        <v/>
      </c>
      <c r="D36" s="16">
        <f>IF(A36="","",COUNTIFS('Device Inventory'!B5:B153,A36,'Device Inventory'!Q5:Q153,"Offline"))</f>
        <v/>
      </c>
      <c r="E36" s="16">
        <f>IF(A36="","",COUNTIFS('Device Inventory'!B5:B153,A36,'Device Inventory'!J5:J153,"Critical"))</f>
        <v/>
      </c>
      <c r="F36" s="16">
        <f>IF(A36="","",COUNTIFS('Device Inventory'!B5:B153,A36,'Device Inventory'!P5:P153,"Compliant"))</f>
        <v/>
      </c>
      <c r="G36" s="24">
        <f>IF(OR(A36="",B36=0),"",F36/B36*100)</f>
        <v/>
      </c>
      <c r="H36" s="16" t="n"/>
    </row>
    <row r="37">
      <c r="A37" s="16" t="n"/>
      <c r="B37" s="16">
        <f>IF(A37="","",COUNTIF('Device Inventory'!B5:B153,A37))</f>
        <v/>
      </c>
      <c r="C37" s="16">
        <f>IF(A37="","",COUNTIFS('Device Inventory'!B5:B153,A37,'Device Inventory'!Q5:Q153,"Active"))</f>
        <v/>
      </c>
      <c r="D37" s="16">
        <f>IF(A37="","",COUNTIFS('Device Inventory'!B5:B153,A37,'Device Inventory'!Q5:Q153,"Offline"))</f>
        <v/>
      </c>
      <c r="E37" s="16">
        <f>IF(A37="","",COUNTIFS('Device Inventory'!B5:B153,A37,'Device Inventory'!J5:J153,"Critical"))</f>
        <v/>
      </c>
      <c r="F37" s="16">
        <f>IF(A37="","",COUNTIFS('Device Inventory'!B5:B153,A37,'Device Inventory'!P5:P153,"Compliant"))</f>
        <v/>
      </c>
      <c r="G37" s="24">
        <f>IF(OR(A37="",B37=0),"",F37/B37*100)</f>
        <v/>
      </c>
      <c r="H37" s="16" t="n"/>
    </row>
    <row r="38">
      <c r="A38" s="16" t="n"/>
      <c r="B38" s="16">
        <f>IF(A38="","",COUNTIF('Device Inventory'!B5:B153,A38))</f>
        <v/>
      </c>
      <c r="C38" s="16">
        <f>IF(A38="","",COUNTIFS('Device Inventory'!B5:B153,A38,'Device Inventory'!Q5:Q153,"Active"))</f>
        <v/>
      </c>
      <c r="D38" s="16">
        <f>IF(A38="","",COUNTIFS('Device Inventory'!B5:B153,A38,'Device Inventory'!Q5:Q153,"Offline"))</f>
        <v/>
      </c>
      <c r="E38" s="16">
        <f>IF(A38="","",COUNTIFS('Device Inventory'!B5:B153,A38,'Device Inventory'!J5:J153,"Critical"))</f>
        <v/>
      </c>
      <c r="F38" s="16">
        <f>IF(A38="","",COUNTIFS('Device Inventory'!B5:B153,A38,'Device Inventory'!P5:P153,"Compliant"))</f>
        <v/>
      </c>
      <c r="G38" s="24">
        <f>IF(OR(A38="",B38=0),"",F38/B38*100)</f>
        <v/>
      </c>
      <c r="H38" s="16" t="n"/>
    </row>
    <row r="39">
      <c r="A39" s="16" t="n"/>
      <c r="B39" s="16">
        <f>IF(A39="","",COUNTIF('Device Inventory'!B5:B153,A39))</f>
        <v/>
      </c>
      <c r="C39" s="16">
        <f>IF(A39="","",COUNTIFS('Device Inventory'!B5:B153,A39,'Device Inventory'!Q5:Q153,"Active"))</f>
        <v/>
      </c>
      <c r="D39" s="16">
        <f>IF(A39="","",COUNTIFS('Device Inventory'!B5:B153,A39,'Device Inventory'!Q5:Q153,"Offline"))</f>
        <v/>
      </c>
      <c r="E39" s="16">
        <f>IF(A39="","",COUNTIFS('Device Inventory'!B5:B153,A39,'Device Inventory'!J5:J153,"Critical"))</f>
        <v/>
      </c>
      <c r="F39" s="16">
        <f>IF(A39="","",COUNTIFS('Device Inventory'!B5:B153,A39,'Device Inventory'!P5:P153,"Compliant"))</f>
        <v/>
      </c>
      <c r="G39" s="24">
        <f>IF(OR(A39="",B39=0),"",F39/B39*100)</f>
        <v/>
      </c>
      <c r="H39" s="16" t="n"/>
    </row>
    <row r="40">
      <c r="A40" s="16" t="n"/>
      <c r="B40" s="16">
        <f>IF(A40="","",COUNTIF('Device Inventory'!B5:B153,A40))</f>
        <v/>
      </c>
      <c r="C40" s="16">
        <f>IF(A40="","",COUNTIFS('Device Inventory'!B5:B153,A40,'Device Inventory'!Q5:Q153,"Active"))</f>
        <v/>
      </c>
      <c r="D40" s="16">
        <f>IF(A40="","",COUNTIFS('Device Inventory'!B5:B153,A40,'Device Inventory'!Q5:Q153,"Offline"))</f>
        <v/>
      </c>
      <c r="E40" s="16">
        <f>IF(A40="","",COUNTIFS('Device Inventory'!B5:B153,A40,'Device Inventory'!J5:J153,"Critical"))</f>
        <v/>
      </c>
      <c r="F40" s="16">
        <f>IF(A40="","",COUNTIFS('Device Inventory'!B5:B153,A40,'Device Inventory'!P5:P153,"Compliant"))</f>
        <v/>
      </c>
      <c r="G40" s="24">
        <f>IF(OR(A40="",B40=0),"",F40/B40*100)</f>
        <v/>
      </c>
      <c r="H40" s="16" t="n"/>
    </row>
    <row r="41">
      <c r="A41" s="16" t="n"/>
      <c r="B41" s="16">
        <f>IF(A41="","",COUNTIF('Device Inventory'!B5:B153,A41))</f>
        <v/>
      </c>
      <c r="C41" s="16">
        <f>IF(A41="","",COUNTIFS('Device Inventory'!B5:B153,A41,'Device Inventory'!Q5:Q153,"Active"))</f>
        <v/>
      </c>
      <c r="D41" s="16">
        <f>IF(A41="","",COUNTIFS('Device Inventory'!B5:B153,A41,'Device Inventory'!Q5:Q153,"Offline"))</f>
        <v/>
      </c>
      <c r="E41" s="16">
        <f>IF(A41="","",COUNTIFS('Device Inventory'!B5:B153,A41,'Device Inventory'!J5:J153,"Critical"))</f>
        <v/>
      </c>
      <c r="F41" s="16">
        <f>IF(A41="","",COUNTIFS('Device Inventory'!B5:B153,A41,'Device Inventory'!P5:P153,"Compliant"))</f>
        <v/>
      </c>
      <c r="G41" s="24">
        <f>IF(OR(A41="",B41=0),"",F41/B41*100)</f>
        <v/>
      </c>
      <c r="H41" s="16" t="n"/>
    </row>
    <row r="42">
      <c r="A42" s="16" t="n"/>
      <c r="B42" s="16">
        <f>IF(A42="","",COUNTIF('Device Inventory'!B5:B153,A42))</f>
        <v/>
      </c>
      <c r="C42" s="16">
        <f>IF(A42="","",COUNTIFS('Device Inventory'!B5:B153,A42,'Device Inventory'!Q5:Q153,"Active"))</f>
        <v/>
      </c>
      <c r="D42" s="16">
        <f>IF(A42="","",COUNTIFS('Device Inventory'!B5:B153,A42,'Device Inventory'!Q5:Q153,"Offline"))</f>
        <v/>
      </c>
      <c r="E42" s="16">
        <f>IF(A42="","",COUNTIFS('Device Inventory'!B5:B153,A42,'Device Inventory'!J5:J153,"Critical"))</f>
        <v/>
      </c>
      <c r="F42" s="16">
        <f>IF(A42="","",COUNTIFS('Device Inventory'!B5:B153,A42,'Device Inventory'!P5:P153,"Compliant"))</f>
        <v/>
      </c>
      <c r="G42" s="24">
        <f>IF(OR(A42="",B42=0),"",F42/B42*100)</f>
        <v/>
      </c>
      <c r="H42" s="16" t="n"/>
    </row>
    <row r="43">
      <c r="A43" s="16" t="n"/>
      <c r="B43" s="16">
        <f>IF(A43="","",COUNTIF('Device Inventory'!B5:B153,A43))</f>
        <v/>
      </c>
      <c r="C43" s="16">
        <f>IF(A43="","",COUNTIFS('Device Inventory'!B5:B153,A43,'Device Inventory'!Q5:Q153,"Active"))</f>
        <v/>
      </c>
      <c r="D43" s="16">
        <f>IF(A43="","",COUNTIFS('Device Inventory'!B5:B153,A43,'Device Inventory'!Q5:Q153,"Offline"))</f>
        <v/>
      </c>
      <c r="E43" s="16">
        <f>IF(A43="","",COUNTIFS('Device Inventory'!B5:B153,A43,'Device Inventory'!J5:J153,"Critical"))</f>
        <v/>
      </c>
      <c r="F43" s="16">
        <f>IF(A43="","",COUNTIFS('Device Inventory'!B5:B153,A43,'Device Inventory'!P5:P153,"Compliant"))</f>
        <v/>
      </c>
      <c r="G43" s="24">
        <f>IF(OR(A43="",B43=0),"",F43/B43*100)</f>
        <v/>
      </c>
      <c r="H43" s="16" t="n"/>
    </row>
    <row r="44">
      <c r="A44" s="16" t="n"/>
      <c r="B44" s="16">
        <f>IF(A44="","",COUNTIF('Device Inventory'!B5:B153,A44))</f>
        <v/>
      </c>
      <c r="C44" s="16">
        <f>IF(A44="","",COUNTIFS('Device Inventory'!B5:B153,A44,'Device Inventory'!Q5:Q153,"Active"))</f>
        <v/>
      </c>
      <c r="D44" s="16">
        <f>IF(A44="","",COUNTIFS('Device Inventory'!B5:B153,A44,'Device Inventory'!Q5:Q153,"Offline"))</f>
        <v/>
      </c>
      <c r="E44" s="16">
        <f>IF(A44="","",COUNTIFS('Device Inventory'!B5:B153,A44,'Device Inventory'!J5:J153,"Critical"))</f>
        <v/>
      </c>
      <c r="F44" s="16">
        <f>IF(A44="","",COUNTIFS('Device Inventory'!B5:B153,A44,'Device Inventory'!P5:P153,"Compliant"))</f>
        <v/>
      </c>
      <c r="G44" s="24">
        <f>IF(OR(A44="",B44=0),"",F44/B44*100)</f>
        <v/>
      </c>
      <c r="H44" s="16" t="n"/>
    </row>
    <row r="45">
      <c r="A45" s="16" t="n"/>
      <c r="B45" s="16">
        <f>IF(A45="","",COUNTIF('Device Inventory'!B5:B153,A45))</f>
        <v/>
      </c>
      <c r="C45" s="16">
        <f>IF(A45="","",COUNTIFS('Device Inventory'!B5:B153,A45,'Device Inventory'!Q5:Q153,"Active"))</f>
        <v/>
      </c>
      <c r="D45" s="16">
        <f>IF(A45="","",COUNTIFS('Device Inventory'!B5:B153,A45,'Device Inventory'!Q5:Q153,"Offline"))</f>
        <v/>
      </c>
      <c r="E45" s="16">
        <f>IF(A45="","",COUNTIFS('Device Inventory'!B5:B153,A45,'Device Inventory'!J5:J153,"Critical"))</f>
        <v/>
      </c>
      <c r="F45" s="16">
        <f>IF(A45="","",COUNTIFS('Device Inventory'!B5:B153,A45,'Device Inventory'!P5:P153,"Compliant"))</f>
        <v/>
      </c>
      <c r="G45" s="24">
        <f>IF(OR(A45="",B45=0),"",F45/B45*100)</f>
        <v/>
      </c>
      <c r="H45" s="16" t="n"/>
    </row>
    <row r="46">
      <c r="A46" s="16" t="n"/>
      <c r="B46" s="16">
        <f>IF(A46="","",COUNTIF('Device Inventory'!B5:B153,A46))</f>
        <v/>
      </c>
      <c r="C46" s="16">
        <f>IF(A46="","",COUNTIFS('Device Inventory'!B5:B153,A46,'Device Inventory'!Q5:Q153,"Active"))</f>
        <v/>
      </c>
      <c r="D46" s="16">
        <f>IF(A46="","",COUNTIFS('Device Inventory'!B5:B153,A46,'Device Inventory'!Q5:Q153,"Offline"))</f>
        <v/>
      </c>
      <c r="E46" s="16">
        <f>IF(A46="","",COUNTIFS('Device Inventory'!B5:B153,A46,'Device Inventory'!J5:J153,"Critical"))</f>
        <v/>
      </c>
      <c r="F46" s="16">
        <f>IF(A46="","",COUNTIFS('Device Inventory'!B5:B153,A46,'Device Inventory'!P5:P153,"Compliant"))</f>
        <v/>
      </c>
      <c r="G46" s="24">
        <f>IF(OR(A46="",B46=0),"",F46/B46*100)</f>
        <v/>
      </c>
      <c r="H46" s="16" t="n"/>
    </row>
    <row r="47">
      <c r="A47" s="16" t="n"/>
      <c r="B47" s="16">
        <f>IF(A47="","",COUNTIF('Device Inventory'!B5:B153,A47))</f>
        <v/>
      </c>
      <c r="C47" s="16">
        <f>IF(A47="","",COUNTIFS('Device Inventory'!B5:B153,A47,'Device Inventory'!Q5:Q153,"Active"))</f>
        <v/>
      </c>
      <c r="D47" s="16">
        <f>IF(A47="","",COUNTIFS('Device Inventory'!B5:B153,A47,'Device Inventory'!Q5:Q153,"Offline"))</f>
        <v/>
      </c>
      <c r="E47" s="16">
        <f>IF(A47="","",COUNTIFS('Device Inventory'!B5:B153,A47,'Device Inventory'!J5:J153,"Critical"))</f>
        <v/>
      </c>
      <c r="F47" s="16">
        <f>IF(A47="","",COUNTIFS('Device Inventory'!B5:B153,A47,'Device Inventory'!P5:P153,"Compliant"))</f>
        <v/>
      </c>
      <c r="G47" s="24">
        <f>IF(OR(A47="",B47=0),"",F47/B47*100)</f>
        <v/>
      </c>
      <c r="H47" s="16" t="n"/>
    </row>
    <row r="48">
      <c r="A48" s="16" t="n"/>
      <c r="B48" s="16">
        <f>IF(A48="","",COUNTIF('Device Inventory'!B5:B153,A48))</f>
        <v/>
      </c>
      <c r="C48" s="16">
        <f>IF(A48="","",COUNTIFS('Device Inventory'!B5:B153,A48,'Device Inventory'!Q5:Q153,"Active"))</f>
        <v/>
      </c>
      <c r="D48" s="16">
        <f>IF(A48="","",COUNTIFS('Device Inventory'!B5:B153,A48,'Device Inventory'!Q5:Q153,"Offline"))</f>
        <v/>
      </c>
      <c r="E48" s="16">
        <f>IF(A48="","",COUNTIFS('Device Inventory'!B5:B153,A48,'Device Inventory'!J5:J153,"Critical"))</f>
        <v/>
      </c>
      <c r="F48" s="16">
        <f>IF(A48="","",COUNTIFS('Device Inventory'!B5:B153,A48,'Device Inventory'!P5:P153,"Compliant"))</f>
        <v/>
      </c>
      <c r="G48" s="24">
        <f>IF(OR(A48="",B48=0),"",F48/B48*100)</f>
        <v/>
      </c>
      <c r="H48" s="16" t="n"/>
    </row>
    <row r="49">
      <c r="A49" s="16" t="n"/>
      <c r="B49" s="16">
        <f>IF(A49="","",COUNTIF('Device Inventory'!B5:B153,A49))</f>
        <v/>
      </c>
      <c r="C49" s="16">
        <f>IF(A49="","",COUNTIFS('Device Inventory'!B5:B153,A49,'Device Inventory'!Q5:Q153,"Active"))</f>
        <v/>
      </c>
      <c r="D49" s="16">
        <f>IF(A49="","",COUNTIFS('Device Inventory'!B5:B153,A49,'Device Inventory'!Q5:Q153,"Offline"))</f>
        <v/>
      </c>
      <c r="E49" s="16">
        <f>IF(A49="","",COUNTIFS('Device Inventory'!B5:B153,A49,'Device Inventory'!J5:J153,"Critical"))</f>
        <v/>
      </c>
      <c r="F49" s="16">
        <f>IF(A49="","",COUNTIFS('Device Inventory'!B5:B153,A49,'Device Inventory'!P5:P153,"Compliant"))</f>
        <v/>
      </c>
      <c r="G49" s="24">
        <f>IF(OR(A49="",B49=0),"",F49/B49*100)</f>
        <v/>
      </c>
      <c r="H49" s="16" t="n"/>
    </row>
    <row r="50">
      <c r="A50" s="16" t="n"/>
      <c r="B50" s="16">
        <f>IF(A50="","",COUNTIF('Device Inventory'!B5:B153,A50))</f>
        <v/>
      </c>
      <c r="C50" s="16">
        <f>IF(A50="","",COUNTIFS('Device Inventory'!B5:B153,A50,'Device Inventory'!Q5:Q153,"Active"))</f>
        <v/>
      </c>
      <c r="D50" s="16">
        <f>IF(A50="","",COUNTIFS('Device Inventory'!B5:B153,A50,'Device Inventory'!Q5:Q153,"Offline"))</f>
        <v/>
      </c>
      <c r="E50" s="16">
        <f>IF(A50="","",COUNTIFS('Device Inventory'!B5:B153,A50,'Device Inventory'!J5:J153,"Critical"))</f>
        <v/>
      </c>
      <c r="F50" s="16">
        <f>IF(A50="","",COUNTIFS('Device Inventory'!B5:B153,A50,'Device Inventory'!P5:P153,"Compliant"))</f>
        <v/>
      </c>
      <c r="G50" s="24">
        <f>IF(OR(A50="",B50=0),"",F50/B50*100)</f>
        <v/>
      </c>
      <c r="H50" s="16" t="n"/>
    </row>
    <row r="51">
      <c r="A51" s="16" t="n"/>
      <c r="B51" s="16">
        <f>IF(A51="","",COUNTIF('Device Inventory'!B5:B153,A51))</f>
        <v/>
      </c>
      <c r="C51" s="16">
        <f>IF(A51="","",COUNTIFS('Device Inventory'!B5:B153,A51,'Device Inventory'!Q5:Q153,"Active"))</f>
        <v/>
      </c>
      <c r="D51" s="16">
        <f>IF(A51="","",COUNTIFS('Device Inventory'!B5:B153,A51,'Device Inventory'!Q5:Q153,"Offline"))</f>
        <v/>
      </c>
      <c r="E51" s="16">
        <f>IF(A51="","",COUNTIFS('Device Inventory'!B5:B153,A51,'Device Inventory'!J5:J153,"Critical"))</f>
        <v/>
      </c>
      <c r="F51" s="16">
        <f>IF(A51="","",COUNTIFS('Device Inventory'!B5:B153,A51,'Device Inventory'!P5:P153,"Compliant"))</f>
        <v/>
      </c>
      <c r="G51" s="24">
        <f>IF(OR(A51="",B51=0),"",F51/B51*100)</f>
        <v/>
      </c>
      <c r="H51" s="16" t="n"/>
    </row>
    <row r="52">
      <c r="A52" s="16" t="n"/>
      <c r="B52" s="16">
        <f>IF(A52="","",COUNTIF('Device Inventory'!B5:B153,A52))</f>
        <v/>
      </c>
      <c r="C52" s="16">
        <f>IF(A52="","",COUNTIFS('Device Inventory'!B5:B153,A52,'Device Inventory'!Q5:Q153,"Active"))</f>
        <v/>
      </c>
      <c r="D52" s="16">
        <f>IF(A52="","",COUNTIFS('Device Inventory'!B5:B153,A52,'Device Inventory'!Q5:Q153,"Offline"))</f>
        <v/>
      </c>
      <c r="E52" s="16">
        <f>IF(A52="","",COUNTIFS('Device Inventory'!B5:B153,A52,'Device Inventory'!J5:J153,"Critical"))</f>
        <v/>
      </c>
      <c r="F52" s="16">
        <f>IF(A52="","",COUNTIFS('Device Inventory'!B5:B153,A52,'Device Inventory'!P5:P153,"Compliant"))</f>
        <v/>
      </c>
      <c r="G52" s="24">
        <f>IF(OR(A52="",B52=0),"",F52/B52*100)</f>
        <v/>
      </c>
      <c r="H52" s="16" t="n"/>
    </row>
    <row r="53">
      <c r="A53" s="16" t="n"/>
      <c r="B53" s="16">
        <f>IF(A53="","",COUNTIF('Device Inventory'!B5:B153,A53))</f>
        <v/>
      </c>
      <c r="C53" s="16">
        <f>IF(A53="","",COUNTIFS('Device Inventory'!B5:B153,A53,'Device Inventory'!Q5:Q153,"Active"))</f>
        <v/>
      </c>
      <c r="D53" s="16">
        <f>IF(A53="","",COUNTIFS('Device Inventory'!B5:B153,A53,'Device Inventory'!Q5:Q153,"Offline"))</f>
        <v/>
      </c>
      <c r="E53" s="16">
        <f>IF(A53="","",COUNTIFS('Device Inventory'!B5:B153,A53,'Device Inventory'!J5:J153,"Critical"))</f>
        <v/>
      </c>
      <c r="F53" s="16">
        <f>IF(A53="","",COUNTIFS('Device Inventory'!B5:B153,A53,'Device Inventory'!P5:P153,"Compliant"))</f>
        <v/>
      </c>
      <c r="G53" s="24">
        <f>IF(OR(A53="",B53=0),"",F53/B53*100)</f>
        <v/>
      </c>
      <c r="H53" s="16" t="n"/>
    </row>
    <row r="54">
      <c r="A54" s="16" t="n"/>
      <c r="B54" s="16">
        <f>IF(A54="","",COUNTIF('Device Inventory'!B5:B153,A54))</f>
        <v/>
      </c>
      <c r="C54" s="16">
        <f>IF(A54="","",COUNTIFS('Device Inventory'!B5:B153,A54,'Device Inventory'!Q5:Q153,"Active"))</f>
        <v/>
      </c>
      <c r="D54" s="16">
        <f>IF(A54="","",COUNTIFS('Device Inventory'!B5:B153,A54,'Device Inventory'!Q5:Q153,"Offline"))</f>
        <v/>
      </c>
      <c r="E54" s="16">
        <f>IF(A54="","",COUNTIFS('Device Inventory'!B5:B153,A54,'Device Inventory'!J5:J153,"Critical"))</f>
        <v/>
      </c>
      <c r="F54" s="16">
        <f>IF(A54="","",COUNTIFS('Device Inventory'!B5:B153,A54,'Device Inventory'!P5:P153,"Compliant"))</f>
        <v/>
      </c>
      <c r="G54" s="24">
        <f>IF(OR(A54="",B54=0),"",F54/B54*100)</f>
        <v/>
      </c>
      <c r="H54" s="16" t="n"/>
    </row>
    <row r="56">
      <c r="A56" s="17" t="inlineStr">
        <is>
          <t>Aggregate Statistics</t>
        </is>
      </c>
      <c r="B56" s="6" t="n"/>
      <c r="C56" s="6" t="n"/>
      <c r="D56" s="6" t="n"/>
      <c r="E56" s="6" t="n"/>
      <c r="F56" s="6" t="n"/>
      <c r="G56" s="6" t="n"/>
      <c r="H56" s="6" t="n"/>
    </row>
    <row r="57">
      <c r="A57" s="13" t="inlineStr">
        <is>
          <t>Metric</t>
        </is>
      </c>
      <c r="B57" s="13" t="inlineStr">
        <is>
          <t>Value</t>
        </is>
      </c>
    </row>
    <row r="58">
      <c r="A58" s="13" t="inlineStr">
        <is>
          <t>Total Devices Inventoried</t>
        </is>
      </c>
      <c r="B58" s="12">
        <f>COUNTA('Device Inventory'!B5:B153)</f>
        <v/>
      </c>
    </row>
    <row r="59">
      <c r="A59" s="13" t="inlineStr">
        <is>
          <t>Total Active Devices</t>
        </is>
      </c>
      <c r="B59" s="12">
        <f>COUNTIF('Device Inventory'!Q5:Q153,"Active")</f>
        <v/>
      </c>
    </row>
    <row r="60">
      <c r="A60" s="13" t="inlineStr">
        <is>
          <t>Total Offline Devices</t>
        </is>
      </c>
      <c r="B60" s="12">
        <f>COUNTIF('Device Inventory'!Q5:Q153,"Offline")</f>
        <v/>
      </c>
    </row>
    <row r="61">
      <c r="A61" s="13" t="inlineStr">
        <is>
          <t>Total Critical Devices</t>
        </is>
      </c>
      <c r="B61" s="12">
        <f>COUNTIF('Device Inventory'!J5:J153,"Critical")</f>
        <v/>
      </c>
    </row>
    <row r="62">
      <c r="A62" s="13" t="inlineStr">
        <is>
          <t>Total Compliant Devices</t>
        </is>
      </c>
      <c r="B62" s="12">
        <f>COUNTIF('Device Inventory'!P5:P153,"Compliant")</f>
        <v/>
      </c>
    </row>
    <row r="63">
      <c r="A63" s="13" t="inlineStr">
        <is>
          <t>Total Non-Compliant Devices</t>
        </is>
      </c>
      <c r="B63" s="12">
        <f>COUNTIF('Device Inventory'!P5:P153,"Non-Compliant")</f>
        <v/>
      </c>
    </row>
    <row r="64">
      <c r="A64" s="13" t="inlineStr">
        <is>
          <t>Overall Compliance %</t>
        </is>
      </c>
      <c r="B64" s="12">
        <f>IF(COUNTA('Device Inventory'!B5:B153)=0,"",COUNTIF('Device Inventory'!P5:P153,"Compliant")/COUNTA('Device Inventory'!B5:B153)*100)</f>
        <v/>
      </c>
    </row>
  </sheetData>
  <mergeCells count="3">
    <mergeCell ref="A56:H56"/>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3"/>
  <sheetViews>
    <sheetView showGridLines="0" workbookViewId="0">
      <pane ySplit="3" topLeftCell="A4" activePane="bottomLeft" state="frozen"/>
      <selection pane="bottomLeft" activeCell="A1" sqref="A1"/>
    </sheetView>
  </sheetViews>
  <sheetFormatPr baseColWidth="8" defaultRowHeight="15"/>
  <cols>
    <col width="25" customWidth="1" min="1" max="1"/>
    <col width="20" customWidth="1" min="2" max="2"/>
    <col width="25" customWidth="1" min="3" max="3"/>
    <col width="20" customWidth="1" min="4" max="4"/>
    <col width="40" customWidth="1" min="5" max="5"/>
  </cols>
  <sheetData>
    <row r="1" ht="35" customHeight="1">
      <c r="A1" s="11" t="inlineStr">
        <is>
          <t>NETWORK DISCOVERY PROCESS METADATA</t>
        </is>
      </c>
    </row>
    <row r="2">
      <c r="A2" s="25" t="inlineStr">
        <is>
          <t>Document the discovery methodology, scope, and tools used to identify all network devices.</t>
        </is>
      </c>
    </row>
    <row r="3">
      <c r="A3" s="17" t="inlineStr">
        <is>
          <t>Discovery Project Information</t>
        </is>
      </c>
      <c r="B3" s="6" t="n"/>
      <c r="C3" s="6" t="n"/>
      <c r="D3" s="6" t="n"/>
      <c r="E3" s="6" t="n"/>
    </row>
    <row r="4">
      <c r="A4" s="13" t="inlineStr">
        <is>
          <t>Project Name:</t>
        </is>
      </c>
      <c r="B4" s="16" t="inlineStr">
        <is>
          <t>[Enter discovery project name]</t>
        </is>
      </c>
      <c r="C4" s="6" t="n"/>
      <c r="D4" s="6" t="n"/>
      <c r="E4" s="6" t="n"/>
    </row>
    <row r="5">
      <c r="A5" s="13" t="inlineStr">
        <is>
          <t>Start Date:</t>
        </is>
      </c>
      <c r="B5" s="16" t="inlineStr">
        <is>
          <t>[DD.MM.YYYY]</t>
        </is>
      </c>
      <c r="C5" s="6" t="n"/>
      <c r="D5" s="6" t="n"/>
      <c r="E5" s="6" t="n"/>
    </row>
    <row r="6">
      <c r="A6" s="13" t="inlineStr">
        <is>
          <t>Completion Date:</t>
        </is>
      </c>
      <c r="B6" s="16" t="inlineStr">
        <is>
          <t>[DD.MM.YYYY]</t>
        </is>
      </c>
      <c r="C6" s="6" t="n"/>
      <c r="D6" s="6" t="n"/>
      <c r="E6" s="6" t="n"/>
    </row>
    <row r="7">
      <c r="A7" s="13" t="inlineStr">
        <is>
          <t>Lead Assessor:</t>
        </is>
      </c>
      <c r="B7" s="16" t="inlineStr">
        <is>
          <t>[Name]</t>
        </is>
      </c>
      <c r="C7" s="6" t="n"/>
      <c r="D7" s="6" t="n"/>
      <c r="E7" s="6" t="n"/>
    </row>
    <row r="8">
      <c r="A8" s="13" t="inlineStr">
        <is>
          <t>Team Members:</t>
        </is>
      </c>
      <c r="B8" s="16" t="inlineStr">
        <is>
          <t>[Names]</t>
        </is>
      </c>
      <c r="C8" s="6" t="n"/>
      <c r="D8" s="6" t="n"/>
      <c r="E8" s="6" t="n"/>
    </row>
    <row r="9">
      <c r="A9" s="13" t="inlineStr">
        <is>
          <t>Scope:</t>
        </is>
      </c>
      <c r="B9" s="16" t="inlineStr">
        <is>
          <t>[Network segments/locations covered]</t>
        </is>
      </c>
      <c r="C9" s="6" t="n"/>
      <c r="D9" s="6" t="n"/>
      <c r="E9" s="6" t="n"/>
    </row>
    <row r="11">
      <c r="A11" s="17" t="inlineStr">
        <is>
          <t>Discovery Methods Used</t>
        </is>
      </c>
      <c r="B11" s="6" t="n"/>
      <c r="C11" s="6" t="n"/>
      <c r="D11" s="6" t="n"/>
      <c r="E11" s="6" t="n"/>
    </row>
    <row r="12">
      <c r="A12" s="13" t="inlineStr">
        <is>
          <t>Method</t>
        </is>
      </c>
      <c r="B12" s="13" t="inlineStr">
        <is>
          <t>Used (Y/N)</t>
        </is>
      </c>
      <c r="C12" s="13" t="inlineStr">
        <is>
          <t>Tool/Platform</t>
        </is>
      </c>
      <c r="D12" s="13" t="inlineStr">
        <is>
          <t>Coverage</t>
        </is>
      </c>
      <c r="E12" s="13" t="inlineStr">
        <is>
          <t>Notes</t>
        </is>
      </c>
    </row>
    <row r="13">
      <c r="A13" s="16" t="inlineStr">
        <is>
          <t>Nmap Network Scan</t>
        </is>
      </c>
      <c r="B13" s="16" t="inlineStr"/>
      <c r="C13" s="16" t="inlineStr">
        <is>
          <t>nmap</t>
        </is>
      </c>
      <c r="D13" s="16" t="inlineStr"/>
      <c r="E13" s="16" t="inlineStr"/>
    </row>
    <row r="14">
      <c r="A14" s="16" t="inlineStr">
        <is>
          <t>SNMP Walk</t>
        </is>
      </c>
      <c r="B14" s="16" t="inlineStr"/>
      <c r="C14" s="16" t="inlineStr">
        <is>
          <t>SNMPwalk</t>
        </is>
      </c>
      <c r="D14" s="16" t="inlineStr"/>
      <c r="E14" s="16" t="inlineStr"/>
    </row>
    <row r="15">
      <c r="A15" s="16" t="inlineStr">
        <is>
          <t>AWS Discovery</t>
        </is>
      </c>
      <c r="B15" s="16" t="inlineStr"/>
      <c r="C15" s="16" t="inlineStr">
        <is>
          <t>AWS CLI / boto3</t>
        </is>
      </c>
      <c r="D15" s="16" t="inlineStr"/>
      <c r="E15" s="16" t="inlineStr"/>
    </row>
    <row r="16">
      <c r="A16" s="16" t="inlineStr">
        <is>
          <t>Azure Discovery</t>
        </is>
      </c>
      <c r="B16" s="16" t="inlineStr"/>
      <c r="C16" s="16" t="inlineStr">
        <is>
          <t>Azure CLI</t>
        </is>
      </c>
      <c r="D16" s="16" t="inlineStr"/>
      <c r="E16" s="16" t="inlineStr"/>
    </row>
    <row r="17">
      <c r="A17" s="16" t="inlineStr">
        <is>
          <t>GCP Discovery</t>
        </is>
      </c>
      <c r="B17" s="16" t="inlineStr"/>
      <c r="C17" s="16" t="inlineStr">
        <is>
          <t>GCP SDK</t>
        </is>
      </c>
      <c r="D17" s="16" t="inlineStr"/>
      <c r="E17" s="16" t="inlineStr"/>
    </row>
    <row r="18">
      <c r="A18" s="16" t="inlineStr">
        <is>
          <t>NetFlow Analysis</t>
        </is>
      </c>
      <c r="B18" s="16" t="inlineStr"/>
      <c r="C18" s="16" t="inlineStr"/>
      <c r="D18" s="16" t="inlineStr"/>
      <c r="E18" s="16" t="inlineStr"/>
    </row>
    <row r="19">
      <c r="A19" s="16" t="inlineStr">
        <is>
          <t>Documentation Review</t>
        </is>
      </c>
      <c r="B19" s="16" t="inlineStr"/>
      <c r="C19" s="16" t="inlineStr">
        <is>
          <t>CMDB / Wiki</t>
        </is>
      </c>
      <c r="D19" s="16" t="inlineStr"/>
      <c r="E19" s="16" t="inlineStr"/>
    </row>
    <row r="20">
      <c r="A20" s="16" t="inlineStr">
        <is>
          <t>Administrator Interviews</t>
        </is>
      </c>
      <c r="B20" s="16" t="inlineStr"/>
      <c r="C20" s="16" t="inlineStr">
        <is>
          <t>N/A</t>
        </is>
      </c>
      <c r="D20" s="16" t="inlineStr"/>
      <c r="E20" s="16" t="inlineStr"/>
    </row>
    <row r="21">
      <c r="A21" s="16" t="inlineStr">
        <is>
          <t>Physical Site Survey</t>
        </is>
      </c>
      <c r="B21" s="16" t="inlineStr"/>
      <c r="C21" s="16" t="inlineStr">
        <is>
          <t>N/A</t>
        </is>
      </c>
      <c r="D21" s="16" t="inlineStr"/>
      <c r="E21" s="16" t="inlineStr"/>
    </row>
    <row r="22">
      <c r="A22" s="16" t="inlineStr">
        <is>
          <t>Other</t>
        </is>
      </c>
      <c r="B22" s="16" t="inlineStr"/>
      <c r="C22" s="16" t="inlineStr"/>
      <c r="D22" s="16" t="inlineStr"/>
      <c r="E22" s="16" t="inlineStr"/>
    </row>
    <row r="24">
      <c r="A24" s="17" t="inlineStr">
        <is>
          <t>Discovery Scope</t>
        </is>
      </c>
      <c r="B24" s="6" t="n"/>
      <c r="C24" s="6" t="n"/>
      <c r="D24" s="6" t="n"/>
      <c r="E24" s="6" t="n"/>
    </row>
    <row r="25">
      <c r="A25" s="13" t="inlineStr">
        <is>
          <t>Network Segment/Zone</t>
        </is>
      </c>
      <c r="B25" s="13" t="inlineStr">
        <is>
          <t>IP Range</t>
        </is>
      </c>
      <c r="C25" s="13" t="inlineStr">
        <is>
          <t>Included (Y/N)</t>
        </is>
      </c>
      <c r="D25" s="13" t="inlineStr">
        <is>
          <t>Devices Found</t>
        </is>
      </c>
      <c r="E25" s="13" t="inlineStr">
        <is>
          <t>Notes</t>
        </is>
      </c>
    </row>
    <row r="26">
      <c r="A26" s="16" t="n"/>
      <c r="B26" s="16" t="n"/>
      <c r="C26" s="16" t="n"/>
      <c r="D26" s="16" t="n"/>
      <c r="E26" s="16" t="n"/>
    </row>
    <row r="27">
      <c r="A27" s="16" t="n"/>
      <c r="B27" s="16" t="n"/>
      <c r="C27" s="16" t="n"/>
      <c r="D27" s="16" t="n"/>
      <c r="E27" s="16" t="n"/>
    </row>
    <row r="28">
      <c r="A28" s="16" t="n"/>
      <c r="B28" s="16" t="n"/>
      <c r="C28" s="16" t="n"/>
      <c r="D28" s="16" t="n"/>
      <c r="E28" s="16" t="n"/>
    </row>
    <row r="29">
      <c r="A29" s="16" t="n"/>
      <c r="B29" s="16" t="n"/>
      <c r="C29" s="16" t="n"/>
      <c r="D29" s="16" t="n"/>
      <c r="E29" s="16" t="n"/>
    </row>
    <row r="30">
      <c r="A30" s="16" t="n"/>
      <c r="B30" s="16" t="n"/>
      <c r="C30" s="16" t="n"/>
      <c r="D30" s="16" t="n"/>
      <c r="E30" s="16" t="n"/>
    </row>
    <row r="31">
      <c r="A31" s="16" t="n"/>
      <c r="B31" s="16" t="n"/>
      <c r="C31" s="16" t="n"/>
      <c r="D31" s="16" t="n"/>
      <c r="E31" s="16" t="n"/>
    </row>
    <row r="32">
      <c r="A32" s="16" t="n"/>
      <c r="B32" s="16" t="n"/>
      <c r="C32" s="16" t="n"/>
      <c r="D32" s="16" t="n"/>
      <c r="E32" s="16" t="n"/>
    </row>
    <row r="33">
      <c r="A33" s="16" t="n"/>
      <c r="B33" s="16" t="n"/>
      <c r="C33" s="16" t="n"/>
      <c r="D33" s="16" t="n"/>
      <c r="E33" s="16" t="n"/>
    </row>
    <row r="34">
      <c r="A34" s="16" t="n"/>
      <c r="B34" s="16" t="n"/>
      <c r="C34" s="16" t="n"/>
      <c r="D34" s="16" t="n"/>
      <c r="E34" s="16" t="n"/>
    </row>
    <row r="35">
      <c r="A35" s="16" t="n"/>
      <c r="B35" s="16" t="n"/>
      <c r="C35" s="16" t="n"/>
      <c r="D35" s="16" t="n"/>
      <c r="E35" s="16" t="n"/>
    </row>
    <row r="36">
      <c r="A36" s="16" t="n"/>
      <c r="B36" s="16" t="n"/>
      <c r="C36" s="16" t="n"/>
      <c r="D36" s="16" t="n"/>
      <c r="E36" s="16" t="n"/>
    </row>
    <row r="37">
      <c r="A37" s="16" t="n"/>
      <c r="B37" s="16" t="n"/>
      <c r="C37" s="16" t="n"/>
      <c r="D37" s="16" t="n"/>
      <c r="E37" s="16" t="n"/>
    </row>
    <row r="38">
      <c r="A38" s="16" t="n"/>
      <c r="B38" s="16" t="n"/>
      <c r="C38" s="16" t="n"/>
      <c r="D38" s="16" t="n"/>
      <c r="E38" s="16" t="n"/>
    </row>
    <row r="39">
      <c r="A39" s="16" t="n"/>
      <c r="B39" s="16" t="n"/>
      <c r="C39" s="16" t="n"/>
      <c r="D39" s="16" t="n"/>
      <c r="E39" s="16" t="n"/>
    </row>
    <row r="40">
      <c r="A40" s="16" t="n"/>
      <c r="B40" s="16" t="n"/>
      <c r="C40" s="16" t="n"/>
      <c r="D40" s="16" t="n"/>
      <c r="E40" s="16" t="n"/>
    </row>
    <row r="41">
      <c r="A41" s="16" t="n"/>
      <c r="B41" s="16" t="n"/>
      <c r="C41" s="16" t="n"/>
      <c r="D41" s="16" t="n"/>
      <c r="E41" s="16" t="n"/>
    </row>
    <row r="42">
      <c r="A42" s="16" t="n"/>
      <c r="B42" s="16" t="n"/>
      <c r="C42" s="16" t="n"/>
      <c r="D42" s="16" t="n"/>
      <c r="E42" s="16" t="n"/>
    </row>
    <row r="43">
      <c r="A43" s="16" t="n"/>
      <c r="B43" s="16" t="n"/>
      <c r="C43" s="16" t="n"/>
      <c r="D43" s="16" t="n"/>
      <c r="E43" s="16" t="n"/>
    </row>
    <row r="44">
      <c r="A44" s="16" t="n"/>
      <c r="B44" s="16" t="n"/>
      <c r="C44" s="16" t="n"/>
      <c r="D44" s="16" t="n"/>
      <c r="E44" s="16" t="n"/>
    </row>
    <row r="45">
      <c r="A45" s="16" t="n"/>
      <c r="B45" s="16" t="n"/>
      <c r="C45" s="16" t="n"/>
      <c r="D45" s="16" t="n"/>
      <c r="E45" s="16" t="n"/>
    </row>
    <row r="47">
      <c r="A47" s="17" t="inlineStr">
        <is>
          <t>Discovery Challenges &amp; Limitations</t>
        </is>
      </c>
      <c r="B47" s="6" t="n"/>
      <c r="C47" s="6" t="n"/>
      <c r="D47" s="6" t="n"/>
      <c r="E47" s="6" t="n"/>
    </row>
    <row r="48">
      <c r="A48" s="16" t="inlineStr">
        <is>
          <t>[DOCUMENT ANY CHALLENGES ENCOUNTERED DURING DISCOVERY:
- UNREACHABLE NETWORKS
- FIREWALL BLOCKING SCANS
- MISSING CREDENTIALS
- UNDOCUMENTED DEVICES
- OTHER LIMITATIONS]</t>
        </is>
      </c>
    </row>
    <row r="49"/>
    <row r="50"/>
    <row r="51"/>
    <row r="52"/>
    <row r="53"/>
  </sheetData>
  <mergeCells count="13">
    <mergeCell ref="B9:E9"/>
    <mergeCell ref="A48:E53"/>
    <mergeCell ref="B8:E8"/>
    <mergeCell ref="B4:E4"/>
    <mergeCell ref="A2:E2"/>
    <mergeCell ref="A24:E24"/>
    <mergeCell ref="B6:E6"/>
    <mergeCell ref="A11:E11"/>
    <mergeCell ref="B7:E7"/>
    <mergeCell ref="A1:E1"/>
    <mergeCell ref="A47:E47"/>
    <mergeCell ref="B5:E5"/>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25" customWidth="1" min="3" max="3"/>
    <col width="35" customWidth="1" min="4" max="4"/>
    <col width="12" customWidth="1" min="5" max="5"/>
    <col width="25" customWidth="1" min="6" max="6"/>
    <col width="35" customWidth="1" min="7" max="7"/>
    <col width="20" customWidth="1" min="8" max="8"/>
    <col width="15" customWidth="1" min="9" max="9"/>
    <col width="12" customWidth="1" min="10" max="10"/>
  </cols>
  <sheetData>
    <row r="1" ht="35" customHeight="1">
      <c r="A1" s="11" t="inlineStr">
        <is>
          <t>NETWORK DISCOVERY GAP ANALYSIS</t>
        </is>
      </c>
    </row>
    <row r="2">
      <c r="A2" s="12" t="inlineStr">
        <is>
          <t>Document gaps: undocumented devices, unreachable devices, missing information, or discovery failures</t>
        </is>
      </c>
    </row>
    <row r="3">
      <c r="A3" s="13" t="inlineStr">
        <is>
          <t>Gap ID</t>
        </is>
      </c>
      <c r="B3" s="13" t="inlineStr">
        <is>
          <t>Gap Type</t>
        </is>
      </c>
      <c r="C3" s="13" t="inlineStr">
        <is>
          <t>Device/Location</t>
        </is>
      </c>
      <c r="D3" s="13" t="inlineStr">
        <is>
          <t>Description</t>
        </is>
      </c>
      <c r="E3" s="13" t="inlineStr">
        <is>
          <t>Severity</t>
        </is>
      </c>
      <c r="F3" s="13" t="inlineStr">
        <is>
          <t>Impact</t>
        </is>
      </c>
      <c r="G3" s="13" t="inlineStr">
        <is>
          <t>Remediation Plan</t>
        </is>
      </c>
      <c r="H3" s="13" t="inlineStr">
        <is>
          <t>Owner</t>
        </is>
      </c>
      <c r="I3" s="13" t="inlineStr">
        <is>
          <t>Status</t>
        </is>
      </c>
      <c r="J3" s="13" t="inlineStr">
        <is>
          <t>Target Date</t>
        </is>
      </c>
    </row>
    <row r="4">
      <c r="A4" s="15" t="inlineStr">
        <is>
          <t>DISC-GAP-001</t>
        </is>
      </c>
      <c r="B4" s="15" t="inlineStr">
        <is>
          <t>Missing Device</t>
        </is>
      </c>
      <c r="C4" s="15" t="inlineStr">
        <is>
          <t>192.168.10.0/24 subnet</t>
        </is>
      </c>
      <c r="D4" s="15" t="inlineStr">
        <is>
          <t>Undocumented switch discovered during network scan — not in inventory</t>
        </is>
      </c>
      <c r="E4" s="15" t="inlineStr">
        <is>
          <t>High</t>
        </is>
      </c>
      <c r="F4" s="15" t="inlineStr">
        <is>
          <t>Potential unauthorised device accessing internal network</t>
        </is>
      </c>
      <c r="G4" s="15" t="inlineStr">
        <is>
          <t>Identify device, classify, assign owner, add to inventory</t>
        </is>
      </c>
      <c r="H4" s="15" t="inlineStr">
        <is>
          <t>Network Team</t>
        </is>
      </c>
      <c r="I4" s="15" t="inlineStr">
        <is>
          <t>⭕ Open</t>
        </is>
      </c>
      <c r="J4" s="15" t="inlineStr">
        <is>
          <t>31.03.2026</t>
        </is>
      </c>
    </row>
    <row r="5">
      <c r="A5" s="26">
        <f>IF(B5&lt;&gt;"","DISC-GAP-" &amp; TEXT(2,"000"),"")</f>
        <v/>
      </c>
      <c r="B5" s="16" t="n"/>
      <c r="C5" s="16" t="n"/>
      <c r="D5" s="16" t="n"/>
      <c r="E5" s="16" t="n"/>
      <c r="F5" s="16" t="n"/>
      <c r="G5" s="16" t="n"/>
      <c r="H5" s="16" t="n"/>
      <c r="I5" s="16" t="n"/>
      <c r="J5" s="16" t="n"/>
    </row>
    <row r="6">
      <c r="A6" s="26">
        <f>IF(B6&lt;&gt;"","DISC-GAP-" &amp; TEXT(3,"000"),"")</f>
        <v/>
      </c>
      <c r="B6" s="16" t="n"/>
      <c r="C6" s="16" t="n"/>
      <c r="D6" s="16" t="n"/>
      <c r="E6" s="16" t="n"/>
      <c r="F6" s="16" t="n"/>
      <c r="G6" s="16" t="n"/>
      <c r="H6" s="16" t="n"/>
      <c r="I6" s="16" t="n"/>
      <c r="J6" s="16" t="n"/>
    </row>
    <row r="7">
      <c r="A7" s="26">
        <f>IF(B7&lt;&gt;"","DISC-GAP-" &amp; TEXT(4,"000"),"")</f>
        <v/>
      </c>
      <c r="B7" s="16" t="n"/>
      <c r="C7" s="16" t="n"/>
      <c r="D7" s="16" t="n"/>
      <c r="E7" s="16" t="n"/>
      <c r="F7" s="16" t="n"/>
      <c r="G7" s="16" t="n"/>
      <c r="H7" s="16" t="n"/>
      <c r="I7" s="16" t="n"/>
      <c r="J7" s="16" t="n"/>
    </row>
    <row r="8">
      <c r="A8" s="26">
        <f>IF(B8&lt;&gt;"","DISC-GAP-" &amp; TEXT(5,"000"),"")</f>
        <v/>
      </c>
      <c r="B8" s="16" t="n"/>
      <c r="C8" s="16" t="n"/>
      <c r="D8" s="16" t="n"/>
      <c r="E8" s="16" t="n"/>
      <c r="F8" s="16" t="n"/>
      <c r="G8" s="16" t="n"/>
      <c r="H8" s="16" t="n"/>
      <c r="I8" s="16" t="n"/>
      <c r="J8" s="16" t="n"/>
    </row>
    <row r="9">
      <c r="A9" s="26">
        <f>IF(B9&lt;&gt;"","DISC-GAP-" &amp; TEXT(6,"000"),"")</f>
        <v/>
      </c>
      <c r="B9" s="16" t="n"/>
      <c r="C9" s="16" t="n"/>
      <c r="D9" s="16" t="n"/>
      <c r="E9" s="16" t="n"/>
      <c r="F9" s="16" t="n"/>
      <c r="G9" s="16" t="n"/>
      <c r="H9" s="16" t="n"/>
      <c r="I9" s="16" t="n"/>
      <c r="J9" s="16" t="n"/>
    </row>
    <row r="10">
      <c r="A10" s="26">
        <f>IF(B10&lt;&gt;"","DISC-GAP-" &amp; TEXT(7,"000"),"")</f>
        <v/>
      </c>
      <c r="B10" s="16" t="n"/>
      <c r="C10" s="16" t="n"/>
      <c r="D10" s="16" t="n"/>
      <c r="E10" s="16" t="n"/>
      <c r="F10" s="16" t="n"/>
      <c r="G10" s="16" t="n"/>
      <c r="H10" s="16" t="n"/>
      <c r="I10" s="16" t="n"/>
      <c r="J10" s="16" t="n"/>
    </row>
    <row r="11">
      <c r="A11" s="26">
        <f>IF(B11&lt;&gt;"","DISC-GAP-" &amp; TEXT(8,"000"),"")</f>
        <v/>
      </c>
      <c r="B11" s="16" t="n"/>
      <c r="C11" s="16" t="n"/>
      <c r="D11" s="16" t="n"/>
      <c r="E11" s="16" t="n"/>
      <c r="F11" s="16" t="n"/>
      <c r="G11" s="16" t="n"/>
      <c r="H11" s="16" t="n"/>
      <c r="I11" s="16" t="n"/>
      <c r="J11" s="16" t="n"/>
    </row>
    <row r="12">
      <c r="A12" s="26">
        <f>IF(B12&lt;&gt;"","DISC-GAP-" &amp; TEXT(9,"000"),"")</f>
        <v/>
      </c>
      <c r="B12" s="16" t="n"/>
      <c r="C12" s="16" t="n"/>
      <c r="D12" s="16" t="n"/>
      <c r="E12" s="16" t="n"/>
      <c r="F12" s="16" t="n"/>
      <c r="G12" s="16" t="n"/>
      <c r="H12" s="16" t="n"/>
      <c r="I12" s="16" t="n"/>
      <c r="J12" s="16" t="n"/>
    </row>
    <row r="13">
      <c r="A13" s="26">
        <f>IF(B13&lt;&gt;"","DISC-GAP-" &amp; TEXT(10,"000"),"")</f>
        <v/>
      </c>
      <c r="B13" s="16" t="n"/>
      <c r="C13" s="16" t="n"/>
      <c r="D13" s="16" t="n"/>
      <c r="E13" s="16" t="n"/>
      <c r="F13" s="16" t="n"/>
      <c r="G13" s="16" t="n"/>
      <c r="H13" s="16" t="n"/>
      <c r="I13" s="16" t="n"/>
      <c r="J13" s="16" t="n"/>
    </row>
    <row r="14">
      <c r="A14" s="26">
        <f>IF(B14&lt;&gt;"","DISC-GAP-" &amp; TEXT(11,"000"),"")</f>
        <v/>
      </c>
      <c r="B14" s="16" t="n"/>
      <c r="C14" s="16" t="n"/>
      <c r="D14" s="16" t="n"/>
      <c r="E14" s="16" t="n"/>
      <c r="F14" s="16" t="n"/>
      <c r="G14" s="16" t="n"/>
      <c r="H14" s="16" t="n"/>
      <c r="I14" s="16" t="n"/>
      <c r="J14" s="16" t="n"/>
    </row>
    <row r="15">
      <c r="A15" s="26">
        <f>IF(B15&lt;&gt;"","DISC-GAP-" &amp; TEXT(12,"000"),"")</f>
        <v/>
      </c>
      <c r="B15" s="16" t="n"/>
      <c r="C15" s="16" t="n"/>
      <c r="D15" s="16" t="n"/>
      <c r="E15" s="16" t="n"/>
      <c r="F15" s="16" t="n"/>
      <c r="G15" s="16" t="n"/>
      <c r="H15" s="16" t="n"/>
      <c r="I15" s="16" t="n"/>
      <c r="J15" s="16" t="n"/>
    </row>
    <row r="16">
      <c r="A16" s="26">
        <f>IF(B16&lt;&gt;"","DISC-GAP-" &amp; TEXT(13,"000"),"")</f>
        <v/>
      </c>
      <c r="B16" s="16" t="n"/>
      <c r="C16" s="16" t="n"/>
      <c r="D16" s="16" t="n"/>
      <c r="E16" s="16" t="n"/>
      <c r="F16" s="16" t="n"/>
      <c r="G16" s="16" t="n"/>
      <c r="H16" s="16" t="n"/>
      <c r="I16" s="16" t="n"/>
      <c r="J16" s="16" t="n"/>
    </row>
    <row r="17">
      <c r="A17" s="26">
        <f>IF(B17&lt;&gt;"","DISC-GAP-" &amp; TEXT(14,"000"),"")</f>
        <v/>
      </c>
      <c r="B17" s="16" t="n"/>
      <c r="C17" s="16" t="n"/>
      <c r="D17" s="16" t="n"/>
      <c r="E17" s="16" t="n"/>
      <c r="F17" s="16" t="n"/>
      <c r="G17" s="16" t="n"/>
      <c r="H17" s="16" t="n"/>
      <c r="I17" s="16" t="n"/>
      <c r="J17" s="16" t="n"/>
    </row>
    <row r="18">
      <c r="A18" s="26">
        <f>IF(B18&lt;&gt;"","DISC-GAP-" &amp; TEXT(15,"000"),"")</f>
        <v/>
      </c>
      <c r="B18" s="16" t="n"/>
      <c r="C18" s="16" t="n"/>
      <c r="D18" s="16" t="n"/>
      <c r="E18" s="16" t="n"/>
      <c r="F18" s="16" t="n"/>
      <c r="G18" s="16" t="n"/>
      <c r="H18" s="16" t="n"/>
      <c r="I18" s="16" t="n"/>
      <c r="J18" s="16" t="n"/>
    </row>
    <row r="19">
      <c r="A19" s="26">
        <f>IF(B19&lt;&gt;"","DISC-GAP-" &amp; TEXT(16,"000"),"")</f>
        <v/>
      </c>
      <c r="B19" s="16" t="n"/>
      <c r="C19" s="16" t="n"/>
      <c r="D19" s="16" t="n"/>
      <c r="E19" s="16" t="n"/>
      <c r="F19" s="16" t="n"/>
      <c r="G19" s="16" t="n"/>
      <c r="H19" s="16" t="n"/>
      <c r="I19" s="16" t="n"/>
      <c r="J19" s="16" t="n"/>
    </row>
    <row r="20">
      <c r="A20" s="26">
        <f>IF(B20&lt;&gt;"","DISC-GAP-" &amp; TEXT(17,"000"),"")</f>
        <v/>
      </c>
      <c r="B20" s="16" t="n"/>
      <c r="C20" s="16" t="n"/>
      <c r="D20" s="16" t="n"/>
      <c r="E20" s="16" t="n"/>
      <c r="F20" s="16" t="n"/>
      <c r="G20" s="16" t="n"/>
      <c r="H20" s="16" t="n"/>
      <c r="I20" s="16" t="n"/>
      <c r="J20" s="16" t="n"/>
    </row>
    <row r="21">
      <c r="A21" s="26">
        <f>IF(B21&lt;&gt;"","DISC-GAP-" &amp; TEXT(18,"000"),"")</f>
        <v/>
      </c>
      <c r="B21" s="16" t="n"/>
      <c r="C21" s="16" t="n"/>
      <c r="D21" s="16" t="n"/>
      <c r="E21" s="16" t="n"/>
      <c r="F21" s="16" t="n"/>
      <c r="G21" s="16" t="n"/>
      <c r="H21" s="16" t="n"/>
      <c r="I21" s="16" t="n"/>
      <c r="J21" s="16" t="n"/>
    </row>
    <row r="22">
      <c r="A22" s="26">
        <f>IF(B22&lt;&gt;"","DISC-GAP-" &amp; TEXT(19,"000"),"")</f>
        <v/>
      </c>
      <c r="B22" s="16" t="n"/>
      <c r="C22" s="16" t="n"/>
      <c r="D22" s="16" t="n"/>
      <c r="E22" s="16" t="n"/>
      <c r="F22" s="16" t="n"/>
      <c r="G22" s="16" t="n"/>
      <c r="H22" s="16" t="n"/>
      <c r="I22" s="16" t="n"/>
      <c r="J22" s="16" t="n"/>
    </row>
    <row r="23">
      <c r="A23" s="26">
        <f>IF(B23&lt;&gt;"","DISC-GAP-" &amp; TEXT(20,"000"),"")</f>
        <v/>
      </c>
      <c r="B23" s="16" t="n"/>
      <c r="C23" s="16" t="n"/>
      <c r="D23" s="16" t="n"/>
      <c r="E23" s="16" t="n"/>
      <c r="F23" s="16" t="n"/>
      <c r="G23" s="16" t="n"/>
      <c r="H23" s="16" t="n"/>
      <c r="I23" s="16" t="n"/>
      <c r="J23" s="16" t="n"/>
    </row>
    <row r="24">
      <c r="A24" s="26">
        <f>IF(B24&lt;&gt;"","DISC-GAP-" &amp; TEXT(21,"000"),"")</f>
        <v/>
      </c>
      <c r="B24" s="16" t="n"/>
      <c r="C24" s="16" t="n"/>
      <c r="D24" s="16" t="n"/>
      <c r="E24" s="16" t="n"/>
      <c r="F24" s="16" t="n"/>
      <c r="G24" s="16" t="n"/>
      <c r="H24" s="16" t="n"/>
      <c r="I24" s="16" t="n"/>
      <c r="J24" s="16" t="n"/>
    </row>
    <row r="25">
      <c r="A25" s="26">
        <f>IF(B25&lt;&gt;"","DISC-GAP-" &amp; TEXT(22,"000"),"")</f>
        <v/>
      </c>
      <c r="B25" s="16" t="n"/>
      <c r="C25" s="16" t="n"/>
      <c r="D25" s="16" t="n"/>
      <c r="E25" s="16" t="n"/>
      <c r="F25" s="16" t="n"/>
      <c r="G25" s="16" t="n"/>
      <c r="H25" s="16" t="n"/>
      <c r="I25" s="16" t="n"/>
      <c r="J25" s="16" t="n"/>
    </row>
    <row r="26">
      <c r="A26" s="26">
        <f>IF(B26&lt;&gt;"","DISC-GAP-" &amp; TEXT(23,"000"),"")</f>
        <v/>
      </c>
      <c r="B26" s="16" t="n"/>
      <c r="C26" s="16" t="n"/>
      <c r="D26" s="16" t="n"/>
      <c r="E26" s="16" t="n"/>
      <c r="F26" s="16" t="n"/>
      <c r="G26" s="16" t="n"/>
      <c r="H26" s="16" t="n"/>
      <c r="I26" s="16" t="n"/>
      <c r="J26" s="16" t="n"/>
    </row>
    <row r="27">
      <c r="A27" s="26">
        <f>IF(B27&lt;&gt;"","DISC-GAP-" &amp; TEXT(24,"000"),"")</f>
        <v/>
      </c>
      <c r="B27" s="16" t="n"/>
      <c r="C27" s="16" t="n"/>
      <c r="D27" s="16" t="n"/>
      <c r="E27" s="16" t="n"/>
      <c r="F27" s="16" t="n"/>
      <c r="G27" s="16" t="n"/>
      <c r="H27" s="16" t="n"/>
      <c r="I27" s="16" t="n"/>
      <c r="J27" s="16" t="n"/>
    </row>
    <row r="28">
      <c r="A28" s="26">
        <f>IF(B28&lt;&gt;"","DISC-GAP-" &amp; TEXT(25,"000"),"")</f>
        <v/>
      </c>
      <c r="B28" s="16" t="n"/>
      <c r="C28" s="16" t="n"/>
      <c r="D28" s="16" t="n"/>
      <c r="E28" s="16" t="n"/>
      <c r="F28" s="16" t="n"/>
      <c r="G28" s="16" t="n"/>
      <c r="H28" s="16" t="n"/>
      <c r="I28" s="16" t="n"/>
      <c r="J28" s="16" t="n"/>
    </row>
    <row r="29">
      <c r="A29" s="26">
        <f>IF(B29&lt;&gt;"","DISC-GAP-" &amp; TEXT(26,"000"),"")</f>
        <v/>
      </c>
      <c r="B29" s="16" t="n"/>
      <c r="C29" s="16" t="n"/>
      <c r="D29" s="16" t="n"/>
      <c r="E29" s="16" t="n"/>
      <c r="F29" s="16" t="n"/>
      <c r="G29" s="16" t="n"/>
      <c r="H29" s="16" t="n"/>
      <c r="I29" s="16" t="n"/>
      <c r="J29" s="16" t="n"/>
    </row>
    <row r="30">
      <c r="A30" s="26">
        <f>IF(B30&lt;&gt;"","DISC-GAP-" &amp; TEXT(27,"000"),"")</f>
        <v/>
      </c>
      <c r="B30" s="16" t="n"/>
      <c r="C30" s="16" t="n"/>
      <c r="D30" s="16" t="n"/>
      <c r="E30" s="16" t="n"/>
      <c r="F30" s="16" t="n"/>
      <c r="G30" s="16" t="n"/>
      <c r="H30" s="16" t="n"/>
      <c r="I30" s="16" t="n"/>
      <c r="J30" s="16" t="n"/>
    </row>
    <row r="31">
      <c r="A31" s="26">
        <f>IF(B31&lt;&gt;"","DISC-GAP-" &amp; TEXT(28,"000"),"")</f>
        <v/>
      </c>
      <c r="B31" s="16" t="n"/>
      <c r="C31" s="16" t="n"/>
      <c r="D31" s="16" t="n"/>
      <c r="E31" s="16" t="n"/>
      <c r="F31" s="16" t="n"/>
      <c r="G31" s="16" t="n"/>
      <c r="H31" s="16" t="n"/>
      <c r="I31" s="16" t="n"/>
      <c r="J31" s="16" t="n"/>
    </row>
    <row r="32">
      <c r="A32" s="26">
        <f>IF(B32&lt;&gt;"","DISC-GAP-" &amp; TEXT(29,"000"),"")</f>
        <v/>
      </c>
      <c r="B32" s="16" t="n"/>
      <c r="C32" s="16" t="n"/>
      <c r="D32" s="16" t="n"/>
      <c r="E32" s="16" t="n"/>
      <c r="F32" s="16" t="n"/>
      <c r="G32" s="16" t="n"/>
      <c r="H32" s="16" t="n"/>
      <c r="I32" s="16" t="n"/>
      <c r="J32" s="16" t="n"/>
    </row>
    <row r="33">
      <c r="A33" s="26">
        <f>IF(B33&lt;&gt;"","DISC-GAP-" &amp; TEXT(30,"000"),"")</f>
        <v/>
      </c>
      <c r="B33" s="16" t="n"/>
      <c r="C33" s="16" t="n"/>
      <c r="D33" s="16" t="n"/>
      <c r="E33" s="16" t="n"/>
      <c r="F33" s="16" t="n"/>
      <c r="G33" s="16" t="n"/>
      <c r="H33" s="16" t="n"/>
      <c r="I33" s="16" t="n"/>
      <c r="J33" s="16" t="n"/>
    </row>
    <row r="34">
      <c r="A34" s="26">
        <f>IF(B34&lt;&gt;"","DISC-GAP-" &amp; TEXT(31,"000"),"")</f>
        <v/>
      </c>
      <c r="B34" s="16" t="n"/>
      <c r="C34" s="16" t="n"/>
      <c r="D34" s="16" t="n"/>
      <c r="E34" s="16" t="n"/>
      <c r="F34" s="16" t="n"/>
      <c r="G34" s="16" t="n"/>
      <c r="H34" s="16" t="n"/>
      <c r="I34" s="16" t="n"/>
      <c r="J34" s="16" t="n"/>
    </row>
    <row r="35">
      <c r="A35" s="26">
        <f>IF(B35&lt;&gt;"","DISC-GAP-" &amp; TEXT(32,"000"),"")</f>
        <v/>
      </c>
      <c r="B35" s="16" t="n"/>
      <c r="C35" s="16" t="n"/>
      <c r="D35" s="16" t="n"/>
      <c r="E35" s="16" t="n"/>
      <c r="F35" s="16" t="n"/>
      <c r="G35" s="16" t="n"/>
      <c r="H35" s="16" t="n"/>
      <c r="I35" s="16" t="n"/>
      <c r="J35" s="16" t="n"/>
    </row>
    <row r="36">
      <c r="A36" s="26">
        <f>IF(B36&lt;&gt;"","DISC-GAP-" &amp; TEXT(33,"000"),"")</f>
        <v/>
      </c>
      <c r="B36" s="16" t="n"/>
      <c r="C36" s="16" t="n"/>
      <c r="D36" s="16" t="n"/>
      <c r="E36" s="16" t="n"/>
      <c r="F36" s="16" t="n"/>
      <c r="G36" s="16" t="n"/>
      <c r="H36" s="16" t="n"/>
      <c r="I36" s="16" t="n"/>
      <c r="J36" s="16" t="n"/>
    </row>
    <row r="37">
      <c r="A37" s="26">
        <f>IF(B37&lt;&gt;"","DISC-GAP-" &amp; TEXT(34,"000"),"")</f>
        <v/>
      </c>
      <c r="B37" s="16" t="n"/>
      <c r="C37" s="16" t="n"/>
      <c r="D37" s="16" t="n"/>
      <c r="E37" s="16" t="n"/>
      <c r="F37" s="16" t="n"/>
      <c r="G37" s="16" t="n"/>
      <c r="H37" s="16" t="n"/>
      <c r="I37" s="16" t="n"/>
      <c r="J37" s="16" t="n"/>
    </row>
    <row r="38">
      <c r="A38" s="26">
        <f>IF(B38&lt;&gt;"","DISC-GAP-" &amp; TEXT(35,"000"),"")</f>
        <v/>
      </c>
      <c r="B38" s="16" t="n"/>
      <c r="C38" s="16" t="n"/>
      <c r="D38" s="16" t="n"/>
      <c r="E38" s="16" t="n"/>
      <c r="F38" s="16" t="n"/>
      <c r="G38" s="16" t="n"/>
      <c r="H38" s="16" t="n"/>
      <c r="I38" s="16" t="n"/>
      <c r="J38" s="16" t="n"/>
    </row>
    <row r="39">
      <c r="A39" s="26">
        <f>IF(B39&lt;&gt;"","DISC-GAP-" &amp; TEXT(36,"000"),"")</f>
        <v/>
      </c>
      <c r="B39" s="16" t="n"/>
      <c r="C39" s="16" t="n"/>
      <c r="D39" s="16" t="n"/>
      <c r="E39" s="16" t="n"/>
      <c r="F39" s="16" t="n"/>
      <c r="G39" s="16" t="n"/>
      <c r="H39" s="16" t="n"/>
      <c r="I39" s="16" t="n"/>
      <c r="J39" s="16" t="n"/>
    </row>
    <row r="40">
      <c r="A40" s="26">
        <f>IF(B40&lt;&gt;"","DISC-GAP-" &amp; TEXT(37,"000"),"")</f>
        <v/>
      </c>
      <c r="B40" s="16" t="n"/>
      <c r="C40" s="16" t="n"/>
      <c r="D40" s="16" t="n"/>
      <c r="E40" s="16" t="n"/>
      <c r="F40" s="16" t="n"/>
      <c r="G40" s="16" t="n"/>
      <c r="H40" s="16" t="n"/>
      <c r="I40" s="16" t="n"/>
      <c r="J40" s="16" t="n"/>
    </row>
    <row r="41">
      <c r="A41" s="26">
        <f>IF(B41&lt;&gt;"","DISC-GAP-" &amp; TEXT(38,"000"),"")</f>
        <v/>
      </c>
      <c r="B41" s="16" t="n"/>
      <c r="C41" s="16" t="n"/>
      <c r="D41" s="16" t="n"/>
      <c r="E41" s="16" t="n"/>
      <c r="F41" s="16" t="n"/>
      <c r="G41" s="16" t="n"/>
      <c r="H41" s="16" t="n"/>
      <c r="I41" s="16" t="n"/>
      <c r="J41" s="16" t="n"/>
    </row>
    <row r="42">
      <c r="A42" s="26">
        <f>IF(B42&lt;&gt;"","DISC-GAP-" &amp; TEXT(39,"000"),"")</f>
        <v/>
      </c>
      <c r="B42" s="16" t="n"/>
      <c r="C42" s="16" t="n"/>
      <c r="D42" s="16" t="n"/>
      <c r="E42" s="16" t="n"/>
      <c r="F42" s="16" t="n"/>
      <c r="G42" s="16" t="n"/>
      <c r="H42" s="16" t="n"/>
      <c r="I42" s="16" t="n"/>
      <c r="J42" s="16" t="n"/>
    </row>
    <row r="43">
      <c r="A43" s="26">
        <f>IF(B43&lt;&gt;"","DISC-GAP-" &amp; TEXT(40,"000"),"")</f>
        <v/>
      </c>
      <c r="B43" s="16" t="n"/>
      <c r="C43" s="16" t="n"/>
      <c r="D43" s="16" t="n"/>
      <c r="E43" s="16" t="n"/>
      <c r="F43" s="16" t="n"/>
      <c r="G43" s="16" t="n"/>
      <c r="H43" s="16" t="n"/>
      <c r="I43" s="16" t="n"/>
      <c r="J43" s="16" t="n"/>
    </row>
    <row r="44">
      <c r="A44" s="26">
        <f>IF(B44&lt;&gt;"","DISC-GAP-" &amp; TEXT(41,"000"),"")</f>
        <v/>
      </c>
      <c r="B44" s="16" t="n"/>
      <c r="C44" s="16" t="n"/>
      <c r="D44" s="16" t="n"/>
      <c r="E44" s="16" t="n"/>
      <c r="F44" s="16" t="n"/>
      <c r="G44" s="16" t="n"/>
      <c r="H44" s="16" t="n"/>
      <c r="I44" s="16" t="n"/>
      <c r="J44" s="16" t="n"/>
    </row>
    <row r="45">
      <c r="A45" s="26">
        <f>IF(B45&lt;&gt;"","DISC-GAP-" &amp; TEXT(42,"000"),"")</f>
        <v/>
      </c>
      <c r="B45" s="16" t="n"/>
      <c r="C45" s="16" t="n"/>
      <c r="D45" s="16" t="n"/>
      <c r="E45" s="16" t="n"/>
      <c r="F45" s="16" t="n"/>
      <c r="G45" s="16" t="n"/>
      <c r="H45" s="16" t="n"/>
      <c r="I45" s="16" t="n"/>
      <c r="J45" s="16" t="n"/>
    </row>
    <row r="46">
      <c r="A46" s="26">
        <f>IF(B46&lt;&gt;"","DISC-GAP-" &amp; TEXT(43,"000"),"")</f>
        <v/>
      </c>
      <c r="B46" s="16" t="n"/>
      <c r="C46" s="16" t="n"/>
      <c r="D46" s="16" t="n"/>
      <c r="E46" s="16" t="n"/>
      <c r="F46" s="16" t="n"/>
      <c r="G46" s="16" t="n"/>
      <c r="H46" s="16" t="n"/>
      <c r="I46" s="16" t="n"/>
      <c r="J46" s="16" t="n"/>
    </row>
    <row r="47">
      <c r="A47" s="26">
        <f>IF(B47&lt;&gt;"","DISC-GAP-" &amp; TEXT(44,"000"),"")</f>
        <v/>
      </c>
      <c r="B47" s="16" t="n"/>
      <c r="C47" s="16" t="n"/>
      <c r="D47" s="16" t="n"/>
      <c r="E47" s="16" t="n"/>
      <c r="F47" s="16" t="n"/>
      <c r="G47" s="16" t="n"/>
      <c r="H47" s="16" t="n"/>
      <c r="I47" s="16" t="n"/>
      <c r="J47" s="16" t="n"/>
    </row>
    <row r="48">
      <c r="A48" s="26">
        <f>IF(B48&lt;&gt;"","DISC-GAP-" &amp; TEXT(45,"000"),"")</f>
        <v/>
      </c>
      <c r="B48" s="16" t="n"/>
      <c r="C48" s="16" t="n"/>
      <c r="D48" s="16" t="n"/>
      <c r="E48" s="16" t="n"/>
      <c r="F48" s="16" t="n"/>
      <c r="G48" s="16" t="n"/>
      <c r="H48" s="16" t="n"/>
      <c r="I48" s="16" t="n"/>
      <c r="J48" s="16" t="n"/>
    </row>
    <row r="49">
      <c r="A49" s="26">
        <f>IF(B49&lt;&gt;"","DISC-GAP-" &amp; TEXT(46,"000"),"")</f>
        <v/>
      </c>
      <c r="B49" s="16" t="n"/>
      <c r="C49" s="16" t="n"/>
      <c r="D49" s="16" t="n"/>
      <c r="E49" s="16" t="n"/>
      <c r="F49" s="16" t="n"/>
      <c r="G49" s="16" t="n"/>
      <c r="H49" s="16" t="n"/>
      <c r="I49" s="16" t="n"/>
      <c r="J49" s="16" t="n"/>
    </row>
    <row r="50">
      <c r="A50" s="26">
        <f>IF(B50&lt;&gt;"","DISC-GAP-" &amp; TEXT(47,"000"),"")</f>
        <v/>
      </c>
      <c r="B50" s="16" t="n"/>
      <c r="C50" s="16" t="n"/>
      <c r="D50" s="16" t="n"/>
      <c r="E50" s="16" t="n"/>
      <c r="F50" s="16" t="n"/>
      <c r="G50" s="16" t="n"/>
      <c r="H50" s="16" t="n"/>
      <c r="I50" s="16" t="n"/>
      <c r="J50" s="16" t="n"/>
    </row>
    <row r="51">
      <c r="A51" s="26">
        <f>IF(B51&lt;&gt;"","DISC-GAP-" &amp; TEXT(48,"000"),"")</f>
        <v/>
      </c>
      <c r="B51" s="16" t="n"/>
      <c r="C51" s="16" t="n"/>
      <c r="D51" s="16" t="n"/>
      <c r="E51" s="16" t="n"/>
      <c r="F51" s="16" t="n"/>
      <c r="G51" s="16" t="n"/>
      <c r="H51" s="16" t="n"/>
      <c r="I51" s="16" t="n"/>
      <c r="J51" s="16" t="n"/>
    </row>
    <row r="52">
      <c r="A52" s="26">
        <f>IF(B52&lt;&gt;"","DISC-GAP-" &amp; TEXT(49,"000"),"")</f>
        <v/>
      </c>
      <c r="B52" s="16" t="n"/>
      <c r="C52" s="16" t="n"/>
      <c r="D52" s="16" t="n"/>
      <c r="E52" s="16" t="n"/>
      <c r="F52" s="16" t="n"/>
      <c r="G52" s="16" t="n"/>
      <c r="H52" s="16" t="n"/>
      <c r="I52" s="16" t="n"/>
      <c r="J52" s="16" t="n"/>
    </row>
    <row r="53">
      <c r="A53" s="26">
        <f>IF(B53&lt;&gt;"","DISC-GAP-" &amp; TEXT(50,"000"),"")</f>
        <v/>
      </c>
      <c r="B53" s="16" t="n"/>
      <c r="C53" s="16" t="n"/>
      <c r="D53" s="16" t="n"/>
      <c r="E53" s="16" t="n"/>
      <c r="F53" s="16" t="n"/>
      <c r="G53" s="16" t="n"/>
      <c r="H53" s="16" t="n"/>
      <c r="I53" s="16" t="n"/>
      <c r="J53" s="16" t="n"/>
    </row>
    <row r="55">
      <c r="A55" s="12" t="inlineStr">
        <is>
          <t>Common Gap Types: Undocumented Device, Unreachable Device, Missing Configuration, Incomplete Discovery, Authentication Failure, Firewall Blocking, Unknown Device Type</t>
        </is>
      </c>
    </row>
  </sheetData>
  <mergeCells count="3">
    <mergeCell ref="A55:J55"/>
    <mergeCell ref="A1:J1"/>
    <mergeCell ref="A2:J2"/>
  </mergeCells>
  <conditionalFormatting sqref="E4:E53">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dataValidations count="2">
    <dataValidation sqref="E5:E53" showDropDown="0" showInputMessage="0" showErrorMessage="0" allowBlank="0" type="list">
      <formula1>"Critical,High,Medium,Low"</formula1>
    </dataValidation>
    <dataValidation sqref="I5:I53" showDropDown="0" showInputMessage="0" showErrorMessage="0" allowBlank="0" type="list">
      <formula1>"⭕ Open,In Progress,Resolved,⚠️ Accepted Risk"</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8"/>
  <sheetViews>
    <sheetView showGridLines="0" workbookViewId="0">
      <selection activeCell="A1" sqref="A1"/>
    </sheetView>
  </sheetViews>
  <sheetFormatPr baseColWidth="8" defaultRowHeight="15"/>
  <cols>
    <col width="30" customWidth="1" min="1" max="1"/>
    <col width="15" customWidth="1" min="2" max="2"/>
    <col width="40" customWidth="1" min="3" max="3"/>
    <col width="30" customWidth="1" min="4" max="4"/>
  </cols>
  <sheetData>
    <row r="1" ht="35" customHeight="1">
      <c r="A1" s="11" t="inlineStr">
        <is>
          <t>DATA VALIDATION RULES &amp; QUALITY CHECKS</t>
        </is>
      </c>
    </row>
    <row r="2">
      <c r="A2" s="12" t="inlineStr">
        <is>
          <t>This sheet defines data quality rules to ensure inventory completeness and accuracy</t>
        </is>
      </c>
    </row>
    <row r="4">
      <c r="A4" s="17" t="inlineStr">
        <is>
          <t>Required Field Validation</t>
        </is>
      </c>
      <c r="B4" s="6" t="n"/>
      <c r="C4" s="6" t="n"/>
      <c r="D4" s="6" t="n"/>
    </row>
    <row r="5">
      <c r="A5" s="13" t="inlineStr">
        <is>
          <t>Field</t>
        </is>
      </c>
      <c r="B5" s="13" t="inlineStr">
        <is>
          <t>Required</t>
        </is>
      </c>
      <c r="C5" s="13" t="inlineStr">
        <is>
          <t>Validation Rule</t>
        </is>
      </c>
      <c r="D5" s="13" t="inlineStr">
        <is>
          <t>Status</t>
        </is>
      </c>
    </row>
    <row r="6">
      <c r="A6" s="13" t="inlineStr">
        <is>
          <t>Device Type</t>
        </is>
      </c>
      <c r="B6" s="12" t="inlineStr">
        <is>
          <t>Yes</t>
        </is>
      </c>
      <c r="C6" s="12" t="inlineStr">
        <is>
          <t>Must be selected from dropdown</t>
        </is>
      </c>
      <c r="D6" s="12">
        <f>IF(COUNTBLANK('Device Inventory'!B5:B153)=149,"✔ All blank (OK)","⚠  Check required")</f>
        <v/>
      </c>
    </row>
    <row r="7">
      <c r="A7" s="13" t="inlineStr">
        <is>
          <t>Hostname</t>
        </is>
      </c>
      <c r="B7" s="12" t="inlineStr">
        <is>
          <t>Yes</t>
        </is>
      </c>
      <c r="C7" s="12" t="inlineStr">
        <is>
          <t>Must not be blank</t>
        </is>
      </c>
      <c r="D7" s="12">
        <f>IF(COUNTBLANK('Device Inventory'!D5:D153)=149,"✔ All blank (OK)","⚠  Check required")</f>
        <v/>
      </c>
    </row>
    <row r="8">
      <c r="A8" s="13" t="inlineStr">
        <is>
          <t>Primary IP</t>
        </is>
      </c>
      <c r="B8" s="12" t="inlineStr">
        <is>
          <t>Yes</t>
        </is>
      </c>
      <c r="C8" s="12" t="inlineStr">
        <is>
          <t>Must not be blank</t>
        </is>
      </c>
      <c r="D8" s="12">
        <f>IF(COUNTBLANK('Device Inventory'!E5:E153)=149,"✔ All blank (OK)","⚠  Check required")</f>
        <v/>
      </c>
    </row>
    <row r="9">
      <c r="A9" s="13" t="inlineStr">
        <is>
          <t>Location</t>
        </is>
      </c>
      <c r="B9" s="12" t="inlineStr">
        <is>
          <t>Yes</t>
        </is>
      </c>
      <c r="C9" s="12" t="inlineStr">
        <is>
          <t>Must not be blank</t>
        </is>
      </c>
      <c r="D9" s="12">
        <f>IF(COUNTBLANK('Device Inventory'!G5:G153)=149,"✔ All blank (OK)","⚠  Check required")</f>
        <v/>
      </c>
    </row>
    <row r="10">
      <c r="A10" s="13" t="inlineStr">
        <is>
          <t>Criticality</t>
        </is>
      </c>
      <c r="B10" s="12" t="inlineStr">
        <is>
          <t>Yes</t>
        </is>
      </c>
      <c r="C10" s="12" t="inlineStr">
        <is>
          <t>Must be selected from dropdown</t>
        </is>
      </c>
      <c r="D10" s="12">
        <f>IF(COUNTBLANK('Device Inventory'!J5:J153)=149,"✔ All blank (OK)","⚠  Check required")</f>
        <v/>
      </c>
    </row>
    <row r="11">
      <c r="A11" s="13" t="inlineStr">
        <is>
          <t>Status</t>
        </is>
      </c>
      <c r="B11" s="12" t="inlineStr">
        <is>
          <t>Yes</t>
        </is>
      </c>
      <c r="C11" s="12" t="inlineStr">
        <is>
          <t>Must be selected from dropdown</t>
        </is>
      </c>
      <c r="D11" s="12">
        <f>IF(COUNTBLANK('Device Inventory'!Q5:Q153)=149,"✔ All blank (OK)","⚠  Check required")</f>
        <v/>
      </c>
    </row>
    <row r="13">
      <c r="A13" s="17" t="inlineStr">
        <is>
          <t>Data Quality Checks</t>
        </is>
      </c>
      <c r="B13" s="6" t="n"/>
      <c r="C13" s="6" t="n"/>
    </row>
    <row r="14">
      <c r="A14" s="13" t="inlineStr">
        <is>
          <t>Check</t>
        </is>
      </c>
      <c r="B14" s="13" t="inlineStr">
        <is>
          <t>Description</t>
        </is>
      </c>
      <c r="C14" s="13" t="inlineStr">
        <is>
          <t>Status</t>
        </is>
      </c>
    </row>
    <row r="15">
      <c r="A15" s="13" t="inlineStr">
        <is>
          <t>No Duplicate IPs</t>
        </is>
      </c>
      <c r="B15" s="12" t="inlineStr">
        <is>
          <t>Check for duplicate primary IPs</t>
        </is>
      </c>
      <c r="C15" s="12" t="inlineStr">
        <is>
          <t>Manual verification required</t>
        </is>
      </c>
    </row>
    <row r="16">
      <c r="A16" s="13" t="inlineStr">
        <is>
          <t>No Duplicate Hostnames</t>
        </is>
      </c>
      <c r="B16" s="12" t="inlineStr">
        <is>
          <t>Check for duplicate hostnames</t>
        </is>
      </c>
      <c r="C16" s="12" t="inlineStr">
        <is>
          <t>Manual verification required</t>
        </is>
      </c>
    </row>
    <row r="17">
      <c r="A17" s="13" t="inlineStr">
        <is>
          <t>Valid IP Format</t>
        </is>
      </c>
      <c r="B17" s="12" t="inlineStr">
        <is>
          <t>Verify all IPs follow IPv4 format</t>
        </is>
      </c>
      <c r="C17" s="12" t="inlineStr">
        <is>
          <t>Manual verification required</t>
        </is>
      </c>
    </row>
    <row r="18">
      <c r="A18" s="13" t="inlineStr">
        <is>
          <t>Criticality Assigned</t>
        </is>
      </c>
      <c r="B18" s="12" t="inlineStr">
        <is>
          <t>All active devices have criticality</t>
        </is>
      </c>
      <c r="C18" s="12">
        <f>IF(COUNTIFS('Device Inventory'!Q5:Q153,"Active",'Device Inventory'!J5:J153,"")=0,"✔ OK","⚠  Missing criticality")</f>
        <v/>
      </c>
    </row>
    <row r="19">
      <c r="A19" s="13" t="inlineStr">
        <is>
          <t>Owner Assigned</t>
        </is>
      </c>
      <c r="B19" s="12" t="inlineStr">
        <is>
          <t>All critical/high devices have owner</t>
        </is>
      </c>
      <c r="C19" s="12" t="inlineStr">
        <is>
          <t>Manual verification required</t>
        </is>
      </c>
    </row>
    <row r="20">
      <c r="A20" s="13" t="inlineStr">
        <is>
          <t>Recent Discovery</t>
        </is>
      </c>
      <c r="B20" s="12" t="inlineStr">
        <is>
          <t>All devices discovered within last 90 days</t>
        </is>
      </c>
      <c r="C20" s="12" t="inlineStr">
        <is>
          <t>Manual verification required</t>
        </is>
      </c>
    </row>
    <row r="22">
      <c r="A22" s="17" t="inlineStr">
        <is>
          <t>Inventory Completeness Metrics</t>
        </is>
      </c>
      <c r="B22" s="6" t="n"/>
      <c r="C22" s="6" t="n"/>
      <c r="D22" s="6" t="n"/>
    </row>
    <row r="23">
      <c r="A23" s="13" t="inlineStr">
        <is>
          <t>Metric</t>
        </is>
      </c>
      <c r="B23" s="13" t="inlineStr">
        <is>
          <t>Target</t>
        </is>
      </c>
      <c r="C23" s="13" t="inlineStr">
        <is>
          <t>Actual</t>
        </is>
      </c>
      <c r="D23" s="13" t="inlineStr">
        <is>
          <t>Status</t>
        </is>
      </c>
    </row>
    <row r="24">
      <c r="A24" s="13" t="inlineStr">
        <is>
          <t>Device Type Filled</t>
        </is>
      </c>
      <c r="B24" s="12" t="inlineStr">
        <is>
          <t>100%</t>
        </is>
      </c>
      <c r="C24" s="27">
        <f>COUNTA('Device Inventory'!B5:B153)/COUNTA('Device Inventory'!B5:B153)</f>
        <v/>
      </c>
      <c r="D24" s="12">
        <f>IF(C24&gt;=1,"✔","⚠ ")</f>
        <v/>
      </c>
    </row>
    <row r="25">
      <c r="A25" s="13" t="inlineStr">
        <is>
          <t>Hostname Filled</t>
        </is>
      </c>
      <c r="B25" s="12" t="inlineStr">
        <is>
          <t>100%</t>
        </is>
      </c>
      <c r="C25" s="27">
        <f>COUNTA('Device Inventory'!D5:D153)/COUNTA('Device Inventory'!B5:B153)</f>
        <v/>
      </c>
      <c r="D25" s="12">
        <f>IF(C25&gt;=1,"✔","⚠ ")</f>
        <v/>
      </c>
    </row>
    <row r="26">
      <c r="A26" s="13" t="inlineStr">
        <is>
          <t>Criticality Assigned</t>
        </is>
      </c>
      <c r="B26" s="12" t="inlineStr">
        <is>
          <t>100%</t>
        </is>
      </c>
      <c r="C26" s="27">
        <f>COUNTA('Device Inventory'!J5:J153)/COUNTA('Device Inventory'!B5:B153)</f>
        <v/>
      </c>
      <c r="D26" s="12">
        <f>IF(C26&gt;=1,"✔","⚠ ")</f>
        <v/>
      </c>
    </row>
    <row r="27">
      <c r="A27" s="13" t="inlineStr">
        <is>
          <t>Owner Assigned</t>
        </is>
      </c>
      <c r="B27" s="12" t="inlineStr">
        <is>
          <t>≥80%</t>
        </is>
      </c>
      <c r="C27" s="27">
        <f>COUNTA('Device Inventory'!K5:K153)/COUNTA('Device Inventory'!B5:B153)</f>
        <v/>
      </c>
      <c r="D27" s="12">
        <f>IF(C27&gt;=0.8,"✔","⚠ ")</f>
        <v/>
      </c>
    </row>
    <row r="28">
      <c r="A28" s="13" t="inlineStr">
        <is>
          <t>Firmware Version</t>
        </is>
      </c>
      <c r="B28" s="12" t="inlineStr">
        <is>
          <t>≥70%</t>
        </is>
      </c>
      <c r="C28" s="27">
        <f>COUNTA('Device Inventory'!N5:N153)/COUNTA('Device Inventory'!B5:B153)</f>
        <v/>
      </c>
      <c r="D28" s="12">
        <f>IF(C28&gt;=0.7,"✔","⚠ ")</f>
        <v/>
      </c>
    </row>
  </sheetData>
  <mergeCells count="5">
    <mergeCell ref="A1:D1"/>
    <mergeCell ref="A13:C13"/>
    <mergeCell ref="A22:D22"/>
    <mergeCell ref="A4:D4"/>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8" t="inlineStr">
        <is>
          <t>EVIDENCE REGISTER</t>
        </is>
      </c>
    </row>
    <row r="2">
      <c r="A2" s="25" t="inlineStr">
        <is>
          <t>List all evidence files/documents referenced in this assessment (audit traceability).</t>
        </is>
      </c>
    </row>
    <row r="4">
      <c r="A4" s="29" t="inlineStr">
        <is>
          <t>Evidence ID</t>
        </is>
      </c>
      <c r="B4" s="29" t="inlineStr">
        <is>
          <t>Assessment Area</t>
        </is>
      </c>
      <c r="C4" s="29" t="inlineStr">
        <is>
          <t>Evidence Type</t>
        </is>
      </c>
      <c r="D4" s="29" t="inlineStr">
        <is>
          <t>Description</t>
        </is>
      </c>
      <c r="E4" s="29" t="inlineStr">
        <is>
          <t>Location/Path</t>
        </is>
      </c>
      <c r="F4" s="29" t="inlineStr">
        <is>
          <t>Date Collected</t>
        </is>
      </c>
      <c r="G4" s="29" t="inlineStr">
        <is>
          <t>Collected By</t>
        </is>
      </c>
      <c r="H4" s="29" t="inlineStr">
        <is>
          <t>Verification Status</t>
        </is>
      </c>
    </row>
    <row r="5">
      <c r="A5" s="30" t="inlineStr">
        <is>
          <t>EV-001</t>
        </is>
      </c>
      <c r="B5" s="31" t="inlineStr">
        <is>
          <t>Network Infrastructure Inventory</t>
        </is>
      </c>
      <c r="C5" s="31" t="inlineStr">
        <is>
          <t>Network scan</t>
        </is>
      </c>
      <c r="D5" s="31" t="inlineStr">
        <is>
          <t>Network device discovery scan results and inventory compliance assessment</t>
        </is>
      </c>
      <c r="E5" s="31" t="inlineStr">
        <is>
          <t>/evidence/A.8.20-22/</t>
        </is>
      </c>
      <c r="F5" s="31" t="inlineStr">
        <is>
          <t>15.01.2026</t>
        </is>
      </c>
      <c r="G5" s="31" t="inlineStr">
        <is>
          <t>Assessor Name</t>
        </is>
      </c>
      <c r="H5" s="31" t="inlineStr">
        <is>
          <t>✅ Verified</t>
        </is>
      </c>
    </row>
    <row r="6">
      <c r="A6" s="32" t="n"/>
      <c r="B6" s="33" t="n"/>
      <c r="C6" s="33" t="n"/>
      <c r="D6" s="33" t="n"/>
      <c r="E6" s="33" t="n"/>
      <c r="F6" s="33" t="n"/>
      <c r="G6" s="33" t="n"/>
      <c r="H6" s="33" t="n"/>
    </row>
    <row r="7">
      <c r="A7" s="32" t="n"/>
      <c r="B7" s="33" t="n"/>
      <c r="C7" s="33" t="n"/>
      <c r="D7" s="33" t="n"/>
      <c r="E7" s="33" t="n"/>
      <c r="F7" s="33" t="n"/>
      <c r="G7" s="33" t="n"/>
      <c r="H7" s="33" t="n"/>
    </row>
    <row r="8">
      <c r="A8" s="32" t="n"/>
      <c r="B8" s="33" t="n"/>
      <c r="C8" s="33" t="n"/>
      <c r="D8" s="33" t="n"/>
      <c r="E8" s="33" t="n"/>
      <c r="F8" s="33" t="n"/>
      <c r="G8" s="33" t="n"/>
      <c r="H8" s="33" t="n"/>
    </row>
    <row r="9">
      <c r="A9" s="32" t="n"/>
      <c r="B9" s="33" t="n"/>
      <c r="C9" s="33" t="n"/>
      <c r="D9" s="33" t="n"/>
      <c r="E9" s="33" t="n"/>
      <c r="F9" s="33" t="n"/>
      <c r="G9" s="33" t="n"/>
      <c r="H9" s="33" t="n"/>
    </row>
    <row r="10">
      <c r="A10" s="32" t="n"/>
      <c r="B10" s="33" t="n"/>
      <c r="C10" s="33" t="n"/>
      <c r="D10" s="33" t="n"/>
      <c r="E10" s="33" t="n"/>
      <c r="F10" s="33" t="n"/>
      <c r="G10" s="33" t="n"/>
      <c r="H10" s="33" t="n"/>
    </row>
    <row r="11">
      <c r="A11" s="32" t="n"/>
      <c r="B11" s="33" t="n"/>
      <c r="C11" s="33" t="n"/>
      <c r="D11" s="33" t="n"/>
      <c r="E11" s="33" t="n"/>
      <c r="F11" s="33" t="n"/>
      <c r="G11" s="33" t="n"/>
      <c r="H11" s="33" t="n"/>
    </row>
    <row r="12">
      <c r="A12" s="32" t="n"/>
      <c r="B12" s="33" t="n"/>
      <c r="C12" s="33" t="n"/>
      <c r="D12" s="33" t="n"/>
      <c r="E12" s="33" t="n"/>
      <c r="F12" s="33" t="n"/>
      <c r="G12" s="33" t="n"/>
      <c r="H12" s="33" t="n"/>
    </row>
    <row r="13">
      <c r="A13" s="32" t="n"/>
      <c r="B13" s="33" t="n"/>
      <c r="C13" s="33" t="n"/>
      <c r="D13" s="33" t="n"/>
      <c r="E13" s="33" t="n"/>
      <c r="F13" s="33" t="n"/>
      <c r="G13" s="33" t="n"/>
      <c r="H13" s="33" t="n"/>
    </row>
    <row r="14">
      <c r="A14" s="32" t="n"/>
      <c r="B14" s="33" t="n"/>
      <c r="C14" s="33" t="n"/>
      <c r="D14" s="33" t="n"/>
      <c r="E14" s="33" t="n"/>
      <c r="F14" s="33" t="n"/>
      <c r="G14" s="33" t="n"/>
      <c r="H14" s="33" t="n"/>
    </row>
    <row r="15">
      <c r="A15" s="32" t="n"/>
      <c r="B15" s="33" t="n"/>
      <c r="C15" s="33" t="n"/>
      <c r="D15" s="33" t="n"/>
      <c r="E15" s="33" t="n"/>
      <c r="F15" s="33" t="n"/>
      <c r="G15" s="33" t="n"/>
      <c r="H15" s="33" t="n"/>
    </row>
    <row r="16">
      <c r="A16" s="32" t="n"/>
      <c r="B16" s="33" t="n"/>
      <c r="C16" s="33" t="n"/>
      <c r="D16" s="33" t="n"/>
      <c r="E16" s="33" t="n"/>
      <c r="F16" s="33" t="n"/>
      <c r="G16" s="33" t="n"/>
      <c r="H16" s="33" t="n"/>
    </row>
    <row r="17">
      <c r="A17" s="32" t="n"/>
      <c r="B17" s="33" t="n"/>
      <c r="C17" s="33" t="n"/>
      <c r="D17" s="33" t="n"/>
      <c r="E17" s="33" t="n"/>
      <c r="F17" s="33" t="n"/>
      <c r="G17" s="33" t="n"/>
      <c r="H17" s="33" t="n"/>
    </row>
    <row r="18">
      <c r="A18" s="32" t="n"/>
      <c r="B18" s="33" t="n"/>
      <c r="C18" s="33" t="n"/>
      <c r="D18" s="33" t="n"/>
      <c r="E18" s="33" t="n"/>
      <c r="F18" s="33" t="n"/>
      <c r="G18" s="33" t="n"/>
      <c r="H18" s="33" t="n"/>
    </row>
    <row r="19">
      <c r="A19" s="32" t="n"/>
      <c r="B19" s="33" t="n"/>
      <c r="C19" s="33" t="n"/>
      <c r="D19" s="33" t="n"/>
      <c r="E19" s="33" t="n"/>
      <c r="F19" s="33" t="n"/>
      <c r="G19" s="33" t="n"/>
      <c r="H19" s="33" t="n"/>
    </row>
    <row r="20">
      <c r="A20" s="32" t="n"/>
      <c r="B20" s="33" t="n"/>
      <c r="C20" s="33" t="n"/>
      <c r="D20" s="33" t="n"/>
      <c r="E20" s="33" t="n"/>
      <c r="F20" s="33" t="n"/>
      <c r="G20" s="33" t="n"/>
      <c r="H20" s="33" t="n"/>
    </row>
    <row r="21">
      <c r="A21" s="32" t="n"/>
      <c r="B21" s="33" t="n"/>
      <c r="C21" s="33" t="n"/>
      <c r="D21" s="33" t="n"/>
      <c r="E21" s="33" t="n"/>
      <c r="F21" s="33" t="n"/>
      <c r="G21" s="33" t="n"/>
      <c r="H21" s="33" t="n"/>
    </row>
    <row r="22">
      <c r="A22" s="32" t="n"/>
      <c r="B22" s="33" t="n"/>
      <c r="C22" s="33" t="n"/>
      <c r="D22" s="33" t="n"/>
      <c r="E22" s="33" t="n"/>
      <c r="F22" s="33" t="n"/>
      <c r="G22" s="33" t="n"/>
      <c r="H22" s="33" t="n"/>
    </row>
    <row r="23">
      <c r="A23" s="32" t="n"/>
      <c r="B23" s="33" t="n"/>
      <c r="C23" s="33" t="n"/>
      <c r="D23" s="33" t="n"/>
      <c r="E23" s="33" t="n"/>
      <c r="F23" s="33" t="n"/>
      <c r="G23" s="33" t="n"/>
      <c r="H23" s="33" t="n"/>
    </row>
    <row r="24">
      <c r="A24" s="32" t="n"/>
      <c r="B24" s="33" t="n"/>
      <c r="C24" s="33" t="n"/>
      <c r="D24" s="33" t="n"/>
      <c r="E24" s="33" t="n"/>
      <c r="F24" s="33" t="n"/>
      <c r="G24" s="33" t="n"/>
      <c r="H24" s="33" t="n"/>
    </row>
    <row r="25">
      <c r="A25" s="32" t="n"/>
      <c r="B25" s="33" t="n"/>
      <c r="C25" s="33" t="n"/>
      <c r="D25" s="33" t="n"/>
      <c r="E25" s="33" t="n"/>
      <c r="F25" s="33" t="n"/>
      <c r="G25" s="33" t="n"/>
      <c r="H25" s="33" t="n"/>
    </row>
    <row r="26">
      <c r="A26" s="32" t="n"/>
      <c r="B26" s="33" t="n"/>
      <c r="C26" s="33" t="n"/>
      <c r="D26" s="33" t="n"/>
      <c r="E26" s="33" t="n"/>
      <c r="F26" s="33" t="n"/>
      <c r="G26" s="33" t="n"/>
      <c r="H26" s="33" t="n"/>
    </row>
    <row r="27">
      <c r="A27" s="32" t="n"/>
      <c r="B27" s="33" t="n"/>
      <c r="C27" s="33" t="n"/>
      <c r="D27" s="33" t="n"/>
      <c r="E27" s="33" t="n"/>
      <c r="F27" s="33" t="n"/>
      <c r="G27" s="33" t="n"/>
      <c r="H27" s="33" t="n"/>
    </row>
    <row r="28">
      <c r="A28" s="32" t="n"/>
      <c r="B28" s="33" t="n"/>
      <c r="C28" s="33" t="n"/>
      <c r="D28" s="33" t="n"/>
      <c r="E28" s="33" t="n"/>
      <c r="F28" s="33" t="n"/>
      <c r="G28" s="33" t="n"/>
      <c r="H28" s="33" t="n"/>
    </row>
    <row r="29">
      <c r="A29" s="32" t="n"/>
      <c r="B29" s="33" t="n"/>
      <c r="C29" s="33" t="n"/>
      <c r="D29" s="33" t="n"/>
      <c r="E29" s="33" t="n"/>
      <c r="F29" s="33" t="n"/>
      <c r="G29" s="33" t="n"/>
      <c r="H29" s="33" t="n"/>
    </row>
    <row r="30">
      <c r="A30" s="32" t="n"/>
      <c r="B30" s="33" t="n"/>
      <c r="C30" s="33" t="n"/>
      <c r="D30" s="33" t="n"/>
      <c r="E30" s="33" t="n"/>
      <c r="F30" s="33" t="n"/>
      <c r="G30" s="33" t="n"/>
      <c r="H30" s="33" t="n"/>
    </row>
    <row r="31">
      <c r="A31" s="32" t="n"/>
      <c r="B31" s="33" t="n"/>
      <c r="C31" s="33" t="n"/>
      <c r="D31" s="33" t="n"/>
      <c r="E31" s="33" t="n"/>
      <c r="F31" s="33" t="n"/>
      <c r="G31" s="33" t="n"/>
      <c r="H31" s="33" t="n"/>
    </row>
    <row r="32">
      <c r="A32" s="32" t="n"/>
      <c r="B32" s="33" t="n"/>
      <c r="C32" s="33" t="n"/>
      <c r="D32" s="33" t="n"/>
      <c r="E32" s="33" t="n"/>
      <c r="F32" s="33" t="n"/>
      <c r="G32" s="33" t="n"/>
      <c r="H32" s="33" t="n"/>
    </row>
    <row r="33">
      <c r="A33" s="32" t="n"/>
      <c r="B33" s="33" t="n"/>
      <c r="C33" s="33" t="n"/>
      <c r="D33" s="33" t="n"/>
      <c r="E33" s="33" t="n"/>
      <c r="F33" s="33" t="n"/>
      <c r="G33" s="33" t="n"/>
      <c r="H33" s="33" t="n"/>
    </row>
    <row r="34">
      <c r="A34" s="32" t="n"/>
      <c r="B34" s="33" t="n"/>
      <c r="C34" s="33" t="n"/>
      <c r="D34" s="33" t="n"/>
      <c r="E34" s="33" t="n"/>
      <c r="F34" s="33" t="n"/>
      <c r="G34" s="33" t="n"/>
      <c r="H34" s="33" t="n"/>
    </row>
    <row r="35">
      <c r="A35" s="32" t="n"/>
      <c r="B35" s="33" t="n"/>
      <c r="C35" s="33" t="n"/>
      <c r="D35" s="33" t="n"/>
      <c r="E35" s="33" t="n"/>
      <c r="F35" s="33" t="n"/>
      <c r="G35" s="33" t="n"/>
      <c r="H35" s="33" t="n"/>
    </row>
    <row r="36">
      <c r="A36" s="32" t="n"/>
      <c r="B36" s="33" t="n"/>
      <c r="C36" s="33" t="n"/>
      <c r="D36" s="33" t="n"/>
      <c r="E36" s="33" t="n"/>
      <c r="F36" s="33" t="n"/>
      <c r="G36" s="33" t="n"/>
      <c r="H36" s="33" t="n"/>
    </row>
    <row r="37">
      <c r="A37" s="32" t="n"/>
      <c r="B37" s="33" t="n"/>
      <c r="C37" s="33" t="n"/>
      <c r="D37" s="33" t="n"/>
      <c r="E37" s="33" t="n"/>
      <c r="F37" s="33" t="n"/>
      <c r="G37" s="33" t="n"/>
      <c r="H37" s="33" t="n"/>
    </row>
    <row r="38">
      <c r="A38" s="32" t="n"/>
      <c r="B38" s="33" t="n"/>
      <c r="C38" s="33" t="n"/>
      <c r="D38" s="33" t="n"/>
      <c r="E38" s="33" t="n"/>
      <c r="F38" s="33" t="n"/>
      <c r="G38" s="33" t="n"/>
      <c r="H38" s="33" t="n"/>
    </row>
    <row r="39">
      <c r="A39" s="32" t="n"/>
      <c r="B39" s="33" t="n"/>
      <c r="C39" s="33" t="n"/>
      <c r="D39" s="33" t="n"/>
      <c r="E39" s="33" t="n"/>
      <c r="F39" s="33" t="n"/>
      <c r="G39" s="33" t="n"/>
      <c r="H39" s="33" t="n"/>
    </row>
    <row r="40">
      <c r="A40" s="32" t="n"/>
      <c r="B40" s="33" t="n"/>
      <c r="C40" s="33" t="n"/>
      <c r="D40" s="33" t="n"/>
      <c r="E40" s="33" t="n"/>
      <c r="F40" s="33" t="n"/>
      <c r="G40" s="33" t="n"/>
      <c r="H40" s="33" t="n"/>
    </row>
    <row r="41">
      <c r="A41" s="32" t="n"/>
      <c r="B41" s="33" t="n"/>
      <c r="C41" s="33" t="n"/>
      <c r="D41" s="33" t="n"/>
      <c r="E41" s="33" t="n"/>
      <c r="F41" s="33" t="n"/>
      <c r="G41" s="33" t="n"/>
      <c r="H41" s="33" t="n"/>
    </row>
    <row r="42">
      <c r="A42" s="32" t="n"/>
      <c r="B42" s="33" t="n"/>
      <c r="C42" s="33" t="n"/>
      <c r="D42" s="33" t="n"/>
      <c r="E42" s="33" t="n"/>
      <c r="F42" s="33" t="n"/>
      <c r="G42" s="33" t="n"/>
      <c r="H42" s="33" t="n"/>
    </row>
    <row r="43">
      <c r="A43" s="32" t="n"/>
      <c r="B43" s="33" t="n"/>
      <c r="C43" s="33" t="n"/>
      <c r="D43" s="33" t="n"/>
      <c r="E43" s="33" t="n"/>
      <c r="F43" s="33" t="n"/>
      <c r="G43" s="33" t="n"/>
      <c r="H43" s="33" t="n"/>
    </row>
    <row r="44">
      <c r="A44" s="32" t="n"/>
      <c r="B44" s="33" t="n"/>
      <c r="C44" s="33" t="n"/>
      <c r="D44" s="33" t="n"/>
      <c r="E44" s="33" t="n"/>
      <c r="F44" s="33" t="n"/>
      <c r="G44" s="33" t="n"/>
      <c r="H44" s="33" t="n"/>
    </row>
    <row r="45">
      <c r="A45" s="32" t="n"/>
      <c r="B45" s="33" t="n"/>
      <c r="C45" s="33" t="n"/>
      <c r="D45" s="33" t="n"/>
      <c r="E45" s="33" t="n"/>
      <c r="F45" s="33" t="n"/>
      <c r="G45" s="33" t="n"/>
      <c r="H45" s="33" t="n"/>
    </row>
    <row r="46">
      <c r="A46" s="32" t="n"/>
      <c r="B46" s="33" t="n"/>
      <c r="C46" s="33" t="n"/>
      <c r="D46" s="33" t="n"/>
      <c r="E46" s="33" t="n"/>
      <c r="F46" s="33" t="n"/>
      <c r="G46" s="33" t="n"/>
      <c r="H46" s="33" t="n"/>
    </row>
    <row r="47">
      <c r="A47" s="32" t="n"/>
      <c r="B47" s="33" t="n"/>
      <c r="C47" s="33" t="n"/>
      <c r="D47" s="33" t="n"/>
      <c r="E47" s="33" t="n"/>
      <c r="F47" s="33" t="n"/>
      <c r="G47" s="33" t="n"/>
      <c r="H47" s="33" t="n"/>
    </row>
    <row r="48">
      <c r="A48" s="32" t="n"/>
      <c r="B48" s="33" t="n"/>
      <c r="C48" s="33" t="n"/>
      <c r="D48" s="33" t="n"/>
      <c r="E48" s="33" t="n"/>
      <c r="F48" s="33" t="n"/>
      <c r="G48" s="33" t="n"/>
      <c r="H48" s="33" t="n"/>
    </row>
    <row r="49">
      <c r="A49" s="32" t="n"/>
      <c r="B49" s="33" t="n"/>
      <c r="C49" s="33" t="n"/>
      <c r="D49" s="33" t="n"/>
      <c r="E49" s="33" t="n"/>
      <c r="F49" s="33" t="n"/>
      <c r="G49" s="33" t="n"/>
      <c r="H49" s="33" t="n"/>
    </row>
    <row r="50">
      <c r="A50" s="32" t="n"/>
      <c r="B50" s="33" t="n"/>
      <c r="C50" s="33" t="n"/>
      <c r="D50" s="33" t="n"/>
      <c r="E50" s="33" t="n"/>
      <c r="F50" s="33" t="n"/>
      <c r="G50" s="33" t="n"/>
      <c r="H50" s="33" t="n"/>
    </row>
    <row r="51">
      <c r="A51" s="32" t="n"/>
      <c r="B51" s="33" t="n"/>
      <c r="C51" s="33" t="n"/>
      <c r="D51" s="33" t="n"/>
      <c r="E51" s="33" t="n"/>
      <c r="F51" s="33" t="n"/>
      <c r="G51" s="33" t="n"/>
      <c r="H51" s="33" t="n"/>
    </row>
    <row r="52">
      <c r="A52" s="32" t="n"/>
      <c r="B52" s="33" t="n"/>
      <c r="C52" s="33" t="n"/>
      <c r="D52" s="33" t="n"/>
      <c r="E52" s="33" t="n"/>
      <c r="F52" s="33" t="n"/>
      <c r="G52" s="33" t="n"/>
      <c r="H52" s="33" t="n"/>
    </row>
    <row r="53">
      <c r="A53" s="32" t="n"/>
      <c r="B53" s="33" t="n"/>
      <c r="C53" s="33" t="n"/>
      <c r="D53" s="33" t="n"/>
      <c r="E53" s="33" t="n"/>
      <c r="F53" s="33" t="n"/>
      <c r="G53" s="33" t="n"/>
      <c r="H53" s="33" t="n"/>
    </row>
    <row r="54">
      <c r="A54" s="32" t="n"/>
      <c r="B54" s="33" t="n"/>
      <c r="C54" s="33" t="n"/>
      <c r="D54" s="33" t="n"/>
      <c r="E54" s="33" t="n"/>
      <c r="F54" s="33" t="n"/>
      <c r="G54" s="33" t="n"/>
      <c r="H54" s="33" t="n"/>
    </row>
    <row r="55">
      <c r="A55" s="32" t="n"/>
      <c r="B55" s="33" t="n"/>
      <c r="C55" s="33" t="n"/>
      <c r="D55" s="33" t="n"/>
      <c r="E55" s="33" t="n"/>
      <c r="F55" s="33" t="n"/>
      <c r="G55" s="33" t="n"/>
      <c r="H55" s="33" t="n"/>
    </row>
    <row r="56">
      <c r="A56" s="32" t="n"/>
      <c r="B56" s="33" t="n"/>
      <c r="C56" s="33" t="n"/>
      <c r="D56" s="33" t="n"/>
      <c r="E56" s="33" t="n"/>
      <c r="F56" s="33" t="n"/>
      <c r="G56" s="33" t="n"/>
      <c r="H56" s="33" t="n"/>
    </row>
    <row r="57">
      <c r="A57" s="32" t="n"/>
      <c r="B57" s="33" t="n"/>
      <c r="C57" s="33" t="n"/>
      <c r="D57" s="33" t="n"/>
      <c r="E57" s="33" t="n"/>
      <c r="F57" s="33" t="n"/>
      <c r="G57" s="33" t="n"/>
      <c r="H57" s="33" t="n"/>
    </row>
    <row r="58">
      <c r="A58" s="32" t="n"/>
      <c r="B58" s="33" t="n"/>
      <c r="C58" s="33" t="n"/>
      <c r="D58" s="33" t="n"/>
      <c r="E58" s="33" t="n"/>
      <c r="F58" s="33" t="n"/>
      <c r="G58" s="33" t="n"/>
      <c r="H58" s="33" t="n"/>
    </row>
    <row r="59">
      <c r="A59" s="32" t="n"/>
      <c r="B59" s="33" t="n"/>
      <c r="C59" s="33" t="n"/>
      <c r="D59" s="33" t="n"/>
      <c r="E59" s="33" t="n"/>
      <c r="F59" s="33" t="n"/>
      <c r="G59" s="33" t="n"/>
      <c r="H59" s="33" t="n"/>
    </row>
    <row r="60">
      <c r="A60" s="32" t="n"/>
      <c r="B60" s="33" t="n"/>
      <c r="C60" s="33" t="n"/>
      <c r="D60" s="33" t="n"/>
      <c r="E60" s="33" t="n"/>
      <c r="F60" s="33" t="n"/>
      <c r="G60" s="33" t="n"/>
      <c r="H60" s="33" t="n"/>
    </row>
    <row r="61">
      <c r="A61" s="32" t="n"/>
      <c r="B61" s="33" t="n"/>
      <c r="C61" s="33" t="n"/>
      <c r="D61" s="33" t="n"/>
      <c r="E61" s="33" t="n"/>
      <c r="F61" s="33" t="n"/>
      <c r="G61" s="33" t="n"/>
      <c r="H61" s="33" t="n"/>
    </row>
    <row r="62">
      <c r="A62" s="32" t="n"/>
      <c r="B62" s="33" t="n"/>
      <c r="C62" s="33" t="n"/>
      <c r="D62" s="33" t="n"/>
      <c r="E62" s="33" t="n"/>
      <c r="F62" s="33" t="n"/>
      <c r="G62" s="33" t="n"/>
      <c r="H62" s="33" t="n"/>
    </row>
    <row r="63">
      <c r="A63" s="32" t="n"/>
      <c r="B63" s="33" t="n"/>
      <c r="C63" s="33" t="n"/>
      <c r="D63" s="33" t="n"/>
      <c r="E63" s="33" t="n"/>
      <c r="F63" s="33" t="n"/>
      <c r="G63" s="33" t="n"/>
      <c r="H63" s="33" t="n"/>
    </row>
    <row r="64">
      <c r="A64" s="32" t="n"/>
      <c r="B64" s="33" t="n"/>
      <c r="C64" s="33" t="n"/>
      <c r="D64" s="33" t="n"/>
      <c r="E64" s="33" t="n"/>
      <c r="F64" s="33" t="n"/>
      <c r="G64" s="33" t="n"/>
      <c r="H64" s="33" t="n"/>
    </row>
    <row r="65">
      <c r="A65" s="32" t="n"/>
      <c r="B65" s="33" t="n"/>
      <c r="C65" s="33" t="n"/>
      <c r="D65" s="33" t="n"/>
      <c r="E65" s="33" t="n"/>
      <c r="F65" s="33" t="n"/>
      <c r="G65" s="33" t="n"/>
      <c r="H65" s="33" t="n"/>
    </row>
    <row r="66">
      <c r="A66" s="32" t="n"/>
      <c r="B66" s="33" t="n"/>
      <c r="C66" s="33" t="n"/>
      <c r="D66" s="33" t="n"/>
      <c r="E66" s="33" t="n"/>
      <c r="F66" s="33" t="n"/>
      <c r="G66" s="33" t="n"/>
      <c r="H66" s="33" t="n"/>
    </row>
    <row r="67">
      <c r="A67" s="32" t="n"/>
      <c r="B67" s="33" t="n"/>
      <c r="C67" s="33" t="n"/>
      <c r="D67" s="33" t="n"/>
      <c r="E67" s="33" t="n"/>
      <c r="F67" s="33" t="n"/>
      <c r="G67" s="33" t="n"/>
      <c r="H67" s="33" t="n"/>
    </row>
    <row r="68">
      <c r="A68" s="32" t="n"/>
      <c r="B68" s="33" t="n"/>
      <c r="C68" s="33" t="n"/>
      <c r="D68" s="33" t="n"/>
      <c r="E68" s="33" t="n"/>
      <c r="F68" s="33" t="n"/>
      <c r="G68" s="33" t="n"/>
      <c r="H68" s="33" t="n"/>
    </row>
    <row r="69">
      <c r="A69" s="32" t="n"/>
      <c r="B69" s="33" t="n"/>
      <c r="C69" s="33" t="n"/>
      <c r="D69" s="33" t="n"/>
      <c r="E69" s="33" t="n"/>
      <c r="F69" s="33" t="n"/>
      <c r="G69" s="33" t="n"/>
      <c r="H69" s="33" t="n"/>
    </row>
    <row r="70">
      <c r="A70" s="32" t="n"/>
      <c r="B70" s="33" t="n"/>
      <c r="C70" s="33" t="n"/>
      <c r="D70" s="33" t="n"/>
      <c r="E70" s="33" t="n"/>
      <c r="F70" s="33" t="n"/>
      <c r="G70" s="33" t="n"/>
      <c r="H70" s="33" t="n"/>
    </row>
    <row r="71">
      <c r="A71" s="32" t="n"/>
      <c r="B71" s="33" t="n"/>
      <c r="C71" s="33" t="n"/>
      <c r="D71" s="33" t="n"/>
      <c r="E71" s="33" t="n"/>
      <c r="F71" s="33" t="n"/>
      <c r="G71" s="33" t="n"/>
      <c r="H71" s="33" t="n"/>
    </row>
    <row r="72">
      <c r="A72" s="32" t="n"/>
      <c r="B72" s="33" t="n"/>
      <c r="C72" s="33" t="n"/>
      <c r="D72" s="33" t="n"/>
      <c r="E72" s="33" t="n"/>
      <c r="F72" s="33" t="n"/>
      <c r="G72" s="33" t="n"/>
      <c r="H72" s="33" t="n"/>
    </row>
    <row r="73">
      <c r="A73" s="32" t="n"/>
      <c r="B73" s="33" t="n"/>
      <c r="C73" s="33" t="n"/>
      <c r="D73" s="33" t="n"/>
      <c r="E73" s="33" t="n"/>
      <c r="F73" s="33" t="n"/>
      <c r="G73" s="33" t="n"/>
      <c r="H73" s="33" t="n"/>
    </row>
    <row r="74">
      <c r="A74" s="32" t="n"/>
      <c r="B74" s="33" t="n"/>
      <c r="C74" s="33" t="n"/>
      <c r="D74" s="33" t="n"/>
      <c r="E74" s="33" t="n"/>
      <c r="F74" s="33" t="n"/>
      <c r="G74" s="33" t="n"/>
      <c r="H74" s="33" t="n"/>
    </row>
    <row r="75">
      <c r="A75" s="32" t="n"/>
      <c r="B75" s="33" t="n"/>
      <c r="C75" s="33" t="n"/>
      <c r="D75" s="33" t="n"/>
      <c r="E75" s="33" t="n"/>
      <c r="F75" s="33" t="n"/>
      <c r="G75" s="33" t="n"/>
      <c r="H75" s="33" t="n"/>
    </row>
    <row r="76">
      <c r="A76" s="32" t="n"/>
      <c r="B76" s="33" t="n"/>
      <c r="C76" s="33" t="n"/>
      <c r="D76" s="33" t="n"/>
      <c r="E76" s="33" t="n"/>
      <c r="F76" s="33" t="n"/>
      <c r="G76" s="33" t="n"/>
      <c r="H76" s="33" t="n"/>
    </row>
    <row r="77">
      <c r="A77" s="32" t="n"/>
      <c r="B77" s="33" t="n"/>
      <c r="C77" s="33" t="n"/>
      <c r="D77" s="33" t="n"/>
      <c r="E77" s="33" t="n"/>
      <c r="F77" s="33" t="n"/>
      <c r="G77" s="33" t="n"/>
      <c r="H77" s="33" t="n"/>
    </row>
    <row r="78">
      <c r="A78" s="32" t="n"/>
      <c r="B78" s="33" t="n"/>
      <c r="C78" s="33" t="n"/>
      <c r="D78" s="33" t="n"/>
      <c r="E78" s="33" t="n"/>
      <c r="F78" s="33" t="n"/>
      <c r="G78" s="33" t="n"/>
      <c r="H78" s="33" t="n"/>
    </row>
    <row r="79">
      <c r="A79" s="32" t="n"/>
      <c r="B79" s="33" t="n"/>
      <c r="C79" s="33" t="n"/>
      <c r="D79" s="33" t="n"/>
      <c r="E79" s="33" t="n"/>
      <c r="F79" s="33" t="n"/>
      <c r="G79" s="33" t="n"/>
      <c r="H79" s="33" t="n"/>
    </row>
    <row r="80">
      <c r="A80" s="32" t="n"/>
      <c r="B80" s="33" t="n"/>
      <c r="C80" s="33" t="n"/>
      <c r="D80" s="33" t="n"/>
      <c r="E80" s="33" t="n"/>
      <c r="F80" s="33" t="n"/>
      <c r="G80" s="33" t="n"/>
      <c r="H80" s="33" t="n"/>
    </row>
    <row r="81">
      <c r="A81" s="32" t="n"/>
      <c r="B81" s="33" t="n"/>
      <c r="C81" s="33" t="n"/>
      <c r="D81" s="33" t="n"/>
      <c r="E81" s="33" t="n"/>
      <c r="F81" s="33" t="n"/>
      <c r="G81" s="33" t="n"/>
      <c r="H81" s="33" t="n"/>
    </row>
    <row r="82">
      <c r="A82" s="32" t="n"/>
      <c r="B82" s="33" t="n"/>
      <c r="C82" s="33" t="n"/>
      <c r="D82" s="33" t="n"/>
      <c r="E82" s="33" t="n"/>
      <c r="F82" s="33" t="n"/>
      <c r="G82" s="33" t="n"/>
      <c r="H82" s="33" t="n"/>
    </row>
    <row r="83">
      <c r="A83" s="32" t="n"/>
      <c r="B83" s="33" t="n"/>
      <c r="C83" s="33" t="n"/>
      <c r="D83" s="33" t="n"/>
      <c r="E83" s="33" t="n"/>
      <c r="F83" s="33" t="n"/>
      <c r="G83" s="33" t="n"/>
      <c r="H83" s="33" t="n"/>
    </row>
    <row r="84">
      <c r="A84" s="32" t="n"/>
      <c r="B84" s="33" t="n"/>
      <c r="C84" s="33" t="n"/>
      <c r="D84" s="33" t="n"/>
      <c r="E84" s="33" t="n"/>
      <c r="F84" s="33" t="n"/>
      <c r="G84" s="33" t="n"/>
      <c r="H84" s="33" t="n"/>
    </row>
    <row r="85">
      <c r="A85" s="32" t="n"/>
      <c r="B85" s="33" t="n"/>
      <c r="C85" s="33" t="n"/>
      <c r="D85" s="33" t="n"/>
      <c r="E85" s="33" t="n"/>
      <c r="F85" s="33" t="n"/>
      <c r="G85" s="33" t="n"/>
      <c r="H85" s="33" t="n"/>
    </row>
    <row r="86">
      <c r="A86" s="32" t="n"/>
      <c r="B86" s="33" t="n"/>
      <c r="C86" s="33" t="n"/>
      <c r="D86" s="33" t="n"/>
      <c r="E86" s="33" t="n"/>
      <c r="F86" s="33" t="n"/>
      <c r="G86" s="33" t="n"/>
      <c r="H86" s="33" t="n"/>
    </row>
    <row r="87">
      <c r="A87" s="32" t="n"/>
      <c r="B87" s="33" t="n"/>
      <c r="C87" s="33" t="n"/>
      <c r="D87" s="33" t="n"/>
      <c r="E87" s="33" t="n"/>
      <c r="F87" s="33" t="n"/>
      <c r="G87" s="33" t="n"/>
      <c r="H87" s="33" t="n"/>
    </row>
    <row r="88">
      <c r="A88" s="32" t="n"/>
      <c r="B88" s="33" t="n"/>
      <c r="C88" s="33" t="n"/>
      <c r="D88" s="33" t="n"/>
      <c r="E88" s="33" t="n"/>
      <c r="F88" s="33" t="n"/>
      <c r="G88" s="33" t="n"/>
      <c r="H88" s="33" t="n"/>
    </row>
    <row r="89">
      <c r="A89" s="32" t="n"/>
      <c r="B89" s="33" t="n"/>
      <c r="C89" s="33" t="n"/>
      <c r="D89" s="33" t="n"/>
      <c r="E89" s="33" t="n"/>
      <c r="F89" s="33" t="n"/>
      <c r="G89" s="33" t="n"/>
      <c r="H89" s="33" t="n"/>
    </row>
    <row r="90">
      <c r="A90" s="32" t="n"/>
      <c r="B90" s="33" t="n"/>
      <c r="C90" s="33" t="n"/>
      <c r="D90" s="33" t="n"/>
      <c r="E90" s="33" t="n"/>
      <c r="F90" s="33" t="n"/>
      <c r="G90" s="33" t="n"/>
      <c r="H90" s="33" t="n"/>
    </row>
    <row r="91">
      <c r="A91" s="32" t="n"/>
      <c r="B91" s="33" t="n"/>
      <c r="C91" s="33" t="n"/>
      <c r="D91" s="33" t="n"/>
      <c r="E91" s="33" t="n"/>
      <c r="F91" s="33" t="n"/>
      <c r="G91" s="33" t="n"/>
      <c r="H91" s="33" t="n"/>
    </row>
    <row r="92">
      <c r="A92" s="32" t="n"/>
      <c r="B92" s="33" t="n"/>
      <c r="C92" s="33" t="n"/>
      <c r="D92" s="33" t="n"/>
      <c r="E92" s="33" t="n"/>
      <c r="F92" s="33" t="n"/>
      <c r="G92" s="33" t="n"/>
      <c r="H92" s="33" t="n"/>
    </row>
    <row r="93">
      <c r="A93" s="32" t="n"/>
      <c r="B93" s="33" t="n"/>
      <c r="C93" s="33" t="n"/>
      <c r="D93" s="33" t="n"/>
      <c r="E93" s="33" t="n"/>
      <c r="F93" s="33" t="n"/>
      <c r="G93" s="33" t="n"/>
      <c r="H93" s="33" t="n"/>
    </row>
    <row r="94">
      <c r="A94" s="32" t="n"/>
      <c r="B94" s="33" t="n"/>
      <c r="C94" s="33" t="n"/>
      <c r="D94" s="33" t="n"/>
      <c r="E94" s="33" t="n"/>
      <c r="F94" s="33" t="n"/>
      <c r="G94" s="33" t="n"/>
      <c r="H94" s="33" t="n"/>
    </row>
    <row r="95">
      <c r="A95" s="32" t="n"/>
      <c r="B95" s="33" t="n"/>
      <c r="C95" s="33" t="n"/>
      <c r="D95" s="33" t="n"/>
      <c r="E95" s="33" t="n"/>
      <c r="F95" s="33" t="n"/>
      <c r="G95" s="33" t="n"/>
      <c r="H95" s="33" t="n"/>
    </row>
    <row r="96">
      <c r="A96" s="32" t="n"/>
      <c r="B96" s="33" t="n"/>
      <c r="C96" s="33" t="n"/>
      <c r="D96" s="33" t="n"/>
      <c r="E96" s="33" t="n"/>
      <c r="F96" s="33" t="n"/>
      <c r="G96" s="33" t="n"/>
      <c r="H96" s="33" t="n"/>
    </row>
    <row r="97">
      <c r="A97" s="32" t="n"/>
      <c r="B97" s="33" t="n"/>
      <c r="C97" s="33" t="n"/>
      <c r="D97" s="33" t="n"/>
      <c r="E97" s="33" t="n"/>
      <c r="F97" s="33" t="n"/>
      <c r="G97" s="33" t="n"/>
      <c r="H97" s="33" t="n"/>
    </row>
    <row r="98">
      <c r="A98" s="32" t="n"/>
      <c r="B98" s="33" t="n"/>
      <c r="C98" s="33" t="n"/>
      <c r="D98" s="33" t="n"/>
      <c r="E98" s="33" t="n"/>
      <c r="F98" s="33" t="n"/>
      <c r="G98" s="33" t="n"/>
      <c r="H98" s="33" t="n"/>
    </row>
    <row r="99">
      <c r="A99" s="32" t="n"/>
      <c r="B99" s="33" t="n"/>
      <c r="C99" s="33" t="n"/>
      <c r="D99" s="33" t="n"/>
      <c r="E99" s="33" t="n"/>
      <c r="F99" s="33" t="n"/>
      <c r="G99" s="33" t="n"/>
      <c r="H99" s="33" t="n"/>
    </row>
    <row r="100">
      <c r="A100" s="32" t="n"/>
      <c r="B100" s="33" t="n"/>
      <c r="C100" s="33" t="n"/>
      <c r="D100" s="33" t="n"/>
      <c r="E100" s="33" t="n"/>
      <c r="F100" s="33" t="n"/>
      <c r="G100" s="33" t="n"/>
      <c r="H100" s="33" t="n"/>
    </row>
    <row r="101">
      <c r="A101" s="32" t="n"/>
      <c r="B101" s="33" t="n"/>
      <c r="C101" s="33" t="n"/>
      <c r="D101" s="33" t="n"/>
      <c r="E101" s="33" t="n"/>
      <c r="F101" s="33" t="n"/>
      <c r="G101" s="33" t="n"/>
      <c r="H101" s="33" t="n"/>
    </row>
    <row r="102">
      <c r="A102" s="32" t="n"/>
      <c r="B102" s="33" t="n"/>
      <c r="C102" s="33" t="n"/>
      <c r="D102" s="33" t="n"/>
      <c r="E102" s="33" t="n"/>
      <c r="F102" s="33" t="n"/>
      <c r="G102" s="33" t="n"/>
      <c r="H102" s="33" t="n"/>
    </row>
    <row r="103">
      <c r="A103" s="32" t="n"/>
      <c r="B103" s="33" t="n"/>
      <c r="C103" s="33" t="n"/>
      <c r="D103" s="33" t="n"/>
      <c r="E103" s="33" t="n"/>
      <c r="F103" s="33" t="n"/>
      <c r="G103" s="33" t="n"/>
      <c r="H103" s="33" t="n"/>
    </row>
    <row r="104">
      <c r="A104" s="32" t="n"/>
      <c r="B104" s="33" t="n"/>
      <c r="C104" s="33" t="n"/>
      <c r="D104" s="33" t="n"/>
      <c r="E104" s="33" t="n"/>
      <c r="F104" s="33" t="n"/>
      <c r="G104" s="33" t="n"/>
      <c r="H104" s="33" t="n"/>
    </row>
    <row r="105">
      <c r="A105" s="32" t="n"/>
      <c r="B105" s="33" t="n"/>
      <c r="C105" s="33" t="n"/>
      <c r="D105" s="33" t="n"/>
      <c r="E105" s="33" t="n"/>
      <c r="F105" s="33" t="n"/>
      <c r="G105" s="33" t="n"/>
      <c r="H105" s="3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5" customWidth="1" min="3" max="3"/>
    <col width="5" customWidth="1" min="4" max="4"/>
    <col width="5" customWidth="1" min="5" max="5"/>
    <col width="5" customWidth="1" min="6" max="6"/>
    <col width="15" customWidth="1" min="7" max="7"/>
  </cols>
  <sheetData>
    <row r="1" ht="35" customHeight="1">
      <c r="A1" s="34" t="inlineStr">
        <is>
          <t>NETWORK INFRASTRUCTURE INVENTORY — SUMMARY DASHBOARD</t>
        </is>
      </c>
    </row>
    <row r="2">
      <c r="A2" s="35" t="inlineStr">
        <is>
          <t>ISO/IEC 27001:2022 — Controls A.8.20 · A.8.21 · A.8.22: Network Security, Security of Network Services and Segregation of Networks</t>
        </is>
      </c>
    </row>
    <row r="4">
      <c r="A4" s="36" t="inlineStr">
        <is>
          <t>TABLE 1: ASSESSMENT AREA COMPLIANCE</t>
        </is>
      </c>
    </row>
    <row r="5">
      <c r="A5" s="37" t="inlineStr">
        <is>
          <t>Assessment Area</t>
        </is>
      </c>
      <c r="B5" s="37" t="inlineStr">
        <is>
          <t>Total</t>
        </is>
      </c>
      <c r="C5" s="37" t="inlineStr">
        <is>
          <t>Yes</t>
        </is>
      </c>
      <c r="D5" s="37" t="inlineStr">
        <is>
          <t>Partial</t>
        </is>
      </c>
      <c r="E5" s="37" t="inlineStr">
        <is>
          <t>No</t>
        </is>
      </c>
      <c r="F5" s="37" t="inlineStr">
        <is>
          <t>N-A</t>
        </is>
      </c>
      <c r="G5" s="37" t="inlineStr">
        <is>
          <t>Compliance %</t>
        </is>
      </c>
    </row>
    <row r="6">
      <c r="A6" s="38" t="inlineStr">
        <is>
          <t>Device Inventory</t>
        </is>
      </c>
      <c r="B6" s="39">
        <f>COUNTA('Device Inventory'!B5:B153)</f>
        <v/>
      </c>
      <c r="C6" s="39">
        <f>COUNTIF('Device Inventory'!P5:P153,"Compliant")</f>
        <v/>
      </c>
      <c r="D6" s="39">
        <f>COUNTIF('Device Inventory'!P5:P153,"⚠️ Partial")</f>
        <v/>
      </c>
      <c r="E6" s="39">
        <f>COUNTIF('Device Inventory'!P5:P153,"Non-Compliant")</f>
        <v/>
      </c>
      <c r="F6" s="39">
        <f>B6-(C6+D6+E6)</f>
        <v/>
      </c>
      <c r="G6" s="39">
        <f>IF((B6-F6)=0,"0%",ROUND(C6/(B6-F6)*100,1)&amp;"%")</f>
        <v/>
      </c>
    </row>
    <row r="7">
      <c r="A7" s="38" t="inlineStr">
        <is>
          <t>Gap Analysis</t>
        </is>
      </c>
      <c r="B7" s="39">
        <f>COUNTA('Gap Analysis'!B5:B53)</f>
        <v/>
      </c>
      <c r="C7" s="39">
        <f>COUNTIF('Gap Analysis'!I5:I53,"Resolved")</f>
        <v/>
      </c>
      <c r="D7" s="39">
        <f>COUNTIF('Gap Analysis'!I5:I53,"In Progress")</f>
        <v/>
      </c>
      <c r="E7" s="39">
        <f>COUNTIF('Gap Analysis'!I5:I53,"⭕ Open")</f>
        <v/>
      </c>
      <c r="F7" s="39">
        <f>B7-(C7+D7+E7)</f>
        <v/>
      </c>
      <c r="G7" s="39">
        <f>IF((B7-F7)=0,"0%",ROUND(C7/(B7-F7)*100,1)&amp;"%")</f>
        <v/>
      </c>
    </row>
    <row r="8">
      <c r="A8" s="40" t="inlineStr">
        <is>
          <t>TOTAL</t>
        </is>
      </c>
      <c r="B8" s="37">
        <f>SUM(B6:B7)</f>
        <v/>
      </c>
      <c r="C8" s="37">
        <f>SUM(C6:C7)</f>
        <v/>
      </c>
      <c r="D8" s="37">
        <f>SUM(D6:D7)</f>
        <v/>
      </c>
      <c r="E8" s="37">
        <f>SUM(E6:E7)</f>
        <v/>
      </c>
      <c r="F8" s="37">
        <f>SUM(F6:F7)</f>
        <v/>
      </c>
      <c r="G8" s="37">
        <f>IF((B8-F8)=0,"0%",ROUND(C8/(B8-F8)*100,1)&amp;"%")</f>
        <v/>
      </c>
    </row>
    <row r="10">
      <c r="A10" s="36" t="inlineStr">
        <is>
          <t>TABLE 2: KEY METRICS</t>
        </is>
      </c>
    </row>
    <row r="11">
      <c r="A11" s="40" t="inlineStr">
        <is>
          <t>Metric</t>
        </is>
      </c>
      <c r="B11" s="37" t="inlineStr">
        <is>
          <t>Value</t>
        </is>
      </c>
      <c r="C11" s="40" t="inlineStr">
        <is>
          <t>What This Shows</t>
        </is>
      </c>
    </row>
    <row r="12">
      <c r="A12" s="38" t="inlineStr">
        <is>
          <t>Non-Compliant Devices</t>
        </is>
      </c>
      <c r="B12" s="39">
        <f>COUNTIF('Device Inventory'!P5:P153,"Non-Compliant")</f>
        <v/>
      </c>
      <c r="C12" s="41" t="inlineStr">
        <is>
          <t>Devices not meeting security requirements (immediate remediation required)</t>
        </is>
      </c>
      <c r="D12" s="6" t="n"/>
      <c r="E12" s="6" t="n"/>
      <c r="F12" s="6" t="n"/>
      <c r="G12" s="6" t="n"/>
    </row>
    <row r="13">
      <c r="A13" s="38" t="inlineStr">
        <is>
          <t>Partial Compliance Devices</t>
        </is>
      </c>
      <c r="B13" s="39">
        <f>COUNTIF('Device Inventory'!P5:P153,"⚠️ Partial")</f>
        <v/>
      </c>
      <c r="C13" s="41" t="inlineStr">
        <is>
          <t>Devices partially compliant (incomplete protection)</t>
        </is>
      </c>
      <c r="D13" s="6" t="n"/>
      <c r="E13" s="6" t="n"/>
      <c r="F13" s="6" t="n"/>
      <c r="G13" s="6" t="n"/>
    </row>
    <row r="14">
      <c r="A14" s="38" t="inlineStr">
        <is>
          <t>Undiscovered / Not Assessed</t>
        </is>
      </c>
      <c r="B14" s="39">
        <f>COUNTIF('Device Inventory'!P5:P153,"❓ Not Assessed")</f>
        <v/>
      </c>
      <c r="C14" s="41" t="inlineStr">
        <is>
          <t>Devices in scope but not yet assessed (unknown security posture)</t>
        </is>
      </c>
      <c r="D14" s="6" t="n"/>
      <c r="E14" s="6" t="n"/>
      <c r="F14" s="6" t="n"/>
      <c r="G14" s="6" t="n"/>
    </row>
    <row r="15">
      <c r="A15" s="38" t="inlineStr">
        <is>
          <t>Critical Devices Non-Compliant</t>
        </is>
      </c>
      <c r="B15" s="39">
        <f>COUNTIFS('Device Inventory'!J5:J153,"Critical",'Device Inventory'!P5:P153,"Non-Compliant")</f>
        <v/>
      </c>
      <c r="C15" s="41" t="inlineStr">
        <is>
          <t>Critical infrastructure with compliance gaps (highest risk)</t>
        </is>
      </c>
      <c r="D15" s="6" t="n"/>
      <c r="E15" s="6" t="n"/>
      <c r="F15" s="6" t="n"/>
      <c r="G15" s="6" t="n"/>
    </row>
    <row r="16">
      <c r="A16" s="38" t="inlineStr">
        <is>
          <t>Offline Devices</t>
        </is>
      </c>
      <c r="B16" s="39">
        <f>COUNTIF('Device Inventory'!Q5:Q153,"Offline")</f>
        <v/>
      </c>
      <c r="C16" s="41" t="inlineStr">
        <is>
          <t>Devices not reachable for assessment (potential inventory gaps)</t>
        </is>
      </c>
      <c r="D16" s="6" t="n"/>
      <c r="E16" s="6" t="n"/>
      <c r="F16" s="6" t="n"/>
      <c r="G16" s="6" t="n"/>
    </row>
    <row r="17">
      <c r="A17" s="38" t="inlineStr">
        <is>
          <t>Open Discovery Gaps</t>
        </is>
      </c>
      <c r="B17" s="39">
        <f>COUNTIF('Gap Analysis'!I5:I53,"⭕ Open")</f>
        <v/>
      </c>
      <c r="C17" s="41" t="inlineStr">
        <is>
          <t>Outstanding gaps in device discovery (incomplete network inventory)</t>
        </is>
      </c>
      <c r="D17" s="6" t="n"/>
      <c r="E17" s="6" t="n"/>
      <c r="F17" s="6" t="n"/>
      <c r="G17" s="6" t="n"/>
    </row>
    <row r="18">
      <c r="A18" s="38" t="inlineStr">
        <is>
          <t>Critical Severity Gaps</t>
        </is>
      </c>
      <c r="B18" s="39">
        <f>COUNTIF('Gap Analysis'!E5:E53,"Critical")</f>
        <v/>
      </c>
      <c r="C18" s="41" t="inlineStr">
        <is>
          <t>Critical-severity discovery gaps requiring immediate attention</t>
        </is>
      </c>
      <c r="D18" s="6" t="n"/>
      <c r="E18" s="6" t="n"/>
      <c r="F18" s="6" t="n"/>
      <c r="G18" s="6" t="n"/>
    </row>
    <row r="19">
      <c r="A19" s="38" t="inlineStr">
        <is>
          <t>Overall Compliance Rate</t>
        </is>
      </c>
      <c r="B19" s="39">
        <f>G8</f>
        <v/>
      </c>
      <c r="C19" s="41" t="inlineStr">
        <is>
          <t>Overall network inventory compliance percentage (TABLE 1 total)</t>
        </is>
      </c>
      <c r="D19" s="6" t="n"/>
      <c r="E19" s="6" t="n"/>
      <c r="F19" s="6" t="n"/>
      <c r="G19" s="6" t="n"/>
    </row>
    <row r="21">
      <c r="A21" s="42" t="inlineStr">
        <is>
          <t>TABLE 3: CRITICAL FINDINGS</t>
        </is>
      </c>
    </row>
    <row r="22">
      <c r="A22" s="40" t="inlineStr">
        <is>
          <t>Critical Finding Type</t>
        </is>
      </c>
      <c r="B22" s="37" t="inlineStr">
        <is>
          <t>Count</t>
        </is>
      </c>
      <c r="C22" s="40" t="inlineStr">
        <is>
          <t>Filter Instructions</t>
        </is>
      </c>
    </row>
    <row r="23">
      <c r="A23" s="43" t="inlineStr">
        <is>
          <t>Non-Compliant Devices</t>
        </is>
      </c>
      <c r="B23" s="44">
        <f>COUNTIF('Device Inventory'!P5:P153,"Non-Compliant")</f>
        <v/>
      </c>
      <c r="C23" s="45" t="inlineStr">
        <is>
          <t>Filter Device Inventory: Compliance Status = "Non-Compliant"</t>
        </is>
      </c>
      <c r="D23" s="26" t="n"/>
      <c r="E23" s="26" t="n"/>
      <c r="F23" s="26" t="n"/>
      <c r="G23" s="26" t="n"/>
    </row>
    <row r="24">
      <c r="A24" s="43" t="inlineStr">
        <is>
          <t>Critical Devices Non-Compliant</t>
        </is>
      </c>
      <c r="B24" s="44">
        <f>COUNTIFS('Device Inventory'!J5:J153,"Critical",'Device Inventory'!P5:P153,"Non-Compliant")</f>
        <v/>
      </c>
      <c r="C24" s="45" t="inlineStr">
        <is>
          <t>Filter Device Inventory: Criticality = "Critical" AND Compliance = "Non-Compliant"</t>
        </is>
      </c>
      <c r="D24" s="26" t="n"/>
      <c r="E24" s="26" t="n"/>
      <c r="F24" s="26" t="n"/>
      <c r="G24" s="26" t="n"/>
    </row>
    <row r="25">
      <c r="A25" s="43" t="inlineStr">
        <is>
          <t>Open Discovery Gaps</t>
        </is>
      </c>
      <c r="B25" s="44">
        <f>COUNTIF('Gap Analysis'!I5:I53,"⭕ Open")</f>
        <v/>
      </c>
      <c r="C25" s="45" t="inlineStr">
        <is>
          <t>Filter Gap Analysis: Status = "⭕ Open"</t>
        </is>
      </c>
      <c r="D25" s="26" t="n"/>
      <c r="E25" s="26" t="n"/>
      <c r="F25" s="26" t="n"/>
      <c r="G25" s="26" t="n"/>
    </row>
    <row r="26">
      <c r="A26" s="43" t="inlineStr">
        <is>
          <t>Critical Severity Gaps</t>
        </is>
      </c>
      <c r="B26" s="44">
        <f>COUNTIF('Gap Analysis'!E5:E53,"Critical")</f>
        <v/>
      </c>
      <c r="C26" s="45" t="inlineStr">
        <is>
          <t>Filter Gap Analysis: Severity = "Critical"</t>
        </is>
      </c>
      <c r="D26" s="26" t="n"/>
      <c r="E26" s="26" t="n"/>
      <c r="F26" s="26" t="n"/>
      <c r="G26" s="26" t="n"/>
    </row>
    <row r="27">
      <c r="A27" s="43" t="inlineStr">
        <is>
          <t>Devices Not Assessed</t>
        </is>
      </c>
      <c r="B27" s="44">
        <f>COUNTIF('Device Inventory'!P5:P153,"❓ Not Assessed")</f>
        <v/>
      </c>
      <c r="C27" s="45" t="inlineStr">
        <is>
          <t>Filter Device Inventory: Compliance Status = "❓ Not Assessed"</t>
        </is>
      </c>
      <c r="D27" s="26" t="n"/>
      <c r="E27" s="26" t="n"/>
      <c r="F27" s="26" t="n"/>
      <c r="G27" s="26" t="n"/>
    </row>
    <row r="28">
      <c r="A28" s="46" t="inlineStr">
        <is>
          <t>TOTAL</t>
        </is>
      </c>
      <c r="B28" s="47">
        <f>SUM(B23:B27)</f>
        <v/>
      </c>
      <c r="C28" s="48" t="inlineStr">
        <is>
          <t>Total critical findings requiring immediate investigation</t>
        </is>
      </c>
    </row>
  </sheetData>
  <mergeCells count="21">
    <mergeCell ref="C24:G24"/>
    <mergeCell ref="C15:G15"/>
    <mergeCell ref="A4:G4"/>
    <mergeCell ref="C14:G14"/>
    <mergeCell ref="A10:G10"/>
    <mergeCell ref="C26:G26"/>
    <mergeCell ref="C16:G16"/>
    <mergeCell ref="C25:G25"/>
    <mergeCell ref="C22:G22"/>
    <mergeCell ref="A1:G1"/>
    <mergeCell ref="C12:G12"/>
    <mergeCell ref="C11:G11"/>
    <mergeCell ref="C27:G27"/>
    <mergeCell ref="C23:G23"/>
    <mergeCell ref="C17:G17"/>
    <mergeCell ref="A21:G21"/>
    <mergeCell ref="C28:G28"/>
    <mergeCell ref="C19:G19"/>
    <mergeCell ref="A2:G2"/>
    <mergeCell ref="C13:G13"/>
    <mergeCell ref="C18:G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7" t="inlineStr">
        <is>
          <t>ASSESSMENT APPROVAL AND SIGN-OFF</t>
        </is>
      </c>
      <c r="B1" s="6" t="n"/>
      <c r="C1" s="6" t="n"/>
      <c r="D1" s="6" t="n"/>
      <c r="E1" s="6" t="n"/>
    </row>
    <row r="3">
      <c r="A3" s="49" t="inlineStr">
        <is>
          <t>ASSESSMENT SUMMARY</t>
        </is>
      </c>
      <c r="B3" s="6" t="n"/>
      <c r="C3" s="6" t="n"/>
      <c r="D3" s="6" t="n"/>
      <c r="E3" s="6" t="n"/>
    </row>
    <row r="4">
      <c r="A4" s="3" t="inlineStr">
        <is>
          <t>Document:</t>
        </is>
      </c>
      <c r="B4" s="6" t="inlineStr">
        <is>
          <t>ISMS-IMP-A.8.20-22.S1 - Network Infrastructure Inventory</t>
        </is>
      </c>
      <c r="C4" s="6" t="n"/>
      <c r="D4" s="6" t="n"/>
      <c r="E4" s="6" t="n"/>
    </row>
    <row r="5">
      <c r="A5" s="3" t="inlineStr">
        <is>
          <t>Assessment Period:</t>
        </is>
      </c>
      <c r="B5" s="26" t="inlineStr"/>
      <c r="C5" s="6" t="n"/>
      <c r="D5" s="6" t="n"/>
      <c r="E5" s="6" t="n"/>
    </row>
    <row r="6">
      <c r="A6" s="3" t="inlineStr">
        <is>
          <t>Overall Compliance:</t>
        </is>
      </c>
      <c r="B6" s="50">
        <f>IFERROR(AVERAGE('Summary Dashboard'!G6:G7),"")</f>
        <v/>
      </c>
      <c r="C6" s="6" t="n"/>
      <c r="D6" s="6" t="n"/>
      <c r="E6" s="6" t="n"/>
    </row>
    <row r="7">
      <c r="A7" s="3" t="inlineStr">
        <is>
          <t>Assessment Status:</t>
        </is>
      </c>
      <c r="B7" s="26" t="inlineStr"/>
      <c r="C7" s="6" t="n"/>
      <c r="D7" s="6" t="n"/>
      <c r="E7" s="6" t="n"/>
    </row>
    <row r="10">
      <c r="A10" s="49" t="inlineStr">
        <is>
          <t>COMPLETED BY (NETWORK ENGINEERING)</t>
        </is>
      </c>
      <c r="B10" s="6" t="n"/>
      <c r="C10" s="6" t="n"/>
      <c r="D10" s="6" t="n"/>
      <c r="E10" s="6" t="n"/>
    </row>
    <row r="11">
      <c r="A11" s="3" t="inlineStr">
        <is>
          <t>Name:</t>
        </is>
      </c>
      <c r="B11" s="26" t="n"/>
      <c r="C11" s="6" t="n"/>
      <c r="D11" s="6" t="n"/>
      <c r="E11" s="6" t="n"/>
    </row>
    <row r="12">
      <c r="A12" s="3" t="inlineStr">
        <is>
          <t>Title:</t>
        </is>
      </c>
      <c r="B12" s="26" t="n"/>
      <c r="C12" s="6" t="n"/>
      <c r="D12" s="6" t="n"/>
      <c r="E12" s="6" t="n"/>
    </row>
    <row r="13">
      <c r="A13" s="3" t="inlineStr">
        <is>
          <t>Date:</t>
        </is>
      </c>
      <c r="B13" s="26" t="n"/>
      <c r="C13" s="6" t="n"/>
      <c r="D13" s="6" t="n"/>
      <c r="E13" s="6" t="n"/>
    </row>
    <row r="14">
      <c r="A14" s="3" t="inlineStr">
        <is>
          <t>Signature:</t>
        </is>
      </c>
      <c r="B14" s="26" t="n"/>
      <c r="C14" s="6" t="n"/>
      <c r="D14" s="6" t="n"/>
      <c r="E14" s="6" t="n"/>
    </row>
    <row r="15">
      <c r="A15" s="3" t="inlineStr">
        <is>
          <t>Comments:</t>
        </is>
      </c>
      <c r="B15" s="26" t="n"/>
      <c r="C15" s="6" t="n"/>
      <c r="D15" s="6" t="n"/>
      <c r="E15" s="6" t="n"/>
    </row>
    <row r="17">
      <c r="A17" s="49" t="inlineStr">
        <is>
          <t>REVIEWED BY (ISO)</t>
        </is>
      </c>
      <c r="B17" s="6" t="n"/>
      <c r="C17" s="6" t="n"/>
      <c r="D17" s="6" t="n"/>
      <c r="E17" s="6" t="n"/>
    </row>
    <row r="18">
      <c r="A18" s="3" t="inlineStr">
        <is>
          <t>Name:</t>
        </is>
      </c>
      <c r="B18" s="26" t="n"/>
      <c r="C18" s="6" t="n"/>
      <c r="D18" s="6" t="n"/>
      <c r="E18" s="6" t="n"/>
    </row>
    <row r="19">
      <c r="A19" s="3" t="inlineStr">
        <is>
          <t>Title:</t>
        </is>
      </c>
      <c r="B19" s="26" t="n"/>
      <c r="C19" s="6" t="n"/>
      <c r="D19" s="6" t="n"/>
      <c r="E19" s="6" t="n"/>
    </row>
    <row r="20">
      <c r="A20" s="3" t="inlineStr">
        <is>
          <t>Date:</t>
        </is>
      </c>
      <c r="B20" s="26" t="n"/>
      <c r="C20" s="6" t="n"/>
      <c r="D20" s="6" t="n"/>
      <c r="E20" s="6" t="n"/>
    </row>
    <row r="21">
      <c r="A21" s="3" t="inlineStr">
        <is>
          <t>Signature:</t>
        </is>
      </c>
      <c r="B21" s="26" t="n"/>
      <c r="C21" s="6" t="n"/>
      <c r="D21" s="6" t="n"/>
      <c r="E21" s="6" t="n"/>
    </row>
    <row r="22">
      <c r="A22" s="3" t="inlineStr">
        <is>
          <t>Comments:</t>
        </is>
      </c>
      <c r="B22" s="26" t="n"/>
      <c r="C22" s="6" t="n"/>
      <c r="D22" s="6" t="n"/>
      <c r="E22" s="6" t="n"/>
    </row>
    <row r="24">
      <c r="A24" s="51" t="inlineStr">
        <is>
          <t>APPROVED BY (CISO)</t>
        </is>
      </c>
      <c r="B24" s="6" t="n"/>
      <c r="C24" s="6" t="n"/>
      <c r="D24" s="6" t="n"/>
      <c r="E24" s="6" t="n"/>
    </row>
    <row r="25">
      <c r="A25" s="3" t="inlineStr">
        <is>
          <t>Name:</t>
        </is>
      </c>
      <c r="B25" s="26" t="n"/>
      <c r="C25" s="6" t="n"/>
      <c r="D25" s="6" t="n"/>
      <c r="E25" s="6" t="n"/>
    </row>
    <row r="26">
      <c r="A26" s="3" t="inlineStr">
        <is>
          <t>Title:</t>
        </is>
      </c>
      <c r="B26" s="26" t="n"/>
      <c r="C26" s="6" t="n"/>
      <c r="D26" s="6" t="n"/>
      <c r="E26" s="6" t="n"/>
    </row>
    <row r="27">
      <c r="A27" s="3" t="inlineStr">
        <is>
          <t>Date:</t>
        </is>
      </c>
      <c r="B27" s="26" t="n"/>
      <c r="C27" s="6" t="n"/>
      <c r="D27" s="6" t="n"/>
      <c r="E27" s="6" t="n"/>
    </row>
    <row r="28">
      <c r="A28" s="3" t="inlineStr">
        <is>
          <t>Signature:</t>
        </is>
      </c>
      <c r="B28" s="26" t="n"/>
      <c r="C28" s="6" t="n"/>
      <c r="D28" s="6" t="n"/>
      <c r="E28" s="6" t="n"/>
    </row>
    <row r="29">
      <c r="A29" s="3" t="inlineStr">
        <is>
          <t>Comments:</t>
        </is>
      </c>
      <c r="B29" s="26" t="n"/>
      <c r="C29" s="6" t="n"/>
      <c r="D29" s="6" t="n"/>
      <c r="E29" s="6" t="n"/>
    </row>
    <row r="31">
      <c r="A31" s="3" t="inlineStr">
        <is>
          <t>FINAL DECISION:</t>
        </is>
      </c>
      <c r="B31" s="26" t="n"/>
      <c r="C31" s="6" t="n"/>
      <c r="D31" s="6" t="n"/>
      <c r="E31" s="6" t="n"/>
    </row>
    <row r="34">
      <c r="A34" s="49" t="inlineStr">
        <is>
          <t>NEXT REVIEW DETAILS</t>
        </is>
      </c>
      <c r="B34" s="6" t="n"/>
      <c r="C34" s="6" t="n"/>
      <c r="D34" s="6" t="n"/>
      <c r="E34" s="6" t="n"/>
    </row>
    <row r="35">
      <c r="A35" s="3" t="inlineStr">
        <is>
          <t>Next Review Date:</t>
        </is>
      </c>
      <c r="B35" s="26" t="n"/>
      <c r="C35" s="6" t="n"/>
      <c r="D35" s="6" t="n"/>
      <c r="E35" s="6" t="n"/>
    </row>
    <row r="36">
      <c r="A36" s="3" t="inlineStr">
        <is>
          <t>Review Responsible:</t>
        </is>
      </c>
      <c r="B36" s="26" t="n"/>
      <c r="C36" s="6" t="n"/>
      <c r="D36" s="6" t="n"/>
      <c r="E36" s="6" t="n"/>
    </row>
    <row r="37">
      <c r="A37" s="3" t="inlineStr">
        <is>
          <t>Special Considerations:</t>
        </is>
      </c>
      <c r="B37" s="26" t="n"/>
      <c r="C37" s="6" t="n"/>
      <c r="D37" s="6" t="n"/>
      <c r="E37" s="6"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ISMS-IMP-A.8.20-22.S1 — Network Infrastructure Inventory</dc:title>
  <dc:description xmlns:dc="http://purl.org/dc/elements/1.1/">ISMS Implementation Workbook — ISMS-IMP-A.8.20-22.S1</dc:description>
  <dc:subject xmlns:dc="http://purl.org/dc/elements/1.1/">ISO/IEC 27001:2022 — Control A.8.20-22: Network Security</dc:subject>
  <dcterms:created xmlns:dcterms="http://purl.org/dc/terms/" xmlns:xsi="http://www.w3.org/2001/XMLSchema-instance" xsi:type="dcterms:W3CDTF">2026-03-10T18:49:29Z</dcterms:created>
  <dcterms:modified xmlns:dcterms="http://purl.org/dc/terms/" xmlns:xsi="http://www.w3.org/2001/XMLSchema-instance" xsi:type="dcterms:W3CDTF">2026-03-10T18:49:29Z</dcterms:modified>
</cp:coreProperties>
</file>