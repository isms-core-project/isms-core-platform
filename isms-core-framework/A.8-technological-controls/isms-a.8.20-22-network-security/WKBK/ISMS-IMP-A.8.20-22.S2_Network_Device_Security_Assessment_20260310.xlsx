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vice Hardening Assessment" sheetId="2" state="visible" r:id="rId2"/>
    <sheet xmlns:r="http://schemas.openxmlformats.org/officeDocument/2006/relationships" name="Hardening Baseline Reference" sheetId="3" state="visible" r:id="rId3"/>
    <sheet xmlns:r="http://schemas.openxmlformats.org/officeDocument/2006/relationships" name="Gap Analysis" sheetId="4" state="visible" r:id="rId4"/>
    <sheet xmlns:r="http://schemas.openxmlformats.org/officeDocument/2006/relationships" name="Device Type Compliance" sheetId="5" state="visible" r:id="rId5"/>
    <sheet xmlns:r="http://schemas.openxmlformats.org/officeDocument/2006/relationships" name="Top Gaps Analysis" sheetId="6" state="visible" r:id="rId6"/>
    <sheet xmlns:r="http://schemas.openxmlformats.org/officeDocument/2006/relationships" name="Remediation Roadmap"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b val="1"/>
      <color rgb="00FFFFFF"/>
      <sz val="10"/>
    </font>
    <font>
      <name val="Calibri"/>
      <sz val="10"/>
    </font>
    <font>
      <name val="Calibri"/>
      <i val="1"/>
    </font>
    <font>
      <name val="Calibri"/>
      <b val="1"/>
      <color rgb="00FFFFFF"/>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6" fillId="9" borderId="1" pivotButton="0" quotePrefix="0" xfId="0"/>
    <xf numFmtId="164" fontId="0" fillId="9" borderId="1" pivotButton="0" quotePrefix="0" xfId="0"/>
    <xf numFmtId="0" fontId="0" fillId="9" borderId="1" pivotButton="0" quotePrefix="0" xfId="0"/>
    <xf numFmtId="0" fontId="0" fillId="11" borderId="1" applyAlignment="1" pivotButton="0" quotePrefix="0" xfId="0">
      <alignment horizontal="center" vertical="center"/>
    </xf>
    <xf numFmtId="164" fontId="0" fillId="0" borderId="0" pivotButton="0" quotePrefix="0" xfId="0"/>
    <xf numFmtId="0" fontId="1" fillId="8" borderId="1" applyAlignment="1" pivotButton="0" quotePrefix="0" xfId="0">
      <alignment horizontal="center" vertical="center" wrapText="1"/>
    </xf>
    <xf numFmtId="0" fontId="0" fillId="11" borderId="1" pivotButton="0" quotePrefix="0" xfId="0"/>
    <xf numFmtId="0" fontId="7" fillId="12" borderId="1" pivotButton="0" quotePrefix="0" xfId="0"/>
    <xf numFmtId="0" fontId="8" fillId="13" borderId="1" pivotButton="0" quotePrefix="0" xfId="0"/>
    <xf numFmtId="0" fontId="8" fillId="11" borderId="1" pivotButton="0" quotePrefix="0" xfId="0"/>
    <xf numFmtId="0" fontId="8" fillId="14" borderId="1" pivotButton="0" quotePrefix="0" xfId="0"/>
    <xf numFmtId="164" fontId="0" fillId="9" borderId="1" applyAlignment="1" pivotButton="0" quotePrefix="0" xfId="0">
      <alignment horizontal="left" vertical="top" wrapText="1"/>
    </xf>
    <xf numFmtId="165" fontId="0" fillId="9" borderId="1" applyAlignment="1" pivotButton="0" quotePrefix="0" xfId="0">
      <alignment horizontal="left" vertical="top" wrapText="1"/>
    </xf>
    <xf numFmtId="0" fontId="1" fillId="8" borderId="0" applyAlignment="1" pivotButton="0" quotePrefix="0" xfId="0">
      <alignment horizontal="center" vertical="center" wrapText="1"/>
    </xf>
    <xf numFmtId="0" fontId="9" fillId="0" borderId="0" applyAlignment="1" pivotButton="0" quotePrefix="0" xfId="0">
      <alignment horizontal="left" vertical="center"/>
    </xf>
    <xf numFmtId="0" fontId="10"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1" fillId="8" borderId="0" applyAlignment="1" pivotButton="0" quotePrefix="0" xfId="0">
      <alignment horizontal="center" vertical="center" wrapText="1"/>
    </xf>
    <xf numFmtId="0" fontId="12" fillId="0" borderId="0" applyAlignment="1" pivotButton="0" quotePrefix="0" xfId="0">
      <alignment horizontal="left" vertical="center"/>
    </xf>
    <xf numFmtId="0" fontId="13" fillId="8" borderId="0" pivotButton="0" quotePrefix="0" xfId="0"/>
    <xf numFmtId="0" fontId="14" fillId="10"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4" fillId="10" borderId="1" applyAlignment="1" pivotButton="0" quotePrefix="0" xfId="0">
      <alignment horizontal="left" vertical="center"/>
    </xf>
    <xf numFmtId="0" fontId="16" fillId="0" borderId="1" applyAlignment="1" pivotButton="0" quotePrefix="0" xfId="0">
      <alignment horizontal="left" vertical="top" wrapText="1"/>
    </xf>
    <xf numFmtId="0" fontId="13" fillId="15" borderId="0" pivotButton="0" quotePrefix="0" xfId="0"/>
    <xf numFmtId="0" fontId="15" fillId="11" borderId="1" applyAlignment="1" pivotButton="0" quotePrefix="0" xfId="0">
      <alignment horizontal="left" vertical="center"/>
    </xf>
    <xf numFmtId="0" fontId="15" fillId="11" borderId="1" applyAlignment="1" pivotButton="0" quotePrefix="0" xfId="0">
      <alignment horizontal="center" vertical="center"/>
    </xf>
    <xf numFmtId="0" fontId="16" fillId="11" borderId="1" applyAlignment="1" pivotButton="0" quotePrefix="0" xfId="0">
      <alignment horizontal="left" vertical="top" wrapText="1"/>
    </xf>
    <xf numFmtId="0" fontId="14" fillId="0" borderId="1" applyAlignment="1" pivotButton="0" quotePrefix="0" xfId="0">
      <alignment horizontal="left" vertical="center"/>
    </xf>
    <xf numFmtId="0" fontId="14" fillId="13" borderId="1" applyAlignment="1" pivotButton="0" quotePrefix="0" xfId="0">
      <alignment horizontal="center" vertical="center"/>
    </xf>
    <xf numFmtId="0" fontId="16" fillId="0" borderId="0" applyAlignment="1" pivotButton="0" quotePrefix="0" xfId="0">
      <alignment horizontal="left" vertical="center"/>
    </xf>
    <xf numFmtId="0" fontId="17" fillId="16"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8">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color rgb="007F7F7F"/>
        <sz val="10"/>
      </font>
      <fill>
        <patternFill patternType="solid">
          <fgColor rgb="00D9D9D9"/>
          <bgColor rgb="00D9D9D9"/>
        </patternFill>
      </fill>
    </dxf>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ont>
        <name val="Calibri"/>
        <b val="1"/>
        <color rgb="00FFFFFF"/>
        <sz val="10"/>
      </font>
      <fill>
        <patternFill patternType="solid">
          <fgColor rgb="00FFC7CE"/>
          <bgColor rgb="00FFC7CE"/>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Average Compliance Score by Device Type</a:t>
            </a:r>
          </a:p>
        </rich>
      </tx>
    </title>
    <plotArea>
      <barChart>
        <barDir val="col"/>
        <grouping val="clustered"/>
        <ser>
          <idx val="0"/>
          <order val="0"/>
          <spPr>
            <a:ln xmlns:a="http://schemas.openxmlformats.org/drawingml/2006/main">
              <a:prstDash val="solid"/>
            </a:ln>
          </spPr>
          <cat>
            <numRef>
              <f>'Device Type Compliance'!$A$6:$A$14</f>
            </numRef>
          </cat>
          <val>
            <numRef>
              <f>'Device Type Compliance'!$C$6:$C$14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Device Type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Compliance Score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Most Common Hardening Failures</a:t>
            </a:r>
          </a:p>
        </rich>
      </tx>
    </title>
    <plotArea>
      <barChart>
        <barDir val="col"/>
        <grouping val="clustered"/>
        <ser>
          <idx val="0"/>
          <order val="0"/>
          <spPr>
            <a:ln xmlns:a="http://schemas.openxmlformats.org/drawingml/2006/main">
              <a:prstDash val="solid"/>
            </a:ln>
          </spPr>
          <cat>
            <numRef>
              <f>'Top Gaps Analysis'!$A$6:$A$20</f>
            </numRef>
          </cat>
          <val>
            <numRef>
              <f>'Top Gaps Analysis'!$B$6:$B$20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Requirement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Failure 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16</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22</row>
      <rowOff>0</rowOff>
    </from>
    <ext cx="720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ISMS-IMP-A.8.20-22.S2  -  Network Device Security Assessment
ISO/IEC 27001:2022 - Control A.8.20-22: Network Security</t>
        </is>
      </c>
    </row>
    <row r="3">
      <c r="A3" s="2" t="inlineStr">
        <is>
          <t>Document Information</t>
        </is>
      </c>
    </row>
    <row r="4">
      <c r="A4" s="3" t="inlineStr">
        <is>
          <t>Document ID</t>
        </is>
      </c>
      <c r="B4" t="inlineStr">
        <is>
          <t>ISMS-IMP-A.8.20-22.S2</t>
        </is>
      </c>
    </row>
    <row r="5">
      <c r="A5" s="3" t="inlineStr">
        <is>
          <t>Workbook Title</t>
        </is>
      </c>
      <c r="B5" t="inlineStr">
        <is>
          <t>Network Device Security Assessment</t>
        </is>
      </c>
    </row>
    <row r="6">
      <c r="A6" s="3" t="inlineStr">
        <is>
          <t>Control Reference</t>
        </is>
      </c>
      <c r="B6" t="inlineStr">
        <is>
          <t>ISO/IEC 27001:2022 - Control A.8.20-22: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Device Hardening Assessment for each network device type in scope.</t>
        </is>
      </c>
    </row>
    <row r="14">
      <c r="A14" t="inlineStr">
        <is>
          <t>2. Reference the Hardening Baseline Reference for vendor-specific standards (CIS, STIG, NIST).</t>
        </is>
      </c>
    </row>
    <row r="15">
      <c r="A15" t="inlineStr">
        <is>
          <t>3. Use dropdown menus for standardised compliance and risk assessments.</t>
        </is>
      </c>
    </row>
    <row r="16">
      <c r="A16" t="inlineStr">
        <is>
          <t>4. Document gaps in the Gap Analysis sheet with severity and remediation priority.</t>
        </is>
      </c>
    </row>
    <row r="17">
      <c r="A17" t="inlineStr">
        <is>
          <t>5. Review the Compliance Scoring sheet for automated compliance percentage calculations.</t>
        </is>
      </c>
    </row>
    <row r="18">
      <c r="A18" t="inlineStr">
        <is>
          <t>6. Assess device type compliance trends in the Device Type Compliance sheet.</t>
        </is>
      </c>
    </row>
    <row r="19">
      <c r="A19" t="inlineStr">
        <is>
          <t>7. Prioritise top gaps in the Top Gaps Analysis sheet for remediation planning.</t>
        </is>
      </c>
    </row>
    <row r="20">
      <c r="A20" t="inlineStr">
        <is>
          <t>8. Create remediation roadmaps with timelines in the Remediation Roadmap sheet.</t>
        </is>
      </c>
    </row>
    <row r="21">
      <c r="A21" t="inlineStr">
        <is>
          <t>9. Maintain the Evidence Register with all supporting documentation for audit traceability.</t>
        </is>
      </c>
    </row>
    <row r="22">
      <c r="A22" t="inlineStr">
        <is>
          <t>10. Obtain final approval and sign-off from IT Security, ISO, and CISO.</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5" customWidth="1" min="21" max="21"/>
    <col width="10" customWidth="1" min="22" max="22"/>
    <col width="15" customWidth="1" min="23" max="23"/>
    <col width="20" customWidth="1" min="24" max="24"/>
    <col width="40" customWidth="1" min="25" max="25"/>
  </cols>
  <sheetData>
    <row r="1" ht="35" customHeight="1">
      <c r="A1" s="11" t="inlineStr">
        <is>
          <t>NETWORK DEVICE HARDENING ASSESSMENT - GENERATED 10.03.2026</t>
        </is>
      </c>
    </row>
    <row r="2">
      <c r="A2" s="12" t="inlineStr">
        <is>
          <t>Assess each device against 15 hardening requirements. Yellow cells are assessment fields (Yes/No/N/A). Compliance score auto-calculates.</t>
        </is>
      </c>
    </row>
    <row r="3">
      <c r="A3" s="13" t="inlineStr">
        <is>
          <t>Device ID</t>
        </is>
      </c>
      <c r="B3" s="13" t="inlineStr">
        <is>
          <t>Device Type</t>
        </is>
      </c>
      <c r="C3" s="13" t="inlineStr">
        <is>
          <t>Hostname</t>
        </is>
      </c>
      <c r="D3" s="13" t="inlineStr">
        <is>
          <t>Primary IP</t>
        </is>
      </c>
      <c r="E3" s="13" t="inlineStr">
        <is>
          <t>Criticality</t>
        </is>
      </c>
      <c r="F3" s="13" t="inlineStr">
        <is>
          <t>Default Credentials Disabled</t>
        </is>
      </c>
      <c r="G3" s="13" t="inlineStr">
        <is>
          <t>Strong Password Policy</t>
        </is>
      </c>
      <c r="H3" s="13" t="inlineStr">
        <is>
          <t>Multi-Factor Authentication (MFA)</t>
        </is>
      </c>
      <c r="I3" s="13" t="inlineStr">
        <is>
          <t>Unnecessary Services Disabled</t>
        </is>
      </c>
      <c r="J3" s="13" t="inlineStr">
        <is>
          <t>Secure Management (SSH/HTTPS Only)</t>
        </is>
      </c>
      <c r="K3" s="13" t="inlineStr">
        <is>
          <t>Logging Enabled</t>
        </is>
      </c>
      <c r="L3" s="13" t="inlineStr">
        <is>
          <t>NTP Configured</t>
        </is>
      </c>
      <c r="M3" s="13" t="inlineStr">
        <is>
          <t>SNMPv3 Only (v1/v2c Disabled)</t>
        </is>
      </c>
      <c r="N3" s="13" t="inlineStr">
        <is>
          <t>Session Timeouts Configured</t>
        </is>
      </c>
      <c r="O3" s="13" t="inlineStr">
        <is>
          <t>Banner Messages Configured</t>
        </is>
      </c>
      <c r="P3" s="13" t="inlineStr">
        <is>
          <t>Configuration Backups</t>
        </is>
      </c>
      <c r="Q3" s="13" t="inlineStr">
        <is>
          <t>Firmware/Software Up-to-Date</t>
        </is>
      </c>
      <c r="R3" s="13" t="inlineStr">
        <is>
          <t>Access Control Lists (ACLs)</t>
        </is>
      </c>
      <c r="S3" s="13" t="inlineStr">
        <is>
          <t>Encrypted Management Traffic</t>
        </is>
      </c>
      <c r="T3" s="13" t="inlineStr">
        <is>
          <t>Least Privilege Access</t>
        </is>
      </c>
      <c r="U3" s="13" t="inlineStr">
        <is>
          <t>Compliance Score (%)</t>
        </is>
      </c>
      <c r="V3" s="13" t="inlineStr">
        <is>
          <t>Gap Count</t>
        </is>
      </c>
      <c r="W3" s="13" t="inlineStr">
        <is>
          <t>Assessment Date</t>
        </is>
      </c>
      <c r="X3" s="13" t="inlineStr">
        <is>
          <t>Assessor</t>
        </is>
      </c>
      <c r="Y3" s="13" t="inlineStr">
        <is>
          <t>Notes</t>
        </is>
      </c>
    </row>
    <row r="4">
      <c r="A4" s="14" t="inlineStr">
        <is>
          <t>NET-DEV-001</t>
        </is>
      </c>
      <c r="B4" s="14" t="inlineStr">
        <is>
          <t>Router</t>
        </is>
      </c>
      <c r="C4" s="14" t="inlineStr">
        <is>
          <t>core-rtr-01</t>
        </is>
      </c>
      <c r="D4" s="14" t="inlineStr">
        <is>
          <t>192.168.1.1</t>
        </is>
      </c>
      <c r="E4" s="14" t="inlineStr">
        <is>
          <t>Critical</t>
        </is>
      </c>
      <c r="F4" s="14" t="inlineStr">
        <is>
          <t>Yes</t>
        </is>
      </c>
      <c r="G4" s="14" t="inlineStr">
        <is>
          <t>Yes</t>
        </is>
      </c>
      <c r="H4" s="14" t="inlineStr">
        <is>
          <t>No</t>
        </is>
      </c>
      <c r="I4" s="14" t="inlineStr">
        <is>
          <t>Yes</t>
        </is>
      </c>
      <c r="J4" s="14" t="inlineStr">
        <is>
          <t>Yes</t>
        </is>
      </c>
      <c r="K4" s="14" t="inlineStr">
        <is>
          <t>Yes</t>
        </is>
      </c>
      <c r="L4" s="14" t="inlineStr">
        <is>
          <t>Yes</t>
        </is>
      </c>
      <c r="M4" s="14" t="inlineStr">
        <is>
          <t>Yes</t>
        </is>
      </c>
      <c r="N4" s="14" t="inlineStr">
        <is>
          <t>Yes</t>
        </is>
      </c>
      <c r="O4" s="14" t="inlineStr">
        <is>
          <t>Yes</t>
        </is>
      </c>
      <c r="P4" s="14" t="inlineStr">
        <is>
          <t>Yes</t>
        </is>
      </c>
      <c r="Q4" s="14" t="inlineStr">
        <is>
          <t>No</t>
        </is>
      </c>
      <c r="R4" s="14" t="inlineStr">
        <is>
          <t>Yes</t>
        </is>
      </c>
      <c r="S4" s="14" t="inlineStr">
        <is>
          <t>Yes</t>
        </is>
      </c>
      <c r="T4" s="14" t="inlineStr">
        <is>
          <t>Yes</t>
        </is>
      </c>
      <c r="U4" s="15">
        <f>IF(COUNTIF(F4:T4,"Yes")+COUNTIF(F4:T4,"No")=0,"",COUNTIF(F4:T4,"Yes")/(COUNTIF(F4:T4,"Yes")+COUNTIF(F4:T4,"No"))*100)</f>
        <v/>
      </c>
      <c r="V4" s="16">
        <f>COUNTIF(F4:T4,"No")</f>
        <v/>
      </c>
      <c r="W4" s="14" t="inlineStr">
        <is>
          <t>15.01.2026</t>
        </is>
      </c>
      <c r="X4" s="14" t="n"/>
      <c r="Y4" s="14" t="n"/>
    </row>
    <row r="5">
      <c r="A5" s="17" t="n"/>
      <c r="B5" s="17" t="n"/>
      <c r="C5" s="17" t="n"/>
      <c r="D5" s="17" t="n"/>
      <c r="E5" s="17" t="n"/>
      <c r="F5" s="17" t="n"/>
      <c r="G5" s="17" t="n"/>
      <c r="H5" s="17" t="n"/>
      <c r="I5" s="17" t="n"/>
      <c r="J5" s="17" t="n"/>
      <c r="K5" s="17" t="n"/>
      <c r="L5" s="17" t="n"/>
      <c r="M5" s="17" t="n"/>
      <c r="N5" s="17" t="n"/>
      <c r="O5" s="17" t="n"/>
      <c r="P5" s="17" t="n"/>
      <c r="Q5" s="17" t="n"/>
      <c r="R5" s="17" t="n"/>
      <c r="S5" s="17" t="n"/>
      <c r="T5" s="17" t="n"/>
      <c r="U5" s="18">
        <f>IF(COUNTIF(F5:T5,"Yes")+COUNTIF(F5:T5,"No")=0,"",COUNTIF(F5:T5,"Yes")/(COUNTIF(F5:T5,"Yes")+COUNTIF(F5:T5,"No"))*100)</f>
        <v/>
      </c>
      <c r="V5">
        <f>COUNTIF(F5:T5,"No")</f>
        <v/>
      </c>
      <c r="W5" s="17" t="n"/>
      <c r="X5" s="17" t="n"/>
      <c r="Y5" s="17" t="n"/>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8">
        <f>IF(COUNTIF(F6:T6,"Yes")+COUNTIF(F6:T6,"No")=0,"",COUNTIF(F6:T6,"Yes")/(COUNTIF(F6:T6,"Yes")+COUNTIF(F6:T6,"No"))*100)</f>
        <v/>
      </c>
      <c r="V6">
        <f>COUNTIF(F6:T6,"No")</f>
        <v/>
      </c>
      <c r="W6" s="17" t="n"/>
      <c r="X6" s="17" t="n"/>
      <c r="Y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8">
        <f>IF(COUNTIF(F7:T7,"Yes")+COUNTIF(F7:T7,"No")=0,"",COUNTIF(F7:T7,"Yes")/(COUNTIF(F7:T7,"Yes")+COUNTIF(F7:T7,"No"))*100)</f>
        <v/>
      </c>
      <c r="V7">
        <f>COUNTIF(F7:T7,"No")</f>
        <v/>
      </c>
      <c r="W7" s="17" t="n"/>
      <c r="X7" s="17" t="n"/>
      <c r="Y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8">
        <f>IF(COUNTIF(F8:T8,"Yes")+COUNTIF(F8:T8,"No")=0,"",COUNTIF(F8:T8,"Yes")/(COUNTIF(F8:T8,"Yes")+COUNTIF(F8:T8,"No"))*100)</f>
        <v/>
      </c>
      <c r="V8">
        <f>COUNTIF(F8:T8,"No")</f>
        <v/>
      </c>
      <c r="W8" s="17" t="n"/>
      <c r="X8" s="17" t="n"/>
      <c r="Y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8">
        <f>IF(COUNTIF(F9:T9,"Yes")+COUNTIF(F9:T9,"No")=0,"",COUNTIF(F9:T9,"Yes")/(COUNTIF(F9:T9,"Yes")+COUNTIF(F9:T9,"No"))*100)</f>
        <v/>
      </c>
      <c r="V9">
        <f>COUNTIF(F9:T9,"No")</f>
        <v/>
      </c>
      <c r="W9" s="17" t="n"/>
      <c r="X9" s="17" t="n"/>
      <c r="Y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8">
        <f>IF(COUNTIF(F10:T10,"Yes")+COUNTIF(F10:T10,"No")=0,"",COUNTIF(F10:T10,"Yes")/(COUNTIF(F10:T10,"Yes")+COUNTIF(F10:T10,"No"))*100)</f>
        <v/>
      </c>
      <c r="V10">
        <f>COUNTIF(F10:T10,"No")</f>
        <v/>
      </c>
      <c r="W10" s="17" t="n"/>
      <c r="X10" s="17" t="n"/>
      <c r="Y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8">
        <f>IF(COUNTIF(F11:T11,"Yes")+COUNTIF(F11:T11,"No")=0,"",COUNTIF(F11:T11,"Yes")/(COUNTIF(F11:T11,"Yes")+COUNTIF(F11:T11,"No"))*100)</f>
        <v/>
      </c>
      <c r="V11">
        <f>COUNTIF(F11:T11,"No")</f>
        <v/>
      </c>
      <c r="W11" s="17" t="n"/>
      <c r="X11" s="17" t="n"/>
      <c r="Y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8">
        <f>IF(COUNTIF(F12:T12,"Yes")+COUNTIF(F12:T12,"No")=0,"",COUNTIF(F12:T12,"Yes")/(COUNTIF(F12:T12,"Yes")+COUNTIF(F12:T12,"No"))*100)</f>
        <v/>
      </c>
      <c r="V12">
        <f>COUNTIF(F12:T12,"No")</f>
        <v/>
      </c>
      <c r="W12" s="17" t="n"/>
      <c r="X12" s="17" t="n"/>
      <c r="Y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8">
        <f>IF(COUNTIF(F13:T13,"Yes")+COUNTIF(F13:T13,"No")=0,"",COUNTIF(F13:T13,"Yes")/(COUNTIF(F13:T13,"Yes")+COUNTIF(F13:T13,"No"))*100)</f>
        <v/>
      </c>
      <c r="V13">
        <f>COUNTIF(F13:T13,"No")</f>
        <v/>
      </c>
      <c r="W13" s="17" t="n"/>
      <c r="X13" s="17" t="n"/>
      <c r="Y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8">
        <f>IF(COUNTIF(F14:T14,"Yes")+COUNTIF(F14:T14,"No")=0,"",COUNTIF(F14:T14,"Yes")/(COUNTIF(F14:T14,"Yes")+COUNTIF(F14:T14,"No"))*100)</f>
        <v/>
      </c>
      <c r="V14">
        <f>COUNTIF(F14:T14,"No")</f>
        <v/>
      </c>
      <c r="W14" s="17" t="n"/>
      <c r="X14" s="17" t="n"/>
      <c r="Y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8">
        <f>IF(COUNTIF(F15:T15,"Yes")+COUNTIF(F15:T15,"No")=0,"",COUNTIF(F15:T15,"Yes")/(COUNTIF(F15:T15,"Yes")+COUNTIF(F15:T15,"No"))*100)</f>
        <v/>
      </c>
      <c r="V15">
        <f>COUNTIF(F15:T15,"No")</f>
        <v/>
      </c>
      <c r="W15" s="17" t="n"/>
      <c r="X15" s="17" t="n"/>
      <c r="Y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8">
        <f>IF(COUNTIF(F16:T16,"Yes")+COUNTIF(F16:T16,"No")=0,"",COUNTIF(F16:T16,"Yes")/(COUNTIF(F16:T16,"Yes")+COUNTIF(F16:T16,"No"))*100)</f>
        <v/>
      </c>
      <c r="V16">
        <f>COUNTIF(F16:T16,"No")</f>
        <v/>
      </c>
      <c r="W16" s="17" t="n"/>
      <c r="X16" s="17" t="n"/>
      <c r="Y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8">
        <f>IF(COUNTIF(F17:T17,"Yes")+COUNTIF(F17:T17,"No")=0,"",COUNTIF(F17:T17,"Yes")/(COUNTIF(F17:T17,"Yes")+COUNTIF(F17:T17,"No"))*100)</f>
        <v/>
      </c>
      <c r="V17">
        <f>COUNTIF(F17:T17,"No")</f>
        <v/>
      </c>
      <c r="W17" s="17" t="n"/>
      <c r="X17" s="17" t="n"/>
      <c r="Y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8">
        <f>IF(COUNTIF(F18:T18,"Yes")+COUNTIF(F18:T18,"No")=0,"",COUNTIF(F18:T18,"Yes")/(COUNTIF(F18:T18,"Yes")+COUNTIF(F18:T18,"No"))*100)</f>
        <v/>
      </c>
      <c r="V18">
        <f>COUNTIF(F18:T18,"No")</f>
        <v/>
      </c>
      <c r="W18" s="17" t="n"/>
      <c r="X18" s="17" t="n"/>
      <c r="Y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8">
        <f>IF(COUNTIF(F19:T19,"Yes")+COUNTIF(F19:T19,"No")=0,"",COUNTIF(F19:T19,"Yes")/(COUNTIF(F19:T19,"Yes")+COUNTIF(F19:T19,"No"))*100)</f>
        <v/>
      </c>
      <c r="V19">
        <f>COUNTIF(F19:T19,"No")</f>
        <v/>
      </c>
      <c r="W19" s="17" t="n"/>
      <c r="X19" s="17" t="n"/>
      <c r="Y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8">
        <f>IF(COUNTIF(F20:T20,"Yes")+COUNTIF(F20:T20,"No")=0,"",COUNTIF(F20:T20,"Yes")/(COUNTIF(F20:T20,"Yes")+COUNTIF(F20:T20,"No"))*100)</f>
        <v/>
      </c>
      <c r="V20">
        <f>COUNTIF(F20:T20,"No")</f>
        <v/>
      </c>
      <c r="W20" s="17" t="n"/>
      <c r="X20" s="17" t="n"/>
      <c r="Y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8">
        <f>IF(COUNTIF(F21:T21,"Yes")+COUNTIF(F21:T21,"No")=0,"",COUNTIF(F21:T21,"Yes")/(COUNTIF(F21:T21,"Yes")+COUNTIF(F21:T21,"No"))*100)</f>
        <v/>
      </c>
      <c r="V21">
        <f>COUNTIF(F21:T21,"No")</f>
        <v/>
      </c>
      <c r="W21" s="17" t="n"/>
      <c r="X21" s="17" t="n"/>
      <c r="Y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8">
        <f>IF(COUNTIF(F22:T22,"Yes")+COUNTIF(F22:T22,"No")=0,"",COUNTIF(F22:T22,"Yes")/(COUNTIF(F22:T22,"Yes")+COUNTIF(F22:T22,"No"))*100)</f>
        <v/>
      </c>
      <c r="V22">
        <f>COUNTIF(F22:T22,"No")</f>
        <v/>
      </c>
      <c r="W22" s="17" t="n"/>
      <c r="X22" s="17" t="n"/>
      <c r="Y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8">
        <f>IF(COUNTIF(F23:T23,"Yes")+COUNTIF(F23:T23,"No")=0,"",COUNTIF(F23:T23,"Yes")/(COUNTIF(F23:T23,"Yes")+COUNTIF(F23:T23,"No"))*100)</f>
        <v/>
      </c>
      <c r="V23">
        <f>COUNTIF(F23:T23,"No")</f>
        <v/>
      </c>
      <c r="W23" s="17" t="n"/>
      <c r="X23" s="17" t="n"/>
      <c r="Y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8">
        <f>IF(COUNTIF(F24:T24,"Yes")+COUNTIF(F24:T24,"No")=0,"",COUNTIF(F24:T24,"Yes")/(COUNTIF(F24:T24,"Yes")+COUNTIF(F24:T24,"No"))*100)</f>
        <v/>
      </c>
      <c r="V24">
        <f>COUNTIF(F24:T24,"No")</f>
        <v/>
      </c>
      <c r="W24" s="17" t="n"/>
      <c r="X24" s="17" t="n"/>
      <c r="Y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8">
        <f>IF(COUNTIF(F25:T25,"Yes")+COUNTIF(F25:T25,"No")=0,"",COUNTIF(F25:T25,"Yes")/(COUNTIF(F25:T25,"Yes")+COUNTIF(F25:T25,"No"))*100)</f>
        <v/>
      </c>
      <c r="V25">
        <f>COUNTIF(F25:T25,"No")</f>
        <v/>
      </c>
      <c r="W25" s="17" t="n"/>
      <c r="X25" s="17" t="n"/>
      <c r="Y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8">
        <f>IF(COUNTIF(F26:T26,"Yes")+COUNTIF(F26:T26,"No")=0,"",COUNTIF(F26:T26,"Yes")/(COUNTIF(F26:T26,"Yes")+COUNTIF(F26:T26,"No"))*100)</f>
        <v/>
      </c>
      <c r="V26">
        <f>COUNTIF(F26:T26,"No")</f>
        <v/>
      </c>
      <c r="W26" s="17" t="n"/>
      <c r="X26" s="17" t="n"/>
      <c r="Y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8">
        <f>IF(COUNTIF(F27:T27,"Yes")+COUNTIF(F27:T27,"No")=0,"",COUNTIF(F27:T27,"Yes")/(COUNTIF(F27:T27,"Yes")+COUNTIF(F27:T27,"No"))*100)</f>
        <v/>
      </c>
      <c r="V27">
        <f>COUNTIF(F27:T27,"No")</f>
        <v/>
      </c>
      <c r="W27" s="17" t="n"/>
      <c r="X27" s="17" t="n"/>
      <c r="Y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8">
        <f>IF(COUNTIF(F28:T28,"Yes")+COUNTIF(F28:T28,"No")=0,"",COUNTIF(F28:T28,"Yes")/(COUNTIF(F28:T28,"Yes")+COUNTIF(F28:T28,"No"))*100)</f>
        <v/>
      </c>
      <c r="V28">
        <f>COUNTIF(F28:T28,"No")</f>
        <v/>
      </c>
      <c r="W28" s="17" t="n"/>
      <c r="X28" s="17" t="n"/>
      <c r="Y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8">
        <f>IF(COUNTIF(F29:T29,"Yes")+COUNTIF(F29:T29,"No")=0,"",COUNTIF(F29:T29,"Yes")/(COUNTIF(F29:T29,"Yes")+COUNTIF(F29:T29,"No"))*100)</f>
        <v/>
      </c>
      <c r="V29">
        <f>COUNTIF(F29:T29,"No")</f>
        <v/>
      </c>
      <c r="W29" s="17" t="n"/>
      <c r="X29" s="17" t="n"/>
      <c r="Y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8">
        <f>IF(COUNTIF(F30:T30,"Yes")+COUNTIF(F30:T30,"No")=0,"",COUNTIF(F30:T30,"Yes")/(COUNTIF(F30:T30,"Yes")+COUNTIF(F30:T30,"No"))*100)</f>
        <v/>
      </c>
      <c r="V30">
        <f>COUNTIF(F30:T30,"No")</f>
        <v/>
      </c>
      <c r="W30" s="17" t="n"/>
      <c r="X30" s="17" t="n"/>
      <c r="Y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8">
        <f>IF(COUNTIF(F31:T31,"Yes")+COUNTIF(F31:T31,"No")=0,"",COUNTIF(F31:T31,"Yes")/(COUNTIF(F31:T31,"Yes")+COUNTIF(F31:T31,"No"))*100)</f>
        <v/>
      </c>
      <c r="V31">
        <f>COUNTIF(F31:T31,"No")</f>
        <v/>
      </c>
      <c r="W31" s="17" t="n"/>
      <c r="X31" s="17" t="n"/>
      <c r="Y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8">
        <f>IF(COUNTIF(F32:T32,"Yes")+COUNTIF(F32:T32,"No")=0,"",COUNTIF(F32:T32,"Yes")/(COUNTIF(F32:T32,"Yes")+COUNTIF(F32:T32,"No"))*100)</f>
        <v/>
      </c>
      <c r="V32">
        <f>COUNTIF(F32:T32,"No")</f>
        <v/>
      </c>
      <c r="W32" s="17" t="n"/>
      <c r="X32" s="17" t="n"/>
      <c r="Y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8">
        <f>IF(COUNTIF(F33:T33,"Yes")+COUNTIF(F33:T33,"No")=0,"",COUNTIF(F33:T33,"Yes")/(COUNTIF(F33:T33,"Yes")+COUNTIF(F33:T33,"No"))*100)</f>
        <v/>
      </c>
      <c r="V33">
        <f>COUNTIF(F33:T33,"No")</f>
        <v/>
      </c>
      <c r="W33" s="17" t="n"/>
      <c r="X33" s="17" t="n"/>
      <c r="Y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8">
        <f>IF(COUNTIF(F34:T34,"Yes")+COUNTIF(F34:T34,"No")=0,"",COUNTIF(F34:T34,"Yes")/(COUNTIF(F34:T34,"Yes")+COUNTIF(F34:T34,"No"))*100)</f>
        <v/>
      </c>
      <c r="V34">
        <f>COUNTIF(F34:T34,"No")</f>
        <v/>
      </c>
      <c r="W34" s="17" t="n"/>
      <c r="X34" s="17" t="n"/>
      <c r="Y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8">
        <f>IF(COUNTIF(F35:T35,"Yes")+COUNTIF(F35:T35,"No")=0,"",COUNTIF(F35:T35,"Yes")/(COUNTIF(F35:T35,"Yes")+COUNTIF(F35:T35,"No"))*100)</f>
        <v/>
      </c>
      <c r="V35">
        <f>COUNTIF(F35:T35,"No")</f>
        <v/>
      </c>
      <c r="W35" s="17" t="n"/>
      <c r="X35" s="17" t="n"/>
      <c r="Y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8">
        <f>IF(COUNTIF(F36:T36,"Yes")+COUNTIF(F36:T36,"No")=0,"",COUNTIF(F36:T36,"Yes")/(COUNTIF(F36:T36,"Yes")+COUNTIF(F36:T36,"No"))*100)</f>
        <v/>
      </c>
      <c r="V36">
        <f>COUNTIF(F36:T36,"No")</f>
        <v/>
      </c>
      <c r="W36" s="17" t="n"/>
      <c r="X36" s="17" t="n"/>
      <c r="Y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8">
        <f>IF(COUNTIF(F37:T37,"Yes")+COUNTIF(F37:T37,"No")=0,"",COUNTIF(F37:T37,"Yes")/(COUNTIF(F37:T37,"Yes")+COUNTIF(F37:T37,"No"))*100)</f>
        <v/>
      </c>
      <c r="V37">
        <f>COUNTIF(F37:T37,"No")</f>
        <v/>
      </c>
      <c r="W37" s="17" t="n"/>
      <c r="X37" s="17" t="n"/>
      <c r="Y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8">
        <f>IF(COUNTIF(F38:T38,"Yes")+COUNTIF(F38:T38,"No")=0,"",COUNTIF(F38:T38,"Yes")/(COUNTIF(F38:T38,"Yes")+COUNTIF(F38:T38,"No"))*100)</f>
        <v/>
      </c>
      <c r="V38">
        <f>COUNTIF(F38:T38,"No")</f>
        <v/>
      </c>
      <c r="W38" s="17" t="n"/>
      <c r="X38" s="17" t="n"/>
      <c r="Y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8">
        <f>IF(COUNTIF(F39:T39,"Yes")+COUNTIF(F39:T39,"No")=0,"",COUNTIF(F39:T39,"Yes")/(COUNTIF(F39:T39,"Yes")+COUNTIF(F39:T39,"No"))*100)</f>
        <v/>
      </c>
      <c r="V39">
        <f>COUNTIF(F39:T39,"No")</f>
        <v/>
      </c>
      <c r="W39" s="17" t="n"/>
      <c r="X39" s="17" t="n"/>
      <c r="Y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8">
        <f>IF(COUNTIF(F40:T40,"Yes")+COUNTIF(F40:T40,"No")=0,"",COUNTIF(F40:T40,"Yes")/(COUNTIF(F40:T40,"Yes")+COUNTIF(F40:T40,"No"))*100)</f>
        <v/>
      </c>
      <c r="V40">
        <f>COUNTIF(F40:T40,"No")</f>
        <v/>
      </c>
      <c r="W40" s="17" t="n"/>
      <c r="X40" s="17" t="n"/>
      <c r="Y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8">
        <f>IF(COUNTIF(F41:T41,"Yes")+COUNTIF(F41:T41,"No")=0,"",COUNTIF(F41:T41,"Yes")/(COUNTIF(F41:T41,"Yes")+COUNTIF(F41:T41,"No"))*100)</f>
        <v/>
      </c>
      <c r="V41">
        <f>COUNTIF(F41:T41,"No")</f>
        <v/>
      </c>
      <c r="W41" s="17" t="n"/>
      <c r="X41" s="17" t="n"/>
      <c r="Y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8">
        <f>IF(COUNTIF(F42:T42,"Yes")+COUNTIF(F42:T42,"No")=0,"",COUNTIF(F42:T42,"Yes")/(COUNTIF(F42:T42,"Yes")+COUNTIF(F42:T42,"No"))*100)</f>
        <v/>
      </c>
      <c r="V42">
        <f>COUNTIF(F42:T42,"No")</f>
        <v/>
      </c>
      <c r="W42" s="17" t="n"/>
      <c r="X42" s="17" t="n"/>
      <c r="Y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8">
        <f>IF(COUNTIF(F43:T43,"Yes")+COUNTIF(F43:T43,"No")=0,"",COUNTIF(F43:T43,"Yes")/(COUNTIF(F43:T43,"Yes")+COUNTIF(F43:T43,"No"))*100)</f>
        <v/>
      </c>
      <c r="V43">
        <f>COUNTIF(F43:T43,"No")</f>
        <v/>
      </c>
      <c r="W43" s="17" t="n"/>
      <c r="X43" s="17" t="n"/>
      <c r="Y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8">
        <f>IF(COUNTIF(F44:T44,"Yes")+COUNTIF(F44:T44,"No")=0,"",COUNTIF(F44:T44,"Yes")/(COUNTIF(F44:T44,"Yes")+COUNTIF(F44:T44,"No"))*100)</f>
        <v/>
      </c>
      <c r="V44">
        <f>COUNTIF(F44:T44,"No")</f>
        <v/>
      </c>
      <c r="W44" s="17" t="n"/>
      <c r="X44" s="17" t="n"/>
      <c r="Y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8">
        <f>IF(COUNTIF(F45:T45,"Yes")+COUNTIF(F45:T45,"No")=0,"",COUNTIF(F45:T45,"Yes")/(COUNTIF(F45:T45,"Yes")+COUNTIF(F45:T45,"No"))*100)</f>
        <v/>
      </c>
      <c r="V45">
        <f>COUNTIF(F45:T45,"No")</f>
        <v/>
      </c>
      <c r="W45" s="17" t="n"/>
      <c r="X45" s="17" t="n"/>
      <c r="Y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8">
        <f>IF(COUNTIF(F46:T46,"Yes")+COUNTIF(F46:T46,"No")=0,"",COUNTIF(F46:T46,"Yes")/(COUNTIF(F46:T46,"Yes")+COUNTIF(F46:T46,"No"))*100)</f>
        <v/>
      </c>
      <c r="V46">
        <f>COUNTIF(F46:T46,"No")</f>
        <v/>
      </c>
      <c r="W46" s="17" t="n"/>
      <c r="X46" s="17" t="n"/>
      <c r="Y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8">
        <f>IF(COUNTIF(F47:T47,"Yes")+COUNTIF(F47:T47,"No")=0,"",COUNTIF(F47:T47,"Yes")/(COUNTIF(F47:T47,"Yes")+COUNTIF(F47:T47,"No"))*100)</f>
        <v/>
      </c>
      <c r="V47">
        <f>COUNTIF(F47:T47,"No")</f>
        <v/>
      </c>
      <c r="W47" s="17" t="n"/>
      <c r="X47" s="17" t="n"/>
      <c r="Y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8">
        <f>IF(COUNTIF(F48:T48,"Yes")+COUNTIF(F48:T48,"No")=0,"",COUNTIF(F48:T48,"Yes")/(COUNTIF(F48:T48,"Yes")+COUNTIF(F48:T48,"No"))*100)</f>
        <v/>
      </c>
      <c r="V48">
        <f>COUNTIF(F48:T48,"No")</f>
        <v/>
      </c>
      <c r="W48" s="17" t="n"/>
      <c r="X48" s="17" t="n"/>
      <c r="Y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8">
        <f>IF(COUNTIF(F49:T49,"Yes")+COUNTIF(F49:T49,"No")=0,"",COUNTIF(F49:T49,"Yes")/(COUNTIF(F49:T49,"Yes")+COUNTIF(F49:T49,"No"))*100)</f>
        <v/>
      </c>
      <c r="V49">
        <f>COUNTIF(F49:T49,"No")</f>
        <v/>
      </c>
      <c r="W49" s="17" t="n"/>
      <c r="X49" s="17" t="n"/>
      <c r="Y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8">
        <f>IF(COUNTIF(F50:T50,"Yes")+COUNTIF(F50:T50,"No")=0,"",COUNTIF(F50:T50,"Yes")/(COUNTIF(F50:T50,"Yes")+COUNTIF(F50:T50,"No"))*100)</f>
        <v/>
      </c>
      <c r="V50">
        <f>COUNTIF(F50:T50,"No")</f>
        <v/>
      </c>
      <c r="W50" s="17" t="n"/>
      <c r="X50" s="17" t="n"/>
      <c r="Y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8">
        <f>IF(COUNTIF(F51:T51,"Yes")+COUNTIF(F51:T51,"No")=0,"",COUNTIF(F51:T51,"Yes")/(COUNTIF(F51:T51,"Yes")+COUNTIF(F51:T51,"No"))*100)</f>
        <v/>
      </c>
      <c r="V51">
        <f>COUNTIF(F51:T51,"No")</f>
        <v/>
      </c>
      <c r="W51" s="17" t="n"/>
      <c r="X51" s="17" t="n"/>
      <c r="Y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8">
        <f>IF(COUNTIF(F52:T52,"Yes")+COUNTIF(F52:T52,"No")=0,"",COUNTIF(F52:T52,"Yes")/(COUNTIF(F52:T52,"Yes")+COUNTIF(F52:T52,"No"))*100)</f>
        <v/>
      </c>
      <c r="V52">
        <f>COUNTIF(F52:T52,"No")</f>
        <v/>
      </c>
      <c r="W52" s="17" t="n"/>
      <c r="X52" s="17" t="n"/>
      <c r="Y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8">
        <f>IF(COUNTIF(F53:T53,"Yes")+COUNTIF(F53:T53,"No")=0,"",COUNTIF(F53:T53,"Yes")/(COUNTIF(F53:T53,"Yes")+COUNTIF(F53:T53,"No"))*100)</f>
        <v/>
      </c>
      <c r="V53">
        <f>COUNTIF(F53:T53,"No")</f>
        <v/>
      </c>
      <c r="W53" s="17" t="n"/>
      <c r="X53" s="17" t="n"/>
      <c r="Y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8">
        <f>IF(COUNTIF(F54:T54,"Yes")+COUNTIF(F54:T54,"No")=0,"",COUNTIF(F54:T54,"Yes")/(COUNTIF(F54:T54,"Yes")+COUNTIF(F54:T54,"No"))*100)</f>
        <v/>
      </c>
      <c r="V54">
        <f>COUNTIF(F54:T54,"No")</f>
        <v/>
      </c>
      <c r="W54" s="17" t="n"/>
      <c r="X54" s="17" t="n"/>
      <c r="Y54" s="17" t="n"/>
    </row>
  </sheetData>
  <mergeCells count="2">
    <mergeCell ref="A2:W2"/>
    <mergeCell ref="A1:W1"/>
  </mergeCells>
  <conditionalFormatting sqref="F4:F54">
    <cfRule type="cellIs" priority="1" operator="equal" dxfId="0">
      <formula>"Yes"</formula>
    </cfRule>
    <cfRule type="cellIs" priority="2" operator="equal" dxfId="1">
      <formula>"No"</formula>
    </cfRule>
    <cfRule type="cellIs" priority="3" operator="equal" dxfId="2">
      <formula>"N/A"</formula>
    </cfRule>
  </conditionalFormatting>
  <conditionalFormatting sqref="G4:G54">
    <cfRule type="cellIs" priority="4" operator="equal" dxfId="0">
      <formula>"Yes"</formula>
    </cfRule>
    <cfRule type="cellIs" priority="5" operator="equal" dxfId="1">
      <formula>"No"</formula>
    </cfRule>
    <cfRule type="cellIs" priority="6" operator="equal" dxfId="2">
      <formula>"N/A"</formula>
    </cfRule>
  </conditionalFormatting>
  <conditionalFormatting sqref="H4:H54">
    <cfRule type="cellIs" priority="7" operator="equal" dxfId="0">
      <formula>"Yes"</formula>
    </cfRule>
    <cfRule type="cellIs" priority="8" operator="equal" dxfId="1">
      <formula>"No"</formula>
    </cfRule>
    <cfRule type="cellIs" priority="9" operator="equal" dxfId="2">
      <formula>"N/A"</formula>
    </cfRule>
  </conditionalFormatting>
  <conditionalFormatting sqref="I4:I54">
    <cfRule type="cellIs" priority="10" operator="equal" dxfId="0">
      <formula>"Yes"</formula>
    </cfRule>
    <cfRule type="cellIs" priority="11" operator="equal" dxfId="1">
      <formula>"No"</formula>
    </cfRule>
    <cfRule type="cellIs" priority="12" operator="equal" dxfId="2">
      <formula>"N/A"</formula>
    </cfRule>
  </conditionalFormatting>
  <conditionalFormatting sqref="J4:J54">
    <cfRule type="cellIs" priority="13" operator="equal" dxfId="0">
      <formula>"Yes"</formula>
    </cfRule>
    <cfRule type="cellIs" priority="14" operator="equal" dxfId="1">
      <formula>"No"</formula>
    </cfRule>
    <cfRule type="cellIs" priority="15" operator="equal" dxfId="2">
      <formula>"N/A"</formula>
    </cfRule>
  </conditionalFormatting>
  <conditionalFormatting sqref="K4:K54">
    <cfRule type="cellIs" priority="16" operator="equal" dxfId="0">
      <formula>"Yes"</formula>
    </cfRule>
    <cfRule type="cellIs" priority="17" operator="equal" dxfId="1">
      <formula>"No"</formula>
    </cfRule>
    <cfRule type="cellIs" priority="18" operator="equal" dxfId="2">
      <formula>"N/A"</formula>
    </cfRule>
  </conditionalFormatting>
  <conditionalFormatting sqref="L4:L54">
    <cfRule type="cellIs" priority="19" operator="equal" dxfId="0">
      <formula>"Yes"</formula>
    </cfRule>
    <cfRule type="cellIs" priority="20" operator="equal" dxfId="1">
      <formula>"No"</formula>
    </cfRule>
    <cfRule type="cellIs" priority="21" operator="equal" dxfId="2">
      <formula>"N/A"</formula>
    </cfRule>
  </conditionalFormatting>
  <conditionalFormatting sqref="M4:M54">
    <cfRule type="cellIs" priority="22" operator="equal" dxfId="0">
      <formula>"Yes"</formula>
    </cfRule>
    <cfRule type="cellIs" priority="23" operator="equal" dxfId="1">
      <formula>"No"</formula>
    </cfRule>
    <cfRule type="cellIs" priority="24" operator="equal" dxfId="2">
      <formula>"N/A"</formula>
    </cfRule>
  </conditionalFormatting>
  <conditionalFormatting sqref="N4:N54">
    <cfRule type="cellIs" priority="25" operator="equal" dxfId="0">
      <formula>"Yes"</formula>
    </cfRule>
    <cfRule type="cellIs" priority="26" operator="equal" dxfId="1">
      <formula>"No"</formula>
    </cfRule>
    <cfRule type="cellIs" priority="27" operator="equal" dxfId="2">
      <formula>"N/A"</formula>
    </cfRule>
  </conditionalFormatting>
  <conditionalFormatting sqref="O4:O54">
    <cfRule type="cellIs" priority="28" operator="equal" dxfId="0">
      <formula>"Yes"</formula>
    </cfRule>
    <cfRule type="cellIs" priority="29" operator="equal" dxfId="1">
      <formula>"No"</formula>
    </cfRule>
    <cfRule type="cellIs" priority="30" operator="equal" dxfId="2">
      <formula>"N/A"</formula>
    </cfRule>
  </conditionalFormatting>
  <conditionalFormatting sqref="P4:P54">
    <cfRule type="cellIs" priority="31" operator="equal" dxfId="0">
      <formula>"Yes"</formula>
    </cfRule>
    <cfRule type="cellIs" priority="32" operator="equal" dxfId="1">
      <formula>"No"</formula>
    </cfRule>
    <cfRule type="cellIs" priority="33" operator="equal" dxfId="2">
      <formula>"N/A"</formula>
    </cfRule>
  </conditionalFormatting>
  <conditionalFormatting sqref="Q4:Q54">
    <cfRule type="cellIs" priority="34" operator="equal" dxfId="0">
      <formula>"Yes"</formula>
    </cfRule>
    <cfRule type="cellIs" priority="35" operator="equal" dxfId="1">
      <formula>"No"</formula>
    </cfRule>
    <cfRule type="cellIs" priority="36" operator="equal" dxfId="2">
      <formula>"N/A"</formula>
    </cfRule>
  </conditionalFormatting>
  <conditionalFormatting sqref="R4:R54">
    <cfRule type="cellIs" priority="37" operator="equal" dxfId="0">
      <formula>"Yes"</formula>
    </cfRule>
    <cfRule type="cellIs" priority="38" operator="equal" dxfId="1">
      <formula>"No"</formula>
    </cfRule>
    <cfRule type="cellIs" priority="39" operator="equal" dxfId="2">
      <formula>"N/A"</formula>
    </cfRule>
  </conditionalFormatting>
  <conditionalFormatting sqref="S4:S54">
    <cfRule type="cellIs" priority="40" operator="equal" dxfId="0">
      <formula>"Yes"</formula>
    </cfRule>
    <cfRule type="cellIs" priority="41" operator="equal" dxfId="1">
      <formula>"No"</formula>
    </cfRule>
    <cfRule type="cellIs" priority="42" operator="equal" dxfId="2">
      <formula>"N/A"</formula>
    </cfRule>
  </conditionalFormatting>
  <conditionalFormatting sqref="T4:T54">
    <cfRule type="cellIs" priority="43" operator="equal" dxfId="0">
      <formula>"Yes"</formula>
    </cfRule>
    <cfRule type="cellIs" priority="44" operator="equal" dxfId="1">
      <formula>"No"</formula>
    </cfRule>
    <cfRule type="cellIs" priority="45" operator="equal" dxfId="2">
      <formula>"N/A"</formula>
    </cfRule>
  </conditionalFormatting>
  <conditionalFormatting sqref="U4:U54">
    <cfRule type="cellIs" priority="46" operator="greaterThanOrEqual" dxfId="3">
      <formula>95</formula>
    </cfRule>
    <cfRule type="cellIs" priority="47" operator="between" dxfId="4">
      <formula>80</formula>
      <formula>94</formula>
    </cfRule>
    <cfRule type="cellIs" priority="48" operator="lessThan" dxfId="5">
      <formula>80</formula>
    </cfRule>
  </conditionalFormatting>
  <dataValidations count="1">
    <dataValidation sqref="F4:F54 G4:G54 H4:H54 I4:I54 J4:J54 K4:K54 L4:L54 M4:M54 N4:N54 O4:O54 P4:P54 Q4:Q54 R4:R54 S4:S54 T4:T54" showDropDown="0" showInputMessage="0" showErrorMessage="0" allowBlank="0" errorTitle="Invalid Value" error="Must be Yes, No, or N/A"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25" customWidth="1" min="1" max="1"/>
    <col width="50" customWidth="1" min="2" max="2"/>
    <col width="50" customWidth="1" min="3" max="3"/>
    <col width="40" customWidth="1" min="4" max="4"/>
    <col width="15" customWidth="1" min="5" max="5"/>
    <col width="15" customWidth="1" min="6" max="6"/>
  </cols>
  <sheetData>
    <row r="1" ht="35" customHeight="1">
      <c r="A1" s="11" t="inlineStr">
        <is>
          <t>DEVICE HARDENING BASELINE REFERENCE</t>
        </is>
      </c>
    </row>
    <row r="2">
      <c r="A2" s="12" t="inlineStr">
        <is>
          <t>Reference guide for device hardening based on CIS Benchmarks and vendor security guides</t>
        </is>
      </c>
    </row>
    <row r="4">
      <c r="A4" s="19" t="inlineStr">
        <is>
          <t>CIS Benchmarks &amp; Industry Standards</t>
        </is>
      </c>
      <c r="B4" s="6" t="n"/>
      <c r="C4" s="6" t="n"/>
    </row>
    <row r="5">
      <c r="A5" s="13" t="inlineStr">
        <is>
          <t>Device Type</t>
        </is>
      </c>
      <c r="B5" s="13" t="inlineStr">
        <is>
          <t>Benchmark/Guide</t>
        </is>
      </c>
      <c r="C5" s="13" t="inlineStr">
        <is>
          <t>Version</t>
        </is>
      </c>
      <c r="D5" s="13" t="inlineStr">
        <is>
          <t>URL/Reference</t>
        </is>
      </c>
    </row>
    <row r="6">
      <c r="A6" s="12" t="inlineStr">
        <is>
          <t>Cisco IOS</t>
        </is>
      </c>
      <c r="B6" s="12" t="inlineStr">
        <is>
          <t>CIS Cisco IOS Benchmark</t>
        </is>
      </c>
      <c r="C6" s="12" t="inlineStr">
        <is>
          <t>v4.1.0</t>
        </is>
      </c>
      <c r="D6" s="12" t="inlineStr">
        <is>
          <t>https://www.cisecurity.org/benchmark/cisco</t>
        </is>
      </c>
    </row>
    <row r="7">
      <c r="A7" s="12" t="inlineStr">
        <is>
          <t>Juniper JunOS</t>
        </is>
      </c>
      <c r="B7" s="12" t="inlineStr">
        <is>
          <t>CIS Juniper Benchmark</t>
        </is>
      </c>
      <c r="C7" s="12" t="inlineStr">
        <is>
          <t>v2.1.0</t>
        </is>
      </c>
      <c r="D7" s="12" t="inlineStr">
        <is>
          <t>https://www.cisecurity.org/benchmark/juniper</t>
        </is>
      </c>
    </row>
    <row r="8">
      <c r="A8" s="12" t="inlineStr">
        <is>
          <t>Palo Alto</t>
        </is>
      </c>
      <c r="B8" s="12" t="inlineStr">
        <is>
          <t>CIS Palo Alto Firewall Benchmark</t>
        </is>
      </c>
      <c r="C8" s="12" t="inlineStr">
        <is>
          <t>v1.1.0</t>
        </is>
      </c>
      <c r="D8" s="12" t="inlineStr">
        <is>
          <t>https://www.cisecurity.org/benchmark/palo_alto_networks</t>
        </is>
      </c>
    </row>
    <row r="9">
      <c r="A9" s="12" t="inlineStr">
        <is>
          <t>Fortinet</t>
        </is>
      </c>
      <c r="B9" s="12" t="inlineStr">
        <is>
          <t>CIS Fortinet FortiOS Benchmark</t>
        </is>
      </c>
      <c r="C9" s="12" t="inlineStr">
        <is>
          <t>v1.1.0</t>
        </is>
      </c>
      <c r="D9" s="12" t="inlineStr">
        <is>
          <t>https://www.cisecurity.org/benchmark/fortinet</t>
        </is>
      </c>
    </row>
    <row r="10">
      <c r="A10" s="12" t="inlineStr">
        <is>
          <t>Aruba</t>
        </is>
      </c>
      <c r="B10" s="12" t="inlineStr">
        <is>
          <t>Aruba Hardening Guide</t>
        </is>
      </c>
      <c r="C10" s="12" t="inlineStr">
        <is>
          <t>Latest</t>
        </is>
      </c>
      <c r="D10" s="12" t="inlineStr">
        <is>
          <t>https://www.arubanetworks.com/techdocs/</t>
        </is>
      </c>
    </row>
    <row r="11">
      <c r="A11" s="12" t="inlineStr">
        <is>
          <t>Generic Network</t>
        </is>
      </c>
      <c r="B11" s="12" t="inlineStr">
        <is>
          <t>NIST SP 800-41 (Firewall/Router)</t>
        </is>
      </c>
      <c r="C11" s="12" t="inlineStr">
        <is>
          <t>Rev 1</t>
        </is>
      </c>
      <c r="D11" s="12" t="inlineStr">
        <is>
          <t>https://csrc.nist.gov/publications/detail/sp/800-41/rev-1/final</t>
        </is>
      </c>
    </row>
    <row r="12">
      <c r="A12" s="12" t="inlineStr">
        <is>
          <t>Wireless</t>
        </is>
      </c>
      <c r="B12" s="12" t="inlineStr">
        <is>
          <t>CIS Wireless Network Security</t>
        </is>
      </c>
      <c r="C12" s="12" t="inlineStr">
        <is>
          <t>v1.0</t>
        </is>
      </c>
      <c r="D12" s="12" t="inlineStr">
        <is>
          <t>https://www.cisecurity.org/</t>
        </is>
      </c>
    </row>
    <row r="14">
      <c r="A14" s="19" t="inlineStr">
        <is>
          <t>Hardening Requirements - Implementation Guidance</t>
        </is>
      </c>
      <c r="B14" s="6" t="n"/>
      <c r="C14" s="6" t="n"/>
      <c r="D14" s="6" t="n"/>
      <c r="E14" s="6" t="n"/>
      <c r="F14" s="6" t="n"/>
    </row>
    <row r="15">
      <c r="A15" s="13" t="inlineStr">
        <is>
          <t>Requirement</t>
        </is>
      </c>
      <c r="B15" s="13" t="inlineStr">
        <is>
          <t>Implementation Guidance</t>
        </is>
      </c>
      <c r="C15" s="13" t="inlineStr">
        <is>
          <t>Verification Method</t>
        </is>
      </c>
    </row>
    <row r="16">
      <c r="A16" s="13" t="inlineStr">
        <is>
          <t>Default Credentials Disabled</t>
        </is>
      </c>
      <c r="B16" s="12" t="inlineStr">
        <is>
          <t>Change default usernames/passwords (admin/admin, cisco/cisco, etc.). Disable or rename default accounts.</t>
        </is>
      </c>
      <c r="C16" s="12" t="inlineStr">
        <is>
          <t>Attempt login with default credentials (should fail). Review user list.</t>
        </is>
      </c>
    </row>
    <row r="17">
      <c r="A17" s="13" t="inlineStr">
        <is>
          <t>Strong Password Policy</t>
        </is>
      </c>
      <c r="B17" s="12" t="inlineStr">
        <is>
          <t>Min 12 chars, complexity (upper/lower/number/special), expiration 90 days, history 5 passwords.</t>
        </is>
      </c>
      <c r="C17" s="12" t="inlineStr">
        <is>
          <t>Check password policy config. Test weak password (should be rejected).</t>
        </is>
      </c>
    </row>
    <row r="18">
      <c r="A18" s="13" t="inlineStr">
        <is>
          <t>Multi-Factor Authentication</t>
        </is>
      </c>
      <c r="B18" s="12" t="inlineStr">
        <is>
          <t>Enable MFA for admin access (TACACS+, RADIUS with OTP/tokens). Critical for privileged access.</t>
        </is>
      </c>
      <c r="C18" s="12" t="inlineStr">
        <is>
          <t>Verify AAA config, test login (should require 2nd factor).</t>
        </is>
      </c>
    </row>
    <row r="19">
      <c r="A19" s="13" t="inlineStr">
        <is>
          <t>Unnecessary Services Disabled</t>
        </is>
      </c>
      <c r="B19" s="12" t="inlineStr">
        <is>
          <t>Disable unused protocols: HTTP (use HTTPS), Telnet (use SSH), FTP, TFTP, finger, echo, CDP (on edge).</t>
        </is>
      </c>
      <c r="C19" s="12" t="inlineStr">
        <is>
          <t>Port scan device, check running services list.</t>
        </is>
      </c>
    </row>
    <row r="20">
      <c r="A20" s="13" t="inlineStr">
        <is>
          <t>Secure Management (SSH/HTTPS)</t>
        </is>
      </c>
      <c r="B20" s="12" t="inlineStr">
        <is>
          <t>Use SSH for CLI (disable Telnet), HTTPS for web (disable HTTP). SSH v2 only.</t>
        </is>
      </c>
      <c r="C20" s="12" t="inlineStr">
        <is>
          <t>Telnet to device (should fail). Check SSH version.</t>
        </is>
      </c>
    </row>
    <row r="21">
      <c r="A21" s="13" t="inlineStr">
        <is>
          <t>Logging Enabled</t>
        </is>
      </c>
      <c r="B21" s="12" t="inlineStr">
        <is>
          <t>Enable syslog to centralised server. Log severity: informational or higher. Buffer logging.</t>
        </is>
      </c>
      <c r="C21" s="12" t="inlineStr">
        <is>
          <t>Check logging config, verify logs reaching syslog server.</t>
        </is>
      </c>
    </row>
    <row r="22">
      <c r="A22" s="13" t="inlineStr">
        <is>
          <t>NTP Configured</t>
        </is>
      </c>
      <c r="B22" s="12" t="inlineStr">
        <is>
          <t>Configure NTP client, point to internal NTP servers. Enable NTP authentication if possible.</t>
        </is>
      </c>
      <c r="C22" s="12" t="inlineStr">
        <is>
          <t>Check NTP config, verify time sync (ntpstat, show ntp status).</t>
        </is>
      </c>
    </row>
    <row r="23">
      <c r="A23" s="13" t="inlineStr">
        <is>
          <t>SNMPv3 Only</t>
        </is>
      </c>
      <c r="B23" s="12" t="inlineStr">
        <is>
          <t>Use SNMPv3 with authentication and encryption. Disable SNMPv1/v2c (community strings).</t>
        </is>
      </c>
      <c r="C23" s="12" t="inlineStr">
        <is>
          <t>Check SNMP config, test v2c query (should fail).</t>
        </is>
      </c>
    </row>
    <row r="24">
      <c r="A24" s="13" t="inlineStr">
        <is>
          <t>Session Timeouts</t>
        </is>
      </c>
      <c r="B24" s="12" t="inlineStr">
        <is>
          <t>Configure idle timeout (e.g., 10 minutes for console, 15 min for VTY). Auto-logout inactive sessions.</t>
        </is>
      </c>
      <c r="C24" s="12" t="inlineStr">
        <is>
          <t>Check timeout config (exec-timeout, idle-timeout).</t>
        </is>
      </c>
    </row>
    <row r="25">
      <c r="A25" s="13" t="inlineStr">
        <is>
          <t>Banner Messages</t>
        </is>
      </c>
      <c r="B25" s="12" t="inlineStr">
        <is>
          <t>Configure login banner warning unauthorised access is prohibited. MOTD and login banners.</t>
        </is>
      </c>
      <c r="C25" s="12" t="inlineStr">
        <is>
          <t>Check banner config, verify displayed on login.</t>
        </is>
      </c>
    </row>
    <row r="26">
      <c r="A26" s="13" t="inlineStr">
        <is>
          <t>Configuration Backups</t>
        </is>
      </c>
      <c r="B26" s="12" t="inlineStr">
        <is>
          <t>Automated nightly config backups to secure location. Use RANCID, Oxidized, or scripts.</t>
        </is>
      </c>
      <c r="C26" s="12" t="inlineStr">
        <is>
          <t>Verify backup schedule, check recent backup files exist.</t>
        </is>
      </c>
    </row>
    <row r="27">
      <c r="A27" s="13" t="inlineStr">
        <is>
          <t>Firmware/Software Updated</t>
        </is>
      </c>
      <c r="B27" s="12" t="inlineStr">
        <is>
          <t>Running latest stable firmware/software with security patches. Track end-of-life dates.</t>
        </is>
      </c>
      <c r="C27" s="12" t="inlineStr">
        <is>
          <t>Check current version vs. vendor latest. Review security advisories.</t>
        </is>
      </c>
    </row>
    <row r="28">
      <c r="A28" s="13" t="inlineStr">
        <is>
          <t>Access Control Lists</t>
        </is>
      </c>
      <c r="B28" s="12" t="inlineStr">
        <is>
          <t>Implement ACLs on routers/firewalls for ingress/egress filtering. Default deny, explicit allow.</t>
        </is>
      </c>
      <c r="C28" s="12" t="inlineStr">
        <is>
          <t>Review ACL config, test traffic (permitted/denied as expected).</t>
        </is>
      </c>
    </row>
    <row r="29">
      <c r="A29" s="13" t="inlineStr">
        <is>
          <t>Encrypted Management</t>
        </is>
      </c>
      <c r="B29" s="12" t="inlineStr">
        <is>
          <t>Encrypt management traffic: SSH (not Telnet), HTTPS (not HTTP), SNMPv3, TLS syslog.</t>
        </is>
      </c>
      <c r="C29" s="12" t="inlineStr">
        <is>
          <t>Capture management traffic (tcpdump), verify encrypted.</t>
        </is>
      </c>
    </row>
    <row r="30">
      <c r="A30" s="13" t="inlineStr">
        <is>
          <t>Least Privilege Access</t>
        </is>
      </c>
      <c r="B30" s="12" t="inlineStr">
        <is>
          <t>Role-based access control (RBAC). Users have minimum privileges needed. Privilege levels configured.</t>
        </is>
      </c>
      <c r="C30" s="12" t="inlineStr">
        <is>
          <t>Review user privilege levels, test restricted user access.</t>
        </is>
      </c>
    </row>
    <row r="32">
      <c r="A32" s="19" t="inlineStr">
        <is>
          <t>Device-Specific Hardening Notes</t>
        </is>
      </c>
      <c r="B32" s="6" t="n"/>
      <c r="C32" s="6" t="n"/>
      <c r="D32" s="6" t="n"/>
      <c r="E32" s="6" t="n"/>
      <c r="F32" s="6" t="n"/>
    </row>
    <row r="33">
      <c r="A33" s="13" t="inlineStr">
        <is>
          <t>Routers</t>
        </is>
      </c>
      <c r="B33" s="12" t="inlineStr">
        <is>
          <t>Disable IP source routing, enable uRPF, implement ACLs, secure routing protocols (MD5 auth).</t>
        </is>
      </c>
    </row>
    <row r="34">
      <c r="A34" s="13" t="inlineStr">
        <is>
          <t>Switches</t>
        </is>
      </c>
      <c r="B34" s="12" t="inlineStr">
        <is>
          <t>Enable port security, DHCP snooping, DAI, disable DTP, change native VLAN, disable unused ports.</t>
        </is>
      </c>
    </row>
    <row r="35">
      <c r="A35" s="13" t="inlineStr">
        <is>
          <t>Firewalls</t>
        </is>
      </c>
      <c r="B35" s="12" t="inlineStr">
        <is>
          <t>Default deny policy, rule cleanup, logging all denied traffic, regular rule review.</t>
        </is>
      </c>
    </row>
    <row r="36">
      <c r="A36" s="13" t="inlineStr">
        <is>
          <t>Wireless APs</t>
        </is>
      </c>
      <c r="B36" s="12" t="inlineStr">
        <is>
          <t>WPA3 or WPA2-Enterprise, disable WPS, hide SSID (optional), MAC filtering, rogue AP detection.</t>
        </is>
      </c>
    </row>
    <row r="37">
      <c r="A37" s="13" t="inlineStr">
        <is>
          <t>Load Balancers</t>
        </is>
      </c>
      <c r="B37" s="12" t="inlineStr">
        <is>
          <t>Strong SSL/TLS ciphers, disable SSLv3/TLS1.0, enable HSTS, session persistence security.</t>
        </is>
      </c>
    </row>
  </sheetData>
  <mergeCells count="10">
    <mergeCell ref="A2:F2"/>
    <mergeCell ref="A14:F14"/>
    <mergeCell ref="B34:F34"/>
    <mergeCell ref="B33:F33"/>
    <mergeCell ref="A1:F1"/>
    <mergeCell ref="A32:F32"/>
    <mergeCell ref="B37:F37"/>
    <mergeCell ref="B36:F36"/>
    <mergeCell ref="A4:C4"/>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0"/>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25" customWidth="1" min="4" max="4"/>
    <col width="30" customWidth="1" min="5" max="5"/>
    <col width="35" customWidth="1" min="6" max="6"/>
    <col width="12" customWidth="1" min="7" max="7"/>
    <col width="40" customWidth="1" min="8" max="8"/>
    <col width="20" customWidth="1" min="9" max="9"/>
    <col width="15" customWidth="1" min="10" max="10"/>
    <col width="12" customWidth="1" min="11" max="11"/>
  </cols>
  <sheetData>
    <row r="1" ht="35" customHeight="1">
      <c r="A1" s="11" t="inlineStr">
        <is>
          <t>DEVICE HARDENING GAPS - SUMMARY &amp; REMEDIATION TRACKING</t>
        </is>
      </c>
    </row>
    <row r="2">
      <c r="A2" s="12" t="inlineStr">
        <is>
          <t>Document all "No" responses from Device Hardening Assessment. Track remediation progress and priority.</t>
        </is>
      </c>
    </row>
    <row r="3">
      <c r="A3" s="13" t="inlineStr">
        <is>
          <t>Gap ID</t>
        </is>
      </c>
      <c r="B3" s="13" t="inlineStr">
        <is>
          <t>Device ID</t>
        </is>
      </c>
      <c r="C3" s="13" t="inlineStr">
        <is>
          <t>Device Type</t>
        </is>
      </c>
      <c r="D3" s="13" t="inlineStr">
        <is>
          <t>Hostname</t>
        </is>
      </c>
      <c r="E3" s="13" t="inlineStr">
        <is>
          <t>Hardening Requirement</t>
        </is>
      </c>
      <c r="F3" s="13" t="inlineStr">
        <is>
          <t>Current State</t>
        </is>
      </c>
      <c r="G3" s="13" t="inlineStr">
        <is>
          <t>Gap Severity</t>
        </is>
      </c>
      <c r="H3" s="13" t="inlineStr">
        <is>
          <t>Remediation Plan</t>
        </is>
      </c>
      <c r="I3" s="13" t="inlineStr">
        <is>
          <t>Owner</t>
        </is>
      </c>
      <c r="J3" s="13" t="inlineStr">
        <is>
          <t>Status</t>
        </is>
      </c>
      <c r="K3" s="13" t="inlineStr">
        <is>
          <t>Target Date</t>
        </is>
      </c>
    </row>
    <row r="4">
      <c r="A4" s="14" t="inlineStr">
        <is>
          <t>HARD-GAP-001</t>
        </is>
      </c>
      <c r="B4" s="14" t="inlineStr">
        <is>
          <t>NET-DEV-001</t>
        </is>
      </c>
      <c r="C4" s="14" t="inlineStr">
        <is>
          <t>Router</t>
        </is>
      </c>
      <c r="D4" s="14" t="inlineStr">
        <is>
          <t>core-rtr-01</t>
        </is>
      </c>
      <c r="E4" s="14" t="inlineStr">
        <is>
          <t>Multi-Factor Authentication (MFA)</t>
        </is>
      </c>
      <c r="F4" s="14" t="inlineStr">
        <is>
          <t>MFA not configured for admin access</t>
        </is>
      </c>
      <c r="G4" s="14" t="inlineStr">
        <is>
          <t>Critical</t>
        </is>
      </c>
      <c r="H4" s="14" t="inlineStr">
        <is>
          <t>Configure TACACS+ with MFA within 30 days</t>
        </is>
      </c>
      <c r="I4" s="14" t="inlineStr">
        <is>
          <t>Network Security Team</t>
        </is>
      </c>
      <c r="J4" s="14" t="inlineStr">
        <is>
          <t>Open</t>
        </is>
      </c>
      <c r="K4" s="14" t="inlineStr">
        <is>
          <t>28.02.2026</t>
        </is>
      </c>
    </row>
    <row r="5">
      <c r="A5" s="20">
        <f>IF(B5&lt;&gt;"","HARD-GAP-" &amp; TEXT(2,"000"),"")</f>
        <v/>
      </c>
      <c r="B5" s="17" t="n"/>
      <c r="C5" s="17" t="n"/>
      <c r="D5" s="17" t="n"/>
      <c r="E5" s="17" t="n"/>
      <c r="F5" s="17" t="n"/>
      <c r="G5" s="17" t="n"/>
      <c r="H5" s="17" t="n"/>
      <c r="I5" s="17" t="n"/>
      <c r="J5" s="17" t="n"/>
      <c r="K5" s="17" t="n"/>
    </row>
    <row r="6">
      <c r="A6" s="20">
        <f>IF(B6&lt;&gt;"","HARD-GAP-" &amp; TEXT(3,"000"),"")</f>
        <v/>
      </c>
      <c r="B6" s="17" t="n"/>
      <c r="C6" s="17" t="n"/>
      <c r="D6" s="17" t="n"/>
      <c r="E6" s="17" t="n"/>
      <c r="F6" s="17" t="n"/>
      <c r="G6" s="17" t="n"/>
      <c r="H6" s="17" t="n"/>
      <c r="I6" s="17" t="n"/>
      <c r="J6" s="17" t="n"/>
      <c r="K6" s="17" t="n"/>
    </row>
    <row r="7">
      <c r="A7" s="20">
        <f>IF(B7&lt;&gt;"","HARD-GAP-" &amp; TEXT(4,"000"),"")</f>
        <v/>
      </c>
      <c r="B7" s="17" t="n"/>
      <c r="C7" s="17" t="n"/>
      <c r="D7" s="17" t="n"/>
      <c r="E7" s="17" t="n"/>
      <c r="F7" s="17" t="n"/>
      <c r="G7" s="17" t="n"/>
      <c r="H7" s="17" t="n"/>
      <c r="I7" s="17" t="n"/>
      <c r="J7" s="17" t="n"/>
      <c r="K7" s="17" t="n"/>
    </row>
    <row r="8">
      <c r="A8" s="20">
        <f>IF(B8&lt;&gt;"","HARD-GAP-" &amp; TEXT(5,"000"),"")</f>
        <v/>
      </c>
      <c r="B8" s="17" t="n"/>
      <c r="C8" s="17" t="n"/>
      <c r="D8" s="17" t="n"/>
      <c r="E8" s="17" t="n"/>
      <c r="F8" s="17" t="n"/>
      <c r="G8" s="17" t="n"/>
      <c r="H8" s="17" t="n"/>
      <c r="I8" s="17" t="n"/>
      <c r="J8" s="17" t="n"/>
      <c r="K8" s="17" t="n"/>
    </row>
    <row r="9">
      <c r="A9" s="20">
        <f>IF(B9&lt;&gt;"","HARD-GAP-" &amp; TEXT(6,"000"),"")</f>
        <v/>
      </c>
      <c r="B9" s="17" t="n"/>
      <c r="C9" s="17" t="n"/>
      <c r="D9" s="17" t="n"/>
      <c r="E9" s="17" t="n"/>
      <c r="F9" s="17" t="n"/>
      <c r="G9" s="17" t="n"/>
      <c r="H9" s="17" t="n"/>
      <c r="I9" s="17" t="n"/>
      <c r="J9" s="17" t="n"/>
      <c r="K9" s="17" t="n"/>
    </row>
    <row r="10">
      <c r="A10" s="20">
        <f>IF(B10&lt;&gt;"","HARD-GAP-" &amp; TEXT(7,"000"),"")</f>
        <v/>
      </c>
      <c r="B10" s="17" t="n"/>
      <c r="C10" s="17" t="n"/>
      <c r="D10" s="17" t="n"/>
      <c r="E10" s="17" t="n"/>
      <c r="F10" s="17" t="n"/>
      <c r="G10" s="17" t="n"/>
      <c r="H10" s="17" t="n"/>
      <c r="I10" s="17" t="n"/>
      <c r="J10" s="17" t="n"/>
      <c r="K10" s="17" t="n"/>
    </row>
    <row r="11">
      <c r="A11" s="20">
        <f>IF(B11&lt;&gt;"","HARD-GAP-" &amp; TEXT(8,"000"),"")</f>
        <v/>
      </c>
      <c r="B11" s="17" t="n"/>
      <c r="C11" s="17" t="n"/>
      <c r="D11" s="17" t="n"/>
      <c r="E11" s="17" t="n"/>
      <c r="F11" s="17" t="n"/>
      <c r="G11" s="17" t="n"/>
      <c r="H11" s="17" t="n"/>
      <c r="I11" s="17" t="n"/>
      <c r="J11" s="17" t="n"/>
      <c r="K11" s="17" t="n"/>
    </row>
    <row r="12">
      <c r="A12" s="20">
        <f>IF(B12&lt;&gt;"","HARD-GAP-" &amp; TEXT(9,"000"),"")</f>
        <v/>
      </c>
      <c r="B12" s="17" t="n"/>
      <c r="C12" s="17" t="n"/>
      <c r="D12" s="17" t="n"/>
      <c r="E12" s="17" t="n"/>
      <c r="F12" s="17" t="n"/>
      <c r="G12" s="17" t="n"/>
      <c r="H12" s="17" t="n"/>
      <c r="I12" s="17" t="n"/>
      <c r="J12" s="17" t="n"/>
      <c r="K12" s="17" t="n"/>
    </row>
    <row r="13">
      <c r="A13" s="20">
        <f>IF(B13&lt;&gt;"","HARD-GAP-" &amp; TEXT(10,"000"),"")</f>
        <v/>
      </c>
      <c r="B13" s="17" t="n"/>
      <c r="C13" s="17" t="n"/>
      <c r="D13" s="17" t="n"/>
      <c r="E13" s="17" t="n"/>
      <c r="F13" s="17" t="n"/>
      <c r="G13" s="17" t="n"/>
      <c r="H13" s="17" t="n"/>
      <c r="I13" s="17" t="n"/>
      <c r="J13" s="17" t="n"/>
      <c r="K13" s="17" t="n"/>
    </row>
    <row r="14">
      <c r="A14" s="20">
        <f>IF(B14&lt;&gt;"","HARD-GAP-" &amp; TEXT(11,"000"),"")</f>
        <v/>
      </c>
      <c r="B14" s="17" t="n"/>
      <c r="C14" s="17" t="n"/>
      <c r="D14" s="17" t="n"/>
      <c r="E14" s="17" t="n"/>
      <c r="F14" s="17" t="n"/>
      <c r="G14" s="17" t="n"/>
      <c r="H14" s="17" t="n"/>
      <c r="I14" s="17" t="n"/>
      <c r="J14" s="17" t="n"/>
      <c r="K14" s="17" t="n"/>
    </row>
    <row r="15">
      <c r="A15" s="20">
        <f>IF(B15&lt;&gt;"","HARD-GAP-" &amp; TEXT(12,"000"),"")</f>
        <v/>
      </c>
      <c r="B15" s="17" t="n"/>
      <c r="C15" s="17" t="n"/>
      <c r="D15" s="17" t="n"/>
      <c r="E15" s="17" t="n"/>
      <c r="F15" s="17" t="n"/>
      <c r="G15" s="17" t="n"/>
      <c r="H15" s="17" t="n"/>
      <c r="I15" s="17" t="n"/>
      <c r="J15" s="17" t="n"/>
      <c r="K15" s="17" t="n"/>
    </row>
    <row r="16">
      <c r="A16" s="20">
        <f>IF(B16&lt;&gt;"","HARD-GAP-" &amp; TEXT(13,"000"),"")</f>
        <v/>
      </c>
      <c r="B16" s="17" t="n"/>
      <c r="C16" s="17" t="n"/>
      <c r="D16" s="17" t="n"/>
      <c r="E16" s="17" t="n"/>
      <c r="F16" s="17" t="n"/>
      <c r="G16" s="17" t="n"/>
      <c r="H16" s="17" t="n"/>
      <c r="I16" s="17" t="n"/>
      <c r="J16" s="17" t="n"/>
      <c r="K16" s="17" t="n"/>
    </row>
    <row r="17">
      <c r="A17" s="20">
        <f>IF(B17&lt;&gt;"","HARD-GAP-" &amp; TEXT(14,"000"),"")</f>
        <v/>
      </c>
      <c r="B17" s="17" t="n"/>
      <c r="C17" s="17" t="n"/>
      <c r="D17" s="17" t="n"/>
      <c r="E17" s="17" t="n"/>
      <c r="F17" s="17" t="n"/>
      <c r="G17" s="17" t="n"/>
      <c r="H17" s="17" t="n"/>
      <c r="I17" s="17" t="n"/>
      <c r="J17" s="17" t="n"/>
      <c r="K17" s="17" t="n"/>
    </row>
    <row r="18">
      <c r="A18" s="20">
        <f>IF(B18&lt;&gt;"","HARD-GAP-" &amp; TEXT(15,"000"),"")</f>
        <v/>
      </c>
      <c r="B18" s="17" t="n"/>
      <c r="C18" s="17" t="n"/>
      <c r="D18" s="17" t="n"/>
      <c r="E18" s="17" t="n"/>
      <c r="F18" s="17" t="n"/>
      <c r="G18" s="17" t="n"/>
      <c r="H18" s="17" t="n"/>
      <c r="I18" s="17" t="n"/>
      <c r="J18" s="17" t="n"/>
      <c r="K18" s="17" t="n"/>
    </row>
    <row r="19">
      <c r="A19" s="20">
        <f>IF(B19&lt;&gt;"","HARD-GAP-" &amp; TEXT(16,"000"),"")</f>
        <v/>
      </c>
      <c r="B19" s="17" t="n"/>
      <c r="C19" s="17" t="n"/>
      <c r="D19" s="17" t="n"/>
      <c r="E19" s="17" t="n"/>
      <c r="F19" s="17" t="n"/>
      <c r="G19" s="17" t="n"/>
      <c r="H19" s="17" t="n"/>
      <c r="I19" s="17" t="n"/>
      <c r="J19" s="17" t="n"/>
      <c r="K19" s="17" t="n"/>
    </row>
    <row r="20">
      <c r="A20" s="20">
        <f>IF(B20&lt;&gt;"","HARD-GAP-" &amp; TEXT(17,"000"),"")</f>
        <v/>
      </c>
      <c r="B20" s="17" t="n"/>
      <c r="C20" s="17" t="n"/>
      <c r="D20" s="17" t="n"/>
      <c r="E20" s="17" t="n"/>
      <c r="F20" s="17" t="n"/>
      <c r="G20" s="17" t="n"/>
      <c r="H20" s="17" t="n"/>
      <c r="I20" s="17" t="n"/>
      <c r="J20" s="17" t="n"/>
      <c r="K20" s="17" t="n"/>
    </row>
    <row r="21">
      <c r="A21" s="20">
        <f>IF(B21&lt;&gt;"","HARD-GAP-" &amp; TEXT(18,"000"),"")</f>
        <v/>
      </c>
      <c r="B21" s="17" t="n"/>
      <c r="C21" s="17" t="n"/>
      <c r="D21" s="17" t="n"/>
      <c r="E21" s="17" t="n"/>
      <c r="F21" s="17" t="n"/>
      <c r="G21" s="17" t="n"/>
      <c r="H21" s="17" t="n"/>
      <c r="I21" s="17" t="n"/>
      <c r="J21" s="17" t="n"/>
      <c r="K21" s="17" t="n"/>
    </row>
    <row r="22">
      <c r="A22" s="20">
        <f>IF(B22&lt;&gt;"","HARD-GAP-" &amp; TEXT(19,"000"),"")</f>
        <v/>
      </c>
      <c r="B22" s="17" t="n"/>
      <c r="C22" s="17" t="n"/>
      <c r="D22" s="17" t="n"/>
      <c r="E22" s="17" t="n"/>
      <c r="F22" s="17" t="n"/>
      <c r="G22" s="17" t="n"/>
      <c r="H22" s="17" t="n"/>
      <c r="I22" s="17" t="n"/>
      <c r="J22" s="17" t="n"/>
      <c r="K22" s="17" t="n"/>
    </row>
    <row r="23">
      <c r="A23" s="20">
        <f>IF(B23&lt;&gt;"","HARD-GAP-" &amp; TEXT(20,"000"),"")</f>
        <v/>
      </c>
      <c r="B23" s="17" t="n"/>
      <c r="C23" s="17" t="n"/>
      <c r="D23" s="17" t="n"/>
      <c r="E23" s="17" t="n"/>
      <c r="F23" s="17" t="n"/>
      <c r="G23" s="17" t="n"/>
      <c r="H23" s="17" t="n"/>
      <c r="I23" s="17" t="n"/>
      <c r="J23" s="17" t="n"/>
      <c r="K23" s="17" t="n"/>
    </row>
    <row r="24">
      <c r="A24" s="20">
        <f>IF(B24&lt;&gt;"","HARD-GAP-" &amp; TEXT(21,"000"),"")</f>
        <v/>
      </c>
      <c r="B24" s="17" t="n"/>
      <c r="C24" s="17" t="n"/>
      <c r="D24" s="17" t="n"/>
      <c r="E24" s="17" t="n"/>
      <c r="F24" s="17" t="n"/>
      <c r="G24" s="17" t="n"/>
      <c r="H24" s="17" t="n"/>
      <c r="I24" s="17" t="n"/>
      <c r="J24" s="17" t="n"/>
      <c r="K24" s="17" t="n"/>
    </row>
    <row r="25">
      <c r="A25" s="20">
        <f>IF(B25&lt;&gt;"","HARD-GAP-" &amp; TEXT(22,"000"),"")</f>
        <v/>
      </c>
      <c r="B25" s="17" t="n"/>
      <c r="C25" s="17" t="n"/>
      <c r="D25" s="17" t="n"/>
      <c r="E25" s="17" t="n"/>
      <c r="F25" s="17" t="n"/>
      <c r="G25" s="17" t="n"/>
      <c r="H25" s="17" t="n"/>
      <c r="I25" s="17" t="n"/>
      <c r="J25" s="17" t="n"/>
      <c r="K25" s="17" t="n"/>
    </row>
    <row r="26">
      <c r="A26" s="20">
        <f>IF(B26&lt;&gt;"","HARD-GAP-" &amp; TEXT(23,"000"),"")</f>
        <v/>
      </c>
      <c r="B26" s="17" t="n"/>
      <c r="C26" s="17" t="n"/>
      <c r="D26" s="17" t="n"/>
      <c r="E26" s="17" t="n"/>
      <c r="F26" s="17" t="n"/>
      <c r="G26" s="17" t="n"/>
      <c r="H26" s="17" t="n"/>
      <c r="I26" s="17" t="n"/>
      <c r="J26" s="17" t="n"/>
      <c r="K26" s="17" t="n"/>
    </row>
    <row r="27">
      <c r="A27" s="20">
        <f>IF(B27&lt;&gt;"","HARD-GAP-" &amp; TEXT(24,"000"),"")</f>
        <v/>
      </c>
      <c r="B27" s="17" t="n"/>
      <c r="C27" s="17" t="n"/>
      <c r="D27" s="17" t="n"/>
      <c r="E27" s="17" t="n"/>
      <c r="F27" s="17" t="n"/>
      <c r="G27" s="17" t="n"/>
      <c r="H27" s="17" t="n"/>
      <c r="I27" s="17" t="n"/>
      <c r="J27" s="17" t="n"/>
      <c r="K27" s="17" t="n"/>
    </row>
    <row r="28">
      <c r="A28" s="20">
        <f>IF(B28&lt;&gt;"","HARD-GAP-" &amp; TEXT(25,"000"),"")</f>
        <v/>
      </c>
      <c r="B28" s="17" t="n"/>
      <c r="C28" s="17" t="n"/>
      <c r="D28" s="17" t="n"/>
      <c r="E28" s="17" t="n"/>
      <c r="F28" s="17" t="n"/>
      <c r="G28" s="17" t="n"/>
      <c r="H28" s="17" t="n"/>
      <c r="I28" s="17" t="n"/>
      <c r="J28" s="17" t="n"/>
      <c r="K28" s="17" t="n"/>
    </row>
    <row r="29">
      <c r="A29" s="20">
        <f>IF(B29&lt;&gt;"","HARD-GAP-" &amp; TEXT(26,"000"),"")</f>
        <v/>
      </c>
      <c r="B29" s="17" t="n"/>
      <c r="C29" s="17" t="n"/>
      <c r="D29" s="17" t="n"/>
      <c r="E29" s="17" t="n"/>
      <c r="F29" s="17" t="n"/>
      <c r="G29" s="17" t="n"/>
      <c r="H29" s="17" t="n"/>
      <c r="I29" s="17" t="n"/>
      <c r="J29" s="17" t="n"/>
      <c r="K29" s="17" t="n"/>
    </row>
    <row r="30">
      <c r="A30" s="20">
        <f>IF(B30&lt;&gt;"","HARD-GAP-" &amp; TEXT(27,"000"),"")</f>
        <v/>
      </c>
      <c r="B30" s="17" t="n"/>
      <c r="C30" s="17" t="n"/>
      <c r="D30" s="17" t="n"/>
      <c r="E30" s="17" t="n"/>
      <c r="F30" s="17" t="n"/>
      <c r="G30" s="17" t="n"/>
      <c r="H30" s="17" t="n"/>
      <c r="I30" s="17" t="n"/>
      <c r="J30" s="17" t="n"/>
      <c r="K30" s="17" t="n"/>
    </row>
    <row r="31">
      <c r="A31" s="20">
        <f>IF(B31&lt;&gt;"","HARD-GAP-" &amp; TEXT(28,"000"),"")</f>
        <v/>
      </c>
      <c r="B31" s="17" t="n"/>
      <c r="C31" s="17" t="n"/>
      <c r="D31" s="17" t="n"/>
      <c r="E31" s="17" t="n"/>
      <c r="F31" s="17" t="n"/>
      <c r="G31" s="17" t="n"/>
      <c r="H31" s="17" t="n"/>
      <c r="I31" s="17" t="n"/>
      <c r="J31" s="17" t="n"/>
      <c r="K31" s="17" t="n"/>
    </row>
    <row r="32">
      <c r="A32" s="20">
        <f>IF(B32&lt;&gt;"","HARD-GAP-" &amp; TEXT(29,"000"),"")</f>
        <v/>
      </c>
      <c r="B32" s="17" t="n"/>
      <c r="C32" s="17" t="n"/>
      <c r="D32" s="17" t="n"/>
      <c r="E32" s="17" t="n"/>
      <c r="F32" s="17" t="n"/>
      <c r="G32" s="17" t="n"/>
      <c r="H32" s="17" t="n"/>
      <c r="I32" s="17" t="n"/>
      <c r="J32" s="17" t="n"/>
      <c r="K32" s="17" t="n"/>
    </row>
    <row r="33">
      <c r="A33" s="20">
        <f>IF(B33&lt;&gt;"","HARD-GAP-" &amp; TEXT(30,"000"),"")</f>
        <v/>
      </c>
      <c r="B33" s="17" t="n"/>
      <c r="C33" s="17" t="n"/>
      <c r="D33" s="17" t="n"/>
      <c r="E33" s="17" t="n"/>
      <c r="F33" s="17" t="n"/>
      <c r="G33" s="17" t="n"/>
      <c r="H33" s="17" t="n"/>
      <c r="I33" s="17" t="n"/>
      <c r="J33" s="17" t="n"/>
      <c r="K33" s="17" t="n"/>
    </row>
    <row r="34">
      <c r="A34" s="20">
        <f>IF(B34&lt;&gt;"","HARD-GAP-" &amp; TEXT(31,"000"),"")</f>
        <v/>
      </c>
      <c r="B34" s="17" t="n"/>
      <c r="C34" s="17" t="n"/>
      <c r="D34" s="17" t="n"/>
      <c r="E34" s="17" t="n"/>
      <c r="F34" s="17" t="n"/>
      <c r="G34" s="17" t="n"/>
      <c r="H34" s="17" t="n"/>
      <c r="I34" s="17" t="n"/>
      <c r="J34" s="17" t="n"/>
      <c r="K34" s="17" t="n"/>
    </row>
    <row r="35">
      <c r="A35" s="20">
        <f>IF(B35&lt;&gt;"","HARD-GAP-" &amp; TEXT(32,"000"),"")</f>
        <v/>
      </c>
      <c r="B35" s="17" t="n"/>
      <c r="C35" s="17" t="n"/>
      <c r="D35" s="17" t="n"/>
      <c r="E35" s="17" t="n"/>
      <c r="F35" s="17" t="n"/>
      <c r="G35" s="17" t="n"/>
      <c r="H35" s="17" t="n"/>
      <c r="I35" s="17" t="n"/>
      <c r="J35" s="17" t="n"/>
      <c r="K35" s="17" t="n"/>
    </row>
    <row r="36">
      <c r="A36" s="20">
        <f>IF(B36&lt;&gt;"","HARD-GAP-" &amp; TEXT(33,"000"),"")</f>
        <v/>
      </c>
      <c r="B36" s="17" t="n"/>
      <c r="C36" s="17" t="n"/>
      <c r="D36" s="17" t="n"/>
      <c r="E36" s="17" t="n"/>
      <c r="F36" s="17" t="n"/>
      <c r="G36" s="17" t="n"/>
      <c r="H36" s="17" t="n"/>
      <c r="I36" s="17" t="n"/>
      <c r="J36" s="17" t="n"/>
      <c r="K36" s="17" t="n"/>
    </row>
    <row r="37">
      <c r="A37" s="20">
        <f>IF(B37&lt;&gt;"","HARD-GAP-" &amp; TEXT(34,"000"),"")</f>
        <v/>
      </c>
      <c r="B37" s="17" t="n"/>
      <c r="C37" s="17" t="n"/>
      <c r="D37" s="17" t="n"/>
      <c r="E37" s="17" t="n"/>
      <c r="F37" s="17" t="n"/>
      <c r="G37" s="17" t="n"/>
      <c r="H37" s="17" t="n"/>
      <c r="I37" s="17" t="n"/>
      <c r="J37" s="17" t="n"/>
      <c r="K37" s="17" t="n"/>
    </row>
    <row r="38">
      <c r="A38" s="20">
        <f>IF(B38&lt;&gt;"","HARD-GAP-" &amp; TEXT(35,"000"),"")</f>
        <v/>
      </c>
      <c r="B38" s="17" t="n"/>
      <c r="C38" s="17" t="n"/>
      <c r="D38" s="17" t="n"/>
      <c r="E38" s="17" t="n"/>
      <c r="F38" s="17" t="n"/>
      <c r="G38" s="17" t="n"/>
      <c r="H38" s="17" t="n"/>
      <c r="I38" s="17" t="n"/>
      <c r="J38" s="17" t="n"/>
      <c r="K38" s="17" t="n"/>
    </row>
    <row r="39">
      <c r="A39" s="20">
        <f>IF(B39&lt;&gt;"","HARD-GAP-" &amp; TEXT(36,"000"),"")</f>
        <v/>
      </c>
      <c r="B39" s="17" t="n"/>
      <c r="C39" s="17" t="n"/>
      <c r="D39" s="17" t="n"/>
      <c r="E39" s="17" t="n"/>
      <c r="F39" s="17" t="n"/>
      <c r="G39" s="17" t="n"/>
      <c r="H39" s="17" t="n"/>
      <c r="I39" s="17" t="n"/>
      <c r="J39" s="17" t="n"/>
      <c r="K39" s="17" t="n"/>
    </row>
    <row r="40">
      <c r="A40" s="20">
        <f>IF(B40&lt;&gt;"","HARD-GAP-" &amp; TEXT(37,"000"),"")</f>
        <v/>
      </c>
      <c r="B40" s="17" t="n"/>
      <c r="C40" s="17" t="n"/>
      <c r="D40" s="17" t="n"/>
      <c r="E40" s="17" t="n"/>
      <c r="F40" s="17" t="n"/>
      <c r="G40" s="17" t="n"/>
      <c r="H40" s="17" t="n"/>
      <c r="I40" s="17" t="n"/>
      <c r="J40" s="17" t="n"/>
      <c r="K40" s="17" t="n"/>
    </row>
    <row r="41">
      <c r="A41" s="20">
        <f>IF(B41&lt;&gt;"","HARD-GAP-" &amp; TEXT(38,"000"),"")</f>
        <v/>
      </c>
      <c r="B41" s="17" t="n"/>
      <c r="C41" s="17" t="n"/>
      <c r="D41" s="17" t="n"/>
      <c r="E41" s="17" t="n"/>
      <c r="F41" s="17" t="n"/>
      <c r="G41" s="17" t="n"/>
      <c r="H41" s="17" t="n"/>
      <c r="I41" s="17" t="n"/>
      <c r="J41" s="17" t="n"/>
      <c r="K41" s="17" t="n"/>
    </row>
    <row r="42">
      <c r="A42" s="20">
        <f>IF(B42&lt;&gt;"","HARD-GAP-" &amp; TEXT(39,"000"),"")</f>
        <v/>
      </c>
      <c r="B42" s="17" t="n"/>
      <c r="C42" s="17" t="n"/>
      <c r="D42" s="17" t="n"/>
      <c r="E42" s="17" t="n"/>
      <c r="F42" s="17" t="n"/>
      <c r="G42" s="17" t="n"/>
      <c r="H42" s="17" t="n"/>
      <c r="I42" s="17" t="n"/>
      <c r="J42" s="17" t="n"/>
      <c r="K42" s="17" t="n"/>
    </row>
    <row r="43">
      <c r="A43" s="20">
        <f>IF(B43&lt;&gt;"","HARD-GAP-" &amp; TEXT(40,"000"),"")</f>
        <v/>
      </c>
      <c r="B43" s="17" t="n"/>
      <c r="C43" s="17" t="n"/>
      <c r="D43" s="17" t="n"/>
      <c r="E43" s="17" t="n"/>
      <c r="F43" s="17" t="n"/>
      <c r="G43" s="17" t="n"/>
      <c r="H43" s="17" t="n"/>
      <c r="I43" s="17" t="n"/>
      <c r="J43" s="17" t="n"/>
      <c r="K43" s="17" t="n"/>
    </row>
    <row r="44">
      <c r="A44" s="20">
        <f>IF(B44&lt;&gt;"","HARD-GAP-" &amp; TEXT(41,"000"),"")</f>
        <v/>
      </c>
      <c r="B44" s="17" t="n"/>
      <c r="C44" s="17" t="n"/>
      <c r="D44" s="17" t="n"/>
      <c r="E44" s="17" t="n"/>
      <c r="F44" s="17" t="n"/>
      <c r="G44" s="17" t="n"/>
      <c r="H44" s="17" t="n"/>
      <c r="I44" s="17" t="n"/>
      <c r="J44" s="17" t="n"/>
      <c r="K44" s="17" t="n"/>
    </row>
    <row r="45">
      <c r="A45" s="20">
        <f>IF(B45&lt;&gt;"","HARD-GAP-" &amp; TEXT(42,"000"),"")</f>
        <v/>
      </c>
      <c r="B45" s="17" t="n"/>
      <c r="C45" s="17" t="n"/>
      <c r="D45" s="17" t="n"/>
      <c r="E45" s="17" t="n"/>
      <c r="F45" s="17" t="n"/>
      <c r="G45" s="17" t="n"/>
      <c r="H45" s="17" t="n"/>
      <c r="I45" s="17" t="n"/>
      <c r="J45" s="17" t="n"/>
      <c r="K45" s="17" t="n"/>
    </row>
    <row r="46">
      <c r="A46" s="20">
        <f>IF(B46&lt;&gt;"","HARD-GAP-" &amp; TEXT(43,"000"),"")</f>
        <v/>
      </c>
      <c r="B46" s="17" t="n"/>
      <c r="C46" s="17" t="n"/>
      <c r="D46" s="17" t="n"/>
      <c r="E46" s="17" t="n"/>
      <c r="F46" s="17" t="n"/>
      <c r="G46" s="17" t="n"/>
      <c r="H46" s="17" t="n"/>
      <c r="I46" s="17" t="n"/>
      <c r="J46" s="17" t="n"/>
      <c r="K46" s="17" t="n"/>
    </row>
    <row r="47">
      <c r="A47" s="20">
        <f>IF(B47&lt;&gt;"","HARD-GAP-" &amp; TEXT(44,"000"),"")</f>
        <v/>
      </c>
      <c r="B47" s="17" t="n"/>
      <c r="C47" s="17" t="n"/>
      <c r="D47" s="17" t="n"/>
      <c r="E47" s="17" t="n"/>
      <c r="F47" s="17" t="n"/>
      <c r="G47" s="17" t="n"/>
      <c r="H47" s="17" t="n"/>
      <c r="I47" s="17" t="n"/>
      <c r="J47" s="17" t="n"/>
      <c r="K47" s="17" t="n"/>
    </row>
    <row r="48">
      <c r="A48" s="20">
        <f>IF(B48&lt;&gt;"","HARD-GAP-" &amp; TEXT(45,"000"),"")</f>
        <v/>
      </c>
      <c r="B48" s="17" t="n"/>
      <c r="C48" s="17" t="n"/>
      <c r="D48" s="17" t="n"/>
      <c r="E48" s="17" t="n"/>
      <c r="F48" s="17" t="n"/>
      <c r="G48" s="17" t="n"/>
      <c r="H48" s="17" t="n"/>
      <c r="I48" s="17" t="n"/>
      <c r="J48" s="17" t="n"/>
      <c r="K48" s="17" t="n"/>
    </row>
    <row r="49">
      <c r="A49" s="20">
        <f>IF(B49&lt;&gt;"","HARD-GAP-" &amp; TEXT(46,"000"),"")</f>
        <v/>
      </c>
      <c r="B49" s="17" t="n"/>
      <c r="C49" s="17" t="n"/>
      <c r="D49" s="17" t="n"/>
      <c r="E49" s="17" t="n"/>
      <c r="F49" s="17" t="n"/>
      <c r="G49" s="17" t="n"/>
      <c r="H49" s="17" t="n"/>
      <c r="I49" s="17" t="n"/>
      <c r="J49" s="17" t="n"/>
      <c r="K49" s="17" t="n"/>
    </row>
    <row r="50">
      <c r="A50" s="20">
        <f>IF(B50&lt;&gt;"","HARD-GAP-" &amp; TEXT(47,"000"),"")</f>
        <v/>
      </c>
      <c r="B50" s="17" t="n"/>
      <c r="C50" s="17" t="n"/>
      <c r="D50" s="17" t="n"/>
      <c r="E50" s="17" t="n"/>
      <c r="F50" s="17" t="n"/>
      <c r="G50" s="17" t="n"/>
      <c r="H50" s="17" t="n"/>
      <c r="I50" s="17" t="n"/>
      <c r="J50" s="17" t="n"/>
      <c r="K50" s="17" t="n"/>
    </row>
    <row r="51">
      <c r="A51" s="20">
        <f>IF(B51&lt;&gt;"","HARD-GAP-" &amp; TEXT(48,"000"),"")</f>
        <v/>
      </c>
      <c r="B51" s="17" t="n"/>
      <c r="C51" s="17" t="n"/>
      <c r="D51" s="17" t="n"/>
      <c r="E51" s="17" t="n"/>
      <c r="F51" s="17" t="n"/>
      <c r="G51" s="17" t="n"/>
      <c r="H51" s="17" t="n"/>
      <c r="I51" s="17" t="n"/>
      <c r="J51" s="17" t="n"/>
      <c r="K51" s="17" t="n"/>
    </row>
    <row r="52">
      <c r="A52" s="20">
        <f>IF(B52&lt;&gt;"","HARD-GAP-" &amp; TEXT(49,"000"),"")</f>
        <v/>
      </c>
      <c r="B52" s="17" t="n"/>
      <c r="C52" s="17" t="n"/>
      <c r="D52" s="17" t="n"/>
      <c r="E52" s="17" t="n"/>
      <c r="F52" s="17" t="n"/>
      <c r="G52" s="17" t="n"/>
      <c r="H52" s="17" t="n"/>
      <c r="I52" s="17" t="n"/>
      <c r="J52" s="17" t="n"/>
      <c r="K52" s="17" t="n"/>
    </row>
    <row r="53">
      <c r="A53" s="20">
        <f>IF(B53&lt;&gt;"","HARD-GAP-" &amp; TEXT(50,"000"),"")</f>
        <v/>
      </c>
      <c r="B53" s="17" t="n"/>
      <c r="C53" s="17" t="n"/>
      <c r="D53" s="17" t="n"/>
      <c r="E53" s="17" t="n"/>
      <c r="F53" s="17" t="n"/>
      <c r="G53" s="17" t="n"/>
      <c r="H53" s="17" t="n"/>
      <c r="I53" s="17" t="n"/>
      <c r="J53" s="17" t="n"/>
      <c r="K53" s="17" t="n"/>
    </row>
    <row r="54">
      <c r="A54" s="20">
        <f>IF(B54&lt;&gt;"","HARD-GAP-" &amp; TEXT(51,"000"),"")</f>
        <v/>
      </c>
      <c r="B54" s="17" t="n"/>
      <c r="C54" s="17" t="n"/>
      <c r="D54" s="17" t="n"/>
      <c r="E54" s="17" t="n"/>
      <c r="F54" s="17" t="n"/>
      <c r="G54" s="17" t="n"/>
      <c r="H54" s="17" t="n"/>
      <c r="I54" s="17" t="n"/>
      <c r="J54" s="17" t="n"/>
      <c r="K54" s="17" t="n"/>
    </row>
    <row r="55">
      <c r="A55" s="20">
        <f>IF(B55&lt;&gt;"","HARD-GAP-" &amp; TEXT(52,"000"),"")</f>
        <v/>
      </c>
      <c r="B55" s="17" t="n"/>
      <c r="C55" s="17" t="n"/>
      <c r="D55" s="17" t="n"/>
      <c r="E55" s="17" t="n"/>
      <c r="F55" s="17" t="n"/>
      <c r="G55" s="17" t="n"/>
      <c r="H55" s="17" t="n"/>
      <c r="I55" s="17" t="n"/>
      <c r="J55" s="17" t="n"/>
      <c r="K55" s="17" t="n"/>
    </row>
    <row r="56">
      <c r="A56" s="20">
        <f>IF(B56&lt;&gt;"","HARD-GAP-" &amp; TEXT(53,"000"),"")</f>
        <v/>
      </c>
      <c r="B56" s="17" t="n"/>
      <c r="C56" s="17" t="n"/>
      <c r="D56" s="17" t="n"/>
      <c r="E56" s="17" t="n"/>
      <c r="F56" s="17" t="n"/>
      <c r="G56" s="17" t="n"/>
      <c r="H56" s="17" t="n"/>
      <c r="I56" s="17" t="n"/>
      <c r="J56" s="17" t="n"/>
      <c r="K56" s="17" t="n"/>
    </row>
    <row r="57">
      <c r="A57" s="20">
        <f>IF(B57&lt;&gt;"","HARD-GAP-" &amp; TEXT(54,"000"),"")</f>
        <v/>
      </c>
      <c r="B57" s="17" t="n"/>
      <c r="C57" s="17" t="n"/>
      <c r="D57" s="17" t="n"/>
      <c r="E57" s="17" t="n"/>
      <c r="F57" s="17" t="n"/>
      <c r="G57" s="17" t="n"/>
      <c r="H57" s="17" t="n"/>
      <c r="I57" s="17" t="n"/>
      <c r="J57" s="17" t="n"/>
      <c r="K57" s="17" t="n"/>
    </row>
    <row r="58">
      <c r="A58" s="20">
        <f>IF(B58&lt;&gt;"","HARD-GAP-" &amp; TEXT(55,"000"),"")</f>
        <v/>
      </c>
      <c r="B58" s="17" t="n"/>
      <c r="C58" s="17" t="n"/>
      <c r="D58" s="17" t="n"/>
      <c r="E58" s="17" t="n"/>
      <c r="F58" s="17" t="n"/>
      <c r="G58" s="17" t="n"/>
      <c r="H58" s="17" t="n"/>
      <c r="I58" s="17" t="n"/>
      <c r="J58" s="17" t="n"/>
      <c r="K58" s="17" t="n"/>
    </row>
    <row r="59">
      <c r="A59" s="20">
        <f>IF(B59&lt;&gt;"","HARD-GAP-" &amp; TEXT(56,"000"),"")</f>
        <v/>
      </c>
      <c r="B59" s="17" t="n"/>
      <c r="C59" s="17" t="n"/>
      <c r="D59" s="17" t="n"/>
      <c r="E59" s="17" t="n"/>
      <c r="F59" s="17" t="n"/>
      <c r="G59" s="17" t="n"/>
      <c r="H59" s="17" t="n"/>
      <c r="I59" s="17" t="n"/>
      <c r="J59" s="17" t="n"/>
      <c r="K59" s="17" t="n"/>
    </row>
    <row r="60">
      <c r="A60" s="20">
        <f>IF(B60&lt;&gt;"","HARD-GAP-" &amp; TEXT(57,"000"),"")</f>
        <v/>
      </c>
      <c r="B60" s="17" t="n"/>
      <c r="C60" s="17" t="n"/>
      <c r="D60" s="17" t="n"/>
      <c r="E60" s="17" t="n"/>
      <c r="F60" s="17" t="n"/>
      <c r="G60" s="17" t="n"/>
      <c r="H60" s="17" t="n"/>
      <c r="I60" s="17" t="n"/>
      <c r="J60" s="17" t="n"/>
      <c r="K60" s="17" t="n"/>
    </row>
    <row r="61">
      <c r="A61" s="20">
        <f>IF(B61&lt;&gt;"","HARD-GAP-" &amp; TEXT(58,"000"),"")</f>
        <v/>
      </c>
      <c r="B61" s="17" t="n"/>
      <c r="C61" s="17" t="n"/>
      <c r="D61" s="17" t="n"/>
      <c r="E61" s="17" t="n"/>
      <c r="F61" s="17" t="n"/>
      <c r="G61" s="17" t="n"/>
      <c r="H61" s="17" t="n"/>
      <c r="I61" s="17" t="n"/>
      <c r="J61" s="17" t="n"/>
      <c r="K61" s="17" t="n"/>
    </row>
    <row r="62">
      <c r="A62" s="20">
        <f>IF(B62&lt;&gt;"","HARD-GAP-" &amp; TEXT(59,"000"),"")</f>
        <v/>
      </c>
      <c r="B62" s="17" t="n"/>
      <c r="C62" s="17" t="n"/>
      <c r="D62" s="17" t="n"/>
      <c r="E62" s="17" t="n"/>
      <c r="F62" s="17" t="n"/>
      <c r="G62" s="17" t="n"/>
      <c r="H62" s="17" t="n"/>
      <c r="I62" s="17" t="n"/>
      <c r="J62" s="17" t="n"/>
      <c r="K62" s="17" t="n"/>
    </row>
    <row r="63">
      <c r="A63" s="20">
        <f>IF(B63&lt;&gt;"","HARD-GAP-" &amp; TEXT(60,"000"),"")</f>
        <v/>
      </c>
      <c r="B63" s="17" t="n"/>
      <c r="C63" s="17" t="n"/>
      <c r="D63" s="17" t="n"/>
      <c r="E63" s="17" t="n"/>
      <c r="F63" s="17" t="n"/>
      <c r="G63" s="17" t="n"/>
      <c r="H63" s="17" t="n"/>
      <c r="I63" s="17" t="n"/>
      <c r="J63" s="17" t="n"/>
      <c r="K63" s="17" t="n"/>
    </row>
    <row r="64">
      <c r="A64" s="20">
        <f>IF(B64&lt;&gt;"","HARD-GAP-" &amp; TEXT(61,"000"),"")</f>
        <v/>
      </c>
      <c r="B64" s="17" t="n"/>
      <c r="C64" s="17" t="n"/>
      <c r="D64" s="17" t="n"/>
      <c r="E64" s="17" t="n"/>
      <c r="F64" s="17" t="n"/>
      <c r="G64" s="17" t="n"/>
      <c r="H64" s="17" t="n"/>
      <c r="I64" s="17" t="n"/>
      <c r="J64" s="17" t="n"/>
      <c r="K64" s="17" t="n"/>
    </row>
    <row r="65">
      <c r="A65" s="20">
        <f>IF(B65&lt;&gt;"","HARD-GAP-" &amp; TEXT(62,"000"),"")</f>
        <v/>
      </c>
      <c r="B65" s="17" t="n"/>
      <c r="C65" s="17" t="n"/>
      <c r="D65" s="17" t="n"/>
      <c r="E65" s="17" t="n"/>
      <c r="F65" s="17" t="n"/>
      <c r="G65" s="17" t="n"/>
      <c r="H65" s="17" t="n"/>
      <c r="I65" s="17" t="n"/>
      <c r="J65" s="17" t="n"/>
      <c r="K65" s="17" t="n"/>
    </row>
    <row r="66">
      <c r="A66" s="20">
        <f>IF(B66&lt;&gt;"","HARD-GAP-" &amp; TEXT(63,"000"),"")</f>
        <v/>
      </c>
      <c r="B66" s="17" t="n"/>
      <c r="C66" s="17" t="n"/>
      <c r="D66" s="17" t="n"/>
      <c r="E66" s="17" t="n"/>
      <c r="F66" s="17" t="n"/>
      <c r="G66" s="17" t="n"/>
      <c r="H66" s="17" t="n"/>
      <c r="I66" s="17" t="n"/>
      <c r="J66" s="17" t="n"/>
      <c r="K66" s="17" t="n"/>
    </row>
    <row r="67">
      <c r="A67" s="20">
        <f>IF(B67&lt;&gt;"","HARD-GAP-" &amp; TEXT(64,"000"),"")</f>
        <v/>
      </c>
      <c r="B67" s="17" t="n"/>
      <c r="C67" s="17" t="n"/>
      <c r="D67" s="17" t="n"/>
      <c r="E67" s="17" t="n"/>
      <c r="F67" s="17" t="n"/>
      <c r="G67" s="17" t="n"/>
      <c r="H67" s="17" t="n"/>
      <c r="I67" s="17" t="n"/>
      <c r="J67" s="17" t="n"/>
      <c r="K67" s="17" t="n"/>
    </row>
    <row r="68">
      <c r="A68" s="20">
        <f>IF(B68&lt;&gt;"","HARD-GAP-" &amp; TEXT(65,"000"),"")</f>
        <v/>
      </c>
      <c r="B68" s="17" t="n"/>
      <c r="C68" s="17" t="n"/>
      <c r="D68" s="17" t="n"/>
      <c r="E68" s="17" t="n"/>
      <c r="F68" s="17" t="n"/>
      <c r="G68" s="17" t="n"/>
      <c r="H68" s="17" t="n"/>
      <c r="I68" s="17" t="n"/>
      <c r="J68" s="17" t="n"/>
      <c r="K68" s="17" t="n"/>
    </row>
    <row r="69">
      <c r="A69" s="20">
        <f>IF(B69&lt;&gt;"","HARD-GAP-" &amp; TEXT(66,"000"),"")</f>
        <v/>
      </c>
      <c r="B69" s="17" t="n"/>
      <c r="C69" s="17" t="n"/>
      <c r="D69" s="17" t="n"/>
      <c r="E69" s="17" t="n"/>
      <c r="F69" s="17" t="n"/>
      <c r="G69" s="17" t="n"/>
      <c r="H69" s="17" t="n"/>
      <c r="I69" s="17" t="n"/>
      <c r="J69" s="17" t="n"/>
      <c r="K69" s="17" t="n"/>
    </row>
    <row r="70">
      <c r="A70" s="20">
        <f>IF(B70&lt;&gt;"","HARD-GAP-" &amp; TEXT(67,"000"),"")</f>
        <v/>
      </c>
      <c r="B70" s="17" t="n"/>
      <c r="C70" s="17" t="n"/>
      <c r="D70" s="17" t="n"/>
      <c r="E70" s="17" t="n"/>
      <c r="F70" s="17" t="n"/>
      <c r="G70" s="17" t="n"/>
      <c r="H70" s="17" t="n"/>
      <c r="I70" s="17" t="n"/>
      <c r="J70" s="17" t="n"/>
      <c r="K70" s="17" t="n"/>
    </row>
    <row r="71">
      <c r="A71" s="20">
        <f>IF(B71&lt;&gt;"","HARD-GAP-" &amp; TEXT(68,"000"),"")</f>
        <v/>
      </c>
      <c r="B71" s="17" t="n"/>
      <c r="C71" s="17" t="n"/>
      <c r="D71" s="17" t="n"/>
      <c r="E71" s="17" t="n"/>
      <c r="F71" s="17" t="n"/>
      <c r="G71" s="17" t="n"/>
      <c r="H71" s="17" t="n"/>
      <c r="I71" s="17" t="n"/>
      <c r="J71" s="17" t="n"/>
      <c r="K71" s="17" t="n"/>
    </row>
    <row r="72">
      <c r="A72" s="20">
        <f>IF(B72&lt;&gt;"","HARD-GAP-" &amp; TEXT(69,"000"),"")</f>
        <v/>
      </c>
      <c r="B72" s="17" t="n"/>
      <c r="C72" s="17" t="n"/>
      <c r="D72" s="17" t="n"/>
      <c r="E72" s="17" t="n"/>
      <c r="F72" s="17" t="n"/>
      <c r="G72" s="17" t="n"/>
      <c r="H72" s="17" t="n"/>
      <c r="I72" s="17" t="n"/>
      <c r="J72" s="17" t="n"/>
      <c r="K72" s="17" t="n"/>
    </row>
    <row r="73">
      <c r="A73" s="20">
        <f>IF(B73&lt;&gt;"","HARD-GAP-" &amp; TEXT(70,"000"),"")</f>
        <v/>
      </c>
      <c r="B73" s="17" t="n"/>
      <c r="C73" s="17" t="n"/>
      <c r="D73" s="17" t="n"/>
      <c r="E73" s="17" t="n"/>
      <c r="F73" s="17" t="n"/>
      <c r="G73" s="17" t="n"/>
      <c r="H73" s="17" t="n"/>
      <c r="I73" s="17" t="n"/>
      <c r="J73" s="17" t="n"/>
      <c r="K73" s="17" t="n"/>
    </row>
    <row r="74">
      <c r="A74" s="20">
        <f>IF(B74&lt;&gt;"","HARD-GAP-" &amp; TEXT(71,"000"),"")</f>
        <v/>
      </c>
      <c r="B74" s="17" t="n"/>
      <c r="C74" s="17" t="n"/>
      <c r="D74" s="17" t="n"/>
      <c r="E74" s="17" t="n"/>
      <c r="F74" s="17" t="n"/>
      <c r="G74" s="17" t="n"/>
      <c r="H74" s="17" t="n"/>
      <c r="I74" s="17" t="n"/>
      <c r="J74" s="17" t="n"/>
      <c r="K74" s="17" t="n"/>
    </row>
    <row r="75">
      <c r="A75" s="20">
        <f>IF(B75&lt;&gt;"","HARD-GAP-" &amp; TEXT(72,"000"),"")</f>
        <v/>
      </c>
      <c r="B75" s="17" t="n"/>
      <c r="C75" s="17" t="n"/>
      <c r="D75" s="17" t="n"/>
      <c r="E75" s="17" t="n"/>
      <c r="F75" s="17" t="n"/>
      <c r="G75" s="17" t="n"/>
      <c r="H75" s="17" t="n"/>
      <c r="I75" s="17" t="n"/>
      <c r="J75" s="17" t="n"/>
      <c r="K75" s="17" t="n"/>
    </row>
    <row r="76">
      <c r="A76" s="20">
        <f>IF(B76&lt;&gt;"","HARD-GAP-" &amp; TEXT(73,"000"),"")</f>
        <v/>
      </c>
      <c r="B76" s="17" t="n"/>
      <c r="C76" s="17" t="n"/>
      <c r="D76" s="17" t="n"/>
      <c r="E76" s="17" t="n"/>
      <c r="F76" s="17" t="n"/>
      <c r="G76" s="17" t="n"/>
      <c r="H76" s="17" t="n"/>
      <c r="I76" s="17" t="n"/>
      <c r="J76" s="17" t="n"/>
      <c r="K76" s="17" t="n"/>
    </row>
    <row r="77">
      <c r="A77" s="20">
        <f>IF(B77&lt;&gt;"","HARD-GAP-" &amp; TEXT(74,"000"),"")</f>
        <v/>
      </c>
      <c r="B77" s="17" t="n"/>
      <c r="C77" s="17" t="n"/>
      <c r="D77" s="17" t="n"/>
      <c r="E77" s="17" t="n"/>
      <c r="F77" s="17" t="n"/>
      <c r="G77" s="17" t="n"/>
      <c r="H77" s="17" t="n"/>
      <c r="I77" s="17" t="n"/>
      <c r="J77" s="17" t="n"/>
      <c r="K77" s="17" t="n"/>
    </row>
    <row r="78">
      <c r="A78" s="20">
        <f>IF(B78&lt;&gt;"","HARD-GAP-" &amp; TEXT(75,"000"),"")</f>
        <v/>
      </c>
      <c r="B78" s="17" t="n"/>
      <c r="C78" s="17" t="n"/>
      <c r="D78" s="17" t="n"/>
      <c r="E78" s="17" t="n"/>
      <c r="F78" s="17" t="n"/>
      <c r="G78" s="17" t="n"/>
      <c r="H78" s="17" t="n"/>
      <c r="I78" s="17" t="n"/>
      <c r="J78" s="17" t="n"/>
      <c r="K78" s="17" t="n"/>
    </row>
    <row r="79">
      <c r="A79" s="20">
        <f>IF(B79&lt;&gt;"","HARD-GAP-" &amp; TEXT(76,"000"),"")</f>
        <v/>
      </c>
      <c r="B79" s="17" t="n"/>
      <c r="C79" s="17" t="n"/>
      <c r="D79" s="17" t="n"/>
      <c r="E79" s="17" t="n"/>
      <c r="F79" s="17" t="n"/>
      <c r="G79" s="17" t="n"/>
      <c r="H79" s="17" t="n"/>
      <c r="I79" s="17" t="n"/>
      <c r="J79" s="17" t="n"/>
      <c r="K79" s="17" t="n"/>
    </row>
    <row r="80">
      <c r="A80" s="20">
        <f>IF(B80&lt;&gt;"","HARD-GAP-" &amp; TEXT(77,"000"),"")</f>
        <v/>
      </c>
      <c r="B80" s="17" t="n"/>
      <c r="C80" s="17" t="n"/>
      <c r="D80" s="17" t="n"/>
      <c r="E80" s="17" t="n"/>
      <c r="F80" s="17" t="n"/>
      <c r="G80" s="17" t="n"/>
      <c r="H80" s="17" t="n"/>
      <c r="I80" s="17" t="n"/>
      <c r="J80" s="17" t="n"/>
      <c r="K80" s="17" t="n"/>
    </row>
    <row r="81">
      <c r="A81" s="20">
        <f>IF(B81&lt;&gt;"","HARD-GAP-" &amp; TEXT(78,"000"),"")</f>
        <v/>
      </c>
      <c r="B81" s="17" t="n"/>
      <c r="C81" s="17" t="n"/>
      <c r="D81" s="17" t="n"/>
      <c r="E81" s="17" t="n"/>
      <c r="F81" s="17" t="n"/>
      <c r="G81" s="17" t="n"/>
      <c r="H81" s="17" t="n"/>
      <c r="I81" s="17" t="n"/>
      <c r="J81" s="17" t="n"/>
      <c r="K81" s="17" t="n"/>
    </row>
    <row r="82">
      <c r="A82" s="20">
        <f>IF(B82&lt;&gt;"","HARD-GAP-" &amp; TEXT(79,"000"),"")</f>
        <v/>
      </c>
      <c r="B82" s="17" t="n"/>
      <c r="C82" s="17" t="n"/>
      <c r="D82" s="17" t="n"/>
      <c r="E82" s="17" t="n"/>
      <c r="F82" s="17" t="n"/>
      <c r="G82" s="17" t="n"/>
      <c r="H82" s="17" t="n"/>
      <c r="I82" s="17" t="n"/>
      <c r="J82" s="17" t="n"/>
      <c r="K82" s="17" t="n"/>
    </row>
    <row r="83">
      <c r="A83" s="20">
        <f>IF(B83&lt;&gt;"","HARD-GAP-" &amp; TEXT(80,"000"),"")</f>
        <v/>
      </c>
      <c r="B83" s="17" t="n"/>
      <c r="C83" s="17" t="n"/>
      <c r="D83" s="17" t="n"/>
      <c r="E83" s="17" t="n"/>
      <c r="F83" s="17" t="n"/>
      <c r="G83" s="17" t="n"/>
      <c r="H83" s="17" t="n"/>
      <c r="I83" s="17" t="n"/>
      <c r="J83" s="17" t="n"/>
      <c r="K83" s="17" t="n"/>
    </row>
    <row r="84">
      <c r="A84" s="20">
        <f>IF(B84&lt;&gt;"","HARD-GAP-" &amp; TEXT(81,"000"),"")</f>
        <v/>
      </c>
      <c r="B84" s="17" t="n"/>
      <c r="C84" s="17" t="n"/>
      <c r="D84" s="17" t="n"/>
      <c r="E84" s="17" t="n"/>
      <c r="F84" s="17" t="n"/>
      <c r="G84" s="17" t="n"/>
      <c r="H84" s="17" t="n"/>
      <c r="I84" s="17" t="n"/>
      <c r="J84" s="17" t="n"/>
      <c r="K84" s="17" t="n"/>
    </row>
    <row r="85">
      <c r="A85" s="20">
        <f>IF(B85&lt;&gt;"","HARD-GAP-" &amp; TEXT(82,"000"),"")</f>
        <v/>
      </c>
      <c r="B85" s="17" t="n"/>
      <c r="C85" s="17" t="n"/>
      <c r="D85" s="17" t="n"/>
      <c r="E85" s="17" t="n"/>
      <c r="F85" s="17" t="n"/>
      <c r="G85" s="17" t="n"/>
      <c r="H85" s="17" t="n"/>
      <c r="I85" s="17" t="n"/>
      <c r="J85" s="17" t="n"/>
      <c r="K85" s="17" t="n"/>
    </row>
    <row r="86">
      <c r="A86" s="20">
        <f>IF(B86&lt;&gt;"","HARD-GAP-" &amp; TEXT(83,"000"),"")</f>
        <v/>
      </c>
      <c r="B86" s="17" t="n"/>
      <c r="C86" s="17" t="n"/>
      <c r="D86" s="17" t="n"/>
      <c r="E86" s="17" t="n"/>
      <c r="F86" s="17" t="n"/>
      <c r="G86" s="17" t="n"/>
      <c r="H86" s="17" t="n"/>
      <c r="I86" s="17" t="n"/>
      <c r="J86" s="17" t="n"/>
      <c r="K86" s="17" t="n"/>
    </row>
    <row r="87">
      <c r="A87" s="20">
        <f>IF(B87&lt;&gt;"","HARD-GAP-" &amp; TEXT(84,"000"),"")</f>
        <v/>
      </c>
      <c r="B87" s="17" t="n"/>
      <c r="C87" s="17" t="n"/>
      <c r="D87" s="17" t="n"/>
      <c r="E87" s="17" t="n"/>
      <c r="F87" s="17" t="n"/>
      <c r="G87" s="17" t="n"/>
      <c r="H87" s="17" t="n"/>
      <c r="I87" s="17" t="n"/>
      <c r="J87" s="17" t="n"/>
      <c r="K87" s="17" t="n"/>
    </row>
    <row r="88">
      <c r="A88" s="20">
        <f>IF(B88&lt;&gt;"","HARD-GAP-" &amp; TEXT(85,"000"),"")</f>
        <v/>
      </c>
      <c r="B88" s="17" t="n"/>
      <c r="C88" s="17" t="n"/>
      <c r="D88" s="17" t="n"/>
      <c r="E88" s="17" t="n"/>
      <c r="F88" s="17" t="n"/>
      <c r="G88" s="17" t="n"/>
      <c r="H88" s="17" t="n"/>
      <c r="I88" s="17" t="n"/>
      <c r="J88" s="17" t="n"/>
      <c r="K88" s="17" t="n"/>
    </row>
    <row r="89">
      <c r="A89" s="20">
        <f>IF(B89&lt;&gt;"","HARD-GAP-" &amp; TEXT(86,"000"),"")</f>
        <v/>
      </c>
      <c r="B89" s="17" t="n"/>
      <c r="C89" s="17" t="n"/>
      <c r="D89" s="17" t="n"/>
      <c r="E89" s="17" t="n"/>
      <c r="F89" s="17" t="n"/>
      <c r="G89" s="17" t="n"/>
      <c r="H89" s="17" t="n"/>
      <c r="I89" s="17" t="n"/>
      <c r="J89" s="17" t="n"/>
      <c r="K89" s="17" t="n"/>
    </row>
    <row r="90">
      <c r="A90" s="20">
        <f>IF(B90&lt;&gt;"","HARD-GAP-" &amp; TEXT(87,"000"),"")</f>
        <v/>
      </c>
      <c r="B90" s="17" t="n"/>
      <c r="C90" s="17" t="n"/>
      <c r="D90" s="17" t="n"/>
      <c r="E90" s="17" t="n"/>
      <c r="F90" s="17" t="n"/>
      <c r="G90" s="17" t="n"/>
      <c r="H90" s="17" t="n"/>
      <c r="I90" s="17" t="n"/>
      <c r="J90" s="17" t="n"/>
      <c r="K90" s="17" t="n"/>
    </row>
    <row r="91">
      <c r="A91" s="20">
        <f>IF(B91&lt;&gt;"","HARD-GAP-" &amp; TEXT(88,"000"),"")</f>
        <v/>
      </c>
      <c r="B91" s="17" t="n"/>
      <c r="C91" s="17" t="n"/>
      <c r="D91" s="17" t="n"/>
      <c r="E91" s="17" t="n"/>
      <c r="F91" s="17" t="n"/>
      <c r="G91" s="17" t="n"/>
      <c r="H91" s="17" t="n"/>
      <c r="I91" s="17" t="n"/>
      <c r="J91" s="17" t="n"/>
      <c r="K91" s="17" t="n"/>
    </row>
    <row r="92">
      <c r="A92" s="20">
        <f>IF(B92&lt;&gt;"","HARD-GAP-" &amp; TEXT(89,"000"),"")</f>
        <v/>
      </c>
      <c r="B92" s="17" t="n"/>
      <c r="C92" s="17" t="n"/>
      <c r="D92" s="17" t="n"/>
      <c r="E92" s="17" t="n"/>
      <c r="F92" s="17" t="n"/>
      <c r="G92" s="17" t="n"/>
      <c r="H92" s="17" t="n"/>
      <c r="I92" s="17" t="n"/>
      <c r="J92" s="17" t="n"/>
      <c r="K92" s="17" t="n"/>
    </row>
    <row r="93">
      <c r="A93" s="20">
        <f>IF(B93&lt;&gt;"","HARD-GAP-" &amp; TEXT(90,"000"),"")</f>
        <v/>
      </c>
      <c r="B93" s="17" t="n"/>
      <c r="C93" s="17" t="n"/>
      <c r="D93" s="17" t="n"/>
      <c r="E93" s="17" t="n"/>
      <c r="F93" s="17" t="n"/>
      <c r="G93" s="17" t="n"/>
      <c r="H93" s="17" t="n"/>
      <c r="I93" s="17" t="n"/>
      <c r="J93" s="17" t="n"/>
      <c r="K93" s="17" t="n"/>
    </row>
    <row r="94">
      <c r="A94" s="20">
        <f>IF(B94&lt;&gt;"","HARD-GAP-" &amp; TEXT(91,"000"),"")</f>
        <v/>
      </c>
      <c r="B94" s="17" t="n"/>
      <c r="C94" s="17" t="n"/>
      <c r="D94" s="17" t="n"/>
      <c r="E94" s="17" t="n"/>
      <c r="F94" s="17" t="n"/>
      <c r="G94" s="17" t="n"/>
      <c r="H94" s="17" t="n"/>
      <c r="I94" s="17" t="n"/>
      <c r="J94" s="17" t="n"/>
      <c r="K94" s="17" t="n"/>
    </row>
    <row r="95">
      <c r="A95" s="20">
        <f>IF(B95&lt;&gt;"","HARD-GAP-" &amp; TEXT(92,"000"),"")</f>
        <v/>
      </c>
      <c r="B95" s="17" t="n"/>
      <c r="C95" s="17" t="n"/>
      <c r="D95" s="17" t="n"/>
      <c r="E95" s="17" t="n"/>
      <c r="F95" s="17" t="n"/>
      <c r="G95" s="17" t="n"/>
      <c r="H95" s="17" t="n"/>
      <c r="I95" s="17" t="n"/>
      <c r="J95" s="17" t="n"/>
      <c r="K95" s="17" t="n"/>
    </row>
    <row r="96">
      <c r="A96" s="20">
        <f>IF(B96&lt;&gt;"","HARD-GAP-" &amp; TEXT(93,"000"),"")</f>
        <v/>
      </c>
      <c r="B96" s="17" t="n"/>
      <c r="C96" s="17" t="n"/>
      <c r="D96" s="17" t="n"/>
      <c r="E96" s="17" t="n"/>
      <c r="F96" s="17" t="n"/>
      <c r="G96" s="17" t="n"/>
      <c r="H96" s="17" t="n"/>
      <c r="I96" s="17" t="n"/>
      <c r="J96" s="17" t="n"/>
      <c r="K96" s="17" t="n"/>
    </row>
    <row r="97">
      <c r="A97" s="20">
        <f>IF(B97&lt;&gt;"","HARD-GAP-" &amp; TEXT(94,"000"),"")</f>
        <v/>
      </c>
      <c r="B97" s="17" t="n"/>
      <c r="C97" s="17" t="n"/>
      <c r="D97" s="17" t="n"/>
      <c r="E97" s="17" t="n"/>
      <c r="F97" s="17" t="n"/>
      <c r="G97" s="17" t="n"/>
      <c r="H97" s="17" t="n"/>
      <c r="I97" s="17" t="n"/>
      <c r="J97" s="17" t="n"/>
      <c r="K97" s="17" t="n"/>
    </row>
    <row r="98">
      <c r="A98" s="20">
        <f>IF(B98&lt;&gt;"","HARD-GAP-" &amp; TEXT(95,"000"),"")</f>
        <v/>
      </c>
      <c r="B98" s="17" t="n"/>
      <c r="C98" s="17" t="n"/>
      <c r="D98" s="17" t="n"/>
      <c r="E98" s="17" t="n"/>
      <c r="F98" s="17" t="n"/>
      <c r="G98" s="17" t="n"/>
      <c r="H98" s="17" t="n"/>
      <c r="I98" s="17" t="n"/>
      <c r="J98" s="17" t="n"/>
      <c r="K98" s="17" t="n"/>
    </row>
    <row r="99">
      <c r="A99" s="20">
        <f>IF(B99&lt;&gt;"","HARD-GAP-" &amp; TEXT(96,"000"),"")</f>
        <v/>
      </c>
      <c r="B99" s="17" t="n"/>
      <c r="C99" s="17" t="n"/>
      <c r="D99" s="17" t="n"/>
      <c r="E99" s="17" t="n"/>
      <c r="F99" s="17" t="n"/>
      <c r="G99" s="17" t="n"/>
      <c r="H99" s="17" t="n"/>
      <c r="I99" s="17" t="n"/>
      <c r="J99" s="17" t="n"/>
      <c r="K99" s="17" t="n"/>
    </row>
    <row r="100">
      <c r="A100" s="20">
        <f>IF(B100&lt;&gt;"","HARD-GAP-" &amp; TEXT(97,"000"),"")</f>
        <v/>
      </c>
      <c r="B100" s="17" t="n"/>
      <c r="C100" s="17" t="n"/>
      <c r="D100" s="17" t="n"/>
      <c r="E100" s="17" t="n"/>
      <c r="F100" s="17" t="n"/>
      <c r="G100" s="17" t="n"/>
      <c r="H100" s="17" t="n"/>
      <c r="I100" s="17" t="n"/>
      <c r="J100" s="17" t="n"/>
      <c r="K100" s="17" t="n"/>
    </row>
    <row r="101">
      <c r="A101" s="20">
        <f>IF(B101&lt;&gt;"","HARD-GAP-" &amp; TEXT(98,"000"),"")</f>
        <v/>
      </c>
      <c r="B101" s="17" t="n"/>
      <c r="C101" s="17" t="n"/>
      <c r="D101" s="17" t="n"/>
      <c r="E101" s="17" t="n"/>
      <c r="F101" s="17" t="n"/>
      <c r="G101" s="17" t="n"/>
      <c r="H101" s="17" t="n"/>
      <c r="I101" s="17" t="n"/>
      <c r="J101" s="17" t="n"/>
      <c r="K101" s="17" t="n"/>
    </row>
    <row r="102">
      <c r="A102" s="20">
        <f>IF(B102&lt;&gt;"","HARD-GAP-" &amp; TEXT(99,"000"),"")</f>
        <v/>
      </c>
      <c r="B102" s="17" t="n"/>
      <c r="C102" s="17" t="n"/>
      <c r="D102" s="17" t="n"/>
      <c r="E102" s="17" t="n"/>
      <c r="F102" s="17" t="n"/>
      <c r="G102" s="17" t="n"/>
      <c r="H102" s="17" t="n"/>
      <c r="I102" s="17" t="n"/>
      <c r="J102" s="17" t="n"/>
      <c r="K102" s="17" t="n"/>
    </row>
    <row r="103">
      <c r="A103" s="20">
        <f>IF(B103&lt;&gt;"","HARD-GAP-" &amp; TEXT(100,"000"),"")</f>
        <v/>
      </c>
      <c r="B103" s="17" t="n"/>
      <c r="C103" s="17" t="n"/>
      <c r="D103" s="17" t="n"/>
      <c r="E103" s="17" t="n"/>
      <c r="F103" s="17" t="n"/>
      <c r="G103" s="17" t="n"/>
      <c r="H103" s="17" t="n"/>
      <c r="I103" s="17" t="n"/>
      <c r="J103" s="17" t="n"/>
      <c r="K103" s="17" t="n"/>
    </row>
    <row r="105">
      <c r="A105" s="19" t="inlineStr">
        <is>
          <t>Gap Severity Guidelines</t>
        </is>
      </c>
      <c r="B105" s="6" t="n"/>
      <c r="C105" s="6" t="n"/>
      <c r="D105" s="6" t="n"/>
      <c r="E105" s="6" t="n"/>
      <c r="F105" s="6" t="n"/>
      <c r="G105" s="6" t="n"/>
      <c r="H105" s="6" t="n"/>
      <c r="I105" s="6" t="n"/>
      <c r="J105" s="6" t="n"/>
      <c r="K105" s="6" t="n"/>
    </row>
    <row r="106">
      <c r="A106" s="13" t="inlineStr">
        <is>
          <t>Severity</t>
        </is>
      </c>
      <c r="B106" s="13" t="inlineStr">
        <is>
          <t>Definition</t>
        </is>
      </c>
      <c r="C106" s="13" t="inlineStr">
        <is>
          <t>Examples</t>
        </is>
      </c>
    </row>
    <row r="107">
      <c r="A107" s="21" t="inlineStr">
        <is>
          <t>Critical</t>
        </is>
      </c>
      <c r="B107" s="12" t="inlineStr">
        <is>
          <t>Immediate exploitation risk, default credentials, no encryption</t>
        </is>
      </c>
      <c r="C107" s="12" t="inlineStr">
        <is>
          <t>Default passwords still enabled, Telnet enabled on Internet-facing device</t>
        </is>
      </c>
    </row>
    <row r="108">
      <c r="A108" s="22" t="inlineStr">
        <is>
          <t>High</t>
        </is>
      </c>
      <c r="B108" s="12" t="inlineStr">
        <is>
          <t>Significant risk, missing key controls</t>
        </is>
      </c>
      <c r="C108" s="12" t="inlineStr">
        <is>
          <t>No MFA for admin access, SNMPv1/v2c enabled, no logging</t>
        </is>
      </c>
    </row>
    <row r="109">
      <c r="A109" s="23" t="inlineStr">
        <is>
          <t>Medium</t>
        </is>
      </c>
      <c r="B109" s="12" t="inlineStr">
        <is>
          <t>Moderate risk, important controls missing</t>
        </is>
      </c>
      <c r="C109" s="12" t="inlineStr">
        <is>
          <t>Weak password policy, no session timeouts, outdated firmware (non-critical)</t>
        </is>
      </c>
    </row>
    <row r="110">
      <c r="A110" s="24" t="inlineStr">
        <is>
          <t>Low</t>
        </is>
      </c>
      <c r="B110" s="12" t="inlineStr">
        <is>
          <t>Minor gap, limited risk</t>
        </is>
      </c>
      <c r="C110" s="12" t="inlineStr">
        <is>
          <t>Missing login banner, unused ports not disabled</t>
        </is>
      </c>
    </row>
  </sheetData>
  <mergeCells count="3">
    <mergeCell ref="A2:K2"/>
    <mergeCell ref="A105:K105"/>
    <mergeCell ref="A1:K1"/>
  </mergeCells>
  <conditionalFormatting sqref="G4:G103">
    <cfRule type="cellIs" priority="1" operator="equal" dxfId="6">
      <formula>"Critical"</formula>
    </cfRule>
    <cfRule type="cellIs" priority="2" operator="equal" dxfId="4">
      <formula>"High"</formula>
    </cfRule>
    <cfRule type="cellIs" priority="3" operator="equal" dxfId="7">
      <formula>"Medium"</formula>
    </cfRule>
    <cfRule type="cellIs" priority="4" operator="equal" dxfId="3">
      <formula>"Low"</formula>
    </cfRule>
  </conditionalFormatting>
  <dataValidations count="2">
    <dataValidation sqref="B4:B53 G5:G103" showDropDown="0" showInputMessage="0" showErrorMessage="0" allowBlank="0" type="list">
      <formula1>"Critical,High,Medium,Low"</formula1>
    </dataValidation>
    <dataValidation sqref="H4:H53 J5:J103" showDropDown="0" showInputMessage="0" showErrorMessage="0" allowBlank="0" type="list">
      <formula1>"Open,In Progress,Completed,Accepted Risk,Deferred"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25" customWidth="1" min="1" max="1"/>
    <col width="15" customWidth="1" min="2" max="2"/>
    <col width="20" customWidth="1" min="3" max="3"/>
    <col width="15" customWidth="1" min="4" max="4"/>
    <col width="15" customWidth="1" min="5" max="5"/>
    <col width="3" customWidth="1" min="6" max="6"/>
  </cols>
  <sheetData>
    <row r="1" ht="35" customHeight="1">
      <c r="A1" s="11" t="inlineStr">
        <is>
          <t>COMPLIANCE ANALYSIS BY DEVICE TYPE</t>
        </is>
      </c>
    </row>
    <row r="2">
      <c r="A2" s="12" t="inlineStr">
        <is>
          <t>Breakdown of hardening compliance scores by device type to identify problem areas</t>
        </is>
      </c>
    </row>
    <row r="4">
      <c r="A4" s="19" t="inlineStr">
        <is>
          <t>Average Compliance Score by Device Type</t>
        </is>
      </c>
      <c r="B4" s="6" t="n"/>
      <c r="C4" s="6" t="n"/>
      <c r="D4" s="6" t="n"/>
      <c r="E4" s="6" t="n"/>
    </row>
    <row r="5">
      <c r="A5" s="13" t="inlineStr">
        <is>
          <t>Device Type</t>
        </is>
      </c>
      <c r="B5" s="13" t="inlineStr">
        <is>
          <t>Device Count</t>
        </is>
      </c>
      <c r="C5" s="13" t="inlineStr">
        <is>
          <t>Avg Compliance Score</t>
        </is>
      </c>
      <c r="D5" s="13" t="inlineStr">
        <is>
          <t>Min Score</t>
        </is>
      </c>
      <c r="E5" s="13" t="inlineStr">
        <is>
          <t>Max Score</t>
        </is>
      </c>
    </row>
    <row r="6">
      <c r="A6" s="12" t="inlineStr">
        <is>
          <t>Router</t>
        </is>
      </c>
      <c r="B6" s="12">
        <f>COUNTIF('Device Hardening Assessment'!B5:B54,"Router")</f>
        <v/>
      </c>
      <c r="C6" s="25">
        <f>IFERROR(AVERAGEIF('Device Hardening Assessment'!B5:B54,"Router",'Device Hardening Assessment'!U5:U54),"")</f>
        <v/>
      </c>
      <c r="D6" s="25">
        <f>IFERROR(MINIFS('Device Hardening Assessment'!U5:U54,'Device Hardening Assessment'!B5:B54,"Router"),"")</f>
        <v/>
      </c>
      <c r="E6" s="25">
        <f>IFERROR(MAXIFS('Device Hardening Assessment'!U5:U54,'Device Hardening Assessment'!B5:B54,"Router"),"")</f>
        <v/>
      </c>
    </row>
    <row r="7">
      <c r="A7" s="12" t="inlineStr">
        <is>
          <t>Switch</t>
        </is>
      </c>
      <c r="B7" s="12">
        <f>COUNTIF('Device Hardening Assessment'!B5:B54,"Switch")</f>
        <v/>
      </c>
      <c r="C7" s="25">
        <f>IFERROR(AVERAGEIF('Device Hardening Assessment'!B5:B54,"Switch",'Device Hardening Assessment'!U5:U54),"")</f>
        <v/>
      </c>
      <c r="D7" s="25">
        <f>IFERROR(MINIFS('Device Hardening Assessment'!U5:U54,'Device Hardening Assessment'!B5:B54,"Switch"),"")</f>
        <v/>
      </c>
      <c r="E7" s="25">
        <f>IFERROR(MAXIFS('Device Hardening Assessment'!U5:U54,'Device Hardening Assessment'!B5:B54,"Switch"),"")</f>
        <v/>
      </c>
    </row>
    <row r="8">
      <c r="A8" s="12" t="inlineStr">
        <is>
          <t>Firewall</t>
        </is>
      </c>
      <c r="B8" s="12">
        <f>COUNTIF('Device Hardening Assessment'!B5:B54,"Firewall")</f>
        <v/>
      </c>
      <c r="C8" s="25">
        <f>IFERROR(AVERAGEIF('Device Hardening Assessment'!B5:B54,"Firewall",'Device Hardening Assessment'!U5:U54),"")</f>
        <v/>
      </c>
      <c r="D8" s="25">
        <f>IFERROR(MINIFS('Device Hardening Assessment'!U5:U54,'Device Hardening Assessment'!B5:B54,"Firewall"),"")</f>
        <v/>
      </c>
      <c r="E8" s="25">
        <f>IFERROR(MAXIFS('Device Hardening Assessment'!U5:U54,'Device Hardening Assessment'!B5:B54,"Firewall"),"")</f>
        <v/>
      </c>
    </row>
    <row r="9">
      <c r="A9" s="12" t="inlineStr">
        <is>
          <t>Wireless AP</t>
        </is>
      </c>
      <c r="B9" s="12">
        <f>COUNTIF('Device Hardening Assessment'!B5:B54,"Wireless AP")</f>
        <v/>
      </c>
      <c r="C9" s="25">
        <f>IFERROR(AVERAGEIF('Device Hardening Assessment'!B5:B54,"Wireless AP",'Device Hardening Assessment'!U5:U54),"")</f>
        <v/>
      </c>
      <c r="D9" s="25">
        <f>IFERROR(MINIFS('Device Hardening Assessment'!U5:U54,'Device Hardening Assessment'!B5:B54,"Wireless AP"),"")</f>
        <v/>
      </c>
      <c r="E9" s="25">
        <f>IFERROR(MAXIFS('Device Hardening Assessment'!U5:U54,'Device Hardening Assessment'!B5:B54,"Wireless AP"),"")</f>
        <v/>
      </c>
    </row>
    <row r="10">
      <c r="A10" s="12" t="inlineStr">
        <is>
          <t>Load Balancer</t>
        </is>
      </c>
      <c r="B10" s="12">
        <f>COUNTIF('Device Hardening Assessment'!B5:B54,"Load Balancer")</f>
        <v/>
      </c>
      <c r="C10" s="25">
        <f>IFERROR(AVERAGEIF('Device Hardening Assessment'!B5:B54,"Load Balancer",'Device Hardening Assessment'!U5:U54),"")</f>
        <v/>
      </c>
      <c r="D10" s="25">
        <f>IFERROR(MINIFS('Device Hardening Assessment'!U5:U54,'Device Hardening Assessment'!B5:B54,"Load Balancer"),"")</f>
        <v/>
      </c>
      <c r="E10" s="25">
        <f>IFERROR(MAXIFS('Device Hardening Assessment'!U5:U54,'Device Hardening Assessment'!B5:B54,"Load Balancer"),"")</f>
        <v/>
      </c>
    </row>
    <row r="11">
      <c r="A11" s="12" t="inlineStr">
        <is>
          <t>VPN Concentrator</t>
        </is>
      </c>
      <c r="B11" s="12">
        <f>COUNTIF('Device Hardening Assessment'!B5:B54,"VPN Concentrator")</f>
        <v/>
      </c>
      <c r="C11" s="25">
        <f>IFERROR(AVERAGEIF('Device Hardening Assessment'!B5:B54,"VPN Concentrator",'Device Hardening Assessment'!U5:U54),"")</f>
        <v/>
      </c>
      <c r="D11" s="25">
        <f>IFERROR(MINIFS('Device Hardening Assessment'!U5:U54,'Device Hardening Assessment'!B5:B54,"VPN Concentrator"),"")</f>
        <v/>
      </c>
      <c r="E11" s="25">
        <f>IFERROR(MAXIFS('Device Hardening Assessment'!U5:U54,'Device Hardening Assessment'!B5:B54,"VPN Concentrator"),"")</f>
        <v/>
      </c>
    </row>
    <row r="12">
      <c r="A12" s="12" t="inlineStr">
        <is>
          <t>IDS/IPS</t>
        </is>
      </c>
      <c r="B12" s="12">
        <f>COUNTIF('Device Hardening Assessment'!B5:B54,"IDS/IPS")</f>
        <v/>
      </c>
      <c r="C12" s="25">
        <f>IFERROR(AVERAGEIF('Device Hardening Assessment'!B5:B54,"IDS/IPS",'Device Hardening Assessment'!U5:U54),"")</f>
        <v/>
      </c>
      <c r="D12" s="25">
        <f>IFERROR(MINIFS('Device Hardening Assessment'!U5:U54,'Device Hardening Assessment'!B5:B54,"IDS/IPS"),"")</f>
        <v/>
      </c>
      <c r="E12" s="25">
        <f>IFERROR(MAXIFS('Device Hardening Assessment'!U5:U54,'Device Hardening Assessment'!B5:B54,"IDS/IPS"),"")</f>
        <v/>
      </c>
    </row>
    <row r="13">
      <c r="A13" s="12" t="inlineStr">
        <is>
          <t>Network Management</t>
        </is>
      </c>
      <c r="B13" s="12">
        <f>COUNTIF('Device Hardening Assessment'!B5:B54,"Network Management")</f>
        <v/>
      </c>
      <c r="C13" s="25">
        <f>IFERROR(AVERAGEIF('Device Hardening Assessment'!B5:B54,"Network Management",'Device Hardening Assessment'!U5:U54),"")</f>
        <v/>
      </c>
      <c r="D13" s="25">
        <f>IFERROR(MINIFS('Device Hardening Assessment'!U5:U54,'Device Hardening Assessment'!B5:B54,"Network Management"),"")</f>
        <v/>
      </c>
      <c r="E13" s="25">
        <f>IFERROR(MAXIFS('Device Hardening Assessment'!U5:U54,'Device Hardening Assessment'!B5:B54,"Network Management"),"")</f>
        <v/>
      </c>
    </row>
    <row r="14">
      <c r="A14" s="12" t="inlineStr">
        <is>
          <t>Other</t>
        </is>
      </c>
      <c r="B14" s="12">
        <f>COUNTIF('Device Hardening Assessment'!B5:B54,"Other")</f>
        <v/>
      </c>
      <c r="C14" s="25">
        <f>IFERROR(AVERAGEIF('Device Hardening Assessment'!B5:B54,"Other",'Device Hardening Assessment'!U5:U54),"")</f>
        <v/>
      </c>
      <c r="D14" s="25">
        <f>IFERROR(MINIFS('Device Hardening Assessment'!U5:U54,'Device Hardening Assessment'!B5:B54,"Other"),"")</f>
        <v/>
      </c>
      <c r="E14" s="25">
        <f>IFERROR(MAXIFS('Device Hardening Assessment'!U5:U54,'Device Hardening Assessment'!B5:B54,"Other"),"")</f>
        <v/>
      </c>
    </row>
  </sheetData>
  <mergeCells count="3">
    <mergeCell ref="A2:E2"/>
    <mergeCell ref="A1:E1"/>
    <mergeCell ref="A4:E4"/>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3" customWidth="1" min="5" max="5"/>
  </cols>
  <sheetData>
    <row r="1" ht="35" customHeight="1">
      <c r="A1" s="11" t="inlineStr">
        <is>
          <t>TOP HARDENING GAPS - MOST COMMON FAILURES</t>
        </is>
      </c>
    </row>
    <row r="2">
      <c r="A2" s="12" t="inlineStr">
        <is>
          <t>Identify most frequently failed hardening requirements across all devices</t>
        </is>
      </c>
    </row>
    <row r="4">
      <c r="A4" s="19" t="inlineStr">
        <is>
          <t>Hardening Requirements Failure Analysis (15 Requirements)</t>
        </is>
      </c>
      <c r="B4" s="6" t="n"/>
      <c r="C4" s="6" t="n"/>
      <c r="D4" s="6" t="n"/>
      <c r="E4" s="6" t="n"/>
    </row>
    <row r="5">
      <c r="A5" s="13" t="inlineStr">
        <is>
          <t>Requirement</t>
        </is>
      </c>
      <c r="B5" s="13" t="inlineStr">
        <is>
          <t>Total 'No' Count</t>
        </is>
      </c>
      <c r="C5" s="13" t="inlineStr">
        <is>
          <t>Failure Rate %</t>
        </is>
      </c>
      <c r="D5" s="13" t="inlineStr">
        <is>
          <t>Priority</t>
        </is>
      </c>
    </row>
    <row r="6">
      <c r="A6" s="12" t="inlineStr">
        <is>
          <t>Default Credentials Disabled</t>
        </is>
      </c>
      <c r="B6" s="12">
        <f>COUNTIF('Device Hardening Assessment'!F5:F54,"No")</f>
        <v/>
      </c>
      <c r="C6" s="26">
        <f>IFERROR(B6/COUNTA('Device Hardening Assessment'!F5:F54),"")</f>
        <v/>
      </c>
      <c r="D6" s="12">
        <f>IF(C6&gt;=75,"CRITICAL",IF(C6&gt;=50,"HIGH",IF(C6&gt;=25,"MEDIUM","LOW")))</f>
        <v/>
      </c>
    </row>
    <row r="7">
      <c r="A7" s="12" t="inlineStr">
        <is>
          <t>Strong Password Policy</t>
        </is>
      </c>
      <c r="B7" s="12">
        <f>COUNTIF('Device Hardening Assessment'!G5:G54,"No")</f>
        <v/>
      </c>
      <c r="C7" s="26">
        <f>IFERROR(B7/COUNTA('Device Hardening Assessment'!G5:G54),"")</f>
        <v/>
      </c>
      <c r="D7" s="12">
        <f>IF(C7&gt;=75,"CRITICAL",IF(C7&gt;=50,"HIGH",IF(C7&gt;=25,"MEDIUM","LOW")))</f>
        <v/>
      </c>
    </row>
    <row r="8">
      <c r="A8" s="12" t="inlineStr">
        <is>
          <t>Multi-Factor Authentication (MFA)</t>
        </is>
      </c>
      <c r="B8" s="12">
        <f>COUNTIF('Device Hardening Assessment'!H5:H54,"No")</f>
        <v/>
      </c>
      <c r="C8" s="26">
        <f>IFERROR(B8/COUNTA('Device Hardening Assessment'!H5:H54),"")</f>
        <v/>
      </c>
      <c r="D8" s="12">
        <f>IF(C8&gt;=75,"CRITICAL",IF(C8&gt;=50,"HIGH",IF(C8&gt;=25,"MEDIUM","LOW")))</f>
        <v/>
      </c>
    </row>
    <row r="9">
      <c r="A9" s="12" t="inlineStr">
        <is>
          <t>Unnecessary Services Disabled</t>
        </is>
      </c>
      <c r="B9" s="12">
        <f>COUNTIF('Device Hardening Assessment'!I5:I54,"No")</f>
        <v/>
      </c>
      <c r="C9" s="26">
        <f>IFERROR(B9/COUNTA('Device Hardening Assessment'!I5:I54),"")</f>
        <v/>
      </c>
      <c r="D9" s="12">
        <f>IF(C9&gt;=75,"CRITICAL",IF(C9&gt;=50,"HIGH",IF(C9&gt;=25,"MEDIUM","LOW")))</f>
        <v/>
      </c>
    </row>
    <row r="10">
      <c r="A10" s="12" t="inlineStr">
        <is>
          <t>Secure Management (SSH/HTTPS Only)</t>
        </is>
      </c>
      <c r="B10" s="12">
        <f>COUNTIF('Device Hardening Assessment'!J5:J54,"No")</f>
        <v/>
      </c>
      <c r="C10" s="26">
        <f>IFERROR(B10/COUNTA('Device Hardening Assessment'!J5:J54),"")</f>
        <v/>
      </c>
      <c r="D10" s="12">
        <f>IF(C10&gt;=75,"CRITICAL",IF(C10&gt;=50,"HIGH",IF(C10&gt;=25,"MEDIUM","LOW")))</f>
        <v/>
      </c>
    </row>
    <row r="11">
      <c r="A11" s="12" t="inlineStr">
        <is>
          <t>Logging Enabled</t>
        </is>
      </c>
      <c r="B11" s="12">
        <f>COUNTIF('Device Hardening Assessment'!K5:K54,"No")</f>
        <v/>
      </c>
      <c r="C11" s="26">
        <f>IFERROR(B11/COUNTA('Device Hardening Assessment'!K5:K54),"")</f>
        <v/>
      </c>
      <c r="D11" s="12">
        <f>IF(C11&gt;=75,"CRITICAL",IF(C11&gt;=50,"HIGH",IF(C11&gt;=25,"MEDIUM","LOW")))</f>
        <v/>
      </c>
    </row>
    <row r="12">
      <c r="A12" s="12" t="inlineStr">
        <is>
          <t>NTP Configured</t>
        </is>
      </c>
      <c r="B12" s="12">
        <f>COUNTIF('Device Hardening Assessment'!L5:L54,"No")</f>
        <v/>
      </c>
      <c r="C12" s="26">
        <f>IFERROR(B12/COUNTA('Device Hardening Assessment'!L5:L54),"")</f>
        <v/>
      </c>
      <c r="D12" s="12">
        <f>IF(C12&gt;=75,"CRITICAL",IF(C12&gt;=50,"HIGH",IF(C12&gt;=25,"MEDIUM","LOW")))</f>
        <v/>
      </c>
    </row>
    <row r="13">
      <c r="A13" s="12" t="inlineStr">
        <is>
          <t>SNMPv3 Only (v1/v2c Disabled)</t>
        </is>
      </c>
      <c r="B13" s="12">
        <f>COUNTIF('Device Hardening Assessment'!M5:M54,"No")</f>
        <v/>
      </c>
      <c r="C13" s="26">
        <f>IFERROR(B13/COUNTA('Device Hardening Assessment'!M5:M54),"")</f>
        <v/>
      </c>
      <c r="D13" s="12">
        <f>IF(C13&gt;=75,"CRITICAL",IF(C13&gt;=50,"HIGH",IF(C13&gt;=25,"MEDIUM","LOW")))</f>
        <v/>
      </c>
    </row>
    <row r="14">
      <c r="A14" s="12" t="inlineStr">
        <is>
          <t>Session Timeouts Configured</t>
        </is>
      </c>
      <c r="B14" s="12">
        <f>COUNTIF('Device Hardening Assessment'!N5:N54,"No")</f>
        <v/>
      </c>
      <c r="C14" s="26">
        <f>IFERROR(B14/COUNTA('Device Hardening Assessment'!N5:N54),"")</f>
        <v/>
      </c>
      <c r="D14" s="12">
        <f>IF(C14&gt;=75,"CRITICAL",IF(C14&gt;=50,"HIGH",IF(C14&gt;=25,"MEDIUM","LOW")))</f>
        <v/>
      </c>
    </row>
    <row r="15">
      <c r="A15" s="12" t="inlineStr">
        <is>
          <t>Banner Messages Configured</t>
        </is>
      </c>
      <c r="B15" s="12">
        <f>COUNTIF('Device Hardening Assessment'!O5:O54,"No")</f>
        <v/>
      </c>
      <c r="C15" s="26">
        <f>IFERROR(B15/COUNTA('Device Hardening Assessment'!O5:O54),"")</f>
        <v/>
      </c>
      <c r="D15" s="12">
        <f>IF(C15&gt;=75,"CRITICAL",IF(C15&gt;=50,"HIGH",IF(C15&gt;=25,"MEDIUM","LOW")))</f>
        <v/>
      </c>
    </row>
    <row r="16">
      <c r="A16" s="12" t="inlineStr">
        <is>
          <t>Configuration Backups</t>
        </is>
      </c>
      <c r="B16" s="12">
        <f>COUNTIF('Device Hardening Assessment'!P5:P54,"No")</f>
        <v/>
      </c>
      <c r="C16" s="26">
        <f>IFERROR(B16/COUNTA('Device Hardening Assessment'!P5:P54),"")</f>
        <v/>
      </c>
      <c r="D16" s="12">
        <f>IF(C16&gt;=75,"CRITICAL",IF(C16&gt;=50,"HIGH",IF(C16&gt;=25,"MEDIUM","LOW")))</f>
        <v/>
      </c>
    </row>
    <row r="17">
      <c r="A17" s="12" t="inlineStr">
        <is>
          <t>Firmware/Software Up-to-Date</t>
        </is>
      </c>
      <c r="B17" s="12">
        <f>COUNTIF('Device Hardening Assessment'!Q5:Q54,"No")</f>
        <v/>
      </c>
      <c r="C17" s="26">
        <f>IFERROR(B17/COUNTA('Device Hardening Assessment'!Q5:Q54),"")</f>
        <v/>
      </c>
      <c r="D17" s="12">
        <f>IF(C17&gt;=75,"CRITICAL",IF(C17&gt;=50,"HIGH",IF(C17&gt;=25,"MEDIUM","LOW")))</f>
        <v/>
      </c>
    </row>
    <row r="18">
      <c r="A18" s="12" t="inlineStr">
        <is>
          <t>Access Control Lists (ACLs)</t>
        </is>
      </c>
      <c r="B18" s="12">
        <f>COUNTIF('Device Hardening Assessment'!R5:R54,"No")</f>
        <v/>
      </c>
      <c r="C18" s="26">
        <f>IFERROR(B18/COUNTA('Device Hardening Assessment'!R5:R54),"")</f>
        <v/>
      </c>
      <c r="D18" s="12">
        <f>IF(C18&gt;=75,"CRITICAL",IF(C18&gt;=50,"HIGH",IF(C18&gt;=25,"MEDIUM","LOW")))</f>
        <v/>
      </c>
    </row>
    <row r="19">
      <c r="A19" s="12" t="inlineStr">
        <is>
          <t>Encrypted Management Traffic</t>
        </is>
      </c>
      <c r="B19" s="12">
        <f>COUNTIF('Device Hardening Assessment'!S5:S54,"No")</f>
        <v/>
      </c>
      <c r="C19" s="26">
        <f>IFERROR(B19/COUNTA('Device Hardening Assessment'!S5:S54),"")</f>
        <v/>
      </c>
      <c r="D19" s="12">
        <f>IF(C19&gt;=75,"CRITICAL",IF(C19&gt;=50,"HIGH",IF(C19&gt;=25,"MEDIUM","LOW")))</f>
        <v/>
      </c>
    </row>
    <row r="20">
      <c r="A20" s="12" t="inlineStr">
        <is>
          <t>Least Privilege Access</t>
        </is>
      </c>
      <c r="B20" s="12">
        <f>COUNTIF('Device Hardening Assessment'!T5:T54,"No")</f>
        <v/>
      </c>
      <c r="C20" s="26">
        <f>IFERROR(B20/COUNTA('Device Hardening Assessment'!T5:T54),"")</f>
        <v/>
      </c>
      <c r="D20" s="12">
        <f>IF(C20&gt;=75,"CRITICAL",IF(C20&gt;=50,"HIGH",IF(C20&gt;=25,"MEDIUM","LOW")))</f>
        <v/>
      </c>
    </row>
  </sheetData>
  <mergeCells count="3">
    <mergeCell ref="A2:E2"/>
    <mergeCell ref="A1:E1"/>
    <mergeCell ref="A4:E4"/>
  </mergeCells>
  <conditionalFormatting sqref="D6:D20">
    <cfRule type="cellIs" priority="1" operator="equal" dxfId="6">
      <formula>"CRITICAL"</formula>
    </cfRule>
    <cfRule type="cellIs" priority="2" operator="equal" dxfId="4">
      <formula>"HIGH"</formula>
    </cfRule>
    <cfRule type="cellIs" priority="3" operator="equal" dxfId="7">
      <formula>"MEDIUM"</formula>
    </cfRule>
    <cfRule type="cellIs" priority="4" operator="equal" dxfId="3">
      <formula>"LOW"</formula>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62"/>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5" customWidth="1" min="3" max="3"/>
    <col width="20" customWidth="1" min="4" max="4"/>
    <col width="40" customWidth="1" min="5" max="5"/>
    <col width="20" customWidth="1" min="6" max="6"/>
    <col width="12" customWidth="1" min="7" max="7"/>
    <col width="15" customWidth="1" min="8" max="8"/>
  </cols>
  <sheetData>
    <row r="1" ht="35" customHeight="1">
      <c r="A1" s="11" t="inlineStr">
        <is>
          <t>HARDENING REMEDIATION ROADMAP</t>
        </is>
      </c>
    </row>
    <row r="2">
      <c r="A2" s="12" t="inlineStr">
        <is>
          <t>Prioritised remediation plan sorted by severity. Focus on Critical/High gaps first.</t>
        </is>
      </c>
    </row>
    <row r="3">
      <c r="A3" s="13" t="inlineStr">
        <is>
          <t>Priority</t>
        </is>
      </c>
      <c r="B3" s="13" t="inlineStr">
        <is>
          <t>Severity</t>
        </is>
      </c>
      <c r="C3" s="13" t="inlineStr">
        <is>
          <t>Gap Description</t>
        </is>
      </c>
      <c r="D3" s="13" t="inlineStr">
        <is>
          <t>Affected Devices</t>
        </is>
      </c>
      <c r="E3" s="13" t="inlineStr">
        <is>
          <t>Remediation Action</t>
        </is>
      </c>
      <c r="F3" s="13" t="inlineStr">
        <is>
          <t>Owner</t>
        </is>
      </c>
      <c r="G3" s="13" t="inlineStr">
        <is>
          <t>Target Date</t>
        </is>
      </c>
      <c r="H3" s="13" t="inlineStr">
        <is>
          <t>Status</t>
        </is>
      </c>
    </row>
    <row r="4">
      <c r="A4" t="n">
        <v>1</v>
      </c>
      <c r="B4" s="17" t="n"/>
      <c r="C4" s="17" t="n"/>
      <c r="D4" s="17" t="n"/>
      <c r="E4" s="17" t="n"/>
      <c r="F4" s="17" t="n"/>
      <c r="G4" s="17" t="n"/>
      <c r="H4" s="17" t="n"/>
    </row>
    <row r="5">
      <c r="A5" t="n">
        <v>2</v>
      </c>
      <c r="B5" s="17" t="n"/>
      <c r="C5" s="17" t="n"/>
      <c r="D5" s="17" t="n"/>
      <c r="E5" s="17" t="n"/>
      <c r="F5" s="17" t="n"/>
      <c r="G5" s="17" t="n"/>
      <c r="H5" s="17" t="n"/>
    </row>
    <row r="6">
      <c r="A6" t="n">
        <v>3</v>
      </c>
      <c r="B6" s="17" t="n"/>
      <c r="C6" s="17" t="n"/>
      <c r="D6" s="17" t="n"/>
      <c r="E6" s="17" t="n"/>
      <c r="F6" s="17" t="n"/>
      <c r="G6" s="17" t="n"/>
      <c r="H6" s="17" t="n"/>
    </row>
    <row r="7">
      <c r="A7" t="n">
        <v>4</v>
      </c>
      <c r="B7" s="17" t="n"/>
      <c r="C7" s="17" t="n"/>
      <c r="D7" s="17" t="n"/>
      <c r="E7" s="17" t="n"/>
      <c r="F7" s="17" t="n"/>
      <c r="G7" s="17" t="n"/>
      <c r="H7" s="17" t="n"/>
    </row>
    <row r="8">
      <c r="A8" t="n">
        <v>5</v>
      </c>
      <c r="B8" s="17" t="n"/>
      <c r="C8" s="17" t="n"/>
      <c r="D8" s="17" t="n"/>
      <c r="E8" s="17" t="n"/>
      <c r="F8" s="17" t="n"/>
      <c r="G8" s="17" t="n"/>
      <c r="H8" s="17" t="n"/>
    </row>
    <row r="9">
      <c r="A9" t="n">
        <v>6</v>
      </c>
      <c r="B9" s="17" t="n"/>
      <c r="C9" s="17" t="n"/>
      <c r="D9" s="17" t="n"/>
      <c r="E9" s="17" t="n"/>
      <c r="F9" s="17" t="n"/>
      <c r="G9" s="17" t="n"/>
      <c r="H9" s="17" t="n"/>
    </row>
    <row r="10">
      <c r="A10" t="n">
        <v>7</v>
      </c>
      <c r="B10" s="17" t="n"/>
      <c r="C10" s="17" t="n"/>
      <c r="D10" s="17" t="n"/>
      <c r="E10" s="17" t="n"/>
      <c r="F10" s="17" t="n"/>
      <c r="G10" s="17" t="n"/>
      <c r="H10" s="17" t="n"/>
    </row>
    <row r="11">
      <c r="A11" t="n">
        <v>8</v>
      </c>
      <c r="B11" s="17" t="n"/>
      <c r="C11" s="17" t="n"/>
      <c r="D11" s="17" t="n"/>
      <c r="E11" s="17" t="n"/>
      <c r="F11" s="17" t="n"/>
      <c r="G11" s="17" t="n"/>
      <c r="H11" s="17" t="n"/>
    </row>
    <row r="12">
      <c r="A12" t="n">
        <v>9</v>
      </c>
      <c r="B12" s="17" t="n"/>
      <c r="C12" s="17" t="n"/>
      <c r="D12" s="17" t="n"/>
      <c r="E12" s="17" t="n"/>
      <c r="F12" s="17" t="n"/>
      <c r="G12" s="17" t="n"/>
      <c r="H12" s="17" t="n"/>
    </row>
    <row r="13">
      <c r="A13" t="n">
        <v>10</v>
      </c>
      <c r="B13" s="17" t="n"/>
      <c r="C13" s="17" t="n"/>
      <c r="D13" s="17" t="n"/>
      <c r="E13" s="17" t="n"/>
      <c r="F13" s="17" t="n"/>
      <c r="G13" s="17" t="n"/>
      <c r="H13" s="17" t="n"/>
    </row>
    <row r="14">
      <c r="A14" t="n">
        <v>11</v>
      </c>
      <c r="B14" s="17" t="n"/>
      <c r="C14" s="17" t="n"/>
      <c r="D14" s="17" t="n"/>
      <c r="E14" s="17" t="n"/>
      <c r="F14" s="17" t="n"/>
      <c r="G14" s="17" t="n"/>
      <c r="H14" s="17" t="n"/>
    </row>
    <row r="15">
      <c r="A15" t="n">
        <v>12</v>
      </c>
      <c r="B15" s="17" t="n"/>
      <c r="C15" s="17" t="n"/>
      <c r="D15" s="17" t="n"/>
      <c r="E15" s="17" t="n"/>
      <c r="F15" s="17" t="n"/>
      <c r="G15" s="17" t="n"/>
      <c r="H15" s="17" t="n"/>
    </row>
    <row r="16">
      <c r="A16" t="n">
        <v>13</v>
      </c>
      <c r="B16" s="17" t="n"/>
      <c r="C16" s="17" t="n"/>
      <c r="D16" s="17" t="n"/>
      <c r="E16" s="17" t="n"/>
      <c r="F16" s="17" t="n"/>
      <c r="G16" s="17" t="n"/>
      <c r="H16" s="17" t="n"/>
    </row>
    <row r="17">
      <c r="A17" t="n">
        <v>14</v>
      </c>
      <c r="B17" s="17" t="n"/>
      <c r="C17" s="17" t="n"/>
      <c r="D17" s="17" t="n"/>
      <c r="E17" s="17" t="n"/>
      <c r="F17" s="17" t="n"/>
      <c r="G17" s="17" t="n"/>
      <c r="H17" s="17" t="n"/>
    </row>
    <row r="18">
      <c r="A18" t="n">
        <v>15</v>
      </c>
      <c r="B18" s="17" t="n"/>
      <c r="C18" s="17" t="n"/>
      <c r="D18" s="17" t="n"/>
      <c r="E18" s="17" t="n"/>
      <c r="F18" s="17" t="n"/>
      <c r="G18" s="17" t="n"/>
      <c r="H18" s="17" t="n"/>
    </row>
    <row r="19">
      <c r="A19" t="n">
        <v>16</v>
      </c>
      <c r="B19" s="17" t="n"/>
      <c r="C19" s="17" t="n"/>
      <c r="D19" s="17" t="n"/>
      <c r="E19" s="17" t="n"/>
      <c r="F19" s="17" t="n"/>
      <c r="G19" s="17" t="n"/>
      <c r="H19" s="17" t="n"/>
    </row>
    <row r="20">
      <c r="A20" t="n">
        <v>17</v>
      </c>
      <c r="B20" s="17" t="n"/>
      <c r="C20" s="17" t="n"/>
      <c r="D20" s="17" t="n"/>
      <c r="E20" s="17" t="n"/>
      <c r="F20" s="17" t="n"/>
      <c r="G20" s="17" t="n"/>
      <c r="H20" s="17" t="n"/>
    </row>
    <row r="21">
      <c r="A21" t="n">
        <v>18</v>
      </c>
      <c r="B21" s="17" t="n"/>
      <c r="C21" s="17" t="n"/>
      <c r="D21" s="17" t="n"/>
      <c r="E21" s="17" t="n"/>
      <c r="F21" s="17" t="n"/>
      <c r="G21" s="17" t="n"/>
      <c r="H21" s="17" t="n"/>
    </row>
    <row r="22">
      <c r="A22" t="n">
        <v>19</v>
      </c>
      <c r="B22" s="17" t="n"/>
      <c r="C22" s="17" t="n"/>
      <c r="D22" s="17" t="n"/>
      <c r="E22" s="17" t="n"/>
      <c r="F22" s="17" t="n"/>
      <c r="G22" s="17" t="n"/>
      <c r="H22" s="17" t="n"/>
    </row>
    <row r="23">
      <c r="A23" t="n">
        <v>20</v>
      </c>
      <c r="B23" s="17" t="n"/>
      <c r="C23" s="17" t="n"/>
      <c r="D23" s="17" t="n"/>
      <c r="E23" s="17" t="n"/>
      <c r="F23" s="17" t="n"/>
      <c r="G23" s="17" t="n"/>
      <c r="H23" s="17" t="n"/>
    </row>
    <row r="24">
      <c r="A24" t="n">
        <v>21</v>
      </c>
      <c r="B24" s="17" t="n"/>
      <c r="C24" s="17" t="n"/>
      <c r="D24" s="17" t="n"/>
      <c r="E24" s="17" t="n"/>
      <c r="F24" s="17" t="n"/>
      <c r="G24" s="17" t="n"/>
      <c r="H24" s="17" t="n"/>
    </row>
    <row r="25">
      <c r="A25" t="n">
        <v>22</v>
      </c>
      <c r="B25" s="17" t="n"/>
      <c r="C25" s="17" t="n"/>
      <c r="D25" s="17" t="n"/>
      <c r="E25" s="17" t="n"/>
      <c r="F25" s="17" t="n"/>
      <c r="G25" s="17" t="n"/>
      <c r="H25" s="17" t="n"/>
    </row>
    <row r="26">
      <c r="A26" t="n">
        <v>23</v>
      </c>
      <c r="B26" s="17" t="n"/>
      <c r="C26" s="17" t="n"/>
      <c r="D26" s="17" t="n"/>
      <c r="E26" s="17" t="n"/>
      <c r="F26" s="17" t="n"/>
      <c r="G26" s="17" t="n"/>
      <c r="H26" s="17" t="n"/>
    </row>
    <row r="27">
      <c r="A27" t="n">
        <v>24</v>
      </c>
      <c r="B27" s="17" t="n"/>
      <c r="C27" s="17" t="n"/>
      <c r="D27" s="17" t="n"/>
      <c r="E27" s="17" t="n"/>
      <c r="F27" s="17" t="n"/>
      <c r="G27" s="17" t="n"/>
      <c r="H27" s="17" t="n"/>
    </row>
    <row r="28">
      <c r="A28" t="n">
        <v>25</v>
      </c>
      <c r="B28" s="17" t="n"/>
      <c r="C28" s="17" t="n"/>
      <c r="D28" s="17" t="n"/>
      <c r="E28" s="17" t="n"/>
      <c r="F28" s="17" t="n"/>
      <c r="G28" s="17" t="n"/>
      <c r="H28" s="17" t="n"/>
    </row>
    <row r="29">
      <c r="A29" t="n">
        <v>26</v>
      </c>
      <c r="B29" s="17" t="n"/>
      <c r="C29" s="17" t="n"/>
      <c r="D29" s="17" t="n"/>
      <c r="E29" s="17" t="n"/>
      <c r="F29" s="17" t="n"/>
      <c r="G29" s="17" t="n"/>
      <c r="H29" s="17" t="n"/>
    </row>
    <row r="30">
      <c r="A30" t="n">
        <v>27</v>
      </c>
      <c r="B30" s="17" t="n"/>
      <c r="C30" s="17" t="n"/>
      <c r="D30" s="17" t="n"/>
      <c r="E30" s="17" t="n"/>
      <c r="F30" s="17" t="n"/>
      <c r="G30" s="17" t="n"/>
      <c r="H30" s="17" t="n"/>
    </row>
    <row r="31">
      <c r="A31" t="n">
        <v>28</v>
      </c>
      <c r="B31" s="17" t="n"/>
      <c r="C31" s="17" t="n"/>
      <c r="D31" s="17" t="n"/>
      <c r="E31" s="17" t="n"/>
      <c r="F31" s="17" t="n"/>
      <c r="G31" s="17" t="n"/>
      <c r="H31" s="17" t="n"/>
    </row>
    <row r="32">
      <c r="A32" t="n">
        <v>29</v>
      </c>
      <c r="B32" s="17" t="n"/>
      <c r="C32" s="17" t="n"/>
      <c r="D32" s="17" t="n"/>
      <c r="E32" s="17" t="n"/>
      <c r="F32" s="17" t="n"/>
      <c r="G32" s="17" t="n"/>
      <c r="H32" s="17" t="n"/>
    </row>
    <row r="33">
      <c r="A33" t="n">
        <v>30</v>
      </c>
      <c r="B33" s="17" t="n"/>
      <c r="C33" s="17" t="n"/>
      <c r="D33" s="17" t="n"/>
      <c r="E33" s="17" t="n"/>
      <c r="F33" s="17" t="n"/>
      <c r="G33" s="17" t="n"/>
      <c r="H33" s="17" t="n"/>
    </row>
    <row r="34">
      <c r="A34" t="n">
        <v>31</v>
      </c>
      <c r="B34" s="17" t="n"/>
      <c r="C34" s="17" t="n"/>
      <c r="D34" s="17" t="n"/>
      <c r="E34" s="17" t="n"/>
      <c r="F34" s="17" t="n"/>
      <c r="G34" s="17" t="n"/>
      <c r="H34" s="17" t="n"/>
    </row>
    <row r="35">
      <c r="A35" t="n">
        <v>32</v>
      </c>
      <c r="B35" s="17" t="n"/>
      <c r="C35" s="17" t="n"/>
      <c r="D35" s="17" t="n"/>
      <c r="E35" s="17" t="n"/>
      <c r="F35" s="17" t="n"/>
      <c r="G35" s="17" t="n"/>
      <c r="H35" s="17" t="n"/>
    </row>
    <row r="36">
      <c r="A36" t="n">
        <v>33</v>
      </c>
      <c r="B36" s="17" t="n"/>
      <c r="C36" s="17" t="n"/>
      <c r="D36" s="17" t="n"/>
      <c r="E36" s="17" t="n"/>
      <c r="F36" s="17" t="n"/>
      <c r="G36" s="17" t="n"/>
      <c r="H36" s="17" t="n"/>
    </row>
    <row r="37">
      <c r="A37" t="n">
        <v>34</v>
      </c>
      <c r="B37" s="17" t="n"/>
      <c r="C37" s="17" t="n"/>
      <c r="D37" s="17" t="n"/>
      <c r="E37" s="17" t="n"/>
      <c r="F37" s="17" t="n"/>
      <c r="G37" s="17" t="n"/>
      <c r="H37" s="17" t="n"/>
    </row>
    <row r="38">
      <c r="A38" t="n">
        <v>35</v>
      </c>
      <c r="B38" s="17" t="n"/>
      <c r="C38" s="17" t="n"/>
      <c r="D38" s="17" t="n"/>
      <c r="E38" s="17" t="n"/>
      <c r="F38" s="17" t="n"/>
      <c r="G38" s="17" t="n"/>
      <c r="H38" s="17" t="n"/>
    </row>
    <row r="39">
      <c r="A39" t="n">
        <v>36</v>
      </c>
      <c r="B39" s="17" t="n"/>
      <c r="C39" s="17" t="n"/>
      <c r="D39" s="17" t="n"/>
      <c r="E39" s="17" t="n"/>
      <c r="F39" s="17" t="n"/>
      <c r="G39" s="17" t="n"/>
      <c r="H39" s="17" t="n"/>
    </row>
    <row r="40">
      <c r="A40" t="n">
        <v>37</v>
      </c>
      <c r="B40" s="17" t="n"/>
      <c r="C40" s="17" t="n"/>
      <c r="D40" s="17" t="n"/>
      <c r="E40" s="17" t="n"/>
      <c r="F40" s="17" t="n"/>
      <c r="G40" s="17" t="n"/>
      <c r="H40" s="17" t="n"/>
    </row>
    <row r="41">
      <c r="A41" t="n">
        <v>38</v>
      </c>
      <c r="B41" s="17" t="n"/>
      <c r="C41" s="17" t="n"/>
      <c r="D41" s="17" t="n"/>
      <c r="E41" s="17" t="n"/>
      <c r="F41" s="17" t="n"/>
      <c r="G41" s="17" t="n"/>
      <c r="H41" s="17" t="n"/>
    </row>
    <row r="42">
      <c r="A42" t="n">
        <v>39</v>
      </c>
      <c r="B42" s="17" t="n"/>
      <c r="C42" s="17" t="n"/>
      <c r="D42" s="17" t="n"/>
      <c r="E42" s="17" t="n"/>
      <c r="F42" s="17" t="n"/>
      <c r="G42" s="17" t="n"/>
      <c r="H42" s="17" t="n"/>
    </row>
    <row r="43">
      <c r="A43" t="n">
        <v>40</v>
      </c>
      <c r="B43" s="17" t="n"/>
      <c r="C43" s="17" t="n"/>
      <c r="D43" s="17" t="n"/>
      <c r="E43" s="17" t="n"/>
      <c r="F43" s="17" t="n"/>
      <c r="G43" s="17" t="n"/>
      <c r="H43" s="17" t="n"/>
    </row>
    <row r="44">
      <c r="A44" t="n">
        <v>41</v>
      </c>
      <c r="B44" s="17" t="n"/>
      <c r="C44" s="17" t="n"/>
      <c r="D44" s="17" t="n"/>
      <c r="E44" s="17" t="n"/>
      <c r="F44" s="17" t="n"/>
      <c r="G44" s="17" t="n"/>
      <c r="H44" s="17" t="n"/>
    </row>
    <row r="45">
      <c r="A45" t="n">
        <v>42</v>
      </c>
      <c r="B45" s="17" t="n"/>
      <c r="C45" s="17" t="n"/>
      <c r="D45" s="17" t="n"/>
      <c r="E45" s="17" t="n"/>
      <c r="F45" s="17" t="n"/>
      <c r="G45" s="17" t="n"/>
      <c r="H45" s="17" t="n"/>
    </row>
    <row r="46">
      <c r="A46" t="n">
        <v>43</v>
      </c>
      <c r="B46" s="17" t="n"/>
      <c r="C46" s="17" t="n"/>
      <c r="D46" s="17" t="n"/>
      <c r="E46" s="17" t="n"/>
      <c r="F46" s="17" t="n"/>
      <c r="G46" s="17" t="n"/>
      <c r="H46" s="17" t="n"/>
    </row>
    <row r="47">
      <c r="A47" t="n">
        <v>44</v>
      </c>
      <c r="B47" s="17" t="n"/>
      <c r="C47" s="17" t="n"/>
      <c r="D47" s="17" t="n"/>
      <c r="E47" s="17" t="n"/>
      <c r="F47" s="17" t="n"/>
      <c r="G47" s="17" t="n"/>
      <c r="H47" s="17" t="n"/>
    </row>
    <row r="48">
      <c r="A48" t="n">
        <v>45</v>
      </c>
      <c r="B48" s="17" t="n"/>
      <c r="C48" s="17" t="n"/>
      <c r="D48" s="17" t="n"/>
      <c r="E48" s="17" t="n"/>
      <c r="F48" s="17" t="n"/>
      <c r="G48" s="17" t="n"/>
      <c r="H48" s="17" t="n"/>
    </row>
    <row r="49">
      <c r="A49" t="n">
        <v>46</v>
      </c>
      <c r="B49" s="17" t="n"/>
      <c r="C49" s="17" t="n"/>
      <c r="D49" s="17" t="n"/>
      <c r="E49" s="17" t="n"/>
      <c r="F49" s="17" t="n"/>
      <c r="G49" s="17" t="n"/>
      <c r="H49" s="17" t="n"/>
    </row>
    <row r="50">
      <c r="A50" t="n">
        <v>47</v>
      </c>
      <c r="B50" s="17" t="n"/>
      <c r="C50" s="17" t="n"/>
      <c r="D50" s="17" t="n"/>
      <c r="E50" s="17" t="n"/>
      <c r="F50" s="17" t="n"/>
      <c r="G50" s="17" t="n"/>
      <c r="H50" s="17" t="n"/>
    </row>
    <row r="51">
      <c r="A51" t="n">
        <v>48</v>
      </c>
      <c r="B51" s="17" t="n"/>
      <c r="C51" s="17" t="n"/>
      <c r="D51" s="17" t="n"/>
      <c r="E51" s="17" t="n"/>
      <c r="F51" s="17" t="n"/>
      <c r="G51" s="17" t="n"/>
      <c r="H51" s="17" t="n"/>
    </row>
    <row r="52">
      <c r="A52" t="n">
        <v>49</v>
      </c>
      <c r="B52" s="17" t="n"/>
      <c r="C52" s="17" t="n"/>
      <c r="D52" s="17" t="n"/>
      <c r="E52" s="17" t="n"/>
      <c r="F52" s="17" t="n"/>
      <c r="G52" s="17" t="n"/>
      <c r="H52" s="17" t="n"/>
    </row>
    <row r="53">
      <c r="A53" t="n">
        <v>50</v>
      </c>
      <c r="B53" s="17" t="n"/>
      <c r="C53" s="17" t="n"/>
      <c r="D53" s="17" t="n"/>
      <c r="E53" s="17" t="n"/>
      <c r="F53" s="17" t="n"/>
      <c r="G53" s="17" t="n"/>
      <c r="H53" s="17" t="n"/>
    </row>
    <row r="55">
      <c r="A55" s="19" t="inlineStr">
        <is>
          <t>Remediation Approach Guidelines</t>
        </is>
      </c>
      <c r="B55" s="6" t="n"/>
      <c r="C55" s="6" t="n"/>
      <c r="D55" s="6" t="n"/>
      <c r="E55" s="6" t="n"/>
      <c r="F55" s="6" t="n"/>
      <c r="G55" s="6" t="n"/>
      <c r="H55" s="6" t="n"/>
    </row>
    <row r="56">
      <c r="A56" s="12" t="inlineStr">
        <is>
          <t>1. PRIORITIZE BY SEVERITY: Address Critical gaps immediately, then High, then Medium/Low</t>
        </is>
      </c>
    </row>
    <row r="57">
      <c r="A57" s="12" t="inlineStr">
        <is>
          <t>2. CLUSTER BY REQUIREMENT: Remediate same requirement across multiple devices together (efficiency)</t>
        </is>
      </c>
    </row>
    <row r="58">
      <c r="A58" s="12" t="inlineStr">
        <is>
          <t>3. LOW-HANGING FRUIT: Quick wins (e.g., enable logging, configure banners) → build momentum</t>
        </is>
      </c>
    </row>
    <row r="59">
      <c r="A59" s="12" t="inlineStr">
        <is>
          <t>4. COMPLEX ITEMS: MFA, major config changes require planning, testing, approval</t>
        </is>
      </c>
    </row>
    <row r="60">
      <c r="A60" s="12" t="inlineStr">
        <is>
          <t>5. VALIDATE: Test in lab/dev environment before production deployment</t>
        </is>
      </c>
    </row>
    <row r="61">
      <c r="A61" s="12" t="inlineStr">
        <is>
          <t>6. DOCUMENT: Maintain change records, configuration backups, validation evidence</t>
        </is>
      </c>
    </row>
    <row r="62">
      <c r="A62" s="12" t="inlineStr">
        <is>
          <t>7. RE-ASSESS: After remediation, re-run assessment to confirm compliance improvement</t>
        </is>
      </c>
    </row>
  </sheetData>
  <mergeCells count="10">
    <mergeCell ref="A56:H56"/>
    <mergeCell ref="A62:H62"/>
    <mergeCell ref="A55:H55"/>
    <mergeCell ref="A59:H59"/>
    <mergeCell ref="A57:H57"/>
    <mergeCell ref="A2:H2"/>
    <mergeCell ref="A60:H60"/>
    <mergeCell ref="A1:H1"/>
    <mergeCell ref="A61:H61"/>
    <mergeCell ref="A58:H58"/>
  </mergeCells>
  <conditionalFormatting sqref="B4:B53">
    <cfRule type="cellIs" priority="1" operator="equal" dxfId="6">
      <formula>"Critical"</formula>
    </cfRule>
    <cfRule type="cellIs" priority="2" operator="equal" dxfId="4">
      <formula>"High"</formula>
    </cfRule>
    <cfRule type="cellIs" priority="3" operator="equal" dxfId="7">
      <formula>"Medium"</formula>
    </cfRule>
    <cfRule type="cellIs" priority="4" operator="equal" dxfId="3">
      <formula>"Low"</formula>
    </cfRule>
  </conditionalFormatting>
  <dataValidations count="2">
    <dataValidation sqref="B4:B53 G5:G103" showDropDown="0" showInputMessage="0" showErrorMessage="0" allowBlank="0" type="list">
      <formula1>"Critical,High,Medium,Low"</formula1>
    </dataValidation>
    <dataValidation sqref="H4:H53 J5:J103" showDropDown="0" showInputMessage="0" showErrorMessage="0" allowBlank="0" type="list">
      <formula1>"Open,In Progress,Completed,Accepted Risk,Deferred"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7" t="inlineStr">
        <is>
          <t>EVIDENCE REGISTER</t>
        </is>
      </c>
    </row>
    <row r="2">
      <c r="A2" s="28" t="inlineStr">
        <is>
          <t>List all evidence files/documents referenced in this assessment (audit traceability).</t>
        </is>
      </c>
    </row>
    <row r="4">
      <c r="A4" s="29" t="inlineStr">
        <is>
          <t>Evidence ID</t>
        </is>
      </c>
      <c r="B4" s="29" t="inlineStr">
        <is>
          <t>Assessment Area</t>
        </is>
      </c>
      <c r="C4" s="29" t="inlineStr">
        <is>
          <t>Evidence Type</t>
        </is>
      </c>
      <c r="D4" s="29" t="inlineStr">
        <is>
          <t>Description</t>
        </is>
      </c>
      <c r="E4" s="29" t="inlineStr">
        <is>
          <t>Location/Path</t>
        </is>
      </c>
      <c r="F4" s="29" t="inlineStr">
        <is>
          <t>Date Collected</t>
        </is>
      </c>
      <c r="G4" s="29" t="inlineStr">
        <is>
          <t>Collected By</t>
        </is>
      </c>
      <c r="H4" s="29" t="inlineStr">
        <is>
          <t>Verification Status</t>
        </is>
      </c>
    </row>
    <row r="5">
      <c r="A5" s="30" t="inlineStr">
        <is>
          <t>EV-001</t>
        </is>
      </c>
      <c r="B5" s="31" t="inlineStr">
        <is>
          <t>Device Security Assessment</t>
        </is>
      </c>
      <c r="C5" s="31" t="inlineStr">
        <is>
          <t>Configuration file</t>
        </is>
      </c>
      <c r="D5" s="31" t="inlineStr">
        <is>
          <t>Device hardening assessment results and security configuration exports</t>
        </is>
      </c>
      <c r="E5" s="31" t="inlineStr">
        <is>
          <t>/evidence/A.8.20-22/</t>
        </is>
      </c>
      <c r="F5" s="31" t="inlineStr">
        <is>
          <t>15.01.2026</t>
        </is>
      </c>
      <c r="G5" s="31" t="inlineStr">
        <is>
          <t>Assessor Name</t>
        </is>
      </c>
      <c r="H5" s="31" t="inlineStr">
        <is>
          <t>✅ Verified</t>
        </is>
      </c>
    </row>
    <row r="6">
      <c r="A6" s="32" t="n"/>
      <c r="B6" s="33" t="n"/>
      <c r="C6" s="33" t="n"/>
      <c r="D6" s="33" t="n"/>
      <c r="E6" s="33" t="n"/>
      <c r="F6" s="33" t="n"/>
      <c r="G6" s="33" t="n"/>
      <c r="H6" s="33" t="n"/>
    </row>
    <row r="7">
      <c r="A7" s="32" t="n"/>
      <c r="B7" s="33" t="n"/>
      <c r="C7" s="33" t="n"/>
      <c r="D7" s="33" t="n"/>
      <c r="E7" s="33" t="n"/>
      <c r="F7" s="33" t="n"/>
      <c r="G7" s="33" t="n"/>
      <c r="H7" s="33" t="n"/>
    </row>
    <row r="8">
      <c r="A8" s="32" t="n"/>
      <c r="B8" s="33" t="n"/>
      <c r="C8" s="33" t="n"/>
      <c r="D8" s="33" t="n"/>
      <c r="E8" s="33" t="n"/>
      <c r="F8" s="33" t="n"/>
      <c r="G8" s="33" t="n"/>
      <c r="H8" s="33" t="n"/>
    </row>
    <row r="9">
      <c r="A9" s="32" t="n"/>
      <c r="B9" s="33" t="n"/>
      <c r="C9" s="33" t="n"/>
      <c r="D9" s="33" t="n"/>
      <c r="E9" s="33" t="n"/>
      <c r="F9" s="33" t="n"/>
      <c r="G9" s="33" t="n"/>
      <c r="H9" s="33" t="n"/>
    </row>
    <row r="10">
      <c r="A10" s="32" t="n"/>
      <c r="B10" s="33" t="n"/>
      <c r="C10" s="33" t="n"/>
      <c r="D10" s="33" t="n"/>
      <c r="E10" s="33" t="n"/>
      <c r="F10" s="33" t="n"/>
      <c r="G10" s="33" t="n"/>
      <c r="H10" s="33" t="n"/>
    </row>
    <row r="11">
      <c r="A11" s="32" t="n"/>
      <c r="B11" s="33" t="n"/>
      <c r="C11" s="33" t="n"/>
      <c r="D11" s="33" t="n"/>
      <c r="E11" s="33" t="n"/>
      <c r="F11" s="33" t="n"/>
      <c r="G11" s="33" t="n"/>
      <c r="H11" s="33" t="n"/>
    </row>
    <row r="12">
      <c r="A12" s="32" t="n"/>
      <c r="B12" s="33" t="n"/>
      <c r="C12" s="33" t="n"/>
      <c r="D12" s="33" t="n"/>
      <c r="E12" s="33" t="n"/>
      <c r="F12" s="33" t="n"/>
      <c r="G12" s="33" t="n"/>
      <c r="H12" s="33" t="n"/>
    </row>
    <row r="13">
      <c r="A13" s="32" t="n"/>
      <c r="B13" s="33" t="n"/>
      <c r="C13" s="33" t="n"/>
      <c r="D13" s="33" t="n"/>
      <c r="E13" s="33" t="n"/>
      <c r="F13" s="33" t="n"/>
      <c r="G13" s="33" t="n"/>
      <c r="H13" s="33" t="n"/>
    </row>
    <row r="14">
      <c r="A14" s="32" t="n"/>
      <c r="B14" s="33" t="n"/>
      <c r="C14" s="33" t="n"/>
      <c r="D14" s="33" t="n"/>
      <c r="E14" s="33" t="n"/>
      <c r="F14" s="33" t="n"/>
      <c r="G14" s="33" t="n"/>
      <c r="H14" s="33" t="n"/>
    </row>
    <row r="15">
      <c r="A15" s="32" t="n"/>
      <c r="B15" s="33" t="n"/>
      <c r="C15" s="33" t="n"/>
      <c r="D15" s="33" t="n"/>
      <c r="E15" s="33" t="n"/>
      <c r="F15" s="33" t="n"/>
      <c r="G15" s="33" t="n"/>
      <c r="H15" s="33" t="n"/>
    </row>
    <row r="16">
      <c r="A16" s="32" t="n"/>
      <c r="B16" s="33" t="n"/>
      <c r="C16" s="33" t="n"/>
      <c r="D16" s="33" t="n"/>
      <c r="E16" s="33" t="n"/>
      <c r="F16" s="33" t="n"/>
      <c r="G16" s="33" t="n"/>
      <c r="H16" s="33" t="n"/>
    </row>
    <row r="17">
      <c r="A17" s="32" t="n"/>
      <c r="B17" s="33" t="n"/>
      <c r="C17" s="33" t="n"/>
      <c r="D17" s="33" t="n"/>
      <c r="E17" s="33" t="n"/>
      <c r="F17" s="33" t="n"/>
      <c r="G17" s="33" t="n"/>
      <c r="H17" s="33" t="n"/>
    </row>
    <row r="18">
      <c r="A18" s="32" t="n"/>
      <c r="B18" s="33" t="n"/>
      <c r="C18" s="33" t="n"/>
      <c r="D18" s="33" t="n"/>
      <c r="E18" s="33" t="n"/>
      <c r="F18" s="33" t="n"/>
      <c r="G18" s="33" t="n"/>
      <c r="H18" s="33" t="n"/>
    </row>
    <row r="19">
      <c r="A19" s="32" t="n"/>
      <c r="B19" s="33" t="n"/>
      <c r="C19" s="33" t="n"/>
      <c r="D19" s="33" t="n"/>
      <c r="E19" s="33" t="n"/>
      <c r="F19" s="33" t="n"/>
      <c r="G19" s="33" t="n"/>
      <c r="H19" s="33" t="n"/>
    </row>
    <row r="20">
      <c r="A20" s="32" t="n"/>
      <c r="B20" s="33" t="n"/>
      <c r="C20" s="33" t="n"/>
      <c r="D20" s="33" t="n"/>
      <c r="E20" s="33" t="n"/>
      <c r="F20" s="33" t="n"/>
      <c r="G20" s="33" t="n"/>
      <c r="H20" s="33" t="n"/>
    </row>
    <row r="21">
      <c r="A21" s="32" t="n"/>
      <c r="B21" s="33" t="n"/>
      <c r="C21" s="33" t="n"/>
      <c r="D21" s="33" t="n"/>
      <c r="E21" s="33" t="n"/>
      <c r="F21" s="33" t="n"/>
      <c r="G21" s="33" t="n"/>
      <c r="H21" s="33" t="n"/>
    </row>
    <row r="22">
      <c r="A22" s="32" t="n"/>
      <c r="B22" s="33" t="n"/>
      <c r="C22" s="33" t="n"/>
      <c r="D22" s="33" t="n"/>
      <c r="E22" s="33" t="n"/>
      <c r="F22" s="33" t="n"/>
      <c r="G22" s="33" t="n"/>
      <c r="H22" s="33" t="n"/>
    </row>
    <row r="23">
      <c r="A23" s="32" t="n"/>
      <c r="B23" s="33" t="n"/>
      <c r="C23" s="33" t="n"/>
      <c r="D23" s="33" t="n"/>
      <c r="E23" s="33" t="n"/>
      <c r="F23" s="33" t="n"/>
      <c r="G23" s="33" t="n"/>
      <c r="H23" s="33" t="n"/>
    </row>
    <row r="24">
      <c r="A24" s="32" t="n"/>
      <c r="B24" s="33" t="n"/>
      <c r="C24" s="33" t="n"/>
      <c r="D24" s="33" t="n"/>
      <c r="E24" s="33" t="n"/>
      <c r="F24" s="33" t="n"/>
      <c r="G24" s="33" t="n"/>
      <c r="H24" s="33" t="n"/>
    </row>
    <row r="25">
      <c r="A25" s="32" t="n"/>
      <c r="B25" s="33" t="n"/>
      <c r="C25" s="33" t="n"/>
      <c r="D25" s="33" t="n"/>
      <c r="E25" s="33" t="n"/>
      <c r="F25" s="33" t="n"/>
      <c r="G25" s="33" t="n"/>
      <c r="H25" s="33" t="n"/>
    </row>
    <row r="26">
      <c r="A26" s="32" t="n"/>
      <c r="B26" s="33" t="n"/>
      <c r="C26" s="33" t="n"/>
      <c r="D26" s="33" t="n"/>
      <c r="E26" s="33" t="n"/>
      <c r="F26" s="33" t="n"/>
      <c r="G26" s="33" t="n"/>
      <c r="H26" s="33" t="n"/>
    </row>
    <row r="27">
      <c r="A27" s="32" t="n"/>
      <c r="B27" s="33" t="n"/>
      <c r="C27" s="33" t="n"/>
      <c r="D27" s="33" t="n"/>
      <c r="E27" s="33" t="n"/>
      <c r="F27" s="33" t="n"/>
      <c r="G27" s="33" t="n"/>
      <c r="H27" s="33" t="n"/>
    </row>
    <row r="28">
      <c r="A28" s="32" t="n"/>
      <c r="B28" s="33" t="n"/>
      <c r="C28" s="33" t="n"/>
      <c r="D28" s="33" t="n"/>
      <c r="E28" s="33" t="n"/>
      <c r="F28" s="33" t="n"/>
      <c r="G28" s="33" t="n"/>
      <c r="H28" s="33" t="n"/>
    </row>
    <row r="29">
      <c r="A29" s="32" t="n"/>
      <c r="B29" s="33" t="n"/>
      <c r="C29" s="33" t="n"/>
      <c r="D29" s="33" t="n"/>
      <c r="E29" s="33" t="n"/>
      <c r="F29" s="33" t="n"/>
      <c r="G29" s="33" t="n"/>
      <c r="H29" s="33" t="n"/>
    </row>
    <row r="30">
      <c r="A30" s="32" t="n"/>
      <c r="B30" s="33" t="n"/>
      <c r="C30" s="33" t="n"/>
      <c r="D30" s="33" t="n"/>
      <c r="E30" s="33" t="n"/>
      <c r="F30" s="33" t="n"/>
      <c r="G30" s="33" t="n"/>
      <c r="H30" s="33" t="n"/>
    </row>
    <row r="31">
      <c r="A31" s="32" t="n"/>
      <c r="B31" s="33" t="n"/>
      <c r="C31" s="33" t="n"/>
      <c r="D31" s="33" t="n"/>
      <c r="E31" s="33" t="n"/>
      <c r="F31" s="33" t="n"/>
      <c r="G31" s="33" t="n"/>
      <c r="H31" s="33" t="n"/>
    </row>
    <row r="32">
      <c r="A32" s="32" t="n"/>
      <c r="B32" s="33" t="n"/>
      <c r="C32" s="33" t="n"/>
      <c r="D32" s="33" t="n"/>
      <c r="E32" s="33" t="n"/>
      <c r="F32" s="33" t="n"/>
      <c r="G32" s="33" t="n"/>
      <c r="H32" s="33" t="n"/>
    </row>
    <row r="33">
      <c r="A33" s="32" t="n"/>
      <c r="B33" s="33" t="n"/>
      <c r="C33" s="33" t="n"/>
      <c r="D33" s="33" t="n"/>
      <c r="E33" s="33" t="n"/>
      <c r="F33" s="33" t="n"/>
      <c r="G33" s="33" t="n"/>
      <c r="H33" s="33" t="n"/>
    </row>
    <row r="34">
      <c r="A34" s="32" t="n"/>
      <c r="B34" s="33" t="n"/>
      <c r="C34" s="33" t="n"/>
      <c r="D34" s="33" t="n"/>
      <c r="E34" s="33" t="n"/>
      <c r="F34" s="33" t="n"/>
      <c r="G34" s="33" t="n"/>
      <c r="H34" s="33" t="n"/>
    </row>
    <row r="35">
      <c r="A35" s="32" t="n"/>
      <c r="B35" s="33" t="n"/>
      <c r="C35" s="33" t="n"/>
      <c r="D35" s="33" t="n"/>
      <c r="E35" s="33" t="n"/>
      <c r="F35" s="33" t="n"/>
      <c r="G35" s="33" t="n"/>
      <c r="H35" s="33" t="n"/>
    </row>
    <row r="36">
      <c r="A36" s="32" t="n"/>
      <c r="B36" s="33" t="n"/>
      <c r="C36" s="33" t="n"/>
      <c r="D36" s="33" t="n"/>
      <c r="E36" s="33" t="n"/>
      <c r="F36" s="33" t="n"/>
      <c r="G36" s="33" t="n"/>
      <c r="H36" s="33" t="n"/>
    </row>
    <row r="37">
      <c r="A37" s="32" t="n"/>
      <c r="B37" s="33" t="n"/>
      <c r="C37" s="33" t="n"/>
      <c r="D37" s="33" t="n"/>
      <c r="E37" s="33" t="n"/>
      <c r="F37" s="33" t="n"/>
      <c r="G37" s="33" t="n"/>
      <c r="H37" s="33" t="n"/>
    </row>
    <row r="38">
      <c r="A38" s="32" t="n"/>
      <c r="B38" s="33" t="n"/>
      <c r="C38" s="33" t="n"/>
      <c r="D38" s="33" t="n"/>
      <c r="E38" s="33" t="n"/>
      <c r="F38" s="33" t="n"/>
      <c r="G38" s="33" t="n"/>
      <c r="H38" s="33" t="n"/>
    </row>
    <row r="39">
      <c r="A39" s="32" t="n"/>
      <c r="B39" s="33" t="n"/>
      <c r="C39" s="33" t="n"/>
      <c r="D39" s="33" t="n"/>
      <c r="E39" s="33" t="n"/>
      <c r="F39" s="33" t="n"/>
      <c r="G39" s="33" t="n"/>
      <c r="H39" s="33" t="n"/>
    </row>
    <row r="40">
      <c r="A40" s="32" t="n"/>
      <c r="B40" s="33" t="n"/>
      <c r="C40" s="33" t="n"/>
      <c r="D40" s="33" t="n"/>
      <c r="E40" s="33" t="n"/>
      <c r="F40" s="33" t="n"/>
      <c r="G40" s="33" t="n"/>
      <c r="H40" s="33" t="n"/>
    </row>
    <row r="41">
      <c r="A41" s="32" t="n"/>
      <c r="B41" s="33" t="n"/>
      <c r="C41" s="33" t="n"/>
      <c r="D41" s="33" t="n"/>
      <c r="E41" s="33" t="n"/>
      <c r="F41" s="33" t="n"/>
      <c r="G41" s="33" t="n"/>
      <c r="H41" s="33" t="n"/>
    </row>
    <row r="42">
      <c r="A42" s="32" t="n"/>
      <c r="B42" s="33" t="n"/>
      <c r="C42" s="33" t="n"/>
      <c r="D42" s="33" t="n"/>
      <c r="E42" s="33" t="n"/>
      <c r="F42" s="33" t="n"/>
      <c r="G42" s="33" t="n"/>
      <c r="H42" s="33" t="n"/>
    </row>
    <row r="43">
      <c r="A43" s="32" t="n"/>
      <c r="B43" s="33" t="n"/>
      <c r="C43" s="33" t="n"/>
      <c r="D43" s="33" t="n"/>
      <c r="E43" s="33" t="n"/>
      <c r="F43" s="33" t="n"/>
      <c r="G43" s="33" t="n"/>
      <c r="H43" s="33" t="n"/>
    </row>
    <row r="44">
      <c r="A44" s="32" t="n"/>
      <c r="B44" s="33" t="n"/>
      <c r="C44" s="33" t="n"/>
      <c r="D44" s="33" t="n"/>
      <c r="E44" s="33" t="n"/>
      <c r="F44" s="33" t="n"/>
      <c r="G44" s="33" t="n"/>
      <c r="H44" s="33" t="n"/>
    </row>
    <row r="45">
      <c r="A45" s="32" t="n"/>
      <c r="B45" s="33" t="n"/>
      <c r="C45" s="33" t="n"/>
      <c r="D45" s="33" t="n"/>
      <c r="E45" s="33" t="n"/>
      <c r="F45" s="33" t="n"/>
      <c r="G45" s="33" t="n"/>
      <c r="H45" s="33" t="n"/>
    </row>
    <row r="46">
      <c r="A46" s="32" t="n"/>
      <c r="B46" s="33" t="n"/>
      <c r="C46" s="33" t="n"/>
      <c r="D46" s="33" t="n"/>
      <c r="E46" s="33" t="n"/>
      <c r="F46" s="33" t="n"/>
      <c r="G46" s="33" t="n"/>
      <c r="H46" s="33" t="n"/>
    </row>
    <row r="47">
      <c r="A47" s="32" t="n"/>
      <c r="B47" s="33" t="n"/>
      <c r="C47" s="33" t="n"/>
      <c r="D47" s="33" t="n"/>
      <c r="E47" s="33" t="n"/>
      <c r="F47" s="33" t="n"/>
      <c r="G47" s="33" t="n"/>
      <c r="H47" s="33" t="n"/>
    </row>
    <row r="48">
      <c r="A48" s="32" t="n"/>
      <c r="B48" s="33" t="n"/>
      <c r="C48" s="33" t="n"/>
      <c r="D48" s="33" t="n"/>
      <c r="E48" s="33" t="n"/>
      <c r="F48" s="33" t="n"/>
      <c r="G48" s="33" t="n"/>
      <c r="H48" s="33" t="n"/>
    </row>
    <row r="49">
      <c r="A49" s="32" t="n"/>
      <c r="B49" s="33" t="n"/>
      <c r="C49" s="33" t="n"/>
      <c r="D49" s="33" t="n"/>
      <c r="E49" s="33" t="n"/>
      <c r="F49" s="33" t="n"/>
      <c r="G49" s="33" t="n"/>
      <c r="H49" s="33" t="n"/>
    </row>
    <row r="50">
      <c r="A50" s="32" t="n"/>
      <c r="B50" s="33" t="n"/>
      <c r="C50" s="33" t="n"/>
      <c r="D50" s="33" t="n"/>
      <c r="E50" s="33" t="n"/>
      <c r="F50" s="33" t="n"/>
      <c r="G50" s="33" t="n"/>
      <c r="H50" s="33" t="n"/>
    </row>
    <row r="51">
      <c r="A51" s="32" t="n"/>
      <c r="B51" s="33" t="n"/>
      <c r="C51" s="33" t="n"/>
      <c r="D51" s="33" t="n"/>
      <c r="E51" s="33" t="n"/>
      <c r="F51" s="33" t="n"/>
      <c r="G51" s="33" t="n"/>
      <c r="H51" s="33" t="n"/>
    </row>
    <row r="52">
      <c r="A52" s="32" t="n"/>
      <c r="B52" s="33" t="n"/>
      <c r="C52" s="33" t="n"/>
      <c r="D52" s="33" t="n"/>
      <c r="E52" s="33" t="n"/>
      <c r="F52" s="33" t="n"/>
      <c r="G52" s="33" t="n"/>
      <c r="H52" s="33" t="n"/>
    </row>
    <row r="53">
      <c r="A53" s="32" t="n"/>
      <c r="B53" s="33" t="n"/>
      <c r="C53" s="33" t="n"/>
      <c r="D53" s="33" t="n"/>
      <c r="E53" s="33" t="n"/>
      <c r="F53" s="33" t="n"/>
      <c r="G53" s="33" t="n"/>
      <c r="H53" s="33" t="n"/>
    </row>
    <row r="54">
      <c r="A54" s="32" t="n"/>
      <c r="B54" s="33" t="n"/>
      <c r="C54" s="33" t="n"/>
      <c r="D54" s="33" t="n"/>
      <c r="E54" s="33" t="n"/>
      <c r="F54" s="33" t="n"/>
      <c r="G54" s="33" t="n"/>
      <c r="H54" s="33" t="n"/>
    </row>
    <row r="55">
      <c r="A55" s="32" t="n"/>
      <c r="B55" s="33" t="n"/>
      <c r="C55" s="33" t="n"/>
      <c r="D55" s="33" t="n"/>
      <c r="E55" s="33" t="n"/>
      <c r="F55" s="33" t="n"/>
      <c r="G55" s="33" t="n"/>
      <c r="H55" s="33" t="n"/>
    </row>
    <row r="56">
      <c r="A56" s="32" t="n"/>
      <c r="B56" s="33" t="n"/>
      <c r="C56" s="33" t="n"/>
      <c r="D56" s="33" t="n"/>
      <c r="E56" s="33" t="n"/>
      <c r="F56" s="33" t="n"/>
      <c r="G56" s="33" t="n"/>
      <c r="H56" s="33" t="n"/>
    </row>
    <row r="57">
      <c r="A57" s="32" t="n"/>
      <c r="B57" s="33" t="n"/>
      <c r="C57" s="33" t="n"/>
      <c r="D57" s="33" t="n"/>
      <c r="E57" s="33" t="n"/>
      <c r="F57" s="33" t="n"/>
      <c r="G57" s="33" t="n"/>
      <c r="H57" s="33" t="n"/>
    </row>
    <row r="58">
      <c r="A58" s="32" t="n"/>
      <c r="B58" s="33" t="n"/>
      <c r="C58" s="33" t="n"/>
      <c r="D58" s="33" t="n"/>
      <c r="E58" s="33" t="n"/>
      <c r="F58" s="33" t="n"/>
      <c r="G58" s="33" t="n"/>
      <c r="H58" s="33" t="n"/>
    </row>
    <row r="59">
      <c r="A59" s="32" t="n"/>
      <c r="B59" s="33" t="n"/>
      <c r="C59" s="33" t="n"/>
      <c r="D59" s="33" t="n"/>
      <c r="E59" s="33" t="n"/>
      <c r="F59" s="33" t="n"/>
      <c r="G59" s="33" t="n"/>
      <c r="H59" s="33" t="n"/>
    </row>
    <row r="60">
      <c r="A60" s="32" t="n"/>
      <c r="B60" s="33" t="n"/>
      <c r="C60" s="33" t="n"/>
      <c r="D60" s="33" t="n"/>
      <c r="E60" s="33" t="n"/>
      <c r="F60" s="33" t="n"/>
      <c r="G60" s="33" t="n"/>
      <c r="H60" s="33" t="n"/>
    </row>
    <row r="61">
      <c r="A61" s="32" t="n"/>
      <c r="B61" s="33" t="n"/>
      <c r="C61" s="33" t="n"/>
      <c r="D61" s="33" t="n"/>
      <c r="E61" s="33" t="n"/>
      <c r="F61" s="33" t="n"/>
      <c r="G61" s="33" t="n"/>
      <c r="H61" s="33" t="n"/>
    </row>
    <row r="62">
      <c r="A62" s="32" t="n"/>
      <c r="B62" s="33" t="n"/>
      <c r="C62" s="33" t="n"/>
      <c r="D62" s="33" t="n"/>
      <c r="E62" s="33" t="n"/>
      <c r="F62" s="33" t="n"/>
      <c r="G62" s="33" t="n"/>
      <c r="H62" s="33" t="n"/>
    </row>
    <row r="63">
      <c r="A63" s="32" t="n"/>
      <c r="B63" s="33" t="n"/>
      <c r="C63" s="33" t="n"/>
      <c r="D63" s="33" t="n"/>
      <c r="E63" s="33" t="n"/>
      <c r="F63" s="33" t="n"/>
      <c r="G63" s="33" t="n"/>
      <c r="H63" s="33" t="n"/>
    </row>
    <row r="64">
      <c r="A64" s="32" t="n"/>
      <c r="B64" s="33" t="n"/>
      <c r="C64" s="33" t="n"/>
      <c r="D64" s="33" t="n"/>
      <c r="E64" s="33" t="n"/>
      <c r="F64" s="33" t="n"/>
      <c r="G64" s="33" t="n"/>
      <c r="H64" s="33" t="n"/>
    </row>
    <row r="65">
      <c r="A65" s="32" t="n"/>
      <c r="B65" s="33" t="n"/>
      <c r="C65" s="33" t="n"/>
      <c r="D65" s="33" t="n"/>
      <c r="E65" s="33" t="n"/>
      <c r="F65" s="33" t="n"/>
      <c r="G65" s="33" t="n"/>
      <c r="H65" s="33" t="n"/>
    </row>
    <row r="66">
      <c r="A66" s="32" t="n"/>
      <c r="B66" s="33" t="n"/>
      <c r="C66" s="33" t="n"/>
      <c r="D66" s="33" t="n"/>
      <c r="E66" s="33" t="n"/>
      <c r="F66" s="33" t="n"/>
      <c r="G66" s="33" t="n"/>
      <c r="H66" s="33" t="n"/>
    </row>
    <row r="67">
      <c r="A67" s="32" t="n"/>
      <c r="B67" s="33" t="n"/>
      <c r="C67" s="33" t="n"/>
      <c r="D67" s="33" t="n"/>
      <c r="E67" s="33" t="n"/>
      <c r="F67" s="33" t="n"/>
      <c r="G67" s="33" t="n"/>
      <c r="H67" s="33" t="n"/>
    </row>
    <row r="68">
      <c r="A68" s="32" t="n"/>
      <c r="B68" s="33" t="n"/>
      <c r="C68" s="33" t="n"/>
      <c r="D68" s="33" t="n"/>
      <c r="E68" s="33" t="n"/>
      <c r="F68" s="33" t="n"/>
      <c r="G68" s="33" t="n"/>
      <c r="H68" s="33" t="n"/>
    </row>
    <row r="69">
      <c r="A69" s="32" t="n"/>
      <c r="B69" s="33" t="n"/>
      <c r="C69" s="33" t="n"/>
      <c r="D69" s="33" t="n"/>
      <c r="E69" s="33" t="n"/>
      <c r="F69" s="33" t="n"/>
      <c r="G69" s="33" t="n"/>
      <c r="H69" s="33" t="n"/>
    </row>
    <row r="70">
      <c r="A70" s="32" t="n"/>
      <c r="B70" s="33" t="n"/>
      <c r="C70" s="33" t="n"/>
      <c r="D70" s="33" t="n"/>
      <c r="E70" s="33" t="n"/>
      <c r="F70" s="33" t="n"/>
      <c r="G70" s="33" t="n"/>
      <c r="H70" s="33" t="n"/>
    </row>
    <row r="71">
      <c r="A71" s="32" t="n"/>
      <c r="B71" s="33" t="n"/>
      <c r="C71" s="33" t="n"/>
      <c r="D71" s="33" t="n"/>
      <c r="E71" s="33" t="n"/>
      <c r="F71" s="33" t="n"/>
      <c r="G71" s="33" t="n"/>
      <c r="H71" s="33" t="n"/>
    </row>
    <row r="72">
      <c r="A72" s="32" t="n"/>
      <c r="B72" s="33" t="n"/>
      <c r="C72" s="33" t="n"/>
      <c r="D72" s="33" t="n"/>
      <c r="E72" s="33" t="n"/>
      <c r="F72" s="33" t="n"/>
      <c r="G72" s="33" t="n"/>
      <c r="H72" s="33" t="n"/>
    </row>
    <row r="73">
      <c r="A73" s="32" t="n"/>
      <c r="B73" s="33" t="n"/>
      <c r="C73" s="33" t="n"/>
      <c r="D73" s="33" t="n"/>
      <c r="E73" s="33" t="n"/>
      <c r="F73" s="33" t="n"/>
      <c r="G73" s="33" t="n"/>
      <c r="H73" s="33" t="n"/>
    </row>
    <row r="74">
      <c r="A74" s="32" t="n"/>
      <c r="B74" s="33" t="n"/>
      <c r="C74" s="33" t="n"/>
      <c r="D74" s="33" t="n"/>
      <c r="E74" s="33" t="n"/>
      <c r="F74" s="33" t="n"/>
      <c r="G74" s="33" t="n"/>
      <c r="H74" s="33" t="n"/>
    </row>
    <row r="75">
      <c r="A75" s="32" t="n"/>
      <c r="B75" s="33" t="n"/>
      <c r="C75" s="33" t="n"/>
      <c r="D75" s="33" t="n"/>
      <c r="E75" s="33" t="n"/>
      <c r="F75" s="33" t="n"/>
      <c r="G75" s="33" t="n"/>
      <c r="H75" s="33" t="n"/>
    </row>
    <row r="76">
      <c r="A76" s="32" t="n"/>
      <c r="B76" s="33" t="n"/>
      <c r="C76" s="33" t="n"/>
      <c r="D76" s="33" t="n"/>
      <c r="E76" s="33" t="n"/>
      <c r="F76" s="33" t="n"/>
      <c r="G76" s="33" t="n"/>
      <c r="H76" s="33" t="n"/>
    </row>
    <row r="77">
      <c r="A77" s="32" t="n"/>
      <c r="B77" s="33" t="n"/>
      <c r="C77" s="33" t="n"/>
      <c r="D77" s="33" t="n"/>
      <c r="E77" s="33" t="n"/>
      <c r="F77" s="33" t="n"/>
      <c r="G77" s="33" t="n"/>
      <c r="H77" s="33" t="n"/>
    </row>
    <row r="78">
      <c r="A78" s="32" t="n"/>
      <c r="B78" s="33" t="n"/>
      <c r="C78" s="33" t="n"/>
      <c r="D78" s="33" t="n"/>
      <c r="E78" s="33" t="n"/>
      <c r="F78" s="33" t="n"/>
      <c r="G78" s="33" t="n"/>
      <c r="H78" s="33" t="n"/>
    </row>
    <row r="79">
      <c r="A79" s="32" t="n"/>
      <c r="B79" s="33" t="n"/>
      <c r="C79" s="33" t="n"/>
      <c r="D79" s="33" t="n"/>
      <c r="E79" s="33" t="n"/>
      <c r="F79" s="33" t="n"/>
      <c r="G79" s="33" t="n"/>
      <c r="H79" s="33" t="n"/>
    </row>
    <row r="80">
      <c r="A80" s="32" t="n"/>
      <c r="B80" s="33" t="n"/>
      <c r="C80" s="33" t="n"/>
      <c r="D80" s="33" t="n"/>
      <c r="E80" s="33" t="n"/>
      <c r="F80" s="33" t="n"/>
      <c r="G80" s="33" t="n"/>
      <c r="H80" s="33" t="n"/>
    </row>
    <row r="81">
      <c r="A81" s="32" t="n"/>
      <c r="B81" s="33" t="n"/>
      <c r="C81" s="33" t="n"/>
      <c r="D81" s="33" t="n"/>
      <c r="E81" s="33" t="n"/>
      <c r="F81" s="33" t="n"/>
      <c r="G81" s="33" t="n"/>
      <c r="H81" s="33" t="n"/>
    </row>
    <row r="82">
      <c r="A82" s="32" t="n"/>
      <c r="B82" s="33" t="n"/>
      <c r="C82" s="33" t="n"/>
      <c r="D82" s="33" t="n"/>
      <c r="E82" s="33" t="n"/>
      <c r="F82" s="33" t="n"/>
      <c r="G82" s="33" t="n"/>
      <c r="H82" s="33" t="n"/>
    </row>
    <row r="83">
      <c r="A83" s="32" t="n"/>
      <c r="B83" s="33" t="n"/>
      <c r="C83" s="33" t="n"/>
      <c r="D83" s="33" t="n"/>
      <c r="E83" s="33" t="n"/>
      <c r="F83" s="33" t="n"/>
      <c r="G83" s="33" t="n"/>
      <c r="H83" s="33" t="n"/>
    </row>
    <row r="84">
      <c r="A84" s="32" t="n"/>
      <c r="B84" s="33" t="n"/>
      <c r="C84" s="33" t="n"/>
      <c r="D84" s="33" t="n"/>
      <c r="E84" s="33" t="n"/>
      <c r="F84" s="33" t="n"/>
      <c r="G84" s="33" t="n"/>
      <c r="H84" s="33" t="n"/>
    </row>
    <row r="85">
      <c r="A85" s="32" t="n"/>
      <c r="B85" s="33" t="n"/>
      <c r="C85" s="33" t="n"/>
      <c r="D85" s="33" t="n"/>
      <c r="E85" s="33" t="n"/>
      <c r="F85" s="33" t="n"/>
      <c r="G85" s="33" t="n"/>
      <c r="H85" s="33" t="n"/>
    </row>
    <row r="86">
      <c r="A86" s="32" t="n"/>
      <c r="B86" s="33" t="n"/>
      <c r="C86" s="33" t="n"/>
      <c r="D86" s="33" t="n"/>
      <c r="E86" s="33" t="n"/>
      <c r="F86" s="33" t="n"/>
      <c r="G86" s="33" t="n"/>
      <c r="H86" s="33" t="n"/>
    </row>
    <row r="87">
      <c r="A87" s="32" t="n"/>
      <c r="B87" s="33" t="n"/>
      <c r="C87" s="33" t="n"/>
      <c r="D87" s="33" t="n"/>
      <c r="E87" s="33" t="n"/>
      <c r="F87" s="33" t="n"/>
      <c r="G87" s="33" t="n"/>
      <c r="H87" s="33" t="n"/>
    </row>
    <row r="88">
      <c r="A88" s="32" t="n"/>
      <c r="B88" s="33" t="n"/>
      <c r="C88" s="33" t="n"/>
      <c r="D88" s="33" t="n"/>
      <c r="E88" s="33" t="n"/>
      <c r="F88" s="33" t="n"/>
      <c r="G88" s="33" t="n"/>
      <c r="H88" s="33" t="n"/>
    </row>
    <row r="89">
      <c r="A89" s="32" t="n"/>
      <c r="B89" s="33" t="n"/>
      <c r="C89" s="33" t="n"/>
      <c r="D89" s="33" t="n"/>
      <c r="E89" s="33" t="n"/>
      <c r="F89" s="33" t="n"/>
      <c r="G89" s="33" t="n"/>
      <c r="H89" s="33" t="n"/>
    </row>
    <row r="90">
      <c r="A90" s="32" t="n"/>
      <c r="B90" s="33" t="n"/>
      <c r="C90" s="33" t="n"/>
      <c r="D90" s="33" t="n"/>
      <c r="E90" s="33" t="n"/>
      <c r="F90" s="33" t="n"/>
      <c r="G90" s="33" t="n"/>
      <c r="H90" s="33" t="n"/>
    </row>
    <row r="91">
      <c r="A91" s="32" t="n"/>
      <c r="B91" s="33" t="n"/>
      <c r="C91" s="33" t="n"/>
      <c r="D91" s="33" t="n"/>
      <c r="E91" s="33" t="n"/>
      <c r="F91" s="33" t="n"/>
      <c r="G91" s="33" t="n"/>
      <c r="H91" s="33" t="n"/>
    </row>
    <row r="92">
      <c r="A92" s="32" t="n"/>
      <c r="B92" s="33" t="n"/>
      <c r="C92" s="33" t="n"/>
      <c r="D92" s="33" t="n"/>
      <c r="E92" s="33" t="n"/>
      <c r="F92" s="33" t="n"/>
      <c r="G92" s="33" t="n"/>
      <c r="H92" s="33" t="n"/>
    </row>
    <row r="93">
      <c r="A93" s="32" t="n"/>
      <c r="B93" s="33" t="n"/>
      <c r="C93" s="33" t="n"/>
      <c r="D93" s="33" t="n"/>
      <c r="E93" s="33" t="n"/>
      <c r="F93" s="33" t="n"/>
      <c r="G93" s="33" t="n"/>
      <c r="H93" s="33" t="n"/>
    </row>
    <row r="94">
      <c r="A94" s="32" t="n"/>
      <c r="B94" s="33" t="n"/>
      <c r="C94" s="33" t="n"/>
      <c r="D94" s="33" t="n"/>
      <c r="E94" s="33" t="n"/>
      <c r="F94" s="33" t="n"/>
      <c r="G94" s="33" t="n"/>
      <c r="H94" s="33" t="n"/>
    </row>
    <row r="95">
      <c r="A95" s="32" t="n"/>
      <c r="B95" s="33" t="n"/>
      <c r="C95" s="33" t="n"/>
      <c r="D95" s="33" t="n"/>
      <c r="E95" s="33" t="n"/>
      <c r="F95" s="33" t="n"/>
      <c r="G95" s="33" t="n"/>
      <c r="H95" s="33" t="n"/>
    </row>
    <row r="96">
      <c r="A96" s="32" t="n"/>
      <c r="B96" s="33" t="n"/>
      <c r="C96" s="33" t="n"/>
      <c r="D96" s="33" t="n"/>
      <c r="E96" s="33" t="n"/>
      <c r="F96" s="33" t="n"/>
      <c r="G96" s="33" t="n"/>
      <c r="H96" s="33" t="n"/>
    </row>
    <row r="97">
      <c r="A97" s="32" t="n"/>
      <c r="B97" s="33" t="n"/>
      <c r="C97" s="33" t="n"/>
      <c r="D97" s="33" t="n"/>
      <c r="E97" s="33" t="n"/>
      <c r="F97" s="33" t="n"/>
      <c r="G97" s="33" t="n"/>
      <c r="H97" s="33" t="n"/>
    </row>
    <row r="98">
      <c r="A98" s="32" t="n"/>
      <c r="B98" s="33" t="n"/>
      <c r="C98" s="33" t="n"/>
      <c r="D98" s="33" t="n"/>
      <c r="E98" s="33" t="n"/>
      <c r="F98" s="33" t="n"/>
      <c r="G98" s="33" t="n"/>
      <c r="H98" s="33" t="n"/>
    </row>
    <row r="99">
      <c r="A99" s="32" t="n"/>
      <c r="B99" s="33" t="n"/>
      <c r="C99" s="33" t="n"/>
      <c r="D99" s="33" t="n"/>
      <c r="E99" s="33" t="n"/>
      <c r="F99" s="33" t="n"/>
      <c r="G99" s="33" t="n"/>
      <c r="H99" s="33" t="n"/>
    </row>
    <row r="100">
      <c r="A100" s="32" t="n"/>
      <c r="B100" s="33" t="n"/>
      <c r="C100" s="33" t="n"/>
      <c r="D100" s="33" t="n"/>
      <c r="E100" s="33" t="n"/>
      <c r="F100" s="33" t="n"/>
      <c r="G100" s="33" t="n"/>
      <c r="H100" s="33" t="n"/>
    </row>
    <row r="101">
      <c r="A101" s="32" t="n"/>
      <c r="B101" s="33" t="n"/>
      <c r="C101" s="33" t="n"/>
      <c r="D101" s="33" t="n"/>
      <c r="E101" s="33" t="n"/>
      <c r="F101" s="33" t="n"/>
      <c r="G101" s="33" t="n"/>
      <c r="H101" s="33" t="n"/>
    </row>
    <row r="102">
      <c r="A102" s="32" t="n"/>
      <c r="B102" s="33" t="n"/>
      <c r="C102" s="33" t="n"/>
      <c r="D102" s="33" t="n"/>
      <c r="E102" s="33" t="n"/>
      <c r="F102" s="33" t="n"/>
      <c r="G102" s="33" t="n"/>
      <c r="H102" s="33" t="n"/>
    </row>
    <row r="103">
      <c r="A103" s="32" t="n"/>
      <c r="B103" s="33" t="n"/>
      <c r="C103" s="33" t="n"/>
      <c r="D103" s="33" t="n"/>
      <c r="E103" s="33" t="n"/>
      <c r="F103" s="33" t="n"/>
      <c r="G103" s="33" t="n"/>
      <c r="H103" s="33" t="n"/>
    </row>
    <row r="104">
      <c r="A104" s="32" t="n"/>
      <c r="B104" s="33" t="n"/>
      <c r="C104" s="33" t="n"/>
      <c r="D104" s="33" t="n"/>
      <c r="E104" s="33" t="n"/>
      <c r="F104" s="33" t="n"/>
      <c r="G104" s="33" t="n"/>
      <c r="H104" s="33" t="n"/>
    </row>
    <row r="105">
      <c r="A105" s="32" t="n"/>
      <c r="B105" s="33" t="n"/>
      <c r="C105" s="33" t="n"/>
      <c r="D105" s="33" t="n"/>
      <c r="E105" s="33" t="n"/>
      <c r="F105" s="33" t="n"/>
      <c r="G105" s="33" t="n"/>
      <c r="H105" s="3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5" customWidth="1" min="3" max="3"/>
    <col width="5" customWidth="1" min="4" max="4"/>
    <col width="5" customWidth="1" min="5" max="5"/>
    <col width="5" customWidth="1" min="6" max="6"/>
    <col width="15" customWidth="1" min="7" max="7"/>
  </cols>
  <sheetData>
    <row r="1" ht="35" customHeight="1">
      <c r="A1" s="34" t="inlineStr">
        <is>
          <t>NETWORK DEVICE SECURITY ASSESSMENT — SUMMARY DASHBOARD</t>
        </is>
      </c>
    </row>
    <row r="2">
      <c r="A2" s="35" t="inlineStr">
        <is>
          <t>ISO/IEC 27001:2022 — Controls A.8.20 · A.8.21 · A.8.22: Network Security, Security of Network Services and Segregation of Networks</t>
        </is>
      </c>
    </row>
    <row r="4">
      <c r="A4" s="36" t="inlineStr">
        <is>
          <t>TABLE 1: ASSESSMENT AREA COMPLIANCE</t>
        </is>
      </c>
    </row>
    <row r="5">
      <c r="A5" s="37" t="inlineStr">
        <is>
          <t>Assessment Area</t>
        </is>
      </c>
      <c r="B5" s="37" t="inlineStr">
        <is>
          <t>Total</t>
        </is>
      </c>
      <c r="C5" s="37" t="inlineStr">
        <is>
          <t>Yes</t>
        </is>
      </c>
      <c r="D5" s="37" t="inlineStr">
        <is>
          <t>Partial</t>
        </is>
      </c>
      <c r="E5" s="37" t="inlineStr">
        <is>
          <t>No</t>
        </is>
      </c>
      <c r="F5" s="37" t="inlineStr">
        <is>
          <t>N-A</t>
        </is>
      </c>
      <c r="G5" s="37" t="inlineStr">
        <is>
          <t>Compliance %</t>
        </is>
      </c>
    </row>
    <row r="6">
      <c r="A6" s="38" t="inlineStr">
        <is>
          <t>Device Hardening Assessment</t>
        </is>
      </c>
      <c r="B6" s="39">
        <f>COUNTA('Device Hardening Assessment'!B5:B54)</f>
        <v/>
      </c>
      <c r="C6" s="39">
        <f>COUNTIF('Device Hardening Assessment'!U5:U54,"&gt;=80")</f>
        <v/>
      </c>
      <c r="D6" s="39">
        <f>COUNTIFS('Device Hardening Assessment'!U5:U54,"&gt;=50",'Device Hardening Assessment'!U5:U54,"&lt;80")</f>
        <v/>
      </c>
      <c r="E6" s="39">
        <f>COUNTIFS('Device Hardening Assessment'!U5:U54,"&gt;=0",'Device Hardening Assessment'!U5:U54,"&lt;50")</f>
        <v/>
      </c>
      <c r="F6" s="39">
        <f>B6-(C6+D6+E6)</f>
        <v/>
      </c>
      <c r="G6" s="39">
        <f>IF((B6-F6)=0,"0%",ROUND(C6/(B6-F6)*100,1)&amp;"%")</f>
        <v/>
      </c>
    </row>
    <row r="7">
      <c r="A7" s="38" t="inlineStr">
        <is>
          <t>Gap Analysis</t>
        </is>
      </c>
      <c r="B7" s="39">
        <f>COUNTA('Gap Analysis'!B5:B110)</f>
        <v/>
      </c>
      <c r="C7" s="39">
        <f>COUNTIF('Gap Analysis'!J5:J110,"Completed")</f>
        <v/>
      </c>
      <c r="D7" s="39">
        <f>COUNTIF('Gap Analysis'!J5:J110,"In Progress")</f>
        <v/>
      </c>
      <c r="E7" s="39">
        <f>COUNTIF('Gap Analysis'!J5:J110,"Open")</f>
        <v/>
      </c>
      <c r="F7" s="39">
        <f>B7-(C7+D7+E7)</f>
        <v/>
      </c>
      <c r="G7" s="39">
        <f>IF((B7-F7)=0,"0%",ROUND(C7/(B7-F7)*100,1)&amp;"%")</f>
        <v/>
      </c>
    </row>
    <row r="8">
      <c r="A8" s="40" t="inlineStr">
        <is>
          <t>TOTAL</t>
        </is>
      </c>
      <c r="B8" s="37">
        <f>SUM(B6:B7)</f>
        <v/>
      </c>
      <c r="C8" s="37">
        <f>SUM(C6:C7)</f>
        <v/>
      </c>
      <c r="D8" s="37">
        <f>SUM(D6:D7)</f>
        <v/>
      </c>
      <c r="E8" s="37">
        <f>SUM(E6:E7)</f>
        <v/>
      </c>
      <c r="F8" s="37">
        <f>SUM(F6:F7)</f>
        <v/>
      </c>
      <c r="G8" s="37">
        <f>IF((B8-F8)=0,"0%",ROUND(C8/(B8-F8)*100,1)&amp;"%")</f>
        <v/>
      </c>
    </row>
    <row r="10">
      <c r="A10" s="36" t="inlineStr">
        <is>
          <t>TABLE 2: KEY METRICS</t>
        </is>
      </c>
    </row>
    <row r="11">
      <c r="A11" s="40" t="inlineStr">
        <is>
          <t>Metric</t>
        </is>
      </c>
      <c r="B11" s="37" t="inlineStr">
        <is>
          <t>Value</t>
        </is>
      </c>
      <c r="C11" s="40" t="inlineStr">
        <is>
          <t>What This Shows</t>
        </is>
      </c>
    </row>
    <row r="12">
      <c r="A12" s="38" t="inlineStr">
        <is>
          <t>Non-Compliant Devices (&lt;80%)</t>
        </is>
      </c>
      <c r="B12" s="39">
        <f>COUNTIFS('Device Hardening Assessment'!U5:U54,"&gt;=0",'Device Hardening Assessment'!U5:U54,"&lt;80")</f>
        <v/>
      </c>
      <c r="C12" s="41" t="inlineStr">
        <is>
          <t>Devices scoring below 80% hardening baseline (require remediation)</t>
        </is>
      </c>
      <c r="D12" s="6" t="n"/>
      <c r="E12" s="6" t="n"/>
      <c r="F12" s="6" t="n"/>
      <c r="G12" s="6" t="n"/>
    </row>
    <row r="13">
      <c r="A13" s="38" t="inlineStr">
        <is>
          <t>Fully Compliant Devices (≥95%)</t>
        </is>
      </c>
      <c r="B13" s="39">
        <f>COUNTIF('Device Hardening Assessment'!U5:U54,"&gt;=95")</f>
        <v/>
      </c>
      <c r="C13" s="41" t="inlineStr">
        <is>
          <t>Devices meeting gold-standard hardening (≥95% compliance score)</t>
        </is>
      </c>
      <c r="D13" s="6" t="n"/>
      <c r="E13" s="6" t="n"/>
      <c r="F13" s="6" t="n"/>
      <c r="G13" s="6" t="n"/>
    </row>
    <row r="14">
      <c r="A14" s="38" t="inlineStr">
        <is>
          <t>Partially Compliant Devices (80–94%)</t>
        </is>
      </c>
      <c r="B14" s="39">
        <f>COUNTIFS('Device Hardening Assessment'!U5:U54,"&gt;=80",'Device Hardening Assessment'!U5:U54,"&lt;95")</f>
        <v/>
      </c>
      <c r="C14" s="41" t="inlineStr">
        <is>
          <t>Near-compliant devices needing minor hardening improvements</t>
        </is>
      </c>
      <c r="D14" s="6" t="n"/>
      <c r="E14" s="6" t="n"/>
      <c r="F14" s="6" t="n"/>
      <c r="G14" s="6" t="n"/>
    </row>
    <row r="15">
      <c r="A15" s="38" t="inlineStr">
        <is>
          <t>Critical Severity Hardening Gaps</t>
        </is>
      </c>
      <c r="B15" s="39">
        <f>COUNTIF('Gap Analysis'!G5:G110,"Critical")</f>
        <v/>
      </c>
      <c r="C15" s="41" t="inlineStr">
        <is>
          <t>Critical hardening gaps requiring immediate remediation</t>
        </is>
      </c>
      <c r="D15" s="6" t="n"/>
      <c r="E15" s="6" t="n"/>
      <c r="F15" s="6" t="n"/>
      <c r="G15" s="6" t="n"/>
    </row>
    <row r="16">
      <c r="A16" s="38" t="inlineStr">
        <is>
          <t>Open Gaps</t>
        </is>
      </c>
      <c r="B16" s="39">
        <f>COUNTIF('Gap Analysis'!J5:J110,"Open")</f>
        <v/>
      </c>
      <c r="C16" s="41" t="inlineStr">
        <is>
          <t>Outstanding gaps without active remediation plan</t>
        </is>
      </c>
      <c r="D16" s="6" t="n"/>
      <c r="E16" s="6" t="n"/>
      <c r="F16" s="6" t="n"/>
      <c r="G16" s="6" t="n"/>
    </row>
    <row r="17">
      <c r="A17" s="38" t="inlineStr">
        <is>
          <t>High Severity Gaps</t>
        </is>
      </c>
      <c r="B17" s="39">
        <f>COUNTIF('Gap Analysis'!G5:G110,"High")</f>
        <v/>
      </c>
      <c r="C17" s="41" t="inlineStr">
        <is>
          <t>High-severity hardening gaps requiring prioritised remediation</t>
        </is>
      </c>
      <c r="D17" s="6" t="n"/>
      <c r="E17" s="6" t="n"/>
      <c r="F17" s="6" t="n"/>
      <c r="G17" s="6" t="n"/>
    </row>
    <row r="18">
      <c r="A18" s="38" t="inlineStr">
        <is>
          <t>Devices Not Assessed</t>
        </is>
      </c>
      <c r="B18" s="39">
        <f>COUNTBLANK('Device Hardening Assessment'!U5:U54)</f>
        <v/>
      </c>
      <c r="C18" s="41" t="inlineStr">
        <is>
          <t>Devices in scope with no hardening score (assessment required)</t>
        </is>
      </c>
      <c r="D18" s="6" t="n"/>
      <c r="E18" s="6" t="n"/>
      <c r="F18" s="6" t="n"/>
      <c r="G18" s="6" t="n"/>
    </row>
    <row r="19">
      <c r="A19" s="38" t="inlineStr">
        <is>
          <t>Overall Compliance Rate</t>
        </is>
      </c>
      <c r="B19" s="39">
        <f>G8</f>
        <v/>
      </c>
      <c r="C19" s="41" t="inlineStr">
        <is>
          <t>Overall device hardening compliance percentage (TABLE 1 total)</t>
        </is>
      </c>
      <c r="D19" s="6" t="n"/>
      <c r="E19" s="6" t="n"/>
      <c r="F19" s="6" t="n"/>
      <c r="G19" s="6" t="n"/>
    </row>
    <row r="21">
      <c r="A21" s="42" t="inlineStr">
        <is>
          <t>TABLE 3: CRITICAL FINDINGS</t>
        </is>
      </c>
    </row>
    <row r="22">
      <c r="A22" s="40" t="inlineStr">
        <is>
          <t>Critical Finding Type</t>
        </is>
      </c>
      <c r="B22" s="37" t="inlineStr">
        <is>
          <t>Count</t>
        </is>
      </c>
      <c r="C22" s="40" t="inlineStr">
        <is>
          <t>Filter Instructions</t>
        </is>
      </c>
    </row>
    <row r="23">
      <c r="A23" s="43" t="inlineStr">
        <is>
          <t>Non-Compliant Devices (&lt;80%)</t>
        </is>
      </c>
      <c r="B23" s="44">
        <f>COUNTIFS('Device Hardening Assessment'!U5:U54,"&gt;=0",'Device Hardening Assessment'!U5:U54,"&lt;80")</f>
        <v/>
      </c>
      <c r="C23" s="45" t="inlineStr">
        <is>
          <t>Filter Device Hardening Assessment: Score &lt; 80</t>
        </is>
      </c>
      <c r="D23" s="20" t="n"/>
      <c r="E23" s="20" t="n"/>
      <c r="F23" s="20" t="n"/>
      <c r="G23" s="20" t="n"/>
    </row>
    <row r="24">
      <c r="A24" s="43" t="inlineStr">
        <is>
          <t>Critical Hardening Gaps</t>
        </is>
      </c>
      <c r="B24" s="44">
        <f>COUNTIF('Gap Analysis'!G5:G110,"Critical")</f>
        <v/>
      </c>
      <c r="C24" s="45" t="inlineStr">
        <is>
          <t>Filter Gap Analysis: Severity = "Critical"</t>
        </is>
      </c>
      <c r="D24" s="20" t="n"/>
      <c r="E24" s="20" t="n"/>
      <c r="F24" s="20" t="n"/>
      <c r="G24" s="20" t="n"/>
    </row>
    <row r="25">
      <c r="A25" s="43" t="inlineStr">
        <is>
          <t>Open Gaps</t>
        </is>
      </c>
      <c r="B25" s="44">
        <f>COUNTIF('Gap Analysis'!J5:J110,"Open")</f>
        <v/>
      </c>
      <c r="C25" s="45" t="inlineStr">
        <is>
          <t>Filter Gap Analysis: Status = "Open"</t>
        </is>
      </c>
      <c r="D25" s="20" t="n"/>
      <c r="E25" s="20" t="n"/>
      <c r="F25" s="20" t="n"/>
      <c r="G25" s="20" t="n"/>
    </row>
    <row r="26">
      <c r="A26" s="43" t="inlineStr">
        <is>
          <t>High Severity Gaps</t>
        </is>
      </c>
      <c r="B26" s="44">
        <f>COUNTIF('Gap Analysis'!G5:G110,"High")</f>
        <v/>
      </c>
      <c r="C26" s="45" t="inlineStr">
        <is>
          <t>Filter Gap Analysis: Severity = "High"</t>
        </is>
      </c>
      <c r="D26" s="20" t="n"/>
      <c r="E26" s="20" t="n"/>
      <c r="F26" s="20" t="n"/>
      <c r="G26" s="20" t="n"/>
    </row>
    <row r="27">
      <c r="A27" s="43" t="inlineStr">
        <is>
          <t>Devices Not Assessed</t>
        </is>
      </c>
      <c r="B27" s="44">
        <f>COUNTBLANK('Device Hardening Assessment'!U5:U54)</f>
        <v/>
      </c>
      <c r="C27" s="45" t="inlineStr">
        <is>
          <t>Filter Device Hardening Assessment: Score is empty</t>
        </is>
      </c>
      <c r="D27" s="20" t="n"/>
      <c r="E27" s="20" t="n"/>
      <c r="F27" s="20" t="n"/>
      <c r="G27" s="20" t="n"/>
    </row>
    <row r="28">
      <c r="A28" s="46" t="inlineStr">
        <is>
          <t>TOTAL</t>
        </is>
      </c>
      <c r="B28" s="47">
        <f>SUM(B23:B27)</f>
        <v/>
      </c>
      <c r="C28" s="48" t="inlineStr">
        <is>
          <t>Total critical findings requiring immediate remediation</t>
        </is>
      </c>
    </row>
  </sheetData>
  <mergeCells count="21">
    <mergeCell ref="C24:G24"/>
    <mergeCell ref="C15:G15"/>
    <mergeCell ref="A4:G4"/>
    <mergeCell ref="C14:G14"/>
    <mergeCell ref="A10:G10"/>
    <mergeCell ref="C26:G26"/>
    <mergeCell ref="C16:G16"/>
    <mergeCell ref="C25:G25"/>
    <mergeCell ref="C22:G22"/>
    <mergeCell ref="A1:G1"/>
    <mergeCell ref="C12:G12"/>
    <mergeCell ref="C11:G11"/>
    <mergeCell ref="C27:G27"/>
    <mergeCell ref="C23:G23"/>
    <mergeCell ref="C17:G17"/>
    <mergeCell ref="A21:G21"/>
    <mergeCell ref="C28:G28"/>
    <mergeCell ref="C19:G19"/>
    <mergeCell ref="A2:G2"/>
    <mergeCell ref="C13:G13"/>
    <mergeCell ref="C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3">
      <c r="A3" s="49" t="inlineStr">
        <is>
          <t>ASSESSMENT SUMMARY</t>
        </is>
      </c>
      <c r="B3" s="6" t="n"/>
      <c r="C3" s="6" t="n"/>
      <c r="D3" s="6" t="n"/>
      <c r="E3" s="6" t="n"/>
    </row>
    <row r="4">
      <c r="A4" s="3" t="inlineStr">
        <is>
          <t>Document:</t>
        </is>
      </c>
      <c r="B4" s="6" t="inlineStr">
        <is>
          <t>ISMS-IMP-A.8.20-22.S2 - Network Device Security Assessment</t>
        </is>
      </c>
      <c r="C4" s="6" t="n"/>
      <c r="D4" s="6" t="n"/>
      <c r="E4" s="6" t="n"/>
    </row>
    <row r="5">
      <c r="A5" s="3" t="inlineStr">
        <is>
          <t>Assessment Period:</t>
        </is>
      </c>
      <c r="B5" s="20" t="inlineStr"/>
      <c r="C5" s="6" t="n"/>
      <c r="D5" s="6" t="n"/>
      <c r="E5" s="6" t="n"/>
    </row>
    <row r="6">
      <c r="A6" s="3" t="inlineStr">
        <is>
          <t>Overall Compliance:</t>
        </is>
      </c>
      <c r="B6" s="50">
        <f>IFERROR(AVERAGE('Summary Dashboard'!G6:G7),"")</f>
        <v/>
      </c>
      <c r="C6" s="6" t="n"/>
      <c r="D6" s="6" t="n"/>
      <c r="E6" s="6" t="n"/>
    </row>
    <row r="7">
      <c r="A7" s="3" t="inlineStr">
        <is>
          <t>Assessment Status:</t>
        </is>
      </c>
      <c r="B7" s="20" t="inlineStr"/>
      <c r="C7" s="6" t="n"/>
      <c r="D7" s="6" t="n"/>
      <c r="E7" s="6" t="n"/>
    </row>
    <row r="10">
      <c r="A10" s="49" t="inlineStr">
        <is>
          <t>COMPLETED BY (NETWORK SECURITY)</t>
        </is>
      </c>
      <c r="B10" s="6" t="n"/>
      <c r="C10" s="6" t="n"/>
      <c r="D10" s="6" t="n"/>
      <c r="E10" s="6" t="n"/>
    </row>
    <row r="11">
      <c r="A11" s="3" t="inlineStr">
        <is>
          <t>Name:</t>
        </is>
      </c>
      <c r="B11" s="20" t="n"/>
      <c r="C11" s="6" t="n"/>
      <c r="D11" s="6" t="n"/>
      <c r="E11" s="6" t="n"/>
    </row>
    <row r="12">
      <c r="A12" s="3" t="inlineStr">
        <is>
          <t>Title:</t>
        </is>
      </c>
      <c r="B12" s="20" t="n"/>
      <c r="C12" s="6" t="n"/>
      <c r="D12" s="6" t="n"/>
      <c r="E12" s="6" t="n"/>
    </row>
    <row r="13">
      <c r="A13" s="3" t="inlineStr">
        <is>
          <t>Date:</t>
        </is>
      </c>
      <c r="B13" s="20" t="n"/>
      <c r="C13" s="6" t="n"/>
      <c r="D13" s="6" t="n"/>
      <c r="E13" s="6" t="n"/>
    </row>
    <row r="14">
      <c r="A14" s="3" t="inlineStr">
        <is>
          <t>Signature:</t>
        </is>
      </c>
      <c r="B14" s="20" t="n"/>
      <c r="C14" s="6" t="n"/>
      <c r="D14" s="6" t="n"/>
      <c r="E14" s="6" t="n"/>
    </row>
    <row r="15">
      <c r="A15" s="3" t="inlineStr">
        <is>
          <t>Comments:</t>
        </is>
      </c>
      <c r="B15" s="20" t="n"/>
      <c r="C15" s="6" t="n"/>
      <c r="D15" s="6" t="n"/>
      <c r="E15" s="6" t="n"/>
    </row>
    <row r="17">
      <c r="A17" s="49" t="inlineStr">
        <is>
          <t>REVIEWED BY (ISO)</t>
        </is>
      </c>
      <c r="B17" s="6" t="n"/>
      <c r="C17" s="6" t="n"/>
      <c r="D17" s="6" t="n"/>
      <c r="E17" s="6" t="n"/>
    </row>
    <row r="18">
      <c r="A18" s="3" t="inlineStr">
        <is>
          <t>Name:</t>
        </is>
      </c>
      <c r="B18" s="20" t="n"/>
      <c r="C18" s="6" t="n"/>
      <c r="D18" s="6" t="n"/>
      <c r="E18" s="6" t="n"/>
    </row>
    <row r="19">
      <c r="A19" s="3" t="inlineStr">
        <is>
          <t>Title:</t>
        </is>
      </c>
      <c r="B19" s="20" t="n"/>
      <c r="C19" s="6" t="n"/>
      <c r="D19" s="6" t="n"/>
      <c r="E19" s="6" t="n"/>
    </row>
    <row r="20">
      <c r="A20" s="3" t="inlineStr">
        <is>
          <t>Date:</t>
        </is>
      </c>
      <c r="B20" s="20" t="n"/>
      <c r="C20" s="6" t="n"/>
      <c r="D20" s="6" t="n"/>
      <c r="E20" s="6" t="n"/>
    </row>
    <row r="21">
      <c r="A21" s="3" t="inlineStr">
        <is>
          <t>Signature:</t>
        </is>
      </c>
      <c r="B21" s="20" t="n"/>
      <c r="C21" s="6" t="n"/>
      <c r="D21" s="6" t="n"/>
      <c r="E21" s="6" t="n"/>
    </row>
    <row r="22">
      <c r="A22" s="3" t="inlineStr">
        <is>
          <t>Comments:</t>
        </is>
      </c>
      <c r="B22" s="20" t="n"/>
      <c r="C22" s="6" t="n"/>
      <c r="D22" s="6" t="n"/>
      <c r="E22" s="6" t="n"/>
    </row>
    <row r="24">
      <c r="A24" s="51" t="inlineStr">
        <is>
          <t>APPROVED BY (CISO)</t>
        </is>
      </c>
      <c r="B24" s="6" t="n"/>
      <c r="C24" s="6" t="n"/>
      <c r="D24" s="6" t="n"/>
      <c r="E24" s="6" t="n"/>
    </row>
    <row r="25">
      <c r="A25" s="3" t="inlineStr">
        <is>
          <t>Name:</t>
        </is>
      </c>
      <c r="B25" s="20" t="n"/>
      <c r="C25" s="6" t="n"/>
      <c r="D25" s="6" t="n"/>
      <c r="E25" s="6" t="n"/>
    </row>
    <row r="26">
      <c r="A26" s="3" t="inlineStr">
        <is>
          <t>Title:</t>
        </is>
      </c>
      <c r="B26" s="20" t="n"/>
      <c r="C26" s="6" t="n"/>
      <c r="D26" s="6" t="n"/>
      <c r="E26" s="6" t="n"/>
    </row>
    <row r="27">
      <c r="A27" s="3" t="inlineStr">
        <is>
          <t>Date:</t>
        </is>
      </c>
      <c r="B27" s="20" t="n"/>
      <c r="C27" s="6" t="n"/>
      <c r="D27" s="6" t="n"/>
      <c r="E27" s="6" t="n"/>
    </row>
    <row r="28">
      <c r="A28" s="3" t="inlineStr">
        <is>
          <t>Signature:</t>
        </is>
      </c>
      <c r="B28" s="20" t="n"/>
      <c r="C28" s="6" t="n"/>
      <c r="D28" s="6" t="n"/>
      <c r="E28" s="6" t="n"/>
    </row>
    <row r="29">
      <c r="A29" s="3" t="inlineStr">
        <is>
          <t>Comments:</t>
        </is>
      </c>
      <c r="B29" s="20" t="n"/>
      <c r="C29" s="6" t="n"/>
      <c r="D29" s="6" t="n"/>
      <c r="E29" s="6" t="n"/>
    </row>
    <row r="31">
      <c r="A31" s="3" t="inlineStr">
        <is>
          <t>FINAL DECISION:</t>
        </is>
      </c>
      <c r="B31" s="20" t="n"/>
      <c r="C31" s="6" t="n"/>
      <c r="D31" s="6" t="n"/>
      <c r="E31" s="6" t="n"/>
    </row>
    <row r="34">
      <c r="A34" s="49" t="inlineStr">
        <is>
          <t>NEXT REVIEW DETAILS</t>
        </is>
      </c>
      <c r="B34" s="6" t="n"/>
      <c r="C34" s="6" t="n"/>
      <c r="D34" s="6" t="n"/>
      <c r="E34" s="6" t="n"/>
    </row>
    <row r="35">
      <c r="A35" s="3" t="inlineStr">
        <is>
          <t>Next Review Date:</t>
        </is>
      </c>
      <c r="B35" s="20" t="n"/>
      <c r="C35" s="6" t="n"/>
      <c r="D35" s="6" t="n"/>
      <c r="E35" s="6" t="n"/>
    </row>
    <row r="36">
      <c r="A36" s="3" t="inlineStr">
        <is>
          <t>Review Responsible:</t>
        </is>
      </c>
      <c r="B36" s="20" t="n"/>
      <c r="C36" s="6" t="n"/>
      <c r="D36" s="6" t="n"/>
      <c r="E36" s="6" t="n"/>
    </row>
    <row r="37">
      <c r="A37" s="3" t="inlineStr">
        <is>
          <t>Special Considerations:</t>
        </is>
      </c>
      <c r="B37" s="20"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ISMS-IMP-A.8.20-22.S2 — Network Device Security Assessment</dc:title>
  <dc:description xmlns:dc="http://purl.org/dc/elements/1.1/">ISMS Implementation Workbook — ISMS-IMP-A.8.20-22.S2</dc:description>
  <dc:subject xmlns:dc="http://purl.org/dc/elements/1.1/">ISO/IEC 27001:2022 — Control A.8.20-22: Network Security</dc:subject>
  <dcterms:created xmlns:dcterms="http://purl.org/dc/terms/" xmlns:xsi="http://www.w3.org/2001/XMLSchema-instance" xsi:type="dcterms:W3CDTF">2026-03-10T18:49:29Z</dcterms:created>
  <dcterms:modified xmlns:dcterms="http://purl.org/dc/terms/" xmlns:xsi="http://www.w3.org/2001/XMLSchema-instance" xsi:type="dcterms:W3CDTF">2026-03-10T18:49:29Z</dcterms:modified>
</cp:coreProperties>
</file>