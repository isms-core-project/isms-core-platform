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Services_Catalog" sheetId="2" state="visible" r:id="rId2"/>
    <sheet xmlns:r="http://schemas.openxmlformats.org/officeDocument/2006/relationships" name="DNS_Security_Assessment" sheetId="3" state="visible" r:id="rId3"/>
    <sheet xmlns:r="http://schemas.openxmlformats.org/officeDocument/2006/relationships" name="DHCP_Security_Assessment" sheetId="4" state="visible" r:id="rId4"/>
    <sheet xmlns:r="http://schemas.openxmlformats.org/officeDocument/2006/relationships" name="NTP_Security_Assessment" sheetId="5" state="visible" r:id="rId5"/>
    <sheet xmlns:r="http://schemas.openxmlformats.org/officeDocument/2006/relationships" name="Proxy_Security_Assessment" sheetId="6" state="visible" r:id="rId6"/>
    <sheet xmlns:r="http://schemas.openxmlformats.org/officeDocument/2006/relationships" name="Additional_Services" sheetId="7" state="visible" r:id="rId7"/>
    <sheet xmlns:r="http://schemas.openxmlformats.org/officeDocument/2006/relationships" name="Service_Compliance_Summary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Service_Dependenc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8" borderId="1" applyAlignment="1" pivotButton="0" quotePrefix="0" xfId="0">
      <alignment horizontal="left" vertical="center"/>
    </xf>
    <xf numFmtId="164" fontId="0" fillId="0" borderId="0" pivotButton="0" quotePrefix="0" xfId="0"/>
    <xf numFmtId="164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name val="Calibri"/>
        <b val="1"/>
        <color rgb="00FFFFFF"/>
        <sz val="1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color rgb="007F7F7F"/>
        <sz val="1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 Distribution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'Service_Compliance_Summary'!$A$14:$A$24</f>
            </numRef>
          </cat>
          <val>
            <numRef>
              <f>'Service_Compliance_Summary'!$B$14:$B$24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ISMS-IMP-A.8.20-21-22.S3  -  Network Services Catalog &amp; Security Assessment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Services Catalog &amp; Security Assessment</t>
        </is>
      </c>
    </row>
    <row r="5">
      <c r="A5" s="3" t="inlineStr">
        <is>
          <t>Generated:</t>
        </is>
      </c>
      <c r="B5" s="4" t="inlineStr">
        <is>
          <t>08.02.2026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A.8.21 (Security of Network Services)</t>
        </is>
      </c>
    </row>
    <row r="8">
      <c r="A8" s="3" t="inlineStr">
        <is>
          <t>Purpose:</t>
        </is>
      </c>
      <c r="B8" s="4" t="inlineStr">
        <is>
          <t>Catalog network services and assess security controls</t>
        </is>
      </c>
    </row>
    <row r="9">
      <c r="A9" s="3" t="inlineStr">
        <is>
          <t>Related IMP:</t>
        </is>
      </c>
      <c r="B9" s="4" t="inlineStr">
        <is>
          <t>ISMS-IMP-A.8.20-21-22-S4 (Services Security Process)</t>
        </is>
      </c>
    </row>
    <row r="11">
      <c r="A11" s="2" t="inlineStr">
        <is>
          <t>Assessment Approach</t>
        </is>
      </c>
    </row>
    <row r="12" ht="25" customHeight="1">
      <c r="A12" s="4" t="inlineStr">
        <is>
          <t>1. SERVICE DISCOVERY: Identify all network services (DNS, DHCP, NTP, Proxy, Load Balancer, AAA, SNMP, Syslog)</t>
        </is>
      </c>
    </row>
    <row r="13" ht="25" customHeight="1">
      <c r="A13" s="4" t="inlineStr">
        <is>
          <t>2. CATALOG: Document each service in Services_Catalog (purpose, hosting, criticality, redundancy)</t>
        </is>
      </c>
    </row>
    <row r="14" ht="25" customHeight="1">
      <c r="A14" s="4" t="inlineStr">
        <is>
          <t>3. SERVICE-SPECIFIC ASSESSMENT: Complete dedicated assessment sheets (DNS, DHCP, NTP, Proxy)</t>
        </is>
      </c>
    </row>
    <row r="15" ht="25" customHeight="1">
      <c r="A15" s="4" t="inlineStr">
        <is>
          <t>4. SECURITY EVALUATION: Assess security controls per service type (authentication, encryption, logging, etc.)</t>
        </is>
      </c>
    </row>
    <row r="16" ht="25" customHeight="1">
      <c r="A16" s="4" t="inlineStr">
        <is>
          <t>5. AVAILABILITY: Document redundancy, failover, SLA requirements</t>
        </is>
      </c>
    </row>
    <row r="17" ht="25" customHeight="1">
      <c r="A17" s="4" t="inlineStr">
        <is>
          <t>6. MONITORING: Verify service health monitoring and alerting</t>
        </is>
      </c>
    </row>
    <row r="18" ht="25" customHeight="1">
      <c r="A18" s="4" t="inlineStr">
        <is>
          <t>7. GAP IDENTIFICATION: Document missing controls or misconfigurations</t>
        </is>
      </c>
    </row>
    <row r="19" ht="25" customHeight="1">
      <c r="A19" s="4" t="inlineStr">
        <is>
          <t>8. REMEDIATION: Prioritize and track service security improvements</t>
        </is>
      </c>
    </row>
    <row r="21">
      <c r="A21" s="2" t="inlineStr">
        <is>
          <t>Network Service Type Definitions</t>
        </is>
      </c>
    </row>
    <row r="22">
      <c r="A22" s="3" t="inlineStr">
        <is>
          <t>Service Type</t>
        </is>
      </c>
      <c r="B22" s="3" t="inlineStr">
        <is>
          <t>Purpose</t>
        </is>
      </c>
      <c r="C22" s="3" t="inlineStr">
        <is>
          <t>Key Security Controls</t>
        </is>
      </c>
    </row>
    <row r="23" ht="25" customHeight="1">
      <c r="A23" s="3" t="inlineStr">
        <is>
          <t>DNS</t>
        </is>
      </c>
      <c r="B23" s="4" t="inlineStr">
        <is>
          <t>Domain name resolution</t>
        </is>
      </c>
      <c r="C23" s="4" t="inlineStr">
        <is>
          <t>DNSSEC, Split DNS, Rate Limiting, Query Logging</t>
        </is>
      </c>
    </row>
    <row r="24" ht="25" customHeight="1">
      <c r="A24" s="3" t="inlineStr">
        <is>
          <t>DHCP</t>
        </is>
      </c>
      <c r="B24" s="4" t="inlineStr">
        <is>
          <t>IP address assignment</t>
        </is>
      </c>
      <c r="C24" s="4" t="inlineStr">
        <is>
          <t>DHCP Snooping, Rogue Detection, Scope Management</t>
        </is>
      </c>
    </row>
    <row r="25" ht="25" customHeight="1">
      <c r="A25" s="3" t="inlineStr">
        <is>
          <t>NTP</t>
        </is>
      </c>
      <c r="B25" s="4" t="inlineStr">
        <is>
          <t>Time synchronization</t>
        </is>
      </c>
      <c r="C25" s="4" t="inlineStr">
        <is>
          <t>Authentication, Access Control, Stratum Hierarchy</t>
        </is>
      </c>
    </row>
    <row r="26" ht="25" customHeight="1">
      <c r="A26" s="3" t="inlineStr">
        <is>
          <t>Proxy/Web Filter</t>
        </is>
      </c>
      <c r="B26" s="4" t="inlineStr">
        <is>
          <t>Web traffic filtering</t>
        </is>
      </c>
      <c r="C26" s="4" t="inlineStr">
        <is>
          <t>Authentication, SSL Inspection, Logging, Bypass Prevention</t>
        </is>
      </c>
    </row>
    <row r="27" ht="25" customHeight="1">
      <c r="A27" s="3" t="inlineStr">
        <is>
          <t>Load Balancer</t>
        </is>
      </c>
      <c r="B27" s="4" t="inlineStr">
        <is>
          <t>Traffic distribution</t>
        </is>
      </c>
      <c r="C27" s="4" t="inlineStr">
        <is>
          <t>SSL Termination, Health Checks, Session Persistence</t>
        </is>
      </c>
    </row>
    <row r="28" ht="25" customHeight="1">
      <c r="A28" s="3" t="inlineStr">
        <is>
          <t>RADIUS/TACACS+</t>
        </is>
      </c>
      <c r="B28" s="4" t="inlineStr">
        <is>
          <t>AAA services</t>
        </is>
      </c>
      <c r="C28" s="4" t="inlineStr">
        <is>
          <t>Strong Authentication, Command Authorization, Logging</t>
        </is>
      </c>
    </row>
    <row r="29" ht="25" customHeight="1">
      <c r="A29" s="3" t="inlineStr">
        <is>
          <t>SNMP</t>
        </is>
      </c>
      <c r="B29" s="4" t="inlineStr">
        <is>
          <t>Device monitoring</t>
        </is>
      </c>
      <c r="C29" s="4" t="inlineStr">
        <is>
          <t>SNMPv3 Only, Authentication, Encryption</t>
        </is>
      </c>
    </row>
    <row r="30" ht="25" customHeight="1">
      <c r="A30" s="3" t="inlineStr">
        <is>
          <t>Syslog</t>
        </is>
      </c>
      <c r="B30" s="4" t="inlineStr">
        <is>
          <t>Centralized logging</t>
        </is>
      </c>
      <c r="C30" s="4" t="inlineStr">
        <is>
          <t>TLS Encryption, Retention, Rotation</t>
        </is>
      </c>
    </row>
    <row r="31" ht="25" customHeight="1">
      <c r="A31" s="3" t="inlineStr">
        <is>
          <t>SMTP Relay</t>
        </is>
      </c>
      <c r="B31" s="4" t="inlineStr">
        <is>
          <t>Email routing</t>
        </is>
      </c>
      <c r="C31" s="4" t="inlineStr">
        <is>
          <t>Authentication, Relay Controls, SPF/DKIM</t>
        </is>
      </c>
    </row>
    <row r="32" ht="25" customHeight="1">
      <c r="A32" s="3" t="inlineStr">
        <is>
          <t>FTP/SFTP</t>
        </is>
      </c>
      <c r="B32" s="4" t="inlineStr">
        <is>
          <t>File transfer</t>
        </is>
      </c>
      <c r="C32" s="4" t="inlineStr">
        <is>
          <t>Encryption (SFTP), Authentication, Access Control</t>
        </is>
      </c>
    </row>
    <row r="34">
      <c r="A34" s="2" t="inlineStr">
        <is>
          <t>Service Criticality Assessment Guidelines</t>
        </is>
      </c>
    </row>
    <row r="35">
      <c r="A35" s="3" t="inlineStr">
        <is>
          <t>Criticality</t>
        </is>
      </c>
      <c r="B35" s="3" t="inlineStr">
        <is>
          <t>Definition</t>
        </is>
      </c>
      <c r="C35" s="3" t="inlineStr">
        <is>
          <t>Examples</t>
        </is>
      </c>
    </row>
    <row r="36" ht="30" customHeight="1">
      <c r="A36" s="5" t="inlineStr">
        <is>
          <t>Critical</t>
        </is>
      </c>
      <c r="B36" s="4" t="inlineStr">
        <is>
          <t>Service failure causes immediate business impact</t>
        </is>
      </c>
      <c r="C36" s="4" t="inlineStr">
        <is>
          <t>Internal DNS, Primary DHCP, Authentication (RADIUS/TACACS+)</t>
        </is>
      </c>
    </row>
    <row r="37" ht="30" customHeight="1">
      <c r="A37" s="6" t="inlineStr">
        <is>
          <t>High</t>
        </is>
      </c>
      <c r="B37" s="4" t="inlineStr">
        <is>
          <t>Service failure causes significant degradation</t>
        </is>
      </c>
      <c r="C37" s="4" t="inlineStr">
        <is>
          <t>Web Proxy, External DNS, Load Balancer</t>
        </is>
      </c>
    </row>
    <row r="38" ht="30" customHeight="1">
      <c r="A38" s="7" t="inlineStr">
        <is>
          <t>Medium</t>
        </is>
      </c>
      <c r="B38" s="4" t="inlineStr">
        <is>
          <t>Service failure causes localized impact</t>
        </is>
      </c>
      <c r="C38" s="4" t="inlineStr">
        <is>
          <t>NTP, Secondary DHCP, SNMP monitoring</t>
        </is>
      </c>
    </row>
    <row r="39" ht="30" customHeight="1">
      <c r="A39" s="8" t="inlineStr">
        <is>
          <t>Low</t>
        </is>
      </c>
      <c r="B39" s="4" t="inlineStr">
        <is>
          <t>Service failure causes minimal impact</t>
        </is>
      </c>
      <c r="C39" s="4" t="inlineStr">
        <is>
          <t>Guest Wi-Fi DHCP, Development services</t>
        </is>
      </c>
    </row>
    <row r="41">
      <c r="A41" s="2" t="inlineStr">
        <is>
          <t>⚠ IMPORTANT ASSESSMENT NOTES</t>
        </is>
      </c>
    </row>
    <row r="42" ht="20" customHeight="1">
      <c r="A42" s="4" t="inlineStr">
        <is>
          <t>• Each service type has dedicated assessment sheet with specific security controls</t>
        </is>
      </c>
    </row>
    <row r="43" ht="20" customHeight="1">
      <c r="A43" s="4" t="inlineStr">
        <is>
          <t>• Services_Catalog is the master list - link to detailed assessments</t>
        </is>
      </c>
    </row>
    <row r="44" ht="20" customHeight="1">
      <c r="A44" s="4" t="inlineStr">
        <is>
          <t>• Verify redundancy for all Critical/High services (no single points of failure)</t>
        </is>
      </c>
    </row>
    <row r="45" ht="20" customHeight="1">
      <c r="A45" s="4" t="inlineStr">
        <is>
          <t>• Ensure all services are monitored (health checks, alerting)</t>
        </is>
      </c>
    </row>
    <row r="46" ht="20" customHeight="1">
      <c r="A46" s="4" t="inlineStr">
        <is>
          <t>• Document service dependencies (e.g., DNS required for Active Directory)</t>
        </is>
      </c>
    </row>
    <row r="47" ht="20" customHeight="1">
      <c r="A47" s="4" t="inlineStr">
        <is>
          <t>• Review service hardening per IMP-S4 guidance</t>
        </is>
      </c>
    </row>
  </sheetData>
  <mergeCells count="20">
    <mergeCell ref="A15:H15"/>
    <mergeCell ref="A11:H11"/>
    <mergeCell ref="A45:H45"/>
    <mergeCell ref="A1:H1"/>
    <mergeCell ref="A16:H16"/>
    <mergeCell ref="A41:H41"/>
    <mergeCell ref="A46:H46"/>
    <mergeCell ref="A3:B3"/>
    <mergeCell ref="A12:H12"/>
    <mergeCell ref="A18:H18"/>
    <mergeCell ref="A21:H21"/>
    <mergeCell ref="A42:H42"/>
    <mergeCell ref="A14:H14"/>
    <mergeCell ref="A47:H47"/>
    <mergeCell ref="A17:H17"/>
    <mergeCell ref="A43:H43"/>
    <mergeCell ref="A13:H13"/>
    <mergeCell ref="A19:H19"/>
    <mergeCell ref="A44:H44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5" customWidth="1" min="4" max="4"/>
    <col width="20" customWidth="1" min="5" max="5"/>
    <col width="15" customWidth="1" min="6" max="6"/>
    <col width="10" customWidth="1" min="7" max="7"/>
    <col width="12" customWidth="1" min="8" max="8"/>
    <col width="20" customWidth="1" min="9" max="9"/>
    <col width="15" customWidth="1" min="10" max="10"/>
    <col width="12" customWidth="1" min="11" max="11"/>
    <col width="20" customWidth="1" min="12" max="12"/>
    <col width="15" customWidth="1" min="13" max="13"/>
    <col width="12" customWidth="1" min="14" max="14"/>
    <col width="40" customWidth="1" min="15" max="15"/>
    <col width="20" customWidth="1" min="16" max="16"/>
  </cols>
  <sheetData>
    <row r="1" ht="25" customHeight="1">
      <c r="A1" s="1" t="inlineStr">
        <is>
          <t>Network Services Catalog - Generated 08.02.2026</t>
        </is>
      </c>
    </row>
    <row r="2" ht="30" customHeight="1">
      <c r="A2" s="4" t="inlineStr">
        <is>
          <t>📋 Master catalog of all network services. Yellow cells are input fields. Link to detailed assessments in service-specific sheets.</t>
        </is>
      </c>
    </row>
    <row r="3">
      <c r="A3" s="3" t="inlineStr">
        <is>
          <t>Service ID</t>
        </is>
      </c>
      <c r="B3" s="3" t="inlineStr">
        <is>
          <t>Service Type</t>
        </is>
      </c>
      <c r="C3" s="3" t="inlineStr">
        <is>
          <t>Service Name</t>
        </is>
      </c>
      <c r="D3" s="3" t="inlineStr">
        <is>
          <t>Purpose</t>
        </is>
      </c>
      <c r="E3" s="3" t="inlineStr">
        <is>
          <t>Hosting Location</t>
        </is>
      </c>
      <c r="F3" s="3" t="inlineStr">
        <is>
          <t>IP Address</t>
        </is>
      </c>
      <c r="G3" s="3" t="inlineStr">
        <is>
          <t>Port(s)</t>
        </is>
      </c>
      <c r="H3" s="3" t="inlineStr">
        <is>
          <t>Criticality</t>
        </is>
      </c>
      <c r="I3" s="3" t="inlineStr">
        <is>
          <t>Redundancy Level</t>
        </is>
      </c>
      <c r="J3" s="3" t="inlineStr">
        <is>
          <t>Monitoring Status</t>
        </is>
      </c>
      <c r="K3" s="3" t="inlineStr">
        <is>
          <t>SLA Uptime %</t>
        </is>
      </c>
      <c r="L3" s="3" t="inlineStr">
        <is>
          <t>Owner</t>
        </is>
      </c>
      <c r="M3" s="3" t="inlineStr">
        <is>
          <t>Last Security Review</t>
        </is>
      </c>
      <c r="N3" s="3" t="inlineStr">
        <is>
          <t>Status</t>
        </is>
      </c>
      <c r="O3" s="3" t="inlineStr">
        <is>
          <t>Notes</t>
        </is>
      </c>
      <c r="P3" s="3" t="inlineStr">
        <is>
          <t>Assessment Link</t>
        </is>
      </c>
    </row>
    <row r="4">
      <c r="A4">
        <f>IF(B4&lt;&gt;"","SVC-"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A5">
        <f>IF(B5&lt;&gt;"","SVC-"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>
        <f>IF(B6&lt;&gt;"","SVC-"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>
        <f>IF(B7&lt;&gt;"","SVC-"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>
        <f>IF(B8&lt;&gt;"","SVC-"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>
        <f>IF(B9&lt;&gt;"","SVC-"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>
        <f>IF(B10&lt;&gt;"","SVC-"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>
        <f>IF(B11&lt;&gt;"","SVC-"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>
        <f>IF(B12&lt;&gt;"","SVC-"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>
        <f>IF(B13&lt;&gt;"","SVC-"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>
        <f>IF(B14&lt;&gt;"","SVC-"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>
        <f>IF(B15&lt;&gt;"","SVC-"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>
        <f>IF(B16&lt;&gt;"","SVC-"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>
        <f>IF(B17&lt;&gt;"","SVC-"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>
        <f>IF(B18&lt;&gt;"","SVC-"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>
        <f>IF(B19&lt;&gt;"","SVC-"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>
        <f>IF(B20&lt;&gt;"","SVC-"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>
        <f>IF(B21&lt;&gt;"","SVC-"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>
        <f>IF(B22&lt;&gt;"","SVC-"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>
        <f>IF(B23&lt;&gt;"","SVC-"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>
        <f>IF(B24&lt;&gt;"","SVC-"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>
        <f>IF(B25&lt;&gt;"","SVC-"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>
        <f>IF(B26&lt;&gt;"","SVC-"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>
        <f>IF(B27&lt;&gt;"","SVC-"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>
      <c r="A28">
        <f>IF(B28&lt;&gt;"","SVC-"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>
      <c r="A29">
        <f>IF(B29&lt;&gt;"","SVC-"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>
      <c r="A30">
        <f>IF(B30&lt;&gt;"","SVC-"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>
      <c r="A31">
        <f>IF(B31&lt;&gt;"","SVC-"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>
      <c r="A32">
        <f>IF(B32&lt;&gt;"","SVC-"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>
      <c r="A33">
        <f>IF(B33&lt;&gt;"","SVC-"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>
        <f>IF(B34&lt;&gt;"","SVC-"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>
      <c r="A35">
        <f>IF(B35&lt;&gt;"","SVC-"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>
      <c r="A36">
        <f>IF(B36&lt;&gt;"","SVC-"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>
      <c r="A37">
        <f>IF(B37&lt;&gt;"","SVC-"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>
      <c r="A38">
        <f>IF(B38&lt;&gt;"","SVC-"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>
      <c r="A39">
        <f>IF(B39&lt;&gt;"","SVC-"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>
      <c r="A40">
        <f>IF(B40&lt;&gt;"","SVC-"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>
      <c r="A41">
        <f>IF(B41&lt;&gt;"","SVC-"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>
      <c r="A42">
        <f>IF(B42&lt;&gt;"","SVC-"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>
      <c r="A43">
        <f>IF(B43&lt;&gt;"","SVC-"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>
      <c r="A44">
        <f>IF(B44&lt;&gt;"","SVC-"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>
      <c r="A45">
        <f>IF(B45&lt;&gt;"","SVC-"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>
      <c r="A46">
        <f>IF(B46&lt;&gt;"","SVC-"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>
      <c r="A47">
        <f>IF(B47&lt;&gt;"","SVC-"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8">
      <c r="A48">
        <f>IF(B48&lt;&gt;"","SVC-"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>
      <c r="A49">
        <f>IF(B49&lt;&gt;"","SVC-"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</row>
    <row r="50">
      <c r="A50">
        <f>IF(B50&lt;&gt;"","SVC-"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>
      <c r="A51">
        <f>IF(B51&lt;&gt;"","SVC-"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>
      <c r="A52">
        <f>IF(B52&lt;&gt;"","SVC-"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>
      <c r="A53">
        <f>IF(B53&lt;&gt;"","SVC-"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>
      <c r="A54">
        <f>IF(B54&lt;&gt;"","SVC-" &amp; TEXT(51,"000"),"")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>
      <c r="A55">
        <f>IF(B55&lt;&gt;"","SVC-" &amp; TEXT(52,"000"),"")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>
      <c r="A56">
        <f>IF(B56&lt;&gt;"","SVC-" &amp; TEXT(53,"000"),"")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>
      <c r="A57">
        <f>IF(B57&lt;&gt;"","SVC-" &amp; TEXT(54,"000"),"")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>
      <c r="A58">
        <f>IF(B58&lt;&gt;"","SVC-" &amp; TEXT(55,"000"),"")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>
      <c r="A59">
        <f>IF(B59&lt;&gt;"","SVC-" &amp; TEXT(56,"000"),"")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</row>
    <row r="60">
      <c r="A60">
        <f>IF(B60&lt;&gt;"","SVC-" &amp; TEXT(57,"000"),"")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>
      <c r="A61">
        <f>IF(B61&lt;&gt;"","SVC-" &amp; TEXT(58,"000"),"")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>
      <c r="A62">
        <f>IF(B62&lt;&gt;"","SVC-" &amp; TEXT(59,"000"),"")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>
        <f>IF(B63&lt;&gt;"","SVC-" &amp; TEXT(60,"000"),"")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>
      <c r="A64">
        <f>IF(B64&lt;&gt;"","SVC-" &amp; TEXT(61,"000"),"")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>
        <f>IF(B65&lt;&gt;"","SVC-" &amp; TEXT(62,"000"),"")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>
      <c r="A66">
        <f>IF(B66&lt;&gt;"","SVC-" &amp; TEXT(63,"000"),"")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>
        <f>IF(B67&lt;&gt;"","SVC-" &amp; TEXT(64,"000"),"")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</row>
    <row r="68">
      <c r="A68">
        <f>IF(B68&lt;&gt;"","SVC-" &amp; TEXT(65,"000"),"")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>
        <f>IF(B69&lt;&gt;"","SVC-" &amp; TEXT(66,"000"),"")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>
      <c r="A70">
        <f>IF(B70&lt;&gt;"","SVC-" &amp; TEXT(67,"000"),"")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>
        <f>IF(B71&lt;&gt;"","SVC-" &amp; TEXT(68,"000"),"")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>
      <c r="A72">
        <f>IF(B72&lt;&gt;"","SVC-" &amp; TEXT(69,"000"),"")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>
        <f>IF(B73&lt;&gt;"","SVC-" &amp; TEXT(70,"000"),"")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</row>
    <row r="74">
      <c r="A74">
        <f>IF(B74&lt;&gt;"","SVC-" &amp; TEXT(71,"000"),"")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>
        <f>IF(B75&lt;&gt;"","SVC-" &amp; TEXT(72,"000"),"")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</row>
    <row r="76">
      <c r="A76">
        <f>IF(B76&lt;&gt;"","SVC-" &amp; TEXT(73,"000"),"")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>
        <f>IF(B77&lt;&gt;"","SVC-" &amp; TEXT(74,"000"),"")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</row>
    <row r="78">
      <c r="A78">
        <f>IF(B78&lt;&gt;"","SVC-" &amp; TEXT(75,"000"),"")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</row>
    <row r="79">
      <c r="A79">
        <f>IF(B79&lt;&gt;"","SVC-" &amp; TEXT(76,"000"),"")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</row>
    <row r="80">
      <c r="A80">
        <f>IF(B80&lt;&gt;"","SVC-" &amp; TEXT(77,"000"),"")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</row>
    <row r="81">
      <c r="A81">
        <f>IF(B81&lt;&gt;"","SVC-" &amp; TEXT(78,"000"),"")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</row>
    <row r="82">
      <c r="A82">
        <f>IF(B82&lt;&gt;"","SVC-" &amp; TEXT(79,"000"),"")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</row>
    <row r="83">
      <c r="A83">
        <f>IF(B83&lt;&gt;"","SVC-" &amp; TEXT(80,"000"),"")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</row>
    <row r="84">
      <c r="A84">
        <f>IF(B84&lt;&gt;"","SVC-" &amp; TEXT(81,"000"),"")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</row>
    <row r="85">
      <c r="A85">
        <f>IF(B85&lt;&gt;"","SVC-" &amp; TEXT(82,"000"),"")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</row>
    <row r="86">
      <c r="A86">
        <f>IF(B86&lt;&gt;"","SVC-" &amp; TEXT(83,"000"),"")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</row>
    <row r="87">
      <c r="A87">
        <f>IF(B87&lt;&gt;"","SVC-" &amp; TEXT(84,"000"),"")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</row>
    <row r="88">
      <c r="A88">
        <f>IF(B88&lt;&gt;"","SVC-" &amp; TEXT(85,"000"),"")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</row>
    <row r="89">
      <c r="A89">
        <f>IF(B89&lt;&gt;"","SVC-" &amp; TEXT(86,"000"),"")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</row>
    <row r="90">
      <c r="A90">
        <f>IF(B90&lt;&gt;"","SVC-" &amp; TEXT(87,"000"),"")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</row>
    <row r="91">
      <c r="A91">
        <f>IF(B91&lt;&gt;"","SVC-" &amp; TEXT(88,"000"),"")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</row>
    <row r="92">
      <c r="A92">
        <f>IF(B92&lt;&gt;"","SVC-" &amp; TEXT(89,"000"),"")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</row>
    <row r="93">
      <c r="A93">
        <f>IF(B93&lt;&gt;"","SVC-" &amp; TEXT(90,"000"),"")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</row>
    <row r="94">
      <c r="A94">
        <f>IF(B94&lt;&gt;"","SVC-" &amp; TEXT(91,"000"),"")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</row>
    <row r="95">
      <c r="A95">
        <f>IF(B95&lt;&gt;"","SVC-" &amp; TEXT(92,"000"),"")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</row>
    <row r="96">
      <c r="A96">
        <f>IF(B96&lt;&gt;"","SVC-" &amp; TEXT(93,"000"),"")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</row>
    <row r="97">
      <c r="A97">
        <f>IF(B97&lt;&gt;"","SVC-" &amp; TEXT(94,"000"),"")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</row>
    <row r="98">
      <c r="A98">
        <f>IF(B98&lt;&gt;"","SVC-" &amp; TEXT(95,"000"),"")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</row>
    <row r="99">
      <c r="A99">
        <f>IF(B99&lt;&gt;"","SVC-" &amp; TEXT(96,"000"),"")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</row>
    <row r="100">
      <c r="A100">
        <f>IF(B100&lt;&gt;"","SVC-" &amp; TEXT(97,"000"),"")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</row>
    <row r="101">
      <c r="A101">
        <f>IF(B101&lt;&gt;"","SVC-" &amp; TEXT(98,"000"),"")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</row>
    <row r="102">
      <c r="A102">
        <f>IF(B102&lt;&gt;"","SVC-" &amp; TEXT(99,"000"),"")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</row>
    <row r="103">
      <c r="A103">
        <f>IF(B103&lt;&gt;"","SVC-" &amp; TEXT(100,"000"),"")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</row>
  </sheetData>
  <mergeCells count="2">
    <mergeCell ref="A1:P1"/>
    <mergeCell ref="A2:P2"/>
  </mergeCells>
  <conditionalFormatting sqref="H4:H10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5">
    <dataValidation sqref="B4:B103" showDropDown="0" showInputMessage="0" showErrorMessage="0" allowBlank="0" errorTitle="Service Type Error" error="Invalid service type" type="list">
      <formula1>"DNS,DHCP,NTP,Proxy/Web Filter,Load Balancer,RADIUS/TACACS+ (AAA),SNMP,Syslog,SMTP Relay,FTP/SFTP,Other"</formula1>
    </dataValidation>
    <dataValidation sqref="H4:H103" showDropDown="0" showInputMessage="0" showErrorMessage="0" allowBlank="0" type="list">
      <formula1>"🔴 Critical,🟡 High,🟢 Medium,⚪ Low"</formula1>
    </dataValidation>
    <dataValidation sqref="I4:I103" showDropDown="0" showInputMessage="0" showErrorMessage="0" allowBlank="1" type="list">
      <formula1>"Active-Active,Active-Passive,Clustered,Single Point of Failure,N/A"</formula1>
    </dataValidation>
    <dataValidation sqref="J4:J103" showDropDown="0" showInputMessage="0" showErrorMessage="0" allowBlank="1" type="list">
      <formula1>"Monitored,Not Monitored,Partially Monitored"</formula1>
    </dataValidation>
    <dataValidation sqref="N4:N103" showDropDown="0" showInputMessage="0" showErrorMessage="0" allowBlank="0" type="list">
      <formula1>"Active,Offline,Planned,Decommissioned"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</cols>
  <sheetData>
    <row r="1" ht="25" customHeight="1">
      <c r="A1" s="1" t="inlineStr">
        <is>
          <t>DNS Security Assessment</t>
        </is>
      </c>
    </row>
    <row r="2">
      <c r="A2" s="4" t="inlineStr">
        <is>
          <t>📋 Assess DNS security controls per IMP-S4 guidance. One row per DNS service instance.</t>
        </is>
      </c>
    </row>
    <row r="3">
      <c r="A3" s="3" t="inlineStr">
        <is>
          <t>Service ID</t>
        </is>
      </c>
      <c r="B3" s="3" t="inlineStr">
        <is>
          <t>DNS Type</t>
        </is>
      </c>
      <c r="C3" s="3" t="inlineStr">
        <is>
          <t>DNSSEC Enabled</t>
        </is>
      </c>
      <c r="D3" s="3" t="inlineStr">
        <is>
          <t>Split DNS</t>
        </is>
      </c>
      <c r="E3" s="3" t="inlineStr">
        <is>
          <t>Rate Limiting</t>
        </is>
      </c>
      <c r="F3" s="3" t="inlineStr">
        <is>
          <t>Query Logging</t>
        </is>
      </c>
      <c r="G3" s="3" t="inlineStr">
        <is>
          <t>RPZ/Filtering</t>
        </is>
      </c>
      <c r="H3" s="3" t="inlineStr">
        <is>
          <t>Recursion Control</t>
        </is>
      </c>
      <c r="I3" s="3" t="inlineStr">
        <is>
          <t>Cache Poisoning Protection</t>
        </is>
      </c>
      <c r="J3" s="3" t="inlineStr">
        <is>
          <t>Zone Transfer Controls</t>
        </is>
      </c>
      <c r="K3" s="3" t="inlineStr">
        <is>
          <t>TSIG/SIG(0)</t>
        </is>
      </c>
      <c r="L3" s="3" t="inlineStr">
        <is>
          <t>Compliance Score %</t>
        </is>
      </c>
      <c r="M3" s="3" t="inlineStr">
        <is>
          <t>Last Assessed</t>
        </is>
      </c>
      <c r="N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10">
        <f>IF(COUNTIF(C4:K4,"Yes")+COUNTIF(C4:K4,"No")=0,"",COUNTIF(C4:K4,"Yes")/(COUNTIF(C4:K4,"Yes")+COUNTIF(C4:K4,"No"))*100)</f>
        <v/>
      </c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10">
        <f>IF(COUNTIF(C5:K5,"Yes")+COUNTIF(C5:K5,"No")=0,"",COUNTIF(C5:K5,"Yes")/(COUNTIF(C5:K5,"Yes")+COUNTIF(C5:K5,"No"))*100)</f>
        <v/>
      </c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>
        <f>IF(COUNTIF(C6:K6,"Yes")+COUNTIF(C6:K6,"No")=0,"",COUNTIF(C6:K6,"Yes")/(COUNTIF(C6:K6,"Yes")+COUNTIF(C6:K6,"No"))*100)</f>
        <v/>
      </c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10">
        <f>IF(COUNTIF(C7:K7,"Yes")+COUNTIF(C7:K7,"No")=0,"",COUNTIF(C7:K7,"Yes")/(COUNTIF(C7:K7,"Yes")+COUNTIF(C7:K7,"No"))*100)</f>
        <v/>
      </c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>
        <f>IF(COUNTIF(C8:K8,"Yes")+COUNTIF(C8:K8,"No")=0,"",COUNTIF(C8:K8,"Yes")/(COUNTIF(C8:K8,"Yes")+COUNTIF(C8:K8,"No"))*100)</f>
        <v/>
      </c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10">
        <f>IF(COUNTIF(C9:K9,"Yes")+COUNTIF(C9:K9,"No")=0,"",COUNTIF(C9:K9,"Yes")/(COUNTIF(C9:K9,"Yes")+COUNTIF(C9:K9,"No"))*100)</f>
        <v/>
      </c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10">
        <f>IF(COUNTIF(C10:K10,"Yes")+COUNTIF(C10:K10,"No")=0,"",COUNTIF(C10:K10,"Yes")/(COUNTIF(C10:K10,"Yes")+COUNTIF(C10:K10,"No"))*100)</f>
        <v/>
      </c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0">
        <f>IF(COUNTIF(C11:K11,"Yes")+COUNTIF(C11:K11,"No")=0,"",COUNTIF(C11:K11,"Yes")/(COUNTIF(C11:K11,"Yes")+COUNTIF(C11:K11,"No"))*100)</f>
        <v/>
      </c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0">
        <f>IF(COUNTIF(C12:K12,"Yes")+COUNTIF(C12:K12,"No")=0,"",COUNTIF(C12:K12,"Yes")/(COUNTIF(C12:K12,"Yes")+COUNTIF(C12:K12,"No"))*100)</f>
        <v/>
      </c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10">
        <f>IF(COUNTIF(C13:K13,"Yes")+COUNTIF(C13:K13,"No")=0,"",COUNTIF(C13:K13,"Yes")/(COUNTIF(C13:K13,"Yes")+COUNTIF(C13:K13,"No"))*100)</f>
        <v/>
      </c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>
        <f>IF(COUNTIF(C14:K14,"Yes")+COUNTIF(C14:K14,"No")=0,"",COUNTIF(C14:K14,"Yes")/(COUNTIF(C14:K14,"Yes")+COUNTIF(C14:K14,"No"))*100)</f>
        <v/>
      </c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>
        <f>IF(COUNTIF(C15:K15,"Yes")+COUNTIF(C15:K15,"No")=0,"",COUNTIF(C15:K15,"Yes")/(COUNTIF(C15:K15,"Yes")+COUNTIF(C15:K15,"No"))*100)</f>
        <v/>
      </c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10">
        <f>IF(COUNTIF(C16:K16,"Yes")+COUNTIF(C16:K16,"No")=0,"",COUNTIF(C16:K16,"Yes")/(COUNTIF(C16:K16,"Yes")+COUNTIF(C16:K16,"No"))*100)</f>
        <v/>
      </c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>
        <f>IF(COUNTIF(C17:K17,"Yes")+COUNTIF(C17:K17,"No")=0,"",COUNTIF(C17:K17,"Yes")/(COUNTIF(C17:K17,"Yes")+COUNTIF(C17:K17,"No"))*100)</f>
        <v/>
      </c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>
        <f>IF(COUNTIF(C18:K18,"Yes")+COUNTIF(C18:K18,"No")=0,"",COUNTIF(C18:K18,"Yes")/(COUNTIF(C18:K18,"Yes")+COUNTIF(C18:K18,"No"))*100)</f>
        <v/>
      </c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10">
        <f>IF(COUNTIF(C19:K19,"Yes")+COUNTIF(C19:K19,"No")=0,"",COUNTIF(C19:K19,"Yes")/(COUNTIF(C19:K19,"Yes")+COUNTIF(C19:K19,"No"))*100)</f>
        <v/>
      </c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10">
        <f>IF(COUNTIF(C20:K20,"Yes")+COUNTIF(C20:K20,"No")=0,"",COUNTIF(C20:K20,"Yes")/(COUNTIF(C20:K20,"Yes")+COUNTIF(C20:K20,"No"))*100)</f>
        <v/>
      </c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10">
        <f>IF(COUNTIF(C21:K21,"Yes")+COUNTIF(C21:K21,"No")=0,"",COUNTIF(C21:K21,"Yes")/(COUNTIF(C21:K21,"Yes")+COUNTIF(C21:K21,"No"))*100)</f>
        <v/>
      </c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>
        <f>IF(COUNTIF(C22:K22,"Yes")+COUNTIF(C22:K22,"No")=0,"",COUNTIF(C22:K22,"Yes")/(COUNTIF(C22:K22,"Yes")+COUNTIF(C22:K22,"No"))*100)</f>
        <v/>
      </c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10">
        <f>IF(COUNTIF(C23:K23,"Yes")+COUNTIF(C23:K23,"No")=0,"",COUNTIF(C23:K23,"Yes")/(COUNTIF(C23:K23,"Yes")+COUNTIF(C23:K23,"No"))*100)</f>
        <v/>
      </c>
      <c r="M23" s="9" t="n"/>
      <c r="N23" s="9" t="n"/>
    </row>
    <row r="25">
      <c r="A25" s="2" t="inlineStr">
        <is>
          <t>DNS Security Controls - Implementation Reference (per IMP-S4)</t>
        </is>
      </c>
    </row>
    <row r="26">
      <c r="A26" s="3" t="inlineStr">
        <is>
          <t>Control</t>
        </is>
      </c>
      <c r="B26" s="3" t="inlineStr">
        <is>
          <t>Implementation Guidance</t>
        </is>
      </c>
    </row>
    <row r="27" ht="25" customHeight="1">
      <c r="A27" s="3" t="inlineStr">
        <is>
          <t>DNSSEC</t>
        </is>
      </c>
      <c r="B27" s="4" t="inlineStr">
        <is>
          <t>Enable zone signing, publish DS records to parent, configure trust anchors</t>
        </is>
      </c>
    </row>
    <row r="28" ht="25" customHeight="1">
      <c r="A28" s="3" t="inlineStr">
        <is>
          <t>Split DNS</t>
        </is>
      </c>
      <c r="B28" s="4" t="inlineStr">
        <is>
          <t>Internal view for private zones, external view for public zones</t>
        </is>
      </c>
    </row>
    <row r="29" ht="25" customHeight="1">
      <c r="A29" s="3" t="inlineStr">
        <is>
          <t>Rate Limiting</t>
        </is>
      </c>
      <c r="B29" s="4" t="inlineStr">
        <is>
          <t>Configure response rate limiting (RRL) to prevent DDoS amplification</t>
        </is>
      </c>
    </row>
    <row r="30" ht="25" customHeight="1">
      <c r="A30" s="3" t="inlineStr">
        <is>
          <t>Query Logging</t>
        </is>
      </c>
      <c r="B30" s="4" t="inlineStr">
        <is>
          <t>Enable query logging for security monitoring and forensics</t>
        </is>
      </c>
    </row>
    <row r="31" ht="25" customHeight="1">
      <c r="A31" s="3" t="inlineStr">
        <is>
          <t>RPZ/Filtering</t>
        </is>
      </c>
      <c r="B31" s="4" t="inlineStr">
        <is>
          <t>Implement Response Policy Zones for malware/phishing domain blocking</t>
        </is>
      </c>
    </row>
    <row r="32" ht="25" customHeight="1">
      <c r="A32" s="3" t="inlineStr">
        <is>
          <t>Recursion Control</t>
        </is>
      </c>
      <c r="B32" s="4" t="inlineStr">
        <is>
          <t>Disable recursion on authoritative servers, restrict recursive queries by ACL</t>
        </is>
      </c>
    </row>
    <row r="33" ht="25" customHeight="1">
      <c r="A33" s="3" t="inlineStr">
        <is>
          <t>Cache Poisoning Protection</t>
        </is>
      </c>
      <c r="B33" s="4" t="inlineStr">
        <is>
          <t>Enable DNSSEC validation, source port randomization</t>
        </is>
      </c>
    </row>
    <row r="34" ht="25" customHeight="1">
      <c r="A34" s="3" t="inlineStr">
        <is>
          <t>Zone Transfer Controls</t>
        </is>
      </c>
      <c r="B34" s="4" t="inlineStr">
        <is>
          <t>Restrict zone transfers (AXFR) to authorized secondary servers only</t>
        </is>
      </c>
    </row>
    <row r="35" ht="25" customHeight="1">
      <c r="A35" s="3" t="inlineStr">
        <is>
          <t>TSIG/SIG(0)</t>
        </is>
      </c>
      <c r="B35" s="4" t="inlineStr">
        <is>
          <t>Use TSIG for authenticated zone transfers and dynamic updates</t>
        </is>
      </c>
    </row>
  </sheetData>
  <mergeCells count="12">
    <mergeCell ref="A1:N1"/>
    <mergeCell ref="B31:N31"/>
    <mergeCell ref="B27:N27"/>
    <mergeCell ref="B32:N32"/>
    <mergeCell ref="B35:N35"/>
    <mergeCell ref="A2:N2"/>
    <mergeCell ref="A25:N25"/>
    <mergeCell ref="B30:N30"/>
    <mergeCell ref="B29:N29"/>
    <mergeCell ref="B33:N33"/>
    <mergeCell ref="B34:N34"/>
    <mergeCell ref="B28:N28"/>
  </mergeCells>
  <conditionalFormatting sqref="C4:C23">
    <cfRule type="cellIs" priority="1" operator="equal" dxfId="4">
      <formula>"Yes"</formula>
    </cfRule>
    <cfRule type="cellIs" priority="2" operator="equal" dxfId="5">
      <formula>"No"</formula>
    </cfRule>
    <cfRule type="cellIs" priority="3" operator="equal" dxfId="6">
      <formula>"N/A"</formula>
    </cfRule>
  </conditionalFormatting>
  <conditionalFormatting sqref="D4:D23">
    <cfRule type="cellIs" priority="4" operator="equal" dxfId="4">
      <formula>"Yes"</formula>
    </cfRule>
    <cfRule type="cellIs" priority="5" operator="equal" dxfId="5">
      <formula>"No"</formula>
    </cfRule>
    <cfRule type="cellIs" priority="6" operator="equal" dxfId="6">
      <formula>"N/A"</formula>
    </cfRule>
  </conditionalFormatting>
  <conditionalFormatting sqref="E4:E23">
    <cfRule type="cellIs" priority="7" operator="equal" dxfId="4">
      <formula>"Yes"</formula>
    </cfRule>
    <cfRule type="cellIs" priority="8" operator="equal" dxfId="5">
      <formula>"No"</formula>
    </cfRule>
    <cfRule type="cellIs" priority="9" operator="equal" dxfId="6">
      <formula>"N/A"</formula>
    </cfRule>
  </conditionalFormatting>
  <conditionalFormatting sqref="F4:F23">
    <cfRule type="cellIs" priority="10" operator="equal" dxfId="4">
      <formula>"Yes"</formula>
    </cfRule>
    <cfRule type="cellIs" priority="11" operator="equal" dxfId="5">
      <formula>"No"</formula>
    </cfRule>
    <cfRule type="cellIs" priority="12" operator="equal" dxfId="6">
      <formula>"N/A"</formula>
    </cfRule>
  </conditionalFormatting>
  <conditionalFormatting sqref="G4:G23">
    <cfRule type="cellIs" priority="13" operator="equal" dxfId="4">
      <formula>"Yes"</formula>
    </cfRule>
    <cfRule type="cellIs" priority="14" operator="equal" dxfId="5">
      <formula>"No"</formula>
    </cfRule>
    <cfRule type="cellIs" priority="15" operator="equal" dxfId="6">
      <formula>"N/A"</formula>
    </cfRule>
  </conditionalFormatting>
  <conditionalFormatting sqref="H4:H23">
    <cfRule type="cellIs" priority="16" operator="equal" dxfId="4">
      <formula>"Yes"</formula>
    </cfRule>
    <cfRule type="cellIs" priority="17" operator="equal" dxfId="5">
      <formula>"No"</formula>
    </cfRule>
    <cfRule type="cellIs" priority="18" operator="equal" dxfId="6">
      <formula>"N/A"</formula>
    </cfRule>
  </conditionalFormatting>
  <conditionalFormatting sqref="I4:I23">
    <cfRule type="cellIs" priority="19" operator="equal" dxfId="4">
      <formula>"Yes"</formula>
    </cfRule>
    <cfRule type="cellIs" priority="20" operator="equal" dxfId="5">
      <formula>"No"</formula>
    </cfRule>
    <cfRule type="cellIs" priority="21" operator="equal" dxfId="6">
      <formula>"N/A"</formula>
    </cfRule>
  </conditionalFormatting>
  <conditionalFormatting sqref="J4:J23">
    <cfRule type="cellIs" priority="22" operator="equal" dxfId="4">
      <formula>"Yes"</formula>
    </cfRule>
    <cfRule type="cellIs" priority="23" operator="equal" dxfId="5">
      <formula>"No"</formula>
    </cfRule>
    <cfRule type="cellIs" priority="24" operator="equal" dxfId="6">
      <formula>"N/A"</formula>
    </cfRule>
  </conditionalFormatting>
  <conditionalFormatting sqref="K4:K23">
    <cfRule type="cellIs" priority="25" operator="equal" dxfId="4">
      <formula>"Yes"</formula>
    </cfRule>
    <cfRule type="cellIs" priority="26" operator="equal" dxfId="5">
      <formula>"No"</formula>
    </cfRule>
    <cfRule type="cellIs" priority="27" operator="equal" dxfId="6">
      <formula>"N/A"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40" customWidth="1" min="12" max="12"/>
  </cols>
  <sheetData>
    <row r="1" ht="25" customHeight="1">
      <c r="A1" s="1" t="inlineStr">
        <is>
          <t>DHCP Security Assessment</t>
        </is>
      </c>
    </row>
    <row r="2">
      <c r="A2" s="4" t="inlineStr">
        <is>
          <t>📋 Assess DHCP security controls per IMP-S4 guidance. One row per DHCP server/scope.</t>
        </is>
      </c>
    </row>
    <row r="3">
      <c r="A3" s="3" t="inlineStr">
        <is>
          <t>Service ID</t>
        </is>
      </c>
      <c r="B3" s="3" t="inlineStr">
        <is>
          <t>DHCP Scope</t>
        </is>
      </c>
      <c r="C3" s="3" t="inlineStr">
        <is>
          <t>DHCP Snooping</t>
        </is>
      </c>
      <c r="D3" s="3" t="inlineStr">
        <is>
          <t>Rogue DHCP Detection</t>
        </is>
      </c>
      <c r="E3" s="3" t="inlineStr">
        <is>
          <t>Server Hardening</t>
        </is>
      </c>
      <c r="F3" s="3" t="inlineStr">
        <is>
          <t>Lease Time Appropriate</t>
        </is>
      </c>
      <c r="G3" s="3" t="inlineStr">
        <is>
          <t>Utilization Monitoring</t>
        </is>
      </c>
      <c r="H3" s="3" t="inlineStr">
        <is>
          <t>Reservation Management</t>
        </is>
      </c>
      <c r="I3" s="3" t="inlineStr">
        <is>
          <t>Logging Enabled</t>
        </is>
      </c>
      <c r="J3" s="3" t="inlineStr">
        <is>
          <t>Compliance Score %</t>
        </is>
      </c>
      <c r="K3" s="3" t="inlineStr">
        <is>
          <t>Last Assessed</t>
        </is>
      </c>
      <c r="L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>
        <f>IF(COUNTIF(C4:I4,"Yes")+COUNTIF(C4:I4,"No")=0,"",COUNTIF(C4:I4,"Yes")/(COUNTIF(C4:I4,"Yes")+COUNTIF(C4:I4,"No"))*100)</f>
        <v/>
      </c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0">
        <f>IF(COUNTIF(C5:I5,"Yes")+COUNTIF(C5:I5,"No")=0,"",COUNTIF(C5:I5,"Yes")/(COUNTIF(C5:I5,"Yes")+COUNTIF(C5:I5,"No"))*100)</f>
        <v/>
      </c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0">
        <f>IF(COUNTIF(C6:I6,"Yes")+COUNTIF(C6:I6,"No")=0,"",COUNTIF(C6:I6,"Yes")/(COUNTIF(C6:I6,"Yes")+COUNTIF(C6:I6,"No"))*100)</f>
        <v/>
      </c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>
        <f>IF(COUNTIF(C7:I7,"Yes")+COUNTIF(C7:I7,"No")=0,"",COUNTIF(C7:I7,"Yes")/(COUNTIF(C7:I7,"Yes")+COUNTIF(C7:I7,"No"))*100)</f>
        <v/>
      </c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>
        <f>IF(COUNTIF(C8:I8,"Yes")+COUNTIF(C8:I8,"No")=0,"",COUNTIF(C8:I8,"Yes")/(COUNTIF(C8:I8,"Yes")+COUNTIF(C8:I8,"No"))*100)</f>
        <v/>
      </c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>
        <f>IF(COUNTIF(C9:I9,"Yes")+COUNTIF(C9:I9,"No")=0,"",COUNTIF(C9:I9,"Yes")/(COUNTIF(C9:I9,"Yes")+COUNTIF(C9:I9,"No"))*100)</f>
        <v/>
      </c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>
        <f>IF(COUNTIF(C10:I10,"Yes")+COUNTIF(C10:I10,"No")=0,"",COUNTIF(C10:I10,"Yes")/(COUNTIF(C10:I10,"Yes")+COUNTIF(C10:I10,"No"))*100)</f>
        <v/>
      </c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>
        <f>IF(COUNTIF(C11:I11,"Yes")+COUNTIF(C11:I11,"No")=0,"",COUNTIF(C11:I11,"Yes")/(COUNTIF(C11:I11,"Yes")+COUNTIF(C11:I11,"No"))*100)</f>
        <v/>
      </c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>
        <f>IF(COUNTIF(C12:I12,"Yes")+COUNTIF(C12:I12,"No")=0,"",COUNTIF(C12:I12,"Yes")/(COUNTIF(C12:I12,"Yes")+COUNTIF(C12:I12,"No"))*100)</f>
        <v/>
      </c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>
        <f>IF(COUNTIF(C13:I13,"Yes")+COUNTIF(C13:I13,"No")=0,"",COUNTIF(C13:I13,"Yes")/(COUNTIF(C13:I13,"Yes")+COUNTIF(C13:I13,"No"))*100)</f>
        <v/>
      </c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>
        <f>IF(COUNTIF(C14:I14,"Yes")+COUNTIF(C14:I14,"No")=0,"",COUNTIF(C14:I14,"Yes")/(COUNTIF(C14:I14,"Yes")+COUNTIF(C14:I14,"No"))*100)</f>
        <v/>
      </c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>
        <f>IF(COUNTIF(C15:I15,"Yes")+COUNTIF(C15:I15,"No")=0,"",COUNTIF(C15:I15,"Yes")/(COUNTIF(C15:I15,"Yes")+COUNTIF(C15:I15,"No"))*100)</f>
        <v/>
      </c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>
        <f>IF(COUNTIF(C16:I16,"Yes")+COUNTIF(C16:I16,"No")=0,"",COUNTIF(C16:I16,"Yes")/(COUNTIF(C16:I16,"Yes")+COUNTIF(C16:I16,"No"))*100)</f>
        <v/>
      </c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>
        <f>IF(COUNTIF(C17:I17,"Yes")+COUNTIF(C17:I17,"No")=0,"",COUNTIF(C17:I17,"Yes")/(COUNTIF(C17:I17,"Yes")+COUNTIF(C17:I17,"No"))*100)</f>
        <v/>
      </c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>
        <f>IF(COUNTIF(C18:I18,"Yes")+COUNTIF(C18:I18,"No")=0,"",COUNTIF(C18:I18,"Yes")/(COUNTIF(C18:I18,"Yes")+COUNTIF(C18:I18,"No"))*100)</f>
        <v/>
      </c>
      <c r="K18" s="9" t="n"/>
      <c r="L18" s="9" t="n"/>
    </row>
    <row r="20">
      <c r="A20" s="2" t="inlineStr">
        <is>
          <t>DHCP Security Controls - Implementation Reference</t>
        </is>
      </c>
    </row>
    <row r="21">
      <c r="A21" s="3" t="inlineStr">
        <is>
          <t>Control</t>
        </is>
      </c>
      <c r="B21" s="3" t="inlineStr">
        <is>
          <t>Implementation Guidance</t>
        </is>
      </c>
    </row>
    <row r="22" ht="25" customHeight="1">
      <c r="A22" s="3" t="inlineStr">
        <is>
          <t>DHCP Snooping</t>
        </is>
      </c>
      <c r="B22" s="4" t="inlineStr">
        <is>
          <t>Enable on access switches to prevent rogue DHCP servers</t>
        </is>
      </c>
    </row>
    <row r="23" ht="25" customHeight="1">
      <c r="A23" s="3" t="inlineStr">
        <is>
          <t>Rogue Detection</t>
        </is>
      </c>
      <c r="B23" s="4" t="inlineStr">
        <is>
          <t>Active scanning or monitoring for unauthorized DHCP responses</t>
        </is>
      </c>
    </row>
    <row r="24" ht="25" customHeight="1">
      <c r="A24" s="3" t="inlineStr">
        <is>
          <t>Server Hardening</t>
        </is>
      </c>
      <c r="B24" s="4" t="inlineStr">
        <is>
          <t>Apply OS hardening, disable unnecessary services, patch regularly</t>
        </is>
      </c>
    </row>
    <row r="25" ht="25" customHeight="1">
      <c r="A25" s="3" t="inlineStr">
        <is>
          <t>Lease Time</t>
        </is>
      </c>
      <c r="B25" s="4" t="inlineStr">
        <is>
          <t>Appropriate lease time (8 hours workstations, 24 hours servers, 1 hour guest)</t>
        </is>
      </c>
    </row>
    <row r="26" ht="25" customHeight="1">
      <c r="A26" s="3" t="inlineStr">
        <is>
          <t>Utilization Monitoring</t>
        </is>
      </c>
      <c r="B26" s="4" t="inlineStr">
        <is>
          <t>Monitor scope utilization, alert at 80% threshold</t>
        </is>
      </c>
    </row>
    <row r="27" ht="25" customHeight="1">
      <c r="A27" s="3" t="inlineStr">
        <is>
          <t>Reservation Management</t>
        </is>
      </c>
      <c r="B27" s="4" t="inlineStr">
        <is>
          <t>Document static reservations, review regularly</t>
        </is>
      </c>
    </row>
    <row r="28" ht="25" customHeight="1">
      <c r="A28" s="3" t="inlineStr">
        <is>
          <t>Logging</t>
        </is>
      </c>
      <c r="B28" s="4" t="inlineStr">
        <is>
          <t>Enable DHCP server logging for all lease actions</t>
        </is>
      </c>
    </row>
  </sheetData>
  <mergeCells count="10">
    <mergeCell ref="A20:L20"/>
    <mergeCell ref="A2:L2"/>
    <mergeCell ref="B26:L26"/>
    <mergeCell ref="A1:L1"/>
    <mergeCell ref="B25:L25"/>
    <mergeCell ref="B24:L24"/>
    <mergeCell ref="B28:L28"/>
    <mergeCell ref="B22:L22"/>
    <mergeCell ref="B23:L23"/>
    <mergeCell ref="B27:L27"/>
  </mergeCells>
  <conditionalFormatting sqref="C4:C18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18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18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18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18">
    <cfRule type="cellIs" priority="9" operator="equal" dxfId="4">
      <formula>"Yes"</formula>
    </cfRule>
    <cfRule type="cellIs" priority="10" operator="equal" dxfId="5">
      <formula>"No"</formula>
    </cfRule>
  </conditionalFormatting>
  <conditionalFormatting sqref="H4:H18">
    <cfRule type="cellIs" priority="11" operator="equal" dxfId="4">
      <formula>"Yes"</formula>
    </cfRule>
    <cfRule type="cellIs" priority="12" operator="equal" dxfId="5">
      <formula>"No"</formula>
    </cfRule>
  </conditionalFormatting>
  <conditionalFormatting sqref="I4:I18">
    <cfRule type="cellIs" priority="13" operator="equal" dxfId="4">
      <formula>"Yes"</formula>
    </cfRule>
    <cfRule type="cellIs" priority="14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0" customWidth="1" min="11" max="11"/>
  </cols>
  <sheetData>
    <row r="1" ht="25" customHeight="1">
      <c r="A1" s="1" t="inlineStr">
        <is>
          <t>NTP Security Assessment</t>
        </is>
      </c>
    </row>
    <row r="2">
      <c r="A2" s="4" t="inlineStr">
        <is>
          <t>📋 Assess NTP security controls per IMP-S4 guidance. One row per NTP server/client.</t>
        </is>
      </c>
    </row>
    <row r="3">
      <c r="A3" s="3" t="inlineStr">
        <is>
          <t>Service ID</t>
        </is>
      </c>
      <c r="B3" s="3" t="inlineStr">
        <is>
          <t>NTP Role</t>
        </is>
      </c>
      <c r="C3" s="3" t="inlineStr">
        <is>
          <t>Authentication</t>
        </is>
      </c>
      <c r="D3" s="3" t="inlineStr">
        <is>
          <t>Access Control</t>
        </is>
      </c>
      <c r="E3" s="3" t="inlineStr">
        <is>
          <t>Stratum Appropriate</t>
        </is>
      </c>
      <c r="F3" s="3" t="inlineStr">
        <is>
          <t>Source Validation</t>
        </is>
      </c>
      <c r="G3" s="3" t="inlineStr">
        <is>
          <t>Monitoring</t>
        </is>
      </c>
      <c r="H3" s="3" t="inlineStr">
        <is>
          <t>Compliance Score %</t>
        </is>
      </c>
      <c r="I3" s="3" t="inlineStr">
        <is>
          <t>Stratum Level</t>
        </is>
      </c>
      <c r="J3" s="3" t="inlineStr">
        <is>
          <t>Last Assessed</t>
        </is>
      </c>
      <c r="K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10">
        <f>IF(COUNTIF(C4:G4,"Yes")+COUNTIF(C4:G4,"No")=0,"",COUNTIF(C4:G4,"Yes")/(COUNTIF(C4:G4,"Yes")+COUNTIF(C4:G4,"No"))*100)</f>
        <v/>
      </c>
      <c r="I4" s="9" t="n"/>
      <c r="J4" s="9" t="n"/>
      <c r="K4" s="9" t="n"/>
    </row>
    <row r="5">
      <c r="A5" s="9" t="n"/>
      <c r="B5" s="9" t="n"/>
      <c r="C5" s="9" t="n"/>
      <c r="D5" s="9" t="n"/>
      <c r="E5" s="9" t="n"/>
      <c r="F5" s="9" t="n"/>
      <c r="G5" s="9" t="n"/>
      <c r="H5" s="10">
        <f>IF(COUNTIF(C5:G5,"Yes")+COUNTIF(C5:G5,"No")=0,"",COUNTIF(C5:G5,"Yes")/(COUNTIF(C5:G5,"Yes")+COUNTIF(C5:G5,"No"))*100)</f>
        <v/>
      </c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10">
        <f>IF(COUNTIF(C6:G6,"Yes")+COUNTIF(C6:G6,"No")=0,"",COUNTIF(C6:G6,"Yes")/(COUNTIF(C6:G6,"Yes")+COUNTIF(C6:G6,"No"))*100)</f>
        <v/>
      </c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10">
        <f>IF(COUNTIF(C7:G7,"Yes")+COUNTIF(C7:G7,"No")=0,"",COUNTIF(C7:G7,"Yes")/(COUNTIF(C7:G7,"Yes")+COUNTIF(C7:G7,"No"))*100)</f>
        <v/>
      </c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10">
        <f>IF(COUNTIF(C8:G8,"Yes")+COUNTIF(C8:G8,"No")=0,"",COUNTIF(C8:G8,"Yes")/(COUNTIF(C8:G8,"Yes")+COUNTIF(C8:G8,"No"))*100)</f>
        <v/>
      </c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10">
        <f>IF(COUNTIF(C9:G9,"Yes")+COUNTIF(C9:G9,"No")=0,"",COUNTIF(C9:G9,"Yes")/(COUNTIF(C9:G9,"Yes")+COUNTIF(C9:G9,"No"))*100)</f>
        <v/>
      </c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10">
        <f>IF(COUNTIF(C10:G10,"Yes")+COUNTIF(C10:G10,"No")=0,"",COUNTIF(C10:G10,"Yes")/(COUNTIF(C10:G10,"Yes")+COUNTIF(C10:G10,"No"))*100)</f>
        <v/>
      </c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10">
        <f>IF(COUNTIF(C11:G11,"Yes")+COUNTIF(C11:G11,"No")=0,"",COUNTIF(C11:G11,"Yes")/(COUNTIF(C11:G11,"Yes")+COUNTIF(C11:G11,"No"))*100)</f>
        <v/>
      </c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10">
        <f>IF(COUNTIF(C12:G12,"Yes")+COUNTIF(C12:G12,"No")=0,"",COUNTIF(C12:G12,"Yes")/(COUNTIF(C12:G12,"Yes")+COUNTIF(C12:G12,"No"))*100)</f>
        <v/>
      </c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10">
        <f>IF(COUNTIF(C13:G13,"Yes")+COUNTIF(C13:G13,"No")=0,"",COUNTIF(C13:G13,"Yes")/(COUNTIF(C13:G13,"Yes")+COUNTIF(C13:G13,"No"))*100)</f>
        <v/>
      </c>
      <c r="I13" s="9" t="n"/>
      <c r="J13" s="9" t="n"/>
      <c r="K13" s="9" t="n"/>
    </row>
    <row r="15">
      <c r="A15" s="2" t="inlineStr">
        <is>
          <t>NTP Security Controls - Implementation Reference</t>
        </is>
      </c>
    </row>
    <row r="16">
      <c r="A16" s="3" t="inlineStr">
        <is>
          <t>Control</t>
        </is>
      </c>
      <c r="B16" s="3" t="inlineStr">
        <is>
          <t>Implementation Guidance</t>
        </is>
      </c>
    </row>
    <row r="17" ht="25" customHeight="1">
      <c r="A17" s="3" t="inlineStr">
        <is>
          <t>Authentication</t>
        </is>
      </c>
      <c r="B17" s="4" t="inlineStr">
        <is>
          <t>Enable NTP authentication (MD5 keys) between servers</t>
        </is>
      </c>
    </row>
    <row r="18" ht="25" customHeight="1">
      <c r="A18" s="3" t="inlineStr">
        <is>
          <t>Access Control</t>
        </is>
      </c>
      <c r="B18" s="4" t="inlineStr">
        <is>
          <t>Restrict NTP queries and modifications (restrict default kod nomodify notrap)</t>
        </is>
      </c>
    </row>
    <row r="19" ht="25" customHeight="1">
      <c r="A19" s="3" t="inlineStr">
        <is>
          <t>Stratum Hierarchy</t>
        </is>
      </c>
      <c r="B19" s="4" t="inlineStr">
        <is>
          <t>Appropriate stratum levels (Stratum 1/2 for internal servers)</t>
        </is>
      </c>
    </row>
    <row r="20" ht="25" customHeight="1">
      <c r="A20" s="3" t="inlineStr">
        <is>
          <t>Source Validation</t>
        </is>
      </c>
      <c r="B20" s="4" t="inlineStr">
        <is>
          <t>Verify NTP server sources, use multiple reliable sources</t>
        </is>
      </c>
    </row>
    <row r="21" ht="25" customHeight="1">
      <c r="A21" s="3" t="inlineStr">
        <is>
          <t>Monitoring</t>
        </is>
      </c>
      <c r="B21" s="4" t="inlineStr">
        <is>
          <t>Monitor time offset, alert on significant drift (&gt;1 second)</t>
        </is>
      </c>
    </row>
  </sheetData>
  <mergeCells count="8">
    <mergeCell ref="B17:K17"/>
    <mergeCell ref="A15:K15"/>
    <mergeCell ref="B18:K18"/>
    <mergeCell ref="B21:K21"/>
    <mergeCell ref="A2:K2"/>
    <mergeCell ref="B20:K20"/>
    <mergeCell ref="A1:K1"/>
    <mergeCell ref="B19:K19"/>
  </mergeCells>
  <conditionalFormatting sqref="C4:C13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13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13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13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13">
    <cfRule type="cellIs" priority="9" operator="equal" dxfId="4">
      <formula>"Yes"</formula>
    </cfRule>
    <cfRule type="cellIs" priority="10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 ht="25" customHeight="1">
      <c r="A1" s="1" t="inlineStr">
        <is>
          <t>Proxy/Web Filter Security Assessment</t>
        </is>
      </c>
    </row>
    <row r="2">
      <c r="A2" s="4" t="inlineStr">
        <is>
          <t>📋 Assess Proxy/Web Filtering security controls per IMP-S4 guidance.</t>
        </is>
      </c>
    </row>
    <row r="3">
      <c r="A3" s="3" t="inlineStr">
        <is>
          <t>Service ID</t>
        </is>
      </c>
      <c r="B3" s="3" t="inlineStr">
        <is>
          <t>Proxy Type</t>
        </is>
      </c>
      <c r="C3" s="3" t="inlineStr">
        <is>
          <t>Authentication</t>
        </is>
      </c>
      <c r="D3" s="3" t="inlineStr">
        <is>
          <t>SSL Inspection</t>
        </is>
      </c>
      <c r="E3" s="3" t="inlineStr">
        <is>
          <t>Category Filtering</t>
        </is>
      </c>
      <c r="F3" s="3" t="inlineStr">
        <is>
          <t>Malware Scanning</t>
        </is>
      </c>
      <c r="G3" s="3" t="inlineStr">
        <is>
          <t>Logging</t>
        </is>
      </c>
      <c r="H3" s="3" t="inlineStr">
        <is>
          <t>Bypass Prevention</t>
        </is>
      </c>
      <c r="I3" s="3" t="inlineStr">
        <is>
          <t>Redundancy</t>
        </is>
      </c>
      <c r="J3" s="3" t="inlineStr">
        <is>
          <t>Compliance Score %</t>
        </is>
      </c>
      <c r="K3" s="3" t="inlineStr">
        <is>
          <t>Last Assessed</t>
        </is>
      </c>
      <c r="L3" s="3" t="inlineStr">
        <is>
          <t>Filter Categories</t>
        </is>
      </c>
      <c r="M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>
        <f>IF(COUNTIF(C4:I4,"Yes")+COUNTIF(C4:I4,"No")=0,"",COUNTIF(C4:I4,"Yes")/(COUNTIF(C4:I4,"Yes")+COUNTIF(C4:I4,"No"))*100)</f>
        <v/>
      </c>
      <c r="K4" s="9" t="n"/>
      <c r="L4" s="9" t="n"/>
      <c r="M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0">
        <f>IF(COUNTIF(C5:I5,"Yes")+COUNTIF(C5:I5,"No")=0,"",COUNTIF(C5:I5,"Yes")/(COUNTIF(C5:I5,"Yes")+COUNTIF(C5:I5,"No"))*100)</f>
        <v/>
      </c>
      <c r="K5" s="9" t="n"/>
      <c r="L5" s="9" t="n"/>
      <c r="M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0">
        <f>IF(COUNTIF(C6:I6,"Yes")+COUNTIF(C6:I6,"No")=0,"",COUNTIF(C6:I6,"Yes")/(COUNTIF(C6:I6,"Yes")+COUNTIF(C6:I6,"No"))*100)</f>
        <v/>
      </c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>
        <f>IF(COUNTIF(C7:I7,"Yes")+COUNTIF(C7:I7,"No")=0,"",COUNTIF(C7:I7,"Yes")/(COUNTIF(C7:I7,"Yes")+COUNTIF(C7:I7,"No"))*100)</f>
        <v/>
      </c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>
        <f>IF(COUNTIF(C8:I8,"Yes")+COUNTIF(C8:I8,"No")=0,"",COUNTIF(C8:I8,"Yes")/(COUNTIF(C8:I8,"Yes")+COUNTIF(C8:I8,"No"))*100)</f>
        <v/>
      </c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>
        <f>IF(COUNTIF(C9:I9,"Yes")+COUNTIF(C9:I9,"No")=0,"",COUNTIF(C9:I9,"Yes")/(COUNTIF(C9:I9,"Yes")+COUNTIF(C9:I9,"No"))*100)</f>
        <v/>
      </c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>
        <f>IF(COUNTIF(C10:I10,"Yes")+COUNTIF(C10:I10,"No")=0,"",COUNTIF(C10:I10,"Yes")/(COUNTIF(C10:I10,"Yes")+COUNTIF(C10:I10,"No"))*100)</f>
        <v/>
      </c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>
        <f>IF(COUNTIF(C11:I11,"Yes")+COUNTIF(C11:I11,"No")=0,"",COUNTIF(C11:I11,"Yes")/(COUNTIF(C11:I11,"Yes")+COUNTIF(C11:I11,"No"))*100)</f>
        <v/>
      </c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>
        <f>IF(COUNTIF(C12:I12,"Yes")+COUNTIF(C12:I12,"No")=0,"",COUNTIF(C12:I12,"Yes")/(COUNTIF(C12:I12,"Yes")+COUNTIF(C12:I12,"No"))*100)</f>
        <v/>
      </c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>
        <f>IF(COUNTIF(C13:I13,"Yes")+COUNTIF(C13:I13,"No")=0,"",COUNTIF(C13:I13,"Yes")/(COUNTIF(C13:I13,"Yes")+COUNTIF(C13:I13,"No"))*100)</f>
        <v/>
      </c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>
        <f>IF(COUNTIF(C14:I14,"Yes")+COUNTIF(C14:I14,"No")=0,"",COUNTIF(C14:I14,"Yes")/(COUNTIF(C14:I14,"Yes")+COUNTIF(C14:I14,"No"))*100)</f>
        <v/>
      </c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>
        <f>IF(COUNTIF(C15:I15,"Yes")+COUNTIF(C15:I15,"No")=0,"",COUNTIF(C15:I15,"Yes")/(COUNTIF(C15:I15,"Yes")+COUNTIF(C15:I15,"No"))*100)</f>
        <v/>
      </c>
      <c r="K15" s="9" t="n"/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>
        <f>IF(COUNTIF(C16:I16,"Yes")+COUNTIF(C16:I16,"No")=0,"",COUNTIF(C16:I16,"Yes")/(COUNTIF(C16:I16,"Yes")+COUNTIF(C16:I16,"No"))*100)</f>
        <v/>
      </c>
      <c r="K16" s="9" t="n"/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>
        <f>IF(COUNTIF(C17:I17,"Yes")+COUNTIF(C17:I17,"No")=0,"",COUNTIF(C17:I17,"Yes")/(COUNTIF(C17:I17,"Yes")+COUNTIF(C17:I17,"No"))*100)</f>
        <v/>
      </c>
      <c r="K17" s="9" t="n"/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>
        <f>IF(COUNTIF(C18:I18,"Yes")+COUNTIF(C18:I18,"No")=0,"",COUNTIF(C18:I18,"Yes")/(COUNTIF(C18:I18,"Yes")+COUNTIF(C18:I18,"No"))*100)</f>
        <v/>
      </c>
      <c r="K18" s="9" t="n"/>
      <c r="L18" s="9" t="n"/>
      <c r="M18" s="9" t="n"/>
    </row>
    <row r="20">
      <c r="A20" s="2" t="inlineStr">
        <is>
          <t>Proxy Security Controls - Implementation Reference</t>
        </is>
      </c>
    </row>
    <row r="21">
      <c r="A21" s="3" t="inlineStr">
        <is>
          <t>Control</t>
        </is>
      </c>
      <c r="B21" s="3" t="inlineStr">
        <is>
          <t>Implementation Guidance</t>
        </is>
      </c>
    </row>
    <row r="22" ht="25" customHeight="1">
      <c r="A22" s="3" t="inlineStr">
        <is>
          <t>Authentication</t>
        </is>
      </c>
      <c r="B22" s="4" t="inlineStr">
        <is>
          <t>LDAP/AD authentication, Kerberos/NTLM for transparent proxy</t>
        </is>
      </c>
    </row>
    <row r="23" ht="25" customHeight="1">
      <c r="A23" s="3" t="inlineStr">
        <is>
          <t>SSL Inspection</t>
        </is>
      </c>
      <c r="B23" s="4" t="inlineStr">
        <is>
          <t>SSL/TLS decryption and inspection (with CA cert deployment)</t>
        </is>
      </c>
    </row>
    <row r="24" ht="25" customHeight="1">
      <c r="A24" s="3" t="inlineStr">
        <is>
          <t>Category Filtering</t>
        </is>
      </c>
      <c r="B24" s="4" t="inlineStr">
        <is>
          <t>Block malicious/inappropriate categories (malware, adult, gambling, etc.)</t>
        </is>
      </c>
    </row>
    <row r="25" ht="25" customHeight="1">
      <c r="A25" s="3" t="inlineStr">
        <is>
          <t>Malware Scanning</t>
        </is>
      </c>
      <c r="B25" s="4" t="inlineStr">
        <is>
          <t>Real-time malware scanning of downloaded content</t>
        </is>
      </c>
    </row>
    <row r="26" ht="25" customHeight="1">
      <c r="A26" s="3" t="inlineStr">
        <is>
          <t>Logging</t>
        </is>
      </c>
      <c r="B26" s="4" t="inlineStr">
        <is>
          <t>Log all requests with user, URL, timestamp, action (allow/block)</t>
        </is>
      </c>
    </row>
    <row r="27" ht="25" customHeight="1">
      <c r="A27" s="3" t="inlineStr">
        <is>
          <t>Bypass Prevention</t>
        </is>
      </c>
      <c r="B27" s="4" t="inlineStr">
        <is>
          <t>Block direct internet access, enforce proxy via firewall rules</t>
        </is>
      </c>
    </row>
    <row r="28" ht="25" customHeight="1">
      <c r="A28" s="3" t="inlineStr">
        <is>
          <t>Redundancy</t>
        </is>
      </c>
      <c r="B28" s="4" t="inlineStr">
        <is>
          <t>High availability configuration (multiple proxy servers)</t>
        </is>
      </c>
    </row>
  </sheetData>
  <mergeCells count="10">
    <mergeCell ref="B24:M24"/>
    <mergeCell ref="A1:M1"/>
    <mergeCell ref="B25:M25"/>
    <mergeCell ref="B28:M28"/>
    <mergeCell ref="B23:M23"/>
    <mergeCell ref="B22:M22"/>
    <mergeCell ref="B26:M26"/>
    <mergeCell ref="B27:M27"/>
    <mergeCell ref="A20:M20"/>
    <mergeCell ref="A2:M2"/>
  </mergeCells>
  <conditionalFormatting sqref="C4:C18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18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18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18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18">
    <cfRule type="cellIs" priority="9" operator="equal" dxfId="4">
      <formula>"Yes"</formula>
    </cfRule>
    <cfRule type="cellIs" priority="10" operator="equal" dxfId="5">
      <formula>"No"</formula>
    </cfRule>
  </conditionalFormatting>
  <conditionalFormatting sqref="H4:H18">
    <cfRule type="cellIs" priority="11" operator="equal" dxfId="4">
      <formula>"Yes"</formula>
    </cfRule>
    <cfRule type="cellIs" priority="12" operator="equal" dxfId="5">
      <formula>"No"</formula>
    </cfRule>
  </conditionalFormatting>
  <conditionalFormatting sqref="I4:I18">
    <cfRule type="cellIs" priority="13" operator="equal" dxfId="4">
      <formula>"Yes"</formula>
    </cfRule>
    <cfRule type="cellIs" priority="14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5" customWidth="1" min="11" max="11"/>
    <col width="40" customWidth="1" min="12" max="12"/>
  </cols>
  <sheetData>
    <row r="1" ht="25" customHeight="1">
      <c r="A1" s="1" t="inlineStr">
        <is>
          <t>Additional Network Services Assessment</t>
        </is>
      </c>
    </row>
    <row r="2">
      <c r="A2" s="4" t="inlineStr">
        <is>
          <t>📋 Assess other network services: Load Balancers, AAA (RADIUS/TACACS+), SNMP, Syslog, SMTP, FTP, etc.</t>
        </is>
      </c>
    </row>
    <row r="3">
      <c r="A3" s="3" t="inlineStr">
        <is>
          <t>Service ID</t>
        </is>
      </c>
      <c r="B3" s="3" t="inlineStr">
        <is>
          <t>Service Type</t>
        </is>
      </c>
      <c r="C3" s="3" t="inlineStr">
        <is>
          <t>Authentication</t>
        </is>
      </c>
      <c r="D3" s="3" t="inlineStr">
        <is>
          <t>Encryption</t>
        </is>
      </c>
      <c r="E3" s="3" t="inlineStr">
        <is>
          <t>Access Control</t>
        </is>
      </c>
      <c r="F3" s="3" t="inlineStr">
        <is>
          <t>Logging</t>
        </is>
      </c>
      <c r="G3" s="3" t="inlineStr">
        <is>
          <t>Monitoring</t>
        </is>
      </c>
      <c r="H3" s="3" t="inlineStr">
        <is>
          <t>Hardening Applied</t>
        </is>
      </c>
      <c r="I3" s="3" t="inlineStr">
        <is>
          <t>Compliance Score %</t>
        </is>
      </c>
      <c r="J3" s="3" t="inlineStr">
        <is>
          <t>Last Assessed</t>
        </is>
      </c>
      <c r="K3" s="3" t="inlineStr">
        <is>
          <t>Key Controls</t>
        </is>
      </c>
      <c r="L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10">
        <f>IF(COUNTIF(C4:H4,"Yes")+COUNTIF(C4:H4,"No")=0,"",COUNTIF(C4:H4,"Yes")/(COUNTIF(C4:H4,"Yes")+COUNTIF(C4:H4,"No"))*100)</f>
        <v/>
      </c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10">
        <f>IF(COUNTIF(C5:H5,"Yes")+COUNTIF(C5:H5,"No")=0,"",COUNTIF(C5:H5,"Yes")/(COUNTIF(C5:H5,"Yes")+COUNTIF(C5:H5,"No"))*100)</f>
        <v/>
      </c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10">
        <f>IF(COUNTIF(C6:H6,"Yes")+COUNTIF(C6:H6,"No")=0,"",COUNTIF(C6:H6,"Yes")/(COUNTIF(C6:H6,"Yes")+COUNTIF(C6:H6,"No"))*100)</f>
        <v/>
      </c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10">
        <f>IF(COUNTIF(C7:H7,"Yes")+COUNTIF(C7:H7,"No")=0,"",COUNTIF(C7:H7,"Yes")/(COUNTIF(C7:H7,"Yes")+COUNTIF(C7:H7,"No"))*100)</f>
        <v/>
      </c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10">
        <f>IF(COUNTIF(C8:H8,"Yes")+COUNTIF(C8:H8,"No")=0,"",COUNTIF(C8:H8,"Yes")/(COUNTIF(C8:H8,"Yes")+COUNTIF(C8:H8,"No"))*100)</f>
        <v/>
      </c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10">
        <f>IF(COUNTIF(C9:H9,"Yes")+COUNTIF(C9:H9,"No")=0,"",COUNTIF(C9:H9,"Yes")/(COUNTIF(C9:H9,"Yes")+COUNTIF(C9:H9,"No"))*100)</f>
        <v/>
      </c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10">
        <f>IF(COUNTIF(C10:H10,"Yes")+COUNTIF(C10:H10,"No")=0,"",COUNTIF(C10:H10,"Yes")/(COUNTIF(C10:H10,"Yes")+COUNTIF(C10:H10,"No"))*100)</f>
        <v/>
      </c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10">
        <f>IF(COUNTIF(C11:H11,"Yes")+COUNTIF(C11:H11,"No")=0,"",COUNTIF(C11:H11,"Yes")/(COUNTIF(C11:H11,"Yes")+COUNTIF(C11:H11,"No"))*100)</f>
        <v/>
      </c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>
        <f>IF(COUNTIF(C12:H12,"Yes")+COUNTIF(C12:H12,"No")=0,"",COUNTIF(C12:H12,"Yes")/(COUNTIF(C12:H12,"Yes")+COUNTIF(C12:H12,"No"))*100)</f>
        <v/>
      </c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IF(COUNTIF(C13:H13,"Yes")+COUNTIF(C13:H13,"No")=0,"",COUNTIF(C13:H13,"Yes")/(COUNTIF(C13:H13,"Yes")+COUNTIF(C13:H13,"No"))*100)</f>
        <v/>
      </c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IF(COUNTIF(C14:H14,"Yes")+COUNTIF(C14:H14,"No")=0,"",COUNTIF(C14:H14,"Yes")/(COUNTIF(C14:H14,"Yes")+COUNTIF(C14:H14,"No"))*100)</f>
        <v/>
      </c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IF(COUNTIF(C15:H15,"Yes")+COUNTIF(C15:H15,"No")=0,"",COUNTIF(C15:H15,"Yes")/(COUNTIF(C15:H15,"Yes")+COUNTIF(C15:H15,"No"))*100)</f>
        <v/>
      </c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IF(COUNTIF(C16:H16,"Yes")+COUNTIF(C16:H16,"No")=0,"",COUNTIF(C16:H16,"Yes")/(COUNTIF(C16:H16,"Yes")+COUNTIF(C16:H16,"No"))*100)</f>
        <v/>
      </c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IF(COUNTIF(C17:H17,"Yes")+COUNTIF(C17:H17,"No")=0,"",COUNTIF(C17:H17,"Yes")/(COUNTIF(C17:H17,"Yes")+COUNTIF(C17:H17,"No"))*100)</f>
        <v/>
      </c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IF(COUNTIF(C18:H18,"Yes")+COUNTIF(C18:H18,"No")=0,"",COUNTIF(C18:H18,"Yes")/(COUNTIF(C18:H18,"Yes")+COUNTIF(C18:H18,"No"))*100)</f>
        <v/>
      </c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IF(COUNTIF(C19:H19,"Yes")+COUNTIF(C19:H19,"No")=0,"",COUNTIF(C19:H19,"Yes")/(COUNTIF(C19:H19,"Yes")+COUNTIF(C19:H19,"No"))*100)</f>
        <v/>
      </c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IF(COUNTIF(C20:H20,"Yes")+COUNTIF(C20:H20,"No")=0,"",COUNTIF(C20:H20,"Yes")/(COUNTIF(C20:H20,"Yes")+COUNTIF(C20:H20,"No"))*100)</f>
        <v/>
      </c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IF(COUNTIF(C21:H21,"Yes")+COUNTIF(C21:H21,"No")=0,"",COUNTIF(C21:H21,"Yes")/(COUNTIF(C21:H21,"Yes")+COUNTIF(C21:H21,"No"))*100)</f>
        <v/>
      </c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IF(COUNTIF(C22:H22,"Yes")+COUNTIF(C22:H22,"No")=0,"",COUNTIF(C22:H22,"Yes")/(COUNTIF(C22:H22,"Yes")+COUNTIF(C22:H22,"No"))*100)</f>
        <v/>
      </c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IF(COUNTIF(C23:H23,"Yes")+COUNTIF(C23:H23,"No")=0,"",COUNTIF(C23:H23,"Yes")/(COUNTIF(C23:H23,"Yes")+COUNTIF(C23:H23,"No"))*100)</f>
        <v/>
      </c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IF(COUNTIF(C24:H24,"Yes")+COUNTIF(C24:H24,"No")=0,"",COUNTIF(C24:H24,"Yes")/(COUNTIF(C24:H24,"Yes")+COUNTIF(C24:H24,"No"))*100)</f>
        <v/>
      </c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IF(COUNTIF(C25:H25,"Yes")+COUNTIF(C25:H25,"No")=0,"",COUNTIF(C25:H25,"Yes")/(COUNTIF(C25:H25,"Yes")+COUNTIF(C25:H25,"No"))*100)</f>
        <v/>
      </c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IF(COUNTIF(C26:H26,"Yes")+COUNTIF(C26:H26,"No")=0,"",COUNTIF(C26:H26,"Yes")/(COUNTIF(C26:H26,"Yes")+COUNTIF(C26:H26,"No"))*100)</f>
        <v/>
      </c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IF(COUNTIF(C27:H27,"Yes")+COUNTIF(C27:H27,"No")=0,"",COUNTIF(C27:H27,"Yes")/(COUNTIF(C27:H27,"Yes")+COUNTIF(C27:H27,"No"))*100)</f>
        <v/>
      </c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IF(COUNTIF(C28:H28,"Yes")+COUNTIF(C28:H28,"No")=0,"",COUNTIF(C28:H28,"Yes")/(COUNTIF(C28:H28,"Yes")+COUNTIF(C28:H28,"No"))*100)</f>
        <v/>
      </c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IF(COUNTIF(C29:H29,"Yes")+COUNTIF(C29:H29,"No")=0,"",COUNTIF(C29:H29,"Yes")/(COUNTIF(C29:H29,"Yes")+COUNTIF(C29:H29,"No"))*100)</f>
        <v/>
      </c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IF(COUNTIF(C30:H30,"Yes")+COUNTIF(C30:H30,"No")=0,"",COUNTIF(C30:H30,"Yes")/(COUNTIF(C30:H30,"Yes")+COUNTIF(C30:H30,"No"))*100)</f>
        <v/>
      </c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IF(COUNTIF(C31:H31,"Yes")+COUNTIF(C31:H31,"No")=0,"",COUNTIF(C31:H31,"Yes")/(COUNTIF(C31:H31,"Yes")+COUNTIF(C31:H31,"No"))*100)</f>
        <v/>
      </c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IF(COUNTIF(C32:H32,"Yes")+COUNTIF(C32:H32,"No")=0,"",COUNTIF(C32:H32,"Yes")/(COUNTIF(C32:H32,"Yes")+COUNTIF(C32:H32,"No"))*100)</f>
        <v/>
      </c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IF(COUNTIF(C33:H33,"Yes")+COUNTIF(C33:H33,"No")=0,"",COUNTIF(C33:H33,"Yes")/(COUNTIF(C33:H33,"Yes")+COUNTIF(C33:H33,"No"))*100)</f>
        <v/>
      </c>
      <c r="J33" s="9" t="n"/>
      <c r="K33" s="9" t="n"/>
      <c r="L33" s="9" t="n"/>
    </row>
    <row r="35">
      <c r="A35" s="2" t="inlineStr">
        <is>
          <t>Service-Specific Security Controls Reference</t>
        </is>
      </c>
    </row>
    <row r="36">
      <c r="A36" s="3" t="inlineStr">
        <is>
          <t>Service Type</t>
        </is>
      </c>
      <c r="B36" s="3" t="inlineStr">
        <is>
          <t>Key Security Controls</t>
        </is>
      </c>
    </row>
    <row r="37" ht="30" customHeight="1">
      <c r="A37" s="3" t="inlineStr">
        <is>
          <t>Load Balancer</t>
        </is>
      </c>
      <c r="B37" s="4" t="inlineStr">
        <is>
          <t>SSL/TLS termination, strong ciphers, health checks, session persistence security, DDoS protection</t>
        </is>
      </c>
    </row>
    <row r="38" ht="30" customHeight="1">
      <c r="A38" s="3" t="inlineStr">
        <is>
          <t>RADIUS/TACACS+</t>
        </is>
      </c>
      <c r="B38" s="4" t="inlineStr">
        <is>
          <t>Strong authentication, command authorization (TACACS+), encrypted communication, MFA support, logging</t>
        </is>
      </c>
    </row>
    <row r="39" ht="30" customHeight="1">
      <c r="A39" s="3" t="inlineStr">
        <is>
          <t>SNMP</t>
        </is>
      </c>
      <c r="B39" s="4" t="inlineStr">
        <is>
          <t>SNMPv3 only (v1/v2c disabled), authentication (authPriv), encryption, access control, trap security</t>
        </is>
      </c>
    </row>
    <row r="40" ht="30" customHeight="1">
      <c r="A40" s="3" t="inlineStr">
        <is>
          <t>Syslog</t>
        </is>
      </c>
      <c r="B40" s="4" t="inlineStr">
        <is>
          <t>TLS encryption (rsyslog/syslog-ng), log retention policy, log rotation, integrity protection</t>
        </is>
      </c>
    </row>
    <row r="41" ht="30" customHeight="1">
      <c r="A41" s="3" t="inlineStr">
        <is>
          <t>SMTP Relay</t>
        </is>
      </c>
      <c r="B41" s="4" t="inlineStr">
        <is>
          <t>Authentication required, relay restrictions, SPF/DKIM/DMARC, TLS encryption, rate limiting</t>
        </is>
      </c>
    </row>
    <row r="42" ht="30" customHeight="1">
      <c r="A42" s="3" t="inlineStr">
        <is>
          <t>FTP/SFTP</t>
        </is>
      </c>
      <c r="B42" s="4" t="inlineStr">
        <is>
          <t>Use SFTP (SSH), disable FTP, strong authentication, access control, logging</t>
        </is>
      </c>
    </row>
  </sheetData>
  <mergeCells count="9">
    <mergeCell ref="A2:L2"/>
    <mergeCell ref="B41:L41"/>
    <mergeCell ref="B38:L38"/>
    <mergeCell ref="B39:L39"/>
    <mergeCell ref="A1:L1"/>
    <mergeCell ref="B37:L37"/>
    <mergeCell ref="B42:L42"/>
    <mergeCell ref="B40:L40"/>
    <mergeCell ref="A35:L35"/>
  </mergeCells>
  <conditionalFormatting sqref="C4:C33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33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33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33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33">
    <cfRule type="cellIs" priority="9" operator="equal" dxfId="4">
      <formula>"Yes"</formula>
    </cfRule>
    <cfRule type="cellIs" priority="10" operator="equal" dxfId="5">
      <formula>"No"</formula>
    </cfRule>
  </conditionalFormatting>
  <conditionalFormatting sqref="H4:H33">
    <cfRule type="cellIs" priority="11" operator="equal" dxfId="4">
      <formula>"Yes"</formula>
    </cfRule>
    <cfRule type="cellIs" priority="12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</cols>
  <sheetData>
    <row r="1" ht="25" customHeight="1">
      <c r="A1" s="1" t="inlineStr">
        <is>
          <t>Service Security Compliance Summary</t>
        </is>
      </c>
    </row>
    <row r="3">
      <c r="A3" s="2" t="inlineStr">
        <is>
          <t>Overall Service Statistics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3" t="inlineStr">
        <is>
          <t>Total Services Cataloged</t>
        </is>
      </c>
      <c r="B5" s="4">
        <f>COUNTA(Services_Catalog!B4:B103)</f>
        <v/>
      </c>
    </row>
    <row r="6">
      <c r="A6" s="3" t="inlineStr">
        <is>
          <t>Critical Services</t>
        </is>
      </c>
      <c r="B6" s="4">
        <f>COUNTIF(Services_Catalog!H4:H103,"Critical")</f>
        <v/>
      </c>
    </row>
    <row r="7">
      <c r="A7" s="3" t="inlineStr">
        <is>
          <t>Services with Redundancy</t>
        </is>
      </c>
      <c r="B7" s="4">
        <f>COUNTIF(Services_Catalog!I4:I103,"Active-Active")+COUNTIF(Services_Catalog!I4:I103,"Active-Passive")+COUNTIF(Services_Catalog!I4:I103,"Clustered")</f>
        <v/>
      </c>
    </row>
    <row r="8">
      <c r="A8" s="3" t="inlineStr">
        <is>
          <t>Single Points of Failure</t>
        </is>
      </c>
      <c r="B8" s="4">
        <f>COUNTIF(Services_Catalog!I4:I103,"Single Point of Failure")</f>
        <v/>
      </c>
    </row>
    <row r="9">
      <c r="A9" s="3" t="inlineStr">
        <is>
          <t>Monitored Services</t>
        </is>
      </c>
      <c r="B9" s="4">
        <f>COUNTIF(Services_Catalog!J4:J103,"Monitored")</f>
        <v/>
      </c>
    </row>
    <row r="10">
      <c r="A10" s="3" t="inlineStr">
        <is>
          <t>Services Needing Review</t>
        </is>
      </c>
      <c r="B10" s="4">
        <f>COUNTIF(Services_Catalog!M4:M103,"&lt;"&amp;TODAY()-90)</f>
        <v/>
      </c>
    </row>
    <row r="12">
      <c r="A12" s="2" t="inlineStr">
        <is>
          <t>Service Distribution by Type</t>
        </is>
      </c>
    </row>
    <row r="13">
      <c r="A13" s="3" t="inlineStr">
        <is>
          <t>Service Type</t>
        </is>
      </c>
      <c r="B13" s="3" t="inlineStr">
        <is>
          <t>Count</t>
        </is>
      </c>
    </row>
    <row r="14">
      <c r="A14" s="4" t="inlineStr">
        <is>
          <t>DNS</t>
        </is>
      </c>
      <c r="B14" s="4">
        <f>COUNTIF(Services_Catalog!B4:B103,"DNS")</f>
        <v/>
      </c>
    </row>
    <row r="15">
      <c r="A15" s="4" t="inlineStr">
        <is>
          <t>DHCP</t>
        </is>
      </c>
      <c r="B15" s="4">
        <f>COUNTIF(Services_Catalog!B4:B103,"DHCP")</f>
        <v/>
      </c>
    </row>
    <row r="16">
      <c r="A16" s="4" t="inlineStr">
        <is>
          <t>NTP</t>
        </is>
      </c>
      <c r="B16" s="4">
        <f>COUNTIF(Services_Catalog!B4:B103,"NTP")</f>
        <v/>
      </c>
    </row>
    <row r="17">
      <c r="A17" s="4" t="inlineStr">
        <is>
          <t>Proxy/Web Filter</t>
        </is>
      </c>
      <c r="B17" s="4">
        <f>COUNTIF(Services_Catalog!B4:B103,"Proxy/Web Filter")</f>
        <v/>
      </c>
    </row>
    <row r="18">
      <c r="A18" s="4" t="inlineStr">
        <is>
          <t>Load Balancer</t>
        </is>
      </c>
      <c r="B18" s="4">
        <f>COUNTIF(Services_Catalog!B4:B103,"Load Balancer")</f>
        <v/>
      </c>
    </row>
    <row r="19">
      <c r="A19" s="4" t="inlineStr">
        <is>
          <t>RADIUS/TACACS+ (AAA)</t>
        </is>
      </c>
      <c r="B19" s="4">
        <f>COUNTIF(Services_Catalog!B4:B103,"RADIUS/TACACS+ (AAA)")</f>
        <v/>
      </c>
    </row>
    <row r="20">
      <c r="A20" s="4" t="inlineStr">
        <is>
          <t>SNMP</t>
        </is>
      </c>
      <c r="B20" s="4">
        <f>COUNTIF(Services_Catalog!B4:B103,"SNMP")</f>
        <v/>
      </c>
    </row>
    <row r="21">
      <c r="A21" s="4" t="inlineStr">
        <is>
          <t>Syslog</t>
        </is>
      </c>
      <c r="B21" s="4">
        <f>COUNTIF(Services_Catalog!B4:B103,"Syslog")</f>
        <v/>
      </c>
    </row>
    <row r="22">
      <c r="A22" s="4" t="inlineStr">
        <is>
          <t>SMTP Relay</t>
        </is>
      </c>
      <c r="B22" s="4">
        <f>COUNTIF(Services_Catalog!B4:B103,"SMTP Relay")</f>
        <v/>
      </c>
    </row>
    <row r="23">
      <c r="A23" s="4" t="inlineStr">
        <is>
          <t>FTP/SFTP</t>
        </is>
      </c>
      <c r="B23" s="4">
        <f>COUNTIF(Services_Catalog!B4:B103,"FTP/SFTP")</f>
        <v/>
      </c>
    </row>
    <row r="24">
      <c r="A24" s="4" t="inlineStr">
        <is>
          <t>Other</t>
        </is>
      </c>
      <c r="B24" s="4">
        <f>COUNTIF(Services_Catalog!B4:B103,"Other")</f>
        <v/>
      </c>
    </row>
    <row r="26">
      <c r="A26" s="2" t="inlineStr">
        <is>
          <t>Average Compliance Scores by Service Type</t>
        </is>
      </c>
    </row>
    <row r="27">
      <c r="A27" s="3" t="inlineStr">
        <is>
          <t>Service Type</t>
        </is>
      </c>
      <c r="B27" s="3" t="inlineStr">
        <is>
          <t>Avg Compliance %</t>
        </is>
      </c>
      <c r="C27" s="3" t="inlineStr">
        <is>
          <t>Services Assessed</t>
        </is>
      </c>
    </row>
    <row r="28">
      <c r="A28" s="4" t="inlineStr">
        <is>
          <t>DNS</t>
        </is>
      </c>
      <c r="B28" s="11">
        <f>AVERAGE(DNS_Security_Assessment!L4:L23)</f>
        <v/>
      </c>
      <c r="C28" s="4">
        <f>COUNTA(DNS_Security_Assessment!L4:L23)</f>
        <v/>
      </c>
    </row>
    <row r="29">
      <c r="A29" s="4" t="inlineStr">
        <is>
          <t>DHCP</t>
        </is>
      </c>
      <c r="B29" s="11">
        <f>AVERAGE(DHCP_Security_Assessment!J4:J18)</f>
        <v/>
      </c>
      <c r="C29" s="4">
        <f>COUNTA(DHCP_Security_Assessment!J4:J18)</f>
        <v/>
      </c>
    </row>
    <row r="30">
      <c r="A30" s="4" t="inlineStr">
        <is>
          <t>NTP</t>
        </is>
      </c>
      <c r="B30" s="11">
        <f>AVERAGE(NTP_Security_Assessment!H4:H13)</f>
        <v/>
      </c>
      <c r="C30" s="4">
        <f>COUNTA(NTP_Security_Assessment!H4:H13)</f>
        <v/>
      </c>
    </row>
    <row r="31">
      <c r="A31" s="4" t="inlineStr">
        <is>
          <t>Proxy</t>
        </is>
      </c>
      <c r="B31" s="11">
        <f>AVERAGE(Proxy_Security_Assessment!J4:J18)</f>
        <v/>
      </c>
      <c r="C31" s="4">
        <f>COUNTA(Proxy_Security_Assessment!J4:J18)</f>
        <v/>
      </c>
    </row>
    <row r="32">
      <c r="A32" s="4" t="inlineStr">
        <is>
          <t>Other Services</t>
        </is>
      </c>
      <c r="B32" s="11">
        <f>AVERAGE(Additional_Services!I4:I33)</f>
        <v/>
      </c>
      <c r="C32" s="4">
        <f>COUNTA(Additional_Services!I4:I33)</f>
        <v/>
      </c>
    </row>
  </sheetData>
  <mergeCells count="4">
    <mergeCell ref="A3:F3"/>
    <mergeCell ref="A26:F26"/>
    <mergeCell ref="A1:F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35" customWidth="1" min="4" max="4"/>
    <col width="35" customWidth="1" min="5" max="5"/>
    <col width="12" customWidth="1" min="6" max="6"/>
    <col width="40" customWidth="1" min="7" max="7"/>
    <col width="20" customWidth="1" min="8" max="8"/>
    <col width="15" customWidth="1" min="9" max="9"/>
    <col width="12" customWidth="1" min="10" max="10"/>
  </cols>
  <sheetData>
    <row r="1" ht="25" customHeight="1">
      <c r="A1" s="1" t="inlineStr">
        <is>
          <t>Service Security Gaps - Remediation Tracking</t>
        </is>
      </c>
    </row>
    <row r="2">
      <c r="A2" s="4" t="inlineStr">
        <is>
          <t>📋 Document all service security gaps (missing controls, misconfigurations). Track remediation progress.</t>
        </is>
      </c>
    </row>
    <row r="3">
      <c r="A3" s="3" t="inlineStr">
        <is>
          <t>Gap ID</t>
        </is>
      </c>
      <c r="B3" s="3" t="inlineStr">
        <is>
          <t>Service ID</t>
        </is>
      </c>
      <c r="C3" s="3" t="inlineStr">
        <is>
          <t>Service Type</t>
        </is>
      </c>
      <c r="D3" s="3" t="inlineStr">
        <is>
          <t>Security Gap</t>
        </is>
      </c>
      <c r="E3" s="3" t="inlineStr">
        <is>
          <t>Current State</t>
        </is>
      </c>
      <c r="F3" s="3" t="inlineStr">
        <is>
          <t>Severity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Status</t>
        </is>
      </c>
      <c r="J3" s="3" t="inlineStr">
        <is>
          <t>Target Date</t>
        </is>
      </c>
    </row>
    <row r="4">
      <c r="A4">
        <f>IF(B4&lt;&gt;"","SVC-GAP-"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>
        <f>IF(B5&lt;&gt;"","SVC-GAP-"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>
        <f>IF(B6&lt;&gt;"","SVC-GAP-"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>
        <f>IF(B7&lt;&gt;"","SVC-GAP-"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>
        <f>IF(B8&lt;&gt;"","SVC-GAP-"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>
        <f>IF(B9&lt;&gt;"","SVC-GAP-"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>
        <f>IF(B10&lt;&gt;"","SVC-GAP-"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>
        <f>IF(B11&lt;&gt;"","SVC-GAP-"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>
        <f>IF(B12&lt;&gt;"","SVC-GAP-"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>
        <f>IF(B13&lt;&gt;"","SVC-GAP-"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>
        <f>IF(B14&lt;&gt;"","SVC-GAP-"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>
        <f>IF(B15&lt;&gt;"","SVC-GAP-"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>
        <f>IF(B16&lt;&gt;"","SVC-GAP-"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>
        <f>IF(B17&lt;&gt;"","SVC-GAP-"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>
        <f>IF(B18&lt;&gt;"","SVC-GAP-"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>
        <f>IF(B19&lt;&gt;"","SVC-GAP-"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>
        <f>IF(B20&lt;&gt;"","SVC-GAP-"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>
        <f>IF(B21&lt;&gt;"","SVC-GAP-"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>
        <f>IF(B22&lt;&gt;"","SVC-GAP-"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>
        <f>IF(B23&lt;&gt;"","SVC-GAP-"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>
        <f>IF(B24&lt;&gt;"","SVC-GAP-"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>
        <f>IF(B25&lt;&gt;"","SVC-GAP-"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>
        <f>IF(B26&lt;&gt;"","SVC-GAP-"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>
        <f>IF(B27&lt;&gt;"","SVC-GAP-"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>
        <f>IF(B28&lt;&gt;"","SVC-GAP-"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>
        <f>IF(B29&lt;&gt;"","SVC-GAP-"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>
        <f>IF(B30&lt;&gt;"","SVC-GAP-"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>
        <f>IF(B31&lt;&gt;"","SVC-GAP-"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>
        <f>IF(B32&lt;&gt;"","SVC-GAP-"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>
        <f>IF(B33&lt;&gt;"","SVC-GAP-"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>
        <f>IF(B34&lt;&gt;"","SVC-GAP-"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>
        <f>IF(B35&lt;&gt;"","SVC-GAP-"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>
        <f>IF(B36&lt;&gt;"","SVC-GAP-"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>
        <f>IF(B37&lt;&gt;"","SVC-GAP-"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>
        <f>IF(B38&lt;&gt;"","SVC-GAP-"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>
        <f>IF(B39&lt;&gt;"","SVC-GAP-"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>
        <f>IF(B40&lt;&gt;"","SVC-GAP-"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>
        <f>IF(B41&lt;&gt;"","SVC-GAP-"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>
        <f>IF(B42&lt;&gt;"","SVC-GAP-"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>
        <f>IF(B43&lt;&gt;"","SVC-GAP-"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>
        <f>IF(B44&lt;&gt;"","SVC-GAP-"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>
        <f>IF(B45&lt;&gt;"","SVC-GAP-"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>
        <f>IF(B46&lt;&gt;"","SVC-GAP-"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>
        <f>IF(B47&lt;&gt;"","SVC-GAP-"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>
        <f>IF(B48&lt;&gt;"","SVC-GAP-"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>
        <f>IF(B49&lt;&gt;"","SVC-GAP-"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>
        <f>IF(B50&lt;&gt;"","SVC-GAP-"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>
        <f>IF(B51&lt;&gt;"","SVC-GAP-"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>
        <f>IF(B52&lt;&gt;"","SVC-GAP-"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>
        <f>IF(B53&lt;&gt;"","SVC-GAP-"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</sheetData>
  <mergeCells count="2">
    <mergeCell ref="A1:J1"/>
    <mergeCell ref="A2:J2"/>
  </mergeCells>
  <conditionalFormatting sqref="F4:F5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2">
    <dataValidation sqref="F4:F53" showDropDown="0" showInputMessage="0" showErrorMessage="0" allowBlank="0" type="list">
      <formula1>"🔴 Critical,🟡 High,🟢 Medium,⚪ Low"</formula1>
    </dataValidation>
    <dataValidation sqref="I4:I53" showDropDown="0" showInputMessage="0" showErrorMessage="0" allowBlank="0" type="list">
      <formula1>"Open,In Progress,Resolved,Accepted Risk"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5" customWidth="1" min="5" max="5"/>
    <col width="40" customWidth="1" min="6" max="6"/>
  </cols>
  <sheetData>
    <row r="1" ht="25" customHeight="1">
      <c r="A1" s="1" t="inlineStr">
        <is>
          <t>Service Dependencies Mapping</t>
        </is>
      </c>
    </row>
    <row r="2">
      <c r="A2" s="4" t="inlineStr">
        <is>
          <t>📋 Map service dependencies to understand impact of service failures.</t>
        </is>
      </c>
    </row>
    <row r="3">
      <c r="A3" s="3" t="inlineStr">
        <is>
          <t>Service ID</t>
        </is>
      </c>
      <c r="B3" s="3" t="inlineStr">
        <is>
          <t>Service Name</t>
        </is>
      </c>
      <c r="C3" s="3" t="inlineStr">
        <is>
          <t>Depends On</t>
        </is>
      </c>
      <c r="D3" s="3" t="inlineStr">
        <is>
          <t>Required By</t>
        </is>
      </c>
      <c r="E3" s="3" t="inlineStr">
        <is>
          <t>Impact of Failure</t>
        </is>
      </c>
      <c r="F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5">
      <c r="A35" s="2" t="inlineStr">
        <is>
          <t>Common Service Dependencies - Examples</t>
        </is>
      </c>
    </row>
    <row r="36">
      <c r="A36" s="3" t="inlineStr">
        <is>
          <t>Service</t>
        </is>
      </c>
      <c r="B36" s="3" t="inlineStr">
        <is>
          <t>Typical Dependencies</t>
        </is>
      </c>
    </row>
    <row r="37" ht="25" customHeight="1">
      <c r="A37" s="3" t="inlineStr">
        <is>
          <t>Active Directory</t>
        </is>
      </c>
      <c r="B37" s="4" t="inlineStr">
        <is>
          <t>Depends On: DNS, NTP, DHCP (optional)</t>
        </is>
      </c>
    </row>
    <row r="38" ht="25" customHeight="1">
      <c r="A38" s="3" t="inlineStr">
        <is>
          <t>Email (Exchange/O365)</t>
        </is>
      </c>
      <c r="B38" s="4" t="inlineStr">
        <is>
          <t>Depends On: DNS, Active Directory, Network Connectivity</t>
        </is>
      </c>
    </row>
    <row r="39" ht="25" customHeight="1">
      <c r="A39" s="3" t="inlineStr">
        <is>
          <t>Web Applications</t>
        </is>
      </c>
      <c r="B39" s="4" t="inlineStr">
        <is>
          <t>Depends On: DNS, Load Balancer, Database, Authentication (LDAP/AD)</t>
        </is>
      </c>
    </row>
    <row r="40" ht="25" customHeight="1">
      <c r="A40" s="3" t="inlineStr">
        <is>
          <t>VPN Access</t>
        </is>
      </c>
      <c r="B40" s="4" t="inlineStr">
        <is>
          <t>Depends On: RADIUS/TACACS+, Active Directory, DNS</t>
        </is>
      </c>
    </row>
    <row r="41" ht="25" customHeight="1">
      <c r="A41" s="3" t="inlineStr">
        <is>
          <t>DHCP</t>
        </is>
      </c>
      <c r="B41" s="4" t="inlineStr">
        <is>
          <t>Depends On: Network connectivity (usually no dependencies)</t>
        </is>
      </c>
    </row>
    <row r="42" ht="25" customHeight="1">
      <c r="A42" s="3" t="inlineStr">
        <is>
          <t>DNS</t>
        </is>
      </c>
      <c r="B42" s="4" t="inlineStr">
        <is>
          <t>Depends On: Network connectivity, NTP (for DNSSEC)</t>
        </is>
      </c>
    </row>
  </sheetData>
  <mergeCells count="9">
    <mergeCell ref="A2:F2"/>
    <mergeCell ref="B39:F39"/>
    <mergeCell ref="B38:F38"/>
    <mergeCell ref="A1:F1"/>
    <mergeCell ref="B42:F42"/>
    <mergeCell ref="B37:F37"/>
    <mergeCell ref="A35:F35"/>
    <mergeCell ref="B40:F4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2026-02-08T11:26:21Z</dcterms:created>
  <dcterms:modified xmlns:dcterms="http://purl.org/dc/terms/" xmlns:xsi="http://www.w3.org/2001/XMLSchema-instance" xsi:type="dcterms:W3CDTF">2026-02-08T11:26:21Z</dcterms:modified>
</cp:coreProperties>
</file>