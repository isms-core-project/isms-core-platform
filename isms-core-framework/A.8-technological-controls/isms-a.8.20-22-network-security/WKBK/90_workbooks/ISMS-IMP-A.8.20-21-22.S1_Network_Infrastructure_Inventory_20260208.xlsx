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vice_Inventory" sheetId="2" state="visible" r:id="rId2"/>
    <sheet xmlns:r="http://schemas.openxmlformats.org/officeDocument/2006/relationships" name="Device_Criticality_Matrix" sheetId="3" state="visible" r:id="rId3"/>
    <sheet xmlns:r="http://schemas.openxmlformats.org/officeDocument/2006/relationships" name="Device_Type_Summary" sheetId="4" state="visible" r:id="rId4"/>
    <sheet xmlns:r="http://schemas.openxmlformats.org/officeDocument/2006/relationships" name="Discovery_Metadata" sheetId="5" state="visible" r:id="rId5"/>
    <sheet xmlns:r="http://schemas.openxmlformats.org/officeDocument/2006/relationships" name="Gap_Analysi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Validation_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4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0" fillId="8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 Distribution by Type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'Device_Type_Summary'!$A$17:$A$25</f>
            </numRef>
          </cat>
          <val>
            <numRef>
              <f>'Device_Type_Summary'!$B$17:$B$25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 Count by Criticality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'Device_Type_Summary'!$A$29:$A$32</f>
            </numRef>
          </cat>
          <val>
            <numRef>
              <f>'Device_Type_Summary'!$B$29:$B$32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Criticality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28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3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ISMS-IMP-A.8.20-21-22.S1  -  Network Infrastructure Inventory
ISO/IEC 27001:2022 - Controls A.8.20, A.8.21, A.8.22: Network Security</t>
        </is>
      </c>
    </row>
    <row r="3">
      <c r="A3" s="2" t="inlineStr">
        <is>
          <t>Document Information</t>
        </is>
      </c>
    </row>
    <row r="4">
      <c r="A4" s="3" t="inlineStr">
        <is>
          <t>Workbook:</t>
        </is>
      </c>
      <c r="B4" s="4" t="inlineStr">
        <is>
          <t>Network Infrastructure Inventory</t>
        </is>
      </c>
    </row>
    <row r="5">
      <c r="A5" s="3" t="inlineStr">
        <is>
          <t>Generated:</t>
        </is>
      </c>
      <c r="B5" s="4" t="inlineStr">
        <is>
          <t>08.02.2026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Control:</t>
        </is>
      </c>
      <c r="B7" s="4" t="inlineStr">
        <is>
          <t>ISO 27001:2022 A.8.20 (Networks Security)</t>
        </is>
      </c>
    </row>
    <row r="8">
      <c r="A8" s="3" t="inlineStr">
        <is>
          <t>Purpose:</t>
        </is>
      </c>
      <c r="B8" s="4" t="inlineStr">
        <is>
          <t>Systematic inventory of network infrastructure devices</t>
        </is>
      </c>
    </row>
    <row r="9">
      <c r="A9" s="3" t="inlineStr">
        <is>
          <t>Related IMP:</t>
        </is>
      </c>
      <c r="B9" s="4" t="inlineStr">
        <is>
          <t>ISMS-IMP-A.8.20-21-22-S1 (Network Discovery Process)</t>
        </is>
      </c>
    </row>
    <row r="11">
      <c r="A11" s="2" t="inlineStr">
        <is>
          <t>Usage Instructions</t>
        </is>
      </c>
    </row>
    <row r="12" ht="30" customHeight="1">
      <c r="A12" s="4" t="inlineStr">
        <is>
          <t>1. START WITH DISCOVERY: Use IMP-S1 guidance to discover all network devices (nmap, SNMP, cloud APIs, manual)</t>
        </is>
      </c>
    </row>
    <row r="13" ht="30" customHeight="1">
      <c r="A13" s="4" t="inlineStr">
        <is>
          <t>2. DEVICE INVENTORY: Fill in Device_Inventory sheet with discovered devices (auto-generates Device IDs)</t>
        </is>
      </c>
    </row>
    <row r="14" ht="30" customHeight="1">
      <c r="A14" s="4" t="inlineStr">
        <is>
          <t>3. REQUIRED FIELDS: Device Type, Primary IP, Hostname, Location, Criticality, Status are MANDATORY</t>
        </is>
      </c>
    </row>
    <row r="15" ht="30" customHeight="1">
      <c r="A15" s="4" t="inlineStr">
        <is>
          <t>4. CRITICALITY: Assess each device using Device_Criticality_Matrix guidance</t>
        </is>
      </c>
    </row>
    <row r="16" ht="30" customHeight="1">
      <c r="A16" s="4" t="inlineStr">
        <is>
          <t>5. GAPS: Document undiscovered/unreachable devices in Gap_Analysis sheet</t>
        </is>
      </c>
    </row>
    <row r="17" ht="30" customHeight="1">
      <c r="A17" s="4" t="inlineStr">
        <is>
          <t>6. EVIDENCE: Track discovery evidence (configs, scans, diagrams) in Evidence_Register</t>
        </is>
      </c>
    </row>
    <row r="18" ht="30" customHeight="1">
      <c r="A18" s="4" t="inlineStr">
        <is>
          <t>7. VALIDATION: Review Validation_Rules sheet for data quality checks</t>
        </is>
      </c>
    </row>
    <row r="19" ht="30" customHeight="1">
      <c r="A19" s="4" t="inlineStr">
        <is>
          <t>8. SUMMARY: Review Device_Type_Summary for statistics and charts</t>
        </is>
      </c>
    </row>
    <row r="21">
      <c r="A21" s="2" t="inlineStr">
        <is>
          <t>Field Definitions (Device Inventory)</t>
        </is>
      </c>
    </row>
    <row r="22">
      <c r="A22" s="3" t="inlineStr">
        <is>
          <t>Field</t>
        </is>
      </c>
      <c r="B22" s="3" t="inlineStr">
        <is>
          <t>Description</t>
        </is>
      </c>
      <c r="C22" s="3" t="inlineStr">
        <is>
          <t>Required</t>
        </is>
      </c>
      <c r="D22" s="3" t="inlineStr">
        <is>
          <t>Format/Values</t>
        </is>
      </c>
    </row>
    <row r="23">
      <c r="A23" s="4" t="inlineStr">
        <is>
          <t>Device ID</t>
        </is>
      </c>
      <c r="B23" s="4" t="inlineStr">
        <is>
          <t>Auto-generated unique identifier (NET-DEV-001, NET-DEV-002, ...)</t>
        </is>
      </c>
      <c r="C23" s="4" t="inlineStr">
        <is>
          <t>Auto</t>
        </is>
      </c>
      <c r="D23" s="4" t="inlineStr">
        <is>
          <t>NET-DEV-XXX</t>
        </is>
      </c>
    </row>
    <row r="24">
      <c r="A24" s="4" t="inlineStr">
        <is>
          <t>Device Type</t>
        </is>
      </c>
      <c r="B24" s="4" t="inlineStr">
        <is>
          <t>Category of network device</t>
        </is>
      </c>
      <c r="C24" s="4" t="inlineStr">
        <is>
          <t>Yes</t>
        </is>
      </c>
      <c r="D24" s="4" t="inlineStr">
        <is>
          <t>Router, Switch, Firewall, etc.</t>
        </is>
      </c>
    </row>
    <row r="25">
      <c r="A25" s="4" t="inlineStr">
        <is>
          <t>Make/Model</t>
        </is>
      </c>
      <c r="B25" s="4" t="inlineStr">
        <is>
          <t>Manufacturer and model number</t>
        </is>
      </c>
      <c r="C25" s="4" t="inlineStr">
        <is>
          <t>No</t>
        </is>
      </c>
      <c r="D25" s="4" t="inlineStr">
        <is>
          <t>e.g., Cisco Catalyst 9300-48P</t>
        </is>
      </c>
    </row>
    <row r="26">
      <c r="A26" s="4" t="inlineStr">
        <is>
          <t>Hostname</t>
        </is>
      </c>
      <c r="B26" s="4" t="inlineStr">
        <is>
          <t>Device hostname or DNS name</t>
        </is>
      </c>
      <c r="C26" s="4" t="inlineStr">
        <is>
          <t>Yes</t>
        </is>
      </c>
      <c r="D26" s="4" t="inlineStr">
        <is>
          <t>e.g., switch-core-01.example.com</t>
        </is>
      </c>
    </row>
    <row r="27">
      <c r="A27" s="4" t="inlineStr">
        <is>
          <t>Primary IP</t>
        </is>
      </c>
      <c r="B27" s="4" t="inlineStr">
        <is>
          <t>Primary management IP address</t>
        </is>
      </c>
      <c r="C27" s="4" t="inlineStr">
        <is>
          <t>Yes</t>
        </is>
      </c>
      <c r="D27" s="4" t="inlineStr">
        <is>
          <t>IPv4 format (e.g., 10.1.0.1)</t>
        </is>
      </c>
    </row>
    <row r="28">
      <c r="A28" s="4" t="inlineStr">
        <is>
          <t>Management IP</t>
        </is>
      </c>
      <c r="B28" s="4" t="inlineStr">
        <is>
          <t>Secondary management IP (if different)</t>
        </is>
      </c>
      <c r="C28" s="4" t="inlineStr">
        <is>
          <t>No</t>
        </is>
      </c>
      <c r="D28" s="4" t="inlineStr">
        <is>
          <t>IPv4 format</t>
        </is>
      </c>
    </row>
    <row r="29">
      <c r="A29" s="4" t="inlineStr">
        <is>
          <t>Location</t>
        </is>
      </c>
      <c r="B29" s="4" t="inlineStr">
        <is>
          <t>Physical or logical location</t>
        </is>
      </c>
      <c r="C29" s="4" t="inlineStr">
        <is>
          <t>Yes</t>
        </is>
      </c>
      <c r="D29" s="4" t="inlineStr">
        <is>
          <t>e.g., Datacenter Rack A10</t>
        </is>
      </c>
    </row>
    <row r="30">
      <c r="A30" s="4" t="inlineStr">
        <is>
          <t>Security Zone</t>
        </is>
      </c>
      <c r="B30" s="4" t="inlineStr">
        <is>
          <t>Network security zone/segment</t>
        </is>
      </c>
      <c r="C30" s="4" t="inlineStr">
        <is>
          <t>No</t>
        </is>
      </c>
      <c r="D30" s="4" t="inlineStr">
        <is>
          <t>DMZ, Internal, Management, etc.</t>
        </is>
      </c>
    </row>
    <row r="31">
      <c r="A31" s="4" t="inlineStr">
        <is>
          <t>Purpose</t>
        </is>
      </c>
      <c r="B31" s="4" t="inlineStr">
        <is>
          <t>Device function/purpose</t>
        </is>
      </c>
      <c r="C31" s="4" t="inlineStr">
        <is>
          <t>No</t>
        </is>
      </c>
      <c r="D31" s="4" t="inlineStr">
        <is>
          <t>e.g., Core switching, Internet gateway</t>
        </is>
      </c>
    </row>
    <row r="32">
      <c r="A32" s="4" t="inlineStr">
        <is>
          <t>Criticality</t>
        </is>
      </c>
      <c r="B32" s="4" t="inlineStr">
        <is>
          <t>Business impact if device fails</t>
        </is>
      </c>
      <c r="C32" s="4" t="inlineStr">
        <is>
          <t>Yes</t>
        </is>
      </c>
      <c r="D32" s="4" t="inlineStr">
        <is>
          <t>Critical, High, Medium, Low</t>
        </is>
      </c>
    </row>
    <row r="33">
      <c r="A33" s="4" t="inlineStr">
        <is>
          <t>Owner</t>
        </is>
      </c>
      <c r="B33" s="4" t="inlineStr">
        <is>
          <t>Responsible team or person</t>
        </is>
      </c>
      <c r="C33" s="4" t="inlineStr">
        <is>
          <t>No</t>
        </is>
      </c>
      <c r="D33" s="4" t="inlineStr">
        <is>
          <t>e.g., Network Operations Team</t>
        </is>
      </c>
    </row>
    <row r="34">
      <c r="A34" s="4" t="inlineStr">
        <is>
          <t>Last Discovered</t>
        </is>
      </c>
      <c r="B34" s="4" t="inlineStr">
        <is>
          <t>Date device was discovered/verified</t>
        </is>
      </c>
      <c r="C34" s="4" t="inlineStr">
        <is>
          <t>No</t>
        </is>
      </c>
      <c r="D34" s="4" t="inlineStr">
        <is>
          <t>YYYY-MM-DD</t>
        </is>
      </c>
    </row>
    <row r="35">
      <c r="A35" s="4" t="inlineStr">
        <is>
          <t>Discovery Method</t>
        </is>
      </c>
      <c r="B35" s="4" t="inlineStr">
        <is>
          <t>How device was discovered</t>
        </is>
      </c>
      <c r="C35" s="4" t="inlineStr">
        <is>
          <t>No</t>
        </is>
      </c>
      <c r="D35" s="4" t="inlineStr">
        <is>
          <t>Nmap, SNMP, Cloud API, Manual</t>
        </is>
      </c>
    </row>
    <row r="36">
      <c r="A36" s="4" t="inlineStr">
        <is>
          <t>Firmware Version</t>
        </is>
      </c>
      <c r="B36" s="4" t="inlineStr">
        <is>
          <t>Current firmware/OS version</t>
        </is>
      </c>
      <c r="C36" s="4" t="inlineStr">
        <is>
          <t>No</t>
        </is>
      </c>
      <c r="D36" s="4" t="inlineStr">
        <is>
          <t>e.g., IOS XE 17.9.4</t>
        </is>
      </c>
    </row>
    <row r="37">
      <c r="A37" s="4" t="inlineStr">
        <is>
          <t>Serial Number</t>
        </is>
      </c>
      <c r="B37" s="4" t="inlineStr">
        <is>
          <t>Device serial number</t>
        </is>
      </c>
      <c r="C37" s="4" t="inlineStr">
        <is>
          <t>No</t>
        </is>
      </c>
      <c r="D37" s="4" t="inlineStr">
        <is>
          <t>Hardware serial number</t>
        </is>
      </c>
    </row>
    <row r="38">
      <c r="A38" s="4" t="inlineStr">
        <is>
          <t>Compliance Status</t>
        </is>
      </c>
      <c r="B38" s="4" t="inlineStr">
        <is>
          <t>Hardening compliance status</t>
        </is>
      </c>
      <c r="C38" s="4" t="inlineStr">
        <is>
          <t>No</t>
        </is>
      </c>
      <c r="D38" s="4" t="inlineStr">
        <is>
          <t>Compliant, Non-Compliant, etc.</t>
        </is>
      </c>
    </row>
    <row r="39">
      <c r="A39" s="4" t="inlineStr">
        <is>
          <t>Status</t>
        </is>
      </c>
      <c r="B39" s="4" t="inlineStr">
        <is>
          <t>Operational status</t>
        </is>
      </c>
      <c r="C39" s="4" t="inlineStr">
        <is>
          <t>Yes</t>
        </is>
      </c>
      <c r="D39" s="4" t="inlineStr">
        <is>
          <t>Active, Offline, Decommissioned</t>
        </is>
      </c>
    </row>
    <row r="40">
      <c r="A40" s="4" t="inlineStr">
        <is>
          <t>Notes</t>
        </is>
      </c>
      <c r="B40" s="4" t="inlineStr">
        <is>
          <t>Additional information</t>
        </is>
      </c>
      <c r="C40" s="4" t="inlineStr">
        <is>
          <t>No</t>
        </is>
      </c>
      <c r="D40" s="4" t="inlineStr">
        <is>
          <t>Free text</t>
        </is>
      </c>
    </row>
    <row r="42">
      <c r="A42" s="2" t="inlineStr">
        <is>
          <t>Criticality Classification Legend</t>
        </is>
      </c>
    </row>
    <row r="43">
      <c r="A43" s="3" t="inlineStr">
        <is>
          <t>Criticality</t>
        </is>
      </c>
      <c r="B43" s="3" t="inlineStr">
        <is>
          <t>Definition</t>
        </is>
      </c>
      <c r="C43" s="3" t="inlineStr">
        <is>
          <t>Examples</t>
        </is>
      </c>
    </row>
    <row r="44" ht="30" customHeight="1">
      <c r="A44" s="5" t="inlineStr">
        <is>
          <t>Critical</t>
        </is>
      </c>
      <c r="B44" s="4" t="inlineStr">
        <is>
          <t>Mission-critical - failure causes immediate service outage</t>
        </is>
      </c>
      <c r="C44" s="4" t="inlineStr">
        <is>
          <t>Core routers, primary firewalls, datacenter switches</t>
        </is>
      </c>
    </row>
    <row r="45" ht="30" customHeight="1">
      <c r="A45" s="6" t="inlineStr">
        <is>
          <t>High</t>
        </is>
      </c>
      <c r="B45" s="4" t="inlineStr">
        <is>
          <t>Important - failure causes significant degradation</t>
        </is>
      </c>
      <c r="C45" s="4" t="inlineStr">
        <is>
          <t>Distribution switches, backup firewalls, WAN routers</t>
        </is>
      </c>
    </row>
    <row r="46" ht="30" customHeight="1">
      <c r="A46" s="7" t="inlineStr">
        <is>
          <t>Medium</t>
        </is>
      </c>
      <c r="B46" s="4" t="inlineStr">
        <is>
          <t>Standard - failure causes localized impact</t>
        </is>
      </c>
      <c r="C46" s="4" t="inlineStr">
        <is>
          <t>Access switches, branch routers, management devices</t>
        </is>
      </c>
    </row>
    <row r="47" ht="30" customHeight="1">
      <c r="A47" s="8" t="inlineStr">
        <is>
          <t>Low</t>
        </is>
      </c>
      <c r="B47" s="4" t="inlineStr">
        <is>
          <t>Minimal impact - failure causes minor inconvenience</t>
        </is>
      </c>
      <c r="C47" s="4" t="inlineStr">
        <is>
          <t>Lab devices, test equipment, guest Wi-Fi APs</t>
        </is>
      </c>
    </row>
  </sheetData>
  <mergeCells count="13">
    <mergeCell ref="A12:H12"/>
    <mergeCell ref="A18:H18"/>
    <mergeCell ref="A21:H21"/>
    <mergeCell ref="A15:H15"/>
    <mergeCell ref="A16:H16"/>
    <mergeCell ref="A42:H42"/>
    <mergeCell ref="A13:H13"/>
    <mergeCell ref="A11:H11"/>
    <mergeCell ref="A14:H14"/>
    <mergeCell ref="A19:H19"/>
    <mergeCell ref="A1:H1"/>
    <mergeCell ref="A3:B3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30" customWidth="1" min="4" max="4"/>
    <col width="15" customWidth="1" min="5" max="5"/>
    <col width="15" customWidth="1" min="6" max="6"/>
    <col width="25" customWidth="1" min="7" max="7"/>
    <col width="15" customWidth="1" min="8" max="8"/>
    <col width="30" customWidth="1" min="9" max="9"/>
    <col width="12" customWidth="1" min="10" max="10"/>
    <col width="25" customWidth="1" min="11" max="11"/>
    <col width="12" customWidth="1" min="12" max="12"/>
    <col width="18" customWidth="1" min="13" max="13"/>
    <col width="18" customWidth="1" min="14" max="14"/>
    <col width="18" customWidth="1" min="15" max="15"/>
    <col width="18" customWidth="1" min="16" max="16"/>
    <col width="12" customWidth="1" min="17" max="17"/>
    <col width="40" customWidth="1" min="18" max="18"/>
  </cols>
  <sheetData>
    <row r="1" ht="25" customHeight="1">
      <c r="A1" s="1" t="inlineStr">
        <is>
          <t>Network Infrastructure Inventory - Generated 08.02.2026</t>
        </is>
      </c>
    </row>
    <row r="2" ht="25" customHeight="1">
      <c r="A2" s="4" t="inlineStr">
        <is>
          <t>📋 Complete inventory for all network devices discovered per IMP-S1. Yellow cells are input fields. Device IDs auto-generate.</t>
        </is>
      </c>
    </row>
    <row r="3">
      <c r="A3" s="3" t="inlineStr">
        <is>
          <t>Device ID</t>
        </is>
      </c>
      <c r="B3" s="3" t="inlineStr">
        <is>
          <t>Device Type</t>
        </is>
      </c>
      <c r="C3" s="3" t="inlineStr">
        <is>
          <t>Make/Model</t>
        </is>
      </c>
      <c r="D3" s="3" t="inlineStr">
        <is>
          <t>Hostname</t>
        </is>
      </c>
      <c r="E3" s="3" t="inlineStr">
        <is>
          <t>Primary IP</t>
        </is>
      </c>
      <c r="F3" s="3" t="inlineStr">
        <is>
          <t>Management IP</t>
        </is>
      </c>
      <c r="G3" s="3" t="inlineStr">
        <is>
          <t>Location</t>
        </is>
      </c>
      <c r="H3" s="3" t="inlineStr">
        <is>
          <t>Security Zone</t>
        </is>
      </c>
      <c r="I3" s="3" t="inlineStr">
        <is>
          <t>Purpose</t>
        </is>
      </c>
      <c r="J3" s="3" t="inlineStr">
        <is>
          <t>Criticality</t>
        </is>
      </c>
      <c r="K3" s="3" t="inlineStr">
        <is>
          <t>Owner</t>
        </is>
      </c>
      <c r="L3" s="3" t="inlineStr">
        <is>
          <t>Last Discovered</t>
        </is>
      </c>
      <c r="M3" s="3" t="inlineStr">
        <is>
          <t>Discovery Method</t>
        </is>
      </c>
      <c r="N3" s="3" t="inlineStr">
        <is>
          <t>Firmware Version</t>
        </is>
      </c>
      <c r="O3" s="3" t="inlineStr">
        <is>
          <t>Serial Number</t>
        </is>
      </c>
      <c r="P3" s="3" t="inlineStr">
        <is>
          <t>Compliance Status</t>
        </is>
      </c>
      <c r="Q3" s="3" t="inlineStr">
        <is>
          <t>Status</t>
        </is>
      </c>
      <c r="R3" s="3" t="inlineStr">
        <is>
          <t>Notes</t>
        </is>
      </c>
    </row>
    <row r="4">
      <c r="A4">
        <f>IF(B4&lt;&gt;"","NET-DEV-" &amp; TEXT(1,"000"),"")</f>
        <v/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>
      <c r="A5">
        <f>IF(B5&lt;&gt;"","NET-DEV-" &amp; TEXT(2,"000"),"")</f>
        <v/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</row>
    <row r="6">
      <c r="A6">
        <f>IF(B6&lt;&gt;"","NET-DEV-" &amp; TEXT(3,"000"),"")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>
      <c r="A7">
        <f>IF(B7&lt;&gt;"","NET-DEV-" &amp; TEXT(4,"000"),"")</f>
        <v/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>
      <c r="A8">
        <f>IF(B8&lt;&gt;"","NET-DEV-" &amp; TEXT(5,"000"),"")</f>
        <v/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>
      <c r="A9">
        <f>IF(B9&lt;&gt;"","NET-DEV-" &amp; TEXT(6,"000"),"")</f>
        <v/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r="10">
      <c r="A10">
        <f>IF(B10&lt;&gt;"","NET-DEV-" &amp; TEXT(7,"000"),"")</f>
        <v/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>
      <c r="A11">
        <f>IF(B11&lt;&gt;"","NET-DEV-" &amp; TEXT(8,"000"),"")</f>
        <v/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r="12">
      <c r="A12">
        <f>IF(B12&lt;&gt;"","NET-DEV-" &amp; TEXT(9,"000"),"")</f>
        <v/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>
      <c r="A13">
        <f>IF(B13&lt;&gt;"","NET-DEV-" &amp; TEXT(10,"000"),"")</f>
        <v/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</row>
    <row r="14">
      <c r="A14">
        <f>IF(B14&lt;&gt;"","NET-DEV-" &amp; TEXT(11,"000"),"")</f>
        <v/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>
      <c r="A15">
        <f>IF(B15&lt;&gt;"","NET-DEV-" &amp; TEXT(12,"000"),"")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>
      <c r="A16">
        <f>IF(B16&lt;&gt;"","NET-DEV-" &amp; TEXT(13,"000"),"")</f>
        <v/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>
      <c r="A17">
        <f>IF(B17&lt;&gt;"","NET-DEV-" &amp; TEXT(14,"000"),"")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</row>
    <row r="18">
      <c r="A18">
        <f>IF(B18&lt;&gt;"","NET-DEV-" &amp; TEXT(15,"000"),"")</f>
        <v/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>
      <c r="A19">
        <f>IF(B19&lt;&gt;"","NET-DEV-" &amp; TEXT(16,"000"),"")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</row>
    <row r="20">
      <c r="A20">
        <f>IF(B20&lt;&gt;"","NET-DEV-" &amp; TEXT(17,"000"),"")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>
      <c r="A21">
        <f>IF(B21&lt;&gt;"","NET-DEV-" &amp; TEXT(18,"000"),"")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</row>
    <row r="22">
      <c r="A22">
        <f>IF(B22&lt;&gt;"","NET-DEV-" &amp; TEXT(19,"000"),"")</f>
        <v/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>
      <c r="A23">
        <f>IF(B23&lt;&gt;"","NET-DEV-" &amp; TEXT(20,"000"),"")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>
      <c r="A24">
        <f>IF(B24&lt;&gt;"","NET-DEV-" &amp; TEXT(21,"000"),"")</f>
        <v/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>
      <c r="A25">
        <f>IF(B25&lt;&gt;"","NET-DEV-" &amp; TEXT(22,"000"),"")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>
      <c r="A26">
        <f>IF(B26&lt;&gt;"","NET-DEV-" &amp; TEXT(23,"000"),"")</f>
        <v/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>
      <c r="A27">
        <f>IF(B27&lt;&gt;"","NET-DEV-" &amp; TEXT(24,"000"),"")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>
      <c r="A28">
        <f>IF(B28&lt;&gt;"","NET-DEV-" &amp; TEXT(25,"000"),"")</f>
        <v/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>
      <c r="A29">
        <f>IF(B29&lt;&gt;"","NET-DEV-" &amp; TEXT(26,"000"),"")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</row>
    <row r="30">
      <c r="A30">
        <f>IF(B30&lt;&gt;"","NET-DEV-" &amp; TEXT(27,"000"),"")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</row>
    <row r="31">
      <c r="A31">
        <f>IF(B31&lt;&gt;"","NET-DEV-" &amp; TEXT(28,"000"),"")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</row>
    <row r="32">
      <c r="A32">
        <f>IF(B32&lt;&gt;"","NET-DEV-" &amp; TEXT(29,"000"),"")</f>
        <v/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</row>
    <row r="33">
      <c r="A33">
        <f>IF(B33&lt;&gt;"","NET-DEV-" &amp; TEXT(30,"000"),"")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</row>
    <row r="34">
      <c r="A34">
        <f>IF(B34&lt;&gt;"","NET-DEV-" &amp; TEXT(31,"000"),"")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</row>
    <row r="35">
      <c r="A35">
        <f>IF(B35&lt;&gt;"","NET-DEV-" &amp; TEXT(32,"000"),"")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</row>
    <row r="36">
      <c r="A36">
        <f>IF(B36&lt;&gt;"","NET-DEV-" &amp; TEXT(33,"000"),"")</f>
        <v/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</row>
    <row r="37">
      <c r="A37">
        <f>IF(B37&lt;&gt;"","NET-DEV-" &amp; TEXT(34,"000"),"")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</row>
    <row r="38">
      <c r="A38">
        <f>IF(B38&lt;&gt;"","NET-DEV-" &amp; TEXT(35,"000"),"")</f>
        <v/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</row>
    <row r="39">
      <c r="A39">
        <f>IF(B39&lt;&gt;"","NET-DEV-" &amp; TEXT(36,"000"),"")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</row>
    <row r="40">
      <c r="A40">
        <f>IF(B40&lt;&gt;"","NET-DEV-" &amp; TEXT(37,"000"),"")</f>
        <v/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</row>
    <row r="41">
      <c r="A41">
        <f>IF(B41&lt;&gt;"","NET-DEV-" &amp; TEXT(38,"000"),"")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</row>
    <row r="42">
      <c r="A42">
        <f>IF(B42&lt;&gt;"","NET-DEV-" &amp; TEXT(39,"000"),"")</f>
        <v/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</row>
    <row r="43">
      <c r="A43">
        <f>IF(B43&lt;&gt;"","NET-DEV-" &amp; TEXT(40,"000"),"")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</row>
    <row r="44">
      <c r="A44">
        <f>IF(B44&lt;&gt;"","NET-DEV-" &amp; TEXT(41,"000"),"")</f>
        <v/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</row>
    <row r="45">
      <c r="A45">
        <f>IF(B45&lt;&gt;"","NET-DEV-" &amp; TEXT(42,"000"),"")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</row>
    <row r="46">
      <c r="A46">
        <f>IF(B46&lt;&gt;"","NET-DEV-" &amp; TEXT(43,"000"),"")</f>
        <v/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</row>
    <row r="47">
      <c r="A47">
        <f>IF(B47&lt;&gt;"","NET-DEV-" &amp; TEXT(44,"000"),"")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</row>
    <row r="48">
      <c r="A48">
        <f>IF(B48&lt;&gt;"","NET-DEV-" &amp; TEXT(45,"000"),"")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</row>
    <row r="49">
      <c r="A49">
        <f>IF(B49&lt;&gt;"","NET-DEV-" &amp; TEXT(46,"000"),"")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</row>
    <row r="50">
      <c r="A50">
        <f>IF(B50&lt;&gt;"","NET-DEV-" &amp; TEXT(47,"000"),"")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</row>
    <row r="51">
      <c r="A51">
        <f>IF(B51&lt;&gt;"","NET-DEV-" &amp; TEXT(48,"000"),"")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</row>
    <row r="52">
      <c r="A52">
        <f>IF(B52&lt;&gt;"","NET-DEV-" &amp; TEXT(49,"000"),"")</f>
        <v/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</row>
    <row r="53">
      <c r="A53">
        <f>IF(B53&lt;&gt;"","NET-DEV-" &amp; TEXT(50,"000"),"")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</row>
    <row r="54">
      <c r="A54">
        <f>IF(B54&lt;&gt;"","NET-DEV-" &amp; TEXT(51,"000"),"")</f>
        <v/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</row>
    <row r="55">
      <c r="A55">
        <f>IF(B55&lt;&gt;"","NET-DEV-" &amp; TEXT(52,"000"),"")</f>
        <v/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</row>
    <row r="56">
      <c r="A56">
        <f>IF(B56&lt;&gt;"","NET-DEV-" &amp; TEXT(53,"000"),"")</f>
        <v/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</row>
    <row r="57">
      <c r="A57">
        <f>IF(B57&lt;&gt;"","NET-DEV-" &amp; TEXT(54,"000"),"")</f>
        <v/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</row>
    <row r="58">
      <c r="A58">
        <f>IF(B58&lt;&gt;"","NET-DEV-" &amp; TEXT(55,"000"),"")</f>
        <v/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</row>
    <row r="59">
      <c r="A59">
        <f>IF(B59&lt;&gt;"","NET-DEV-" &amp; TEXT(56,"000"),"")</f>
        <v/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</row>
    <row r="60">
      <c r="A60">
        <f>IF(B60&lt;&gt;"","NET-DEV-" &amp; TEXT(57,"000"),"")</f>
        <v/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</row>
    <row r="61">
      <c r="A61">
        <f>IF(B61&lt;&gt;"","NET-DEV-" &amp; TEXT(58,"000"),"")</f>
        <v/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</row>
    <row r="62">
      <c r="A62">
        <f>IF(B62&lt;&gt;"","NET-DEV-" &amp; TEXT(59,"000"),"")</f>
        <v/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</row>
    <row r="63">
      <c r="A63">
        <f>IF(B63&lt;&gt;"","NET-DEV-" &amp; TEXT(60,"000"),"")</f>
        <v/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</row>
    <row r="64">
      <c r="A64">
        <f>IF(B64&lt;&gt;"","NET-DEV-" &amp; TEXT(61,"000"),"")</f>
        <v/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</row>
    <row r="65">
      <c r="A65">
        <f>IF(B65&lt;&gt;"","NET-DEV-" &amp; TEXT(62,"000"),"")</f>
        <v/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</row>
    <row r="66">
      <c r="A66">
        <f>IF(B66&lt;&gt;"","NET-DEV-" &amp; TEXT(63,"000"),"")</f>
        <v/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</row>
    <row r="67">
      <c r="A67">
        <f>IF(B67&lt;&gt;"","NET-DEV-" &amp; TEXT(64,"000"),"")</f>
        <v/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</row>
    <row r="68">
      <c r="A68">
        <f>IF(B68&lt;&gt;"","NET-DEV-" &amp; TEXT(65,"000"),"")</f>
        <v/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</row>
    <row r="69">
      <c r="A69">
        <f>IF(B69&lt;&gt;"","NET-DEV-" &amp; TEXT(66,"000"),"")</f>
        <v/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</row>
    <row r="70">
      <c r="A70">
        <f>IF(B70&lt;&gt;"","NET-DEV-" &amp; TEXT(67,"000"),"")</f>
        <v/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</row>
    <row r="71">
      <c r="A71">
        <f>IF(B71&lt;&gt;"","NET-DEV-" &amp; TEXT(68,"000"),"")</f>
        <v/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</row>
    <row r="72">
      <c r="A72">
        <f>IF(B72&lt;&gt;"","NET-DEV-" &amp; TEXT(69,"000"),"")</f>
        <v/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</row>
    <row r="73">
      <c r="A73">
        <f>IF(B73&lt;&gt;"","NET-DEV-" &amp; TEXT(70,"000"),"")</f>
        <v/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</row>
    <row r="74">
      <c r="A74">
        <f>IF(B74&lt;&gt;"","NET-DEV-" &amp; TEXT(71,"000"),"")</f>
        <v/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</row>
    <row r="75">
      <c r="A75">
        <f>IF(B75&lt;&gt;"","NET-DEV-" &amp; TEXT(72,"000"),"")</f>
        <v/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</row>
    <row r="76">
      <c r="A76">
        <f>IF(B76&lt;&gt;"","NET-DEV-" &amp; TEXT(73,"000"),"")</f>
        <v/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</row>
    <row r="77">
      <c r="A77">
        <f>IF(B77&lt;&gt;"","NET-DEV-" &amp; TEXT(74,"000"),"")</f>
        <v/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</row>
    <row r="78">
      <c r="A78">
        <f>IF(B78&lt;&gt;"","NET-DEV-" &amp; TEXT(75,"000"),"")</f>
        <v/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</row>
    <row r="79">
      <c r="A79">
        <f>IF(B79&lt;&gt;"","NET-DEV-" &amp; TEXT(76,"000"),"")</f>
        <v/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</row>
    <row r="80">
      <c r="A80">
        <f>IF(B80&lt;&gt;"","NET-DEV-" &amp; TEXT(77,"000"),"")</f>
        <v/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</row>
    <row r="81">
      <c r="A81">
        <f>IF(B81&lt;&gt;"","NET-DEV-" &amp; TEXT(78,"000"),"")</f>
        <v/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</row>
    <row r="82">
      <c r="A82">
        <f>IF(B82&lt;&gt;"","NET-DEV-" &amp; TEXT(79,"000"),"")</f>
        <v/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</row>
    <row r="83">
      <c r="A83">
        <f>IF(B83&lt;&gt;"","NET-DEV-" &amp; TEXT(80,"000"),"")</f>
        <v/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</row>
    <row r="84">
      <c r="A84">
        <f>IF(B84&lt;&gt;"","NET-DEV-" &amp; TEXT(81,"000"),"")</f>
        <v/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</row>
    <row r="85">
      <c r="A85">
        <f>IF(B85&lt;&gt;"","NET-DEV-" &amp; TEXT(82,"000"),"")</f>
        <v/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</row>
    <row r="86">
      <c r="A86">
        <f>IF(B86&lt;&gt;"","NET-DEV-" &amp; TEXT(83,"000"),"")</f>
        <v/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</row>
    <row r="87">
      <c r="A87">
        <f>IF(B87&lt;&gt;"","NET-DEV-" &amp; TEXT(84,"000"),"")</f>
        <v/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</row>
    <row r="88">
      <c r="A88">
        <f>IF(B88&lt;&gt;"","NET-DEV-" &amp; TEXT(85,"000"),"")</f>
        <v/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</row>
    <row r="89">
      <c r="A89">
        <f>IF(B89&lt;&gt;"","NET-DEV-" &amp; TEXT(86,"000"),"")</f>
        <v/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</row>
    <row r="90">
      <c r="A90">
        <f>IF(B90&lt;&gt;"","NET-DEV-" &amp; TEXT(87,"000"),"")</f>
        <v/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</row>
    <row r="91">
      <c r="A91">
        <f>IF(B91&lt;&gt;"","NET-DEV-" &amp; TEXT(88,"000"),"")</f>
        <v/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</row>
    <row r="92">
      <c r="A92">
        <f>IF(B92&lt;&gt;"","NET-DEV-" &amp; TEXT(89,"000"),"")</f>
        <v/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</row>
    <row r="93">
      <c r="A93">
        <f>IF(B93&lt;&gt;"","NET-DEV-" &amp; TEXT(90,"000"),"")</f>
        <v/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</row>
    <row r="94">
      <c r="A94">
        <f>IF(B94&lt;&gt;"","NET-DEV-" &amp; TEXT(91,"000"),"")</f>
        <v/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</row>
    <row r="95">
      <c r="A95">
        <f>IF(B95&lt;&gt;"","NET-DEV-" &amp; TEXT(92,"000"),"")</f>
        <v/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</row>
    <row r="96">
      <c r="A96">
        <f>IF(B96&lt;&gt;"","NET-DEV-" &amp; TEXT(93,"000"),"")</f>
        <v/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</row>
    <row r="97">
      <c r="A97">
        <f>IF(B97&lt;&gt;"","NET-DEV-" &amp; TEXT(94,"000"),"")</f>
        <v/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</row>
    <row r="98">
      <c r="A98">
        <f>IF(B98&lt;&gt;"","NET-DEV-" &amp; TEXT(95,"000"),"")</f>
        <v/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</row>
    <row r="99">
      <c r="A99">
        <f>IF(B99&lt;&gt;"","NET-DEV-" &amp; TEXT(96,"000"),"")</f>
        <v/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</row>
    <row r="100">
      <c r="A100">
        <f>IF(B100&lt;&gt;"","NET-DEV-" &amp; TEXT(97,"000"),"")</f>
        <v/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</row>
    <row r="101">
      <c r="A101">
        <f>IF(B101&lt;&gt;"","NET-DEV-" &amp; TEXT(98,"000"),"")</f>
        <v/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</row>
    <row r="102">
      <c r="A102">
        <f>IF(B102&lt;&gt;"","NET-DEV-" &amp; TEXT(99,"000"),"")</f>
        <v/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</row>
    <row r="103">
      <c r="A103">
        <f>IF(B103&lt;&gt;"","NET-DEV-" &amp; TEXT(100,"000"),"")</f>
        <v/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</row>
    <row r="104">
      <c r="A104">
        <f>IF(B104&lt;&gt;"","NET-DEV-" &amp; TEXT(101,"000"),"")</f>
        <v/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</row>
    <row r="105">
      <c r="A105">
        <f>IF(B105&lt;&gt;"","NET-DEV-" &amp; TEXT(102,"000"),"")</f>
        <v/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</row>
    <row r="106">
      <c r="A106">
        <f>IF(B106&lt;&gt;"","NET-DEV-" &amp; TEXT(103,"000"),"")</f>
        <v/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</row>
    <row r="107">
      <c r="A107">
        <f>IF(B107&lt;&gt;"","NET-DEV-" &amp; TEXT(104,"000"),"")</f>
        <v/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</row>
    <row r="108">
      <c r="A108">
        <f>IF(B108&lt;&gt;"","NET-DEV-" &amp; TEXT(105,"000"),"")</f>
        <v/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</row>
    <row r="109">
      <c r="A109">
        <f>IF(B109&lt;&gt;"","NET-DEV-" &amp; TEXT(106,"000"),"")</f>
        <v/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</row>
    <row r="110">
      <c r="A110">
        <f>IF(B110&lt;&gt;"","NET-DEV-" &amp; TEXT(107,"000"),"")</f>
        <v/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</row>
    <row r="111">
      <c r="A111">
        <f>IF(B111&lt;&gt;"","NET-DEV-" &amp; TEXT(108,"000"),"")</f>
        <v/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</row>
    <row r="112">
      <c r="A112">
        <f>IF(B112&lt;&gt;"","NET-DEV-" &amp; TEXT(109,"000"),"")</f>
        <v/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</row>
    <row r="113">
      <c r="A113">
        <f>IF(B113&lt;&gt;"","NET-DEV-" &amp; TEXT(110,"000"),"")</f>
        <v/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</row>
    <row r="114">
      <c r="A114">
        <f>IF(B114&lt;&gt;"","NET-DEV-" &amp; TEXT(111,"000"),"")</f>
        <v/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</row>
    <row r="115">
      <c r="A115">
        <f>IF(B115&lt;&gt;"","NET-DEV-" &amp; TEXT(112,"000"),"")</f>
        <v/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</row>
    <row r="116">
      <c r="A116">
        <f>IF(B116&lt;&gt;"","NET-DEV-" &amp; TEXT(113,"000"),"")</f>
        <v/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</row>
    <row r="117">
      <c r="A117">
        <f>IF(B117&lt;&gt;"","NET-DEV-" &amp; TEXT(114,"000"),"")</f>
        <v/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</row>
    <row r="118">
      <c r="A118">
        <f>IF(B118&lt;&gt;"","NET-DEV-" &amp; TEXT(115,"000"),"")</f>
        <v/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</row>
    <row r="119">
      <c r="A119">
        <f>IF(B119&lt;&gt;"","NET-DEV-" &amp; TEXT(116,"000"),"")</f>
        <v/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</row>
    <row r="120">
      <c r="A120">
        <f>IF(B120&lt;&gt;"","NET-DEV-" &amp; TEXT(117,"000"),"")</f>
        <v/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</row>
    <row r="121">
      <c r="A121">
        <f>IF(B121&lt;&gt;"","NET-DEV-" &amp; TEXT(118,"000"),"")</f>
        <v/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</row>
    <row r="122">
      <c r="A122">
        <f>IF(B122&lt;&gt;"","NET-DEV-" &amp; TEXT(119,"000"),"")</f>
        <v/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</row>
    <row r="123">
      <c r="A123">
        <f>IF(B123&lt;&gt;"","NET-DEV-" &amp; TEXT(120,"000"),"")</f>
        <v/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</row>
    <row r="124">
      <c r="A124">
        <f>IF(B124&lt;&gt;"","NET-DEV-" &amp; TEXT(121,"000"),"")</f>
        <v/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</row>
    <row r="125">
      <c r="A125">
        <f>IF(B125&lt;&gt;"","NET-DEV-" &amp; TEXT(122,"000"),"")</f>
        <v/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</row>
    <row r="126">
      <c r="A126">
        <f>IF(B126&lt;&gt;"","NET-DEV-" &amp; TEXT(123,"000"),"")</f>
        <v/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</row>
    <row r="127">
      <c r="A127">
        <f>IF(B127&lt;&gt;"","NET-DEV-" &amp; TEXT(124,"000"),"")</f>
        <v/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</row>
    <row r="128">
      <c r="A128">
        <f>IF(B128&lt;&gt;"","NET-DEV-" &amp; TEXT(125,"000"),"")</f>
        <v/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</row>
    <row r="129">
      <c r="A129">
        <f>IF(B129&lt;&gt;"","NET-DEV-" &amp; TEXT(126,"000"),"")</f>
        <v/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</row>
    <row r="130">
      <c r="A130">
        <f>IF(B130&lt;&gt;"","NET-DEV-" &amp; TEXT(127,"000"),"")</f>
        <v/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</row>
    <row r="131">
      <c r="A131">
        <f>IF(B131&lt;&gt;"","NET-DEV-" &amp; TEXT(128,"000"),"")</f>
        <v/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</row>
    <row r="132">
      <c r="A132">
        <f>IF(B132&lt;&gt;"","NET-DEV-" &amp; TEXT(129,"000"),"")</f>
        <v/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</row>
    <row r="133">
      <c r="A133">
        <f>IF(B133&lt;&gt;"","NET-DEV-" &amp; TEXT(130,"000"),"")</f>
        <v/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</row>
    <row r="134">
      <c r="A134">
        <f>IF(B134&lt;&gt;"","NET-DEV-" &amp; TEXT(131,"000"),"")</f>
        <v/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</row>
    <row r="135">
      <c r="A135">
        <f>IF(B135&lt;&gt;"","NET-DEV-" &amp; TEXT(132,"000"),"")</f>
        <v/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</row>
    <row r="136">
      <c r="A136">
        <f>IF(B136&lt;&gt;"","NET-DEV-" &amp; TEXT(133,"000"),"")</f>
        <v/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</row>
    <row r="137">
      <c r="A137">
        <f>IF(B137&lt;&gt;"","NET-DEV-" &amp; TEXT(134,"000"),"")</f>
        <v/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</row>
    <row r="138">
      <c r="A138">
        <f>IF(B138&lt;&gt;"","NET-DEV-" &amp; TEXT(135,"000"),"")</f>
        <v/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</row>
    <row r="139">
      <c r="A139">
        <f>IF(B139&lt;&gt;"","NET-DEV-" &amp; TEXT(136,"000"),"")</f>
        <v/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</row>
    <row r="140">
      <c r="A140">
        <f>IF(B140&lt;&gt;"","NET-DEV-" &amp; TEXT(137,"000"),"")</f>
        <v/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</row>
    <row r="141">
      <c r="A141">
        <f>IF(B141&lt;&gt;"","NET-DEV-" &amp; TEXT(138,"000"),"")</f>
        <v/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</row>
    <row r="142">
      <c r="A142">
        <f>IF(B142&lt;&gt;"","NET-DEV-" &amp; TEXT(139,"000"),"")</f>
        <v/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</row>
    <row r="143">
      <c r="A143">
        <f>IF(B143&lt;&gt;"","NET-DEV-" &amp; TEXT(140,"000"),"")</f>
        <v/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</row>
    <row r="144">
      <c r="A144">
        <f>IF(B144&lt;&gt;"","NET-DEV-" &amp; TEXT(141,"000"),"")</f>
        <v/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</row>
    <row r="145">
      <c r="A145">
        <f>IF(B145&lt;&gt;"","NET-DEV-" &amp; TEXT(142,"000"),"")</f>
        <v/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</row>
    <row r="146">
      <c r="A146">
        <f>IF(B146&lt;&gt;"","NET-DEV-" &amp; TEXT(143,"000"),"")</f>
        <v/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</row>
    <row r="147">
      <c r="A147">
        <f>IF(B147&lt;&gt;"","NET-DEV-" &amp; TEXT(144,"000"),"")</f>
        <v/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</row>
    <row r="148">
      <c r="A148">
        <f>IF(B148&lt;&gt;"","NET-DEV-" &amp; TEXT(145,"000"),"")</f>
        <v/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</row>
    <row r="149">
      <c r="A149">
        <f>IF(B149&lt;&gt;"","NET-DEV-" &amp; TEXT(146,"000"),"")</f>
        <v/>
      </c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</row>
    <row r="150">
      <c r="A150">
        <f>IF(B150&lt;&gt;"","NET-DEV-" &amp; TEXT(147,"000"),"")</f>
        <v/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</row>
    <row r="151">
      <c r="A151">
        <f>IF(B151&lt;&gt;"","NET-DEV-" &amp; TEXT(148,"000"),"")</f>
        <v/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</row>
    <row r="152">
      <c r="A152">
        <f>IF(B152&lt;&gt;"","NET-DEV-" &amp; TEXT(149,"000"),"")</f>
        <v/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</row>
    <row r="153">
      <c r="A153">
        <f>IF(B153&lt;&gt;"","NET-DEV-" &amp; TEXT(150,"000"),"")</f>
        <v/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</row>
  </sheetData>
  <mergeCells count="2">
    <mergeCell ref="A2:R2"/>
    <mergeCell ref="A1:R1"/>
  </mergeCells>
  <conditionalFormatting sqref="J4:J15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Q4:Q153">
    <cfRule type="cellIs" priority="5" operator="equal" dxfId="3">
      <formula>"Active"</formula>
    </cfRule>
    <cfRule type="cellIs" priority="6" operator="equal" dxfId="0">
      <formula>"Offline"</formula>
    </cfRule>
    <cfRule type="cellIs" priority="7" operator="equal" dxfId="4">
      <formula>"Decommissioned"</formula>
    </cfRule>
  </conditionalFormatting>
  <dataValidations count="6">
    <dataValidation sqref="B4:B153" showDropDown="0" showInputMessage="0" showErrorMessage="0" allowBlank="0" errorTitle="Device Type Error" error="Invalid device type" type="list">
      <formula1>"Router,Switch,Firewall,Wireless AP,Load Balancer,VPN Concentrator,IDS/IPS,Network Management,Other"</formula1>
    </dataValidation>
    <dataValidation sqref="J4:J153" showDropDown="0" showInputMessage="0" showErrorMessage="0" allowBlank="0" errorTitle="Criticality Error" error="Must be Critical, High, Medium, or Low" type="list">
      <formula1>"🔴 Critical,🟡 High,🟢 Medium,⚪ Low"</formula1>
    </dataValidation>
    <dataValidation sqref="H4:H153" showDropDown="0" showInputMessage="0" showErrorMessage="0" allowBlank="1" errorTitle="Zone Error" error="Invalid security zone" type="list">
      <formula1>"Internet/DMZ,Internal,Management,Guest,Datacenter,Branch,Cloud,Unknown"</formula1>
    </dataValidation>
    <dataValidation sqref="M4:M153" showDropDown="0" showInputMessage="0" showErrorMessage="0" allowBlank="1" type="list">
      <formula1>"Nmap Scan,SNMP Walk,Cloud API,Manual Entry,Documentation Review,Other"</formula1>
    </dataValidation>
    <dataValidation sqref="P4:P153" showDropDown="0" showInputMessage="0" showErrorMessage="0" allowBlank="1" type="list">
      <formula1>"✅ Compliant,❌ Non-Compliant,⚠️ Partial,❓ Not Assessed"</formula1>
    </dataValidation>
    <dataValidation sqref="Q4:Q153" showDropDown="0" showInputMessage="0" showErrorMessage="0" allowBlank="0" errorTitle="Status Error" error="Invalid status" type="list">
      <formula1>"✅ Active,❌ Offline,🗑️ Decommissioned,⏳ Planned"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20" customWidth="1" min="4" max="4"/>
    <col width="20" customWidth="1" min="5" max="5"/>
    <col width="25" customWidth="1" min="6" max="6"/>
    <col width="20" customWidth="1" min="7" max="7"/>
  </cols>
  <sheetData>
    <row r="1" ht="25" customHeight="1">
      <c r="A1" s="1" t="inlineStr">
        <is>
          <t>Device Criticality Assessment Matrix</t>
        </is>
      </c>
    </row>
    <row r="2">
      <c r="A2" s="4" t="inlineStr">
        <is>
          <t>Use this matrix to assess device criticality based on business impact if device fails</t>
        </is>
      </c>
    </row>
    <row r="4">
      <c r="A4" s="2" t="inlineStr">
        <is>
          <t>Assessment Criteria</t>
        </is>
      </c>
    </row>
    <row r="5">
      <c r="A5" s="3" t="inlineStr">
        <is>
          <t>Criticality</t>
        </is>
      </c>
      <c r="B5" s="3" t="inlineStr">
        <is>
          <t>Service Impact</t>
        </is>
      </c>
      <c r="C5" s="3" t="inlineStr">
        <is>
          <t>Recovery Time</t>
        </is>
      </c>
      <c r="D5" s="3" t="inlineStr">
        <is>
          <t>User Impact</t>
        </is>
      </c>
      <c r="E5" s="3" t="inlineStr">
        <is>
          <t>Revenue Impact</t>
        </is>
      </c>
      <c r="F5" s="3" t="inlineStr">
        <is>
          <t>Redundancy</t>
        </is>
      </c>
    </row>
    <row r="6" ht="30" customHeight="1">
      <c r="A6" s="5" t="inlineStr">
        <is>
          <t>Critical</t>
        </is>
      </c>
      <c r="B6" s="4" t="inlineStr">
        <is>
          <t>Complete outage of critical services</t>
        </is>
      </c>
      <c r="C6" s="4" t="inlineStr">
        <is>
          <t>&lt; 1 hour</t>
        </is>
      </c>
      <c r="D6" s="4" t="inlineStr">
        <is>
          <t>All users affected</t>
        </is>
      </c>
      <c r="E6" s="4" t="inlineStr">
        <is>
          <t>Significant revenue loss</t>
        </is>
      </c>
      <c r="F6" s="4" t="inlineStr">
        <is>
          <t>Single point of failure</t>
        </is>
      </c>
    </row>
    <row r="7" ht="30" customHeight="1">
      <c r="A7" s="6" t="inlineStr">
        <is>
          <t>High</t>
        </is>
      </c>
      <c r="B7" s="4" t="inlineStr">
        <is>
          <t>Significant service degradation</t>
        </is>
      </c>
      <c r="C7" s="4" t="inlineStr">
        <is>
          <t>&lt; 4 hours</t>
        </is>
      </c>
      <c r="D7" s="4" t="inlineStr">
        <is>
          <t>Large user group affected</t>
        </is>
      </c>
      <c r="E7" s="4" t="inlineStr">
        <is>
          <t>Notable revenue impact</t>
        </is>
      </c>
      <c r="F7" s="4" t="inlineStr">
        <is>
          <t>Limited redundancy</t>
        </is>
      </c>
    </row>
    <row r="8" ht="30" customHeight="1">
      <c r="A8" s="7" t="inlineStr">
        <is>
          <t>Medium</t>
        </is>
      </c>
      <c r="B8" s="4" t="inlineStr">
        <is>
          <t>Localized service impact</t>
        </is>
      </c>
      <c r="C8" s="4" t="inlineStr">
        <is>
          <t>&lt; 24 hours</t>
        </is>
      </c>
      <c r="D8" s="4" t="inlineStr">
        <is>
          <t>Department/team affected</t>
        </is>
      </c>
      <c r="E8" s="4" t="inlineStr">
        <is>
          <t>Minimal revenue impact</t>
        </is>
      </c>
      <c r="F8" s="4" t="inlineStr">
        <is>
          <t>Redundant but important</t>
        </is>
      </c>
    </row>
    <row r="9" ht="30" customHeight="1">
      <c r="A9" s="8" t="inlineStr">
        <is>
          <t>Low</t>
        </is>
      </c>
      <c r="B9" s="4" t="inlineStr">
        <is>
          <t>Minimal or no service impact</t>
        </is>
      </c>
      <c r="C9" s="4" t="inlineStr">
        <is>
          <t>&gt; 24 hours acceptable</t>
        </is>
      </c>
      <c r="D9" s="4" t="inlineStr">
        <is>
          <t>Few users affected</t>
        </is>
      </c>
      <c r="E9" s="4" t="inlineStr">
        <is>
          <t>No revenue impact</t>
        </is>
      </c>
      <c r="F9" s="4" t="inlineStr">
        <is>
          <t>Fully redundant or non-critical</t>
        </is>
      </c>
    </row>
    <row r="11">
      <c r="A11" s="2" t="inlineStr">
        <is>
          <t>Device Type - Typical Criticality Mapping (Guidance Only)</t>
        </is>
      </c>
    </row>
    <row r="12">
      <c r="A12" s="3" t="inlineStr">
        <is>
          <t>Device Type</t>
        </is>
      </c>
      <c r="B12" s="3" t="inlineStr">
        <is>
          <t>Typical Criticality</t>
        </is>
      </c>
      <c r="C12" s="3" t="inlineStr">
        <is>
          <t>Rationale</t>
        </is>
      </c>
    </row>
    <row r="13" ht="25" customHeight="1">
      <c r="A13" s="4" t="inlineStr">
        <is>
          <t>Core Router</t>
        </is>
      </c>
      <c r="B13" s="5" t="inlineStr">
        <is>
          <t>Critical</t>
        </is>
      </c>
      <c r="C13" s="4" t="inlineStr">
        <is>
          <t>Single point of failure for all WAN/Internet traffic</t>
        </is>
      </c>
    </row>
    <row r="14" ht="25" customHeight="1">
      <c r="A14" s="4" t="inlineStr">
        <is>
          <t>Core Switch</t>
        </is>
      </c>
      <c r="B14" s="5" t="inlineStr">
        <is>
          <t>Critical</t>
        </is>
      </c>
      <c r="C14" s="4" t="inlineStr">
        <is>
          <t>Aggregates all access layer traffic</t>
        </is>
      </c>
    </row>
    <row r="15" ht="25" customHeight="1">
      <c r="A15" s="4" t="inlineStr">
        <is>
          <t>Primary Firewall</t>
        </is>
      </c>
      <c r="B15" s="5" t="inlineStr">
        <is>
          <t>Critical</t>
        </is>
      </c>
      <c r="C15" s="4" t="inlineStr">
        <is>
          <t>Controls all ingress/egress traffic</t>
        </is>
      </c>
    </row>
    <row r="16" ht="25" customHeight="1">
      <c r="A16" s="4" t="inlineStr">
        <is>
          <t>Datacenter Switch</t>
        </is>
      </c>
      <c r="B16" s="5" t="inlineStr">
        <is>
          <t>Critical</t>
        </is>
      </c>
      <c r="C16" s="4" t="inlineStr">
        <is>
          <t>Connects production servers</t>
        </is>
      </c>
    </row>
    <row r="17" ht="25" customHeight="1">
      <c r="A17" s="4" t="inlineStr">
        <is>
          <t>Distribution Switch</t>
        </is>
      </c>
      <c r="B17" s="6" t="inlineStr">
        <is>
          <t>High</t>
        </is>
      </c>
      <c r="C17" s="4" t="inlineStr">
        <is>
          <t>Aggregates multiple access switches</t>
        </is>
      </c>
    </row>
    <row r="18" ht="25" customHeight="1">
      <c r="A18" s="4" t="inlineStr">
        <is>
          <t>WAN Router</t>
        </is>
      </c>
      <c r="B18" s="6" t="inlineStr">
        <is>
          <t>High</t>
        </is>
      </c>
      <c r="C18" s="4" t="inlineStr">
        <is>
          <t>Connects branch to HQ</t>
        </is>
      </c>
    </row>
    <row r="19" ht="25" customHeight="1">
      <c r="A19" s="4" t="inlineStr">
        <is>
          <t>Secondary Firewall</t>
        </is>
      </c>
      <c r="B19" s="6" t="inlineStr">
        <is>
          <t>High</t>
        </is>
      </c>
      <c r="C19" s="4" t="inlineStr">
        <is>
          <t>Backup for primary firewall</t>
        </is>
      </c>
    </row>
    <row r="20" ht="25" customHeight="1">
      <c r="A20" s="4" t="inlineStr">
        <is>
          <t>Access Switch</t>
        </is>
      </c>
      <c r="B20" s="7" t="inlineStr">
        <is>
          <t>Medium</t>
        </is>
      </c>
      <c r="C20" s="4" t="inlineStr">
        <is>
          <t>Localized impact (single floor/department)</t>
        </is>
      </c>
    </row>
    <row r="21" ht="25" customHeight="1">
      <c r="A21" s="4" t="inlineStr">
        <is>
          <t>Wireless AP</t>
        </is>
      </c>
      <c r="B21" s="7" t="inlineStr">
        <is>
          <t>Medium</t>
        </is>
      </c>
      <c r="C21" s="4" t="inlineStr">
        <is>
          <t>Affects wireless users only</t>
        </is>
      </c>
    </row>
    <row r="22" ht="25" customHeight="1">
      <c r="A22" s="4" t="inlineStr">
        <is>
          <t>Management Device</t>
        </is>
      </c>
      <c r="B22" s="7" t="inlineStr">
        <is>
          <t>Medium</t>
        </is>
      </c>
      <c r="C22" s="4" t="inlineStr">
        <is>
          <t>Does not forward production traffic</t>
        </is>
      </c>
    </row>
    <row r="23" ht="25" customHeight="1">
      <c r="A23" s="4" t="inlineStr">
        <is>
          <t>Guest Wi-Fi AP</t>
        </is>
      </c>
      <c r="B23" s="8" t="inlineStr">
        <is>
          <t>Low</t>
        </is>
      </c>
      <c r="C23" s="4" t="inlineStr">
        <is>
          <t>Non-business critical</t>
        </is>
      </c>
    </row>
    <row r="24" ht="25" customHeight="1">
      <c r="A24" s="4" t="inlineStr">
        <is>
          <t>Lab Equipment</t>
        </is>
      </c>
      <c r="B24" s="8" t="inlineStr">
        <is>
          <t>Low</t>
        </is>
      </c>
      <c r="C24" s="4" t="inlineStr">
        <is>
          <t>Test/development only</t>
        </is>
      </c>
    </row>
    <row r="26" ht="30" customHeight="1">
      <c r="A26" s="4" t="inlineStr">
        <is>
          <t>⚠️ IMPORTANCriticality assessment must consider YOUR organization's specific context, not just device type. Always assess based on business impact.</t>
        </is>
      </c>
    </row>
  </sheetData>
  <mergeCells count="5">
    <mergeCell ref="A1:G1"/>
    <mergeCell ref="A4:G4"/>
    <mergeCell ref="A26:G26"/>
    <mergeCell ref="A2:G2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3" customWidth="1" min="4" max="4"/>
    <col width="3" customWidth="1" min="5" max="5"/>
    <col width="3" customWidth="1" min="6" max="6"/>
  </cols>
  <sheetData>
    <row r="1" ht="25" customHeight="1">
      <c r="A1" s="1" t="inlineStr">
        <is>
          <t>Device Type Summary &amp; Statistics</t>
        </is>
      </c>
    </row>
    <row r="3">
      <c r="A3" s="2" t="inlineStr">
        <is>
          <t>Summary Statistics</t>
        </is>
      </c>
    </row>
    <row r="4">
      <c r="A4" s="3" t="inlineStr">
        <is>
          <t>Metric</t>
        </is>
      </c>
      <c r="B4" s="3" t="inlineStr">
        <is>
          <t>Count</t>
        </is>
      </c>
      <c r="C4" s="3" t="inlineStr">
        <is>
          <t>Formula</t>
        </is>
      </c>
    </row>
    <row r="5">
      <c r="A5" s="3" t="inlineStr">
        <is>
          <t>Total Devices Inventoried</t>
        </is>
      </c>
      <c r="B5" s="4">
        <f>COUNTA(Device_Inventory!B4:B153)</f>
        <v/>
      </c>
      <c r="C5" s="4">
        <f>COUNTA(Device_Inventory!B4:B153)</f>
        <v/>
      </c>
    </row>
    <row r="6">
      <c r="A6" s="3" t="inlineStr">
        <is>
          <t>Active Devices</t>
        </is>
      </c>
      <c r="B6" s="4">
        <f>COUNTIF(Device_Inventory!Q4:Q153,"Active")</f>
        <v/>
      </c>
      <c r="C6" s="4">
        <f>COUNTIF(Device_Inventory!Q4:Q153,"Active")</f>
        <v/>
      </c>
    </row>
    <row r="7">
      <c r="A7" s="3" t="inlineStr">
        <is>
          <t>Offline Devices</t>
        </is>
      </c>
      <c r="B7" s="4">
        <f>COUNTIF(Device_Inventory!Q4:Q153,"Offline")</f>
        <v/>
      </c>
      <c r="C7" s="4">
        <f>COUNTIF(Device_Inventory!Q4:Q153,"Offline")</f>
        <v/>
      </c>
    </row>
    <row r="8">
      <c r="A8" s="3" t="inlineStr">
        <is>
          <t>Critical Devices</t>
        </is>
      </c>
      <c r="B8" s="4">
        <f>COUNTIF(Device_Inventory!J4:J153,"Critical")</f>
        <v/>
      </c>
      <c r="C8" s="4">
        <f>COUNTIF(Device_Inventory!J4:J153,"Critical")</f>
        <v/>
      </c>
    </row>
    <row r="9">
      <c r="A9" s="3" t="inlineStr">
        <is>
          <t>High Criticality</t>
        </is>
      </c>
      <c r="B9" s="4">
        <f>COUNTIF(Device_Inventory!J4:J153,"High")</f>
        <v/>
      </c>
      <c r="C9" s="4">
        <f>COUNTIF(Device_Inventory!J4:J153,"High")</f>
        <v/>
      </c>
    </row>
    <row r="10">
      <c r="A10" s="3" t="inlineStr">
        <is>
          <t>Medium Criticality</t>
        </is>
      </c>
      <c r="B10" s="4">
        <f>COUNTIF(Device_Inventory!J4:J153,"Medium")</f>
        <v/>
      </c>
      <c r="C10" s="4">
        <f>COUNTIF(Device_Inventory!J4:J153,"Medium")</f>
        <v/>
      </c>
    </row>
    <row r="11">
      <c r="A11" s="3" t="inlineStr">
        <is>
          <t>Low Criticality</t>
        </is>
      </c>
      <c r="B11" s="4">
        <f>COUNTIF(Device_Inventory!J4:J153,"Low")</f>
        <v/>
      </c>
      <c r="C11" s="4">
        <f>COUNTIF(Device_Inventory!J4:J153,"Low")</f>
        <v/>
      </c>
    </row>
    <row r="12">
      <c r="A12" s="3" t="inlineStr">
        <is>
          <t>Compliant Devices</t>
        </is>
      </c>
      <c r="B12" s="4">
        <f>COUNTIF(Device_Inventory!P4:P153,"Compliant")</f>
        <v/>
      </c>
      <c r="C12" s="4">
        <f>COUNTIF(Device_Inventory!P4:P153,"Compliant")</f>
        <v/>
      </c>
    </row>
    <row r="13">
      <c r="A13" s="3" t="inlineStr">
        <is>
          <t>Non-Compliant Devices</t>
        </is>
      </c>
      <c r="B13" s="4">
        <f>COUNTIF(Device_Inventory!P4:P153,"Non-Compliant")</f>
        <v/>
      </c>
      <c r="C13" s="4">
        <f>COUNTIF(Device_Inventory!P4:P153,"Non-Compliant")</f>
        <v/>
      </c>
    </row>
    <row r="15">
      <c r="A15" s="2" t="inlineStr">
        <is>
          <t>Device Count by Type</t>
        </is>
      </c>
    </row>
    <row r="16">
      <c r="A16" s="3" t="inlineStr">
        <is>
          <t>Device Type</t>
        </is>
      </c>
      <c r="B16" s="3" t="inlineStr">
        <is>
          <t>Count</t>
        </is>
      </c>
    </row>
    <row r="17">
      <c r="A17" s="4" t="inlineStr">
        <is>
          <t>Router</t>
        </is>
      </c>
      <c r="B17" s="4">
        <f>COUNTIF(Device_Inventory!B4:B153,"Router")</f>
        <v/>
      </c>
    </row>
    <row r="18">
      <c r="A18" s="4" t="inlineStr">
        <is>
          <t>Switch</t>
        </is>
      </c>
      <c r="B18" s="4">
        <f>COUNTIF(Device_Inventory!B4:B153,"Switch")</f>
        <v/>
      </c>
    </row>
    <row r="19">
      <c r="A19" s="4" t="inlineStr">
        <is>
          <t>Firewall</t>
        </is>
      </c>
      <c r="B19" s="4">
        <f>COUNTIF(Device_Inventory!B4:B153,"Firewall")</f>
        <v/>
      </c>
    </row>
    <row r="20">
      <c r="A20" s="4" t="inlineStr">
        <is>
          <t>Wireless AP</t>
        </is>
      </c>
      <c r="B20" s="4">
        <f>COUNTIF(Device_Inventory!B4:B153,"Wireless AP")</f>
        <v/>
      </c>
    </row>
    <row r="21">
      <c r="A21" s="4" t="inlineStr">
        <is>
          <t>Load Balancer</t>
        </is>
      </c>
      <c r="B21" s="4">
        <f>COUNTIF(Device_Inventory!B4:B153,"Load Balancer")</f>
        <v/>
      </c>
    </row>
    <row r="22">
      <c r="A22" s="4" t="inlineStr">
        <is>
          <t>VPN Concentrator</t>
        </is>
      </c>
      <c r="B22" s="4">
        <f>COUNTIF(Device_Inventory!B4:B153,"VPN Concentrator")</f>
        <v/>
      </c>
    </row>
    <row r="23">
      <c r="A23" s="4" t="inlineStr">
        <is>
          <t>IDS/IPS</t>
        </is>
      </c>
      <c r="B23" s="4">
        <f>COUNTIF(Device_Inventory!B4:B153,"IDS/IPS")</f>
        <v/>
      </c>
    </row>
    <row r="24">
      <c r="A24" s="4" t="inlineStr">
        <is>
          <t>Network Management</t>
        </is>
      </c>
      <c r="B24" s="4">
        <f>COUNTIF(Device_Inventory!B4:B153,"Network Management")</f>
        <v/>
      </c>
    </row>
    <row r="25">
      <c r="A25" s="4" t="inlineStr">
        <is>
          <t>Other</t>
        </is>
      </c>
      <c r="B25" s="4">
        <f>COUNTIF(Device_Inventory!B4:B153,"Other")</f>
        <v/>
      </c>
    </row>
    <row r="27">
      <c r="A27" s="2" t="inlineStr">
        <is>
          <t>Device Count by Criticality</t>
        </is>
      </c>
    </row>
    <row r="28">
      <c r="A28" s="3" t="inlineStr">
        <is>
          <t>Criticality</t>
        </is>
      </c>
      <c r="B28" s="3" t="inlineStr">
        <is>
          <t>Count</t>
        </is>
      </c>
    </row>
    <row r="29">
      <c r="A29" s="5" t="inlineStr">
        <is>
          <t>Critical</t>
        </is>
      </c>
      <c r="B29" s="4">
        <f>COUNTIF(Device_Inventory!J4:J153,"Critical")</f>
        <v/>
      </c>
    </row>
    <row r="30">
      <c r="A30" s="6" t="inlineStr">
        <is>
          <t>High</t>
        </is>
      </c>
      <c r="B30" s="4">
        <f>COUNTIF(Device_Inventory!J4:J153,"High")</f>
        <v/>
      </c>
    </row>
    <row r="31">
      <c r="A31" s="7" t="inlineStr">
        <is>
          <t>Medium</t>
        </is>
      </c>
      <c r="B31" s="4">
        <f>COUNTIF(Device_Inventory!J4:J153,"Medium")</f>
        <v/>
      </c>
    </row>
    <row r="32">
      <c r="A32" s="8" t="inlineStr">
        <is>
          <t>Low</t>
        </is>
      </c>
      <c r="B32" s="4">
        <f>COUNTIF(Device_Inventory!J4:J153,"Low")</f>
        <v/>
      </c>
    </row>
  </sheetData>
  <mergeCells count="4">
    <mergeCell ref="A3:F3"/>
    <mergeCell ref="A27:F27"/>
    <mergeCell ref="A1:F1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40" customWidth="1" min="5" max="5"/>
  </cols>
  <sheetData>
    <row r="1" ht="25" customHeight="1">
      <c r="A1" s="1" t="inlineStr">
        <is>
          <t>Network Discovery Process Metadata</t>
        </is>
      </c>
    </row>
    <row r="3">
      <c r="A3" s="2" t="inlineStr">
        <is>
          <t>Discovery Project Information</t>
        </is>
      </c>
    </row>
    <row r="4">
      <c r="A4" s="3" t="inlineStr">
        <is>
          <t>Project Name:</t>
        </is>
      </c>
      <c r="B4" s="9" t="inlineStr">
        <is>
          <t>[Enter discovery project name]</t>
        </is>
      </c>
    </row>
    <row r="5">
      <c r="A5" s="3" t="inlineStr">
        <is>
          <t>Start Date:</t>
        </is>
      </c>
      <c r="B5" s="9" t="inlineStr">
        <is>
          <t>[YYYY-MM-DD]</t>
        </is>
      </c>
    </row>
    <row r="6">
      <c r="A6" s="3" t="inlineStr">
        <is>
          <t>Completion Date:</t>
        </is>
      </c>
      <c r="B6" s="9" t="inlineStr">
        <is>
          <t>[YYYY-MM-DD]</t>
        </is>
      </c>
    </row>
    <row r="7">
      <c r="A7" s="3" t="inlineStr">
        <is>
          <t>Lead Assessor:</t>
        </is>
      </c>
      <c r="B7" s="9" t="inlineStr">
        <is>
          <t>[Name]</t>
        </is>
      </c>
    </row>
    <row r="8">
      <c r="A8" s="3" t="inlineStr">
        <is>
          <t>Team Members:</t>
        </is>
      </c>
      <c r="B8" s="9" t="inlineStr">
        <is>
          <t>[Names]</t>
        </is>
      </c>
    </row>
    <row r="9">
      <c r="A9" s="3" t="inlineStr">
        <is>
          <t>Scope:</t>
        </is>
      </c>
      <c r="B9" s="9" t="inlineStr">
        <is>
          <t>[Network segments/locations covered]</t>
        </is>
      </c>
    </row>
    <row r="11">
      <c r="A11" s="2" t="inlineStr">
        <is>
          <t>Discovery Methods Used</t>
        </is>
      </c>
    </row>
    <row r="12">
      <c r="A12" s="3" t="inlineStr">
        <is>
          <t>Method</t>
        </is>
      </c>
      <c r="B12" s="3" t="inlineStr">
        <is>
          <t>Used (Y/N)</t>
        </is>
      </c>
      <c r="C12" s="3" t="inlineStr">
        <is>
          <t>Tool/Platform</t>
        </is>
      </c>
      <c r="D12" s="3" t="inlineStr">
        <is>
          <t>Coverage</t>
        </is>
      </c>
      <c r="E12" s="3" t="inlineStr">
        <is>
          <t>Notes</t>
        </is>
      </c>
    </row>
    <row r="13">
      <c r="A13" s="9" t="inlineStr">
        <is>
          <t>Nmap Network Scan</t>
        </is>
      </c>
      <c r="B13" s="9" t="inlineStr"/>
      <c r="C13" s="9" t="inlineStr">
        <is>
          <t>nmap</t>
        </is>
      </c>
      <c r="D13" s="9" t="inlineStr"/>
      <c r="E13" s="9" t="inlineStr"/>
    </row>
    <row r="14">
      <c r="A14" s="9" t="inlineStr">
        <is>
          <t>SNMP Walk</t>
        </is>
      </c>
      <c r="B14" s="9" t="inlineStr"/>
      <c r="C14" s="9" t="inlineStr">
        <is>
          <t>SNMPwalk</t>
        </is>
      </c>
      <c r="D14" s="9" t="inlineStr"/>
      <c r="E14" s="9" t="inlineStr"/>
    </row>
    <row r="15">
      <c r="A15" s="9" t="inlineStr">
        <is>
          <t>AWS Discovery</t>
        </is>
      </c>
      <c r="B15" s="9" t="inlineStr"/>
      <c r="C15" s="9" t="inlineStr">
        <is>
          <t>AWS CLI / boto3</t>
        </is>
      </c>
      <c r="D15" s="9" t="inlineStr"/>
      <c r="E15" s="9" t="inlineStr"/>
    </row>
    <row r="16">
      <c r="A16" s="9" t="inlineStr">
        <is>
          <t>Azure Discovery</t>
        </is>
      </c>
      <c r="B16" s="9" t="inlineStr"/>
      <c r="C16" s="9" t="inlineStr">
        <is>
          <t>Azure CLI</t>
        </is>
      </c>
      <c r="D16" s="9" t="inlineStr"/>
      <c r="E16" s="9" t="inlineStr"/>
    </row>
    <row r="17">
      <c r="A17" s="9" t="inlineStr">
        <is>
          <t>GCP Discovery</t>
        </is>
      </c>
      <c r="B17" s="9" t="inlineStr"/>
      <c r="C17" s="9" t="inlineStr">
        <is>
          <t>GCP SDK</t>
        </is>
      </c>
      <c r="D17" s="9" t="inlineStr"/>
      <c r="E17" s="9" t="inlineStr"/>
    </row>
    <row r="18">
      <c r="A18" s="9" t="inlineStr">
        <is>
          <t>NetFlow Analysis</t>
        </is>
      </c>
      <c r="B18" s="9" t="inlineStr"/>
      <c r="C18" s="9" t="inlineStr"/>
      <c r="D18" s="9" t="inlineStr"/>
      <c r="E18" s="9" t="inlineStr"/>
    </row>
    <row r="19">
      <c r="A19" s="9" t="inlineStr">
        <is>
          <t>Documentation Review</t>
        </is>
      </c>
      <c r="B19" s="9" t="inlineStr"/>
      <c r="C19" s="9" t="inlineStr">
        <is>
          <t>CMDB / Wiki</t>
        </is>
      </c>
      <c r="D19" s="9" t="inlineStr"/>
      <c r="E19" s="9" t="inlineStr"/>
    </row>
    <row r="20">
      <c r="A20" s="9" t="inlineStr">
        <is>
          <t>Administrator Interviews</t>
        </is>
      </c>
      <c r="B20" s="9" t="inlineStr"/>
      <c r="C20" s="9" t="inlineStr">
        <is>
          <t>N/A</t>
        </is>
      </c>
      <c r="D20" s="9" t="inlineStr"/>
      <c r="E20" s="9" t="inlineStr"/>
    </row>
    <row r="21">
      <c r="A21" s="9" t="inlineStr">
        <is>
          <t>Physical Site Survey</t>
        </is>
      </c>
      <c r="B21" s="9" t="inlineStr"/>
      <c r="C21" s="9" t="inlineStr">
        <is>
          <t>N/A</t>
        </is>
      </c>
      <c r="D21" s="9" t="inlineStr"/>
      <c r="E21" s="9" t="inlineStr"/>
    </row>
    <row r="22">
      <c r="A22" s="9" t="inlineStr">
        <is>
          <t>Other</t>
        </is>
      </c>
      <c r="B22" s="9" t="inlineStr"/>
      <c r="C22" s="9" t="inlineStr"/>
      <c r="D22" s="9" t="inlineStr"/>
      <c r="E22" s="9" t="inlineStr"/>
    </row>
    <row r="24">
      <c r="A24" s="2" t="inlineStr">
        <is>
          <t>Discovery Scope</t>
        </is>
      </c>
    </row>
    <row r="25">
      <c r="A25" s="3" t="inlineStr">
        <is>
          <t>Network Segment/Zone</t>
        </is>
      </c>
      <c r="B25" s="3" t="inlineStr">
        <is>
          <t>IP Range</t>
        </is>
      </c>
      <c r="C25" s="3" t="inlineStr">
        <is>
          <t>Included (Y/N)</t>
        </is>
      </c>
      <c r="D25" s="3" t="inlineStr">
        <is>
          <t>Devices Found</t>
        </is>
      </c>
      <c r="E25" s="3" t="inlineStr">
        <is>
          <t>Notes</t>
        </is>
      </c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7">
      <c r="A47" s="2" t="inlineStr">
        <is>
          <t>Discovery Challenges &amp; Limitations</t>
        </is>
      </c>
    </row>
    <row r="48" ht="100" customHeight="1">
      <c r="A48" s="9" t="inlineStr">
        <is>
          <t>[Document any challenges encountered during discovery:
- Unreachable networks
- Firewall blocking scans
- Missing credentials
- Undocumented devices
- Other limitations]</t>
        </is>
      </c>
    </row>
    <row r="49"/>
    <row r="50"/>
    <row r="51"/>
    <row r="52"/>
    <row r="53"/>
  </sheetData>
  <mergeCells count="6">
    <mergeCell ref="A48:E53"/>
    <mergeCell ref="A24:E24"/>
    <mergeCell ref="A11:E11"/>
    <mergeCell ref="A47:E47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35" customWidth="1" min="4" max="4"/>
    <col width="12" customWidth="1" min="5" max="5"/>
    <col width="25" customWidth="1" min="6" max="6"/>
    <col width="35" customWidth="1" min="7" max="7"/>
    <col width="20" customWidth="1" min="8" max="8"/>
    <col width="15" customWidth="1" min="9" max="9"/>
    <col width="12" customWidth="1" min="10" max="10"/>
  </cols>
  <sheetData>
    <row r="1" ht="25" customHeight="1">
      <c r="A1" s="1" t="inlineStr">
        <is>
          <t>Network Discovery Gap Analysis</t>
        </is>
      </c>
    </row>
    <row r="2">
      <c r="A2" s="4" t="inlineStr">
        <is>
          <t>📋 Document gaps: undocumented devices, unreachable devices, missing information, or discovery failures</t>
        </is>
      </c>
    </row>
    <row r="3">
      <c r="A3" s="3" t="inlineStr">
        <is>
          <t>Gap ID</t>
        </is>
      </c>
      <c r="B3" s="3" t="inlineStr">
        <is>
          <t>Gap Type</t>
        </is>
      </c>
      <c r="C3" s="3" t="inlineStr">
        <is>
          <t>Device/Location</t>
        </is>
      </c>
      <c r="D3" s="3" t="inlineStr">
        <is>
          <t>Description</t>
        </is>
      </c>
      <c r="E3" s="3" t="inlineStr">
        <is>
          <t>Severity</t>
        </is>
      </c>
      <c r="F3" s="3" t="inlineStr">
        <is>
          <t>Impact</t>
        </is>
      </c>
      <c r="G3" s="3" t="inlineStr">
        <is>
          <t>Remediation Plan</t>
        </is>
      </c>
      <c r="H3" s="3" t="inlineStr">
        <is>
          <t>Owner</t>
        </is>
      </c>
      <c r="I3" s="3" t="inlineStr">
        <is>
          <t>Status</t>
        </is>
      </c>
      <c r="J3" s="3" t="inlineStr">
        <is>
          <t>Target Date</t>
        </is>
      </c>
    </row>
    <row r="4">
      <c r="A4">
        <f>IF(B4&lt;&gt;"","DISC-GAP-" &amp; TEXT(1,"000"),"")</f>
        <v/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>
        <f>IF(B5&lt;&gt;"","DISC-GAP-" &amp; TEXT(2,"000"),"")</f>
        <v/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>
        <f>IF(B6&lt;&gt;"","DISC-GAP-" &amp; TEXT(3,"000"),"")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>
        <f>IF(B7&lt;&gt;"","DISC-GAP-" &amp; TEXT(4,"000"),"")</f>
        <v/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>
        <f>IF(B8&lt;&gt;"","DISC-GAP-" &amp; TEXT(5,"000"),"")</f>
        <v/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>
        <f>IF(B9&lt;&gt;"","DISC-GAP-" &amp; TEXT(6,"000"),"")</f>
        <v/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>
        <f>IF(B10&lt;&gt;"","DISC-GAP-" &amp; TEXT(7,"000"),"")</f>
        <v/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>
        <f>IF(B11&lt;&gt;"","DISC-GAP-" &amp; TEXT(8,"000"),"")</f>
        <v/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>
        <f>IF(B12&lt;&gt;"","DISC-GAP-" &amp; TEXT(9,"000"),"")</f>
        <v/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>
        <f>IF(B13&lt;&gt;"","DISC-GAP-" &amp; TEXT(10,"000"),"")</f>
        <v/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>
        <f>IF(B14&lt;&gt;"","DISC-GAP-" &amp; TEXT(11,"000"),"")</f>
        <v/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>
        <f>IF(B15&lt;&gt;"","DISC-GAP-" &amp; TEXT(12,"000"),"")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>
        <f>IF(B16&lt;&gt;"","DISC-GAP-" &amp; TEXT(13,"000"),"")</f>
        <v/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>
        <f>IF(B17&lt;&gt;"","DISC-GAP-" &amp; TEXT(14,"000"),"")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>
        <f>IF(B18&lt;&gt;"","DISC-GAP-" &amp; TEXT(15,"000"),"")</f>
        <v/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>
        <f>IF(B19&lt;&gt;"","DISC-GAP-" &amp; TEXT(16,"000"),"")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>
        <f>IF(B20&lt;&gt;"","DISC-GAP-" &amp; TEXT(17,"000"),"")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>
        <f>IF(B21&lt;&gt;"","DISC-GAP-" &amp; TEXT(18,"000"),"")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>
        <f>IF(B22&lt;&gt;"","DISC-GAP-" &amp; TEXT(19,"000"),"")</f>
        <v/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>
        <f>IF(B23&lt;&gt;"","DISC-GAP-" &amp; TEXT(20,"000"),"")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>
        <f>IF(B24&lt;&gt;"","DISC-GAP-" &amp; TEXT(21,"000"),"")</f>
        <v/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>
        <f>IF(B25&lt;&gt;"","DISC-GAP-" &amp; TEXT(22,"000"),"")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>
        <f>IF(B26&lt;&gt;"","DISC-GAP-" &amp; TEXT(23,"000"),"")</f>
        <v/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>
        <f>IF(B27&lt;&gt;"","DISC-GAP-" &amp; TEXT(24,"000"),"")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>
        <f>IF(B28&lt;&gt;"","DISC-GAP-" &amp; TEXT(25,"000"),"")</f>
        <v/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>
        <f>IF(B29&lt;&gt;"","DISC-GAP-" &amp; TEXT(26,"000"),"")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>
        <f>IF(B30&lt;&gt;"","DISC-GAP-" &amp; TEXT(27,"000"),"")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>
        <f>IF(B31&lt;&gt;"","DISC-GAP-" &amp; TEXT(28,"000"),"")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>
        <f>IF(B32&lt;&gt;"","DISC-GAP-" &amp; TEXT(29,"000"),"")</f>
        <v/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>
        <f>IF(B33&lt;&gt;"","DISC-GAP-" &amp; TEXT(30,"000"),"")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>
        <f>IF(B34&lt;&gt;"","DISC-GAP-" &amp; TEXT(31,"000"),"")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>
        <f>IF(B35&lt;&gt;"","DISC-GAP-" &amp; TEXT(32,"000"),"")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>
        <f>IF(B36&lt;&gt;"","DISC-GAP-" &amp; TEXT(33,"000"),"")</f>
        <v/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>
        <f>IF(B37&lt;&gt;"","DISC-GAP-" &amp; TEXT(34,"000"),"")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>
        <f>IF(B38&lt;&gt;"","DISC-GAP-" &amp; TEXT(35,"000"),"")</f>
        <v/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>
        <f>IF(B39&lt;&gt;"","DISC-GAP-" &amp; TEXT(36,"000"),"")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>
        <f>IF(B40&lt;&gt;"","DISC-GAP-" &amp; TEXT(37,"000"),"")</f>
        <v/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>
        <f>IF(B41&lt;&gt;"","DISC-GAP-" &amp; TEXT(38,"000"),"")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>
        <f>IF(B42&lt;&gt;"","DISC-GAP-" &amp; TEXT(39,"000"),"")</f>
        <v/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>
        <f>IF(B43&lt;&gt;"","DISC-GAP-" &amp; TEXT(40,"000"),"")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>
        <f>IF(B44&lt;&gt;"","DISC-GAP-" &amp; TEXT(41,"000"),"")</f>
        <v/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A45">
        <f>IF(B45&lt;&gt;"","DISC-GAP-" &amp; TEXT(42,"000"),"")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>
        <f>IF(B46&lt;&gt;"","DISC-GAP-" &amp; TEXT(43,"000"),"")</f>
        <v/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A47">
        <f>IF(B47&lt;&gt;"","DISC-GAP-" &amp; TEXT(44,"000"),"")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>
        <f>IF(B48&lt;&gt;"","DISC-GAP-" &amp; TEXT(45,"000"),"")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A49">
        <f>IF(B49&lt;&gt;"","DISC-GAP-" &amp; TEXT(46,"000"),"")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>
        <f>IF(B50&lt;&gt;"","DISC-GAP-" &amp; TEXT(47,"000"),"")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>
      <c r="A51">
        <f>IF(B51&lt;&gt;"","DISC-GAP-" &amp; TEXT(48,"000"),"")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>
        <f>IF(B52&lt;&gt;"","DISC-GAP-" &amp; TEXT(49,"000"),"")</f>
        <v/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>
      <c r="A53">
        <f>IF(B53&lt;&gt;"","DISC-GAP-" &amp; TEXT(50,"000"),"")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5">
      <c r="A55" s="4" t="inlineStr">
        <is>
          <t>Common Gap Types: Undocumented Device, Unreachable Device, Missing Configuration, Incomplete Discovery, Authentication Failure, Firewall Blocking, Unknown Device Type</t>
        </is>
      </c>
    </row>
  </sheetData>
  <mergeCells count="3">
    <mergeCell ref="A55:J55"/>
    <mergeCell ref="A1:J1"/>
    <mergeCell ref="A2:J2"/>
  </mergeCells>
  <conditionalFormatting sqref="E4:E5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2">
    <dataValidation sqref="E4:E53" showDropDown="0" showInputMessage="0" showErrorMessage="0" allowBlank="0" type="list">
      <formula1>"🔴 Critical,🟡 High,🟢 Medium,⚪ Low"</formula1>
    </dataValidation>
    <dataValidation sqref="I4:I53" showDropDown="0" showInputMessage="0" showErrorMessage="0" allowBlank="0" type="list">
      <formula1>"⭕ Open,⏳ In Progress,✅ Resolved,⚠️ Accepted Risk"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  <col width="15" customWidth="1" min="5" max="5"/>
    <col width="20" customWidth="1" min="6" max="6"/>
    <col width="15" customWidth="1" min="7" max="7"/>
    <col width="35" customWidth="1" min="8" max="8"/>
  </cols>
  <sheetData>
    <row r="1" ht="25" customHeight="1">
      <c r="A1" s="1" t="inlineStr">
        <is>
          <t>Discovery Evidence Register</t>
        </is>
      </c>
    </row>
    <row r="2">
      <c r="A2" s="4" t="inlineStr">
        <is>
          <t>📋 Track all evidence collected during network discovery (scan results, configs, diagrams, documentation)</t>
        </is>
      </c>
    </row>
    <row r="3">
      <c r="A3" s="3" t="inlineStr">
        <is>
          <t>Evidence ID</t>
        </is>
      </c>
      <c r="B3" s="3" t="inlineStr">
        <is>
          <t>Evidence Type</t>
        </is>
      </c>
      <c r="C3" s="3" t="inlineStr">
        <is>
          <t>Description</t>
        </is>
      </c>
      <c r="D3" s="3" t="inlineStr">
        <is>
          <t>File Location</t>
        </is>
      </c>
      <c r="E3" s="3" t="inlineStr">
        <is>
          <t>Collection Date</t>
        </is>
      </c>
      <c r="F3" s="3" t="inlineStr">
        <is>
          <t>Collected By</t>
        </is>
      </c>
      <c r="G3" s="3" t="inlineStr">
        <is>
          <t>Status</t>
        </is>
      </c>
      <c r="H3" s="3" t="inlineStr">
        <is>
          <t>Notes</t>
        </is>
      </c>
    </row>
    <row r="4">
      <c r="A4">
        <f>IF(B4&lt;&gt;"","EVID-" &amp; TEXT(1,"000"),"")</f>
        <v/>
      </c>
      <c r="B4" s="9" t="n"/>
      <c r="C4" s="9" t="n"/>
      <c r="D4" s="9" t="n"/>
      <c r="E4" s="9" t="n"/>
      <c r="F4" s="9" t="n"/>
      <c r="G4" s="9" t="n"/>
      <c r="H4" s="9" t="n"/>
    </row>
    <row r="5">
      <c r="A5">
        <f>IF(B5&lt;&gt;"","EVID-" &amp; TEXT(2,"000"),"")</f>
        <v/>
      </c>
      <c r="B5" s="9" t="n"/>
      <c r="C5" s="9" t="n"/>
      <c r="D5" s="9" t="n"/>
      <c r="E5" s="9" t="n"/>
      <c r="F5" s="9" t="n"/>
      <c r="G5" s="9" t="n"/>
      <c r="H5" s="9" t="n"/>
    </row>
    <row r="6">
      <c r="A6">
        <f>IF(B6&lt;&gt;"","EVID-" &amp; TEXT(3,"000"),"")</f>
        <v/>
      </c>
      <c r="B6" s="9" t="n"/>
      <c r="C6" s="9" t="n"/>
      <c r="D6" s="9" t="n"/>
      <c r="E6" s="9" t="n"/>
      <c r="F6" s="9" t="n"/>
      <c r="G6" s="9" t="n"/>
      <c r="H6" s="9" t="n"/>
    </row>
    <row r="7">
      <c r="A7">
        <f>IF(B7&lt;&gt;"","EVID-" &amp; TEXT(4,"000"),"")</f>
        <v/>
      </c>
      <c r="B7" s="9" t="n"/>
      <c r="C7" s="9" t="n"/>
      <c r="D7" s="9" t="n"/>
      <c r="E7" s="9" t="n"/>
      <c r="F7" s="9" t="n"/>
      <c r="G7" s="9" t="n"/>
      <c r="H7" s="9" t="n"/>
    </row>
    <row r="8">
      <c r="A8">
        <f>IF(B8&lt;&gt;"","EVID-" &amp; TEXT(5,"000"),"")</f>
        <v/>
      </c>
      <c r="B8" s="9" t="n"/>
      <c r="C8" s="9" t="n"/>
      <c r="D8" s="9" t="n"/>
      <c r="E8" s="9" t="n"/>
      <c r="F8" s="9" t="n"/>
      <c r="G8" s="9" t="n"/>
      <c r="H8" s="9" t="n"/>
    </row>
    <row r="9">
      <c r="A9">
        <f>IF(B9&lt;&gt;"","EVID-" &amp; TEXT(6,"000"),"")</f>
        <v/>
      </c>
      <c r="B9" s="9" t="n"/>
      <c r="C9" s="9" t="n"/>
      <c r="D9" s="9" t="n"/>
      <c r="E9" s="9" t="n"/>
      <c r="F9" s="9" t="n"/>
      <c r="G9" s="9" t="n"/>
      <c r="H9" s="9" t="n"/>
    </row>
    <row r="10">
      <c r="A10">
        <f>IF(B10&lt;&gt;"","EVID-" &amp; TEXT(7,"000"),"")</f>
        <v/>
      </c>
      <c r="B10" s="9" t="n"/>
      <c r="C10" s="9" t="n"/>
      <c r="D10" s="9" t="n"/>
      <c r="E10" s="9" t="n"/>
      <c r="F10" s="9" t="n"/>
      <c r="G10" s="9" t="n"/>
      <c r="H10" s="9" t="n"/>
    </row>
    <row r="11">
      <c r="A11">
        <f>IF(B11&lt;&gt;"","EVID-" &amp; TEXT(8,"000"),"")</f>
        <v/>
      </c>
      <c r="B11" s="9" t="n"/>
      <c r="C11" s="9" t="n"/>
      <c r="D11" s="9" t="n"/>
      <c r="E11" s="9" t="n"/>
      <c r="F11" s="9" t="n"/>
      <c r="G11" s="9" t="n"/>
      <c r="H11" s="9" t="n"/>
    </row>
    <row r="12">
      <c r="A12">
        <f>IF(B12&lt;&gt;"","EVID-" &amp; TEXT(9,"000"),"")</f>
        <v/>
      </c>
      <c r="B12" s="9" t="n"/>
      <c r="C12" s="9" t="n"/>
      <c r="D12" s="9" t="n"/>
      <c r="E12" s="9" t="n"/>
      <c r="F12" s="9" t="n"/>
      <c r="G12" s="9" t="n"/>
      <c r="H12" s="9" t="n"/>
    </row>
    <row r="13">
      <c r="A13">
        <f>IF(B13&lt;&gt;"","EVID-" &amp; TEXT(10,"000"),"")</f>
        <v/>
      </c>
      <c r="B13" s="9" t="n"/>
      <c r="C13" s="9" t="n"/>
      <c r="D13" s="9" t="n"/>
      <c r="E13" s="9" t="n"/>
      <c r="F13" s="9" t="n"/>
      <c r="G13" s="9" t="n"/>
      <c r="H13" s="9" t="n"/>
    </row>
    <row r="14">
      <c r="A14">
        <f>IF(B14&lt;&gt;"","EVID-" &amp; TEXT(11,"000"),"")</f>
        <v/>
      </c>
      <c r="B14" s="9" t="n"/>
      <c r="C14" s="9" t="n"/>
      <c r="D14" s="9" t="n"/>
      <c r="E14" s="9" t="n"/>
      <c r="F14" s="9" t="n"/>
      <c r="G14" s="9" t="n"/>
      <c r="H14" s="9" t="n"/>
    </row>
    <row r="15">
      <c r="A15">
        <f>IF(B15&lt;&gt;"","EVID-" &amp; TEXT(12,"000"),"")</f>
        <v/>
      </c>
      <c r="B15" s="9" t="n"/>
      <c r="C15" s="9" t="n"/>
      <c r="D15" s="9" t="n"/>
      <c r="E15" s="9" t="n"/>
      <c r="F15" s="9" t="n"/>
      <c r="G15" s="9" t="n"/>
      <c r="H15" s="9" t="n"/>
    </row>
    <row r="16">
      <c r="A16">
        <f>IF(B16&lt;&gt;"","EVID-" &amp; TEXT(13,"000"),"")</f>
        <v/>
      </c>
      <c r="B16" s="9" t="n"/>
      <c r="C16" s="9" t="n"/>
      <c r="D16" s="9" t="n"/>
      <c r="E16" s="9" t="n"/>
      <c r="F16" s="9" t="n"/>
      <c r="G16" s="9" t="n"/>
      <c r="H16" s="9" t="n"/>
    </row>
    <row r="17">
      <c r="A17">
        <f>IF(B17&lt;&gt;"","EVID-" &amp; TEXT(14,"000"),"")</f>
        <v/>
      </c>
      <c r="B17" s="9" t="n"/>
      <c r="C17" s="9" t="n"/>
      <c r="D17" s="9" t="n"/>
      <c r="E17" s="9" t="n"/>
      <c r="F17" s="9" t="n"/>
      <c r="G17" s="9" t="n"/>
      <c r="H17" s="9" t="n"/>
    </row>
    <row r="18">
      <c r="A18">
        <f>IF(B18&lt;&gt;"","EVID-" &amp; TEXT(15,"000"),"")</f>
        <v/>
      </c>
      <c r="B18" s="9" t="n"/>
      <c r="C18" s="9" t="n"/>
      <c r="D18" s="9" t="n"/>
      <c r="E18" s="9" t="n"/>
      <c r="F18" s="9" t="n"/>
      <c r="G18" s="9" t="n"/>
      <c r="H18" s="9" t="n"/>
    </row>
    <row r="19">
      <c r="A19">
        <f>IF(B19&lt;&gt;"","EVID-" &amp; TEXT(16,"000"),"")</f>
        <v/>
      </c>
      <c r="B19" s="9" t="n"/>
      <c r="C19" s="9" t="n"/>
      <c r="D19" s="9" t="n"/>
      <c r="E19" s="9" t="n"/>
      <c r="F19" s="9" t="n"/>
      <c r="G19" s="9" t="n"/>
      <c r="H19" s="9" t="n"/>
    </row>
    <row r="20">
      <c r="A20">
        <f>IF(B20&lt;&gt;"","EVID-" &amp; TEXT(17,"000"),"")</f>
        <v/>
      </c>
      <c r="B20" s="9" t="n"/>
      <c r="C20" s="9" t="n"/>
      <c r="D20" s="9" t="n"/>
      <c r="E20" s="9" t="n"/>
      <c r="F20" s="9" t="n"/>
      <c r="G20" s="9" t="n"/>
      <c r="H20" s="9" t="n"/>
    </row>
    <row r="21">
      <c r="A21">
        <f>IF(B21&lt;&gt;"","EVID-" &amp; TEXT(18,"000"),"")</f>
        <v/>
      </c>
      <c r="B21" s="9" t="n"/>
      <c r="C21" s="9" t="n"/>
      <c r="D21" s="9" t="n"/>
      <c r="E21" s="9" t="n"/>
      <c r="F21" s="9" t="n"/>
      <c r="G21" s="9" t="n"/>
      <c r="H21" s="9" t="n"/>
    </row>
    <row r="22">
      <c r="A22">
        <f>IF(B22&lt;&gt;"","EVID-" &amp; TEXT(19,"000"),"")</f>
        <v/>
      </c>
      <c r="B22" s="9" t="n"/>
      <c r="C22" s="9" t="n"/>
      <c r="D22" s="9" t="n"/>
      <c r="E22" s="9" t="n"/>
      <c r="F22" s="9" t="n"/>
      <c r="G22" s="9" t="n"/>
      <c r="H22" s="9" t="n"/>
    </row>
    <row r="23">
      <c r="A23">
        <f>IF(B23&lt;&gt;"","EVID-" &amp; TEXT(20,"000"),"")</f>
        <v/>
      </c>
      <c r="B23" s="9" t="n"/>
      <c r="C23" s="9" t="n"/>
      <c r="D23" s="9" t="n"/>
      <c r="E23" s="9" t="n"/>
      <c r="F23" s="9" t="n"/>
      <c r="G23" s="9" t="n"/>
      <c r="H23" s="9" t="n"/>
    </row>
    <row r="24">
      <c r="A24">
        <f>IF(B24&lt;&gt;"","EVID-" &amp; TEXT(21,"000"),"")</f>
        <v/>
      </c>
      <c r="B24" s="9" t="n"/>
      <c r="C24" s="9" t="n"/>
      <c r="D24" s="9" t="n"/>
      <c r="E24" s="9" t="n"/>
      <c r="F24" s="9" t="n"/>
      <c r="G24" s="9" t="n"/>
      <c r="H24" s="9" t="n"/>
    </row>
    <row r="25">
      <c r="A25">
        <f>IF(B25&lt;&gt;"","EVID-" &amp; TEXT(22,"000"),"")</f>
        <v/>
      </c>
      <c r="B25" s="9" t="n"/>
      <c r="C25" s="9" t="n"/>
      <c r="D25" s="9" t="n"/>
      <c r="E25" s="9" t="n"/>
      <c r="F25" s="9" t="n"/>
      <c r="G25" s="9" t="n"/>
      <c r="H25" s="9" t="n"/>
    </row>
    <row r="26">
      <c r="A26">
        <f>IF(B26&lt;&gt;"","EVID-" &amp; TEXT(23,"000"),"")</f>
        <v/>
      </c>
      <c r="B26" s="9" t="n"/>
      <c r="C26" s="9" t="n"/>
      <c r="D26" s="9" t="n"/>
      <c r="E26" s="9" t="n"/>
      <c r="F26" s="9" t="n"/>
      <c r="G26" s="9" t="n"/>
      <c r="H26" s="9" t="n"/>
    </row>
    <row r="27">
      <c r="A27">
        <f>IF(B27&lt;&gt;"","EVID-" &amp; TEXT(24,"000"),"")</f>
        <v/>
      </c>
      <c r="B27" s="9" t="n"/>
      <c r="C27" s="9" t="n"/>
      <c r="D27" s="9" t="n"/>
      <c r="E27" s="9" t="n"/>
      <c r="F27" s="9" t="n"/>
      <c r="G27" s="9" t="n"/>
      <c r="H27" s="9" t="n"/>
    </row>
    <row r="28">
      <c r="A28">
        <f>IF(B28&lt;&gt;"","EVID-" &amp; TEXT(25,"000"),"")</f>
        <v/>
      </c>
      <c r="B28" s="9" t="n"/>
      <c r="C28" s="9" t="n"/>
      <c r="D28" s="9" t="n"/>
      <c r="E28" s="9" t="n"/>
      <c r="F28" s="9" t="n"/>
      <c r="G28" s="9" t="n"/>
      <c r="H28" s="9" t="n"/>
    </row>
    <row r="29">
      <c r="A29">
        <f>IF(B29&lt;&gt;"","EVID-" &amp; TEXT(26,"000"),"")</f>
        <v/>
      </c>
      <c r="B29" s="9" t="n"/>
      <c r="C29" s="9" t="n"/>
      <c r="D29" s="9" t="n"/>
      <c r="E29" s="9" t="n"/>
      <c r="F29" s="9" t="n"/>
      <c r="G29" s="9" t="n"/>
      <c r="H29" s="9" t="n"/>
    </row>
    <row r="30">
      <c r="A30">
        <f>IF(B30&lt;&gt;"","EVID-" &amp; TEXT(27,"000"),"")</f>
        <v/>
      </c>
      <c r="B30" s="9" t="n"/>
      <c r="C30" s="9" t="n"/>
      <c r="D30" s="9" t="n"/>
      <c r="E30" s="9" t="n"/>
      <c r="F30" s="9" t="n"/>
      <c r="G30" s="9" t="n"/>
      <c r="H30" s="9" t="n"/>
    </row>
    <row r="31">
      <c r="A31">
        <f>IF(B31&lt;&gt;"","EVID-" &amp; TEXT(28,"000"),"")</f>
        <v/>
      </c>
      <c r="B31" s="9" t="n"/>
      <c r="C31" s="9" t="n"/>
      <c r="D31" s="9" t="n"/>
      <c r="E31" s="9" t="n"/>
      <c r="F31" s="9" t="n"/>
      <c r="G31" s="9" t="n"/>
      <c r="H31" s="9" t="n"/>
    </row>
    <row r="32">
      <c r="A32">
        <f>IF(B32&lt;&gt;"","EVID-" &amp; TEXT(29,"000"),"")</f>
        <v/>
      </c>
      <c r="B32" s="9" t="n"/>
      <c r="C32" s="9" t="n"/>
      <c r="D32" s="9" t="n"/>
      <c r="E32" s="9" t="n"/>
      <c r="F32" s="9" t="n"/>
      <c r="G32" s="9" t="n"/>
      <c r="H32" s="9" t="n"/>
    </row>
    <row r="33">
      <c r="A33">
        <f>IF(B33&lt;&gt;"","EVID-" &amp; TEXT(30,"000"),"")</f>
        <v/>
      </c>
      <c r="B33" s="9" t="n"/>
      <c r="C33" s="9" t="n"/>
      <c r="D33" s="9" t="n"/>
      <c r="E33" s="9" t="n"/>
      <c r="F33" s="9" t="n"/>
      <c r="G33" s="9" t="n"/>
      <c r="H33" s="9" t="n"/>
    </row>
    <row r="35">
      <c r="A35" s="4" t="inlineStr">
        <is>
          <t>Evidence Types: Configuration Backup, Discovery Report (nmap XML), Network Diagram, Scan Results, SNMP Walk Output, Cloud Discovery JSON, Documentation, Screenshots</t>
        </is>
      </c>
    </row>
    <row r="36">
      <c r="A36" s="4" t="inlineStr">
        <is>
          <t>💡 TIP: Store evidence in organized directory structure: /evidence/discovery/YYYY-MM-DD/ with subdirectories for scans, configs, diagrams, etc.</t>
        </is>
      </c>
    </row>
  </sheetData>
  <mergeCells count="4">
    <mergeCell ref="A36:H36"/>
    <mergeCell ref="A35:H35"/>
    <mergeCell ref="A2:H2"/>
    <mergeCell ref="A1:H1"/>
  </mergeCells>
  <dataValidations count="2">
    <dataValidation sqref="B4:B33" showDropDown="0" showInputMessage="0" showErrorMessage="0" allowBlank="0" type="list">
      <formula1>"Configuration Backup,Discovery Report,Network Diagram,Scan Results,Documentation,Screenshot,Other"</formula1>
    </dataValidation>
    <dataValidation sqref="G4:G33" showDropDown="0" showInputMessage="0" showErrorMessage="0" allowBlank="0" type="list">
      <formula1>"Collected,Pending,Missing,Not Applicable"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30" customWidth="1" min="4" max="4"/>
    <col width="20" customWidth="1" min="5" max="5"/>
  </cols>
  <sheetData>
    <row r="1" ht="25" customHeight="1">
      <c r="A1" s="1" t="inlineStr">
        <is>
          <t>Data Validation Rules &amp; Quality Checks</t>
        </is>
      </c>
    </row>
    <row r="2">
      <c r="A2" s="4" t="inlineStr">
        <is>
          <t>This sheet defines data quality rules to ensure inventory completeness and accuracy</t>
        </is>
      </c>
    </row>
    <row r="4">
      <c r="A4" s="2" t="inlineStr">
        <is>
          <t>Required Field Validation</t>
        </is>
      </c>
    </row>
    <row r="5">
      <c r="A5" s="3" t="inlineStr">
        <is>
          <t>Field</t>
        </is>
      </c>
      <c r="B5" s="3" t="inlineStr">
        <is>
          <t>Required</t>
        </is>
      </c>
      <c r="C5" s="3" t="inlineStr">
        <is>
          <t>Validation Rule</t>
        </is>
      </c>
      <c r="D5" s="3" t="inlineStr">
        <is>
          <t>Status</t>
        </is>
      </c>
    </row>
    <row r="6">
      <c r="A6" s="3" t="inlineStr">
        <is>
          <t>Device Type</t>
        </is>
      </c>
      <c r="B6" s="4" t="inlineStr">
        <is>
          <t>Yes</t>
        </is>
      </c>
      <c r="C6" s="4" t="inlineStr">
        <is>
          <t>Must be selected from dropdown</t>
        </is>
      </c>
      <c r="D6" s="4">
        <f>IF(COUNTBLANK(Device_Inventory!B4:B153)=150,"✔ All blank (OK)","⚠  Check required")</f>
        <v/>
      </c>
    </row>
    <row r="7">
      <c r="A7" s="3" t="inlineStr">
        <is>
          <t>Hostname</t>
        </is>
      </c>
      <c r="B7" s="4" t="inlineStr">
        <is>
          <t>Yes</t>
        </is>
      </c>
      <c r="C7" s="4" t="inlineStr">
        <is>
          <t>Must not be blank</t>
        </is>
      </c>
      <c r="D7" s="4">
        <f>IF(COUNTBLANK(Device_Inventory!D4:D153)=150,"✔ All blank (OK)","⚠  Check required")</f>
        <v/>
      </c>
    </row>
    <row r="8">
      <c r="A8" s="3" t="inlineStr">
        <is>
          <t>Primary IP</t>
        </is>
      </c>
      <c r="B8" s="4" t="inlineStr">
        <is>
          <t>Yes</t>
        </is>
      </c>
      <c r="C8" s="4" t="inlineStr">
        <is>
          <t>Must not be blank</t>
        </is>
      </c>
      <c r="D8" s="4">
        <f>IF(COUNTBLANK(Device_Inventory!E4:E153)=150,"✔ All blank (OK)","⚠  Check required")</f>
        <v/>
      </c>
    </row>
    <row r="9">
      <c r="A9" s="3" t="inlineStr">
        <is>
          <t>Location</t>
        </is>
      </c>
      <c r="B9" s="4" t="inlineStr">
        <is>
          <t>Yes</t>
        </is>
      </c>
      <c r="C9" s="4" t="inlineStr">
        <is>
          <t>Must not be blank</t>
        </is>
      </c>
      <c r="D9" s="4">
        <f>IF(COUNTBLANK(Device_Inventory!G4:G153)=150,"✔ All blank (OK)","⚠  Check required")</f>
        <v/>
      </c>
    </row>
    <row r="10">
      <c r="A10" s="3" t="inlineStr">
        <is>
          <t>Criticality</t>
        </is>
      </c>
      <c r="B10" s="4" t="inlineStr">
        <is>
          <t>Yes</t>
        </is>
      </c>
      <c r="C10" s="4" t="inlineStr">
        <is>
          <t>Must be selected from dropdown</t>
        </is>
      </c>
      <c r="D10" s="4">
        <f>IF(COUNTBLANK(Device_Inventory!J4:J153)=150,"✔ All blank (OK)","⚠  Check required")</f>
        <v/>
      </c>
    </row>
    <row r="11">
      <c r="A11" s="3" t="inlineStr">
        <is>
          <t>Status</t>
        </is>
      </c>
      <c r="B11" s="4" t="inlineStr">
        <is>
          <t>Yes</t>
        </is>
      </c>
      <c r="C11" s="4" t="inlineStr">
        <is>
          <t>Must be selected from dropdown</t>
        </is>
      </c>
      <c r="D11" s="4">
        <f>IF(COUNTBLANK(Device_Inventory!Q4:Q153)=150,"✔ All blank (OK)","⚠  Check required")</f>
        <v/>
      </c>
    </row>
    <row r="13">
      <c r="A13" s="2" t="inlineStr">
        <is>
          <t>Data Quality Checks</t>
        </is>
      </c>
    </row>
    <row r="14">
      <c r="A14" s="3" t="inlineStr">
        <is>
          <t>Check</t>
        </is>
      </c>
      <c r="B14" s="3" t="inlineStr">
        <is>
          <t>Description</t>
        </is>
      </c>
      <c r="C14" s="3" t="inlineStr">
        <is>
          <t>Status</t>
        </is>
      </c>
    </row>
    <row r="15" ht="25" customHeight="1">
      <c r="A15" s="3" t="inlineStr">
        <is>
          <t>No Duplicate IPs</t>
        </is>
      </c>
      <c r="B15" s="4" t="inlineStr">
        <is>
          <t>Check for duplicate primary IPs</t>
        </is>
      </c>
      <c r="C15" s="4" t="inlineStr">
        <is>
          <t>Manual verification required</t>
        </is>
      </c>
    </row>
    <row r="16" ht="25" customHeight="1">
      <c r="A16" s="3" t="inlineStr">
        <is>
          <t>No Duplicate Hostnames</t>
        </is>
      </c>
      <c r="B16" s="4" t="inlineStr">
        <is>
          <t>Check for duplicate hostnames</t>
        </is>
      </c>
      <c r="C16" s="4" t="inlineStr">
        <is>
          <t>Manual verification required</t>
        </is>
      </c>
    </row>
    <row r="17" ht="25" customHeight="1">
      <c r="A17" s="3" t="inlineStr">
        <is>
          <t>Valid IP Format</t>
        </is>
      </c>
      <c r="B17" s="4" t="inlineStr">
        <is>
          <t>Verify all IPs follow IPv4 format</t>
        </is>
      </c>
      <c r="C17" s="4" t="inlineStr">
        <is>
          <t>Manual verification required</t>
        </is>
      </c>
    </row>
    <row r="18" ht="25" customHeight="1">
      <c r="A18" s="3" t="inlineStr">
        <is>
          <t>Criticality Assigned</t>
        </is>
      </c>
      <c r="B18" s="4" t="inlineStr">
        <is>
          <t>All active devices have criticality</t>
        </is>
      </c>
      <c r="C18" s="4">
        <f>IF(COUNTIFS(Device_Inventory!Q4:Q153,"Active",Device_Inventory!J4:J153,"")=0,"✔ OK","⚠  Missing criticality")</f>
        <v/>
      </c>
    </row>
    <row r="19" ht="25" customHeight="1">
      <c r="A19" s="3" t="inlineStr">
        <is>
          <t>Owner Assigned</t>
        </is>
      </c>
      <c r="B19" s="4" t="inlineStr">
        <is>
          <t>All critical/high devices have owner</t>
        </is>
      </c>
      <c r="C19" s="4" t="inlineStr">
        <is>
          <t>Manual verification required</t>
        </is>
      </c>
    </row>
    <row r="20" ht="25" customHeight="1">
      <c r="A20" s="3" t="inlineStr">
        <is>
          <t>Recent Discovery</t>
        </is>
      </c>
      <c r="B20" s="4" t="inlineStr">
        <is>
          <t>All devices discovered within last 90 days</t>
        </is>
      </c>
      <c r="C20" s="4" t="inlineStr">
        <is>
          <t>Manual verification required</t>
        </is>
      </c>
    </row>
    <row r="22">
      <c r="A22" s="2" t="inlineStr">
        <is>
          <t>Inventory Completeness Metrics</t>
        </is>
      </c>
    </row>
    <row r="23">
      <c r="A23" s="3" t="inlineStr">
        <is>
          <t>Metric</t>
        </is>
      </c>
      <c r="B23" s="3" t="inlineStr">
        <is>
          <t>Target</t>
        </is>
      </c>
      <c r="C23" s="3" t="inlineStr">
        <is>
          <t>Actual</t>
        </is>
      </c>
      <c r="D23" s="3" t="inlineStr">
        <is>
          <t>Status</t>
        </is>
      </c>
    </row>
    <row r="24">
      <c r="A24" s="3" t="inlineStr">
        <is>
          <t>Device Type Filled</t>
        </is>
      </c>
      <c r="B24" s="4" t="inlineStr">
        <is>
          <t>100%</t>
        </is>
      </c>
      <c r="C24" s="10">
        <f>COUNTA(Device_Inventory!B4:B153)/COUNTA(Device_Inventory!A4:A153)</f>
        <v/>
      </c>
      <c r="D24" s="4">
        <f>IF(C24&gt;=1,"✔","⚠ ")</f>
        <v/>
      </c>
    </row>
    <row r="25">
      <c r="A25" s="3" t="inlineStr">
        <is>
          <t>Hostname Filled</t>
        </is>
      </c>
      <c r="B25" s="4" t="inlineStr">
        <is>
          <t>100%</t>
        </is>
      </c>
      <c r="C25" s="10">
        <f>COUNTA(Device_Inventory!D4:D153)/COUNTA(Device_Inventory!A4:A153)</f>
        <v/>
      </c>
      <c r="D25" s="4">
        <f>IF(C25&gt;=1,"✔","⚠ ")</f>
        <v/>
      </c>
    </row>
    <row r="26">
      <c r="A26" s="3" t="inlineStr">
        <is>
          <t>Criticality Assigned</t>
        </is>
      </c>
      <c r="B26" s="4" t="inlineStr">
        <is>
          <t>100%</t>
        </is>
      </c>
      <c r="C26" s="10">
        <f>COUNTA(Device_Inventory!J4:J153)/COUNTA(Device_Inventory!A4:A153)</f>
        <v/>
      </c>
      <c r="D26" s="4">
        <f>IF(C26&gt;=1,"✔","⚠ ")</f>
        <v/>
      </c>
    </row>
    <row r="27">
      <c r="A27" s="3" t="inlineStr">
        <is>
          <t>Owner Assigned</t>
        </is>
      </c>
      <c r="B27" s="4" t="inlineStr">
        <is>
          <t>≥80%</t>
        </is>
      </c>
      <c r="C27" s="10">
        <f>COUNTA(Device_Inventory!K4:K153)/COUNTA(Device_Inventory!A4:A153)</f>
        <v/>
      </c>
      <c r="D27" s="4">
        <f>IF(C27&gt;=0.8,"✔","⚠ ")</f>
        <v/>
      </c>
    </row>
    <row r="28">
      <c r="A28" s="3" t="inlineStr">
        <is>
          <t>Firmware Version</t>
        </is>
      </c>
      <c r="B28" s="4" t="inlineStr">
        <is>
          <t>≥70%</t>
        </is>
      </c>
      <c r="C28" s="10">
        <f>COUNTA(Device_Inventory!N4:N153)/COUNTA(Device_Inventory!A4:A153)</f>
        <v/>
      </c>
      <c r="D28" s="4">
        <f>IF(C28&gt;=0.7,"✔","⚠ ")</f>
        <v/>
      </c>
    </row>
  </sheetData>
  <mergeCells count="5">
    <mergeCell ref="A4:E4"/>
    <mergeCell ref="A2:E2"/>
    <mergeCell ref="A1:E1"/>
    <mergeCell ref="A13:E1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2026-02-08T10:49:52Z</dcterms:created>
  <dcterms:modified xmlns:dcterms="http://purl.org/dc/terms/" xmlns:xsi="http://www.w3.org/2001/XMLSchema-instance" xsi:type="dcterms:W3CDTF">2026-02-08T10:49:53Z</dcterms:modified>
</cp:coreProperties>
</file>