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ception_Requests" sheetId="2" state="visible" r:id="rId2"/>
    <sheet xmlns:r="http://schemas.openxmlformats.org/officeDocument/2006/relationships" name="Approval_Workflow" sheetId="3" state="visible" r:id="rId3"/>
    <sheet xmlns:r="http://schemas.openxmlformats.org/officeDocument/2006/relationships" name="Business_Justification" sheetId="4" state="visible" r:id="rId4"/>
    <sheet xmlns:r="http://schemas.openxmlformats.org/officeDocument/2006/relationships" name="Compensating_Controls" sheetId="5" state="visible" r:id="rId5"/>
    <sheet xmlns:r="http://schemas.openxmlformats.org/officeDocument/2006/relationships" name="Review_Schedule" sheetId="6" state="visible" r:id="rId6"/>
    <sheet xmlns:r="http://schemas.openxmlformats.org/officeDocument/2006/relationships" name="Renewal_Log" sheetId="7" state="visible" r:id="rId7"/>
    <sheet xmlns:r="http://schemas.openxmlformats.org/officeDocument/2006/relationships" name="Closure_Log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name val="Calibri"/>
      <b val="1"/>
      <color rgb="00FFFFFF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ISMS-IMP-A.8.8.10</t>
        </is>
      </c>
    </row>
    <row r="2">
      <c r="A2" s="1" t="inlineStr">
        <is>
          <t>Title</t>
        </is>
      </c>
      <c r="B2" t="inlineStr">
        <is>
          <t>Vulnerability Exception Management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08.02.2026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CISO / Risk Management</t>
        </is>
      </c>
    </row>
    <row r="7">
      <c r="A7" s="1" t="inlineStr">
        <is>
          <t>Classification</t>
        </is>
      </c>
      <c r="B7" t="inlineStr">
        <is>
          <t>Confidential</t>
        </is>
      </c>
    </row>
    <row r="8">
      <c r="A8" s="1" t="inlineStr">
        <is>
          <t>Review Cycle</t>
        </is>
      </c>
      <c r="B8" t="inlineStr">
        <is>
          <t>Quarterly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Exceptions</t>
        </is>
      </c>
      <c r="B14">
        <f>COUNTA(Exception_Requests!A:A)-1</f>
        <v/>
      </c>
      <c r="C14" t="inlineStr">
        <is>
          <t>&lt;30</t>
        </is>
      </c>
    </row>
    <row r="15">
      <c r="A15" t="inlineStr">
        <is>
          <t>P0/P1 Exceptions</t>
        </is>
      </c>
      <c r="B15">
        <f>COUNTIFS(Exception_Requests!T:T,"P0")+COUNTIFS(Exception_Requests!T:T,"P1")</f>
        <v/>
      </c>
      <c r="C15" t="inlineStr">
        <is>
          <t>0</t>
        </is>
      </c>
    </row>
    <row r="16">
      <c r="A16" t="inlineStr">
        <is>
          <t>Critical Risk Accepted</t>
        </is>
      </c>
      <c r="B16">
        <f>COUNTIF(Exception_Requests!AB:AB,"Critical")</f>
        <v/>
      </c>
      <c r="C16" t="inlineStr">
        <is>
          <t>0</t>
        </is>
      </c>
    </row>
    <row r="17">
      <c r="A17" t="inlineStr">
        <is>
          <t>High Risk Accepted</t>
        </is>
      </c>
      <c r="B17">
        <f>COUNTIF(Exception_Requests!AB:AB,"High")</f>
        <v/>
      </c>
      <c r="C17" t="inlineStr">
        <is>
          <t>&lt;5</t>
        </is>
      </c>
    </row>
    <row r="18">
      <c r="A18" t="inlineStr">
        <is>
          <t>Pending Approval</t>
        </is>
      </c>
      <c r="B18">
        <f>COUNTIF(Exception_Requests!AK:AK,"Pending")</f>
        <v/>
      </c>
      <c r="C18" t="inlineStr">
        <is>
          <t>&lt;10</t>
        </is>
      </c>
    </row>
    <row r="19">
      <c r="A19" t="inlineStr">
        <is>
          <t>Overdue Reviews</t>
        </is>
      </c>
      <c r="B19">
        <f>COUNTIF(Review_Schedule!H:H,"Overdue")</f>
        <v/>
      </c>
      <c r="C19" t="inlineStr">
        <is>
          <t>0</t>
        </is>
      </c>
    </row>
    <row r="20">
      <c r="A20" t="inlineStr">
        <is>
          <t>Permanent Exceptions</t>
        </is>
      </c>
      <c r="B20">
        <f>COUNTIF(Exception_Requests!AL:AL,"Permanent")</f>
        <v/>
      </c>
      <c r="C20" t="inlineStr">
        <is>
          <t>&lt;5</t>
        </is>
      </c>
    </row>
    <row r="21">
      <c r="A21" t="inlineStr">
        <is>
          <t>Total Residual Risk Score</t>
        </is>
      </c>
      <c r="B21">
        <f>SUM(Exception_Requests!AC:AC)</f>
        <v/>
      </c>
      <c r="C21" t="inlineStr">
        <is>
          <t>&lt;500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20" customWidth="1" min="21" max="21"/>
    <col width="80" customWidth="1" min="22" max="22"/>
    <col width="12" customWidth="1" min="23" max="23"/>
    <col width="16" customWidth="1" min="24" max="24"/>
    <col width="12" customWidth="1" min="25" max="25"/>
    <col width="20" customWidth="1" min="26" max="26"/>
    <col width="18" customWidth="1" min="27" max="27"/>
    <col width="18" customWidth="1" min="28" max="28"/>
    <col width="16" customWidth="1" min="29" max="29"/>
    <col width="80" customWidth="1" min="30" max="30"/>
    <col width="30" customWidth="1" min="31" max="31"/>
    <col width="14" customWidth="1" min="32" max="32"/>
    <col width="20" customWidth="1" min="33" max="33"/>
    <col width="20" customWidth="1" min="34" max="34"/>
    <col width="18" customWidth="1" min="35" max="35"/>
    <col width="30" customWidth="1" min="36" max="36"/>
    <col width="16" customWidth="1" min="37" max="37"/>
    <col width="16" customWidth="1" min="38" max="38"/>
    <col width="12" customWidth="1" min="39" max="39"/>
    <col width="12" customWidth="1" min="40" max="40"/>
    <col width="14" customWidth="1" min="41" max="41"/>
    <col width="16" customWidth="1" min="42" max="42"/>
    <col width="12" customWidth="1" min="43" max="43"/>
    <col width="20" customWidth="1" min="44" max="44"/>
    <col width="60" customWidth="1" min="45" max="45"/>
  </cols>
  <sheetData>
    <row r="1">
      <c r="A1" s="4" t="inlineStr">
        <is>
          <t>Exception_ID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Exception_Type</t>
        </is>
      </c>
      <c r="V1" s="4" t="inlineStr">
        <is>
          <t>Exception_Reason</t>
        </is>
      </c>
      <c r="W1" s="4" t="inlineStr">
        <is>
          <t>Request_Date</t>
        </is>
      </c>
      <c r="X1" s="4" t="inlineStr">
        <is>
          <t>Remediation_Cost</t>
        </is>
      </c>
      <c r="Y1" s="4" t="inlineStr">
        <is>
          <t>Downtime_Hours</t>
        </is>
      </c>
      <c r="Z1" s="4" t="inlineStr">
        <is>
          <t>Business_Impact_Cost</t>
        </is>
      </c>
      <c r="AA1" s="4" t="inlineStr">
        <is>
          <t>Risk_Without_Control</t>
        </is>
      </c>
      <c r="AB1" s="4" t="inlineStr">
        <is>
          <t>Risk_With_Controls</t>
        </is>
      </c>
      <c r="AC1" s="4" t="inlineStr">
        <is>
          <t>Residual_Risk_Score</t>
        </is>
      </c>
      <c r="AD1" s="4" t="inlineStr">
        <is>
          <t>Compensating_Controls</t>
        </is>
      </c>
      <c r="AE1" s="4" t="inlineStr">
        <is>
          <t>Control_IDs</t>
        </is>
      </c>
      <c r="AF1" s="4" t="inlineStr">
        <is>
          <t>Controls_Validated</t>
        </is>
      </c>
      <c r="AG1" s="4" t="inlineStr">
        <is>
          <t>Requested_By</t>
        </is>
      </c>
      <c r="AH1" s="4" t="inlineStr">
        <is>
          <t>Requested_For</t>
        </is>
      </c>
      <c r="AI1" s="4" t="inlineStr">
        <is>
          <t>Approval_Required</t>
        </is>
      </c>
      <c r="AJ1" s="4" t="inlineStr">
        <is>
          <t>Approved_By</t>
        </is>
      </c>
      <c r="AK1" s="4" t="inlineStr">
        <is>
          <t>Approval_Status</t>
        </is>
      </c>
      <c r="AL1" s="4" t="inlineStr">
        <is>
          <t>Exception_Duration</t>
        </is>
      </c>
      <c r="AM1" s="4" t="inlineStr">
        <is>
          <t>Expiration_Date</t>
        </is>
      </c>
      <c r="AN1" s="4" t="inlineStr">
        <is>
          <t>Next_Review_Date</t>
        </is>
      </c>
      <c r="AO1" s="4" t="inlineStr">
        <is>
          <t>Review_Frequency</t>
        </is>
      </c>
      <c r="AP1" s="4" t="inlineStr">
        <is>
          <t>Status</t>
        </is>
      </c>
      <c r="AQ1" s="4" t="inlineStr">
        <is>
          <t>Closure_Date</t>
        </is>
      </c>
      <c r="AR1" s="4" t="inlineStr">
        <is>
          <t>Closure_Reason</t>
        </is>
      </c>
      <c r="AS1" s="4" t="inlineStr">
        <is>
          <t>Notes</t>
        </is>
      </c>
    </row>
    <row r="2">
      <c r="A2" t="inlineStr">
        <is>
          <t>EXC-2026-001</t>
        </is>
      </c>
      <c r="B2" t="inlineStr">
        <is>
          <t>VULN-2025-789</t>
        </is>
      </c>
      <c r="D2" t="inlineStr">
        <is>
          <t>Multiple vulnerabilities in Windows Server 2008 R2</t>
        </is>
      </c>
      <c r="E2" t="inlineStr">
        <is>
          <t>legacy-erp.prod.local</t>
        </is>
      </c>
      <c r="F2" t="inlineStr">
        <is>
          <t>Server</t>
        </is>
      </c>
      <c r="G2" t="inlineStr">
        <is>
          <t>Production</t>
        </is>
      </c>
      <c r="I2" s="5" t="n">
        <v>45992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7.8</v>
      </c>
      <c r="P2" t="inlineStr">
        <is>
          <t>N</t>
        </is>
      </c>
      <c r="Q2" t="inlineStr">
        <is>
          <t>N</t>
        </is>
      </c>
      <c r="R2" t="inlineStr">
        <is>
          <t>NVD</t>
        </is>
      </c>
      <c r="T2" t="inlineStr">
        <is>
          <t>P2</t>
        </is>
      </c>
      <c r="U2" t="inlineStr">
        <is>
          <t>EOL System</t>
        </is>
      </c>
      <c r="V2" t="inlineStr">
        <is>
          <t>Windows Server 2008 R2 EOL, ERP requires this OS. Replacement Q2 2026.</t>
        </is>
      </c>
      <c r="W2" s="5" t="n">
        <v>46027</v>
      </c>
      <c r="X2" t="n">
        <v>250000</v>
      </c>
      <c r="Y2" t="n">
        <v>120</v>
      </c>
      <c r="Z2" t="n">
        <v>500000</v>
      </c>
      <c r="AA2" t="inlineStr">
        <is>
          <t>High</t>
        </is>
      </c>
      <c r="AB2" t="inlineStr">
        <is>
          <t>Medium</t>
        </is>
      </c>
      <c r="AC2">
        <f>IF(AB2&lt;&gt;"",CHOOSE(MATCH(AB2,{"Low","Medium","High","Critical"},0),25,50,75,100),"")</f>
        <v/>
      </c>
      <c r="AD2" t="inlineStr">
        <is>
          <t>Network segmentation, enhanced monitoring, MFA, hourly backups</t>
        </is>
      </c>
      <c r="AI2" t="inlineStr">
        <is>
          <t>CISO + CFO</t>
        </is>
      </c>
      <c r="AJ2" t="inlineStr">
        <is>
          <t>CISO, CFO</t>
        </is>
      </c>
      <c r="AK2" t="inlineStr">
        <is>
          <t>Approved</t>
        </is>
      </c>
      <c r="AL2" t="inlineStr">
        <is>
          <t>Temporary</t>
        </is>
      </c>
      <c r="AM2" s="5" t="n">
        <v>46203</v>
      </c>
      <c r="AO2" t="inlineStr">
        <is>
          <t>Quarterly</t>
        </is>
      </c>
      <c r="AP2" t="inlineStr">
        <is>
          <t>Active</t>
        </is>
      </c>
    </row>
    <row r="3">
      <c r="A3" t="inlineStr">
        <is>
          <t>EXC-2025-456</t>
        </is>
      </c>
      <c r="B3" t="inlineStr">
        <is>
          <t>VULN-2025-321</t>
        </is>
      </c>
      <c r="D3" t="inlineStr">
        <is>
          <t>Industrial control system firmware vulnerability</t>
        </is>
      </c>
      <c r="E3" t="inlineStr">
        <is>
          <t>scada-master.ot.local</t>
        </is>
      </c>
      <c r="F3" t="inlineStr">
        <is>
          <t>OT/ICS</t>
        </is>
      </c>
      <c r="G3" t="inlineStr">
        <is>
          <t>Production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8.199999999999999</v>
      </c>
      <c r="Q3" t="inlineStr">
        <is>
          <t>P</t>
        </is>
      </c>
      <c r="T3" t="inlineStr">
        <is>
          <t>P1</t>
        </is>
      </c>
      <c r="U3" t="inlineStr">
        <is>
          <t>Vendor Abandoned</t>
        </is>
      </c>
      <c r="V3" t="inlineStr">
        <is>
          <t>Vendor out of business. Controls critical manufacturing. Replacement CHF 2M + 6mo shutdown.</t>
        </is>
      </c>
      <c r="X3" t="n">
        <v>2000000</v>
      </c>
      <c r="Z3" t="n">
        <v>8000000</v>
      </c>
      <c r="AA3" t="inlineStr">
        <is>
          <t>Critical</t>
        </is>
      </c>
      <c r="AB3" t="inlineStr">
        <is>
          <t>High</t>
        </is>
      </c>
      <c r="AC3">
        <f>IF(AB3&lt;&gt;"",CHOOSE(MATCH(AB3,{"Low","Medium","High","Critical"},0),25,50,75,100),"")</f>
        <v/>
      </c>
      <c r="AD3" t="inlineStr">
        <is>
          <t>Air-gapped network, physical access controls, 24/7 monitoring, manual overrides</t>
        </is>
      </c>
      <c r="AE3" t="inlineStr">
        <is>
          <t>CC-2025-089, CC-2025-090, CC-2025-091</t>
        </is>
      </c>
      <c r="AF3" t="inlineStr">
        <is>
          <t>Y</t>
        </is>
      </c>
      <c r="AI3" t="inlineStr">
        <is>
          <t>CISO + Board</t>
        </is>
      </c>
      <c r="AJ3" t="inlineStr">
        <is>
          <t>CISO, Board Risk Committee</t>
        </is>
      </c>
      <c r="AK3" t="inlineStr">
        <is>
          <t>Approved</t>
        </is>
      </c>
      <c r="AL3" t="inlineStr">
        <is>
          <t>Permanent</t>
        </is>
      </c>
      <c r="AO3" t="inlineStr">
        <is>
          <t>Quarterly</t>
        </is>
      </c>
      <c r="AP3" t="inlineStr">
        <is>
          <t>Active</t>
        </is>
      </c>
    </row>
    <row r="4">
      <c r="A4" t="inlineStr">
        <is>
          <t>EXC-2026-002</t>
        </is>
      </c>
      <c r="B4" t="inlineStr">
        <is>
          <t>VULN-2026-045</t>
        </is>
      </c>
      <c r="D4" t="inlineStr">
        <is>
          <t>Database encryption weakness</t>
        </is>
      </c>
      <c r="E4" t="inlineStr">
        <is>
          <t>analytics-db.staging.local</t>
        </is>
      </c>
      <c r="G4" t="inlineStr">
        <is>
          <t>Staging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5.9</v>
      </c>
      <c r="T4" t="inlineStr">
        <is>
          <t>P3</t>
        </is>
      </c>
      <c r="U4" t="inlineStr">
        <is>
          <t>Cost Prohibitive</t>
        </is>
      </c>
      <c r="V4" t="inlineStr">
        <is>
          <t>Staging environment with test data only. Encryption upgrade CHF 80K not justified.</t>
        </is>
      </c>
      <c r="X4" t="n">
        <v>80000</v>
      </c>
      <c r="AA4" t="inlineStr">
        <is>
          <t>Medium</t>
        </is>
      </c>
      <c r="AB4" t="inlineStr">
        <is>
          <t>Low</t>
        </is>
      </c>
      <c r="AC4">
        <f>IF(AB4&lt;&gt;"",CHOOSE(MATCH(AB4,{"Low","Medium","High","Critical"},0),25,50,75,100),"")</f>
        <v/>
      </c>
      <c r="AI4" t="inlineStr">
        <is>
          <t>CISO</t>
        </is>
      </c>
      <c r="AK4" t="inlineStr">
        <is>
          <t>Pending</t>
        </is>
      </c>
      <c r="AL4" t="inlineStr">
        <is>
          <t>Permanent</t>
        </is>
      </c>
      <c r="AO4" t="inlineStr">
        <is>
          <t>Annual</t>
        </is>
      </c>
      <c r="AP4" t="inlineStr">
        <is>
          <t>Pending Approval</t>
        </is>
      </c>
    </row>
    <row r="5">
      <c r="A5" t="inlineStr">
        <is>
          <t>EXC-2025-123</t>
        </is>
      </c>
      <c r="D5" t="inlineStr">
        <is>
          <t>Web application XSS vulnerability</t>
        </is>
      </c>
      <c r="G5" t="inlineStr">
        <is>
          <t>Production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6.5</v>
      </c>
      <c r="T5" t="inlineStr">
        <is>
          <t>P2</t>
        </is>
      </c>
      <c r="U5" t="inlineStr">
        <is>
          <t>EOL System</t>
        </is>
      </c>
      <c r="AB5" t="inlineStr">
        <is>
          <t>Medium</t>
        </is>
      </c>
      <c r="AC5">
        <f>IF(AB5&lt;&gt;"",CHOOSE(MATCH(AB5,{"Low","Medium","High","Critical"},0),25,50,75,100),"")</f>
        <v/>
      </c>
      <c r="AK5" t="inlineStr">
        <is>
          <t>Expired</t>
        </is>
      </c>
      <c r="AL5" t="inlineStr">
        <is>
          <t>Temporary</t>
        </is>
      </c>
      <c r="AM5" s="5" t="n">
        <v>46022</v>
      </c>
      <c r="AP5" t="inlineStr">
        <is>
          <t>Expired</t>
        </is>
      </c>
    </row>
    <row r="6">
      <c r="K6">
        <f>IF(J6="v4.0",L6,IF(J6="v3.1",M6,IF(J6="Both",L6,IF(AND(L6&lt;&gt;"",M6=""),L6,M6))))</f>
        <v/>
      </c>
      <c r="AC6">
        <f>IF(AB6&lt;&gt;"",CHOOSE(MATCH(AB6,{"Low","Medium","High","Critical"},0),25,50,75,100),"")</f>
        <v/>
      </c>
    </row>
    <row r="7">
      <c r="K7">
        <f>IF(J7="v4.0",L7,IF(J7="v3.1",M7,IF(J7="Both",L7,IF(AND(L7&lt;&gt;"",M7=""),L7,M7))))</f>
        <v/>
      </c>
      <c r="AC7">
        <f>IF(AB7&lt;&gt;"",CHOOSE(MATCH(AB7,{"Low","Medium","High","Critical"},0),25,50,75,100),"")</f>
        <v/>
      </c>
    </row>
    <row r="8">
      <c r="K8">
        <f>IF(J8="v4.0",L8,IF(J8="v3.1",M8,IF(J8="Both",L8,IF(AND(L8&lt;&gt;"",M8=""),L8,M8))))</f>
        <v/>
      </c>
      <c r="AC8">
        <f>IF(AB8&lt;&gt;"",CHOOSE(MATCH(AB8,{"Low","Medium","High","Critical"},0),25,50,75,100),"")</f>
        <v/>
      </c>
    </row>
    <row r="9">
      <c r="K9">
        <f>IF(J9="v4.0",L9,IF(J9="v3.1",M9,IF(J9="Both",L9,IF(AND(L9&lt;&gt;"",M9=""),L9,M9))))</f>
        <v/>
      </c>
      <c r="AC9">
        <f>IF(AB9&lt;&gt;"",CHOOSE(MATCH(AB9,{"Low","Medium","High","Critical"},0),25,50,75,100),"")</f>
        <v/>
      </c>
    </row>
    <row r="10">
      <c r="K10">
        <f>IF(J10="v4.0",L10,IF(J10="v3.1",M10,IF(J10="Both",L10,IF(AND(L10&lt;&gt;"",M10=""),L10,M10))))</f>
        <v/>
      </c>
      <c r="AC10">
        <f>IF(AB10&lt;&gt;"",CHOOSE(MATCH(AB10,{"Low","Medium","High","Critical"},0),25,50,75,100),"")</f>
        <v/>
      </c>
    </row>
    <row r="11">
      <c r="K11">
        <f>IF(J11="v4.0",L11,IF(J11="v3.1",M11,IF(J11="Both",L11,IF(AND(L11&lt;&gt;"",M11=""),L11,M11))))</f>
        <v/>
      </c>
      <c r="AC11">
        <f>IF(AB11&lt;&gt;"",CHOOSE(MATCH(AB11,{"Low","Medium","High","Critical"},0),25,50,75,100),"")</f>
        <v/>
      </c>
    </row>
    <row r="12">
      <c r="K12">
        <f>IF(J12="v4.0",L12,IF(J12="v3.1",M12,IF(J12="Both",L12,IF(AND(L12&lt;&gt;"",M12=""),L12,M12))))</f>
        <v/>
      </c>
      <c r="AC12">
        <f>IF(AB12&lt;&gt;"",CHOOSE(MATCH(AB12,{"Low","Medium","High","Critical"},0),25,50,75,100),"")</f>
        <v/>
      </c>
    </row>
    <row r="13">
      <c r="K13">
        <f>IF(J13="v4.0",L13,IF(J13="v3.1",M13,IF(J13="Both",L13,IF(AND(L13&lt;&gt;"",M13=""),L13,M13))))</f>
        <v/>
      </c>
      <c r="AC13">
        <f>IF(AB13&lt;&gt;"",CHOOSE(MATCH(AB13,{"Low","Medium","High","Critical"},0),25,50,75,100),"")</f>
        <v/>
      </c>
    </row>
    <row r="14">
      <c r="K14">
        <f>IF(J14="v4.0",L14,IF(J14="v3.1",M14,IF(J14="Both",L14,IF(AND(L14&lt;&gt;"",M14=""),L14,M14))))</f>
        <v/>
      </c>
      <c r="AC14">
        <f>IF(AB14&lt;&gt;"",CHOOSE(MATCH(AB14,{"Low","Medium","High","Critical"},0),25,50,75,100),"")</f>
        <v/>
      </c>
    </row>
    <row r="15">
      <c r="K15">
        <f>IF(J15="v4.0",L15,IF(J15="v3.1",M15,IF(J15="Both",L15,IF(AND(L15&lt;&gt;"",M15=""),L15,M15))))</f>
        <v/>
      </c>
      <c r="AC15">
        <f>IF(AB15&lt;&gt;"",CHOOSE(MATCH(AB15,{"Low","Medium","High","Critical"},0),25,50,75,100),"")</f>
        <v/>
      </c>
    </row>
    <row r="16">
      <c r="K16">
        <f>IF(J16="v4.0",L16,IF(J16="v3.1",M16,IF(J16="Both",L16,IF(AND(L16&lt;&gt;"",M16=""),L16,M16))))</f>
        <v/>
      </c>
      <c r="AC16">
        <f>IF(AB16&lt;&gt;"",CHOOSE(MATCH(AB16,{"Low","Medium","High","Critical"},0),25,50,75,100),"")</f>
        <v/>
      </c>
    </row>
    <row r="17">
      <c r="K17">
        <f>IF(J17="v4.0",L17,IF(J17="v3.1",M17,IF(J17="Both",L17,IF(AND(L17&lt;&gt;"",M17=""),L17,M17))))</f>
        <v/>
      </c>
      <c r="AC17">
        <f>IF(AB17&lt;&gt;"",CHOOSE(MATCH(AB17,{"Low","Medium","High","Critical"},0),25,50,75,100),"")</f>
        <v/>
      </c>
    </row>
    <row r="18">
      <c r="K18">
        <f>IF(J18="v4.0",L18,IF(J18="v3.1",M18,IF(J18="Both",L18,IF(AND(L18&lt;&gt;"",M18=""),L18,M18))))</f>
        <v/>
      </c>
      <c r="AC18">
        <f>IF(AB18&lt;&gt;"",CHOOSE(MATCH(AB18,{"Low","Medium","High","Critical"},0),25,50,75,100),"")</f>
        <v/>
      </c>
    </row>
    <row r="19">
      <c r="K19">
        <f>IF(J19="v4.0",L19,IF(J19="v3.1",M19,IF(J19="Both",L19,IF(AND(L19&lt;&gt;"",M19=""),L19,M19))))</f>
        <v/>
      </c>
      <c r="AC19">
        <f>IF(AB19&lt;&gt;"",CHOOSE(MATCH(AB19,{"Low","Medium","High","Critical"},0),25,50,75,100),"")</f>
        <v/>
      </c>
    </row>
    <row r="20">
      <c r="K20">
        <f>IF(J20="v4.0",L20,IF(J20="v3.1",M20,IF(J20="Both",L20,IF(AND(L20&lt;&gt;"",M20=""),L20,M20))))</f>
        <v/>
      </c>
      <c r="AC20">
        <f>IF(AB20&lt;&gt;"",CHOOSE(MATCH(AB20,{"Low","Medium","High","Critical"},0),25,50,75,100),"")</f>
        <v/>
      </c>
    </row>
    <row r="21">
      <c r="K21">
        <f>IF(J21="v4.0",L21,IF(J21="v3.1",M21,IF(J21="Both",L21,IF(AND(L21&lt;&gt;"",M21=""),L21,M21))))</f>
        <v/>
      </c>
      <c r="AC21">
        <f>IF(AB21&lt;&gt;"",CHOOSE(MATCH(AB21,{"Low","Medium","High","Critical"},0),25,50,75,100),"")</f>
        <v/>
      </c>
    </row>
    <row r="22">
      <c r="K22">
        <f>IF(J22="v4.0",L22,IF(J22="v3.1",M22,IF(J22="Both",L22,IF(AND(L22&lt;&gt;"",M22=""),L22,M22))))</f>
        <v/>
      </c>
      <c r="AC22">
        <f>IF(AB22&lt;&gt;"",CHOOSE(MATCH(AB22,{"Low","Medium","High","Critical"},0),25,50,75,100),"")</f>
        <v/>
      </c>
    </row>
    <row r="23">
      <c r="K23">
        <f>IF(J23="v4.0",L23,IF(J23="v3.1",M23,IF(J23="Both",L23,IF(AND(L23&lt;&gt;"",M23=""),L23,M23))))</f>
        <v/>
      </c>
      <c r="AC23">
        <f>IF(AB23&lt;&gt;"",CHOOSE(MATCH(AB23,{"Low","Medium","High","Critical"},0),25,50,75,100),"")</f>
        <v/>
      </c>
    </row>
    <row r="24">
      <c r="K24">
        <f>IF(J24="v4.0",L24,IF(J24="v3.1",M24,IF(J24="Both",L24,IF(AND(L24&lt;&gt;"",M24=""),L24,M24))))</f>
        <v/>
      </c>
      <c r="AC24">
        <f>IF(AB24&lt;&gt;"",CHOOSE(MATCH(AB24,{"Low","Medium","High","Critical"},0),25,50,75,100),"")</f>
        <v/>
      </c>
    </row>
    <row r="25">
      <c r="K25">
        <f>IF(J25="v4.0",L25,IF(J25="v3.1",M25,IF(J25="Both",L25,IF(AND(L25&lt;&gt;"",M25=""),L25,M25))))</f>
        <v/>
      </c>
      <c r="AC25">
        <f>IF(AB25&lt;&gt;"",CHOOSE(MATCH(AB25,{"Low","Medium","High","Critical"},0),25,50,75,100),"")</f>
        <v/>
      </c>
    </row>
    <row r="26">
      <c r="K26">
        <f>IF(J26="v4.0",L26,IF(J26="v3.1",M26,IF(J26="Both",L26,IF(AND(L26&lt;&gt;"",M26=""),L26,M26))))</f>
        <v/>
      </c>
      <c r="AC26">
        <f>IF(AB26&lt;&gt;"",CHOOSE(MATCH(AB26,{"Low","Medium","High","Critical"},0),25,50,75,100),"")</f>
        <v/>
      </c>
    </row>
    <row r="27">
      <c r="K27">
        <f>IF(J27="v4.0",L27,IF(J27="v3.1",M27,IF(J27="Both",L27,IF(AND(L27&lt;&gt;"",M27=""),L27,M27))))</f>
        <v/>
      </c>
      <c r="AC27">
        <f>IF(AB27&lt;&gt;"",CHOOSE(MATCH(AB27,{"Low","Medium","High","Critical"},0),25,50,75,100),"")</f>
        <v/>
      </c>
    </row>
    <row r="28">
      <c r="K28">
        <f>IF(J28="v4.0",L28,IF(J28="v3.1",M28,IF(J28="Both",L28,IF(AND(L28&lt;&gt;"",M28=""),L28,M28))))</f>
        <v/>
      </c>
      <c r="AC28">
        <f>IF(AB28&lt;&gt;"",CHOOSE(MATCH(AB28,{"Low","Medium","High","Critical"},0),25,50,75,100),"")</f>
        <v/>
      </c>
    </row>
    <row r="29">
      <c r="K29">
        <f>IF(J29="v4.0",L29,IF(J29="v3.1",M29,IF(J29="Both",L29,IF(AND(L29&lt;&gt;"",M29=""),L29,M29))))</f>
        <v/>
      </c>
      <c r="AC29">
        <f>IF(AB29&lt;&gt;"",CHOOSE(MATCH(AB29,{"Low","Medium","High","Critical"},0),25,50,75,100),"")</f>
        <v/>
      </c>
    </row>
    <row r="30">
      <c r="K30">
        <f>IF(J30="v4.0",L30,IF(J30="v3.1",M30,IF(J30="Both",L30,IF(AND(L30&lt;&gt;"",M30=""),L30,M30))))</f>
        <v/>
      </c>
      <c r="AC30">
        <f>IF(AB30&lt;&gt;"",CHOOSE(MATCH(AB30,{"Low","Medium","High","Critical"},0),25,50,75,100),"")</f>
        <v/>
      </c>
    </row>
    <row r="31">
      <c r="K31">
        <f>IF(J31="v4.0",L31,IF(J31="v3.1",M31,IF(J31="Both",L31,IF(AND(L31&lt;&gt;"",M31=""),L31,M31))))</f>
        <v/>
      </c>
      <c r="AC31">
        <f>IF(AB31&lt;&gt;"",CHOOSE(MATCH(AB31,{"Low","Medium","High","Critical"},0),25,50,75,100),"")</f>
        <v/>
      </c>
    </row>
    <row r="32">
      <c r="K32">
        <f>IF(J32="v4.0",L32,IF(J32="v3.1",M32,IF(J32="Both",L32,IF(AND(L32&lt;&gt;"",M32=""),L32,M32))))</f>
        <v/>
      </c>
      <c r="AC32">
        <f>IF(AB32&lt;&gt;"",CHOOSE(MATCH(AB32,{"Low","Medium","High","Critical"},0),25,50,75,100),"")</f>
        <v/>
      </c>
    </row>
    <row r="33">
      <c r="K33">
        <f>IF(J33="v4.0",L33,IF(J33="v3.1",M33,IF(J33="Both",L33,IF(AND(L33&lt;&gt;"",M33=""),L33,M33))))</f>
        <v/>
      </c>
      <c r="AC33">
        <f>IF(AB33&lt;&gt;"",CHOOSE(MATCH(AB33,{"Low","Medium","High","Critical"},0),25,50,75,100),"")</f>
        <v/>
      </c>
    </row>
    <row r="34">
      <c r="K34">
        <f>IF(J34="v4.0",L34,IF(J34="v3.1",M34,IF(J34="Both",L34,IF(AND(L34&lt;&gt;"",M34=""),L34,M34))))</f>
        <v/>
      </c>
      <c r="AC34">
        <f>IF(AB34&lt;&gt;"",CHOOSE(MATCH(AB34,{"Low","Medium","High","Critical"},0),25,50,75,100),"")</f>
        <v/>
      </c>
    </row>
    <row r="35">
      <c r="K35">
        <f>IF(J35="v4.0",L35,IF(J35="v3.1",M35,IF(J35="Both",L35,IF(AND(L35&lt;&gt;"",M35=""),L35,M35))))</f>
        <v/>
      </c>
      <c r="AC35">
        <f>IF(AB35&lt;&gt;"",CHOOSE(MATCH(AB35,{"Low","Medium","High","Critical"},0),25,50,75,100),"")</f>
        <v/>
      </c>
    </row>
    <row r="36">
      <c r="K36">
        <f>IF(J36="v4.0",L36,IF(J36="v3.1",M36,IF(J36="Both",L36,IF(AND(L36&lt;&gt;"",M36=""),L36,M36))))</f>
        <v/>
      </c>
      <c r="AC36">
        <f>IF(AB36&lt;&gt;"",CHOOSE(MATCH(AB36,{"Low","Medium","High","Critical"},0),25,50,75,100),"")</f>
        <v/>
      </c>
    </row>
    <row r="37">
      <c r="K37">
        <f>IF(J37="v4.0",L37,IF(J37="v3.1",M37,IF(J37="Both",L37,IF(AND(L37&lt;&gt;"",M37=""),L37,M37))))</f>
        <v/>
      </c>
      <c r="AC37">
        <f>IF(AB37&lt;&gt;"",CHOOSE(MATCH(AB37,{"Low","Medium","High","Critical"},0),25,50,75,100),"")</f>
        <v/>
      </c>
    </row>
    <row r="38">
      <c r="K38">
        <f>IF(J38="v4.0",L38,IF(J38="v3.1",M38,IF(J38="Both",L38,IF(AND(L38&lt;&gt;"",M38=""),L38,M38))))</f>
        <v/>
      </c>
      <c r="AC38">
        <f>IF(AB38&lt;&gt;"",CHOOSE(MATCH(AB38,{"Low","Medium","High","Critical"},0),25,50,75,100),"")</f>
        <v/>
      </c>
    </row>
    <row r="39">
      <c r="K39">
        <f>IF(J39="v4.0",L39,IF(J39="v3.1",M39,IF(J39="Both",L39,IF(AND(L39&lt;&gt;"",M39=""),L39,M39))))</f>
        <v/>
      </c>
      <c r="AC39">
        <f>IF(AB39&lt;&gt;"",CHOOSE(MATCH(AB39,{"Low","Medium","High","Critical"},0),25,50,75,100),"")</f>
        <v/>
      </c>
    </row>
    <row r="40">
      <c r="K40">
        <f>IF(J40="v4.0",L40,IF(J40="v3.1",M40,IF(J40="Both",L40,IF(AND(L40&lt;&gt;"",M40=""),L40,M40))))</f>
        <v/>
      </c>
      <c r="AC40">
        <f>IF(AB40&lt;&gt;"",CHOOSE(MATCH(AB40,{"Low","Medium","High","Critical"},0),25,50,75,100),"")</f>
        <v/>
      </c>
    </row>
    <row r="41">
      <c r="K41">
        <f>IF(J41="v4.0",L41,IF(J41="v3.1",M41,IF(J41="Both",L41,IF(AND(L41&lt;&gt;"",M41=""),L41,M41))))</f>
        <v/>
      </c>
      <c r="AC41">
        <f>IF(AB41&lt;&gt;"",CHOOSE(MATCH(AB41,{"Low","Medium","High","Critical"},0),25,50,75,100),"")</f>
        <v/>
      </c>
    </row>
    <row r="42">
      <c r="K42">
        <f>IF(J42="v4.0",L42,IF(J42="v3.1",M42,IF(J42="Both",L42,IF(AND(L42&lt;&gt;"",M42=""),L42,M42))))</f>
        <v/>
      </c>
      <c r="AC42">
        <f>IF(AB42&lt;&gt;"",CHOOSE(MATCH(AB42,{"Low","Medium","High","Critical"},0),25,50,75,100),"")</f>
        <v/>
      </c>
    </row>
    <row r="43">
      <c r="K43">
        <f>IF(J43="v4.0",L43,IF(J43="v3.1",M43,IF(J43="Both",L43,IF(AND(L43&lt;&gt;"",M43=""),L43,M43))))</f>
        <v/>
      </c>
      <c r="AC43">
        <f>IF(AB43&lt;&gt;"",CHOOSE(MATCH(AB43,{"Low","Medium","High","Critical"},0),25,50,75,100),"")</f>
        <v/>
      </c>
    </row>
    <row r="44">
      <c r="K44">
        <f>IF(J44="v4.0",L44,IF(J44="v3.1",M44,IF(J44="Both",L44,IF(AND(L44&lt;&gt;"",M44=""),L44,M44))))</f>
        <v/>
      </c>
      <c r="AC44">
        <f>IF(AB44&lt;&gt;"",CHOOSE(MATCH(AB44,{"Low","Medium","High","Critical"},0),25,50,75,100),"")</f>
        <v/>
      </c>
    </row>
    <row r="45">
      <c r="K45">
        <f>IF(J45="v4.0",L45,IF(J45="v3.1",M45,IF(J45="Both",L45,IF(AND(L45&lt;&gt;"",M45=""),L45,M45))))</f>
        <v/>
      </c>
      <c r="AC45">
        <f>IF(AB45&lt;&gt;"",CHOOSE(MATCH(AB45,{"Low","Medium","High","Critical"},0),25,50,75,100),"")</f>
        <v/>
      </c>
    </row>
    <row r="46">
      <c r="K46">
        <f>IF(J46="v4.0",L46,IF(J46="v3.1",M46,IF(J46="Both",L46,IF(AND(L46&lt;&gt;"",M46=""),L46,M46))))</f>
        <v/>
      </c>
      <c r="AC46">
        <f>IF(AB46&lt;&gt;"",CHOOSE(MATCH(AB46,{"Low","Medium","High","Critical"},0),25,50,75,100),"")</f>
        <v/>
      </c>
    </row>
    <row r="47">
      <c r="K47">
        <f>IF(J47="v4.0",L47,IF(J47="v3.1",M47,IF(J47="Both",L47,IF(AND(L47&lt;&gt;"",M47=""),L47,M47))))</f>
        <v/>
      </c>
      <c r="AC47">
        <f>IF(AB47&lt;&gt;"",CHOOSE(MATCH(AB47,{"Low","Medium","High","Critical"},0),25,50,75,100),"")</f>
        <v/>
      </c>
    </row>
    <row r="48">
      <c r="K48">
        <f>IF(J48="v4.0",L48,IF(J48="v3.1",M48,IF(J48="Both",L48,IF(AND(L48&lt;&gt;"",M48=""),L48,M48))))</f>
        <v/>
      </c>
      <c r="AC48">
        <f>IF(AB48&lt;&gt;"",CHOOSE(MATCH(AB48,{"Low","Medium","High","Critical"},0),25,50,75,100),"")</f>
        <v/>
      </c>
    </row>
    <row r="49">
      <c r="K49">
        <f>IF(J49="v4.0",L49,IF(J49="v3.1",M49,IF(J49="Both",L49,IF(AND(L49&lt;&gt;"",M49=""),L49,M49))))</f>
        <v/>
      </c>
      <c r="AC49">
        <f>IF(AB49&lt;&gt;"",CHOOSE(MATCH(AB49,{"Low","Medium","High","Critical"},0),25,50,75,100),"")</f>
        <v/>
      </c>
    </row>
    <row r="50">
      <c r="K50">
        <f>IF(J50="v4.0",L50,IF(J50="v3.1",M50,IF(J50="Both",L50,IF(AND(L50&lt;&gt;"",M50=""),L50,M50))))</f>
        <v/>
      </c>
      <c r="AC50">
        <f>IF(AB50&lt;&gt;"",CHOOSE(MATCH(AB50,{"Low","Medium","High","Critical"},0),25,50,75,100),"")</f>
        <v/>
      </c>
    </row>
    <row r="51">
      <c r="K51">
        <f>IF(J51="v4.0",L51,IF(J51="v3.1",M51,IF(J51="Both",L51,IF(AND(L51&lt;&gt;"",M51=""),L51,M51))))</f>
        <v/>
      </c>
      <c r="AC51">
        <f>IF(AB51&lt;&gt;"",CHOOSE(MATCH(AB51,{"Low","Medium","High","Critical"},0),25,50,75,100),"")</f>
        <v/>
      </c>
    </row>
    <row r="52">
      <c r="K52">
        <f>IF(J52="v4.0",L52,IF(J52="v3.1",M52,IF(J52="Both",L52,IF(AND(L52&lt;&gt;"",M52=""),L52,M52))))</f>
        <v/>
      </c>
      <c r="AC52">
        <f>IF(AB52&lt;&gt;"",CHOOSE(MATCH(AB52,{"Low","Medium","High","Critical"},0),25,50,75,100),"")</f>
        <v/>
      </c>
    </row>
    <row r="53">
      <c r="K53">
        <f>IF(J53="v4.0",L53,IF(J53="v3.1",M53,IF(J53="Both",L53,IF(AND(L53&lt;&gt;"",M53=""),L53,M53))))</f>
        <v/>
      </c>
      <c r="AC53">
        <f>IF(AB53&lt;&gt;"",CHOOSE(MATCH(AB53,{"Low","Medium","High","Critical"},0),25,50,75,100),"")</f>
        <v/>
      </c>
    </row>
    <row r="54">
      <c r="K54">
        <f>IF(J54="v4.0",L54,IF(J54="v3.1",M54,IF(J54="Both",L54,IF(AND(L54&lt;&gt;"",M54=""),L54,M54))))</f>
        <v/>
      </c>
      <c r="AC54">
        <f>IF(AB54&lt;&gt;"",CHOOSE(MATCH(AB54,{"Low","Medium","High","Critical"},0),25,50,75,100),"")</f>
        <v/>
      </c>
    </row>
    <row r="55">
      <c r="K55">
        <f>IF(J55="v4.0",L55,IF(J55="v3.1",M55,IF(J55="Both",L55,IF(AND(L55&lt;&gt;"",M55=""),L55,M55))))</f>
        <v/>
      </c>
      <c r="AC55">
        <f>IF(AB55&lt;&gt;"",CHOOSE(MATCH(AB55,{"Low","Medium","High","Critical"},0),25,50,75,100),"")</f>
        <v/>
      </c>
    </row>
    <row r="56">
      <c r="K56">
        <f>IF(J56="v4.0",L56,IF(J56="v3.1",M56,IF(J56="Both",L56,IF(AND(L56&lt;&gt;"",M56=""),L56,M56))))</f>
        <v/>
      </c>
      <c r="AC56">
        <f>IF(AB56&lt;&gt;"",CHOOSE(MATCH(AB56,{"Low","Medium","High","Critical"},0),25,50,75,100),"")</f>
        <v/>
      </c>
    </row>
    <row r="57">
      <c r="K57">
        <f>IF(J57="v4.0",L57,IF(J57="v3.1",M57,IF(J57="Both",L57,IF(AND(L57&lt;&gt;"",M57=""),L57,M57))))</f>
        <v/>
      </c>
      <c r="AC57">
        <f>IF(AB57&lt;&gt;"",CHOOSE(MATCH(AB57,{"Low","Medium","High","Critical"},0),25,50,75,100),"")</f>
        <v/>
      </c>
    </row>
    <row r="58">
      <c r="K58">
        <f>IF(J58="v4.0",L58,IF(J58="v3.1",M58,IF(J58="Both",L58,IF(AND(L58&lt;&gt;"",M58=""),L58,M58))))</f>
        <v/>
      </c>
      <c r="AC58">
        <f>IF(AB58&lt;&gt;"",CHOOSE(MATCH(AB58,{"Low","Medium","High","Critical"},0),25,50,75,100),"")</f>
        <v/>
      </c>
    </row>
    <row r="59">
      <c r="K59">
        <f>IF(J59="v4.0",L59,IF(J59="v3.1",M59,IF(J59="Both",L59,IF(AND(L59&lt;&gt;"",M59=""),L59,M59))))</f>
        <v/>
      </c>
      <c r="AC59">
        <f>IF(AB59&lt;&gt;"",CHOOSE(MATCH(AB59,{"Low","Medium","High","Critical"},0),25,50,75,100),"")</f>
        <v/>
      </c>
    </row>
    <row r="60">
      <c r="K60">
        <f>IF(J60="v4.0",L60,IF(J60="v3.1",M60,IF(J60="Both",L60,IF(AND(L60&lt;&gt;"",M60=""),L60,M60))))</f>
        <v/>
      </c>
      <c r="AC60">
        <f>IF(AB60&lt;&gt;"",CHOOSE(MATCH(AB60,{"Low","Medium","High","Critical"},0),25,50,75,100),"")</f>
        <v/>
      </c>
    </row>
    <row r="61">
      <c r="K61">
        <f>IF(J61="v4.0",L61,IF(J61="v3.1",M61,IF(J61="Both",L61,IF(AND(L61&lt;&gt;"",M61=""),L61,M61))))</f>
        <v/>
      </c>
      <c r="AC61">
        <f>IF(AB61&lt;&gt;"",CHOOSE(MATCH(AB61,{"Low","Medium","High","Critical"},0),25,50,75,100),"")</f>
        <v/>
      </c>
    </row>
    <row r="62">
      <c r="K62">
        <f>IF(J62="v4.0",L62,IF(J62="v3.1",M62,IF(J62="Both",L62,IF(AND(L62&lt;&gt;"",M62=""),L62,M62))))</f>
        <v/>
      </c>
      <c r="AC62">
        <f>IF(AB62&lt;&gt;"",CHOOSE(MATCH(AB62,{"Low","Medium","High","Critical"},0),25,50,75,100),"")</f>
        <v/>
      </c>
    </row>
    <row r="63">
      <c r="K63">
        <f>IF(J63="v4.0",L63,IF(J63="v3.1",M63,IF(J63="Both",L63,IF(AND(L63&lt;&gt;"",M63=""),L63,M63))))</f>
        <v/>
      </c>
      <c r="AC63">
        <f>IF(AB63&lt;&gt;"",CHOOSE(MATCH(AB63,{"Low","Medium","High","Critical"},0),25,50,75,100),"")</f>
        <v/>
      </c>
    </row>
    <row r="64">
      <c r="K64">
        <f>IF(J64="v4.0",L64,IF(J64="v3.1",M64,IF(J64="Both",L64,IF(AND(L64&lt;&gt;"",M64=""),L64,M64))))</f>
        <v/>
      </c>
      <c r="AC64">
        <f>IF(AB64&lt;&gt;"",CHOOSE(MATCH(AB64,{"Low","Medium","High","Critical"},0),25,50,75,100),"")</f>
        <v/>
      </c>
    </row>
    <row r="65">
      <c r="K65">
        <f>IF(J65="v4.0",L65,IF(J65="v3.1",M65,IF(J65="Both",L65,IF(AND(L65&lt;&gt;"",M65=""),L65,M65))))</f>
        <v/>
      </c>
      <c r="AC65">
        <f>IF(AB65&lt;&gt;"",CHOOSE(MATCH(AB65,{"Low","Medium","High","Critical"},0),25,50,75,100),"")</f>
        <v/>
      </c>
    </row>
    <row r="66">
      <c r="K66">
        <f>IF(J66="v4.0",L66,IF(J66="v3.1",M66,IF(J66="Both",L66,IF(AND(L66&lt;&gt;"",M66=""),L66,M66))))</f>
        <v/>
      </c>
      <c r="AC66">
        <f>IF(AB66&lt;&gt;"",CHOOSE(MATCH(AB66,{"Low","Medium","High","Critical"},0),25,50,75,100),"")</f>
        <v/>
      </c>
    </row>
    <row r="67">
      <c r="K67">
        <f>IF(J67="v4.0",L67,IF(J67="v3.1",M67,IF(J67="Both",L67,IF(AND(L67&lt;&gt;"",M67=""),L67,M67))))</f>
        <v/>
      </c>
      <c r="AC67">
        <f>IF(AB67&lt;&gt;"",CHOOSE(MATCH(AB67,{"Low","Medium","High","Critical"},0),25,50,75,100),"")</f>
        <v/>
      </c>
    </row>
    <row r="68">
      <c r="K68">
        <f>IF(J68="v4.0",L68,IF(J68="v3.1",M68,IF(J68="Both",L68,IF(AND(L68&lt;&gt;"",M68=""),L68,M68))))</f>
        <v/>
      </c>
      <c r="AC68">
        <f>IF(AB68&lt;&gt;"",CHOOSE(MATCH(AB68,{"Low","Medium","High","Critical"},0),25,50,75,100),"")</f>
        <v/>
      </c>
    </row>
    <row r="69">
      <c r="K69">
        <f>IF(J69="v4.0",L69,IF(J69="v3.1",M69,IF(J69="Both",L69,IF(AND(L69&lt;&gt;"",M69=""),L69,M69))))</f>
        <v/>
      </c>
      <c r="AC69">
        <f>IF(AB69&lt;&gt;"",CHOOSE(MATCH(AB69,{"Low","Medium","High","Critical"},0),25,50,75,100),"")</f>
        <v/>
      </c>
    </row>
    <row r="70">
      <c r="K70">
        <f>IF(J70="v4.0",L70,IF(J70="v3.1",M70,IF(J70="Both",L70,IF(AND(L70&lt;&gt;"",M70=""),L70,M70))))</f>
        <v/>
      </c>
      <c r="AC70">
        <f>IF(AB70&lt;&gt;"",CHOOSE(MATCH(AB70,{"Low","Medium","High","Critical"},0),25,50,75,100),"")</f>
        <v/>
      </c>
    </row>
    <row r="71">
      <c r="K71">
        <f>IF(J71="v4.0",L71,IF(J71="v3.1",M71,IF(J71="Both",L71,IF(AND(L71&lt;&gt;"",M71=""),L71,M71))))</f>
        <v/>
      </c>
      <c r="AC71">
        <f>IF(AB71&lt;&gt;"",CHOOSE(MATCH(AB71,{"Low","Medium","High","Critical"},0),25,50,75,100),"")</f>
        <v/>
      </c>
    </row>
    <row r="72">
      <c r="K72">
        <f>IF(J72="v4.0",L72,IF(J72="v3.1",M72,IF(J72="Both",L72,IF(AND(L72&lt;&gt;"",M72=""),L72,M72))))</f>
        <v/>
      </c>
      <c r="AC72">
        <f>IF(AB72&lt;&gt;"",CHOOSE(MATCH(AB72,{"Low","Medium","High","Critical"},0),25,50,75,100),"")</f>
        <v/>
      </c>
    </row>
    <row r="73">
      <c r="K73">
        <f>IF(J73="v4.0",L73,IF(J73="v3.1",M73,IF(J73="Both",L73,IF(AND(L73&lt;&gt;"",M73=""),L73,M73))))</f>
        <v/>
      </c>
      <c r="AC73">
        <f>IF(AB73&lt;&gt;"",CHOOSE(MATCH(AB73,{"Low","Medium","High","Critical"},0),25,50,75,100),"")</f>
        <v/>
      </c>
    </row>
    <row r="74">
      <c r="K74">
        <f>IF(J74="v4.0",L74,IF(J74="v3.1",M74,IF(J74="Both",L74,IF(AND(L74&lt;&gt;"",M74=""),L74,M74))))</f>
        <v/>
      </c>
      <c r="AC74">
        <f>IF(AB74&lt;&gt;"",CHOOSE(MATCH(AB74,{"Low","Medium","High","Critical"},0),25,50,75,100),"")</f>
        <v/>
      </c>
    </row>
    <row r="75">
      <c r="K75">
        <f>IF(J75="v4.0",L75,IF(J75="v3.1",M75,IF(J75="Both",L75,IF(AND(L75&lt;&gt;"",M75=""),L75,M75))))</f>
        <v/>
      </c>
      <c r="AC75">
        <f>IF(AB75&lt;&gt;"",CHOOSE(MATCH(AB75,{"Low","Medium","High","Critical"},0),25,50,75,100),"")</f>
        <v/>
      </c>
    </row>
    <row r="76">
      <c r="K76">
        <f>IF(J76="v4.0",L76,IF(J76="v3.1",M76,IF(J76="Both",L76,IF(AND(L76&lt;&gt;"",M76=""),L76,M76))))</f>
        <v/>
      </c>
      <c r="AC76">
        <f>IF(AB76&lt;&gt;"",CHOOSE(MATCH(AB76,{"Low","Medium","High","Critical"},0),25,50,75,100),"")</f>
        <v/>
      </c>
    </row>
    <row r="77">
      <c r="K77">
        <f>IF(J77="v4.0",L77,IF(J77="v3.1",M77,IF(J77="Both",L77,IF(AND(L77&lt;&gt;"",M77=""),L77,M77))))</f>
        <v/>
      </c>
      <c r="AC77">
        <f>IF(AB77&lt;&gt;"",CHOOSE(MATCH(AB77,{"Low","Medium","High","Critical"},0),25,50,75,100),"")</f>
        <v/>
      </c>
    </row>
    <row r="78">
      <c r="K78">
        <f>IF(J78="v4.0",L78,IF(J78="v3.1",M78,IF(J78="Both",L78,IF(AND(L78&lt;&gt;"",M78=""),L78,M78))))</f>
        <v/>
      </c>
      <c r="AC78">
        <f>IF(AB78&lt;&gt;"",CHOOSE(MATCH(AB78,{"Low","Medium","High","Critical"},0),25,50,75,100),"")</f>
        <v/>
      </c>
    </row>
    <row r="79">
      <c r="K79">
        <f>IF(J79="v4.0",L79,IF(J79="v3.1",M79,IF(J79="Both",L79,IF(AND(L79&lt;&gt;"",M79=""),L79,M79))))</f>
        <v/>
      </c>
      <c r="AC79">
        <f>IF(AB79&lt;&gt;"",CHOOSE(MATCH(AB79,{"Low","Medium","High","Critical"},0),25,50,75,100),"")</f>
        <v/>
      </c>
    </row>
    <row r="80">
      <c r="K80">
        <f>IF(J80="v4.0",L80,IF(J80="v3.1",M80,IF(J80="Both",L80,IF(AND(L80&lt;&gt;"",M80=""),L80,M80))))</f>
        <v/>
      </c>
      <c r="AC80">
        <f>IF(AB80&lt;&gt;"",CHOOSE(MATCH(AB80,{"Low","Medium","High","Critical"},0),25,50,75,100),"")</f>
        <v/>
      </c>
    </row>
    <row r="81">
      <c r="K81">
        <f>IF(J81="v4.0",L81,IF(J81="v3.1",M81,IF(J81="Both",L81,IF(AND(L81&lt;&gt;"",M81=""),L81,M81))))</f>
        <v/>
      </c>
      <c r="AC81">
        <f>IF(AB81&lt;&gt;"",CHOOSE(MATCH(AB81,{"Low","Medium","High","Critical"},0),25,50,75,100),"")</f>
        <v/>
      </c>
    </row>
    <row r="82">
      <c r="K82">
        <f>IF(J82="v4.0",L82,IF(J82="v3.1",M82,IF(J82="Both",L82,IF(AND(L82&lt;&gt;"",M82=""),L82,M82))))</f>
        <v/>
      </c>
      <c r="AC82">
        <f>IF(AB82&lt;&gt;"",CHOOSE(MATCH(AB82,{"Low","Medium","High","Critical"},0),25,50,75,100),"")</f>
        <v/>
      </c>
    </row>
    <row r="83">
      <c r="K83">
        <f>IF(J83="v4.0",L83,IF(J83="v3.1",M83,IF(J83="Both",L83,IF(AND(L83&lt;&gt;"",M83=""),L83,M83))))</f>
        <v/>
      </c>
      <c r="AC83">
        <f>IF(AB83&lt;&gt;"",CHOOSE(MATCH(AB83,{"Low","Medium","High","Critical"},0),25,50,75,100),"")</f>
        <v/>
      </c>
    </row>
    <row r="84">
      <c r="K84">
        <f>IF(J84="v4.0",L84,IF(J84="v3.1",M84,IF(J84="Both",L84,IF(AND(L84&lt;&gt;"",M84=""),L84,M84))))</f>
        <v/>
      </c>
      <c r="AC84">
        <f>IF(AB84&lt;&gt;"",CHOOSE(MATCH(AB84,{"Low","Medium","High","Critical"},0),25,50,75,100),"")</f>
        <v/>
      </c>
    </row>
    <row r="85">
      <c r="K85">
        <f>IF(J85="v4.0",L85,IF(J85="v3.1",M85,IF(J85="Both",L85,IF(AND(L85&lt;&gt;"",M85=""),L85,M85))))</f>
        <v/>
      </c>
      <c r="AC85">
        <f>IF(AB85&lt;&gt;"",CHOOSE(MATCH(AB85,{"Low","Medium","High","Critical"},0),25,50,75,100),"")</f>
        <v/>
      </c>
    </row>
    <row r="86">
      <c r="K86">
        <f>IF(J86="v4.0",L86,IF(J86="v3.1",M86,IF(J86="Both",L86,IF(AND(L86&lt;&gt;"",M86=""),L86,M86))))</f>
        <v/>
      </c>
      <c r="AC86">
        <f>IF(AB86&lt;&gt;"",CHOOSE(MATCH(AB86,{"Low","Medium","High","Critical"},0),25,50,75,100),"")</f>
        <v/>
      </c>
    </row>
    <row r="87">
      <c r="K87">
        <f>IF(J87="v4.0",L87,IF(J87="v3.1",M87,IF(J87="Both",L87,IF(AND(L87&lt;&gt;"",M87=""),L87,M87))))</f>
        <v/>
      </c>
      <c r="AC87">
        <f>IF(AB87&lt;&gt;"",CHOOSE(MATCH(AB87,{"Low","Medium","High","Critical"},0),25,50,75,100),"")</f>
        <v/>
      </c>
    </row>
    <row r="88">
      <c r="K88">
        <f>IF(J88="v4.0",L88,IF(J88="v3.1",M88,IF(J88="Both",L88,IF(AND(L88&lt;&gt;"",M88=""),L88,M88))))</f>
        <v/>
      </c>
      <c r="AC88">
        <f>IF(AB88&lt;&gt;"",CHOOSE(MATCH(AB88,{"Low","Medium","High","Critical"},0),25,50,75,100),"")</f>
        <v/>
      </c>
    </row>
    <row r="89">
      <c r="K89">
        <f>IF(J89="v4.0",L89,IF(J89="v3.1",M89,IF(J89="Both",L89,IF(AND(L89&lt;&gt;"",M89=""),L89,M89))))</f>
        <v/>
      </c>
      <c r="AC89">
        <f>IF(AB89&lt;&gt;"",CHOOSE(MATCH(AB89,{"Low","Medium","High","Critical"},0),25,50,75,100),"")</f>
        <v/>
      </c>
    </row>
    <row r="90">
      <c r="K90">
        <f>IF(J90="v4.0",L90,IF(J90="v3.1",M90,IF(J90="Both",L90,IF(AND(L90&lt;&gt;"",M90=""),L90,M90))))</f>
        <v/>
      </c>
      <c r="AC90">
        <f>IF(AB90&lt;&gt;"",CHOOSE(MATCH(AB90,{"Low","Medium","High","Critical"},0),25,50,75,100),"")</f>
        <v/>
      </c>
    </row>
    <row r="91">
      <c r="K91">
        <f>IF(J91="v4.0",L91,IF(J91="v3.1",M91,IF(J91="Both",L91,IF(AND(L91&lt;&gt;"",M91=""),L91,M91))))</f>
        <v/>
      </c>
      <c r="AC91">
        <f>IF(AB91&lt;&gt;"",CHOOSE(MATCH(AB91,{"Low","Medium","High","Critical"},0),25,50,75,100),"")</f>
        <v/>
      </c>
    </row>
    <row r="92">
      <c r="K92">
        <f>IF(J92="v4.0",L92,IF(J92="v3.1",M92,IF(J92="Both",L92,IF(AND(L92&lt;&gt;"",M92=""),L92,M92))))</f>
        <v/>
      </c>
      <c r="AC92">
        <f>IF(AB92&lt;&gt;"",CHOOSE(MATCH(AB92,{"Low","Medium","High","Critical"},0),25,50,75,100),"")</f>
        <v/>
      </c>
    </row>
    <row r="93">
      <c r="K93">
        <f>IF(J93="v4.0",L93,IF(J93="v3.1",M93,IF(J93="Both",L93,IF(AND(L93&lt;&gt;"",M93=""),L93,M93))))</f>
        <v/>
      </c>
      <c r="AC93">
        <f>IF(AB93&lt;&gt;"",CHOOSE(MATCH(AB93,{"Low","Medium","High","Critical"},0),25,50,75,100),"")</f>
        <v/>
      </c>
    </row>
    <row r="94">
      <c r="K94">
        <f>IF(J94="v4.0",L94,IF(J94="v3.1",M94,IF(J94="Both",L94,IF(AND(L94&lt;&gt;"",M94=""),L94,M94))))</f>
        <v/>
      </c>
      <c r="AC94">
        <f>IF(AB94&lt;&gt;"",CHOOSE(MATCH(AB94,{"Low","Medium","High","Critical"},0),25,50,75,100),"")</f>
        <v/>
      </c>
    </row>
    <row r="95">
      <c r="K95">
        <f>IF(J95="v4.0",L95,IF(J95="v3.1",M95,IF(J95="Both",L95,IF(AND(L95&lt;&gt;"",M95=""),L95,M95))))</f>
        <v/>
      </c>
      <c r="AC95">
        <f>IF(AB95&lt;&gt;"",CHOOSE(MATCH(AB95,{"Low","Medium","High","Critical"},0),25,50,75,100),"")</f>
        <v/>
      </c>
    </row>
    <row r="96">
      <c r="K96">
        <f>IF(J96="v4.0",L96,IF(J96="v3.1",M96,IF(J96="Both",L96,IF(AND(L96&lt;&gt;"",M96=""),L96,M96))))</f>
        <v/>
      </c>
      <c r="AC96">
        <f>IF(AB96&lt;&gt;"",CHOOSE(MATCH(AB96,{"Low","Medium","High","Critical"},0),25,50,75,100),"")</f>
        <v/>
      </c>
    </row>
    <row r="97">
      <c r="K97">
        <f>IF(J97="v4.0",L97,IF(J97="v3.1",M97,IF(J97="Both",L97,IF(AND(L97&lt;&gt;"",M97=""),L97,M97))))</f>
        <v/>
      </c>
      <c r="AC97">
        <f>IF(AB97&lt;&gt;"",CHOOSE(MATCH(AB97,{"Low","Medium","High","Critical"},0),25,50,75,100),"")</f>
        <v/>
      </c>
    </row>
    <row r="98">
      <c r="K98">
        <f>IF(J98="v4.0",L98,IF(J98="v3.1",M98,IF(J98="Both",L98,IF(AND(L98&lt;&gt;"",M98=""),L98,M98))))</f>
        <v/>
      </c>
      <c r="AC98">
        <f>IF(AB98&lt;&gt;"",CHOOSE(MATCH(AB98,{"Low","Medium","High","Critical"},0),25,50,75,100),"")</f>
        <v/>
      </c>
    </row>
    <row r="99">
      <c r="K99">
        <f>IF(J99="v4.0",L99,IF(J99="v3.1",M99,IF(J99="Both",L99,IF(AND(L99&lt;&gt;"",M99=""),L99,M99))))</f>
        <v/>
      </c>
      <c r="AC99">
        <f>IF(AB99&lt;&gt;"",CHOOSE(MATCH(AB99,{"Low","Medium","High","Critical"},0),25,50,75,100),"")</f>
        <v/>
      </c>
    </row>
    <row r="100">
      <c r="K100">
        <f>IF(J100="v4.0",L100,IF(J100="v3.1",M100,IF(J100="Both",L100,IF(AND(L100&lt;&gt;"",M100=""),L100,M100))))</f>
        <v/>
      </c>
      <c r="AC100">
        <f>IF(AB100&lt;&gt;"",CHOOSE(MATCH(AB100,{"Low","Medium","High","Critical"},0),25,50,75,100),"")</f>
        <v/>
      </c>
    </row>
    <row r="101">
      <c r="K101">
        <f>IF(J101="v4.0",L101,IF(J101="v3.1",M101,IF(J101="Both",L101,IF(AND(L101&lt;&gt;"",M101=""),L101,M101))))</f>
        <v/>
      </c>
      <c r="AC101">
        <f>IF(AB101&lt;&gt;"",CHOOSE(MATCH(AB101,{"Low","Medium","High","Critical"},0),25,50,75,100),"")</f>
        <v/>
      </c>
    </row>
    <row r="102">
      <c r="K102">
        <f>IF(J102="v4.0",L102,IF(J102="v3.1",M102,IF(J102="Both",L102,IF(AND(L102&lt;&gt;"",M102=""),L102,M102))))</f>
        <v/>
      </c>
      <c r="AC102">
        <f>IF(AB102&lt;&gt;"",CHOOSE(MATCH(AB102,{"Low","Medium","High","Critical"},0),25,50,75,100),"")</f>
        <v/>
      </c>
    </row>
    <row r="103">
      <c r="K103">
        <f>IF(J103="v4.0",L103,IF(J103="v3.1",M103,IF(J103="Both",L103,IF(AND(L103&lt;&gt;"",M103=""),L103,M103))))</f>
        <v/>
      </c>
      <c r="AC103">
        <f>IF(AB103&lt;&gt;"",CHOOSE(MATCH(AB103,{"Low","Medium","High","Critical"},0),25,50,75,100),"")</f>
        <v/>
      </c>
    </row>
    <row r="104">
      <c r="K104">
        <f>IF(J104="v4.0",L104,IF(J104="v3.1",M104,IF(J104="Both",L104,IF(AND(L104&lt;&gt;"",M104=""),L104,M104))))</f>
        <v/>
      </c>
      <c r="AC104">
        <f>IF(AB104&lt;&gt;"",CHOOSE(MATCH(AB104,{"Low","Medium","High","Critical"},0),25,50,75,100),"")</f>
        <v/>
      </c>
    </row>
    <row r="105">
      <c r="K105">
        <f>IF(J105="v4.0",L105,IF(J105="v3.1",M105,IF(J105="Both",L105,IF(AND(L105&lt;&gt;"",M105=""),L105,M105))))</f>
        <v/>
      </c>
      <c r="AC105">
        <f>IF(AB105&lt;&gt;"",CHOOSE(MATCH(AB105,{"Low","Medium","High","Critical"},0),25,50,75,100),"")</f>
        <v/>
      </c>
    </row>
    <row r="106">
      <c r="K106">
        <f>IF(J106="v4.0",L106,IF(J106="v3.1",M106,IF(J106="Both",L106,IF(AND(L106&lt;&gt;"",M106=""),L106,M106))))</f>
        <v/>
      </c>
      <c r="AC106">
        <f>IF(AB106&lt;&gt;"",CHOOSE(MATCH(AB106,{"Low","Medium","High","Critical"},0),25,50,75,100),"")</f>
        <v/>
      </c>
    </row>
    <row r="107">
      <c r="K107">
        <f>IF(J107="v4.0",L107,IF(J107="v3.1",M107,IF(J107="Both",L107,IF(AND(L107&lt;&gt;"",M107=""),L107,M107))))</f>
        <v/>
      </c>
      <c r="AC107">
        <f>IF(AB107&lt;&gt;"",CHOOSE(MATCH(AB107,{"Low","Medium","High","Critical"},0),25,50,75,100),"")</f>
        <v/>
      </c>
    </row>
    <row r="108">
      <c r="K108">
        <f>IF(J108="v4.0",L108,IF(J108="v3.1",M108,IF(J108="Both",L108,IF(AND(L108&lt;&gt;"",M108=""),L108,M108))))</f>
        <v/>
      </c>
      <c r="AC108">
        <f>IF(AB108&lt;&gt;"",CHOOSE(MATCH(AB108,{"Low","Medium","High","Critical"},0),25,50,75,100),"")</f>
        <v/>
      </c>
    </row>
    <row r="109">
      <c r="K109">
        <f>IF(J109="v4.0",L109,IF(J109="v3.1",M109,IF(J109="Both",L109,IF(AND(L109&lt;&gt;"",M109=""),L109,M109))))</f>
        <v/>
      </c>
      <c r="AC109">
        <f>IF(AB109&lt;&gt;"",CHOOSE(MATCH(AB109,{"Low","Medium","High","Critical"},0),25,50,75,100),"")</f>
        <v/>
      </c>
    </row>
    <row r="110">
      <c r="K110">
        <f>IF(J110="v4.0",L110,IF(J110="v3.1",M110,IF(J110="Both",L110,IF(AND(L110&lt;&gt;"",M110=""),L110,M110))))</f>
        <v/>
      </c>
      <c r="AC110">
        <f>IF(AB110&lt;&gt;"",CHOOSE(MATCH(AB110,{"Low","Medium","High","Critical"},0),25,50,75,100),"")</f>
        <v/>
      </c>
    </row>
    <row r="111">
      <c r="K111">
        <f>IF(J111="v4.0",L111,IF(J111="v3.1",M111,IF(J111="Both",L111,IF(AND(L111&lt;&gt;"",M111=""),L111,M111))))</f>
        <v/>
      </c>
      <c r="AC111">
        <f>IF(AB111&lt;&gt;"",CHOOSE(MATCH(AB111,{"Low","Medium","High","Critical"},0),25,50,75,100),"")</f>
        <v/>
      </c>
    </row>
    <row r="112">
      <c r="K112">
        <f>IF(J112="v4.0",L112,IF(J112="v3.1",M112,IF(J112="Both",L112,IF(AND(L112&lt;&gt;"",M112=""),L112,M112))))</f>
        <v/>
      </c>
      <c r="AC112">
        <f>IF(AB112&lt;&gt;"",CHOOSE(MATCH(AB112,{"Low","Medium","High","Critical"},0),25,50,75,100),"")</f>
        <v/>
      </c>
    </row>
    <row r="113">
      <c r="K113">
        <f>IF(J113="v4.0",L113,IF(J113="v3.1",M113,IF(J113="Both",L113,IF(AND(L113&lt;&gt;"",M113=""),L113,M113))))</f>
        <v/>
      </c>
      <c r="AC113">
        <f>IF(AB113&lt;&gt;"",CHOOSE(MATCH(AB113,{"Low","Medium","High","Critical"},0),25,50,75,100),"")</f>
        <v/>
      </c>
    </row>
    <row r="114">
      <c r="K114">
        <f>IF(J114="v4.0",L114,IF(J114="v3.1",M114,IF(J114="Both",L114,IF(AND(L114&lt;&gt;"",M114=""),L114,M114))))</f>
        <v/>
      </c>
      <c r="AC114">
        <f>IF(AB114&lt;&gt;"",CHOOSE(MATCH(AB114,{"Low","Medium","High","Critical"},0),25,50,75,100),"")</f>
        <v/>
      </c>
    </row>
    <row r="115">
      <c r="K115">
        <f>IF(J115="v4.0",L115,IF(J115="v3.1",M115,IF(J115="Both",L115,IF(AND(L115&lt;&gt;"",M115=""),L115,M115))))</f>
        <v/>
      </c>
      <c r="AC115">
        <f>IF(AB115&lt;&gt;"",CHOOSE(MATCH(AB115,{"Low","Medium","High","Critical"},0),25,50,75,100),"")</f>
        <v/>
      </c>
    </row>
    <row r="116">
      <c r="K116">
        <f>IF(J116="v4.0",L116,IF(J116="v3.1",M116,IF(J116="Both",L116,IF(AND(L116&lt;&gt;"",M116=""),L116,M116))))</f>
        <v/>
      </c>
      <c r="AC116">
        <f>IF(AB116&lt;&gt;"",CHOOSE(MATCH(AB116,{"Low","Medium","High","Critical"},0),25,50,75,100),"")</f>
        <v/>
      </c>
    </row>
    <row r="117">
      <c r="K117">
        <f>IF(J117="v4.0",L117,IF(J117="v3.1",M117,IF(J117="Both",L117,IF(AND(L117&lt;&gt;"",M117=""),L117,M117))))</f>
        <v/>
      </c>
      <c r="AC117">
        <f>IF(AB117&lt;&gt;"",CHOOSE(MATCH(AB117,{"Low","Medium","High","Critical"},0),25,50,75,100),"")</f>
        <v/>
      </c>
    </row>
    <row r="118">
      <c r="K118">
        <f>IF(J118="v4.0",L118,IF(J118="v3.1",M118,IF(J118="Both",L118,IF(AND(L118&lt;&gt;"",M118=""),L118,M118))))</f>
        <v/>
      </c>
      <c r="AC118">
        <f>IF(AB118&lt;&gt;"",CHOOSE(MATCH(AB118,{"Low","Medium","High","Critical"},0),25,50,75,100),"")</f>
        <v/>
      </c>
    </row>
    <row r="119">
      <c r="K119">
        <f>IF(J119="v4.0",L119,IF(J119="v3.1",M119,IF(J119="Both",L119,IF(AND(L119&lt;&gt;"",M119=""),L119,M119))))</f>
        <v/>
      </c>
      <c r="AC119">
        <f>IF(AB119&lt;&gt;"",CHOOSE(MATCH(AB119,{"Low","Medium","High","Critical"},0),25,50,75,100),"")</f>
        <v/>
      </c>
    </row>
    <row r="120">
      <c r="K120">
        <f>IF(J120="v4.0",L120,IF(J120="v3.1",M120,IF(J120="Both",L120,IF(AND(L120&lt;&gt;"",M120=""),L120,M120))))</f>
        <v/>
      </c>
      <c r="AC120">
        <f>IF(AB120&lt;&gt;"",CHOOSE(MATCH(AB120,{"Low","Medium","High","Critical"},0),25,50,75,100),"")</f>
        <v/>
      </c>
    </row>
    <row r="121">
      <c r="K121">
        <f>IF(J121="v4.0",L121,IF(J121="v3.1",M121,IF(J121="Both",L121,IF(AND(L121&lt;&gt;"",M121=""),L121,M121))))</f>
        <v/>
      </c>
      <c r="AC121">
        <f>IF(AB121&lt;&gt;"",CHOOSE(MATCH(AB121,{"Low","Medium","High","Critical"},0),25,50,75,100),"")</f>
        <v/>
      </c>
    </row>
    <row r="122">
      <c r="K122">
        <f>IF(J122="v4.0",L122,IF(J122="v3.1",M122,IF(J122="Both",L122,IF(AND(L122&lt;&gt;"",M122=""),L122,M122))))</f>
        <v/>
      </c>
      <c r="AC122">
        <f>IF(AB122&lt;&gt;"",CHOOSE(MATCH(AB122,{"Low","Medium","High","Critical"},0),25,50,75,100),"")</f>
        <v/>
      </c>
    </row>
    <row r="123">
      <c r="K123">
        <f>IF(J123="v4.0",L123,IF(J123="v3.1",M123,IF(J123="Both",L123,IF(AND(L123&lt;&gt;"",M123=""),L123,M123))))</f>
        <v/>
      </c>
      <c r="AC123">
        <f>IF(AB123&lt;&gt;"",CHOOSE(MATCH(AB123,{"Low","Medium","High","Critical"},0),25,50,75,100),"")</f>
        <v/>
      </c>
    </row>
    <row r="124">
      <c r="K124">
        <f>IF(J124="v4.0",L124,IF(J124="v3.1",M124,IF(J124="Both",L124,IF(AND(L124&lt;&gt;"",M124=""),L124,M124))))</f>
        <v/>
      </c>
      <c r="AC124">
        <f>IF(AB124&lt;&gt;"",CHOOSE(MATCH(AB124,{"Low","Medium","High","Critical"},0),25,50,75,100),"")</f>
        <v/>
      </c>
    </row>
    <row r="125">
      <c r="K125">
        <f>IF(J125="v4.0",L125,IF(J125="v3.1",M125,IF(J125="Both",L125,IF(AND(L125&lt;&gt;"",M125=""),L125,M125))))</f>
        <v/>
      </c>
      <c r="AC125">
        <f>IF(AB125&lt;&gt;"",CHOOSE(MATCH(AB125,{"Low","Medium","High","Critical"},0),25,50,75,100),"")</f>
        <v/>
      </c>
    </row>
    <row r="126">
      <c r="K126">
        <f>IF(J126="v4.0",L126,IF(J126="v3.1",M126,IF(J126="Both",L126,IF(AND(L126&lt;&gt;"",M126=""),L126,M126))))</f>
        <v/>
      </c>
      <c r="AC126">
        <f>IF(AB126&lt;&gt;"",CHOOSE(MATCH(AB126,{"Low","Medium","High","Critical"},0),25,50,75,100),"")</f>
        <v/>
      </c>
    </row>
    <row r="127">
      <c r="K127">
        <f>IF(J127="v4.0",L127,IF(J127="v3.1",M127,IF(J127="Both",L127,IF(AND(L127&lt;&gt;"",M127=""),L127,M127))))</f>
        <v/>
      </c>
      <c r="AC127">
        <f>IF(AB127&lt;&gt;"",CHOOSE(MATCH(AB127,{"Low","Medium","High","Critical"},0),25,50,75,100),"")</f>
        <v/>
      </c>
    </row>
    <row r="128">
      <c r="K128">
        <f>IF(J128="v4.0",L128,IF(J128="v3.1",M128,IF(J128="Both",L128,IF(AND(L128&lt;&gt;"",M128=""),L128,M128))))</f>
        <v/>
      </c>
      <c r="AC128">
        <f>IF(AB128&lt;&gt;"",CHOOSE(MATCH(AB128,{"Low","Medium","High","Critical"},0),25,50,75,100),"")</f>
        <v/>
      </c>
    </row>
    <row r="129">
      <c r="K129">
        <f>IF(J129="v4.0",L129,IF(J129="v3.1",M129,IF(J129="Both",L129,IF(AND(L129&lt;&gt;"",M129=""),L129,M129))))</f>
        <v/>
      </c>
      <c r="AC129">
        <f>IF(AB129&lt;&gt;"",CHOOSE(MATCH(AB129,{"Low","Medium","High","Critical"},0),25,50,75,100),"")</f>
        <v/>
      </c>
    </row>
    <row r="130">
      <c r="K130">
        <f>IF(J130="v4.0",L130,IF(J130="v3.1",M130,IF(J130="Both",L130,IF(AND(L130&lt;&gt;"",M130=""),L130,M130))))</f>
        <v/>
      </c>
      <c r="AC130">
        <f>IF(AB130&lt;&gt;"",CHOOSE(MATCH(AB130,{"Low","Medium","High","Critical"},0),25,50,75,100),"")</f>
        <v/>
      </c>
    </row>
    <row r="131">
      <c r="K131">
        <f>IF(J131="v4.0",L131,IF(J131="v3.1",M131,IF(J131="Both",L131,IF(AND(L131&lt;&gt;"",M131=""),L131,M131))))</f>
        <v/>
      </c>
      <c r="AC131">
        <f>IF(AB131&lt;&gt;"",CHOOSE(MATCH(AB131,{"Low","Medium","High","Critical"},0),25,50,75,100),"")</f>
        <v/>
      </c>
    </row>
    <row r="132">
      <c r="K132">
        <f>IF(J132="v4.0",L132,IF(J132="v3.1",M132,IF(J132="Both",L132,IF(AND(L132&lt;&gt;"",M132=""),L132,M132))))</f>
        <v/>
      </c>
      <c r="AC132">
        <f>IF(AB132&lt;&gt;"",CHOOSE(MATCH(AB132,{"Low","Medium","High","Critical"},0),25,50,75,100),"")</f>
        <v/>
      </c>
    </row>
    <row r="133">
      <c r="K133">
        <f>IF(J133="v4.0",L133,IF(J133="v3.1",M133,IF(J133="Both",L133,IF(AND(L133&lt;&gt;"",M133=""),L133,M133))))</f>
        <v/>
      </c>
      <c r="AC133">
        <f>IF(AB133&lt;&gt;"",CHOOSE(MATCH(AB133,{"Low","Medium","High","Critical"},0),25,50,75,100),"")</f>
        <v/>
      </c>
    </row>
    <row r="134">
      <c r="K134">
        <f>IF(J134="v4.0",L134,IF(J134="v3.1",M134,IF(J134="Both",L134,IF(AND(L134&lt;&gt;"",M134=""),L134,M134))))</f>
        <v/>
      </c>
      <c r="AC134">
        <f>IF(AB134&lt;&gt;"",CHOOSE(MATCH(AB134,{"Low","Medium","High","Critical"},0),25,50,75,100),"")</f>
        <v/>
      </c>
    </row>
    <row r="135">
      <c r="K135">
        <f>IF(J135="v4.0",L135,IF(J135="v3.1",M135,IF(J135="Both",L135,IF(AND(L135&lt;&gt;"",M135=""),L135,M135))))</f>
        <v/>
      </c>
      <c r="AC135">
        <f>IF(AB135&lt;&gt;"",CHOOSE(MATCH(AB135,{"Low","Medium","High","Critical"},0),25,50,75,100),"")</f>
        <v/>
      </c>
    </row>
    <row r="136">
      <c r="K136">
        <f>IF(J136="v4.0",L136,IF(J136="v3.1",M136,IF(J136="Both",L136,IF(AND(L136&lt;&gt;"",M136=""),L136,M136))))</f>
        <v/>
      </c>
      <c r="AC136">
        <f>IF(AB136&lt;&gt;"",CHOOSE(MATCH(AB136,{"Low","Medium","High","Critical"},0),25,50,75,100),"")</f>
        <v/>
      </c>
    </row>
    <row r="137">
      <c r="K137">
        <f>IF(J137="v4.0",L137,IF(J137="v3.1",M137,IF(J137="Both",L137,IF(AND(L137&lt;&gt;"",M137=""),L137,M137))))</f>
        <v/>
      </c>
      <c r="AC137">
        <f>IF(AB137&lt;&gt;"",CHOOSE(MATCH(AB137,{"Low","Medium","High","Critical"},0),25,50,75,100),"")</f>
        <v/>
      </c>
    </row>
    <row r="138">
      <c r="K138">
        <f>IF(J138="v4.0",L138,IF(J138="v3.1",M138,IF(J138="Both",L138,IF(AND(L138&lt;&gt;"",M138=""),L138,M138))))</f>
        <v/>
      </c>
      <c r="AC138">
        <f>IF(AB138&lt;&gt;"",CHOOSE(MATCH(AB138,{"Low","Medium","High","Critical"},0),25,50,75,100),"")</f>
        <v/>
      </c>
    </row>
    <row r="139">
      <c r="K139">
        <f>IF(J139="v4.0",L139,IF(J139="v3.1",M139,IF(J139="Both",L139,IF(AND(L139&lt;&gt;"",M139=""),L139,M139))))</f>
        <v/>
      </c>
      <c r="AC139">
        <f>IF(AB139&lt;&gt;"",CHOOSE(MATCH(AB139,{"Low","Medium","High","Critical"},0),25,50,75,100),"")</f>
        <v/>
      </c>
    </row>
    <row r="140">
      <c r="K140">
        <f>IF(J140="v4.0",L140,IF(J140="v3.1",M140,IF(J140="Both",L140,IF(AND(L140&lt;&gt;"",M140=""),L140,M140))))</f>
        <v/>
      </c>
      <c r="AC140">
        <f>IF(AB140&lt;&gt;"",CHOOSE(MATCH(AB140,{"Low","Medium","High","Critical"},0),25,50,75,100),"")</f>
        <v/>
      </c>
    </row>
    <row r="141">
      <c r="K141">
        <f>IF(J141="v4.0",L141,IF(J141="v3.1",M141,IF(J141="Both",L141,IF(AND(L141&lt;&gt;"",M141=""),L141,M141))))</f>
        <v/>
      </c>
      <c r="AC141">
        <f>IF(AB141&lt;&gt;"",CHOOSE(MATCH(AB141,{"Low","Medium","High","Critical"},0),25,50,75,100),"")</f>
        <v/>
      </c>
    </row>
    <row r="142">
      <c r="K142">
        <f>IF(J142="v4.0",L142,IF(J142="v3.1",M142,IF(J142="Both",L142,IF(AND(L142&lt;&gt;"",M142=""),L142,M142))))</f>
        <v/>
      </c>
      <c r="AC142">
        <f>IF(AB142&lt;&gt;"",CHOOSE(MATCH(AB142,{"Low","Medium","High","Critical"},0),25,50,75,100),"")</f>
        <v/>
      </c>
    </row>
    <row r="143">
      <c r="K143">
        <f>IF(J143="v4.0",L143,IF(J143="v3.1",M143,IF(J143="Both",L143,IF(AND(L143&lt;&gt;"",M143=""),L143,M143))))</f>
        <v/>
      </c>
      <c r="AC143">
        <f>IF(AB143&lt;&gt;"",CHOOSE(MATCH(AB143,{"Low","Medium","High","Critical"},0),25,50,75,100),"")</f>
        <v/>
      </c>
    </row>
    <row r="144">
      <c r="K144">
        <f>IF(J144="v4.0",L144,IF(J144="v3.1",M144,IF(J144="Both",L144,IF(AND(L144&lt;&gt;"",M144=""),L144,M144))))</f>
        <v/>
      </c>
      <c r="AC144">
        <f>IF(AB144&lt;&gt;"",CHOOSE(MATCH(AB144,{"Low","Medium","High","Critical"},0),25,50,75,100),"")</f>
        <v/>
      </c>
    </row>
    <row r="145">
      <c r="K145">
        <f>IF(J145="v4.0",L145,IF(J145="v3.1",M145,IF(J145="Both",L145,IF(AND(L145&lt;&gt;"",M145=""),L145,M145))))</f>
        <v/>
      </c>
      <c r="AC145">
        <f>IF(AB145&lt;&gt;"",CHOOSE(MATCH(AB145,{"Low","Medium","High","Critical"},0),25,50,75,100),"")</f>
        <v/>
      </c>
    </row>
    <row r="146">
      <c r="K146">
        <f>IF(J146="v4.0",L146,IF(J146="v3.1",M146,IF(J146="Both",L146,IF(AND(L146&lt;&gt;"",M146=""),L146,M146))))</f>
        <v/>
      </c>
      <c r="AC146">
        <f>IF(AB146&lt;&gt;"",CHOOSE(MATCH(AB146,{"Low","Medium","High","Critical"},0),25,50,75,100),"")</f>
        <v/>
      </c>
    </row>
    <row r="147">
      <c r="K147">
        <f>IF(J147="v4.0",L147,IF(J147="v3.1",M147,IF(J147="Both",L147,IF(AND(L147&lt;&gt;"",M147=""),L147,M147))))</f>
        <v/>
      </c>
      <c r="AC147">
        <f>IF(AB147&lt;&gt;"",CHOOSE(MATCH(AB147,{"Low","Medium","High","Critical"},0),25,50,75,100),"")</f>
        <v/>
      </c>
    </row>
    <row r="148">
      <c r="K148">
        <f>IF(J148="v4.0",L148,IF(J148="v3.1",M148,IF(J148="Both",L148,IF(AND(L148&lt;&gt;"",M148=""),L148,M148))))</f>
        <v/>
      </c>
      <c r="AC148">
        <f>IF(AB148&lt;&gt;"",CHOOSE(MATCH(AB148,{"Low","Medium","High","Critical"},0),25,50,75,100),"")</f>
        <v/>
      </c>
    </row>
    <row r="149">
      <c r="K149">
        <f>IF(J149="v4.0",L149,IF(J149="v3.1",M149,IF(J149="Both",L149,IF(AND(L149&lt;&gt;"",M149=""),L149,M149))))</f>
        <v/>
      </c>
      <c r="AC149">
        <f>IF(AB149&lt;&gt;"",CHOOSE(MATCH(AB149,{"Low","Medium","High","Critical"},0),25,50,75,100),"")</f>
        <v/>
      </c>
    </row>
    <row r="150">
      <c r="K150">
        <f>IF(J150="v4.0",L150,IF(J150="v3.1",M150,IF(J150="Both",L150,IF(AND(L150&lt;&gt;"",M150=""),L150,M150))))</f>
        <v/>
      </c>
      <c r="AC150">
        <f>IF(AB150&lt;&gt;"",CHOOSE(MATCH(AB150,{"Low","Medium","High","Critical"},0),25,50,75,100),"")</f>
        <v/>
      </c>
    </row>
    <row r="151">
      <c r="K151">
        <f>IF(J151="v4.0",L151,IF(J151="v3.1",M151,IF(J151="Both",L151,IF(AND(L151&lt;&gt;"",M151=""),L151,M151))))</f>
        <v/>
      </c>
      <c r="AC151">
        <f>IF(AB151&lt;&gt;"",CHOOSE(MATCH(AB151,{"Low","Medium","High","Critical"},0),25,50,75,100),"")</f>
        <v/>
      </c>
    </row>
    <row r="152">
      <c r="K152">
        <f>IF(J152="v4.0",L152,IF(J152="v3.1",M152,IF(J152="Both",L152,IF(AND(L152&lt;&gt;"",M152=""),L152,M152))))</f>
        <v/>
      </c>
      <c r="AC152">
        <f>IF(AB152&lt;&gt;"",CHOOSE(MATCH(AB152,{"Low","Medium","High","Critical"},0),25,50,75,100),"")</f>
        <v/>
      </c>
    </row>
    <row r="153">
      <c r="K153">
        <f>IF(J153="v4.0",L153,IF(J153="v3.1",M153,IF(J153="Both",L153,IF(AND(L153&lt;&gt;"",M153=""),L153,M153))))</f>
        <v/>
      </c>
      <c r="AC153">
        <f>IF(AB153&lt;&gt;"",CHOOSE(MATCH(AB153,{"Low","Medium","High","Critical"},0),25,50,75,100),"")</f>
        <v/>
      </c>
    </row>
    <row r="154">
      <c r="K154">
        <f>IF(J154="v4.0",L154,IF(J154="v3.1",M154,IF(J154="Both",L154,IF(AND(L154&lt;&gt;"",M154=""),L154,M154))))</f>
        <v/>
      </c>
      <c r="AC154">
        <f>IF(AB154&lt;&gt;"",CHOOSE(MATCH(AB154,{"Low","Medium","High","Critical"},0),25,50,75,100),"")</f>
        <v/>
      </c>
    </row>
    <row r="155">
      <c r="K155">
        <f>IF(J155="v4.0",L155,IF(J155="v3.1",M155,IF(J155="Both",L155,IF(AND(L155&lt;&gt;"",M155=""),L155,M155))))</f>
        <v/>
      </c>
      <c r="AC155">
        <f>IF(AB155&lt;&gt;"",CHOOSE(MATCH(AB155,{"Low","Medium","High","Critical"},0),25,50,75,100),"")</f>
        <v/>
      </c>
    </row>
    <row r="156">
      <c r="K156">
        <f>IF(J156="v4.0",L156,IF(J156="v3.1",M156,IF(J156="Both",L156,IF(AND(L156&lt;&gt;"",M156=""),L156,M156))))</f>
        <v/>
      </c>
      <c r="AC156">
        <f>IF(AB156&lt;&gt;"",CHOOSE(MATCH(AB156,{"Low","Medium","High","Critical"},0),25,50,75,100),"")</f>
        <v/>
      </c>
    </row>
    <row r="157">
      <c r="K157">
        <f>IF(J157="v4.0",L157,IF(J157="v3.1",M157,IF(J157="Both",L157,IF(AND(L157&lt;&gt;"",M157=""),L157,M157))))</f>
        <v/>
      </c>
      <c r="AC157">
        <f>IF(AB157&lt;&gt;"",CHOOSE(MATCH(AB157,{"Low","Medium","High","Critical"},0),25,50,75,100),"")</f>
        <v/>
      </c>
    </row>
    <row r="158">
      <c r="K158">
        <f>IF(J158="v4.0",L158,IF(J158="v3.1",M158,IF(J158="Both",L158,IF(AND(L158&lt;&gt;"",M158=""),L158,M158))))</f>
        <v/>
      </c>
      <c r="AC158">
        <f>IF(AB158&lt;&gt;"",CHOOSE(MATCH(AB158,{"Low","Medium","High","Critical"},0),25,50,75,100),"")</f>
        <v/>
      </c>
    </row>
    <row r="159">
      <c r="K159">
        <f>IF(J159="v4.0",L159,IF(J159="v3.1",M159,IF(J159="Both",L159,IF(AND(L159&lt;&gt;"",M159=""),L159,M159))))</f>
        <v/>
      </c>
      <c r="AC159">
        <f>IF(AB159&lt;&gt;"",CHOOSE(MATCH(AB159,{"Low","Medium","High","Critical"},0),25,50,75,100),"")</f>
        <v/>
      </c>
    </row>
    <row r="160">
      <c r="K160">
        <f>IF(J160="v4.0",L160,IF(J160="v3.1",M160,IF(J160="Both",L160,IF(AND(L160&lt;&gt;"",M160=""),L160,M160))))</f>
        <v/>
      </c>
      <c r="AC160">
        <f>IF(AB160&lt;&gt;"",CHOOSE(MATCH(AB160,{"Low","Medium","High","Critical"},0),25,50,75,100),"")</f>
        <v/>
      </c>
    </row>
    <row r="161">
      <c r="K161">
        <f>IF(J161="v4.0",L161,IF(J161="v3.1",M161,IF(J161="Both",L161,IF(AND(L161&lt;&gt;"",M161=""),L161,M161))))</f>
        <v/>
      </c>
      <c r="AC161">
        <f>IF(AB161&lt;&gt;"",CHOOSE(MATCH(AB161,{"Low","Medium","High","Critical"},0),25,50,75,100),"")</f>
        <v/>
      </c>
    </row>
    <row r="162">
      <c r="K162">
        <f>IF(J162="v4.0",L162,IF(J162="v3.1",M162,IF(J162="Both",L162,IF(AND(L162&lt;&gt;"",M162=""),L162,M162))))</f>
        <v/>
      </c>
      <c r="AC162">
        <f>IF(AB162&lt;&gt;"",CHOOSE(MATCH(AB162,{"Low","Medium","High","Critical"},0),25,50,75,100),"")</f>
        <v/>
      </c>
    </row>
    <row r="163">
      <c r="K163">
        <f>IF(J163="v4.0",L163,IF(J163="v3.1",M163,IF(J163="Both",L163,IF(AND(L163&lt;&gt;"",M163=""),L163,M163))))</f>
        <v/>
      </c>
      <c r="AC163">
        <f>IF(AB163&lt;&gt;"",CHOOSE(MATCH(AB163,{"Low","Medium","High","Critical"},0),25,50,75,100),"")</f>
        <v/>
      </c>
    </row>
    <row r="164">
      <c r="K164">
        <f>IF(J164="v4.0",L164,IF(J164="v3.1",M164,IF(J164="Both",L164,IF(AND(L164&lt;&gt;"",M164=""),L164,M164))))</f>
        <v/>
      </c>
      <c r="AC164">
        <f>IF(AB164&lt;&gt;"",CHOOSE(MATCH(AB164,{"Low","Medium","High","Critical"},0),25,50,75,100),"")</f>
        <v/>
      </c>
    </row>
    <row r="165">
      <c r="K165">
        <f>IF(J165="v4.0",L165,IF(J165="v3.1",M165,IF(J165="Both",L165,IF(AND(L165&lt;&gt;"",M165=""),L165,M165))))</f>
        <v/>
      </c>
      <c r="AC165">
        <f>IF(AB165&lt;&gt;"",CHOOSE(MATCH(AB165,{"Low","Medium","High","Critical"},0),25,50,75,100),"")</f>
        <v/>
      </c>
    </row>
    <row r="166">
      <c r="K166">
        <f>IF(J166="v4.0",L166,IF(J166="v3.1",M166,IF(J166="Both",L166,IF(AND(L166&lt;&gt;"",M166=""),L166,M166))))</f>
        <v/>
      </c>
      <c r="AC166">
        <f>IF(AB166&lt;&gt;"",CHOOSE(MATCH(AB166,{"Low","Medium","High","Critical"},0),25,50,75,100),"")</f>
        <v/>
      </c>
    </row>
    <row r="167">
      <c r="K167">
        <f>IF(J167="v4.0",L167,IF(J167="v3.1",M167,IF(J167="Both",L167,IF(AND(L167&lt;&gt;"",M167=""),L167,M167))))</f>
        <v/>
      </c>
      <c r="AC167">
        <f>IF(AB167&lt;&gt;"",CHOOSE(MATCH(AB167,{"Low","Medium","High","Critical"},0),25,50,75,100),"")</f>
        <v/>
      </c>
    </row>
    <row r="168">
      <c r="K168">
        <f>IF(J168="v4.0",L168,IF(J168="v3.1",M168,IF(J168="Both",L168,IF(AND(L168&lt;&gt;"",M168=""),L168,M168))))</f>
        <v/>
      </c>
      <c r="AC168">
        <f>IF(AB168&lt;&gt;"",CHOOSE(MATCH(AB168,{"Low","Medium","High","Critical"},0),25,50,75,100),"")</f>
        <v/>
      </c>
    </row>
    <row r="169">
      <c r="K169">
        <f>IF(J169="v4.0",L169,IF(J169="v3.1",M169,IF(J169="Both",L169,IF(AND(L169&lt;&gt;"",M169=""),L169,M169))))</f>
        <v/>
      </c>
      <c r="AC169">
        <f>IF(AB169&lt;&gt;"",CHOOSE(MATCH(AB169,{"Low","Medium","High","Critical"},0),25,50,75,100),"")</f>
        <v/>
      </c>
    </row>
    <row r="170">
      <c r="K170">
        <f>IF(J170="v4.0",L170,IF(J170="v3.1",M170,IF(J170="Both",L170,IF(AND(L170&lt;&gt;"",M170=""),L170,M170))))</f>
        <v/>
      </c>
      <c r="AC170">
        <f>IF(AB170&lt;&gt;"",CHOOSE(MATCH(AB170,{"Low","Medium","High","Critical"},0),25,50,75,100),"")</f>
        <v/>
      </c>
    </row>
    <row r="171">
      <c r="K171">
        <f>IF(J171="v4.0",L171,IF(J171="v3.1",M171,IF(J171="Both",L171,IF(AND(L171&lt;&gt;"",M171=""),L171,M171))))</f>
        <v/>
      </c>
      <c r="AC171">
        <f>IF(AB171&lt;&gt;"",CHOOSE(MATCH(AB171,{"Low","Medium","High","Critical"},0),25,50,75,100),"")</f>
        <v/>
      </c>
    </row>
    <row r="172">
      <c r="K172">
        <f>IF(J172="v4.0",L172,IF(J172="v3.1",M172,IF(J172="Both",L172,IF(AND(L172&lt;&gt;"",M172=""),L172,M172))))</f>
        <v/>
      </c>
      <c r="AC172">
        <f>IF(AB172&lt;&gt;"",CHOOSE(MATCH(AB172,{"Low","Medium","High","Critical"},0),25,50,75,100),"")</f>
        <v/>
      </c>
    </row>
    <row r="173">
      <c r="K173">
        <f>IF(J173="v4.0",L173,IF(J173="v3.1",M173,IF(J173="Both",L173,IF(AND(L173&lt;&gt;"",M173=""),L173,M173))))</f>
        <v/>
      </c>
      <c r="AC173">
        <f>IF(AB173&lt;&gt;"",CHOOSE(MATCH(AB173,{"Low","Medium","High","Critical"},0),25,50,75,100),"")</f>
        <v/>
      </c>
    </row>
    <row r="174">
      <c r="K174">
        <f>IF(J174="v4.0",L174,IF(J174="v3.1",M174,IF(J174="Both",L174,IF(AND(L174&lt;&gt;"",M174=""),L174,M174))))</f>
        <v/>
      </c>
      <c r="AC174">
        <f>IF(AB174&lt;&gt;"",CHOOSE(MATCH(AB174,{"Low","Medium","High","Critical"},0),25,50,75,100),"")</f>
        <v/>
      </c>
    </row>
    <row r="175">
      <c r="K175">
        <f>IF(J175="v4.0",L175,IF(J175="v3.1",M175,IF(J175="Both",L175,IF(AND(L175&lt;&gt;"",M175=""),L175,M175))))</f>
        <v/>
      </c>
      <c r="AC175">
        <f>IF(AB175&lt;&gt;"",CHOOSE(MATCH(AB175,{"Low","Medium","High","Critical"},0),25,50,75,100),"")</f>
        <v/>
      </c>
    </row>
    <row r="176">
      <c r="K176">
        <f>IF(J176="v4.0",L176,IF(J176="v3.1",M176,IF(J176="Both",L176,IF(AND(L176&lt;&gt;"",M176=""),L176,M176))))</f>
        <v/>
      </c>
      <c r="AC176">
        <f>IF(AB176&lt;&gt;"",CHOOSE(MATCH(AB176,{"Low","Medium","High","Critical"},0),25,50,75,100),"")</f>
        <v/>
      </c>
    </row>
    <row r="177">
      <c r="K177">
        <f>IF(J177="v4.0",L177,IF(J177="v3.1",M177,IF(J177="Both",L177,IF(AND(L177&lt;&gt;"",M177=""),L177,M177))))</f>
        <v/>
      </c>
      <c r="AC177">
        <f>IF(AB177&lt;&gt;"",CHOOSE(MATCH(AB177,{"Low","Medium","High","Critical"},0),25,50,75,100),"")</f>
        <v/>
      </c>
    </row>
    <row r="178">
      <c r="K178">
        <f>IF(J178="v4.0",L178,IF(J178="v3.1",M178,IF(J178="Both",L178,IF(AND(L178&lt;&gt;"",M178=""),L178,M178))))</f>
        <v/>
      </c>
      <c r="AC178">
        <f>IF(AB178&lt;&gt;"",CHOOSE(MATCH(AB178,{"Low","Medium","High","Critical"},0),25,50,75,100),"")</f>
        <v/>
      </c>
    </row>
    <row r="179">
      <c r="K179">
        <f>IF(J179="v4.0",L179,IF(J179="v3.1",M179,IF(J179="Both",L179,IF(AND(L179&lt;&gt;"",M179=""),L179,M179))))</f>
        <v/>
      </c>
      <c r="AC179">
        <f>IF(AB179&lt;&gt;"",CHOOSE(MATCH(AB179,{"Low","Medium","High","Critical"},0),25,50,75,100),"")</f>
        <v/>
      </c>
    </row>
    <row r="180">
      <c r="K180">
        <f>IF(J180="v4.0",L180,IF(J180="v3.1",M180,IF(J180="Both",L180,IF(AND(L180&lt;&gt;"",M180=""),L180,M180))))</f>
        <v/>
      </c>
      <c r="AC180">
        <f>IF(AB180&lt;&gt;"",CHOOSE(MATCH(AB180,{"Low","Medium","High","Critical"},0),25,50,75,100),"")</f>
        <v/>
      </c>
    </row>
    <row r="181">
      <c r="K181">
        <f>IF(J181="v4.0",L181,IF(J181="v3.1",M181,IF(J181="Both",L181,IF(AND(L181&lt;&gt;"",M181=""),L181,M181))))</f>
        <v/>
      </c>
      <c r="AC181">
        <f>IF(AB181&lt;&gt;"",CHOOSE(MATCH(AB181,{"Low","Medium","High","Critical"},0),25,50,75,100),"")</f>
        <v/>
      </c>
    </row>
    <row r="182">
      <c r="K182">
        <f>IF(J182="v4.0",L182,IF(J182="v3.1",M182,IF(J182="Both",L182,IF(AND(L182&lt;&gt;"",M182=""),L182,M182))))</f>
        <v/>
      </c>
      <c r="AC182">
        <f>IF(AB182&lt;&gt;"",CHOOSE(MATCH(AB182,{"Low","Medium","High","Critical"},0),25,50,75,100),"")</f>
        <v/>
      </c>
    </row>
    <row r="183">
      <c r="K183">
        <f>IF(J183="v4.0",L183,IF(J183="v3.1",M183,IF(J183="Both",L183,IF(AND(L183&lt;&gt;"",M183=""),L183,M183))))</f>
        <v/>
      </c>
      <c r="AC183">
        <f>IF(AB183&lt;&gt;"",CHOOSE(MATCH(AB183,{"Low","Medium","High","Critical"},0),25,50,75,100),"")</f>
        <v/>
      </c>
    </row>
    <row r="184">
      <c r="K184">
        <f>IF(J184="v4.0",L184,IF(J184="v3.1",M184,IF(J184="Both",L184,IF(AND(L184&lt;&gt;"",M184=""),L184,M184))))</f>
        <v/>
      </c>
      <c r="AC184">
        <f>IF(AB184&lt;&gt;"",CHOOSE(MATCH(AB184,{"Low","Medium","High","Critical"},0),25,50,75,100),"")</f>
        <v/>
      </c>
    </row>
    <row r="185">
      <c r="K185">
        <f>IF(J185="v4.0",L185,IF(J185="v3.1",M185,IF(J185="Both",L185,IF(AND(L185&lt;&gt;"",M185=""),L185,M185))))</f>
        <v/>
      </c>
      <c r="AC185">
        <f>IF(AB185&lt;&gt;"",CHOOSE(MATCH(AB185,{"Low","Medium","High","Critical"},0),25,50,75,100),"")</f>
        <v/>
      </c>
    </row>
    <row r="186">
      <c r="K186">
        <f>IF(J186="v4.0",L186,IF(J186="v3.1",M186,IF(J186="Both",L186,IF(AND(L186&lt;&gt;"",M186=""),L186,M186))))</f>
        <v/>
      </c>
      <c r="AC186">
        <f>IF(AB186&lt;&gt;"",CHOOSE(MATCH(AB186,{"Low","Medium","High","Critical"},0),25,50,75,100),"")</f>
        <v/>
      </c>
    </row>
    <row r="187">
      <c r="K187">
        <f>IF(J187="v4.0",L187,IF(J187="v3.1",M187,IF(J187="Both",L187,IF(AND(L187&lt;&gt;"",M187=""),L187,M187))))</f>
        <v/>
      </c>
      <c r="AC187">
        <f>IF(AB187&lt;&gt;"",CHOOSE(MATCH(AB187,{"Low","Medium","High","Critical"},0),25,50,75,100),"")</f>
        <v/>
      </c>
    </row>
    <row r="188">
      <c r="K188">
        <f>IF(J188="v4.0",L188,IF(J188="v3.1",M188,IF(J188="Both",L188,IF(AND(L188&lt;&gt;"",M188=""),L188,M188))))</f>
        <v/>
      </c>
      <c r="AC188">
        <f>IF(AB188&lt;&gt;"",CHOOSE(MATCH(AB188,{"Low","Medium","High","Critical"},0),25,50,75,100),"")</f>
        <v/>
      </c>
    </row>
    <row r="189">
      <c r="K189">
        <f>IF(J189="v4.0",L189,IF(J189="v3.1",M189,IF(J189="Both",L189,IF(AND(L189&lt;&gt;"",M189=""),L189,M189))))</f>
        <v/>
      </c>
      <c r="AC189">
        <f>IF(AB189&lt;&gt;"",CHOOSE(MATCH(AB189,{"Low","Medium","High","Critical"},0),25,50,75,100),"")</f>
        <v/>
      </c>
    </row>
    <row r="190">
      <c r="K190">
        <f>IF(J190="v4.0",L190,IF(J190="v3.1",M190,IF(J190="Both",L190,IF(AND(L190&lt;&gt;"",M190=""),L190,M190))))</f>
        <v/>
      </c>
      <c r="AC190">
        <f>IF(AB190&lt;&gt;"",CHOOSE(MATCH(AB190,{"Low","Medium","High","Critical"},0),25,50,75,100),"")</f>
        <v/>
      </c>
    </row>
    <row r="191">
      <c r="K191">
        <f>IF(J191="v4.0",L191,IF(J191="v3.1",M191,IF(J191="Both",L191,IF(AND(L191&lt;&gt;"",M191=""),L191,M191))))</f>
        <v/>
      </c>
      <c r="AC191">
        <f>IF(AB191&lt;&gt;"",CHOOSE(MATCH(AB191,{"Low","Medium","High","Critical"},0),25,50,75,100),"")</f>
        <v/>
      </c>
    </row>
    <row r="192">
      <c r="K192">
        <f>IF(J192="v4.0",L192,IF(J192="v3.1",M192,IF(J192="Both",L192,IF(AND(L192&lt;&gt;"",M192=""),L192,M192))))</f>
        <v/>
      </c>
      <c r="AC192">
        <f>IF(AB192&lt;&gt;"",CHOOSE(MATCH(AB192,{"Low","Medium","High","Critical"},0),25,50,75,100),"")</f>
        <v/>
      </c>
    </row>
    <row r="193">
      <c r="K193">
        <f>IF(J193="v4.0",L193,IF(J193="v3.1",M193,IF(J193="Both",L193,IF(AND(L193&lt;&gt;"",M193=""),L193,M193))))</f>
        <v/>
      </c>
      <c r="AC193">
        <f>IF(AB193&lt;&gt;"",CHOOSE(MATCH(AB193,{"Low","Medium","High","Critical"},0),25,50,75,100),"")</f>
        <v/>
      </c>
    </row>
    <row r="194">
      <c r="K194">
        <f>IF(J194="v4.0",L194,IF(J194="v3.1",M194,IF(J194="Both",L194,IF(AND(L194&lt;&gt;"",M194=""),L194,M194))))</f>
        <v/>
      </c>
      <c r="AC194">
        <f>IF(AB194&lt;&gt;"",CHOOSE(MATCH(AB194,{"Low","Medium","High","Critical"},0),25,50,75,100),"")</f>
        <v/>
      </c>
    </row>
    <row r="195">
      <c r="K195">
        <f>IF(J195="v4.0",L195,IF(J195="v3.1",M195,IF(J195="Both",L195,IF(AND(L195&lt;&gt;"",M195=""),L195,M195))))</f>
        <v/>
      </c>
      <c r="AC195">
        <f>IF(AB195&lt;&gt;"",CHOOSE(MATCH(AB195,{"Low","Medium","High","Critical"},0),25,50,75,100),"")</f>
        <v/>
      </c>
    </row>
    <row r="196">
      <c r="K196">
        <f>IF(J196="v4.0",L196,IF(J196="v3.1",M196,IF(J196="Both",L196,IF(AND(L196&lt;&gt;"",M196=""),L196,M196))))</f>
        <v/>
      </c>
      <c r="AC196">
        <f>IF(AB196&lt;&gt;"",CHOOSE(MATCH(AB196,{"Low","Medium","High","Critical"},0),25,50,75,100),"")</f>
        <v/>
      </c>
    </row>
    <row r="197">
      <c r="K197">
        <f>IF(J197="v4.0",L197,IF(J197="v3.1",M197,IF(J197="Both",L197,IF(AND(L197&lt;&gt;"",M197=""),L197,M197))))</f>
        <v/>
      </c>
      <c r="AC197">
        <f>IF(AB197&lt;&gt;"",CHOOSE(MATCH(AB197,{"Low","Medium","High","Critical"},0),25,50,75,100),"")</f>
        <v/>
      </c>
    </row>
    <row r="198">
      <c r="K198">
        <f>IF(J198="v4.0",L198,IF(J198="v3.1",M198,IF(J198="Both",L198,IF(AND(L198&lt;&gt;"",M198=""),L198,M198))))</f>
        <v/>
      </c>
      <c r="AC198">
        <f>IF(AB198&lt;&gt;"",CHOOSE(MATCH(AB198,{"Low","Medium","High","Critical"},0),25,50,75,100),"")</f>
        <v/>
      </c>
    </row>
    <row r="199">
      <c r="K199">
        <f>IF(J199="v4.0",L199,IF(J199="v3.1",M199,IF(J199="Both",L199,IF(AND(L199&lt;&gt;"",M199=""),L199,M199))))</f>
        <v/>
      </c>
      <c r="AC199">
        <f>IF(AB199&lt;&gt;"",CHOOSE(MATCH(AB199,{"Low","Medium","High","Critical"},0),25,50,75,100),"")</f>
        <v/>
      </c>
    </row>
    <row r="200">
      <c r="K200">
        <f>IF(J200="v4.0",L200,IF(J200="v3.1",M200,IF(J200="Both",L200,IF(AND(L200&lt;&gt;"",M200=""),L200,M200))))</f>
        <v/>
      </c>
      <c r="AC200">
        <f>IF(AB200&lt;&gt;"",CHOOSE(MATCH(AB200,{"Low","Medium","High","Critical"},0),25,50,75,100),"")</f>
        <v/>
      </c>
    </row>
    <row r="201">
      <c r="K201">
        <f>IF(J201="v4.0",L201,IF(J201="v3.1",M201,IF(J201="Both",L201,IF(AND(L201&lt;&gt;"",M201=""),L201,M201))))</f>
        <v/>
      </c>
      <c r="AC201">
        <f>IF(AB201&lt;&gt;"",CHOOSE(MATCH(AB201,{"Low","Medium","High","Critical"},0),25,50,75,100),"")</f>
        <v/>
      </c>
    </row>
    <row r="202">
      <c r="K202">
        <f>IF(J202="v4.0",L202,IF(J202="v3.1",M202,IF(J202="Both",L202,IF(AND(L202&lt;&gt;"",M202=""),L202,M202))))</f>
        <v/>
      </c>
      <c r="AC202">
        <f>IF(AB202&lt;&gt;"",CHOOSE(MATCH(AB202,{"Low","Medium","High","Critical"},0),25,50,75,100),"")</f>
        <v/>
      </c>
    </row>
    <row r="203">
      <c r="K203">
        <f>IF(J203="v4.0",L203,IF(J203="v3.1",M203,IF(J203="Both",L203,IF(AND(L203&lt;&gt;"",M203=""),L203,M203))))</f>
        <v/>
      </c>
      <c r="AC203">
        <f>IF(AB203&lt;&gt;"",CHOOSE(MATCH(AB203,{"Low","Medium","High","Critical"},0),25,50,75,100),"")</f>
        <v/>
      </c>
    </row>
    <row r="204">
      <c r="K204">
        <f>IF(J204="v4.0",L204,IF(J204="v3.1",M204,IF(J204="Both",L204,IF(AND(L204&lt;&gt;"",M204=""),L204,M204))))</f>
        <v/>
      </c>
      <c r="AC204">
        <f>IF(AB204&lt;&gt;"",CHOOSE(MATCH(AB204,{"Low","Medium","High","Critical"},0),25,50,75,100),"")</f>
        <v/>
      </c>
    </row>
    <row r="205">
      <c r="K205">
        <f>IF(J205="v4.0",L205,IF(J205="v3.1",M205,IF(J205="Both",L205,IF(AND(L205&lt;&gt;"",M205=""),L205,M205))))</f>
        <v/>
      </c>
      <c r="AC205">
        <f>IF(AB205&lt;&gt;"",CHOOSE(MATCH(AB205,{"Low","Medium","High","Critical"},0),25,50,75,100),"")</f>
        <v/>
      </c>
    </row>
    <row r="206">
      <c r="K206">
        <f>IF(J206="v4.0",L206,IF(J206="v3.1",M206,IF(J206="Both",L206,IF(AND(L206&lt;&gt;"",M206=""),L206,M206))))</f>
        <v/>
      </c>
      <c r="AC206">
        <f>IF(AB206&lt;&gt;"",CHOOSE(MATCH(AB206,{"Low","Medium","High","Critical"},0),25,50,75,100),"")</f>
        <v/>
      </c>
    </row>
    <row r="207">
      <c r="K207">
        <f>IF(J207="v4.0",L207,IF(J207="v3.1",M207,IF(J207="Both",L207,IF(AND(L207&lt;&gt;"",M207=""),L207,M207))))</f>
        <v/>
      </c>
      <c r="AC207">
        <f>IF(AB207&lt;&gt;"",CHOOSE(MATCH(AB207,{"Low","Medium","High","Critical"},0),25,50,75,100),"")</f>
        <v/>
      </c>
    </row>
    <row r="208">
      <c r="K208">
        <f>IF(J208="v4.0",L208,IF(J208="v3.1",M208,IF(J208="Both",L208,IF(AND(L208&lt;&gt;"",M208=""),L208,M208))))</f>
        <v/>
      </c>
      <c r="AC208">
        <f>IF(AB208&lt;&gt;"",CHOOSE(MATCH(AB208,{"Low","Medium","High","Critical"},0),25,50,75,100),"")</f>
        <v/>
      </c>
    </row>
    <row r="209">
      <c r="K209">
        <f>IF(J209="v4.0",L209,IF(J209="v3.1",M209,IF(J209="Both",L209,IF(AND(L209&lt;&gt;"",M209=""),L209,M209))))</f>
        <v/>
      </c>
      <c r="AC209">
        <f>IF(AB209&lt;&gt;"",CHOOSE(MATCH(AB209,{"Low","Medium","High","Critical"},0),25,50,75,100),"")</f>
        <v/>
      </c>
    </row>
    <row r="210">
      <c r="K210">
        <f>IF(J210="v4.0",L210,IF(J210="v3.1",M210,IF(J210="Both",L210,IF(AND(L210&lt;&gt;"",M210=""),L210,M210))))</f>
        <v/>
      </c>
      <c r="AC210">
        <f>IF(AB210&lt;&gt;"",CHOOSE(MATCH(AB210,{"Low","Medium","High","Critical"},0),25,50,75,100),"")</f>
        <v/>
      </c>
    </row>
    <row r="211">
      <c r="K211">
        <f>IF(J211="v4.0",L211,IF(J211="v3.1",M211,IF(J211="Both",L211,IF(AND(L211&lt;&gt;"",M211=""),L211,M211))))</f>
        <v/>
      </c>
      <c r="AC211">
        <f>IF(AB211&lt;&gt;"",CHOOSE(MATCH(AB211,{"Low","Medium","High","Critical"},0),25,50,75,100),"")</f>
        <v/>
      </c>
    </row>
    <row r="212">
      <c r="K212">
        <f>IF(J212="v4.0",L212,IF(J212="v3.1",M212,IF(J212="Both",L212,IF(AND(L212&lt;&gt;"",M212=""),L212,M212))))</f>
        <v/>
      </c>
      <c r="AC212">
        <f>IF(AB212&lt;&gt;"",CHOOSE(MATCH(AB212,{"Low","Medium","High","Critical"},0),25,50,75,100),"")</f>
        <v/>
      </c>
    </row>
    <row r="213">
      <c r="K213">
        <f>IF(J213="v4.0",L213,IF(J213="v3.1",M213,IF(J213="Both",L213,IF(AND(L213&lt;&gt;"",M213=""),L213,M213))))</f>
        <v/>
      </c>
      <c r="AC213">
        <f>IF(AB213&lt;&gt;"",CHOOSE(MATCH(AB213,{"Low","Medium","High","Critical"},0),25,50,75,100),"")</f>
        <v/>
      </c>
    </row>
    <row r="214">
      <c r="K214">
        <f>IF(J214="v4.0",L214,IF(J214="v3.1",M214,IF(J214="Both",L214,IF(AND(L214&lt;&gt;"",M214=""),L214,M214))))</f>
        <v/>
      </c>
      <c r="AC214">
        <f>IF(AB214&lt;&gt;"",CHOOSE(MATCH(AB214,{"Low","Medium","High","Critical"},0),25,50,75,100),"")</f>
        <v/>
      </c>
    </row>
    <row r="215">
      <c r="K215">
        <f>IF(J215="v4.0",L215,IF(J215="v3.1",M215,IF(J215="Both",L215,IF(AND(L215&lt;&gt;"",M215=""),L215,M215))))</f>
        <v/>
      </c>
      <c r="AC215">
        <f>IF(AB215&lt;&gt;"",CHOOSE(MATCH(AB215,{"Low","Medium","High","Critical"},0),25,50,75,100),"")</f>
        <v/>
      </c>
    </row>
    <row r="216">
      <c r="K216">
        <f>IF(J216="v4.0",L216,IF(J216="v3.1",M216,IF(J216="Both",L216,IF(AND(L216&lt;&gt;"",M216=""),L216,M216))))</f>
        <v/>
      </c>
      <c r="AC216">
        <f>IF(AB216&lt;&gt;"",CHOOSE(MATCH(AB216,{"Low","Medium","High","Critical"},0),25,50,75,100),"")</f>
        <v/>
      </c>
    </row>
    <row r="217">
      <c r="K217">
        <f>IF(J217="v4.0",L217,IF(J217="v3.1",M217,IF(J217="Both",L217,IF(AND(L217&lt;&gt;"",M217=""),L217,M217))))</f>
        <v/>
      </c>
      <c r="AC217">
        <f>IF(AB217&lt;&gt;"",CHOOSE(MATCH(AB217,{"Low","Medium","High","Critical"},0),25,50,75,100),"")</f>
        <v/>
      </c>
    </row>
    <row r="218">
      <c r="K218">
        <f>IF(J218="v4.0",L218,IF(J218="v3.1",M218,IF(J218="Both",L218,IF(AND(L218&lt;&gt;"",M218=""),L218,M218))))</f>
        <v/>
      </c>
      <c r="AC218">
        <f>IF(AB218&lt;&gt;"",CHOOSE(MATCH(AB218,{"Low","Medium","High","Critical"},0),25,50,75,100),"")</f>
        <v/>
      </c>
    </row>
    <row r="219">
      <c r="K219">
        <f>IF(J219="v4.0",L219,IF(J219="v3.1",M219,IF(J219="Both",L219,IF(AND(L219&lt;&gt;"",M219=""),L219,M219))))</f>
        <v/>
      </c>
      <c r="AC219">
        <f>IF(AB219&lt;&gt;"",CHOOSE(MATCH(AB219,{"Low","Medium","High","Critical"},0),25,50,75,100),"")</f>
        <v/>
      </c>
    </row>
    <row r="220">
      <c r="K220">
        <f>IF(J220="v4.0",L220,IF(J220="v3.1",M220,IF(J220="Both",L220,IF(AND(L220&lt;&gt;"",M220=""),L220,M220))))</f>
        <v/>
      </c>
      <c r="AC220">
        <f>IF(AB220&lt;&gt;"",CHOOSE(MATCH(AB220,{"Low","Medium","High","Critical"},0),25,50,75,100),"")</f>
        <v/>
      </c>
    </row>
    <row r="221">
      <c r="K221">
        <f>IF(J221="v4.0",L221,IF(J221="v3.1",M221,IF(J221="Both",L221,IF(AND(L221&lt;&gt;"",M221=""),L221,M221))))</f>
        <v/>
      </c>
      <c r="AC221">
        <f>IF(AB221&lt;&gt;"",CHOOSE(MATCH(AB221,{"Low","Medium","High","Critical"},0),25,50,75,100),"")</f>
        <v/>
      </c>
    </row>
    <row r="222">
      <c r="K222">
        <f>IF(J222="v4.0",L222,IF(J222="v3.1",M222,IF(J222="Both",L222,IF(AND(L222&lt;&gt;"",M222=""),L222,M222))))</f>
        <v/>
      </c>
      <c r="AC222">
        <f>IF(AB222&lt;&gt;"",CHOOSE(MATCH(AB222,{"Low","Medium","High","Critical"},0),25,50,75,100),"")</f>
        <v/>
      </c>
    </row>
    <row r="223">
      <c r="K223">
        <f>IF(J223="v4.0",L223,IF(J223="v3.1",M223,IF(J223="Both",L223,IF(AND(L223&lt;&gt;"",M223=""),L223,M223))))</f>
        <v/>
      </c>
      <c r="AC223">
        <f>IF(AB223&lt;&gt;"",CHOOSE(MATCH(AB223,{"Low","Medium","High","Critical"},0),25,50,75,100),"")</f>
        <v/>
      </c>
    </row>
    <row r="224">
      <c r="K224">
        <f>IF(J224="v4.0",L224,IF(J224="v3.1",M224,IF(J224="Both",L224,IF(AND(L224&lt;&gt;"",M224=""),L224,M224))))</f>
        <v/>
      </c>
      <c r="AC224">
        <f>IF(AB224&lt;&gt;"",CHOOSE(MATCH(AB224,{"Low","Medium","High","Critical"},0),25,50,75,100),"")</f>
        <v/>
      </c>
    </row>
    <row r="225">
      <c r="K225">
        <f>IF(J225="v4.0",L225,IF(J225="v3.1",M225,IF(J225="Both",L225,IF(AND(L225&lt;&gt;"",M225=""),L225,M225))))</f>
        <v/>
      </c>
      <c r="AC225">
        <f>IF(AB225&lt;&gt;"",CHOOSE(MATCH(AB225,{"Low","Medium","High","Critical"},0),25,50,75,100),"")</f>
        <v/>
      </c>
    </row>
    <row r="226">
      <c r="K226">
        <f>IF(J226="v4.0",L226,IF(J226="v3.1",M226,IF(J226="Both",L226,IF(AND(L226&lt;&gt;"",M226=""),L226,M226))))</f>
        <v/>
      </c>
      <c r="AC226">
        <f>IF(AB226&lt;&gt;"",CHOOSE(MATCH(AB226,{"Low","Medium","High","Critical"},0),25,50,75,100),"")</f>
        <v/>
      </c>
    </row>
    <row r="227">
      <c r="K227">
        <f>IF(J227="v4.0",L227,IF(J227="v3.1",M227,IF(J227="Both",L227,IF(AND(L227&lt;&gt;"",M227=""),L227,M227))))</f>
        <v/>
      </c>
      <c r="AC227">
        <f>IF(AB227&lt;&gt;"",CHOOSE(MATCH(AB227,{"Low","Medium","High","Critical"},0),25,50,75,100),"")</f>
        <v/>
      </c>
    </row>
    <row r="228">
      <c r="K228">
        <f>IF(J228="v4.0",L228,IF(J228="v3.1",M228,IF(J228="Both",L228,IF(AND(L228&lt;&gt;"",M228=""),L228,M228))))</f>
        <v/>
      </c>
      <c r="AC228">
        <f>IF(AB228&lt;&gt;"",CHOOSE(MATCH(AB228,{"Low","Medium","High","Critical"},0),25,50,75,100),"")</f>
        <v/>
      </c>
    </row>
    <row r="229">
      <c r="K229">
        <f>IF(J229="v4.0",L229,IF(J229="v3.1",M229,IF(J229="Both",L229,IF(AND(L229&lt;&gt;"",M229=""),L229,M229))))</f>
        <v/>
      </c>
      <c r="AC229">
        <f>IF(AB229&lt;&gt;"",CHOOSE(MATCH(AB229,{"Low","Medium","High","Critical"},0),25,50,75,100),"")</f>
        <v/>
      </c>
    </row>
    <row r="230">
      <c r="K230">
        <f>IF(J230="v4.0",L230,IF(J230="v3.1",M230,IF(J230="Both",L230,IF(AND(L230&lt;&gt;"",M230=""),L230,M230))))</f>
        <v/>
      </c>
      <c r="AC230">
        <f>IF(AB230&lt;&gt;"",CHOOSE(MATCH(AB230,{"Low","Medium","High","Critical"},0),25,50,75,100),"")</f>
        <v/>
      </c>
    </row>
    <row r="231">
      <c r="K231">
        <f>IF(J231="v4.0",L231,IF(J231="v3.1",M231,IF(J231="Both",L231,IF(AND(L231&lt;&gt;"",M231=""),L231,M231))))</f>
        <v/>
      </c>
      <c r="AC231">
        <f>IF(AB231&lt;&gt;"",CHOOSE(MATCH(AB231,{"Low","Medium","High","Critical"},0),25,50,75,100),"")</f>
        <v/>
      </c>
    </row>
    <row r="232">
      <c r="K232">
        <f>IF(J232="v4.0",L232,IF(J232="v3.1",M232,IF(J232="Both",L232,IF(AND(L232&lt;&gt;"",M232=""),L232,M232))))</f>
        <v/>
      </c>
      <c r="AC232">
        <f>IF(AB232&lt;&gt;"",CHOOSE(MATCH(AB232,{"Low","Medium","High","Critical"},0),25,50,75,100),"")</f>
        <v/>
      </c>
    </row>
    <row r="233">
      <c r="K233">
        <f>IF(J233="v4.0",L233,IF(J233="v3.1",M233,IF(J233="Both",L233,IF(AND(L233&lt;&gt;"",M233=""),L233,M233))))</f>
        <v/>
      </c>
      <c r="AC233">
        <f>IF(AB233&lt;&gt;"",CHOOSE(MATCH(AB233,{"Low","Medium","High","Critical"},0),25,50,75,100),"")</f>
        <v/>
      </c>
    </row>
    <row r="234">
      <c r="K234">
        <f>IF(J234="v4.0",L234,IF(J234="v3.1",M234,IF(J234="Both",L234,IF(AND(L234&lt;&gt;"",M234=""),L234,M234))))</f>
        <v/>
      </c>
      <c r="AC234">
        <f>IF(AB234&lt;&gt;"",CHOOSE(MATCH(AB234,{"Low","Medium","High","Critical"},0),25,50,75,100),"")</f>
        <v/>
      </c>
    </row>
    <row r="235">
      <c r="K235">
        <f>IF(J235="v4.0",L235,IF(J235="v3.1",M235,IF(J235="Both",L235,IF(AND(L235&lt;&gt;"",M235=""),L235,M235))))</f>
        <v/>
      </c>
      <c r="AC235">
        <f>IF(AB235&lt;&gt;"",CHOOSE(MATCH(AB235,{"Low","Medium","High","Critical"},0),25,50,75,100),"")</f>
        <v/>
      </c>
    </row>
    <row r="236">
      <c r="K236">
        <f>IF(J236="v4.0",L236,IF(J236="v3.1",M236,IF(J236="Both",L236,IF(AND(L236&lt;&gt;"",M236=""),L236,M236))))</f>
        <v/>
      </c>
      <c r="AC236">
        <f>IF(AB236&lt;&gt;"",CHOOSE(MATCH(AB236,{"Low","Medium","High","Critical"},0),25,50,75,100),"")</f>
        <v/>
      </c>
    </row>
    <row r="237">
      <c r="K237">
        <f>IF(J237="v4.0",L237,IF(J237="v3.1",M237,IF(J237="Both",L237,IF(AND(L237&lt;&gt;"",M237=""),L237,M237))))</f>
        <v/>
      </c>
      <c r="AC237">
        <f>IF(AB237&lt;&gt;"",CHOOSE(MATCH(AB237,{"Low","Medium","High","Critical"},0),25,50,75,100),"")</f>
        <v/>
      </c>
    </row>
    <row r="238">
      <c r="K238">
        <f>IF(J238="v4.0",L238,IF(J238="v3.1",M238,IF(J238="Both",L238,IF(AND(L238&lt;&gt;"",M238=""),L238,M238))))</f>
        <v/>
      </c>
      <c r="AC238">
        <f>IF(AB238&lt;&gt;"",CHOOSE(MATCH(AB238,{"Low","Medium","High","Critical"},0),25,50,75,100),"")</f>
        <v/>
      </c>
    </row>
    <row r="239">
      <c r="K239">
        <f>IF(J239="v4.0",L239,IF(J239="v3.1",M239,IF(J239="Both",L239,IF(AND(L239&lt;&gt;"",M239=""),L239,M239))))</f>
        <v/>
      </c>
      <c r="AC239">
        <f>IF(AB239&lt;&gt;"",CHOOSE(MATCH(AB239,{"Low","Medium","High","Critical"},0),25,50,75,100),"")</f>
        <v/>
      </c>
    </row>
    <row r="240">
      <c r="K240">
        <f>IF(J240="v4.0",L240,IF(J240="v3.1",M240,IF(J240="Both",L240,IF(AND(L240&lt;&gt;"",M240=""),L240,M240))))</f>
        <v/>
      </c>
      <c r="AC240">
        <f>IF(AB240&lt;&gt;"",CHOOSE(MATCH(AB240,{"Low","Medium","High","Critical"},0),25,50,75,100),"")</f>
        <v/>
      </c>
    </row>
    <row r="241">
      <c r="K241">
        <f>IF(J241="v4.0",L241,IF(J241="v3.1",M241,IF(J241="Both",L241,IF(AND(L241&lt;&gt;"",M241=""),L241,M241))))</f>
        <v/>
      </c>
      <c r="AC241">
        <f>IF(AB241&lt;&gt;"",CHOOSE(MATCH(AB241,{"Low","Medium","High","Critical"},0),25,50,75,100),"")</f>
        <v/>
      </c>
    </row>
    <row r="242">
      <c r="K242">
        <f>IF(J242="v4.0",L242,IF(J242="v3.1",M242,IF(J242="Both",L242,IF(AND(L242&lt;&gt;"",M242=""),L242,M242))))</f>
        <v/>
      </c>
      <c r="AC242">
        <f>IF(AB242&lt;&gt;"",CHOOSE(MATCH(AB242,{"Low","Medium","High","Critical"},0),25,50,75,100),"")</f>
        <v/>
      </c>
    </row>
    <row r="243">
      <c r="K243">
        <f>IF(J243="v4.0",L243,IF(J243="v3.1",M243,IF(J243="Both",L243,IF(AND(L243&lt;&gt;"",M243=""),L243,M243))))</f>
        <v/>
      </c>
      <c r="AC243">
        <f>IF(AB243&lt;&gt;"",CHOOSE(MATCH(AB243,{"Low","Medium","High","Critical"},0),25,50,75,100),"")</f>
        <v/>
      </c>
    </row>
    <row r="244">
      <c r="K244">
        <f>IF(J244="v4.0",L244,IF(J244="v3.1",M244,IF(J244="Both",L244,IF(AND(L244&lt;&gt;"",M244=""),L244,M244))))</f>
        <v/>
      </c>
      <c r="AC244">
        <f>IF(AB244&lt;&gt;"",CHOOSE(MATCH(AB244,{"Low","Medium","High","Critical"},0),25,50,75,100),"")</f>
        <v/>
      </c>
    </row>
    <row r="245">
      <c r="K245">
        <f>IF(J245="v4.0",L245,IF(J245="v3.1",M245,IF(J245="Both",L245,IF(AND(L245&lt;&gt;"",M245=""),L245,M245))))</f>
        <v/>
      </c>
      <c r="AC245">
        <f>IF(AB245&lt;&gt;"",CHOOSE(MATCH(AB245,{"Low","Medium","High","Critical"},0),25,50,75,100),"")</f>
        <v/>
      </c>
    </row>
    <row r="246">
      <c r="K246">
        <f>IF(J246="v4.0",L246,IF(J246="v3.1",M246,IF(J246="Both",L246,IF(AND(L246&lt;&gt;"",M246=""),L246,M246))))</f>
        <v/>
      </c>
      <c r="AC246">
        <f>IF(AB246&lt;&gt;"",CHOOSE(MATCH(AB246,{"Low","Medium","High","Critical"},0),25,50,75,100),"")</f>
        <v/>
      </c>
    </row>
    <row r="247">
      <c r="K247">
        <f>IF(J247="v4.0",L247,IF(J247="v3.1",M247,IF(J247="Both",L247,IF(AND(L247&lt;&gt;"",M247=""),L247,M247))))</f>
        <v/>
      </c>
      <c r="AC247">
        <f>IF(AB247&lt;&gt;"",CHOOSE(MATCH(AB247,{"Low","Medium","High","Critical"},0),25,50,75,100),"")</f>
        <v/>
      </c>
    </row>
    <row r="248">
      <c r="K248">
        <f>IF(J248="v4.0",L248,IF(J248="v3.1",M248,IF(J248="Both",L248,IF(AND(L248&lt;&gt;"",M248=""),L248,M248))))</f>
        <v/>
      </c>
      <c r="AC248">
        <f>IF(AB248&lt;&gt;"",CHOOSE(MATCH(AB248,{"Low","Medium","High","Critical"},0),25,50,75,100),"")</f>
        <v/>
      </c>
    </row>
    <row r="249">
      <c r="K249">
        <f>IF(J249="v4.0",L249,IF(J249="v3.1",M249,IF(J249="Both",L249,IF(AND(L249&lt;&gt;"",M249=""),L249,M249))))</f>
        <v/>
      </c>
      <c r="AC249">
        <f>IF(AB249&lt;&gt;"",CHOOSE(MATCH(AB249,{"Low","Medium","High","Critical"},0),25,50,75,100),"")</f>
        <v/>
      </c>
    </row>
    <row r="250">
      <c r="K250">
        <f>IF(J250="v4.0",L250,IF(J250="v3.1",M250,IF(J250="Both",L250,IF(AND(L250&lt;&gt;"",M250=""),L250,M250))))</f>
        <v/>
      </c>
      <c r="AC250">
        <f>IF(AB250&lt;&gt;"",CHOOSE(MATCH(AB250,{"Low","Medium","High","Critical"},0),25,50,75,100),"")</f>
        <v/>
      </c>
    </row>
    <row r="251">
      <c r="K251">
        <f>IF(J251="v4.0",L251,IF(J251="v3.1",M251,IF(J251="Both",L251,IF(AND(L251&lt;&gt;"",M251=""),L251,M251))))</f>
        <v/>
      </c>
      <c r="AC251">
        <f>IF(AB251&lt;&gt;"",CHOOSE(MATCH(AB251,{"Low","Medium","High","Critical"},0),25,50,75,100),"")</f>
        <v/>
      </c>
    </row>
    <row r="252">
      <c r="K252">
        <f>IF(J252="v4.0",L252,IF(J252="v3.1",M252,IF(J252="Both",L252,IF(AND(L252&lt;&gt;"",M252=""),L252,M252))))</f>
        <v/>
      </c>
      <c r="AC252">
        <f>IF(AB252&lt;&gt;"",CHOOSE(MATCH(AB252,{"Low","Medium","High","Critical"},0),25,50,75,100),"")</f>
        <v/>
      </c>
    </row>
    <row r="253">
      <c r="K253">
        <f>IF(J253="v4.0",L253,IF(J253="v3.1",M253,IF(J253="Both",L253,IF(AND(L253&lt;&gt;"",M253=""),L253,M253))))</f>
        <v/>
      </c>
      <c r="AC253">
        <f>IF(AB253&lt;&gt;"",CHOOSE(MATCH(AB253,{"Low","Medium","High","Critical"},0),25,50,75,100),"")</f>
        <v/>
      </c>
    </row>
    <row r="254">
      <c r="K254">
        <f>IF(J254="v4.0",L254,IF(J254="v3.1",M254,IF(J254="Both",L254,IF(AND(L254&lt;&gt;"",M254=""),L254,M254))))</f>
        <v/>
      </c>
      <c r="AC254">
        <f>IF(AB254&lt;&gt;"",CHOOSE(MATCH(AB254,{"Low","Medium","High","Critical"},0),25,50,75,100),"")</f>
        <v/>
      </c>
    </row>
    <row r="255">
      <c r="K255">
        <f>IF(J255="v4.0",L255,IF(J255="v3.1",M255,IF(J255="Both",L255,IF(AND(L255&lt;&gt;"",M255=""),L255,M255))))</f>
        <v/>
      </c>
      <c r="AC255">
        <f>IF(AB255&lt;&gt;"",CHOOSE(MATCH(AB255,{"Low","Medium","High","Critical"},0),25,50,75,100),"")</f>
        <v/>
      </c>
    </row>
    <row r="256">
      <c r="K256">
        <f>IF(J256="v4.0",L256,IF(J256="v3.1",M256,IF(J256="Both",L256,IF(AND(L256&lt;&gt;"",M256=""),L256,M256))))</f>
        <v/>
      </c>
      <c r="AC256">
        <f>IF(AB256&lt;&gt;"",CHOOSE(MATCH(AB256,{"Low","Medium","High","Critical"},0),25,50,75,100),"")</f>
        <v/>
      </c>
    </row>
    <row r="257">
      <c r="K257">
        <f>IF(J257="v4.0",L257,IF(J257="v3.1",M257,IF(J257="Both",L257,IF(AND(L257&lt;&gt;"",M257=""),L257,M257))))</f>
        <v/>
      </c>
      <c r="AC257">
        <f>IF(AB257&lt;&gt;"",CHOOSE(MATCH(AB257,{"Low","Medium","High","Critical"},0),25,50,75,100),"")</f>
        <v/>
      </c>
    </row>
    <row r="258">
      <c r="K258">
        <f>IF(J258="v4.0",L258,IF(J258="v3.1",M258,IF(J258="Both",L258,IF(AND(L258&lt;&gt;"",M258=""),L258,M258))))</f>
        <v/>
      </c>
      <c r="AC258">
        <f>IF(AB258&lt;&gt;"",CHOOSE(MATCH(AB258,{"Low","Medium","High","Critical"},0),25,50,75,100),"")</f>
        <v/>
      </c>
    </row>
    <row r="259">
      <c r="K259">
        <f>IF(J259="v4.0",L259,IF(J259="v3.1",M259,IF(J259="Both",L259,IF(AND(L259&lt;&gt;"",M259=""),L259,M259))))</f>
        <v/>
      </c>
      <c r="AC259">
        <f>IF(AB259&lt;&gt;"",CHOOSE(MATCH(AB259,{"Low","Medium","High","Critical"},0),25,50,75,100),"")</f>
        <v/>
      </c>
    </row>
    <row r="260">
      <c r="K260">
        <f>IF(J260="v4.0",L260,IF(J260="v3.1",M260,IF(J260="Both",L260,IF(AND(L260&lt;&gt;"",M260=""),L260,M260))))</f>
        <v/>
      </c>
      <c r="AC260">
        <f>IF(AB260&lt;&gt;"",CHOOSE(MATCH(AB260,{"Low","Medium","High","Critical"},0),25,50,75,100),"")</f>
        <v/>
      </c>
    </row>
    <row r="261">
      <c r="K261">
        <f>IF(J261="v4.0",L261,IF(J261="v3.1",M261,IF(J261="Both",L261,IF(AND(L261&lt;&gt;"",M261=""),L261,M261))))</f>
        <v/>
      </c>
      <c r="AC261">
        <f>IF(AB261&lt;&gt;"",CHOOSE(MATCH(AB261,{"Low","Medium","High","Critical"},0),25,50,75,100),"")</f>
        <v/>
      </c>
    </row>
    <row r="262">
      <c r="K262">
        <f>IF(J262="v4.0",L262,IF(J262="v3.1",M262,IF(J262="Both",L262,IF(AND(L262&lt;&gt;"",M262=""),L262,M262))))</f>
        <v/>
      </c>
      <c r="AC262">
        <f>IF(AB262&lt;&gt;"",CHOOSE(MATCH(AB262,{"Low","Medium","High","Critical"},0),25,50,75,100),"")</f>
        <v/>
      </c>
    </row>
    <row r="263">
      <c r="K263">
        <f>IF(J263="v4.0",L263,IF(J263="v3.1",M263,IF(J263="Both",L263,IF(AND(L263&lt;&gt;"",M263=""),L263,M263))))</f>
        <v/>
      </c>
      <c r="AC263">
        <f>IF(AB263&lt;&gt;"",CHOOSE(MATCH(AB263,{"Low","Medium","High","Critical"},0),25,50,75,100),"")</f>
        <v/>
      </c>
    </row>
    <row r="264">
      <c r="K264">
        <f>IF(J264="v4.0",L264,IF(J264="v3.1",M264,IF(J264="Both",L264,IF(AND(L264&lt;&gt;"",M264=""),L264,M264))))</f>
        <v/>
      </c>
      <c r="AC264">
        <f>IF(AB264&lt;&gt;"",CHOOSE(MATCH(AB264,{"Low","Medium","High","Critical"},0),25,50,75,100),"")</f>
        <v/>
      </c>
    </row>
    <row r="265">
      <c r="K265">
        <f>IF(J265="v4.0",L265,IF(J265="v3.1",M265,IF(J265="Both",L265,IF(AND(L265&lt;&gt;"",M265=""),L265,M265))))</f>
        <v/>
      </c>
      <c r="AC265">
        <f>IF(AB265&lt;&gt;"",CHOOSE(MATCH(AB265,{"Low","Medium","High","Critical"},0),25,50,75,100),"")</f>
        <v/>
      </c>
    </row>
    <row r="266">
      <c r="K266">
        <f>IF(J266="v4.0",L266,IF(J266="v3.1",M266,IF(J266="Both",L266,IF(AND(L266&lt;&gt;"",M266=""),L266,M266))))</f>
        <v/>
      </c>
      <c r="AC266">
        <f>IF(AB266&lt;&gt;"",CHOOSE(MATCH(AB266,{"Low","Medium","High","Critical"},0),25,50,75,100),"")</f>
        <v/>
      </c>
    </row>
    <row r="267">
      <c r="K267">
        <f>IF(J267="v4.0",L267,IF(J267="v3.1",M267,IF(J267="Both",L267,IF(AND(L267&lt;&gt;"",M267=""),L267,M267))))</f>
        <v/>
      </c>
      <c r="AC267">
        <f>IF(AB267&lt;&gt;"",CHOOSE(MATCH(AB267,{"Low","Medium","High","Critical"},0),25,50,75,100),"")</f>
        <v/>
      </c>
    </row>
    <row r="268">
      <c r="K268">
        <f>IF(J268="v4.0",L268,IF(J268="v3.1",M268,IF(J268="Both",L268,IF(AND(L268&lt;&gt;"",M268=""),L268,M268))))</f>
        <v/>
      </c>
      <c r="AC268">
        <f>IF(AB268&lt;&gt;"",CHOOSE(MATCH(AB268,{"Low","Medium","High","Critical"},0),25,50,75,100),"")</f>
        <v/>
      </c>
    </row>
    <row r="269">
      <c r="K269">
        <f>IF(J269="v4.0",L269,IF(J269="v3.1",M269,IF(J269="Both",L269,IF(AND(L269&lt;&gt;"",M269=""),L269,M269))))</f>
        <v/>
      </c>
      <c r="AC269">
        <f>IF(AB269&lt;&gt;"",CHOOSE(MATCH(AB269,{"Low","Medium","High","Critical"},0),25,50,75,100),"")</f>
        <v/>
      </c>
    </row>
    <row r="270">
      <c r="K270">
        <f>IF(J270="v4.0",L270,IF(J270="v3.1",M270,IF(J270="Both",L270,IF(AND(L270&lt;&gt;"",M270=""),L270,M270))))</f>
        <v/>
      </c>
      <c r="AC270">
        <f>IF(AB270&lt;&gt;"",CHOOSE(MATCH(AB270,{"Low","Medium","High","Critical"},0),25,50,75,100),"")</f>
        <v/>
      </c>
    </row>
    <row r="271">
      <c r="K271">
        <f>IF(J271="v4.0",L271,IF(J271="v3.1",M271,IF(J271="Both",L271,IF(AND(L271&lt;&gt;"",M271=""),L271,M271))))</f>
        <v/>
      </c>
      <c r="AC271">
        <f>IF(AB271&lt;&gt;"",CHOOSE(MATCH(AB271,{"Low","Medium","High","Critical"},0),25,50,75,100),"")</f>
        <v/>
      </c>
    </row>
    <row r="272">
      <c r="K272">
        <f>IF(J272="v4.0",L272,IF(J272="v3.1",M272,IF(J272="Both",L272,IF(AND(L272&lt;&gt;"",M272=""),L272,M272))))</f>
        <v/>
      </c>
      <c r="AC272">
        <f>IF(AB272&lt;&gt;"",CHOOSE(MATCH(AB272,{"Low","Medium","High","Critical"},0),25,50,75,100),"")</f>
        <v/>
      </c>
    </row>
    <row r="273">
      <c r="K273">
        <f>IF(J273="v4.0",L273,IF(J273="v3.1",M273,IF(J273="Both",L273,IF(AND(L273&lt;&gt;"",M273=""),L273,M273))))</f>
        <v/>
      </c>
      <c r="AC273">
        <f>IF(AB273&lt;&gt;"",CHOOSE(MATCH(AB273,{"Low","Medium","High","Critical"},0),25,50,75,100),"")</f>
        <v/>
      </c>
    </row>
    <row r="274">
      <c r="K274">
        <f>IF(J274="v4.0",L274,IF(J274="v3.1",M274,IF(J274="Both",L274,IF(AND(L274&lt;&gt;"",M274=""),L274,M274))))</f>
        <v/>
      </c>
      <c r="AC274">
        <f>IF(AB274&lt;&gt;"",CHOOSE(MATCH(AB274,{"Low","Medium","High","Critical"},0),25,50,75,100),"")</f>
        <v/>
      </c>
    </row>
    <row r="275">
      <c r="K275">
        <f>IF(J275="v4.0",L275,IF(J275="v3.1",M275,IF(J275="Both",L275,IF(AND(L275&lt;&gt;"",M275=""),L275,M275))))</f>
        <v/>
      </c>
      <c r="AC275">
        <f>IF(AB275&lt;&gt;"",CHOOSE(MATCH(AB275,{"Low","Medium","High","Critical"},0),25,50,75,100),"")</f>
        <v/>
      </c>
    </row>
    <row r="276">
      <c r="K276">
        <f>IF(J276="v4.0",L276,IF(J276="v3.1",M276,IF(J276="Both",L276,IF(AND(L276&lt;&gt;"",M276=""),L276,M276))))</f>
        <v/>
      </c>
      <c r="AC276">
        <f>IF(AB276&lt;&gt;"",CHOOSE(MATCH(AB276,{"Low","Medium","High","Critical"},0),25,50,75,100),"")</f>
        <v/>
      </c>
    </row>
    <row r="277">
      <c r="K277">
        <f>IF(J277="v4.0",L277,IF(J277="v3.1",M277,IF(J277="Both",L277,IF(AND(L277&lt;&gt;"",M277=""),L277,M277))))</f>
        <v/>
      </c>
      <c r="AC277">
        <f>IF(AB277&lt;&gt;"",CHOOSE(MATCH(AB277,{"Low","Medium","High","Critical"},0),25,50,75,100),"")</f>
        <v/>
      </c>
    </row>
    <row r="278">
      <c r="K278">
        <f>IF(J278="v4.0",L278,IF(J278="v3.1",M278,IF(J278="Both",L278,IF(AND(L278&lt;&gt;"",M278=""),L278,M278))))</f>
        <v/>
      </c>
      <c r="AC278">
        <f>IF(AB278&lt;&gt;"",CHOOSE(MATCH(AB278,{"Low","Medium","High","Critical"},0),25,50,75,100),"")</f>
        <v/>
      </c>
    </row>
    <row r="279">
      <c r="K279">
        <f>IF(J279="v4.0",L279,IF(J279="v3.1",M279,IF(J279="Both",L279,IF(AND(L279&lt;&gt;"",M279=""),L279,M279))))</f>
        <v/>
      </c>
      <c r="AC279">
        <f>IF(AB279&lt;&gt;"",CHOOSE(MATCH(AB279,{"Low","Medium","High","Critical"},0),25,50,75,100),"")</f>
        <v/>
      </c>
    </row>
    <row r="280">
      <c r="K280">
        <f>IF(J280="v4.0",L280,IF(J280="v3.1",M280,IF(J280="Both",L280,IF(AND(L280&lt;&gt;"",M280=""),L280,M280))))</f>
        <v/>
      </c>
      <c r="AC280">
        <f>IF(AB280&lt;&gt;"",CHOOSE(MATCH(AB280,{"Low","Medium","High","Critical"},0),25,50,75,100),"")</f>
        <v/>
      </c>
    </row>
    <row r="281">
      <c r="K281">
        <f>IF(J281="v4.0",L281,IF(J281="v3.1",M281,IF(J281="Both",L281,IF(AND(L281&lt;&gt;"",M281=""),L281,M281))))</f>
        <v/>
      </c>
      <c r="AC281">
        <f>IF(AB281&lt;&gt;"",CHOOSE(MATCH(AB281,{"Low","Medium","High","Critical"},0),25,50,75,100),"")</f>
        <v/>
      </c>
    </row>
    <row r="282">
      <c r="K282">
        <f>IF(J282="v4.0",L282,IF(J282="v3.1",M282,IF(J282="Both",L282,IF(AND(L282&lt;&gt;"",M282=""),L282,M282))))</f>
        <v/>
      </c>
      <c r="AC282">
        <f>IF(AB282&lt;&gt;"",CHOOSE(MATCH(AB282,{"Low","Medium","High","Critical"},0),25,50,75,100),"")</f>
        <v/>
      </c>
    </row>
    <row r="283">
      <c r="K283">
        <f>IF(J283="v4.0",L283,IF(J283="v3.1",M283,IF(J283="Both",L283,IF(AND(L283&lt;&gt;"",M283=""),L283,M283))))</f>
        <v/>
      </c>
      <c r="AC283">
        <f>IF(AB283&lt;&gt;"",CHOOSE(MATCH(AB283,{"Low","Medium","High","Critical"},0),25,50,75,100),"")</f>
        <v/>
      </c>
    </row>
    <row r="284">
      <c r="K284">
        <f>IF(J284="v4.0",L284,IF(J284="v3.1",M284,IF(J284="Both",L284,IF(AND(L284&lt;&gt;"",M284=""),L284,M284))))</f>
        <v/>
      </c>
      <c r="AC284">
        <f>IF(AB284&lt;&gt;"",CHOOSE(MATCH(AB284,{"Low","Medium","High","Critical"},0),25,50,75,100),"")</f>
        <v/>
      </c>
    </row>
    <row r="285">
      <c r="K285">
        <f>IF(J285="v4.0",L285,IF(J285="v3.1",M285,IF(J285="Both",L285,IF(AND(L285&lt;&gt;"",M285=""),L285,M285))))</f>
        <v/>
      </c>
      <c r="AC285">
        <f>IF(AB285&lt;&gt;"",CHOOSE(MATCH(AB285,{"Low","Medium","High","Critical"},0),25,50,75,100),"")</f>
        <v/>
      </c>
    </row>
    <row r="286">
      <c r="K286">
        <f>IF(J286="v4.0",L286,IF(J286="v3.1",M286,IF(J286="Both",L286,IF(AND(L286&lt;&gt;"",M286=""),L286,M286))))</f>
        <v/>
      </c>
      <c r="AC286">
        <f>IF(AB286&lt;&gt;"",CHOOSE(MATCH(AB286,{"Low","Medium","High","Critical"},0),25,50,75,100),"")</f>
        <v/>
      </c>
    </row>
    <row r="287">
      <c r="K287">
        <f>IF(J287="v4.0",L287,IF(J287="v3.1",M287,IF(J287="Both",L287,IF(AND(L287&lt;&gt;"",M287=""),L287,M287))))</f>
        <v/>
      </c>
      <c r="AC287">
        <f>IF(AB287&lt;&gt;"",CHOOSE(MATCH(AB287,{"Low","Medium","High","Critical"},0),25,50,75,100),"")</f>
        <v/>
      </c>
    </row>
    <row r="288">
      <c r="K288">
        <f>IF(J288="v4.0",L288,IF(J288="v3.1",M288,IF(J288="Both",L288,IF(AND(L288&lt;&gt;"",M288=""),L288,M288))))</f>
        <v/>
      </c>
      <c r="AC288">
        <f>IF(AB288&lt;&gt;"",CHOOSE(MATCH(AB288,{"Low","Medium","High","Critical"},0),25,50,75,100),"")</f>
        <v/>
      </c>
    </row>
    <row r="289">
      <c r="K289">
        <f>IF(J289="v4.0",L289,IF(J289="v3.1",M289,IF(J289="Both",L289,IF(AND(L289&lt;&gt;"",M289=""),L289,M289))))</f>
        <v/>
      </c>
      <c r="AC289">
        <f>IF(AB289&lt;&gt;"",CHOOSE(MATCH(AB289,{"Low","Medium","High","Critical"},0),25,50,75,100),"")</f>
        <v/>
      </c>
    </row>
    <row r="290">
      <c r="K290">
        <f>IF(J290="v4.0",L290,IF(J290="v3.1",M290,IF(J290="Both",L290,IF(AND(L290&lt;&gt;"",M290=""),L290,M290))))</f>
        <v/>
      </c>
      <c r="AC290">
        <f>IF(AB290&lt;&gt;"",CHOOSE(MATCH(AB290,{"Low","Medium","High","Critical"},0),25,50,75,100),"")</f>
        <v/>
      </c>
    </row>
    <row r="291">
      <c r="K291">
        <f>IF(J291="v4.0",L291,IF(J291="v3.1",M291,IF(J291="Both",L291,IF(AND(L291&lt;&gt;"",M291=""),L291,M291))))</f>
        <v/>
      </c>
      <c r="AC291">
        <f>IF(AB291&lt;&gt;"",CHOOSE(MATCH(AB291,{"Low","Medium","High","Critical"},0),25,50,75,100),"")</f>
        <v/>
      </c>
    </row>
    <row r="292">
      <c r="K292">
        <f>IF(J292="v4.0",L292,IF(J292="v3.1",M292,IF(J292="Both",L292,IF(AND(L292&lt;&gt;"",M292=""),L292,M292))))</f>
        <v/>
      </c>
      <c r="AC292">
        <f>IF(AB292&lt;&gt;"",CHOOSE(MATCH(AB292,{"Low","Medium","High","Critical"},0),25,50,75,100),"")</f>
        <v/>
      </c>
    </row>
    <row r="293">
      <c r="K293">
        <f>IF(J293="v4.0",L293,IF(J293="v3.1",M293,IF(J293="Both",L293,IF(AND(L293&lt;&gt;"",M293=""),L293,M293))))</f>
        <v/>
      </c>
      <c r="AC293">
        <f>IF(AB293&lt;&gt;"",CHOOSE(MATCH(AB293,{"Low","Medium","High","Critical"},0),25,50,75,100),"")</f>
        <v/>
      </c>
    </row>
    <row r="294">
      <c r="K294">
        <f>IF(J294="v4.0",L294,IF(J294="v3.1",M294,IF(J294="Both",L294,IF(AND(L294&lt;&gt;"",M294=""),L294,M294))))</f>
        <v/>
      </c>
      <c r="AC294">
        <f>IF(AB294&lt;&gt;"",CHOOSE(MATCH(AB294,{"Low","Medium","High","Critical"},0),25,50,75,100),"")</f>
        <v/>
      </c>
    </row>
    <row r="295">
      <c r="K295">
        <f>IF(J295="v4.0",L295,IF(J295="v3.1",M295,IF(J295="Both",L295,IF(AND(L295&lt;&gt;"",M295=""),L295,M295))))</f>
        <v/>
      </c>
      <c r="AC295">
        <f>IF(AB295&lt;&gt;"",CHOOSE(MATCH(AB295,{"Low","Medium","High","Critical"},0),25,50,75,100),"")</f>
        <v/>
      </c>
    </row>
    <row r="296">
      <c r="K296">
        <f>IF(J296="v4.0",L296,IF(J296="v3.1",M296,IF(J296="Both",L296,IF(AND(L296&lt;&gt;"",M296=""),L296,M296))))</f>
        <v/>
      </c>
      <c r="AC296">
        <f>IF(AB296&lt;&gt;"",CHOOSE(MATCH(AB296,{"Low","Medium","High","Critical"},0),25,50,75,100),"")</f>
        <v/>
      </c>
    </row>
    <row r="297">
      <c r="K297">
        <f>IF(J297="v4.0",L297,IF(J297="v3.1",M297,IF(J297="Both",L297,IF(AND(L297&lt;&gt;"",M297=""),L297,M297))))</f>
        <v/>
      </c>
      <c r="AC297">
        <f>IF(AB297&lt;&gt;"",CHOOSE(MATCH(AB297,{"Low","Medium","High","Critical"},0),25,50,75,100),"")</f>
        <v/>
      </c>
    </row>
    <row r="298">
      <c r="K298">
        <f>IF(J298="v4.0",L298,IF(J298="v3.1",M298,IF(J298="Both",L298,IF(AND(L298&lt;&gt;"",M298=""),L298,M298))))</f>
        <v/>
      </c>
      <c r="AC298">
        <f>IF(AB298&lt;&gt;"",CHOOSE(MATCH(AB298,{"Low","Medium","High","Critical"},0),25,50,75,100),"")</f>
        <v/>
      </c>
    </row>
    <row r="299">
      <c r="K299">
        <f>IF(J299="v4.0",L299,IF(J299="v3.1",M299,IF(J299="Both",L299,IF(AND(L299&lt;&gt;"",M299=""),L299,M299))))</f>
        <v/>
      </c>
      <c r="AC299">
        <f>IF(AB299&lt;&gt;"",CHOOSE(MATCH(AB299,{"Low","Medium","High","Critical"},0),25,50,75,100),"")</f>
        <v/>
      </c>
    </row>
    <row r="300">
      <c r="K300">
        <f>IF(J300="v4.0",L300,IF(J300="v3.1",M300,IF(J300="Both",L300,IF(AND(L300&lt;&gt;"",M300=""),L300,M300))))</f>
        <v/>
      </c>
      <c r="AC300">
        <f>IF(AB300&lt;&gt;"",CHOOSE(MATCH(AB300,{"Low","Medium","High","Critical"},0),25,50,75,100),"")</f>
        <v/>
      </c>
    </row>
    <row r="301">
      <c r="K301">
        <f>IF(J301="v4.0",L301,IF(J301="v3.1",M301,IF(J301="Both",L301,IF(AND(L301&lt;&gt;"",M301=""),L301,M301))))</f>
        <v/>
      </c>
      <c r="AC301">
        <f>IF(AB301&lt;&gt;"",CHOOSE(MATCH(AB301,{"Low","Medium","High","Critical"},0),25,50,75,100),"")</f>
        <v/>
      </c>
    </row>
    <row r="302">
      <c r="K302">
        <f>IF(J302="v4.0",L302,IF(J302="v3.1",M302,IF(J302="Both",L302,IF(AND(L302&lt;&gt;"",M302=""),L302,M302))))</f>
        <v/>
      </c>
      <c r="AC302">
        <f>IF(AB302&lt;&gt;"",CHOOSE(MATCH(AB302,{"Low","Medium","High","Critical"},0),25,50,75,100),"")</f>
        <v/>
      </c>
    </row>
    <row r="303">
      <c r="K303">
        <f>IF(J303="v4.0",L303,IF(J303="v3.1",M303,IF(J303="Both",L303,IF(AND(L303&lt;&gt;"",M303=""),L303,M303))))</f>
        <v/>
      </c>
      <c r="AC303">
        <f>IF(AB303&lt;&gt;"",CHOOSE(MATCH(AB303,{"Low","Medium","High","Critical"},0),25,50,75,100),"")</f>
        <v/>
      </c>
    </row>
    <row r="304">
      <c r="K304">
        <f>IF(J304="v4.0",L304,IF(J304="v3.1",M304,IF(J304="Both",L304,IF(AND(L304&lt;&gt;"",M304=""),L304,M304))))</f>
        <v/>
      </c>
      <c r="AC304">
        <f>IF(AB304&lt;&gt;"",CHOOSE(MATCH(AB304,{"Low","Medium","High","Critical"},0),25,50,75,100),"")</f>
        <v/>
      </c>
    </row>
    <row r="305">
      <c r="K305">
        <f>IF(J305="v4.0",L305,IF(J305="v3.1",M305,IF(J305="Both",L305,IF(AND(L305&lt;&gt;"",M305=""),L305,M305))))</f>
        <v/>
      </c>
      <c r="AC305">
        <f>IF(AB305&lt;&gt;"",CHOOSE(MATCH(AB305,{"Low","Medium","High","Critical"},0),25,50,75,100),"")</f>
        <v/>
      </c>
    </row>
    <row r="306">
      <c r="K306">
        <f>IF(J306="v4.0",L306,IF(J306="v3.1",M306,IF(J306="Both",L306,IF(AND(L306&lt;&gt;"",M306=""),L306,M306))))</f>
        <v/>
      </c>
      <c r="AC306">
        <f>IF(AB306&lt;&gt;"",CHOOSE(MATCH(AB306,{"Low","Medium","High","Critical"},0),25,50,75,100),"")</f>
        <v/>
      </c>
    </row>
    <row r="307">
      <c r="K307">
        <f>IF(J307="v4.0",L307,IF(J307="v3.1",M307,IF(J307="Both",L307,IF(AND(L307&lt;&gt;"",M307=""),L307,M307))))</f>
        <v/>
      </c>
      <c r="AC307">
        <f>IF(AB307&lt;&gt;"",CHOOSE(MATCH(AB307,{"Low","Medium","High","Critical"},0),25,50,75,100),"")</f>
        <v/>
      </c>
    </row>
    <row r="308">
      <c r="K308">
        <f>IF(J308="v4.0",L308,IF(J308="v3.1",M308,IF(J308="Both",L308,IF(AND(L308&lt;&gt;"",M308=""),L308,M308))))</f>
        <v/>
      </c>
      <c r="AC308">
        <f>IF(AB308&lt;&gt;"",CHOOSE(MATCH(AB308,{"Low","Medium","High","Critical"},0),25,50,75,100),"")</f>
        <v/>
      </c>
    </row>
    <row r="309">
      <c r="K309">
        <f>IF(J309="v4.0",L309,IF(J309="v3.1",M309,IF(J309="Both",L309,IF(AND(L309&lt;&gt;"",M309=""),L309,M309))))</f>
        <v/>
      </c>
      <c r="AC309">
        <f>IF(AB309&lt;&gt;"",CHOOSE(MATCH(AB309,{"Low","Medium","High","Critical"},0),25,50,75,100),"")</f>
        <v/>
      </c>
    </row>
    <row r="310">
      <c r="K310">
        <f>IF(J310="v4.0",L310,IF(J310="v3.1",M310,IF(J310="Both",L310,IF(AND(L310&lt;&gt;"",M310=""),L310,M310))))</f>
        <v/>
      </c>
      <c r="AC310">
        <f>IF(AB310&lt;&gt;"",CHOOSE(MATCH(AB310,{"Low","Medium","High","Critical"},0),25,50,75,100),"")</f>
        <v/>
      </c>
    </row>
    <row r="311">
      <c r="K311">
        <f>IF(J311="v4.0",L311,IF(J311="v3.1",M311,IF(J311="Both",L311,IF(AND(L311&lt;&gt;"",M311=""),L311,M311))))</f>
        <v/>
      </c>
      <c r="AC311">
        <f>IF(AB311&lt;&gt;"",CHOOSE(MATCH(AB311,{"Low","Medium","High","Critical"},0),25,50,75,100),"")</f>
        <v/>
      </c>
    </row>
    <row r="312">
      <c r="K312">
        <f>IF(J312="v4.0",L312,IF(J312="v3.1",M312,IF(J312="Both",L312,IF(AND(L312&lt;&gt;"",M312=""),L312,M312))))</f>
        <v/>
      </c>
      <c r="AC312">
        <f>IF(AB312&lt;&gt;"",CHOOSE(MATCH(AB312,{"Low","Medium","High","Critical"},0),25,50,75,100),"")</f>
        <v/>
      </c>
    </row>
    <row r="313">
      <c r="K313">
        <f>IF(J313="v4.0",L313,IF(J313="v3.1",M313,IF(J313="Both",L313,IF(AND(L313&lt;&gt;"",M313=""),L313,M313))))</f>
        <v/>
      </c>
      <c r="AC313">
        <f>IF(AB313&lt;&gt;"",CHOOSE(MATCH(AB313,{"Low","Medium","High","Critical"},0),25,50,75,100),"")</f>
        <v/>
      </c>
    </row>
    <row r="314">
      <c r="K314">
        <f>IF(J314="v4.0",L314,IF(J314="v3.1",M314,IF(J314="Both",L314,IF(AND(L314&lt;&gt;"",M314=""),L314,M314))))</f>
        <v/>
      </c>
      <c r="AC314">
        <f>IF(AB314&lt;&gt;"",CHOOSE(MATCH(AB314,{"Low","Medium","High","Critical"},0),25,50,75,100),"")</f>
        <v/>
      </c>
    </row>
    <row r="315">
      <c r="K315">
        <f>IF(J315="v4.0",L315,IF(J315="v3.1",M315,IF(J315="Both",L315,IF(AND(L315&lt;&gt;"",M315=""),L315,M315))))</f>
        <v/>
      </c>
      <c r="AC315">
        <f>IF(AB315&lt;&gt;"",CHOOSE(MATCH(AB315,{"Low","Medium","High","Critical"},0),25,50,75,100),"")</f>
        <v/>
      </c>
    </row>
    <row r="316">
      <c r="K316">
        <f>IF(J316="v4.0",L316,IF(J316="v3.1",M316,IF(J316="Both",L316,IF(AND(L316&lt;&gt;"",M316=""),L316,M316))))</f>
        <v/>
      </c>
      <c r="AC316">
        <f>IF(AB316&lt;&gt;"",CHOOSE(MATCH(AB316,{"Low","Medium","High","Critical"},0),25,50,75,100),"")</f>
        <v/>
      </c>
    </row>
    <row r="317">
      <c r="K317">
        <f>IF(J317="v4.0",L317,IF(J317="v3.1",M317,IF(J317="Both",L317,IF(AND(L317&lt;&gt;"",M317=""),L317,M317))))</f>
        <v/>
      </c>
      <c r="AC317">
        <f>IF(AB317&lt;&gt;"",CHOOSE(MATCH(AB317,{"Low","Medium","High","Critical"},0),25,50,75,100),"")</f>
        <v/>
      </c>
    </row>
    <row r="318">
      <c r="K318">
        <f>IF(J318="v4.0",L318,IF(J318="v3.1",M318,IF(J318="Both",L318,IF(AND(L318&lt;&gt;"",M318=""),L318,M318))))</f>
        <v/>
      </c>
      <c r="AC318">
        <f>IF(AB318&lt;&gt;"",CHOOSE(MATCH(AB318,{"Low","Medium","High","Critical"},0),25,50,75,100),"")</f>
        <v/>
      </c>
    </row>
    <row r="319">
      <c r="K319">
        <f>IF(J319="v4.0",L319,IF(J319="v3.1",M319,IF(J319="Both",L319,IF(AND(L319&lt;&gt;"",M319=""),L319,M319))))</f>
        <v/>
      </c>
      <c r="AC319">
        <f>IF(AB319&lt;&gt;"",CHOOSE(MATCH(AB319,{"Low","Medium","High","Critical"},0),25,50,75,100),"")</f>
        <v/>
      </c>
    </row>
    <row r="320">
      <c r="K320">
        <f>IF(J320="v4.0",L320,IF(J320="v3.1",M320,IF(J320="Both",L320,IF(AND(L320&lt;&gt;"",M320=""),L320,M320))))</f>
        <v/>
      </c>
      <c r="AC320">
        <f>IF(AB320&lt;&gt;"",CHOOSE(MATCH(AB320,{"Low","Medium","High","Critical"},0),25,50,75,100),"")</f>
        <v/>
      </c>
    </row>
    <row r="321">
      <c r="K321">
        <f>IF(J321="v4.0",L321,IF(J321="v3.1",M321,IF(J321="Both",L321,IF(AND(L321&lt;&gt;"",M321=""),L321,M321))))</f>
        <v/>
      </c>
      <c r="AC321">
        <f>IF(AB321&lt;&gt;"",CHOOSE(MATCH(AB321,{"Low","Medium","High","Critical"},0),25,50,75,100),"")</f>
        <v/>
      </c>
    </row>
    <row r="322">
      <c r="K322">
        <f>IF(J322="v4.0",L322,IF(J322="v3.1",M322,IF(J322="Both",L322,IF(AND(L322&lt;&gt;"",M322=""),L322,M322))))</f>
        <v/>
      </c>
      <c r="AC322">
        <f>IF(AB322&lt;&gt;"",CHOOSE(MATCH(AB322,{"Low","Medium","High","Critical"},0),25,50,75,100),"")</f>
        <v/>
      </c>
    </row>
    <row r="323">
      <c r="K323">
        <f>IF(J323="v4.0",L323,IF(J323="v3.1",M323,IF(J323="Both",L323,IF(AND(L323&lt;&gt;"",M323=""),L323,M323))))</f>
        <v/>
      </c>
      <c r="AC323">
        <f>IF(AB323&lt;&gt;"",CHOOSE(MATCH(AB323,{"Low","Medium","High","Critical"},0),25,50,75,100),"")</f>
        <v/>
      </c>
    </row>
    <row r="324">
      <c r="K324">
        <f>IF(J324="v4.0",L324,IF(J324="v3.1",M324,IF(J324="Both",L324,IF(AND(L324&lt;&gt;"",M324=""),L324,M324))))</f>
        <v/>
      </c>
      <c r="AC324">
        <f>IF(AB324&lt;&gt;"",CHOOSE(MATCH(AB324,{"Low","Medium","High","Critical"},0),25,50,75,100),"")</f>
        <v/>
      </c>
    </row>
    <row r="325">
      <c r="K325">
        <f>IF(J325="v4.0",L325,IF(J325="v3.1",M325,IF(J325="Both",L325,IF(AND(L325&lt;&gt;"",M325=""),L325,M325))))</f>
        <v/>
      </c>
      <c r="AC325">
        <f>IF(AB325&lt;&gt;"",CHOOSE(MATCH(AB325,{"Low","Medium","High","Critical"},0),25,50,75,100),"")</f>
        <v/>
      </c>
    </row>
    <row r="326">
      <c r="K326">
        <f>IF(J326="v4.0",L326,IF(J326="v3.1",M326,IF(J326="Both",L326,IF(AND(L326&lt;&gt;"",M326=""),L326,M326))))</f>
        <v/>
      </c>
      <c r="AC326">
        <f>IF(AB326&lt;&gt;"",CHOOSE(MATCH(AB326,{"Low","Medium","High","Critical"},0),25,50,75,100),"")</f>
        <v/>
      </c>
    </row>
    <row r="327">
      <c r="K327">
        <f>IF(J327="v4.0",L327,IF(J327="v3.1",M327,IF(J327="Both",L327,IF(AND(L327&lt;&gt;"",M327=""),L327,M327))))</f>
        <v/>
      </c>
      <c r="AC327">
        <f>IF(AB327&lt;&gt;"",CHOOSE(MATCH(AB327,{"Low","Medium","High","Critical"},0),25,50,75,100),"")</f>
        <v/>
      </c>
    </row>
    <row r="328">
      <c r="K328">
        <f>IF(J328="v4.0",L328,IF(J328="v3.1",M328,IF(J328="Both",L328,IF(AND(L328&lt;&gt;"",M328=""),L328,M328))))</f>
        <v/>
      </c>
      <c r="AC328">
        <f>IF(AB328&lt;&gt;"",CHOOSE(MATCH(AB328,{"Low","Medium","High","Critical"},0),25,50,75,100),"")</f>
        <v/>
      </c>
    </row>
    <row r="329">
      <c r="K329">
        <f>IF(J329="v4.0",L329,IF(J329="v3.1",M329,IF(J329="Both",L329,IF(AND(L329&lt;&gt;"",M329=""),L329,M329))))</f>
        <v/>
      </c>
      <c r="AC329">
        <f>IF(AB329&lt;&gt;"",CHOOSE(MATCH(AB329,{"Low","Medium","High","Critical"},0),25,50,75,100),"")</f>
        <v/>
      </c>
    </row>
    <row r="330">
      <c r="K330">
        <f>IF(J330="v4.0",L330,IF(J330="v3.1",M330,IF(J330="Both",L330,IF(AND(L330&lt;&gt;"",M330=""),L330,M330))))</f>
        <v/>
      </c>
      <c r="AC330">
        <f>IF(AB330&lt;&gt;"",CHOOSE(MATCH(AB330,{"Low","Medium","High","Critical"},0),25,50,75,100),"")</f>
        <v/>
      </c>
    </row>
    <row r="331">
      <c r="K331">
        <f>IF(J331="v4.0",L331,IF(J331="v3.1",M331,IF(J331="Both",L331,IF(AND(L331&lt;&gt;"",M331=""),L331,M331))))</f>
        <v/>
      </c>
      <c r="AC331">
        <f>IF(AB331&lt;&gt;"",CHOOSE(MATCH(AB331,{"Low","Medium","High","Critical"},0),25,50,75,100),"")</f>
        <v/>
      </c>
    </row>
    <row r="332">
      <c r="K332">
        <f>IF(J332="v4.0",L332,IF(J332="v3.1",M332,IF(J332="Both",L332,IF(AND(L332&lt;&gt;"",M332=""),L332,M332))))</f>
        <v/>
      </c>
      <c r="AC332">
        <f>IF(AB332&lt;&gt;"",CHOOSE(MATCH(AB332,{"Low","Medium","High","Critical"},0),25,50,75,100),"")</f>
        <v/>
      </c>
    </row>
    <row r="333">
      <c r="K333">
        <f>IF(J333="v4.0",L333,IF(J333="v3.1",M333,IF(J333="Both",L333,IF(AND(L333&lt;&gt;"",M333=""),L333,M333))))</f>
        <v/>
      </c>
      <c r="AC333">
        <f>IF(AB333&lt;&gt;"",CHOOSE(MATCH(AB333,{"Low","Medium","High","Critical"},0),25,50,75,100),"")</f>
        <v/>
      </c>
    </row>
    <row r="334">
      <c r="K334">
        <f>IF(J334="v4.0",L334,IF(J334="v3.1",M334,IF(J334="Both",L334,IF(AND(L334&lt;&gt;"",M334=""),L334,M334))))</f>
        <v/>
      </c>
      <c r="AC334">
        <f>IF(AB334&lt;&gt;"",CHOOSE(MATCH(AB334,{"Low","Medium","High","Critical"},0),25,50,75,100),"")</f>
        <v/>
      </c>
    </row>
    <row r="335">
      <c r="K335">
        <f>IF(J335="v4.0",L335,IF(J335="v3.1",M335,IF(J335="Both",L335,IF(AND(L335&lt;&gt;"",M335=""),L335,M335))))</f>
        <v/>
      </c>
      <c r="AC335">
        <f>IF(AB335&lt;&gt;"",CHOOSE(MATCH(AB335,{"Low","Medium","High","Critical"},0),25,50,75,100),"")</f>
        <v/>
      </c>
    </row>
    <row r="336">
      <c r="K336">
        <f>IF(J336="v4.0",L336,IF(J336="v3.1",M336,IF(J336="Both",L336,IF(AND(L336&lt;&gt;"",M336=""),L336,M336))))</f>
        <v/>
      </c>
      <c r="AC336">
        <f>IF(AB336&lt;&gt;"",CHOOSE(MATCH(AB336,{"Low","Medium","High","Critical"},0),25,50,75,100),"")</f>
        <v/>
      </c>
    </row>
    <row r="337">
      <c r="K337">
        <f>IF(J337="v4.0",L337,IF(J337="v3.1",M337,IF(J337="Both",L337,IF(AND(L337&lt;&gt;"",M337=""),L337,M337))))</f>
        <v/>
      </c>
      <c r="AC337">
        <f>IF(AB337&lt;&gt;"",CHOOSE(MATCH(AB337,{"Low","Medium","High","Critical"},0),25,50,75,100),"")</f>
        <v/>
      </c>
    </row>
    <row r="338">
      <c r="K338">
        <f>IF(J338="v4.0",L338,IF(J338="v3.1",M338,IF(J338="Both",L338,IF(AND(L338&lt;&gt;"",M338=""),L338,M338))))</f>
        <v/>
      </c>
      <c r="AC338">
        <f>IF(AB338&lt;&gt;"",CHOOSE(MATCH(AB338,{"Low","Medium","High","Critical"},0),25,50,75,100),"")</f>
        <v/>
      </c>
    </row>
    <row r="339">
      <c r="K339">
        <f>IF(J339="v4.0",L339,IF(J339="v3.1",M339,IF(J339="Both",L339,IF(AND(L339&lt;&gt;"",M339=""),L339,M339))))</f>
        <v/>
      </c>
      <c r="AC339">
        <f>IF(AB339&lt;&gt;"",CHOOSE(MATCH(AB339,{"Low","Medium","High","Critical"},0),25,50,75,100),"")</f>
        <v/>
      </c>
    </row>
    <row r="340">
      <c r="K340">
        <f>IF(J340="v4.0",L340,IF(J340="v3.1",M340,IF(J340="Both",L340,IF(AND(L340&lt;&gt;"",M340=""),L340,M340))))</f>
        <v/>
      </c>
      <c r="AC340">
        <f>IF(AB340&lt;&gt;"",CHOOSE(MATCH(AB340,{"Low","Medium","High","Critical"},0),25,50,75,100),"")</f>
        <v/>
      </c>
    </row>
    <row r="341">
      <c r="K341">
        <f>IF(J341="v4.0",L341,IF(J341="v3.1",M341,IF(J341="Both",L341,IF(AND(L341&lt;&gt;"",M341=""),L341,M341))))</f>
        <v/>
      </c>
      <c r="AC341">
        <f>IF(AB341&lt;&gt;"",CHOOSE(MATCH(AB341,{"Low","Medium","High","Critical"},0),25,50,75,100),"")</f>
        <v/>
      </c>
    </row>
    <row r="342">
      <c r="K342">
        <f>IF(J342="v4.0",L342,IF(J342="v3.1",M342,IF(J342="Both",L342,IF(AND(L342&lt;&gt;"",M342=""),L342,M342))))</f>
        <v/>
      </c>
      <c r="AC342">
        <f>IF(AB342&lt;&gt;"",CHOOSE(MATCH(AB342,{"Low","Medium","High","Critical"},0),25,50,75,100),"")</f>
        <v/>
      </c>
    </row>
    <row r="343">
      <c r="K343">
        <f>IF(J343="v4.0",L343,IF(J343="v3.1",M343,IF(J343="Both",L343,IF(AND(L343&lt;&gt;"",M343=""),L343,M343))))</f>
        <v/>
      </c>
      <c r="AC343">
        <f>IF(AB343&lt;&gt;"",CHOOSE(MATCH(AB343,{"Low","Medium","High","Critical"},0),25,50,75,100),"")</f>
        <v/>
      </c>
    </row>
    <row r="344">
      <c r="K344">
        <f>IF(J344="v4.0",L344,IF(J344="v3.1",M344,IF(J344="Both",L344,IF(AND(L344&lt;&gt;"",M344=""),L344,M344))))</f>
        <v/>
      </c>
      <c r="AC344">
        <f>IF(AB344&lt;&gt;"",CHOOSE(MATCH(AB344,{"Low","Medium","High","Critical"},0),25,50,75,100),"")</f>
        <v/>
      </c>
    </row>
    <row r="345">
      <c r="K345">
        <f>IF(J345="v4.0",L345,IF(J345="v3.1",M345,IF(J345="Both",L345,IF(AND(L345&lt;&gt;"",M345=""),L345,M345))))</f>
        <v/>
      </c>
      <c r="AC345">
        <f>IF(AB345&lt;&gt;"",CHOOSE(MATCH(AB345,{"Low","Medium","High","Critical"},0),25,50,75,100),"")</f>
        <v/>
      </c>
    </row>
    <row r="346">
      <c r="K346">
        <f>IF(J346="v4.0",L346,IF(J346="v3.1",M346,IF(J346="Both",L346,IF(AND(L346&lt;&gt;"",M346=""),L346,M346))))</f>
        <v/>
      </c>
      <c r="AC346">
        <f>IF(AB346&lt;&gt;"",CHOOSE(MATCH(AB346,{"Low","Medium","High","Critical"},0),25,50,75,100),"")</f>
        <v/>
      </c>
    </row>
    <row r="347">
      <c r="K347">
        <f>IF(J347="v4.0",L347,IF(J347="v3.1",M347,IF(J347="Both",L347,IF(AND(L347&lt;&gt;"",M347=""),L347,M347))))</f>
        <v/>
      </c>
      <c r="AC347">
        <f>IF(AB347&lt;&gt;"",CHOOSE(MATCH(AB347,{"Low","Medium","High","Critical"},0),25,50,75,100),"")</f>
        <v/>
      </c>
    </row>
    <row r="348">
      <c r="K348">
        <f>IF(J348="v4.0",L348,IF(J348="v3.1",M348,IF(J348="Both",L348,IF(AND(L348&lt;&gt;"",M348=""),L348,M348))))</f>
        <v/>
      </c>
      <c r="AC348">
        <f>IF(AB348&lt;&gt;"",CHOOSE(MATCH(AB348,{"Low","Medium","High","Critical"},0),25,50,75,100),"")</f>
        <v/>
      </c>
    </row>
    <row r="349">
      <c r="K349">
        <f>IF(J349="v4.0",L349,IF(J349="v3.1",M349,IF(J349="Both",L349,IF(AND(L349&lt;&gt;"",M349=""),L349,M349))))</f>
        <v/>
      </c>
      <c r="AC349">
        <f>IF(AB349&lt;&gt;"",CHOOSE(MATCH(AB349,{"Low","Medium","High","Critical"},0),25,50,75,100),"")</f>
        <v/>
      </c>
    </row>
    <row r="350">
      <c r="K350">
        <f>IF(J350="v4.0",L350,IF(J350="v3.1",M350,IF(J350="Both",L350,IF(AND(L350&lt;&gt;"",M350=""),L350,M350))))</f>
        <v/>
      </c>
      <c r="AC350">
        <f>IF(AB350&lt;&gt;"",CHOOSE(MATCH(AB350,{"Low","Medium","High","Critical"},0),25,50,75,100),"")</f>
        <v/>
      </c>
    </row>
    <row r="351">
      <c r="K351">
        <f>IF(J351="v4.0",L351,IF(J351="v3.1",M351,IF(J351="Both",L351,IF(AND(L351&lt;&gt;"",M351=""),L351,M351))))</f>
        <v/>
      </c>
      <c r="AC351">
        <f>IF(AB351&lt;&gt;"",CHOOSE(MATCH(AB351,{"Low","Medium","High","Critical"},0),25,50,75,100),"")</f>
        <v/>
      </c>
    </row>
    <row r="352">
      <c r="K352">
        <f>IF(J352="v4.0",L352,IF(J352="v3.1",M352,IF(J352="Both",L352,IF(AND(L352&lt;&gt;"",M352=""),L352,M352))))</f>
        <v/>
      </c>
      <c r="AC352">
        <f>IF(AB352&lt;&gt;"",CHOOSE(MATCH(AB352,{"Low","Medium","High","Critical"},0),25,50,75,100),"")</f>
        <v/>
      </c>
    </row>
    <row r="353">
      <c r="K353">
        <f>IF(J353="v4.0",L353,IF(J353="v3.1",M353,IF(J353="Both",L353,IF(AND(L353&lt;&gt;"",M353=""),L353,M353))))</f>
        <v/>
      </c>
      <c r="AC353">
        <f>IF(AB353&lt;&gt;"",CHOOSE(MATCH(AB353,{"Low","Medium","High","Critical"},0),25,50,75,100),"")</f>
        <v/>
      </c>
    </row>
    <row r="354">
      <c r="K354">
        <f>IF(J354="v4.0",L354,IF(J354="v3.1",M354,IF(J354="Both",L354,IF(AND(L354&lt;&gt;"",M354=""),L354,M354))))</f>
        <v/>
      </c>
      <c r="AC354">
        <f>IF(AB354&lt;&gt;"",CHOOSE(MATCH(AB354,{"Low","Medium","High","Critical"},0),25,50,75,100),"")</f>
        <v/>
      </c>
    </row>
    <row r="355">
      <c r="K355">
        <f>IF(J355="v4.0",L355,IF(J355="v3.1",M355,IF(J355="Both",L355,IF(AND(L355&lt;&gt;"",M355=""),L355,M355))))</f>
        <v/>
      </c>
      <c r="AC355">
        <f>IF(AB355&lt;&gt;"",CHOOSE(MATCH(AB355,{"Low","Medium","High","Critical"},0),25,50,75,100),"")</f>
        <v/>
      </c>
    </row>
    <row r="356">
      <c r="K356">
        <f>IF(J356="v4.0",L356,IF(J356="v3.1",M356,IF(J356="Both",L356,IF(AND(L356&lt;&gt;"",M356=""),L356,M356))))</f>
        <v/>
      </c>
      <c r="AC356">
        <f>IF(AB356&lt;&gt;"",CHOOSE(MATCH(AB356,{"Low","Medium","High","Critical"},0),25,50,75,100),"")</f>
        <v/>
      </c>
    </row>
    <row r="357">
      <c r="K357">
        <f>IF(J357="v4.0",L357,IF(J357="v3.1",M357,IF(J357="Both",L357,IF(AND(L357&lt;&gt;"",M357=""),L357,M357))))</f>
        <v/>
      </c>
      <c r="AC357">
        <f>IF(AB357&lt;&gt;"",CHOOSE(MATCH(AB357,{"Low","Medium","High","Critical"},0),25,50,75,100),"")</f>
        <v/>
      </c>
    </row>
    <row r="358">
      <c r="K358">
        <f>IF(J358="v4.0",L358,IF(J358="v3.1",M358,IF(J358="Both",L358,IF(AND(L358&lt;&gt;"",M358=""),L358,M358))))</f>
        <v/>
      </c>
      <c r="AC358">
        <f>IF(AB358&lt;&gt;"",CHOOSE(MATCH(AB358,{"Low","Medium","High","Critical"},0),25,50,75,100),"")</f>
        <v/>
      </c>
    </row>
    <row r="359">
      <c r="K359">
        <f>IF(J359="v4.0",L359,IF(J359="v3.1",M359,IF(J359="Both",L359,IF(AND(L359&lt;&gt;"",M359=""),L359,M359))))</f>
        <v/>
      </c>
      <c r="AC359">
        <f>IF(AB359&lt;&gt;"",CHOOSE(MATCH(AB359,{"Low","Medium","High","Critical"},0),25,50,75,100),"")</f>
        <v/>
      </c>
    </row>
    <row r="360">
      <c r="K360">
        <f>IF(J360="v4.0",L360,IF(J360="v3.1",M360,IF(J360="Both",L360,IF(AND(L360&lt;&gt;"",M360=""),L360,M360))))</f>
        <v/>
      </c>
      <c r="AC360">
        <f>IF(AB360&lt;&gt;"",CHOOSE(MATCH(AB360,{"Low","Medium","High","Critical"},0),25,50,75,100),"")</f>
        <v/>
      </c>
    </row>
    <row r="361">
      <c r="K361">
        <f>IF(J361="v4.0",L361,IF(J361="v3.1",M361,IF(J361="Both",L361,IF(AND(L361&lt;&gt;"",M361=""),L361,M361))))</f>
        <v/>
      </c>
      <c r="AC361">
        <f>IF(AB361&lt;&gt;"",CHOOSE(MATCH(AB361,{"Low","Medium","High","Critical"},0),25,50,75,100),"")</f>
        <v/>
      </c>
    </row>
    <row r="362">
      <c r="K362">
        <f>IF(J362="v4.0",L362,IF(J362="v3.1",M362,IF(J362="Both",L362,IF(AND(L362&lt;&gt;"",M362=""),L362,M362))))</f>
        <v/>
      </c>
      <c r="AC362">
        <f>IF(AB362&lt;&gt;"",CHOOSE(MATCH(AB362,{"Low","Medium","High","Critical"},0),25,50,75,100),"")</f>
        <v/>
      </c>
    </row>
    <row r="363">
      <c r="K363">
        <f>IF(J363="v4.0",L363,IF(J363="v3.1",M363,IF(J363="Both",L363,IF(AND(L363&lt;&gt;"",M363=""),L363,M363))))</f>
        <v/>
      </c>
      <c r="AC363">
        <f>IF(AB363&lt;&gt;"",CHOOSE(MATCH(AB363,{"Low","Medium","High","Critical"},0),25,50,75,100),"")</f>
        <v/>
      </c>
    </row>
    <row r="364">
      <c r="K364">
        <f>IF(J364="v4.0",L364,IF(J364="v3.1",M364,IF(J364="Both",L364,IF(AND(L364&lt;&gt;"",M364=""),L364,M364))))</f>
        <v/>
      </c>
      <c r="AC364">
        <f>IF(AB364&lt;&gt;"",CHOOSE(MATCH(AB364,{"Low","Medium","High","Critical"},0),25,50,75,100),"")</f>
        <v/>
      </c>
    </row>
    <row r="365">
      <c r="K365">
        <f>IF(J365="v4.0",L365,IF(J365="v3.1",M365,IF(J365="Both",L365,IF(AND(L365&lt;&gt;"",M365=""),L365,M365))))</f>
        <v/>
      </c>
      <c r="AC365">
        <f>IF(AB365&lt;&gt;"",CHOOSE(MATCH(AB365,{"Low","Medium","High","Critical"},0),25,50,75,100),"")</f>
        <v/>
      </c>
    </row>
    <row r="366">
      <c r="K366">
        <f>IF(J366="v4.0",L366,IF(J366="v3.1",M366,IF(J366="Both",L366,IF(AND(L366&lt;&gt;"",M366=""),L366,M366))))</f>
        <v/>
      </c>
      <c r="AC366">
        <f>IF(AB366&lt;&gt;"",CHOOSE(MATCH(AB366,{"Low","Medium","High","Critical"},0),25,50,75,100),"")</f>
        <v/>
      </c>
    </row>
    <row r="367">
      <c r="K367">
        <f>IF(J367="v4.0",L367,IF(J367="v3.1",M367,IF(J367="Both",L367,IF(AND(L367&lt;&gt;"",M367=""),L367,M367))))</f>
        <v/>
      </c>
      <c r="AC367">
        <f>IF(AB367&lt;&gt;"",CHOOSE(MATCH(AB367,{"Low","Medium","High","Critical"},0),25,50,75,100),"")</f>
        <v/>
      </c>
    </row>
    <row r="368">
      <c r="K368">
        <f>IF(J368="v4.0",L368,IF(J368="v3.1",M368,IF(J368="Both",L368,IF(AND(L368&lt;&gt;"",M368=""),L368,M368))))</f>
        <v/>
      </c>
      <c r="AC368">
        <f>IF(AB368&lt;&gt;"",CHOOSE(MATCH(AB368,{"Low","Medium","High","Critical"},0),25,50,75,100),"")</f>
        <v/>
      </c>
    </row>
    <row r="369">
      <c r="K369">
        <f>IF(J369="v4.0",L369,IF(J369="v3.1",M369,IF(J369="Both",L369,IF(AND(L369&lt;&gt;"",M369=""),L369,M369))))</f>
        <v/>
      </c>
      <c r="AC369">
        <f>IF(AB369&lt;&gt;"",CHOOSE(MATCH(AB369,{"Low","Medium","High","Critical"},0),25,50,75,100),"")</f>
        <v/>
      </c>
    </row>
    <row r="370">
      <c r="K370">
        <f>IF(J370="v4.0",L370,IF(J370="v3.1",M370,IF(J370="Both",L370,IF(AND(L370&lt;&gt;"",M370=""),L370,M370))))</f>
        <v/>
      </c>
      <c r="AC370">
        <f>IF(AB370&lt;&gt;"",CHOOSE(MATCH(AB370,{"Low","Medium","High","Critical"},0),25,50,75,100),"")</f>
        <v/>
      </c>
    </row>
    <row r="371">
      <c r="K371">
        <f>IF(J371="v4.0",L371,IF(J371="v3.1",M371,IF(J371="Both",L371,IF(AND(L371&lt;&gt;"",M371=""),L371,M371))))</f>
        <v/>
      </c>
      <c r="AC371">
        <f>IF(AB371&lt;&gt;"",CHOOSE(MATCH(AB371,{"Low","Medium","High","Critical"},0),25,50,75,100),"")</f>
        <v/>
      </c>
    </row>
    <row r="372">
      <c r="K372">
        <f>IF(J372="v4.0",L372,IF(J372="v3.1",M372,IF(J372="Both",L372,IF(AND(L372&lt;&gt;"",M372=""),L372,M372))))</f>
        <v/>
      </c>
      <c r="AC372">
        <f>IF(AB372&lt;&gt;"",CHOOSE(MATCH(AB372,{"Low","Medium","High","Critical"},0),25,50,75,100),"")</f>
        <v/>
      </c>
    </row>
    <row r="373">
      <c r="K373">
        <f>IF(J373="v4.0",L373,IF(J373="v3.1",M373,IF(J373="Both",L373,IF(AND(L373&lt;&gt;"",M373=""),L373,M373))))</f>
        <v/>
      </c>
      <c r="AC373">
        <f>IF(AB373&lt;&gt;"",CHOOSE(MATCH(AB373,{"Low","Medium","High","Critical"},0),25,50,75,100),"")</f>
        <v/>
      </c>
    </row>
    <row r="374">
      <c r="K374">
        <f>IF(J374="v4.0",L374,IF(J374="v3.1",M374,IF(J374="Both",L374,IF(AND(L374&lt;&gt;"",M374=""),L374,M374))))</f>
        <v/>
      </c>
      <c r="AC374">
        <f>IF(AB374&lt;&gt;"",CHOOSE(MATCH(AB374,{"Low","Medium","High","Critical"},0),25,50,75,100),"")</f>
        <v/>
      </c>
    </row>
    <row r="375">
      <c r="K375">
        <f>IF(J375="v4.0",L375,IF(J375="v3.1",M375,IF(J375="Both",L375,IF(AND(L375&lt;&gt;"",M375=""),L375,M375))))</f>
        <v/>
      </c>
      <c r="AC375">
        <f>IF(AB375&lt;&gt;"",CHOOSE(MATCH(AB375,{"Low","Medium","High","Critical"},0),25,50,75,100),"")</f>
        <v/>
      </c>
    </row>
    <row r="376">
      <c r="K376">
        <f>IF(J376="v4.0",L376,IF(J376="v3.1",M376,IF(J376="Both",L376,IF(AND(L376&lt;&gt;"",M376=""),L376,M376))))</f>
        <v/>
      </c>
      <c r="AC376">
        <f>IF(AB376&lt;&gt;"",CHOOSE(MATCH(AB376,{"Low","Medium","High","Critical"},0),25,50,75,100),"")</f>
        <v/>
      </c>
    </row>
    <row r="377">
      <c r="K377">
        <f>IF(J377="v4.0",L377,IF(J377="v3.1",M377,IF(J377="Both",L377,IF(AND(L377&lt;&gt;"",M377=""),L377,M377))))</f>
        <v/>
      </c>
      <c r="AC377">
        <f>IF(AB377&lt;&gt;"",CHOOSE(MATCH(AB377,{"Low","Medium","High","Critical"},0),25,50,75,100),"")</f>
        <v/>
      </c>
    </row>
    <row r="378">
      <c r="K378">
        <f>IF(J378="v4.0",L378,IF(J378="v3.1",M378,IF(J378="Both",L378,IF(AND(L378&lt;&gt;"",M378=""),L378,M378))))</f>
        <v/>
      </c>
      <c r="AC378">
        <f>IF(AB378&lt;&gt;"",CHOOSE(MATCH(AB378,{"Low","Medium","High","Critical"},0),25,50,75,100),"")</f>
        <v/>
      </c>
    </row>
    <row r="379">
      <c r="K379">
        <f>IF(J379="v4.0",L379,IF(J379="v3.1",M379,IF(J379="Both",L379,IF(AND(L379&lt;&gt;"",M379=""),L379,M379))))</f>
        <v/>
      </c>
      <c r="AC379">
        <f>IF(AB379&lt;&gt;"",CHOOSE(MATCH(AB379,{"Low","Medium","High","Critical"},0),25,50,75,100),"")</f>
        <v/>
      </c>
    </row>
    <row r="380">
      <c r="K380">
        <f>IF(J380="v4.0",L380,IF(J380="v3.1",M380,IF(J380="Both",L380,IF(AND(L380&lt;&gt;"",M380=""),L380,M380))))</f>
        <v/>
      </c>
      <c r="AC380">
        <f>IF(AB380&lt;&gt;"",CHOOSE(MATCH(AB380,{"Low","Medium","High","Critical"},0),25,50,75,100),"")</f>
        <v/>
      </c>
    </row>
    <row r="381">
      <c r="K381">
        <f>IF(J381="v4.0",L381,IF(J381="v3.1",M381,IF(J381="Both",L381,IF(AND(L381&lt;&gt;"",M381=""),L381,M381))))</f>
        <v/>
      </c>
      <c r="AC381">
        <f>IF(AB381&lt;&gt;"",CHOOSE(MATCH(AB381,{"Low","Medium","High","Critical"},0),25,50,75,100),"")</f>
        <v/>
      </c>
    </row>
    <row r="382">
      <c r="K382">
        <f>IF(J382="v4.0",L382,IF(J382="v3.1",M382,IF(J382="Both",L382,IF(AND(L382&lt;&gt;"",M382=""),L382,M382))))</f>
        <v/>
      </c>
      <c r="AC382">
        <f>IF(AB382&lt;&gt;"",CHOOSE(MATCH(AB382,{"Low","Medium","High","Critical"},0),25,50,75,100),"")</f>
        <v/>
      </c>
    </row>
    <row r="383">
      <c r="K383">
        <f>IF(J383="v4.0",L383,IF(J383="v3.1",M383,IF(J383="Both",L383,IF(AND(L383&lt;&gt;"",M383=""),L383,M383))))</f>
        <v/>
      </c>
      <c r="AC383">
        <f>IF(AB383&lt;&gt;"",CHOOSE(MATCH(AB383,{"Low","Medium","High","Critical"},0),25,50,75,100),"")</f>
        <v/>
      </c>
    </row>
    <row r="384">
      <c r="K384">
        <f>IF(J384="v4.0",L384,IF(J384="v3.1",M384,IF(J384="Both",L384,IF(AND(L384&lt;&gt;"",M384=""),L384,M384))))</f>
        <v/>
      </c>
      <c r="AC384">
        <f>IF(AB384&lt;&gt;"",CHOOSE(MATCH(AB384,{"Low","Medium","High","Critical"},0),25,50,75,100),"")</f>
        <v/>
      </c>
    </row>
    <row r="385">
      <c r="K385">
        <f>IF(J385="v4.0",L385,IF(J385="v3.1",M385,IF(J385="Both",L385,IF(AND(L385&lt;&gt;"",M385=""),L385,M385))))</f>
        <v/>
      </c>
      <c r="AC385">
        <f>IF(AB385&lt;&gt;"",CHOOSE(MATCH(AB385,{"Low","Medium","High","Critical"},0),25,50,75,100),"")</f>
        <v/>
      </c>
    </row>
    <row r="386">
      <c r="K386">
        <f>IF(J386="v4.0",L386,IF(J386="v3.1",M386,IF(J386="Both",L386,IF(AND(L386&lt;&gt;"",M386=""),L386,M386))))</f>
        <v/>
      </c>
      <c r="AC386">
        <f>IF(AB386&lt;&gt;"",CHOOSE(MATCH(AB386,{"Low","Medium","High","Critical"},0),25,50,75,100),"")</f>
        <v/>
      </c>
    </row>
    <row r="387">
      <c r="K387">
        <f>IF(J387="v4.0",L387,IF(J387="v3.1",M387,IF(J387="Both",L387,IF(AND(L387&lt;&gt;"",M387=""),L387,M387))))</f>
        <v/>
      </c>
      <c r="AC387">
        <f>IF(AB387&lt;&gt;"",CHOOSE(MATCH(AB387,{"Low","Medium","High","Critical"},0),25,50,75,100),"")</f>
        <v/>
      </c>
    </row>
    <row r="388">
      <c r="K388">
        <f>IF(J388="v4.0",L388,IF(J388="v3.1",M388,IF(J388="Both",L388,IF(AND(L388&lt;&gt;"",M388=""),L388,M388))))</f>
        <v/>
      </c>
      <c r="AC388">
        <f>IF(AB388&lt;&gt;"",CHOOSE(MATCH(AB388,{"Low","Medium","High","Critical"},0),25,50,75,100),"")</f>
        <v/>
      </c>
    </row>
    <row r="389">
      <c r="K389">
        <f>IF(J389="v4.0",L389,IF(J389="v3.1",M389,IF(J389="Both",L389,IF(AND(L389&lt;&gt;"",M389=""),L389,M389))))</f>
        <v/>
      </c>
      <c r="AC389">
        <f>IF(AB389&lt;&gt;"",CHOOSE(MATCH(AB389,{"Low","Medium","High","Critical"},0),25,50,75,100),"")</f>
        <v/>
      </c>
    </row>
    <row r="390">
      <c r="K390">
        <f>IF(J390="v4.0",L390,IF(J390="v3.1",M390,IF(J390="Both",L390,IF(AND(L390&lt;&gt;"",M390=""),L390,M390))))</f>
        <v/>
      </c>
      <c r="AC390">
        <f>IF(AB390&lt;&gt;"",CHOOSE(MATCH(AB390,{"Low","Medium","High","Critical"},0),25,50,75,100),"")</f>
        <v/>
      </c>
    </row>
    <row r="391">
      <c r="K391">
        <f>IF(J391="v4.0",L391,IF(J391="v3.1",M391,IF(J391="Both",L391,IF(AND(L391&lt;&gt;"",M391=""),L391,M391))))</f>
        <v/>
      </c>
      <c r="AC391">
        <f>IF(AB391&lt;&gt;"",CHOOSE(MATCH(AB391,{"Low","Medium","High","Critical"},0),25,50,75,100),"")</f>
        <v/>
      </c>
    </row>
    <row r="392">
      <c r="K392">
        <f>IF(J392="v4.0",L392,IF(J392="v3.1",M392,IF(J392="Both",L392,IF(AND(L392&lt;&gt;"",M392=""),L392,M392))))</f>
        <v/>
      </c>
      <c r="AC392">
        <f>IF(AB392&lt;&gt;"",CHOOSE(MATCH(AB392,{"Low","Medium","High","Critical"},0),25,50,75,100),"")</f>
        <v/>
      </c>
    </row>
    <row r="393">
      <c r="K393">
        <f>IF(J393="v4.0",L393,IF(J393="v3.1",M393,IF(J393="Both",L393,IF(AND(L393&lt;&gt;"",M393=""),L393,M393))))</f>
        <v/>
      </c>
      <c r="AC393">
        <f>IF(AB393&lt;&gt;"",CHOOSE(MATCH(AB393,{"Low","Medium","High","Critical"},0),25,50,75,100),"")</f>
        <v/>
      </c>
    </row>
    <row r="394">
      <c r="K394">
        <f>IF(J394="v4.0",L394,IF(J394="v3.1",M394,IF(J394="Both",L394,IF(AND(L394&lt;&gt;"",M394=""),L394,M394))))</f>
        <v/>
      </c>
      <c r="AC394">
        <f>IF(AB394&lt;&gt;"",CHOOSE(MATCH(AB394,{"Low","Medium","High","Critical"},0),25,50,75,100),"")</f>
        <v/>
      </c>
    </row>
    <row r="395">
      <c r="K395">
        <f>IF(J395="v4.0",L395,IF(J395="v3.1",M395,IF(J395="Both",L395,IF(AND(L395&lt;&gt;"",M395=""),L395,M395))))</f>
        <v/>
      </c>
      <c r="AC395">
        <f>IF(AB395&lt;&gt;"",CHOOSE(MATCH(AB395,{"Low","Medium","High","Critical"},0),25,50,75,100),"")</f>
        <v/>
      </c>
    </row>
    <row r="396">
      <c r="K396">
        <f>IF(J396="v4.0",L396,IF(J396="v3.1",M396,IF(J396="Both",L396,IF(AND(L396&lt;&gt;"",M396=""),L396,M396))))</f>
        <v/>
      </c>
      <c r="AC396">
        <f>IF(AB396&lt;&gt;"",CHOOSE(MATCH(AB396,{"Low","Medium","High","Critical"},0),25,50,75,100),"")</f>
        <v/>
      </c>
    </row>
    <row r="397">
      <c r="K397">
        <f>IF(J397="v4.0",L397,IF(J397="v3.1",M397,IF(J397="Both",L397,IF(AND(L397&lt;&gt;"",M397=""),L397,M397))))</f>
        <v/>
      </c>
      <c r="AC397">
        <f>IF(AB397&lt;&gt;"",CHOOSE(MATCH(AB397,{"Low","Medium","High","Critical"},0),25,50,75,100),"")</f>
        <v/>
      </c>
    </row>
    <row r="398">
      <c r="K398">
        <f>IF(J398="v4.0",L398,IF(J398="v3.1",M398,IF(J398="Both",L398,IF(AND(L398&lt;&gt;"",M398=""),L398,M398))))</f>
        <v/>
      </c>
      <c r="AC398">
        <f>IF(AB398&lt;&gt;"",CHOOSE(MATCH(AB398,{"Low","Medium","High","Critical"},0),25,50,75,100),"")</f>
        <v/>
      </c>
    </row>
    <row r="399">
      <c r="K399">
        <f>IF(J399="v4.0",L399,IF(J399="v3.1",M399,IF(J399="Both",L399,IF(AND(L399&lt;&gt;"",M399=""),L399,M399))))</f>
        <v/>
      </c>
      <c r="AC399">
        <f>IF(AB399&lt;&gt;"",CHOOSE(MATCH(AB399,{"Low","Medium","High","Critical"},0),25,50,75,100),"")</f>
        <v/>
      </c>
    </row>
    <row r="400">
      <c r="K400">
        <f>IF(J400="v4.0",L400,IF(J400="v3.1",M400,IF(J400="Both",L400,IF(AND(L400&lt;&gt;"",M400=""),L400,M400))))</f>
        <v/>
      </c>
      <c r="AC400">
        <f>IF(AB400&lt;&gt;"",CHOOSE(MATCH(AB400,{"Low","Medium","High","Critical"},0),25,50,75,100),"")</f>
        <v/>
      </c>
    </row>
    <row r="401">
      <c r="K401">
        <f>IF(J401="v4.0",L401,IF(J401="v3.1",M401,IF(J401="Both",L401,IF(AND(L401&lt;&gt;"",M401=""),L401,M401))))</f>
        <v/>
      </c>
      <c r="AC401">
        <f>IF(AB401&lt;&gt;"",CHOOSE(MATCH(AB401,{"Low","Medium","High","Critical"},0),25,50,75,100),"")</f>
        <v/>
      </c>
    </row>
    <row r="402">
      <c r="K402">
        <f>IF(J402="v4.0",L402,IF(J402="v3.1",M402,IF(J402="Both",L402,IF(AND(L402&lt;&gt;"",M402=""),L402,M402))))</f>
        <v/>
      </c>
      <c r="AC402">
        <f>IF(AB402&lt;&gt;"",CHOOSE(MATCH(AB402,{"Low","Medium","High","Critical"},0),25,50,75,100),"")</f>
        <v/>
      </c>
    </row>
    <row r="403">
      <c r="K403">
        <f>IF(J403="v4.0",L403,IF(J403="v3.1",M403,IF(J403="Both",L403,IF(AND(L403&lt;&gt;"",M403=""),L403,M403))))</f>
        <v/>
      </c>
      <c r="AC403">
        <f>IF(AB403&lt;&gt;"",CHOOSE(MATCH(AB403,{"Low","Medium","High","Critical"},0),25,50,75,100),"")</f>
        <v/>
      </c>
    </row>
    <row r="404">
      <c r="K404">
        <f>IF(J404="v4.0",L404,IF(J404="v3.1",M404,IF(J404="Both",L404,IF(AND(L404&lt;&gt;"",M404=""),L404,M404))))</f>
        <v/>
      </c>
      <c r="AC404">
        <f>IF(AB404&lt;&gt;"",CHOOSE(MATCH(AB404,{"Low","Medium","High","Critical"},0),25,50,75,100),"")</f>
        <v/>
      </c>
    </row>
    <row r="405">
      <c r="K405">
        <f>IF(J405="v4.0",L405,IF(J405="v3.1",M405,IF(J405="Both",L405,IF(AND(L405&lt;&gt;"",M405=""),L405,M405))))</f>
        <v/>
      </c>
      <c r="AC405">
        <f>IF(AB405&lt;&gt;"",CHOOSE(MATCH(AB405,{"Low","Medium","High","Critical"},0),25,50,75,100),"")</f>
        <v/>
      </c>
    </row>
    <row r="406">
      <c r="K406">
        <f>IF(J406="v4.0",L406,IF(J406="v3.1",M406,IF(J406="Both",L406,IF(AND(L406&lt;&gt;"",M406=""),L406,M406))))</f>
        <v/>
      </c>
      <c r="AC406">
        <f>IF(AB406&lt;&gt;"",CHOOSE(MATCH(AB406,{"Low","Medium","High","Critical"},0),25,50,75,100),"")</f>
        <v/>
      </c>
    </row>
    <row r="407">
      <c r="K407">
        <f>IF(J407="v4.0",L407,IF(J407="v3.1",M407,IF(J407="Both",L407,IF(AND(L407&lt;&gt;"",M407=""),L407,M407))))</f>
        <v/>
      </c>
      <c r="AC407">
        <f>IF(AB407&lt;&gt;"",CHOOSE(MATCH(AB407,{"Low","Medium","High","Critical"},0),25,50,75,100),"")</f>
        <v/>
      </c>
    </row>
    <row r="408">
      <c r="K408">
        <f>IF(J408="v4.0",L408,IF(J408="v3.1",M408,IF(J408="Both",L408,IF(AND(L408&lt;&gt;"",M408=""),L408,M408))))</f>
        <v/>
      </c>
      <c r="AC408">
        <f>IF(AB408&lt;&gt;"",CHOOSE(MATCH(AB408,{"Low","Medium","High","Critical"},0),25,50,75,100),"")</f>
        <v/>
      </c>
    </row>
    <row r="409">
      <c r="K409">
        <f>IF(J409="v4.0",L409,IF(J409="v3.1",M409,IF(J409="Both",L409,IF(AND(L409&lt;&gt;"",M409=""),L409,M409))))</f>
        <v/>
      </c>
      <c r="AC409">
        <f>IF(AB409&lt;&gt;"",CHOOSE(MATCH(AB409,{"Low","Medium","High","Critical"},0),25,50,75,100),"")</f>
        <v/>
      </c>
    </row>
    <row r="410">
      <c r="K410">
        <f>IF(J410="v4.0",L410,IF(J410="v3.1",M410,IF(J410="Both",L410,IF(AND(L410&lt;&gt;"",M410=""),L410,M410))))</f>
        <v/>
      </c>
      <c r="AC410">
        <f>IF(AB410&lt;&gt;"",CHOOSE(MATCH(AB410,{"Low","Medium","High","Critical"},0),25,50,75,100),"")</f>
        <v/>
      </c>
    </row>
    <row r="411">
      <c r="K411">
        <f>IF(J411="v4.0",L411,IF(J411="v3.1",M411,IF(J411="Both",L411,IF(AND(L411&lt;&gt;"",M411=""),L411,M411))))</f>
        <v/>
      </c>
      <c r="AC411">
        <f>IF(AB411&lt;&gt;"",CHOOSE(MATCH(AB411,{"Low","Medium","High","Critical"},0),25,50,75,100),"")</f>
        <v/>
      </c>
    </row>
    <row r="412">
      <c r="K412">
        <f>IF(J412="v4.0",L412,IF(J412="v3.1",M412,IF(J412="Both",L412,IF(AND(L412&lt;&gt;"",M412=""),L412,M412))))</f>
        <v/>
      </c>
      <c r="AC412">
        <f>IF(AB412&lt;&gt;"",CHOOSE(MATCH(AB412,{"Low","Medium","High","Critical"},0),25,50,75,100),"")</f>
        <v/>
      </c>
    </row>
    <row r="413">
      <c r="K413">
        <f>IF(J413="v4.0",L413,IF(J413="v3.1",M413,IF(J413="Both",L413,IF(AND(L413&lt;&gt;"",M413=""),L413,M413))))</f>
        <v/>
      </c>
      <c r="AC413">
        <f>IF(AB413&lt;&gt;"",CHOOSE(MATCH(AB413,{"Low","Medium","High","Critical"},0),25,50,75,100),"")</f>
        <v/>
      </c>
    </row>
    <row r="414">
      <c r="K414">
        <f>IF(J414="v4.0",L414,IF(J414="v3.1",M414,IF(J414="Both",L414,IF(AND(L414&lt;&gt;"",M414=""),L414,M414))))</f>
        <v/>
      </c>
      <c r="AC414">
        <f>IF(AB414&lt;&gt;"",CHOOSE(MATCH(AB414,{"Low","Medium","High","Critical"},0),25,50,75,100),"")</f>
        <v/>
      </c>
    </row>
    <row r="415">
      <c r="K415">
        <f>IF(J415="v4.0",L415,IF(J415="v3.1",M415,IF(J415="Both",L415,IF(AND(L415&lt;&gt;"",M415=""),L415,M415))))</f>
        <v/>
      </c>
      <c r="AC415">
        <f>IF(AB415&lt;&gt;"",CHOOSE(MATCH(AB415,{"Low","Medium","High","Critical"},0),25,50,75,100),"")</f>
        <v/>
      </c>
    </row>
    <row r="416">
      <c r="K416">
        <f>IF(J416="v4.0",L416,IF(J416="v3.1",M416,IF(J416="Both",L416,IF(AND(L416&lt;&gt;"",M416=""),L416,M416))))</f>
        <v/>
      </c>
      <c r="AC416">
        <f>IF(AB416&lt;&gt;"",CHOOSE(MATCH(AB416,{"Low","Medium","High","Critical"},0),25,50,75,100),"")</f>
        <v/>
      </c>
    </row>
    <row r="417">
      <c r="K417">
        <f>IF(J417="v4.0",L417,IF(J417="v3.1",M417,IF(J417="Both",L417,IF(AND(L417&lt;&gt;"",M417=""),L417,M417))))</f>
        <v/>
      </c>
      <c r="AC417">
        <f>IF(AB417&lt;&gt;"",CHOOSE(MATCH(AB417,{"Low","Medium","High","Critical"},0),25,50,75,100),"")</f>
        <v/>
      </c>
    </row>
    <row r="418">
      <c r="K418">
        <f>IF(J418="v4.0",L418,IF(J418="v3.1",M418,IF(J418="Both",L418,IF(AND(L418&lt;&gt;"",M418=""),L418,M418))))</f>
        <v/>
      </c>
      <c r="AC418">
        <f>IF(AB418&lt;&gt;"",CHOOSE(MATCH(AB418,{"Low","Medium","High","Critical"},0),25,50,75,100),"")</f>
        <v/>
      </c>
    </row>
    <row r="419">
      <c r="K419">
        <f>IF(J419="v4.0",L419,IF(J419="v3.1",M419,IF(J419="Both",L419,IF(AND(L419&lt;&gt;"",M419=""),L419,M419))))</f>
        <v/>
      </c>
      <c r="AC419">
        <f>IF(AB419&lt;&gt;"",CHOOSE(MATCH(AB419,{"Low","Medium","High","Critical"},0),25,50,75,100),"")</f>
        <v/>
      </c>
    </row>
    <row r="420">
      <c r="K420">
        <f>IF(J420="v4.0",L420,IF(J420="v3.1",M420,IF(J420="Both",L420,IF(AND(L420&lt;&gt;"",M420=""),L420,M420))))</f>
        <v/>
      </c>
      <c r="AC420">
        <f>IF(AB420&lt;&gt;"",CHOOSE(MATCH(AB420,{"Low","Medium","High","Critical"},0),25,50,75,100),"")</f>
        <v/>
      </c>
    </row>
    <row r="421">
      <c r="K421">
        <f>IF(J421="v4.0",L421,IF(J421="v3.1",M421,IF(J421="Both",L421,IF(AND(L421&lt;&gt;"",M421=""),L421,M421))))</f>
        <v/>
      </c>
      <c r="AC421">
        <f>IF(AB421&lt;&gt;"",CHOOSE(MATCH(AB421,{"Low","Medium","High","Critical"},0),25,50,75,100),"")</f>
        <v/>
      </c>
    </row>
    <row r="422">
      <c r="K422">
        <f>IF(J422="v4.0",L422,IF(J422="v3.1",M422,IF(J422="Both",L422,IF(AND(L422&lt;&gt;"",M422=""),L422,M422))))</f>
        <v/>
      </c>
      <c r="AC422">
        <f>IF(AB422&lt;&gt;"",CHOOSE(MATCH(AB422,{"Low","Medium","High","Critical"},0),25,50,75,100),"")</f>
        <v/>
      </c>
    </row>
    <row r="423">
      <c r="K423">
        <f>IF(J423="v4.0",L423,IF(J423="v3.1",M423,IF(J423="Both",L423,IF(AND(L423&lt;&gt;"",M423=""),L423,M423))))</f>
        <v/>
      </c>
      <c r="AC423">
        <f>IF(AB423&lt;&gt;"",CHOOSE(MATCH(AB423,{"Low","Medium","High","Critical"},0),25,50,75,100),"")</f>
        <v/>
      </c>
    </row>
    <row r="424">
      <c r="K424">
        <f>IF(J424="v4.0",L424,IF(J424="v3.1",M424,IF(J424="Both",L424,IF(AND(L424&lt;&gt;"",M424=""),L424,M424))))</f>
        <v/>
      </c>
      <c r="AC424">
        <f>IF(AB424&lt;&gt;"",CHOOSE(MATCH(AB424,{"Low","Medium","High","Critical"},0),25,50,75,100),"")</f>
        <v/>
      </c>
    </row>
    <row r="425">
      <c r="K425">
        <f>IF(J425="v4.0",L425,IF(J425="v3.1",M425,IF(J425="Both",L425,IF(AND(L425&lt;&gt;"",M425=""),L425,M425))))</f>
        <v/>
      </c>
      <c r="AC425">
        <f>IF(AB425&lt;&gt;"",CHOOSE(MATCH(AB425,{"Low","Medium","High","Critical"},0),25,50,75,100),"")</f>
        <v/>
      </c>
    </row>
    <row r="426">
      <c r="K426">
        <f>IF(J426="v4.0",L426,IF(J426="v3.1",M426,IF(J426="Both",L426,IF(AND(L426&lt;&gt;"",M426=""),L426,M426))))</f>
        <v/>
      </c>
      <c r="AC426">
        <f>IF(AB426&lt;&gt;"",CHOOSE(MATCH(AB426,{"Low","Medium","High","Critical"},0),25,50,75,100),"")</f>
        <v/>
      </c>
    </row>
    <row r="427">
      <c r="K427">
        <f>IF(J427="v4.0",L427,IF(J427="v3.1",M427,IF(J427="Both",L427,IF(AND(L427&lt;&gt;"",M427=""),L427,M427))))</f>
        <v/>
      </c>
      <c r="AC427">
        <f>IF(AB427&lt;&gt;"",CHOOSE(MATCH(AB427,{"Low","Medium","High","Critical"},0),25,50,75,100),"")</f>
        <v/>
      </c>
    </row>
    <row r="428">
      <c r="K428">
        <f>IF(J428="v4.0",L428,IF(J428="v3.1",M428,IF(J428="Both",L428,IF(AND(L428&lt;&gt;"",M428=""),L428,M428))))</f>
        <v/>
      </c>
      <c r="AC428">
        <f>IF(AB428&lt;&gt;"",CHOOSE(MATCH(AB428,{"Low","Medium","High","Critical"},0),25,50,75,100),"")</f>
        <v/>
      </c>
    </row>
    <row r="429">
      <c r="K429">
        <f>IF(J429="v4.0",L429,IF(J429="v3.1",M429,IF(J429="Both",L429,IF(AND(L429&lt;&gt;"",M429=""),L429,M429))))</f>
        <v/>
      </c>
      <c r="AC429">
        <f>IF(AB429&lt;&gt;"",CHOOSE(MATCH(AB429,{"Low","Medium","High","Critical"},0),25,50,75,100),"")</f>
        <v/>
      </c>
    </row>
    <row r="430">
      <c r="K430">
        <f>IF(J430="v4.0",L430,IF(J430="v3.1",M430,IF(J430="Both",L430,IF(AND(L430&lt;&gt;"",M430=""),L430,M430))))</f>
        <v/>
      </c>
      <c r="AC430">
        <f>IF(AB430&lt;&gt;"",CHOOSE(MATCH(AB430,{"Low","Medium","High","Critical"},0),25,50,75,100),"")</f>
        <v/>
      </c>
    </row>
    <row r="431">
      <c r="K431">
        <f>IF(J431="v4.0",L431,IF(J431="v3.1",M431,IF(J431="Both",L431,IF(AND(L431&lt;&gt;"",M431=""),L431,M431))))</f>
        <v/>
      </c>
      <c r="AC431">
        <f>IF(AB431&lt;&gt;"",CHOOSE(MATCH(AB431,{"Low","Medium","High","Critical"},0),25,50,75,100),"")</f>
        <v/>
      </c>
    </row>
    <row r="432">
      <c r="K432">
        <f>IF(J432="v4.0",L432,IF(J432="v3.1",M432,IF(J432="Both",L432,IF(AND(L432&lt;&gt;"",M432=""),L432,M432))))</f>
        <v/>
      </c>
      <c r="AC432">
        <f>IF(AB432&lt;&gt;"",CHOOSE(MATCH(AB432,{"Low","Medium","High","Critical"},0),25,50,75,100),"")</f>
        <v/>
      </c>
    </row>
    <row r="433">
      <c r="K433">
        <f>IF(J433="v4.0",L433,IF(J433="v3.1",M433,IF(J433="Both",L433,IF(AND(L433&lt;&gt;"",M433=""),L433,M433))))</f>
        <v/>
      </c>
      <c r="AC433">
        <f>IF(AB433&lt;&gt;"",CHOOSE(MATCH(AB433,{"Low","Medium","High","Critical"},0),25,50,75,100),"")</f>
        <v/>
      </c>
    </row>
    <row r="434">
      <c r="K434">
        <f>IF(J434="v4.0",L434,IF(J434="v3.1",M434,IF(J434="Both",L434,IF(AND(L434&lt;&gt;"",M434=""),L434,M434))))</f>
        <v/>
      </c>
      <c r="AC434">
        <f>IF(AB434&lt;&gt;"",CHOOSE(MATCH(AB434,{"Low","Medium","High","Critical"},0),25,50,75,100),"")</f>
        <v/>
      </c>
    </row>
    <row r="435">
      <c r="K435">
        <f>IF(J435="v4.0",L435,IF(J435="v3.1",M435,IF(J435="Both",L435,IF(AND(L435&lt;&gt;"",M435=""),L435,M435))))</f>
        <v/>
      </c>
      <c r="AC435">
        <f>IF(AB435&lt;&gt;"",CHOOSE(MATCH(AB435,{"Low","Medium","High","Critical"},0),25,50,75,100),"")</f>
        <v/>
      </c>
    </row>
    <row r="436">
      <c r="K436">
        <f>IF(J436="v4.0",L436,IF(J436="v3.1",M436,IF(J436="Both",L436,IF(AND(L436&lt;&gt;"",M436=""),L436,M436))))</f>
        <v/>
      </c>
      <c r="AC436">
        <f>IF(AB436&lt;&gt;"",CHOOSE(MATCH(AB436,{"Low","Medium","High","Critical"},0),25,50,75,100),"")</f>
        <v/>
      </c>
    </row>
    <row r="437">
      <c r="K437">
        <f>IF(J437="v4.0",L437,IF(J437="v3.1",M437,IF(J437="Both",L437,IF(AND(L437&lt;&gt;"",M437=""),L437,M437))))</f>
        <v/>
      </c>
      <c r="AC437">
        <f>IF(AB437&lt;&gt;"",CHOOSE(MATCH(AB437,{"Low","Medium","High","Critical"},0),25,50,75,100),"")</f>
        <v/>
      </c>
    </row>
    <row r="438">
      <c r="K438">
        <f>IF(J438="v4.0",L438,IF(J438="v3.1",M438,IF(J438="Both",L438,IF(AND(L438&lt;&gt;"",M438=""),L438,M438))))</f>
        <v/>
      </c>
      <c r="AC438">
        <f>IF(AB438&lt;&gt;"",CHOOSE(MATCH(AB438,{"Low","Medium","High","Critical"},0),25,50,75,100),"")</f>
        <v/>
      </c>
    </row>
    <row r="439">
      <c r="K439">
        <f>IF(J439="v4.0",L439,IF(J439="v3.1",M439,IF(J439="Both",L439,IF(AND(L439&lt;&gt;"",M439=""),L439,M439))))</f>
        <v/>
      </c>
      <c r="AC439">
        <f>IF(AB439&lt;&gt;"",CHOOSE(MATCH(AB439,{"Low","Medium","High","Critical"},0),25,50,75,100),"")</f>
        <v/>
      </c>
    </row>
    <row r="440">
      <c r="K440">
        <f>IF(J440="v4.0",L440,IF(J440="v3.1",M440,IF(J440="Both",L440,IF(AND(L440&lt;&gt;"",M440=""),L440,M440))))</f>
        <v/>
      </c>
      <c r="AC440">
        <f>IF(AB440&lt;&gt;"",CHOOSE(MATCH(AB440,{"Low","Medium","High","Critical"},0),25,50,75,100),"")</f>
        <v/>
      </c>
    </row>
    <row r="441">
      <c r="K441">
        <f>IF(J441="v4.0",L441,IF(J441="v3.1",M441,IF(J441="Both",L441,IF(AND(L441&lt;&gt;"",M441=""),L441,M441))))</f>
        <v/>
      </c>
      <c r="AC441">
        <f>IF(AB441&lt;&gt;"",CHOOSE(MATCH(AB441,{"Low","Medium","High","Critical"},0),25,50,75,100),"")</f>
        <v/>
      </c>
    </row>
    <row r="442">
      <c r="K442">
        <f>IF(J442="v4.0",L442,IF(J442="v3.1",M442,IF(J442="Both",L442,IF(AND(L442&lt;&gt;"",M442=""),L442,M442))))</f>
        <v/>
      </c>
      <c r="AC442">
        <f>IF(AB442&lt;&gt;"",CHOOSE(MATCH(AB442,{"Low","Medium","High","Critical"},0),25,50,75,100),"")</f>
        <v/>
      </c>
    </row>
    <row r="443">
      <c r="K443">
        <f>IF(J443="v4.0",L443,IF(J443="v3.1",M443,IF(J443="Both",L443,IF(AND(L443&lt;&gt;"",M443=""),L443,M443))))</f>
        <v/>
      </c>
      <c r="AC443">
        <f>IF(AB443&lt;&gt;"",CHOOSE(MATCH(AB443,{"Low","Medium","High","Critical"},0),25,50,75,100),"")</f>
        <v/>
      </c>
    </row>
    <row r="444">
      <c r="K444">
        <f>IF(J444="v4.0",L444,IF(J444="v3.1",M444,IF(J444="Both",L444,IF(AND(L444&lt;&gt;"",M444=""),L444,M444))))</f>
        <v/>
      </c>
      <c r="AC444">
        <f>IF(AB444&lt;&gt;"",CHOOSE(MATCH(AB444,{"Low","Medium","High","Critical"},0),25,50,75,100),"")</f>
        <v/>
      </c>
    </row>
    <row r="445">
      <c r="K445">
        <f>IF(J445="v4.0",L445,IF(J445="v3.1",M445,IF(J445="Both",L445,IF(AND(L445&lt;&gt;"",M445=""),L445,M445))))</f>
        <v/>
      </c>
      <c r="AC445">
        <f>IF(AB445&lt;&gt;"",CHOOSE(MATCH(AB445,{"Low","Medium","High","Critical"},0),25,50,75,100),"")</f>
        <v/>
      </c>
    </row>
    <row r="446">
      <c r="K446">
        <f>IF(J446="v4.0",L446,IF(J446="v3.1",M446,IF(J446="Both",L446,IF(AND(L446&lt;&gt;"",M446=""),L446,M446))))</f>
        <v/>
      </c>
      <c r="AC446">
        <f>IF(AB446&lt;&gt;"",CHOOSE(MATCH(AB446,{"Low","Medium","High","Critical"},0),25,50,75,100),"")</f>
        <v/>
      </c>
    </row>
    <row r="447">
      <c r="K447">
        <f>IF(J447="v4.0",L447,IF(J447="v3.1",M447,IF(J447="Both",L447,IF(AND(L447&lt;&gt;"",M447=""),L447,M447))))</f>
        <v/>
      </c>
      <c r="AC447">
        <f>IF(AB447&lt;&gt;"",CHOOSE(MATCH(AB447,{"Low","Medium","High","Critical"},0),25,50,75,100),"")</f>
        <v/>
      </c>
    </row>
    <row r="448">
      <c r="K448">
        <f>IF(J448="v4.0",L448,IF(J448="v3.1",M448,IF(J448="Both",L448,IF(AND(L448&lt;&gt;"",M448=""),L448,M448))))</f>
        <v/>
      </c>
      <c r="AC448">
        <f>IF(AB448&lt;&gt;"",CHOOSE(MATCH(AB448,{"Low","Medium","High","Critical"},0),25,50,75,100),"")</f>
        <v/>
      </c>
    </row>
    <row r="449">
      <c r="K449">
        <f>IF(J449="v4.0",L449,IF(J449="v3.1",M449,IF(J449="Both",L449,IF(AND(L449&lt;&gt;"",M449=""),L449,M449))))</f>
        <v/>
      </c>
      <c r="AC449">
        <f>IF(AB449&lt;&gt;"",CHOOSE(MATCH(AB449,{"Low","Medium","High","Critical"},0),25,50,75,100),"")</f>
        <v/>
      </c>
    </row>
    <row r="450">
      <c r="K450">
        <f>IF(J450="v4.0",L450,IF(J450="v3.1",M450,IF(J450="Both",L450,IF(AND(L450&lt;&gt;"",M450=""),L450,M450))))</f>
        <v/>
      </c>
      <c r="AC450">
        <f>IF(AB450&lt;&gt;"",CHOOSE(MATCH(AB450,{"Low","Medium","High","Critical"},0),25,50,75,100),"")</f>
        <v/>
      </c>
    </row>
    <row r="451">
      <c r="K451">
        <f>IF(J451="v4.0",L451,IF(J451="v3.1",M451,IF(J451="Both",L451,IF(AND(L451&lt;&gt;"",M451=""),L451,M451))))</f>
        <v/>
      </c>
      <c r="AC451">
        <f>IF(AB451&lt;&gt;"",CHOOSE(MATCH(AB451,{"Low","Medium","High","Critical"},0),25,50,75,100),"")</f>
        <v/>
      </c>
    </row>
    <row r="452">
      <c r="K452">
        <f>IF(J452="v4.0",L452,IF(J452="v3.1",M452,IF(J452="Both",L452,IF(AND(L452&lt;&gt;"",M452=""),L452,M452))))</f>
        <v/>
      </c>
      <c r="AC452">
        <f>IF(AB452&lt;&gt;"",CHOOSE(MATCH(AB452,{"Low","Medium","High","Critical"},0),25,50,75,100),"")</f>
        <v/>
      </c>
    </row>
    <row r="453">
      <c r="K453">
        <f>IF(J453="v4.0",L453,IF(J453="v3.1",M453,IF(J453="Both",L453,IF(AND(L453&lt;&gt;"",M453=""),L453,M453))))</f>
        <v/>
      </c>
      <c r="AC453">
        <f>IF(AB453&lt;&gt;"",CHOOSE(MATCH(AB453,{"Low","Medium","High","Critical"},0),25,50,75,100),"")</f>
        <v/>
      </c>
    </row>
    <row r="454">
      <c r="K454">
        <f>IF(J454="v4.0",L454,IF(J454="v3.1",M454,IF(J454="Both",L454,IF(AND(L454&lt;&gt;"",M454=""),L454,M454))))</f>
        <v/>
      </c>
      <c r="AC454">
        <f>IF(AB454&lt;&gt;"",CHOOSE(MATCH(AB454,{"Low","Medium","High","Critical"},0),25,50,75,100),"")</f>
        <v/>
      </c>
    </row>
    <row r="455">
      <c r="K455">
        <f>IF(J455="v4.0",L455,IF(J455="v3.1",M455,IF(J455="Both",L455,IF(AND(L455&lt;&gt;"",M455=""),L455,M455))))</f>
        <v/>
      </c>
      <c r="AC455">
        <f>IF(AB455&lt;&gt;"",CHOOSE(MATCH(AB455,{"Low","Medium","High","Critical"},0),25,50,75,100),"")</f>
        <v/>
      </c>
    </row>
    <row r="456">
      <c r="K456">
        <f>IF(J456="v4.0",L456,IF(J456="v3.1",M456,IF(J456="Both",L456,IF(AND(L456&lt;&gt;"",M456=""),L456,M456))))</f>
        <v/>
      </c>
      <c r="AC456">
        <f>IF(AB456&lt;&gt;"",CHOOSE(MATCH(AB456,{"Low","Medium","High","Critical"},0),25,50,75,100),"")</f>
        <v/>
      </c>
    </row>
    <row r="457">
      <c r="K457">
        <f>IF(J457="v4.0",L457,IF(J457="v3.1",M457,IF(J457="Both",L457,IF(AND(L457&lt;&gt;"",M457=""),L457,M457))))</f>
        <v/>
      </c>
      <c r="AC457">
        <f>IF(AB457&lt;&gt;"",CHOOSE(MATCH(AB457,{"Low","Medium","High","Critical"},0),25,50,75,100),"")</f>
        <v/>
      </c>
    </row>
    <row r="458">
      <c r="K458">
        <f>IF(J458="v4.0",L458,IF(J458="v3.1",M458,IF(J458="Both",L458,IF(AND(L458&lt;&gt;"",M458=""),L458,M458))))</f>
        <v/>
      </c>
      <c r="AC458">
        <f>IF(AB458&lt;&gt;"",CHOOSE(MATCH(AB458,{"Low","Medium","High","Critical"},0),25,50,75,100),"")</f>
        <v/>
      </c>
    </row>
    <row r="459">
      <c r="K459">
        <f>IF(J459="v4.0",L459,IF(J459="v3.1",M459,IF(J459="Both",L459,IF(AND(L459&lt;&gt;"",M459=""),L459,M459))))</f>
        <v/>
      </c>
      <c r="AC459">
        <f>IF(AB459&lt;&gt;"",CHOOSE(MATCH(AB459,{"Low","Medium","High","Critical"},0),25,50,75,100),"")</f>
        <v/>
      </c>
    </row>
    <row r="460">
      <c r="K460">
        <f>IF(J460="v4.0",L460,IF(J460="v3.1",M460,IF(J460="Both",L460,IF(AND(L460&lt;&gt;"",M460=""),L460,M460))))</f>
        <v/>
      </c>
      <c r="AC460">
        <f>IF(AB460&lt;&gt;"",CHOOSE(MATCH(AB460,{"Low","Medium","High","Critical"},0),25,50,75,100),"")</f>
        <v/>
      </c>
    </row>
    <row r="461">
      <c r="K461">
        <f>IF(J461="v4.0",L461,IF(J461="v3.1",M461,IF(J461="Both",L461,IF(AND(L461&lt;&gt;"",M461=""),L461,M461))))</f>
        <v/>
      </c>
      <c r="AC461">
        <f>IF(AB461&lt;&gt;"",CHOOSE(MATCH(AB461,{"Low","Medium","High","Critical"},0),25,50,75,100),"")</f>
        <v/>
      </c>
    </row>
    <row r="462">
      <c r="K462">
        <f>IF(J462="v4.0",L462,IF(J462="v3.1",M462,IF(J462="Both",L462,IF(AND(L462&lt;&gt;"",M462=""),L462,M462))))</f>
        <v/>
      </c>
      <c r="AC462">
        <f>IF(AB462&lt;&gt;"",CHOOSE(MATCH(AB462,{"Low","Medium","High","Critical"},0),25,50,75,100),"")</f>
        <v/>
      </c>
    </row>
    <row r="463">
      <c r="K463">
        <f>IF(J463="v4.0",L463,IF(J463="v3.1",M463,IF(J463="Both",L463,IF(AND(L463&lt;&gt;"",M463=""),L463,M463))))</f>
        <v/>
      </c>
      <c r="AC463">
        <f>IF(AB463&lt;&gt;"",CHOOSE(MATCH(AB463,{"Low","Medium","High","Critical"},0),25,50,75,100),"")</f>
        <v/>
      </c>
    </row>
    <row r="464">
      <c r="K464">
        <f>IF(J464="v4.0",L464,IF(J464="v3.1",M464,IF(J464="Both",L464,IF(AND(L464&lt;&gt;"",M464=""),L464,M464))))</f>
        <v/>
      </c>
      <c r="AC464">
        <f>IF(AB464&lt;&gt;"",CHOOSE(MATCH(AB464,{"Low","Medium","High","Critical"},0),25,50,75,100),"")</f>
        <v/>
      </c>
    </row>
    <row r="465">
      <c r="K465">
        <f>IF(J465="v4.0",L465,IF(J465="v3.1",M465,IF(J465="Both",L465,IF(AND(L465&lt;&gt;"",M465=""),L465,M465))))</f>
        <v/>
      </c>
      <c r="AC465">
        <f>IF(AB465&lt;&gt;"",CHOOSE(MATCH(AB465,{"Low","Medium","High","Critical"},0),25,50,75,100),"")</f>
        <v/>
      </c>
    </row>
    <row r="466">
      <c r="K466">
        <f>IF(J466="v4.0",L466,IF(J466="v3.1",M466,IF(J466="Both",L466,IF(AND(L466&lt;&gt;"",M466=""),L466,M466))))</f>
        <v/>
      </c>
      <c r="AC466">
        <f>IF(AB466&lt;&gt;"",CHOOSE(MATCH(AB466,{"Low","Medium","High","Critical"},0),25,50,75,100),"")</f>
        <v/>
      </c>
    </row>
    <row r="467">
      <c r="K467">
        <f>IF(J467="v4.0",L467,IF(J467="v3.1",M467,IF(J467="Both",L467,IF(AND(L467&lt;&gt;"",M467=""),L467,M467))))</f>
        <v/>
      </c>
      <c r="AC467">
        <f>IF(AB467&lt;&gt;"",CHOOSE(MATCH(AB467,{"Low","Medium","High","Critical"},0),25,50,75,100),"")</f>
        <v/>
      </c>
    </row>
    <row r="468">
      <c r="K468">
        <f>IF(J468="v4.0",L468,IF(J468="v3.1",M468,IF(J468="Both",L468,IF(AND(L468&lt;&gt;"",M468=""),L468,M468))))</f>
        <v/>
      </c>
      <c r="AC468">
        <f>IF(AB468&lt;&gt;"",CHOOSE(MATCH(AB468,{"Low","Medium","High","Critical"},0),25,50,75,100),"")</f>
        <v/>
      </c>
    </row>
    <row r="469">
      <c r="K469">
        <f>IF(J469="v4.0",L469,IF(J469="v3.1",M469,IF(J469="Both",L469,IF(AND(L469&lt;&gt;"",M469=""),L469,M469))))</f>
        <v/>
      </c>
      <c r="AC469">
        <f>IF(AB469&lt;&gt;"",CHOOSE(MATCH(AB469,{"Low","Medium","High","Critical"},0),25,50,75,100),"")</f>
        <v/>
      </c>
    </row>
    <row r="470">
      <c r="K470">
        <f>IF(J470="v4.0",L470,IF(J470="v3.1",M470,IF(J470="Both",L470,IF(AND(L470&lt;&gt;"",M470=""),L470,M470))))</f>
        <v/>
      </c>
      <c r="AC470">
        <f>IF(AB470&lt;&gt;"",CHOOSE(MATCH(AB470,{"Low","Medium","High","Critical"},0),25,50,75,100),"")</f>
        <v/>
      </c>
    </row>
    <row r="471">
      <c r="K471">
        <f>IF(J471="v4.0",L471,IF(J471="v3.1",M471,IF(J471="Both",L471,IF(AND(L471&lt;&gt;"",M471=""),L471,M471))))</f>
        <v/>
      </c>
      <c r="AC471">
        <f>IF(AB471&lt;&gt;"",CHOOSE(MATCH(AB471,{"Low","Medium","High","Critical"},0),25,50,75,100),"")</f>
        <v/>
      </c>
    </row>
    <row r="472">
      <c r="K472">
        <f>IF(J472="v4.0",L472,IF(J472="v3.1",M472,IF(J472="Both",L472,IF(AND(L472&lt;&gt;"",M472=""),L472,M472))))</f>
        <v/>
      </c>
      <c r="AC472">
        <f>IF(AB472&lt;&gt;"",CHOOSE(MATCH(AB472,{"Low","Medium","High","Critical"},0),25,50,75,100),"")</f>
        <v/>
      </c>
    </row>
    <row r="473">
      <c r="K473">
        <f>IF(J473="v4.0",L473,IF(J473="v3.1",M473,IF(J473="Both",L473,IF(AND(L473&lt;&gt;"",M473=""),L473,M473))))</f>
        <v/>
      </c>
      <c r="AC473">
        <f>IF(AB473&lt;&gt;"",CHOOSE(MATCH(AB473,{"Low","Medium","High","Critical"},0),25,50,75,100),"")</f>
        <v/>
      </c>
    </row>
    <row r="474">
      <c r="K474">
        <f>IF(J474="v4.0",L474,IF(J474="v3.1",M474,IF(J474="Both",L474,IF(AND(L474&lt;&gt;"",M474=""),L474,M474))))</f>
        <v/>
      </c>
      <c r="AC474">
        <f>IF(AB474&lt;&gt;"",CHOOSE(MATCH(AB474,{"Low","Medium","High","Critical"},0),25,50,75,100),"")</f>
        <v/>
      </c>
    </row>
    <row r="475">
      <c r="K475">
        <f>IF(J475="v4.0",L475,IF(J475="v3.1",M475,IF(J475="Both",L475,IF(AND(L475&lt;&gt;"",M475=""),L475,M475))))</f>
        <v/>
      </c>
      <c r="AC475">
        <f>IF(AB475&lt;&gt;"",CHOOSE(MATCH(AB475,{"Low","Medium","High","Critical"},0),25,50,75,100),"")</f>
        <v/>
      </c>
    </row>
    <row r="476">
      <c r="K476">
        <f>IF(J476="v4.0",L476,IF(J476="v3.1",M476,IF(J476="Both",L476,IF(AND(L476&lt;&gt;"",M476=""),L476,M476))))</f>
        <v/>
      </c>
      <c r="AC476">
        <f>IF(AB476&lt;&gt;"",CHOOSE(MATCH(AB476,{"Low","Medium","High","Critical"},0),25,50,75,100),"")</f>
        <v/>
      </c>
    </row>
    <row r="477">
      <c r="K477">
        <f>IF(J477="v4.0",L477,IF(J477="v3.1",M477,IF(J477="Both",L477,IF(AND(L477&lt;&gt;"",M477=""),L477,M477))))</f>
        <v/>
      </c>
      <c r="AC477">
        <f>IF(AB477&lt;&gt;"",CHOOSE(MATCH(AB477,{"Low","Medium","High","Critical"},0),25,50,75,100),"")</f>
        <v/>
      </c>
    </row>
    <row r="478">
      <c r="K478">
        <f>IF(J478="v4.0",L478,IF(J478="v3.1",M478,IF(J478="Both",L478,IF(AND(L478&lt;&gt;"",M478=""),L478,M478))))</f>
        <v/>
      </c>
      <c r="AC478">
        <f>IF(AB478&lt;&gt;"",CHOOSE(MATCH(AB478,{"Low","Medium","High","Critical"},0),25,50,75,100),"")</f>
        <v/>
      </c>
    </row>
    <row r="479">
      <c r="K479">
        <f>IF(J479="v4.0",L479,IF(J479="v3.1",M479,IF(J479="Both",L479,IF(AND(L479&lt;&gt;"",M479=""),L479,M479))))</f>
        <v/>
      </c>
      <c r="AC479">
        <f>IF(AB479&lt;&gt;"",CHOOSE(MATCH(AB479,{"Low","Medium","High","Critical"},0),25,50,75,100),"")</f>
        <v/>
      </c>
    </row>
    <row r="480">
      <c r="K480">
        <f>IF(J480="v4.0",L480,IF(J480="v3.1",M480,IF(J480="Both",L480,IF(AND(L480&lt;&gt;"",M480=""),L480,M480))))</f>
        <v/>
      </c>
      <c r="AC480">
        <f>IF(AB480&lt;&gt;"",CHOOSE(MATCH(AB480,{"Low","Medium","High","Critical"},0),25,50,75,100),"")</f>
        <v/>
      </c>
    </row>
    <row r="481">
      <c r="K481">
        <f>IF(J481="v4.0",L481,IF(J481="v3.1",M481,IF(J481="Both",L481,IF(AND(L481&lt;&gt;"",M481=""),L481,M481))))</f>
        <v/>
      </c>
      <c r="AC481">
        <f>IF(AB481&lt;&gt;"",CHOOSE(MATCH(AB481,{"Low","Medium","High","Critical"},0),25,50,75,100),"")</f>
        <v/>
      </c>
    </row>
    <row r="482">
      <c r="K482">
        <f>IF(J482="v4.0",L482,IF(J482="v3.1",M482,IF(J482="Both",L482,IF(AND(L482&lt;&gt;"",M482=""),L482,M482))))</f>
        <v/>
      </c>
      <c r="AC482">
        <f>IF(AB482&lt;&gt;"",CHOOSE(MATCH(AB482,{"Low","Medium","High","Critical"},0),25,50,75,100),"")</f>
        <v/>
      </c>
    </row>
    <row r="483">
      <c r="K483">
        <f>IF(J483="v4.0",L483,IF(J483="v3.1",M483,IF(J483="Both",L483,IF(AND(L483&lt;&gt;"",M483=""),L483,M483))))</f>
        <v/>
      </c>
      <c r="AC483">
        <f>IF(AB483&lt;&gt;"",CHOOSE(MATCH(AB483,{"Low","Medium","High","Critical"},0),25,50,75,100),"")</f>
        <v/>
      </c>
    </row>
    <row r="484">
      <c r="K484">
        <f>IF(J484="v4.0",L484,IF(J484="v3.1",M484,IF(J484="Both",L484,IF(AND(L484&lt;&gt;"",M484=""),L484,M484))))</f>
        <v/>
      </c>
      <c r="AC484">
        <f>IF(AB484&lt;&gt;"",CHOOSE(MATCH(AB484,{"Low","Medium","High","Critical"},0),25,50,75,100),"")</f>
        <v/>
      </c>
    </row>
    <row r="485">
      <c r="K485">
        <f>IF(J485="v4.0",L485,IF(J485="v3.1",M485,IF(J485="Both",L485,IF(AND(L485&lt;&gt;"",M485=""),L485,M485))))</f>
        <v/>
      </c>
      <c r="AC485">
        <f>IF(AB485&lt;&gt;"",CHOOSE(MATCH(AB485,{"Low","Medium","High","Critical"},0),25,50,75,100),"")</f>
        <v/>
      </c>
    </row>
    <row r="486">
      <c r="K486">
        <f>IF(J486="v4.0",L486,IF(J486="v3.1",M486,IF(J486="Both",L486,IF(AND(L486&lt;&gt;"",M486=""),L486,M486))))</f>
        <v/>
      </c>
      <c r="AC486">
        <f>IF(AB486&lt;&gt;"",CHOOSE(MATCH(AB486,{"Low","Medium","High","Critical"},0),25,50,75,100),"")</f>
        <v/>
      </c>
    </row>
    <row r="487">
      <c r="K487">
        <f>IF(J487="v4.0",L487,IF(J487="v3.1",M487,IF(J487="Both",L487,IF(AND(L487&lt;&gt;"",M487=""),L487,M487))))</f>
        <v/>
      </c>
      <c r="AC487">
        <f>IF(AB487&lt;&gt;"",CHOOSE(MATCH(AB487,{"Low","Medium","High","Critical"},0),25,50,75,100),"")</f>
        <v/>
      </c>
    </row>
    <row r="488">
      <c r="K488">
        <f>IF(J488="v4.0",L488,IF(J488="v3.1",M488,IF(J488="Both",L488,IF(AND(L488&lt;&gt;"",M488=""),L488,M488))))</f>
        <v/>
      </c>
      <c r="AC488">
        <f>IF(AB488&lt;&gt;"",CHOOSE(MATCH(AB488,{"Low","Medium","High","Critical"},0),25,50,75,100),"")</f>
        <v/>
      </c>
    </row>
    <row r="489">
      <c r="K489">
        <f>IF(J489="v4.0",L489,IF(J489="v3.1",M489,IF(J489="Both",L489,IF(AND(L489&lt;&gt;"",M489=""),L489,M489))))</f>
        <v/>
      </c>
      <c r="AC489">
        <f>IF(AB489&lt;&gt;"",CHOOSE(MATCH(AB489,{"Low","Medium","High","Critical"},0),25,50,75,100),"")</f>
        <v/>
      </c>
    </row>
    <row r="490">
      <c r="K490">
        <f>IF(J490="v4.0",L490,IF(J490="v3.1",M490,IF(J490="Both",L490,IF(AND(L490&lt;&gt;"",M490=""),L490,M490))))</f>
        <v/>
      </c>
      <c r="AC490">
        <f>IF(AB490&lt;&gt;"",CHOOSE(MATCH(AB490,{"Low","Medium","High","Critical"},0),25,50,75,100),"")</f>
        <v/>
      </c>
    </row>
    <row r="491">
      <c r="K491">
        <f>IF(J491="v4.0",L491,IF(J491="v3.1",M491,IF(J491="Both",L491,IF(AND(L491&lt;&gt;"",M491=""),L491,M491))))</f>
        <v/>
      </c>
      <c r="AC491">
        <f>IF(AB491&lt;&gt;"",CHOOSE(MATCH(AB491,{"Low","Medium","High","Critical"},0),25,50,75,100),"")</f>
        <v/>
      </c>
    </row>
    <row r="492">
      <c r="K492">
        <f>IF(J492="v4.0",L492,IF(J492="v3.1",M492,IF(J492="Both",L492,IF(AND(L492&lt;&gt;"",M492=""),L492,M492))))</f>
        <v/>
      </c>
      <c r="AC492">
        <f>IF(AB492&lt;&gt;"",CHOOSE(MATCH(AB492,{"Low","Medium","High","Critical"},0),25,50,75,100),"")</f>
        <v/>
      </c>
    </row>
    <row r="493">
      <c r="K493">
        <f>IF(J493="v4.0",L493,IF(J493="v3.1",M493,IF(J493="Both",L493,IF(AND(L493&lt;&gt;"",M493=""),L493,M493))))</f>
        <v/>
      </c>
      <c r="AC493">
        <f>IF(AB493&lt;&gt;"",CHOOSE(MATCH(AB493,{"Low","Medium","High","Critical"},0),25,50,75,100),"")</f>
        <v/>
      </c>
    </row>
    <row r="494">
      <c r="K494">
        <f>IF(J494="v4.0",L494,IF(J494="v3.1",M494,IF(J494="Both",L494,IF(AND(L494&lt;&gt;"",M494=""),L494,M494))))</f>
        <v/>
      </c>
      <c r="AC494">
        <f>IF(AB494&lt;&gt;"",CHOOSE(MATCH(AB494,{"Low","Medium","High","Critical"},0),25,50,75,100),"")</f>
        <v/>
      </c>
    </row>
    <row r="495">
      <c r="K495">
        <f>IF(J495="v4.0",L495,IF(J495="v3.1",M495,IF(J495="Both",L495,IF(AND(L495&lt;&gt;"",M495=""),L495,M495))))</f>
        <v/>
      </c>
      <c r="AC495">
        <f>IF(AB495&lt;&gt;"",CHOOSE(MATCH(AB495,{"Low","Medium","High","Critical"},0),25,50,75,100),"")</f>
        <v/>
      </c>
    </row>
    <row r="496">
      <c r="K496">
        <f>IF(J496="v4.0",L496,IF(J496="v3.1",M496,IF(J496="Both",L496,IF(AND(L496&lt;&gt;"",M496=""),L496,M496))))</f>
        <v/>
      </c>
      <c r="AC496">
        <f>IF(AB496&lt;&gt;"",CHOOSE(MATCH(AB496,{"Low","Medium","High","Critical"},0),25,50,75,100),"")</f>
        <v/>
      </c>
    </row>
    <row r="497">
      <c r="K497">
        <f>IF(J497="v4.0",L497,IF(J497="v3.1",M497,IF(J497="Both",L497,IF(AND(L497&lt;&gt;"",M497=""),L497,M497))))</f>
        <v/>
      </c>
      <c r="AC497">
        <f>IF(AB497&lt;&gt;"",CHOOSE(MATCH(AB497,{"Low","Medium","High","Critical"},0),25,50,75,100),"")</f>
        <v/>
      </c>
    </row>
    <row r="498">
      <c r="K498">
        <f>IF(J498="v4.0",L498,IF(J498="v3.1",M498,IF(J498="Both",L498,IF(AND(L498&lt;&gt;"",M498=""),L498,M498))))</f>
        <v/>
      </c>
      <c r="AC498">
        <f>IF(AB498&lt;&gt;"",CHOOSE(MATCH(AB498,{"Low","Medium","High","Critical"},0),25,50,75,100),"")</f>
        <v/>
      </c>
    </row>
    <row r="499">
      <c r="K499">
        <f>IF(J499="v4.0",L499,IF(J499="v3.1",M499,IF(J499="Both",L499,IF(AND(L499&lt;&gt;"",M499=""),L499,M499))))</f>
        <v/>
      </c>
      <c r="AC499">
        <f>IF(AB499&lt;&gt;"",CHOOSE(MATCH(AB499,{"Low","Medium","High","Critical"},0),25,50,75,100),"")</f>
        <v/>
      </c>
    </row>
    <row r="500">
      <c r="K500">
        <f>IF(J500="v4.0",L500,IF(J500="v3.1",M500,IF(J500="Both",L500,IF(AND(L500&lt;&gt;"",M500=""),L500,M500))))</f>
        <v/>
      </c>
      <c r="AC500">
        <f>IF(AB500&lt;&gt;"",CHOOSE(MATCH(AB500,{"Low","Medium","High","Critical"},0),25,50,75,100),"")</f>
        <v/>
      </c>
    </row>
    <row r="501">
      <c r="K501">
        <f>IF(J501="v4.0",L501,IF(J501="v3.1",M501,IF(J501="Both",L501,IF(AND(L501&lt;&gt;"",M501=""),L501,M501))))</f>
        <v/>
      </c>
      <c r="AC501">
        <f>IF(AB501&lt;&gt;"",CHOOSE(MATCH(AB501,{"Low","Medium","High","Critical"},0),25,50,75,100),"")</f>
        <v/>
      </c>
    </row>
    <row r="502">
      <c r="K502">
        <f>IF(J502="v4.0",L502,IF(J502="v3.1",M502,IF(J502="Both",L502,IF(AND(L502&lt;&gt;"",M502=""),L502,M502))))</f>
        <v/>
      </c>
      <c r="AC502">
        <f>IF(AB502&lt;&gt;"",CHOOSE(MATCH(AB502,{"Low","Medium","High","Critical"},0),25,50,75,100),"")</f>
        <v/>
      </c>
    </row>
    <row r="503">
      <c r="K503">
        <f>IF(J503="v4.0",L503,IF(J503="v3.1",M503,IF(J503="Both",L503,IF(AND(L503&lt;&gt;"",M503=""),L503,M503))))</f>
        <v/>
      </c>
      <c r="AC503">
        <f>IF(AB503&lt;&gt;"",CHOOSE(MATCH(AB503,{"Low","Medium","High","Critical"},0),25,50,75,100),"")</f>
        <v/>
      </c>
    </row>
    <row r="504">
      <c r="K504">
        <f>IF(J504="v4.0",L504,IF(J504="v3.1",M504,IF(J504="Both",L504,IF(AND(L504&lt;&gt;"",M504=""),L504,M504))))</f>
        <v/>
      </c>
      <c r="AC504">
        <f>IF(AB504&lt;&gt;"",CHOOSE(MATCH(AB504,{"Low","Medium","High","Critical"},0),25,50,75,100),"")</f>
        <v/>
      </c>
    </row>
    <row r="505">
      <c r="K505">
        <f>IF(J505="v4.0",L505,IF(J505="v3.1",M505,IF(J505="Both",L505,IF(AND(L505&lt;&gt;"",M505=""),L505,M505))))</f>
        <v/>
      </c>
      <c r="AC505">
        <f>IF(AB505&lt;&gt;"",CHOOSE(MATCH(AB505,{"Low","Medium","High","Critical"},0),25,50,75,100),"")</f>
        <v/>
      </c>
    </row>
    <row r="506">
      <c r="K506">
        <f>IF(J506="v4.0",L506,IF(J506="v3.1",M506,IF(J506="Both",L506,IF(AND(L506&lt;&gt;"",M506=""),L506,M506))))</f>
        <v/>
      </c>
      <c r="AC506">
        <f>IF(AB506&lt;&gt;"",CHOOSE(MATCH(AB506,{"Low","Medium","High","Critical"},0),25,50,75,100),"")</f>
        <v/>
      </c>
    </row>
    <row r="507">
      <c r="K507">
        <f>IF(J507="v4.0",L507,IF(J507="v3.1",M507,IF(J507="Both",L507,IF(AND(L507&lt;&gt;"",M507=""),L507,M507))))</f>
        <v/>
      </c>
      <c r="AC507">
        <f>IF(AB507&lt;&gt;"",CHOOSE(MATCH(AB507,{"Low","Medium","High","Critical"},0),25,50,75,100),"")</f>
        <v/>
      </c>
    </row>
    <row r="508">
      <c r="K508">
        <f>IF(J508="v4.0",L508,IF(J508="v3.1",M508,IF(J508="Both",L508,IF(AND(L508&lt;&gt;"",M508=""),L508,M508))))</f>
        <v/>
      </c>
      <c r="AC508">
        <f>IF(AB508&lt;&gt;"",CHOOSE(MATCH(AB508,{"Low","Medium","High","Critical"},0),25,50,75,100),"")</f>
        <v/>
      </c>
    </row>
    <row r="509">
      <c r="K509">
        <f>IF(J509="v4.0",L509,IF(J509="v3.1",M509,IF(J509="Both",L509,IF(AND(L509&lt;&gt;"",M509=""),L509,M509))))</f>
        <v/>
      </c>
      <c r="AC509">
        <f>IF(AB509&lt;&gt;"",CHOOSE(MATCH(AB509,{"Low","Medium","High","Critical"},0),25,50,75,100),"")</f>
        <v/>
      </c>
    </row>
    <row r="510">
      <c r="K510">
        <f>IF(J510="v4.0",L510,IF(J510="v3.1",M510,IF(J510="Both",L510,IF(AND(L510&lt;&gt;"",M510=""),L510,M510))))</f>
        <v/>
      </c>
      <c r="AC510">
        <f>IF(AB510&lt;&gt;"",CHOOSE(MATCH(AB510,{"Low","Medium","High","Critical"},0),25,50,75,100),"")</f>
        <v/>
      </c>
    </row>
    <row r="511">
      <c r="K511">
        <f>IF(J511="v4.0",L511,IF(J511="v3.1",M511,IF(J511="Both",L511,IF(AND(L511&lt;&gt;"",M511=""),L511,M511))))</f>
        <v/>
      </c>
      <c r="AC511">
        <f>IF(AB511&lt;&gt;"",CHOOSE(MATCH(AB511,{"Low","Medium","High","Critical"},0),25,50,75,100),"")</f>
        <v/>
      </c>
    </row>
    <row r="512">
      <c r="K512">
        <f>IF(J512="v4.0",L512,IF(J512="v3.1",M512,IF(J512="Both",L512,IF(AND(L512&lt;&gt;"",M512=""),L512,M512))))</f>
        <v/>
      </c>
      <c r="AC512">
        <f>IF(AB512&lt;&gt;"",CHOOSE(MATCH(AB512,{"Low","Medium","High","Critical"},0),25,50,75,100),"")</f>
        <v/>
      </c>
    </row>
    <row r="513">
      <c r="K513">
        <f>IF(J513="v4.0",L513,IF(J513="v3.1",M513,IF(J513="Both",L513,IF(AND(L513&lt;&gt;"",M513=""),L513,M513))))</f>
        <v/>
      </c>
      <c r="AC513">
        <f>IF(AB513&lt;&gt;"",CHOOSE(MATCH(AB513,{"Low","Medium","High","Critical"},0),25,50,75,100),"")</f>
        <v/>
      </c>
    </row>
    <row r="514">
      <c r="K514">
        <f>IF(J514="v4.0",L514,IF(J514="v3.1",M514,IF(J514="Both",L514,IF(AND(L514&lt;&gt;"",M514=""),L514,M514))))</f>
        <v/>
      </c>
      <c r="AC514">
        <f>IF(AB514&lt;&gt;"",CHOOSE(MATCH(AB514,{"Low","Medium","High","Critical"},0),25,50,75,100),"")</f>
        <v/>
      </c>
    </row>
    <row r="515">
      <c r="K515">
        <f>IF(J515="v4.0",L515,IF(J515="v3.1",M515,IF(J515="Both",L515,IF(AND(L515&lt;&gt;"",M515=""),L515,M515))))</f>
        <v/>
      </c>
      <c r="AC515">
        <f>IF(AB515&lt;&gt;"",CHOOSE(MATCH(AB515,{"Low","Medium","High","Critical"},0),25,50,75,100),"")</f>
        <v/>
      </c>
    </row>
    <row r="516">
      <c r="K516">
        <f>IF(J516="v4.0",L516,IF(J516="v3.1",M516,IF(J516="Both",L516,IF(AND(L516&lt;&gt;"",M516=""),L516,M516))))</f>
        <v/>
      </c>
      <c r="AC516">
        <f>IF(AB516&lt;&gt;"",CHOOSE(MATCH(AB516,{"Low","Medium","High","Critical"},0),25,50,75,100),"")</f>
        <v/>
      </c>
    </row>
    <row r="517">
      <c r="K517">
        <f>IF(J517="v4.0",L517,IF(J517="v3.1",M517,IF(J517="Both",L517,IF(AND(L517&lt;&gt;"",M517=""),L517,M517))))</f>
        <v/>
      </c>
      <c r="AC517">
        <f>IF(AB517&lt;&gt;"",CHOOSE(MATCH(AB517,{"Low","Medium","High","Critical"},0),25,50,75,100),"")</f>
        <v/>
      </c>
    </row>
    <row r="518">
      <c r="K518">
        <f>IF(J518="v4.0",L518,IF(J518="v3.1",M518,IF(J518="Both",L518,IF(AND(L518&lt;&gt;"",M518=""),L518,M518))))</f>
        <v/>
      </c>
      <c r="AC518">
        <f>IF(AB518&lt;&gt;"",CHOOSE(MATCH(AB518,{"Low","Medium","High","Critical"},0),25,50,75,100),"")</f>
        <v/>
      </c>
    </row>
    <row r="519">
      <c r="K519">
        <f>IF(J519="v4.0",L519,IF(J519="v3.1",M519,IF(J519="Both",L519,IF(AND(L519&lt;&gt;"",M519=""),L519,M519))))</f>
        <v/>
      </c>
      <c r="AC519">
        <f>IF(AB519&lt;&gt;"",CHOOSE(MATCH(AB519,{"Low","Medium","High","Critical"},0),25,50,75,100),"")</f>
        <v/>
      </c>
    </row>
    <row r="520">
      <c r="K520">
        <f>IF(J520="v4.0",L520,IF(J520="v3.1",M520,IF(J520="Both",L520,IF(AND(L520&lt;&gt;"",M520=""),L520,M520))))</f>
        <v/>
      </c>
      <c r="AC520">
        <f>IF(AB520&lt;&gt;"",CHOOSE(MATCH(AB520,{"Low","Medium","High","Critical"},0),25,50,75,100),"")</f>
        <v/>
      </c>
    </row>
    <row r="521">
      <c r="K521">
        <f>IF(J521="v4.0",L521,IF(J521="v3.1",M521,IF(J521="Both",L521,IF(AND(L521&lt;&gt;"",M521=""),L521,M521))))</f>
        <v/>
      </c>
      <c r="AC521">
        <f>IF(AB521&lt;&gt;"",CHOOSE(MATCH(AB521,{"Low","Medium","High","Critical"},0),25,50,75,100),"")</f>
        <v/>
      </c>
    </row>
    <row r="522">
      <c r="K522">
        <f>IF(J522="v4.0",L522,IF(J522="v3.1",M522,IF(J522="Both",L522,IF(AND(L522&lt;&gt;"",M522=""),L522,M522))))</f>
        <v/>
      </c>
      <c r="AC522">
        <f>IF(AB522&lt;&gt;"",CHOOSE(MATCH(AB522,{"Low","Medium","High","Critical"},0),25,50,75,100),"")</f>
        <v/>
      </c>
    </row>
    <row r="523">
      <c r="K523">
        <f>IF(J523="v4.0",L523,IF(J523="v3.1",M523,IF(J523="Both",L523,IF(AND(L523&lt;&gt;"",M523=""),L523,M523))))</f>
        <v/>
      </c>
      <c r="AC523">
        <f>IF(AB523&lt;&gt;"",CHOOSE(MATCH(AB523,{"Low","Medium","High","Critical"},0),25,50,75,100),"")</f>
        <v/>
      </c>
    </row>
    <row r="524">
      <c r="K524">
        <f>IF(J524="v4.0",L524,IF(J524="v3.1",M524,IF(J524="Both",L524,IF(AND(L524&lt;&gt;"",M524=""),L524,M524))))</f>
        <v/>
      </c>
      <c r="AC524">
        <f>IF(AB524&lt;&gt;"",CHOOSE(MATCH(AB524,{"Low","Medium","High","Critical"},0),25,50,75,100),"")</f>
        <v/>
      </c>
    </row>
    <row r="525">
      <c r="K525">
        <f>IF(J525="v4.0",L525,IF(J525="v3.1",M525,IF(J525="Both",L525,IF(AND(L525&lt;&gt;"",M525=""),L525,M525))))</f>
        <v/>
      </c>
      <c r="AC525">
        <f>IF(AB525&lt;&gt;"",CHOOSE(MATCH(AB525,{"Low","Medium","High","Critical"},0),25,50,75,100),"")</f>
        <v/>
      </c>
    </row>
    <row r="526">
      <c r="K526">
        <f>IF(J526="v4.0",L526,IF(J526="v3.1",M526,IF(J526="Both",L526,IF(AND(L526&lt;&gt;"",M526=""),L526,M526))))</f>
        <v/>
      </c>
      <c r="AC526">
        <f>IF(AB526&lt;&gt;"",CHOOSE(MATCH(AB526,{"Low","Medium","High","Critical"},0),25,50,75,100),"")</f>
        <v/>
      </c>
    </row>
    <row r="527">
      <c r="K527">
        <f>IF(J527="v4.0",L527,IF(J527="v3.1",M527,IF(J527="Both",L527,IF(AND(L527&lt;&gt;"",M527=""),L527,M527))))</f>
        <v/>
      </c>
      <c r="AC527">
        <f>IF(AB527&lt;&gt;"",CHOOSE(MATCH(AB527,{"Low","Medium","High","Critical"},0),25,50,75,100),"")</f>
        <v/>
      </c>
    </row>
    <row r="528">
      <c r="K528">
        <f>IF(J528="v4.0",L528,IF(J528="v3.1",M528,IF(J528="Both",L528,IF(AND(L528&lt;&gt;"",M528=""),L528,M528))))</f>
        <v/>
      </c>
      <c r="AC528">
        <f>IF(AB528&lt;&gt;"",CHOOSE(MATCH(AB528,{"Low","Medium","High","Critical"},0),25,50,75,100),"")</f>
        <v/>
      </c>
    </row>
    <row r="529">
      <c r="K529">
        <f>IF(J529="v4.0",L529,IF(J529="v3.1",M529,IF(J529="Both",L529,IF(AND(L529&lt;&gt;"",M529=""),L529,M529))))</f>
        <v/>
      </c>
      <c r="AC529">
        <f>IF(AB529&lt;&gt;"",CHOOSE(MATCH(AB529,{"Low","Medium","High","Critical"},0),25,50,75,100),"")</f>
        <v/>
      </c>
    </row>
    <row r="530">
      <c r="K530">
        <f>IF(J530="v4.0",L530,IF(J530="v3.1",M530,IF(J530="Both",L530,IF(AND(L530&lt;&gt;"",M530=""),L530,M530))))</f>
        <v/>
      </c>
      <c r="AC530">
        <f>IF(AB530&lt;&gt;"",CHOOSE(MATCH(AB530,{"Low","Medium","High","Critical"},0),25,50,75,100),"")</f>
        <v/>
      </c>
    </row>
    <row r="531">
      <c r="K531">
        <f>IF(J531="v4.0",L531,IF(J531="v3.1",M531,IF(J531="Both",L531,IF(AND(L531&lt;&gt;"",M531=""),L531,M531))))</f>
        <v/>
      </c>
      <c r="AC531">
        <f>IF(AB531&lt;&gt;"",CHOOSE(MATCH(AB531,{"Low","Medium","High","Critical"},0),25,50,75,100),"")</f>
        <v/>
      </c>
    </row>
    <row r="532">
      <c r="K532">
        <f>IF(J532="v4.0",L532,IF(J532="v3.1",M532,IF(J532="Both",L532,IF(AND(L532&lt;&gt;"",M532=""),L532,M532))))</f>
        <v/>
      </c>
      <c r="AC532">
        <f>IF(AB532&lt;&gt;"",CHOOSE(MATCH(AB532,{"Low","Medium","High","Critical"},0),25,50,75,100),"")</f>
        <v/>
      </c>
    </row>
    <row r="533">
      <c r="K533">
        <f>IF(J533="v4.0",L533,IF(J533="v3.1",M533,IF(J533="Both",L533,IF(AND(L533&lt;&gt;"",M533=""),L533,M533))))</f>
        <v/>
      </c>
      <c r="AC533">
        <f>IF(AB533&lt;&gt;"",CHOOSE(MATCH(AB533,{"Low","Medium","High","Critical"},0),25,50,75,100),"")</f>
        <v/>
      </c>
    </row>
    <row r="534">
      <c r="K534">
        <f>IF(J534="v4.0",L534,IF(J534="v3.1",M534,IF(J534="Both",L534,IF(AND(L534&lt;&gt;"",M534=""),L534,M534))))</f>
        <v/>
      </c>
      <c r="AC534">
        <f>IF(AB534&lt;&gt;"",CHOOSE(MATCH(AB534,{"Low","Medium","High","Critical"},0),25,50,75,100),"")</f>
        <v/>
      </c>
    </row>
    <row r="535">
      <c r="K535">
        <f>IF(J535="v4.0",L535,IF(J535="v3.1",M535,IF(J535="Both",L535,IF(AND(L535&lt;&gt;"",M535=""),L535,M535))))</f>
        <v/>
      </c>
      <c r="AC535">
        <f>IF(AB535&lt;&gt;"",CHOOSE(MATCH(AB535,{"Low","Medium","High","Critical"},0),25,50,75,100),"")</f>
        <v/>
      </c>
    </row>
    <row r="536">
      <c r="K536">
        <f>IF(J536="v4.0",L536,IF(J536="v3.1",M536,IF(J536="Both",L536,IF(AND(L536&lt;&gt;"",M536=""),L536,M536))))</f>
        <v/>
      </c>
      <c r="AC536">
        <f>IF(AB536&lt;&gt;"",CHOOSE(MATCH(AB536,{"Low","Medium","High","Critical"},0),25,50,75,100),"")</f>
        <v/>
      </c>
    </row>
    <row r="537">
      <c r="K537">
        <f>IF(J537="v4.0",L537,IF(J537="v3.1",M537,IF(J537="Both",L537,IF(AND(L537&lt;&gt;"",M537=""),L537,M537))))</f>
        <v/>
      </c>
      <c r="AC537">
        <f>IF(AB537&lt;&gt;"",CHOOSE(MATCH(AB537,{"Low","Medium","High","Critical"},0),25,50,75,100),"")</f>
        <v/>
      </c>
    </row>
    <row r="538">
      <c r="K538">
        <f>IF(J538="v4.0",L538,IF(J538="v3.1",M538,IF(J538="Both",L538,IF(AND(L538&lt;&gt;"",M538=""),L538,M538))))</f>
        <v/>
      </c>
      <c r="AC538">
        <f>IF(AB538&lt;&gt;"",CHOOSE(MATCH(AB538,{"Low","Medium","High","Critical"},0),25,50,75,100),"")</f>
        <v/>
      </c>
    </row>
    <row r="539">
      <c r="K539">
        <f>IF(J539="v4.0",L539,IF(J539="v3.1",M539,IF(J539="Both",L539,IF(AND(L539&lt;&gt;"",M539=""),L539,M539))))</f>
        <v/>
      </c>
      <c r="AC539">
        <f>IF(AB539&lt;&gt;"",CHOOSE(MATCH(AB539,{"Low","Medium","High","Critical"},0),25,50,75,100),"")</f>
        <v/>
      </c>
    </row>
    <row r="540">
      <c r="K540">
        <f>IF(J540="v4.0",L540,IF(J540="v3.1",M540,IF(J540="Both",L540,IF(AND(L540&lt;&gt;"",M540=""),L540,M540))))</f>
        <v/>
      </c>
      <c r="AC540">
        <f>IF(AB540&lt;&gt;"",CHOOSE(MATCH(AB540,{"Low","Medium","High","Critical"},0),25,50,75,100),"")</f>
        <v/>
      </c>
    </row>
    <row r="541">
      <c r="K541">
        <f>IF(J541="v4.0",L541,IF(J541="v3.1",M541,IF(J541="Both",L541,IF(AND(L541&lt;&gt;"",M541=""),L541,M541))))</f>
        <v/>
      </c>
      <c r="AC541">
        <f>IF(AB541&lt;&gt;"",CHOOSE(MATCH(AB541,{"Low","Medium","High","Critical"},0),25,50,75,100),"")</f>
        <v/>
      </c>
    </row>
    <row r="542">
      <c r="K542">
        <f>IF(J542="v4.0",L542,IF(J542="v3.1",M542,IF(J542="Both",L542,IF(AND(L542&lt;&gt;"",M542=""),L542,M542))))</f>
        <v/>
      </c>
      <c r="AC542">
        <f>IF(AB542&lt;&gt;"",CHOOSE(MATCH(AB542,{"Low","Medium","High","Critical"},0),25,50,75,100),"")</f>
        <v/>
      </c>
    </row>
    <row r="543">
      <c r="K543">
        <f>IF(J543="v4.0",L543,IF(J543="v3.1",M543,IF(J543="Both",L543,IF(AND(L543&lt;&gt;"",M543=""),L543,M543))))</f>
        <v/>
      </c>
      <c r="AC543">
        <f>IF(AB543&lt;&gt;"",CHOOSE(MATCH(AB543,{"Low","Medium","High","Critical"},0),25,50,75,100),"")</f>
        <v/>
      </c>
    </row>
    <row r="544">
      <c r="K544">
        <f>IF(J544="v4.0",L544,IF(J544="v3.1",M544,IF(J544="Both",L544,IF(AND(L544&lt;&gt;"",M544=""),L544,M544))))</f>
        <v/>
      </c>
      <c r="AC544">
        <f>IF(AB544&lt;&gt;"",CHOOSE(MATCH(AB544,{"Low","Medium","High","Critical"},0),25,50,75,100),"")</f>
        <v/>
      </c>
    </row>
    <row r="545">
      <c r="K545">
        <f>IF(J545="v4.0",L545,IF(J545="v3.1",M545,IF(J545="Both",L545,IF(AND(L545&lt;&gt;"",M545=""),L545,M545))))</f>
        <v/>
      </c>
      <c r="AC545">
        <f>IF(AB545&lt;&gt;"",CHOOSE(MATCH(AB545,{"Low","Medium","High","Critical"},0),25,50,75,100),"")</f>
        <v/>
      </c>
    </row>
    <row r="546">
      <c r="K546">
        <f>IF(J546="v4.0",L546,IF(J546="v3.1",M546,IF(J546="Both",L546,IF(AND(L546&lt;&gt;"",M546=""),L546,M546))))</f>
        <v/>
      </c>
      <c r="AC546">
        <f>IF(AB546&lt;&gt;"",CHOOSE(MATCH(AB546,{"Low","Medium","High","Critical"},0),25,50,75,100),"")</f>
        <v/>
      </c>
    </row>
    <row r="547">
      <c r="K547">
        <f>IF(J547="v4.0",L547,IF(J547="v3.1",M547,IF(J547="Both",L547,IF(AND(L547&lt;&gt;"",M547=""),L547,M547))))</f>
        <v/>
      </c>
      <c r="AC547">
        <f>IF(AB547&lt;&gt;"",CHOOSE(MATCH(AB547,{"Low","Medium","High","Critical"},0),25,50,75,100),"")</f>
        <v/>
      </c>
    </row>
    <row r="548">
      <c r="K548">
        <f>IF(J548="v4.0",L548,IF(J548="v3.1",M548,IF(J548="Both",L548,IF(AND(L548&lt;&gt;"",M548=""),L548,M548))))</f>
        <v/>
      </c>
      <c r="AC548">
        <f>IF(AB548&lt;&gt;"",CHOOSE(MATCH(AB548,{"Low","Medium","High","Critical"},0),25,50,75,100),"")</f>
        <v/>
      </c>
    </row>
    <row r="549">
      <c r="K549">
        <f>IF(J549="v4.0",L549,IF(J549="v3.1",M549,IF(J549="Both",L549,IF(AND(L549&lt;&gt;"",M549=""),L549,M549))))</f>
        <v/>
      </c>
      <c r="AC549">
        <f>IF(AB549&lt;&gt;"",CHOOSE(MATCH(AB549,{"Low","Medium","High","Critical"},0),25,50,75,100),"")</f>
        <v/>
      </c>
    </row>
    <row r="550">
      <c r="K550">
        <f>IF(J550="v4.0",L550,IF(J550="v3.1",M550,IF(J550="Both",L550,IF(AND(L550&lt;&gt;"",M550=""),L550,M550))))</f>
        <v/>
      </c>
      <c r="AC550">
        <f>IF(AB550&lt;&gt;"",CHOOSE(MATCH(AB550,{"Low","Medium","High","Critical"},0),25,50,75,100),"")</f>
        <v/>
      </c>
    </row>
    <row r="551">
      <c r="K551">
        <f>IF(J551="v4.0",L551,IF(J551="v3.1",M551,IF(J551="Both",L551,IF(AND(L551&lt;&gt;"",M551=""),L551,M551))))</f>
        <v/>
      </c>
      <c r="AC551">
        <f>IF(AB551&lt;&gt;"",CHOOSE(MATCH(AB551,{"Low","Medium","High","Critical"},0),25,50,75,100),"")</f>
        <v/>
      </c>
    </row>
    <row r="552">
      <c r="K552">
        <f>IF(J552="v4.0",L552,IF(J552="v3.1",M552,IF(J552="Both",L552,IF(AND(L552&lt;&gt;"",M552=""),L552,M552))))</f>
        <v/>
      </c>
      <c r="AC552">
        <f>IF(AB552&lt;&gt;"",CHOOSE(MATCH(AB552,{"Low","Medium","High","Critical"},0),25,50,75,100),"")</f>
        <v/>
      </c>
    </row>
    <row r="553">
      <c r="K553">
        <f>IF(J553="v4.0",L553,IF(J553="v3.1",M553,IF(J553="Both",L553,IF(AND(L553&lt;&gt;"",M553=""),L553,M553))))</f>
        <v/>
      </c>
      <c r="AC553">
        <f>IF(AB553&lt;&gt;"",CHOOSE(MATCH(AB553,{"Low","Medium","High","Critical"},0),25,50,75,100),"")</f>
        <v/>
      </c>
    </row>
    <row r="554">
      <c r="K554">
        <f>IF(J554="v4.0",L554,IF(J554="v3.1",M554,IF(J554="Both",L554,IF(AND(L554&lt;&gt;"",M554=""),L554,M554))))</f>
        <v/>
      </c>
      <c r="AC554">
        <f>IF(AB554&lt;&gt;"",CHOOSE(MATCH(AB554,{"Low","Medium","High","Critical"},0),25,50,75,100),"")</f>
        <v/>
      </c>
    </row>
    <row r="555">
      <c r="K555">
        <f>IF(J555="v4.0",L555,IF(J555="v3.1",M555,IF(J555="Both",L555,IF(AND(L555&lt;&gt;"",M555=""),L555,M555))))</f>
        <v/>
      </c>
      <c r="AC555">
        <f>IF(AB555&lt;&gt;"",CHOOSE(MATCH(AB555,{"Low","Medium","High","Critical"},0),25,50,75,100),"")</f>
        <v/>
      </c>
    </row>
    <row r="556">
      <c r="K556">
        <f>IF(J556="v4.0",L556,IF(J556="v3.1",M556,IF(J556="Both",L556,IF(AND(L556&lt;&gt;"",M556=""),L556,M556))))</f>
        <v/>
      </c>
      <c r="AC556">
        <f>IF(AB556&lt;&gt;"",CHOOSE(MATCH(AB556,{"Low","Medium","High","Critical"},0),25,50,75,100),"")</f>
        <v/>
      </c>
    </row>
    <row r="557">
      <c r="K557">
        <f>IF(J557="v4.0",L557,IF(J557="v3.1",M557,IF(J557="Both",L557,IF(AND(L557&lt;&gt;"",M557=""),L557,M557))))</f>
        <v/>
      </c>
      <c r="AC557">
        <f>IF(AB557&lt;&gt;"",CHOOSE(MATCH(AB557,{"Low","Medium","High","Critical"},0),25,50,75,100),"")</f>
        <v/>
      </c>
    </row>
    <row r="558">
      <c r="K558">
        <f>IF(J558="v4.0",L558,IF(J558="v3.1",M558,IF(J558="Both",L558,IF(AND(L558&lt;&gt;"",M558=""),L558,M558))))</f>
        <v/>
      </c>
      <c r="AC558">
        <f>IF(AB558&lt;&gt;"",CHOOSE(MATCH(AB558,{"Low","Medium","High","Critical"},0),25,50,75,100),"")</f>
        <v/>
      </c>
    </row>
    <row r="559">
      <c r="K559">
        <f>IF(J559="v4.0",L559,IF(J559="v3.1",M559,IF(J559="Both",L559,IF(AND(L559&lt;&gt;"",M559=""),L559,M559))))</f>
        <v/>
      </c>
      <c r="AC559">
        <f>IF(AB559&lt;&gt;"",CHOOSE(MATCH(AB559,{"Low","Medium","High","Critical"},0),25,50,75,100),"")</f>
        <v/>
      </c>
    </row>
    <row r="560">
      <c r="K560">
        <f>IF(J560="v4.0",L560,IF(J560="v3.1",M560,IF(J560="Both",L560,IF(AND(L560&lt;&gt;"",M560=""),L560,M560))))</f>
        <v/>
      </c>
      <c r="AC560">
        <f>IF(AB560&lt;&gt;"",CHOOSE(MATCH(AB560,{"Low","Medium","High","Critical"},0),25,50,75,100),"")</f>
        <v/>
      </c>
    </row>
    <row r="561">
      <c r="K561">
        <f>IF(J561="v4.0",L561,IF(J561="v3.1",M561,IF(J561="Both",L561,IF(AND(L561&lt;&gt;"",M561=""),L561,M561))))</f>
        <v/>
      </c>
      <c r="AC561">
        <f>IF(AB561&lt;&gt;"",CHOOSE(MATCH(AB561,{"Low","Medium","High","Critical"},0),25,50,75,100),"")</f>
        <v/>
      </c>
    </row>
    <row r="562">
      <c r="K562">
        <f>IF(J562="v4.0",L562,IF(J562="v3.1",M562,IF(J562="Both",L562,IF(AND(L562&lt;&gt;"",M562=""),L562,M562))))</f>
        <v/>
      </c>
      <c r="AC562">
        <f>IF(AB562&lt;&gt;"",CHOOSE(MATCH(AB562,{"Low","Medium","High","Critical"},0),25,50,75,100),"")</f>
        <v/>
      </c>
    </row>
    <row r="563">
      <c r="K563">
        <f>IF(J563="v4.0",L563,IF(J563="v3.1",M563,IF(J563="Both",L563,IF(AND(L563&lt;&gt;"",M563=""),L563,M563))))</f>
        <v/>
      </c>
      <c r="AC563">
        <f>IF(AB563&lt;&gt;"",CHOOSE(MATCH(AB563,{"Low","Medium","High","Critical"},0),25,50,75,100),"")</f>
        <v/>
      </c>
    </row>
    <row r="564">
      <c r="K564">
        <f>IF(J564="v4.0",L564,IF(J564="v3.1",M564,IF(J564="Both",L564,IF(AND(L564&lt;&gt;"",M564=""),L564,M564))))</f>
        <v/>
      </c>
      <c r="AC564">
        <f>IF(AB564&lt;&gt;"",CHOOSE(MATCH(AB564,{"Low","Medium","High","Critical"},0),25,50,75,100),"")</f>
        <v/>
      </c>
    </row>
    <row r="565">
      <c r="K565">
        <f>IF(J565="v4.0",L565,IF(J565="v3.1",M565,IF(J565="Both",L565,IF(AND(L565&lt;&gt;"",M565=""),L565,M565))))</f>
        <v/>
      </c>
      <c r="AC565">
        <f>IF(AB565&lt;&gt;"",CHOOSE(MATCH(AB565,{"Low","Medium","High","Critical"},0),25,50,75,100),"")</f>
        <v/>
      </c>
    </row>
    <row r="566">
      <c r="K566">
        <f>IF(J566="v4.0",L566,IF(J566="v3.1",M566,IF(J566="Both",L566,IF(AND(L566&lt;&gt;"",M566=""),L566,M566))))</f>
        <v/>
      </c>
      <c r="AC566">
        <f>IF(AB566&lt;&gt;"",CHOOSE(MATCH(AB566,{"Low","Medium","High","Critical"},0),25,50,75,100),"")</f>
        <v/>
      </c>
    </row>
    <row r="567">
      <c r="K567">
        <f>IF(J567="v4.0",L567,IF(J567="v3.1",M567,IF(J567="Both",L567,IF(AND(L567&lt;&gt;"",M567=""),L567,M567))))</f>
        <v/>
      </c>
      <c r="AC567">
        <f>IF(AB567&lt;&gt;"",CHOOSE(MATCH(AB567,{"Low","Medium","High","Critical"},0),25,50,75,100),"")</f>
        <v/>
      </c>
    </row>
    <row r="568">
      <c r="K568">
        <f>IF(J568="v4.0",L568,IF(J568="v3.1",M568,IF(J568="Both",L568,IF(AND(L568&lt;&gt;"",M568=""),L568,M568))))</f>
        <v/>
      </c>
      <c r="AC568">
        <f>IF(AB568&lt;&gt;"",CHOOSE(MATCH(AB568,{"Low","Medium","High","Critical"},0),25,50,75,100),"")</f>
        <v/>
      </c>
    </row>
    <row r="569">
      <c r="K569">
        <f>IF(J569="v4.0",L569,IF(J569="v3.1",M569,IF(J569="Both",L569,IF(AND(L569&lt;&gt;"",M569=""),L569,M569))))</f>
        <v/>
      </c>
      <c r="AC569">
        <f>IF(AB569&lt;&gt;"",CHOOSE(MATCH(AB569,{"Low","Medium","High","Critical"},0),25,50,75,100),"")</f>
        <v/>
      </c>
    </row>
    <row r="570">
      <c r="K570">
        <f>IF(J570="v4.0",L570,IF(J570="v3.1",M570,IF(J570="Both",L570,IF(AND(L570&lt;&gt;"",M570=""),L570,M570))))</f>
        <v/>
      </c>
      <c r="AC570">
        <f>IF(AB570&lt;&gt;"",CHOOSE(MATCH(AB570,{"Low","Medium","High","Critical"},0),25,50,75,100),"")</f>
        <v/>
      </c>
    </row>
    <row r="571">
      <c r="K571">
        <f>IF(J571="v4.0",L571,IF(J571="v3.1",M571,IF(J571="Both",L571,IF(AND(L571&lt;&gt;"",M571=""),L571,M571))))</f>
        <v/>
      </c>
      <c r="AC571">
        <f>IF(AB571&lt;&gt;"",CHOOSE(MATCH(AB571,{"Low","Medium","High","Critical"},0),25,50,75,100),"")</f>
        <v/>
      </c>
    </row>
    <row r="572">
      <c r="K572">
        <f>IF(J572="v4.0",L572,IF(J572="v3.1",M572,IF(J572="Both",L572,IF(AND(L572&lt;&gt;"",M572=""),L572,M572))))</f>
        <v/>
      </c>
      <c r="AC572">
        <f>IF(AB572&lt;&gt;"",CHOOSE(MATCH(AB572,{"Low","Medium","High","Critical"},0),25,50,75,100),"")</f>
        <v/>
      </c>
    </row>
    <row r="573">
      <c r="K573">
        <f>IF(J573="v4.0",L573,IF(J573="v3.1",M573,IF(J573="Both",L573,IF(AND(L573&lt;&gt;"",M573=""),L573,M573))))</f>
        <v/>
      </c>
      <c r="AC573">
        <f>IF(AB573&lt;&gt;"",CHOOSE(MATCH(AB573,{"Low","Medium","High","Critical"},0),25,50,75,100),"")</f>
        <v/>
      </c>
    </row>
    <row r="574">
      <c r="K574">
        <f>IF(J574="v4.0",L574,IF(J574="v3.1",M574,IF(J574="Both",L574,IF(AND(L574&lt;&gt;"",M574=""),L574,M574))))</f>
        <v/>
      </c>
      <c r="AC574">
        <f>IF(AB574&lt;&gt;"",CHOOSE(MATCH(AB574,{"Low","Medium","High","Critical"},0),25,50,75,100),"")</f>
        <v/>
      </c>
    </row>
    <row r="575">
      <c r="K575">
        <f>IF(J575="v4.0",L575,IF(J575="v3.1",M575,IF(J575="Both",L575,IF(AND(L575&lt;&gt;"",M575=""),L575,M575))))</f>
        <v/>
      </c>
      <c r="AC575">
        <f>IF(AB575&lt;&gt;"",CHOOSE(MATCH(AB575,{"Low","Medium","High","Critical"},0),25,50,75,100),"")</f>
        <v/>
      </c>
    </row>
    <row r="576">
      <c r="K576">
        <f>IF(J576="v4.0",L576,IF(J576="v3.1",M576,IF(J576="Both",L576,IF(AND(L576&lt;&gt;"",M576=""),L576,M576))))</f>
        <v/>
      </c>
      <c r="AC576">
        <f>IF(AB576&lt;&gt;"",CHOOSE(MATCH(AB576,{"Low","Medium","High","Critical"},0),25,50,75,100),"")</f>
        <v/>
      </c>
    </row>
    <row r="577">
      <c r="K577">
        <f>IF(J577="v4.0",L577,IF(J577="v3.1",M577,IF(J577="Both",L577,IF(AND(L577&lt;&gt;"",M577=""),L577,M577))))</f>
        <v/>
      </c>
      <c r="AC577">
        <f>IF(AB577&lt;&gt;"",CHOOSE(MATCH(AB577,{"Low","Medium","High","Critical"},0),25,50,75,100),"")</f>
        <v/>
      </c>
    </row>
    <row r="578">
      <c r="K578">
        <f>IF(J578="v4.0",L578,IF(J578="v3.1",M578,IF(J578="Both",L578,IF(AND(L578&lt;&gt;"",M578=""),L578,M578))))</f>
        <v/>
      </c>
      <c r="AC578">
        <f>IF(AB578&lt;&gt;"",CHOOSE(MATCH(AB578,{"Low","Medium","High","Critical"},0),25,50,75,100),"")</f>
        <v/>
      </c>
    </row>
    <row r="579">
      <c r="K579">
        <f>IF(J579="v4.0",L579,IF(J579="v3.1",M579,IF(J579="Both",L579,IF(AND(L579&lt;&gt;"",M579=""),L579,M579))))</f>
        <v/>
      </c>
      <c r="AC579">
        <f>IF(AB579&lt;&gt;"",CHOOSE(MATCH(AB579,{"Low","Medium","High","Critical"},0),25,50,75,100),"")</f>
        <v/>
      </c>
    </row>
    <row r="580">
      <c r="K580">
        <f>IF(J580="v4.0",L580,IF(J580="v3.1",M580,IF(J580="Both",L580,IF(AND(L580&lt;&gt;"",M580=""),L580,M580))))</f>
        <v/>
      </c>
      <c r="AC580">
        <f>IF(AB580&lt;&gt;"",CHOOSE(MATCH(AB580,{"Low","Medium","High","Critical"},0),25,50,75,100),"")</f>
        <v/>
      </c>
    </row>
    <row r="581">
      <c r="K581">
        <f>IF(J581="v4.0",L581,IF(J581="v3.1",M581,IF(J581="Both",L581,IF(AND(L581&lt;&gt;"",M581=""),L581,M581))))</f>
        <v/>
      </c>
      <c r="AC581">
        <f>IF(AB581&lt;&gt;"",CHOOSE(MATCH(AB581,{"Low","Medium","High","Critical"},0),25,50,75,100),"")</f>
        <v/>
      </c>
    </row>
    <row r="582">
      <c r="K582">
        <f>IF(J582="v4.0",L582,IF(J582="v3.1",M582,IF(J582="Both",L582,IF(AND(L582&lt;&gt;"",M582=""),L582,M582))))</f>
        <v/>
      </c>
      <c r="AC582">
        <f>IF(AB582&lt;&gt;"",CHOOSE(MATCH(AB582,{"Low","Medium","High","Critical"},0),25,50,75,100),"")</f>
        <v/>
      </c>
    </row>
    <row r="583">
      <c r="K583">
        <f>IF(J583="v4.0",L583,IF(J583="v3.1",M583,IF(J583="Both",L583,IF(AND(L583&lt;&gt;"",M583=""),L583,M583))))</f>
        <v/>
      </c>
      <c r="AC583">
        <f>IF(AB583&lt;&gt;"",CHOOSE(MATCH(AB583,{"Low","Medium","High","Critical"},0),25,50,75,100),"")</f>
        <v/>
      </c>
    </row>
    <row r="584">
      <c r="K584">
        <f>IF(J584="v4.0",L584,IF(J584="v3.1",M584,IF(J584="Both",L584,IF(AND(L584&lt;&gt;"",M584=""),L584,M584))))</f>
        <v/>
      </c>
      <c r="AC584">
        <f>IF(AB584&lt;&gt;"",CHOOSE(MATCH(AB584,{"Low","Medium","High","Critical"},0),25,50,75,100),"")</f>
        <v/>
      </c>
    </row>
    <row r="585">
      <c r="K585">
        <f>IF(J585="v4.0",L585,IF(J585="v3.1",M585,IF(J585="Both",L585,IF(AND(L585&lt;&gt;"",M585=""),L585,M585))))</f>
        <v/>
      </c>
      <c r="AC585">
        <f>IF(AB585&lt;&gt;"",CHOOSE(MATCH(AB585,{"Low","Medium","High","Critical"},0),25,50,75,100),"")</f>
        <v/>
      </c>
    </row>
    <row r="586">
      <c r="K586">
        <f>IF(J586="v4.0",L586,IF(J586="v3.1",M586,IF(J586="Both",L586,IF(AND(L586&lt;&gt;"",M586=""),L586,M586))))</f>
        <v/>
      </c>
      <c r="AC586">
        <f>IF(AB586&lt;&gt;"",CHOOSE(MATCH(AB586,{"Low","Medium","High","Critical"},0),25,50,75,100),"")</f>
        <v/>
      </c>
    </row>
    <row r="587">
      <c r="K587">
        <f>IF(J587="v4.0",L587,IF(J587="v3.1",M587,IF(J587="Both",L587,IF(AND(L587&lt;&gt;"",M587=""),L587,M587))))</f>
        <v/>
      </c>
      <c r="AC587">
        <f>IF(AB587&lt;&gt;"",CHOOSE(MATCH(AB587,{"Low","Medium","High","Critical"},0),25,50,75,100),"")</f>
        <v/>
      </c>
    </row>
    <row r="588">
      <c r="K588">
        <f>IF(J588="v4.0",L588,IF(J588="v3.1",M588,IF(J588="Both",L588,IF(AND(L588&lt;&gt;"",M588=""),L588,M588))))</f>
        <v/>
      </c>
      <c r="AC588">
        <f>IF(AB588&lt;&gt;"",CHOOSE(MATCH(AB588,{"Low","Medium","High","Critical"},0),25,50,75,100),"")</f>
        <v/>
      </c>
    </row>
    <row r="589">
      <c r="K589">
        <f>IF(J589="v4.0",L589,IF(J589="v3.1",M589,IF(J589="Both",L589,IF(AND(L589&lt;&gt;"",M589=""),L589,M589))))</f>
        <v/>
      </c>
      <c r="AC589">
        <f>IF(AB589&lt;&gt;"",CHOOSE(MATCH(AB589,{"Low","Medium","High","Critical"},0),25,50,75,100),"")</f>
        <v/>
      </c>
    </row>
    <row r="590">
      <c r="K590">
        <f>IF(J590="v4.0",L590,IF(J590="v3.1",M590,IF(J590="Both",L590,IF(AND(L590&lt;&gt;"",M590=""),L590,M590))))</f>
        <v/>
      </c>
      <c r="AC590">
        <f>IF(AB590&lt;&gt;"",CHOOSE(MATCH(AB590,{"Low","Medium","High","Critical"},0),25,50,75,100),"")</f>
        <v/>
      </c>
    </row>
    <row r="591">
      <c r="K591">
        <f>IF(J591="v4.0",L591,IF(J591="v3.1",M591,IF(J591="Both",L591,IF(AND(L591&lt;&gt;"",M591=""),L591,M591))))</f>
        <v/>
      </c>
      <c r="AC591">
        <f>IF(AB591&lt;&gt;"",CHOOSE(MATCH(AB591,{"Low","Medium","High","Critical"},0),25,50,75,100),"")</f>
        <v/>
      </c>
    </row>
    <row r="592">
      <c r="K592">
        <f>IF(J592="v4.0",L592,IF(J592="v3.1",M592,IF(J592="Both",L592,IF(AND(L592&lt;&gt;"",M592=""),L592,M592))))</f>
        <v/>
      </c>
      <c r="AC592">
        <f>IF(AB592&lt;&gt;"",CHOOSE(MATCH(AB592,{"Low","Medium","High","Critical"},0),25,50,75,100),"")</f>
        <v/>
      </c>
    </row>
    <row r="593">
      <c r="K593">
        <f>IF(J593="v4.0",L593,IF(J593="v3.1",M593,IF(J593="Both",L593,IF(AND(L593&lt;&gt;"",M593=""),L593,M593))))</f>
        <v/>
      </c>
      <c r="AC593">
        <f>IF(AB593&lt;&gt;"",CHOOSE(MATCH(AB593,{"Low","Medium","High","Critical"},0),25,50,75,100),"")</f>
        <v/>
      </c>
    </row>
    <row r="594">
      <c r="K594">
        <f>IF(J594="v4.0",L594,IF(J594="v3.1",M594,IF(J594="Both",L594,IF(AND(L594&lt;&gt;"",M594=""),L594,M594))))</f>
        <v/>
      </c>
      <c r="AC594">
        <f>IF(AB594&lt;&gt;"",CHOOSE(MATCH(AB594,{"Low","Medium","High","Critical"},0),25,50,75,100),"")</f>
        <v/>
      </c>
    </row>
    <row r="595">
      <c r="K595">
        <f>IF(J595="v4.0",L595,IF(J595="v3.1",M595,IF(J595="Both",L595,IF(AND(L595&lt;&gt;"",M595=""),L595,M595))))</f>
        <v/>
      </c>
      <c r="AC595">
        <f>IF(AB595&lt;&gt;"",CHOOSE(MATCH(AB595,{"Low","Medium","High","Critical"},0),25,50,75,100),"")</f>
        <v/>
      </c>
    </row>
    <row r="596">
      <c r="K596">
        <f>IF(J596="v4.0",L596,IF(J596="v3.1",M596,IF(J596="Both",L596,IF(AND(L596&lt;&gt;"",M596=""),L596,M596))))</f>
        <v/>
      </c>
      <c r="AC596">
        <f>IF(AB596&lt;&gt;"",CHOOSE(MATCH(AB596,{"Low","Medium","High","Critical"},0),25,50,75,100),"")</f>
        <v/>
      </c>
    </row>
    <row r="597">
      <c r="K597">
        <f>IF(J597="v4.0",L597,IF(J597="v3.1",M597,IF(J597="Both",L597,IF(AND(L597&lt;&gt;"",M597=""),L597,M597))))</f>
        <v/>
      </c>
      <c r="AC597">
        <f>IF(AB597&lt;&gt;"",CHOOSE(MATCH(AB597,{"Low","Medium","High","Critical"},0),25,50,75,100),"")</f>
        <v/>
      </c>
    </row>
    <row r="598">
      <c r="K598">
        <f>IF(J598="v4.0",L598,IF(J598="v3.1",M598,IF(J598="Both",L598,IF(AND(L598&lt;&gt;"",M598=""),L598,M598))))</f>
        <v/>
      </c>
      <c r="AC598">
        <f>IF(AB598&lt;&gt;"",CHOOSE(MATCH(AB598,{"Low","Medium","High","Critical"},0),25,50,75,100),"")</f>
        <v/>
      </c>
    </row>
    <row r="599">
      <c r="K599">
        <f>IF(J599="v4.0",L599,IF(J599="v3.1",M599,IF(J599="Both",L599,IF(AND(L599&lt;&gt;"",M599=""),L599,M599))))</f>
        <v/>
      </c>
      <c r="AC599">
        <f>IF(AB599&lt;&gt;"",CHOOSE(MATCH(AB599,{"Low","Medium","High","Critical"},0),25,50,75,100),"")</f>
        <v/>
      </c>
    </row>
    <row r="600">
      <c r="K600">
        <f>IF(J600="v4.0",L600,IF(J600="v3.1",M600,IF(J600="Both",L600,IF(AND(L600&lt;&gt;"",M600=""),L600,M600))))</f>
        <v/>
      </c>
      <c r="AC600">
        <f>IF(AB600&lt;&gt;"",CHOOSE(MATCH(AB600,{"Low","Medium","High","Critical"},0),25,50,75,100),"")</f>
        <v/>
      </c>
    </row>
    <row r="601">
      <c r="K601">
        <f>IF(J601="v4.0",L601,IF(J601="v3.1",M601,IF(J601="Both",L601,IF(AND(L601&lt;&gt;"",M601=""),L601,M601))))</f>
        <v/>
      </c>
      <c r="AC601">
        <f>IF(AB601&lt;&gt;"",CHOOSE(MATCH(AB601,{"Low","Medium","High","Critical"},0),25,50,75,100),"")</f>
        <v/>
      </c>
    </row>
    <row r="602">
      <c r="K602">
        <f>IF(J602="v4.0",L602,IF(J602="v3.1",M602,IF(J602="Both",L602,IF(AND(L602&lt;&gt;"",M602=""),L602,M602))))</f>
        <v/>
      </c>
      <c r="AC602">
        <f>IF(AB602&lt;&gt;"",CHOOSE(MATCH(AB602,{"Low","Medium","High","Critical"},0),25,50,75,100),"")</f>
        <v/>
      </c>
    </row>
    <row r="603">
      <c r="K603">
        <f>IF(J603="v4.0",L603,IF(J603="v3.1",M603,IF(J603="Both",L603,IF(AND(L603&lt;&gt;"",M603=""),L603,M603))))</f>
        <v/>
      </c>
      <c r="AC603">
        <f>IF(AB603&lt;&gt;"",CHOOSE(MATCH(AB603,{"Low","Medium","High","Critical"},0),25,50,75,100),"")</f>
        <v/>
      </c>
    </row>
    <row r="604">
      <c r="K604">
        <f>IF(J604="v4.0",L604,IF(J604="v3.1",M604,IF(J604="Both",L604,IF(AND(L604&lt;&gt;"",M604=""),L604,M604))))</f>
        <v/>
      </c>
      <c r="AC604">
        <f>IF(AB604&lt;&gt;"",CHOOSE(MATCH(AB604,{"Low","Medium","High","Critical"},0),25,50,75,100),"")</f>
        <v/>
      </c>
    </row>
    <row r="605">
      <c r="K605">
        <f>IF(J605="v4.0",L605,IF(J605="v3.1",M605,IF(J605="Both",L605,IF(AND(L605&lt;&gt;"",M605=""),L605,M605))))</f>
        <v/>
      </c>
      <c r="AC605">
        <f>IF(AB605&lt;&gt;"",CHOOSE(MATCH(AB605,{"Low","Medium","High","Critical"},0),25,50,75,100),"")</f>
        <v/>
      </c>
    </row>
    <row r="606">
      <c r="K606">
        <f>IF(J606="v4.0",L606,IF(J606="v3.1",M606,IF(J606="Both",L606,IF(AND(L606&lt;&gt;"",M606=""),L606,M606))))</f>
        <v/>
      </c>
      <c r="AC606">
        <f>IF(AB606&lt;&gt;"",CHOOSE(MATCH(AB606,{"Low","Medium","High","Critical"},0),25,50,75,100),"")</f>
        <v/>
      </c>
    </row>
    <row r="607">
      <c r="K607">
        <f>IF(J607="v4.0",L607,IF(J607="v3.1",M607,IF(J607="Both",L607,IF(AND(L607&lt;&gt;"",M607=""),L607,M607))))</f>
        <v/>
      </c>
      <c r="AC607">
        <f>IF(AB607&lt;&gt;"",CHOOSE(MATCH(AB607,{"Low","Medium","High","Critical"},0),25,50,75,100),"")</f>
        <v/>
      </c>
    </row>
    <row r="608">
      <c r="K608">
        <f>IF(J608="v4.0",L608,IF(J608="v3.1",M608,IF(J608="Both",L608,IF(AND(L608&lt;&gt;"",M608=""),L608,M608))))</f>
        <v/>
      </c>
      <c r="AC608">
        <f>IF(AB608&lt;&gt;"",CHOOSE(MATCH(AB608,{"Low","Medium","High","Critical"},0),25,50,75,100),"")</f>
        <v/>
      </c>
    </row>
    <row r="609">
      <c r="K609">
        <f>IF(J609="v4.0",L609,IF(J609="v3.1",M609,IF(J609="Both",L609,IF(AND(L609&lt;&gt;"",M609=""),L609,M609))))</f>
        <v/>
      </c>
      <c r="AC609">
        <f>IF(AB609&lt;&gt;"",CHOOSE(MATCH(AB609,{"Low","Medium","High","Critical"},0),25,50,75,100),"")</f>
        <v/>
      </c>
    </row>
    <row r="610">
      <c r="K610">
        <f>IF(J610="v4.0",L610,IF(J610="v3.1",M610,IF(J610="Both",L610,IF(AND(L610&lt;&gt;"",M610=""),L610,M610))))</f>
        <v/>
      </c>
      <c r="AC610">
        <f>IF(AB610&lt;&gt;"",CHOOSE(MATCH(AB610,{"Low","Medium","High","Critical"},0),25,50,75,100),"")</f>
        <v/>
      </c>
    </row>
    <row r="611">
      <c r="K611">
        <f>IF(J611="v4.0",L611,IF(J611="v3.1",M611,IF(J611="Both",L611,IF(AND(L611&lt;&gt;"",M611=""),L611,M611))))</f>
        <v/>
      </c>
      <c r="AC611">
        <f>IF(AB611&lt;&gt;"",CHOOSE(MATCH(AB611,{"Low","Medium","High","Critical"},0),25,50,75,100),"")</f>
        <v/>
      </c>
    </row>
    <row r="612">
      <c r="K612">
        <f>IF(J612="v4.0",L612,IF(J612="v3.1",M612,IF(J612="Both",L612,IF(AND(L612&lt;&gt;"",M612=""),L612,M612))))</f>
        <v/>
      </c>
      <c r="AC612">
        <f>IF(AB612&lt;&gt;"",CHOOSE(MATCH(AB612,{"Low","Medium","High","Critical"},0),25,50,75,100),"")</f>
        <v/>
      </c>
    </row>
    <row r="613">
      <c r="K613">
        <f>IF(J613="v4.0",L613,IF(J613="v3.1",M613,IF(J613="Both",L613,IF(AND(L613&lt;&gt;"",M613=""),L613,M613))))</f>
        <v/>
      </c>
      <c r="AC613">
        <f>IF(AB613&lt;&gt;"",CHOOSE(MATCH(AB613,{"Low","Medium","High","Critical"},0),25,50,75,100),"")</f>
        <v/>
      </c>
    </row>
    <row r="614">
      <c r="K614">
        <f>IF(J614="v4.0",L614,IF(J614="v3.1",M614,IF(J614="Both",L614,IF(AND(L614&lt;&gt;"",M614=""),L614,M614))))</f>
        <v/>
      </c>
      <c r="AC614">
        <f>IF(AB614&lt;&gt;"",CHOOSE(MATCH(AB614,{"Low","Medium","High","Critical"},0),25,50,75,100),"")</f>
        <v/>
      </c>
    </row>
    <row r="615">
      <c r="K615">
        <f>IF(J615="v4.0",L615,IF(J615="v3.1",M615,IF(J615="Both",L615,IF(AND(L615&lt;&gt;"",M615=""),L615,M615))))</f>
        <v/>
      </c>
      <c r="AC615">
        <f>IF(AB615&lt;&gt;"",CHOOSE(MATCH(AB615,{"Low","Medium","High","Critical"},0),25,50,75,100),"")</f>
        <v/>
      </c>
    </row>
    <row r="616">
      <c r="K616">
        <f>IF(J616="v4.0",L616,IF(J616="v3.1",M616,IF(J616="Both",L616,IF(AND(L616&lt;&gt;"",M616=""),L616,M616))))</f>
        <v/>
      </c>
      <c r="AC616">
        <f>IF(AB616&lt;&gt;"",CHOOSE(MATCH(AB616,{"Low","Medium","High","Critical"},0),25,50,75,100),"")</f>
        <v/>
      </c>
    </row>
    <row r="617">
      <c r="K617">
        <f>IF(J617="v4.0",L617,IF(J617="v3.1",M617,IF(J617="Both",L617,IF(AND(L617&lt;&gt;"",M617=""),L617,M617))))</f>
        <v/>
      </c>
      <c r="AC617">
        <f>IF(AB617&lt;&gt;"",CHOOSE(MATCH(AB617,{"Low","Medium","High","Critical"},0),25,50,75,100),"")</f>
        <v/>
      </c>
    </row>
    <row r="618">
      <c r="K618">
        <f>IF(J618="v4.0",L618,IF(J618="v3.1",M618,IF(J618="Both",L618,IF(AND(L618&lt;&gt;"",M618=""),L618,M618))))</f>
        <v/>
      </c>
      <c r="AC618">
        <f>IF(AB618&lt;&gt;"",CHOOSE(MATCH(AB618,{"Low","Medium","High","Critical"},0),25,50,75,100),"")</f>
        <v/>
      </c>
    </row>
    <row r="619">
      <c r="K619">
        <f>IF(J619="v4.0",L619,IF(J619="v3.1",M619,IF(J619="Both",L619,IF(AND(L619&lt;&gt;"",M619=""),L619,M619))))</f>
        <v/>
      </c>
      <c r="AC619">
        <f>IF(AB619&lt;&gt;"",CHOOSE(MATCH(AB619,{"Low","Medium","High","Critical"},0),25,50,75,100),"")</f>
        <v/>
      </c>
    </row>
    <row r="620">
      <c r="K620">
        <f>IF(J620="v4.0",L620,IF(J620="v3.1",M620,IF(J620="Both",L620,IF(AND(L620&lt;&gt;"",M620=""),L620,M620))))</f>
        <v/>
      </c>
      <c r="AC620">
        <f>IF(AB620&lt;&gt;"",CHOOSE(MATCH(AB620,{"Low","Medium","High","Critical"},0),25,50,75,100),"")</f>
        <v/>
      </c>
    </row>
    <row r="621">
      <c r="K621">
        <f>IF(J621="v4.0",L621,IF(J621="v3.1",M621,IF(J621="Both",L621,IF(AND(L621&lt;&gt;"",M621=""),L621,M621))))</f>
        <v/>
      </c>
      <c r="AC621">
        <f>IF(AB621&lt;&gt;"",CHOOSE(MATCH(AB621,{"Low","Medium","High","Critical"},0),25,50,75,100),"")</f>
        <v/>
      </c>
    </row>
    <row r="622">
      <c r="K622">
        <f>IF(J622="v4.0",L622,IF(J622="v3.1",M622,IF(J622="Both",L622,IF(AND(L622&lt;&gt;"",M622=""),L622,M622))))</f>
        <v/>
      </c>
      <c r="AC622">
        <f>IF(AB622&lt;&gt;"",CHOOSE(MATCH(AB622,{"Low","Medium","High","Critical"},0),25,50,75,100),"")</f>
        <v/>
      </c>
    </row>
    <row r="623">
      <c r="K623">
        <f>IF(J623="v4.0",L623,IF(J623="v3.1",M623,IF(J623="Both",L623,IF(AND(L623&lt;&gt;"",M623=""),L623,M623))))</f>
        <v/>
      </c>
      <c r="AC623">
        <f>IF(AB623&lt;&gt;"",CHOOSE(MATCH(AB623,{"Low","Medium","High","Critical"},0),25,50,75,100),"")</f>
        <v/>
      </c>
    </row>
    <row r="624">
      <c r="K624">
        <f>IF(J624="v4.0",L624,IF(J624="v3.1",M624,IF(J624="Both",L624,IF(AND(L624&lt;&gt;"",M624=""),L624,M624))))</f>
        <v/>
      </c>
      <c r="AC624">
        <f>IF(AB624&lt;&gt;"",CHOOSE(MATCH(AB624,{"Low","Medium","High","Critical"},0),25,50,75,100),"")</f>
        <v/>
      </c>
    </row>
    <row r="625">
      <c r="K625">
        <f>IF(J625="v4.0",L625,IF(J625="v3.1",M625,IF(J625="Both",L625,IF(AND(L625&lt;&gt;"",M625=""),L625,M625))))</f>
        <v/>
      </c>
      <c r="AC625">
        <f>IF(AB625&lt;&gt;"",CHOOSE(MATCH(AB625,{"Low","Medium","High","Critical"},0),25,50,75,100),"")</f>
        <v/>
      </c>
    </row>
    <row r="626">
      <c r="K626">
        <f>IF(J626="v4.0",L626,IF(J626="v3.1",M626,IF(J626="Both",L626,IF(AND(L626&lt;&gt;"",M626=""),L626,M626))))</f>
        <v/>
      </c>
      <c r="AC626">
        <f>IF(AB626&lt;&gt;"",CHOOSE(MATCH(AB626,{"Low","Medium","High","Critical"},0),25,50,75,100),"")</f>
        <v/>
      </c>
    </row>
    <row r="627">
      <c r="K627">
        <f>IF(J627="v4.0",L627,IF(J627="v3.1",M627,IF(J627="Both",L627,IF(AND(L627&lt;&gt;"",M627=""),L627,M627))))</f>
        <v/>
      </c>
      <c r="AC627">
        <f>IF(AB627&lt;&gt;"",CHOOSE(MATCH(AB627,{"Low","Medium","High","Critical"},0),25,50,75,100),"")</f>
        <v/>
      </c>
    </row>
    <row r="628">
      <c r="K628">
        <f>IF(J628="v4.0",L628,IF(J628="v3.1",M628,IF(J628="Both",L628,IF(AND(L628&lt;&gt;"",M628=""),L628,M628))))</f>
        <v/>
      </c>
      <c r="AC628">
        <f>IF(AB628&lt;&gt;"",CHOOSE(MATCH(AB628,{"Low","Medium","High","Critical"},0),25,50,75,100),"")</f>
        <v/>
      </c>
    </row>
    <row r="629">
      <c r="K629">
        <f>IF(J629="v4.0",L629,IF(J629="v3.1",M629,IF(J629="Both",L629,IF(AND(L629&lt;&gt;"",M629=""),L629,M629))))</f>
        <v/>
      </c>
      <c r="AC629">
        <f>IF(AB629&lt;&gt;"",CHOOSE(MATCH(AB629,{"Low","Medium","High","Critical"},0),25,50,75,100),"")</f>
        <v/>
      </c>
    </row>
    <row r="630">
      <c r="K630">
        <f>IF(J630="v4.0",L630,IF(J630="v3.1",M630,IF(J630="Both",L630,IF(AND(L630&lt;&gt;"",M630=""),L630,M630))))</f>
        <v/>
      </c>
      <c r="AC630">
        <f>IF(AB630&lt;&gt;"",CHOOSE(MATCH(AB630,{"Low","Medium","High","Critical"},0),25,50,75,100),"")</f>
        <v/>
      </c>
    </row>
    <row r="631">
      <c r="K631">
        <f>IF(J631="v4.0",L631,IF(J631="v3.1",M631,IF(J631="Both",L631,IF(AND(L631&lt;&gt;"",M631=""),L631,M631))))</f>
        <v/>
      </c>
      <c r="AC631">
        <f>IF(AB631&lt;&gt;"",CHOOSE(MATCH(AB631,{"Low","Medium","High","Critical"},0),25,50,75,100),"")</f>
        <v/>
      </c>
    </row>
    <row r="632">
      <c r="K632">
        <f>IF(J632="v4.0",L632,IF(J632="v3.1",M632,IF(J632="Both",L632,IF(AND(L632&lt;&gt;"",M632=""),L632,M632))))</f>
        <v/>
      </c>
      <c r="AC632">
        <f>IF(AB632&lt;&gt;"",CHOOSE(MATCH(AB632,{"Low","Medium","High","Critical"},0),25,50,75,100),"")</f>
        <v/>
      </c>
    </row>
    <row r="633">
      <c r="K633">
        <f>IF(J633="v4.0",L633,IF(J633="v3.1",M633,IF(J633="Both",L633,IF(AND(L633&lt;&gt;"",M633=""),L633,M633))))</f>
        <v/>
      </c>
      <c r="AC633">
        <f>IF(AB633&lt;&gt;"",CHOOSE(MATCH(AB633,{"Low","Medium","High","Critical"},0),25,50,75,100),"")</f>
        <v/>
      </c>
    </row>
    <row r="634">
      <c r="K634">
        <f>IF(J634="v4.0",L634,IF(J634="v3.1",M634,IF(J634="Both",L634,IF(AND(L634&lt;&gt;"",M634=""),L634,M634))))</f>
        <v/>
      </c>
      <c r="AC634">
        <f>IF(AB634&lt;&gt;"",CHOOSE(MATCH(AB634,{"Low","Medium","High","Critical"},0),25,50,75,100),"")</f>
        <v/>
      </c>
    </row>
    <row r="635">
      <c r="K635">
        <f>IF(J635="v4.0",L635,IF(J635="v3.1",M635,IF(J635="Both",L635,IF(AND(L635&lt;&gt;"",M635=""),L635,M635))))</f>
        <v/>
      </c>
      <c r="AC635">
        <f>IF(AB635&lt;&gt;"",CHOOSE(MATCH(AB635,{"Low","Medium","High","Critical"},0),25,50,75,100),"")</f>
        <v/>
      </c>
    </row>
    <row r="636">
      <c r="K636">
        <f>IF(J636="v4.0",L636,IF(J636="v3.1",M636,IF(J636="Both",L636,IF(AND(L636&lt;&gt;"",M636=""),L636,M636))))</f>
        <v/>
      </c>
      <c r="AC636">
        <f>IF(AB636&lt;&gt;"",CHOOSE(MATCH(AB636,{"Low","Medium","High","Critical"},0),25,50,75,100),"")</f>
        <v/>
      </c>
    </row>
    <row r="637">
      <c r="K637">
        <f>IF(J637="v4.0",L637,IF(J637="v3.1",M637,IF(J637="Both",L637,IF(AND(L637&lt;&gt;"",M637=""),L637,M637))))</f>
        <v/>
      </c>
      <c r="AC637">
        <f>IF(AB637&lt;&gt;"",CHOOSE(MATCH(AB637,{"Low","Medium","High","Critical"},0),25,50,75,100),"")</f>
        <v/>
      </c>
    </row>
    <row r="638">
      <c r="K638">
        <f>IF(J638="v4.0",L638,IF(J638="v3.1",M638,IF(J638="Both",L638,IF(AND(L638&lt;&gt;"",M638=""),L638,M638))))</f>
        <v/>
      </c>
      <c r="AC638">
        <f>IF(AB638&lt;&gt;"",CHOOSE(MATCH(AB638,{"Low","Medium","High","Critical"},0),25,50,75,100),"")</f>
        <v/>
      </c>
    </row>
    <row r="639">
      <c r="K639">
        <f>IF(J639="v4.0",L639,IF(J639="v3.1",M639,IF(J639="Both",L639,IF(AND(L639&lt;&gt;"",M639=""),L639,M639))))</f>
        <v/>
      </c>
      <c r="AC639">
        <f>IF(AB639&lt;&gt;"",CHOOSE(MATCH(AB639,{"Low","Medium","High","Critical"},0),25,50,75,100),"")</f>
        <v/>
      </c>
    </row>
    <row r="640">
      <c r="K640">
        <f>IF(J640="v4.0",L640,IF(J640="v3.1",M640,IF(J640="Both",L640,IF(AND(L640&lt;&gt;"",M640=""),L640,M640))))</f>
        <v/>
      </c>
      <c r="AC640">
        <f>IF(AB640&lt;&gt;"",CHOOSE(MATCH(AB640,{"Low","Medium","High","Critical"},0),25,50,75,100),"")</f>
        <v/>
      </c>
    </row>
    <row r="641">
      <c r="K641">
        <f>IF(J641="v4.0",L641,IF(J641="v3.1",M641,IF(J641="Both",L641,IF(AND(L641&lt;&gt;"",M641=""),L641,M641))))</f>
        <v/>
      </c>
      <c r="AC641">
        <f>IF(AB641&lt;&gt;"",CHOOSE(MATCH(AB641,{"Low","Medium","High","Critical"},0),25,50,75,100),"")</f>
        <v/>
      </c>
    </row>
    <row r="642">
      <c r="K642">
        <f>IF(J642="v4.0",L642,IF(J642="v3.1",M642,IF(J642="Both",L642,IF(AND(L642&lt;&gt;"",M642=""),L642,M642))))</f>
        <v/>
      </c>
      <c r="AC642">
        <f>IF(AB642&lt;&gt;"",CHOOSE(MATCH(AB642,{"Low","Medium","High","Critical"},0),25,50,75,100),"")</f>
        <v/>
      </c>
    </row>
    <row r="643">
      <c r="K643">
        <f>IF(J643="v4.0",L643,IF(J643="v3.1",M643,IF(J643="Both",L643,IF(AND(L643&lt;&gt;"",M643=""),L643,M643))))</f>
        <v/>
      </c>
      <c r="AC643">
        <f>IF(AB643&lt;&gt;"",CHOOSE(MATCH(AB643,{"Low","Medium","High","Critical"},0),25,50,75,100),"")</f>
        <v/>
      </c>
    </row>
    <row r="644">
      <c r="K644">
        <f>IF(J644="v4.0",L644,IF(J644="v3.1",M644,IF(J644="Both",L644,IF(AND(L644&lt;&gt;"",M644=""),L644,M644))))</f>
        <v/>
      </c>
      <c r="AC644">
        <f>IF(AB644&lt;&gt;"",CHOOSE(MATCH(AB644,{"Low","Medium","High","Critical"},0),25,50,75,100),"")</f>
        <v/>
      </c>
    </row>
    <row r="645">
      <c r="K645">
        <f>IF(J645="v4.0",L645,IF(J645="v3.1",M645,IF(J645="Both",L645,IF(AND(L645&lt;&gt;"",M645=""),L645,M645))))</f>
        <v/>
      </c>
      <c r="AC645">
        <f>IF(AB645&lt;&gt;"",CHOOSE(MATCH(AB645,{"Low","Medium","High","Critical"},0),25,50,75,100),"")</f>
        <v/>
      </c>
    </row>
    <row r="646">
      <c r="K646">
        <f>IF(J646="v4.0",L646,IF(J646="v3.1",M646,IF(J646="Both",L646,IF(AND(L646&lt;&gt;"",M646=""),L646,M646))))</f>
        <v/>
      </c>
      <c r="AC646">
        <f>IF(AB646&lt;&gt;"",CHOOSE(MATCH(AB646,{"Low","Medium","High","Critical"},0),25,50,75,100),"")</f>
        <v/>
      </c>
    </row>
    <row r="647">
      <c r="K647">
        <f>IF(J647="v4.0",L647,IF(J647="v3.1",M647,IF(J647="Both",L647,IF(AND(L647&lt;&gt;"",M647=""),L647,M647))))</f>
        <v/>
      </c>
      <c r="AC647">
        <f>IF(AB647&lt;&gt;"",CHOOSE(MATCH(AB647,{"Low","Medium","High","Critical"},0),25,50,75,100),"")</f>
        <v/>
      </c>
    </row>
    <row r="648">
      <c r="K648">
        <f>IF(J648="v4.0",L648,IF(J648="v3.1",M648,IF(J648="Both",L648,IF(AND(L648&lt;&gt;"",M648=""),L648,M648))))</f>
        <v/>
      </c>
      <c r="AC648">
        <f>IF(AB648&lt;&gt;"",CHOOSE(MATCH(AB648,{"Low","Medium","High","Critical"},0),25,50,75,100),"")</f>
        <v/>
      </c>
    </row>
    <row r="649">
      <c r="K649">
        <f>IF(J649="v4.0",L649,IF(J649="v3.1",M649,IF(J649="Both",L649,IF(AND(L649&lt;&gt;"",M649=""),L649,M649))))</f>
        <v/>
      </c>
      <c r="AC649">
        <f>IF(AB649&lt;&gt;"",CHOOSE(MATCH(AB649,{"Low","Medium","High","Critical"},0),25,50,75,100),"")</f>
        <v/>
      </c>
    </row>
    <row r="650">
      <c r="K650">
        <f>IF(J650="v4.0",L650,IF(J650="v3.1",M650,IF(J650="Both",L650,IF(AND(L650&lt;&gt;"",M650=""),L650,M650))))</f>
        <v/>
      </c>
      <c r="AC650">
        <f>IF(AB650&lt;&gt;"",CHOOSE(MATCH(AB650,{"Low","Medium","High","Critical"},0),25,50,75,100),"")</f>
        <v/>
      </c>
    </row>
    <row r="651">
      <c r="K651">
        <f>IF(J651="v4.0",L651,IF(J651="v3.1",M651,IF(J651="Both",L651,IF(AND(L651&lt;&gt;"",M651=""),L651,M651))))</f>
        <v/>
      </c>
      <c r="AC651">
        <f>IF(AB651&lt;&gt;"",CHOOSE(MATCH(AB651,{"Low","Medium","High","Critical"},0),25,50,75,100),"")</f>
        <v/>
      </c>
    </row>
    <row r="652">
      <c r="K652">
        <f>IF(J652="v4.0",L652,IF(J652="v3.1",M652,IF(J652="Both",L652,IF(AND(L652&lt;&gt;"",M652=""),L652,M652))))</f>
        <v/>
      </c>
      <c r="AC652">
        <f>IF(AB652&lt;&gt;"",CHOOSE(MATCH(AB652,{"Low","Medium","High","Critical"},0),25,50,75,100),"")</f>
        <v/>
      </c>
    </row>
    <row r="653">
      <c r="K653">
        <f>IF(J653="v4.0",L653,IF(J653="v3.1",M653,IF(J653="Both",L653,IF(AND(L653&lt;&gt;"",M653=""),L653,M653))))</f>
        <v/>
      </c>
      <c r="AC653">
        <f>IF(AB653&lt;&gt;"",CHOOSE(MATCH(AB653,{"Low","Medium","High","Critical"},0),25,50,75,100),"")</f>
        <v/>
      </c>
    </row>
    <row r="654">
      <c r="K654">
        <f>IF(J654="v4.0",L654,IF(J654="v3.1",M654,IF(J654="Both",L654,IF(AND(L654&lt;&gt;"",M654=""),L654,M654))))</f>
        <v/>
      </c>
      <c r="AC654">
        <f>IF(AB654&lt;&gt;"",CHOOSE(MATCH(AB654,{"Low","Medium","High","Critical"},0),25,50,75,100),"")</f>
        <v/>
      </c>
    </row>
    <row r="655">
      <c r="K655">
        <f>IF(J655="v4.0",L655,IF(J655="v3.1",M655,IF(J655="Both",L655,IF(AND(L655&lt;&gt;"",M655=""),L655,M655))))</f>
        <v/>
      </c>
      <c r="AC655">
        <f>IF(AB655&lt;&gt;"",CHOOSE(MATCH(AB655,{"Low","Medium","High","Critical"},0),25,50,75,100),"")</f>
        <v/>
      </c>
    </row>
    <row r="656">
      <c r="K656">
        <f>IF(J656="v4.0",L656,IF(J656="v3.1",M656,IF(J656="Both",L656,IF(AND(L656&lt;&gt;"",M656=""),L656,M656))))</f>
        <v/>
      </c>
      <c r="AC656">
        <f>IF(AB656&lt;&gt;"",CHOOSE(MATCH(AB656,{"Low","Medium","High","Critical"},0),25,50,75,100),"")</f>
        <v/>
      </c>
    </row>
    <row r="657">
      <c r="K657">
        <f>IF(J657="v4.0",L657,IF(J657="v3.1",M657,IF(J657="Both",L657,IF(AND(L657&lt;&gt;"",M657=""),L657,M657))))</f>
        <v/>
      </c>
      <c r="AC657">
        <f>IF(AB657&lt;&gt;"",CHOOSE(MATCH(AB657,{"Low","Medium","High","Critical"},0),25,50,75,100),"")</f>
        <v/>
      </c>
    </row>
    <row r="658">
      <c r="K658">
        <f>IF(J658="v4.0",L658,IF(J658="v3.1",M658,IF(J658="Both",L658,IF(AND(L658&lt;&gt;"",M658=""),L658,M658))))</f>
        <v/>
      </c>
      <c r="AC658">
        <f>IF(AB658&lt;&gt;"",CHOOSE(MATCH(AB658,{"Low","Medium","High","Critical"},0),25,50,75,100),"")</f>
        <v/>
      </c>
    </row>
    <row r="659">
      <c r="K659">
        <f>IF(J659="v4.0",L659,IF(J659="v3.1",M659,IF(J659="Both",L659,IF(AND(L659&lt;&gt;"",M659=""),L659,M659))))</f>
        <v/>
      </c>
      <c r="AC659">
        <f>IF(AB659&lt;&gt;"",CHOOSE(MATCH(AB659,{"Low","Medium","High","Critical"},0),25,50,75,100),"")</f>
        <v/>
      </c>
    </row>
    <row r="660">
      <c r="K660">
        <f>IF(J660="v4.0",L660,IF(J660="v3.1",M660,IF(J660="Both",L660,IF(AND(L660&lt;&gt;"",M660=""),L660,M660))))</f>
        <v/>
      </c>
      <c r="AC660">
        <f>IF(AB660&lt;&gt;"",CHOOSE(MATCH(AB660,{"Low","Medium","High","Critical"},0),25,50,75,100),"")</f>
        <v/>
      </c>
    </row>
    <row r="661">
      <c r="K661">
        <f>IF(J661="v4.0",L661,IF(J661="v3.1",M661,IF(J661="Both",L661,IF(AND(L661&lt;&gt;"",M661=""),L661,M661))))</f>
        <v/>
      </c>
      <c r="AC661">
        <f>IF(AB661&lt;&gt;"",CHOOSE(MATCH(AB661,{"Low","Medium","High","Critical"},0),25,50,75,100),"")</f>
        <v/>
      </c>
    </row>
    <row r="662">
      <c r="K662">
        <f>IF(J662="v4.0",L662,IF(J662="v3.1",M662,IF(J662="Both",L662,IF(AND(L662&lt;&gt;"",M662=""),L662,M662))))</f>
        <v/>
      </c>
      <c r="AC662">
        <f>IF(AB662&lt;&gt;"",CHOOSE(MATCH(AB662,{"Low","Medium","High","Critical"},0),25,50,75,100),"")</f>
        <v/>
      </c>
    </row>
    <row r="663">
      <c r="K663">
        <f>IF(J663="v4.0",L663,IF(J663="v3.1",M663,IF(J663="Both",L663,IF(AND(L663&lt;&gt;"",M663=""),L663,M663))))</f>
        <v/>
      </c>
      <c r="AC663">
        <f>IF(AB663&lt;&gt;"",CHOOSE(MATCH(AB663,{"Low","Medium","High","Critical"},0),25,50,75,100),"")</f>
        <v/>
      </c>
    </row>
    <row r="664">
      <c r="K664">
        <f>IF(J664="v4.0",L664,IF(J664="v3.1",M664,IF(J664="Both",L664,IF(AND(L664&lt;&gt;"",M664=""),L664,M664))))</f>
        <v/>
      </c>
      <c r="AC664">
        <f>IF(AB664&lt;&gt;"",CHOOSE(MATCH(AB664,{"Low","Medium","High","Critical"},0),25,50,75,100),"")</f>
        <v/>
      </c>
    </row>
    <row r="665">
      <c r="K665">
        <f>IF(J665="v4.0",L665,IF(J665="v3.1",M665,IF(J665="Both",L665,IF(AND(L665&lt;&gt;"",M665=""),L665,M665))))</f>
        <v/>
      </c>
      <c r="AC665">
        <f>IF(AB665&lt;&gt;"",CHOOSE(MATCH(AB665,{"Low","Medium","High","Critical"},0),25,50,75,100),"")</f>
        <v/>
      </c>
    </row>
    <row r="666">
      <c r="K666">
        <f>IF(J666="v4.0",L666,IF(J666="v3.1",M666,IF(J666="Both",L666,IF(AND(L666&lt;&gt;"",M666=""),L666,M666))))</f>
        <v/>
      </c>
      <c r="AC666">
        <f>IF(AB666&lt;&gt;"",CHOOSE(MATCH(AB666,{"Low","Medium","High","Critical"},0),25,50,75,100),"")</f>
        <v/>
      </c>
    </row>
    <row r="667">
      <c r="K667">
        <f>IF(J667="v4.0",L667,IF(J667="v3.1",M667,IF(J667="Both",L667,IF(AND(L667&lt;&gt;"",M667=""),L667,M667))))</f>
        <v/>
      </c>
      <c r="AC667">
        <f>IF(AB667&lt;&gt;"",CHOOSE(MATCH(AB667,{"Low","Medium","High","Critical"},0),25,50,75,100),"")</f>
        <v/>
      </c>
    </row>
    <row r="668">
      <c r="K668">
        <f>IF(J668="v4.0",L668,IF(J668="v3.1",M668,IF(J668="Both",L668,IF(AND(L668&lt;&gt;"",M668=""),L668,M668))))</f>
        <v/>
      </c>
      <c r="AC668">
        <f>IF(AB668&lt;&gt;"",CHOOSE(MATCH(AB668,{"Low","Medium","High","Critical"},0),25,50,75,100),"")</f>
        <v/>
      </c>
    </row>
    <row r="669">
      <c r="K669">
        <f>IF(J669="v4.0",L669,IF(J669="v3.1",M669,IF(J669="Both",L669,IF(AND(L669&lt;&gt;"",M669=""),L669,M669))))</f>
        <v/>
      </c>
      <c r="AC669">
        <f>IF(AB669&lt;&gt;"",CHOOSE(MATCH(AB669,{"Low","Medium","High","Critical"},0),25,50,75,100),"")</f>
        <v/>
      </c>
    </row>
    <row r="670">
      <c r="K670">
        <f>IF(J670="v4.0",L670,IF(J670="v3.1",M670,IF(J670="Both",L670,IF(AND(L670&lt;&gt;"",M670=""),L670,M670))))</f>
        <v/>
      </c>
      <c r="AC670">
        <f>IF(AB670&lt;&gt;"",CHOOSE(MATCH(AB670,{"Low","Medium","High","Critical"},0),25,50,75,100),"")</f>
        <v/>
      </c>
    </row>
    <row r="671">
      <c r="K671">
        <f>IF(J671="v4.0",L671,IF(J671="v3.1",M671,IF(J671="Both",L671,IF(AND(L671&lt;&gt;"",M671=""),L671,M671))))</f>
        <v/>
      </c>
      <c r="AC671">
        <f>IF(AB671&lt;&gt;"",CHOOSE(MATCH(AB671,{"Low","Medium","High","Critical"},0),25,50,75,100),"")</f>
        <v/>
      </c>
    </row>
    <row r="672">
      <c r="K672">
        <f>IF(J672="v4.0",L672,IF(J672="v3.1",M672,IF(J672="Both",L672,IF(AND(L672&lt;&gt;"",M672=""),L672,M672))))</f>
        <v/>
      </c>
      <c r="AC672">
        <f>IF(AB672&lt;&gt;"",CHOOSE(MATCH(AB672,{"Low","Medium","High","Critical"},0),25,50,75,100),"")</f>
        <v/>
      </c>
    </row>
    <row r="673">
      <c r="K673">
        <f>IF(J673="v4.0",L673,IF(J673="v3.1",M673,IF(J673="Both",L673,IF(AND(L673&lt;&gt;"",M673=""),L673,M673))))</f>
        <v/>
      </c>
      <c r="AC673">
        <f>IF(AB673&lt;&gt;"",CHOOSE(MATCH(AB673,{"Low","Medium","High","Critical"},0),25,50,75,100),"")</f>
        <v/>
      </c>
    </row>
    <row r="674">
      <c r="K674">
        <f>IF(J674="v4.0",L674,IF(J674="v3.1",M674,IF(J674="Both",L674,IF(AND(L674&lt;&gt;"",M674=""),L674,M674))))</f>
        <v/>
      </c>
      <c r="AC674">
        <f>IF(AB674&lt;&gt;"",CHOOSE(MATCH(AB674,{"Low","Medium","High","Critical"},0),25,50,75,100),"")</f>
        <v/>
      </c>
    </row>
    <row r="675">
      <c r="K675">
        <f>IF(J675="v4.0",L675,IF(J675="v3.1",M675,IF(J675="Both",L675,IF(AND(L675&lt;&gt;"",M675=""),L675,M675))))</f>
        <v/>
      </c>
      <c r="AC675">
        <f>IF(AB675&lt;&gt;"",CHOOSE(MATCH(AB675,{"Low","Medium","High","Critical"},0),25,50,75,100),"")</f>
        <v/>
      </c>
    </row>
    <row r="676">
      <c r="K676">
        <f>IF(J676="v4.0",L676,IF(J676="v3.1",M676,IF(J676="Both",L676,IF(AND(L676&lt;&gt;"",M676=""),L676,M676))))</f>
        <v/>
      </c>
      <c r="AC676">
        <f>IF(AB676&lt;&gt;"",CHOOSE(MATCH(AB676,{"Low","Medium","High","Critical"},0),25,50,75,100),"")</f>
        <v/>
      </c>
    </row>
    <row r="677">
      <c r="K677">
        <f>IF(J677="v4.0",L677,IF(J677="v3.1",M677,IF(J677="Both",L677,IF(AND(L677&lt;&gt;"",M677=""),L677,M677))))</f>
        <v/>
      </c>
      <c r="AC677">
        <f>IF(AB677&lt;&gt;"",CHOOSE(MATCH(AB677,{"Low","Medium","High","Critical"},0),25,50,75,100),"")</f>
        <v/>
      </c>
    </row>
    <row r="678">
      <c r="K678">
        <f>IF(J678="v4.0",L678,IF(J678="v3.1",M678,IF(J678="Both",L678,IF(AND(L678&lt;&gt;"",M678=""),L678,M678))))</f>
        <v/>
      </c>
      <c r="AC678">
        <f>IF(AB678&lt;&gt;"",CHOOSE(MATCH(AB678,{"Low","Medium","High","Critical"},0),25,50,75,100),"")</f>
        <v/>
      </c>
    </row>
    <row r="679">
      <c r="K679">
        <f>IF(J679="v4.0",L679,IF(J679="v3.1",M679,IF(J679="Both",L679,IF(AND(L679&lt;&gt;"",M679=""),L679,M679))))</f>
        <v/>
      </c>
      <c r="AC679">
        <f>IF(AB679&lt;&gt;"",CHOOSE(MATCH(AB679,{"Low","Medium","High","Critical"},0),25,50,75,100),"")</f>
        <v/>
      </c>
    </row>
    <row r="680">
      <c r="K680">
        <f>IF(J680="v4.0",L680,IF(J680="v3.1",M680,IF(J680="Both",L680,IF(AND(L680&lt;&gt;"",M680=""),L680,M680))))</f>
        <v/>
      </c>
      <c r="AC680">
        <f>IF(AB680&lt;&gt;"",CHOOSE(MATCH(AB680,{"Low","Medium","High","Critical"},0),25,50,75,100),"")</f>
        <v/>
      </c>
    </row>
    <row r="681">
      <c r="K681">
        <f>IF(J681="v4.0",L681,IF(J681="v3.1",M681,IF(J681="Both",L681,IF(AND(L681&lt;&gt;"",M681=""),L681,M681))))</f>
        <v/>
      </c>
      <c r="AC681">
        <f>IF(AB681&lt;&gt;"",CHOOSE(MATCH(AB681,{"Low","Medium","High","Critical"},0),25,50,75,100),"")</f>
        <v/>
      </c>
    </row>
    <row r="682">
      <c r="K682">
        <f>IF(J682="v4.0",L682,IF(J682="v3.1",M682,IF(J682="Both",L682,IF(AND(L682&lt;&gt;"",M682=""),L682,M682))))</f>
        <v/>
      </c>
      <c r="AC682">
        <f>IF(AB682&lt;&gt;"",CHOOSE(MATCH(AB682,{"Low","Medium","High","Critical"},0),25,50,75,100),"")</f>
        <v/>
      </c>
    </row>
    <row r="683">
      <c r="K683">
        <f>IF(J683="v4.0",L683,IF(J683="v3.1",M683,IF(J683="Both",L683,IF(AND(L683&lt;&gt;"",M683=""),L683,M683))))</f>
        <v/>
      </c>
      <c r="AC683">
        <f>IF(AB683&lt;&gt;"",CHOOSE(MATCH(AB683,{"Low","Medium","High","Critical"},0),25,50,75,100),"")</f>
        <v/>
      </c>
    </row>
    <row r="684">
      <c r="K684">
        <f>IF(J684="v4.0",L684,IF(J684="v3.1",M684,IF(J684="Both",L684,IF(AND(L684&lt;&gt;"",M684=""),L684,M684))))</f>
        <v/>
      </c>
      <c r="AC684">
        <f>IF(AB684&lt;&gt;"",CHOOSE(MATCH(AB684,{"Low","Medium","High","Critical"},0),25,50,75,100),"")</f>
        <v/>
      </c>
    </row>
    <row r="685">
      <c r="K685">
        <f>IF(J685="v4.0",L685,IF(J685="v3.1",M685,IF(J685="Both",L685,IF(AND(L685&lt;&gt;"",M685=""),L685,M685))))</f>
        <v/>
      </c>
      <c r="AC685">
        <f>IF(AB685&lt;&gt;"",CHOOSE(MATCH(AB685,{"Low","Medium","High","Critical"},0),25,50,75,100),"")</f>
        <v/>
      </c>
    </row>
    <row r="686">
      <c r="K686">
        <f>IF(J686="v4.0",L686,IF(J686="v3.1",M686,IF(J686="Both",L686,IF(AND(L686&lt;&gt;"",M686=""),L686,M686))))</f>
        <v/>
      </c>
      <c r="AC686">
        <f>IF(AB686&lt;&gt;"",CHOOSE(MATCH(AB686,{"Low","Medium","High","Critical"},0),25,50,75,100),"")</f>
        <v/>
      </c>
    </row>
    <row r="687">
      <c r="K687">
        <f>IF(J687="v4.0",L687,IF(J687="v3.1",M687,IF(J687="Both",L687,IF(AND(L687&lt;&gt;"",M687=""),L687,M687))))</f>
        <v/>
      </c>
      <c r="AC687">
        <f>IF(AB687&lt;&gt;"",CHOOSE(MATCH(AB687,{"Low","Medium","High","Critical"},0),25,50,75,100),"")</f>
        <v/>
      </c>
    </row>
    <row r="688">
      <c r="K688">
        <f>IF(J688="v4.0",L688,IF(J688="v3.1",M688,IF(J688="Both",L688,IF(AND(L688&lt;&gt;"",M688=""),L688,M688))))</f>
        <v/>
      </c>
      <c r="AC688">
        <f>IF(AB688&lt;&gt;"",CHOOSE(MATCH(AB688,{"Low","Medium","High","Critical"},0),25,50,75,100),"")</f>
        <v/>
      </c>
    </row>
    <row r="689">
      <c r="K689">
        <f>IF(J689="v4.0",L689,IF(J689="v3.1",M689,IF(J689="Both",L689,IF(AND(L689&lt;&gt;"",M689=""),L689,M689))))</f>
        <v/>
      </c>
      <c r="AC689">
        <f>IF(AB689&lt;&gt;"",CHOOSE(MATCH(AB689,{"Low","Medium","High","Critical"},0),25,50,75,100),"")</f>
        <v/>
      </c>
    </row>
    <row r="690">
      <c r="K690">
        <f>IF(J690="v4.0",L690,IF(J690="v3.1",M690,IF(J690="Both",L690,IF(AND(L690&lt;&gt;"",M690=""),L690,M690))))</f>
        <v/>
      </c>
      <c r="AC690">
        <f>IF(AB690&lt;&gt;"",CHOOSE(MATCH(AB690,{"Low","Medium","High","Critical"},0),25,50,75,100),"")</f>
        <v/>
      </c>
    </row>
    <row r="691">
      <c r="K691">
        <f>IF(J691="v4.0",L691,IF(J691="v3.1",M691,IF(J691="Both",L691,IF(AND(L691&lt;&gt;"",M691=""),L691,M691))))</f>
        <v/>
      </c>
      <c r="AC691">
        <f>IF(AB691&lt;&gt;"",CHOOSE(MATCH(AB691,{"Low","Medium","High","Critical"},0),25,50,75,100),"")</f>
        <v/>
      </c>
    </row>
    <row r="692">
      <c r="K692">
        <f>IF(J692="v4.0",L692,IF(J692="v3.1",M692,IF(J692="Both",L692,IF(AND(L692&lt;&gt;"",M692=""),L692,M692))))</f>
        <v/>
      </c>
      <c r="AC692">
        <f>IF(AB692&lt;&gt;"",CHOOSE(MATCH(AB692,{"Low","Medium","High","Critical"},0),25,50,75,100),"")</f>
        <v/>
      </c>
    </row>
    <row r="693">
      <c r="K693">
        <f>IF(J693="v4.0",L693,IF(J693="v3.1",M693,IF(J693="Both",L693,IF(AND(L693&lt;&gt;"",M693=""),L693,M693))))</f>
        <v/>
      </c>
      <c r="AC693">
        <f>IF(AB693&lt;&gt;"",CHOOSE(MATCH(AB693,{"Low","Medium","High","Critical"},0),25,50,75,100),"")</f>
        <v/>
      </c>
    </row>
    <row r="694">
      <c r="K694">
        <f>IF(J694="v4.0",L694,IF(J694="v3.1",M694,IF(J694="Both",L694,IF(AND(L694&lt;&gt;"",M694=""),L694,M694))))</f>
        <v/>
      </c>
      <c r="AC694">
        <f>IF(AB694&lt;&gt;"",CHOOSE(MATCH(AB694,{"Low","Medium","High","Critical"},0),25,50,75,100),"")</f>
        <v/>
      </c>
    </row>
    <row r="695">
      <c r="K695">
        <f>IF(J695="v4.0",L695,IF(J695="v3.1",M695,IF(J695="Both",L695,IF(AND(L695&lt;&gt;"",M695=""),L695,M695))))</f>
        <v/>
      </c>
      <c r="AC695">
        <f>IF(AB695&lt;&gt;"",CHOOSE(MATCH(AB695,{"Low","Medium","High","Critical"},0),25,50,75,100),"")</f>
        <v/>
      </c>
    </row>
    <row r="696">
      <c r="K696">
        <f>IF(J696="v4.0",L696,IF(J696="v3.1",M696,IF(J696="Both",L696,IF(AND(L696&lt;&gt;"",M696=""),L696,M696))))</f>
        <v/>
      </c>
      <c r="AC696">
        <f>IF(AB696&lt;&gt;"",CHOOSE(MATCH(AB696,{"Low","Medium","High","Critical"},0),25,50,75,100),"")</f>
        <v/>
      </c>
    </row>
    <row r="697">
      <c r="K697">
        <f>IF(J697="v4.0",L697,IF(J697="v3.1",M697,IF(J697="Both",L697,IF(AND(L697&lt;&gt;"",M697=""),L697,M697))))</f>
        <v/>
      </c>
      <c r="AC697">
        <f>IF(AB697&lt;&gt;"",CHOOSE(MATCH(AB697,{"Low","Medium","High","Critical"},0),25,50,75,100),"")</f>
        <v/>
      </c>
    </row>
    <row r="698">
      <c r="K698">
        <f>IF(J698="v4.0",L698,IF(J698="v3.1",M698,IF(J698="Both",L698,IF(AND(L698&lt;&gt;"",M698=""),L698,M698))))</f>
        <v/>
      </c>
      <c r="AC698">
        <f>IF(AB698&lt;&gt;"",CHOOSE(MATCH(AB698,{"Low","Medium","High","Critical"},0),25,50,75,100),"")</f>
        <v/>
      </c>
    </row>
    <row r="699">
      <c r="K699">
        <f>IF(J699="v4.0",L699,IF(J699="v3.1",M699,IF(J699="Both",L699,IF(AND(L699&lt;&gt;"",M699=""),L699,M699))))</f>
        <v/>
      </c>
      <c r="AC699">
        <f>IF(AB699&lt;&gt;"",CHOOSE(MATCH(AB699,{"Low","Medium","High","Critical"},0),25,50,75,100),"")</f>
        <v/>
      </c>
    </row>
    <row r="700">
      <c r="K700">
        <f>IF(J700="v4.0",L700,IF(J700="v3.1",M700,IF(J700="Both",L700,IF(AND(L700&lt;&gt;"",M700=""),L700,M700))))</f>
        <v/>
      </c>
      <c r="AC700">
        <f>IF(AB700&lt;&gt;"",CHOOSE(MATCH(AB700,{"Low","Medium","High","Critical"},0),25,50,75,100),"")</f>
        <v/>
      </c>
    </row>
    <row r="701">
      <c r="K701">
        <f>IF(J701="v4.0",L701,IF(J701="v3.1",M701,IF(J701="Both",L701,IF(AND(L701&lt;&gt;"",M701=""),L701,M701))))</f>
        <v/>
      </c>
      <c r="AC701">
        <f>IF(AB701&lt;&gt;"",CHOOSE(MATCH(AB701,{"Low","Medium","High","Critical"},0),25,50,75,100),"")</f>
        <v/>
      </c>
    </row>
    <row r="702">
      <c r="K702">
        <f>IF(J702="v4.0",L702,IF(J702="v3.1",M702,IF(J702="Both",L702,IF(AND(L702&lt;&gt;"",M702=""),L702,M702))))</f>
        <v/>
      </c>
      <c r="AC702">
        <f>IF(AB702&lt;&gt;"",CHOOSE(MATCH(AB702,{"Low","Medium","High","Critical"},0),25,50,75,100),"")</f>
        <v/>
      </c>
    </row>
    <row r="703">
      <c r="K703">
        <f>IF(J703="v4.0",L703,IF(J703="v3.1",M703,IF(J703="Both",L703,IF(AND(L703&lt;&gt;"",M703=""),L703,M703))))</f>
        <v/>
      </c>
      <c r="AC703">
        <f>IF(AB703&lt;&gt;"",CHOOSE(MATCH(AB703,{"Low","Medium","High","Critical"},0),25,50,75,100),"")</f>
        <v/>
      </c>
    </row>
    <row r="704">
      <c r="K704">
        <f>IF(J704="v4.0",L704,IF(J704="v3.1",M704,IF(J704="Both",L704,IF(AND(L704&lt;&gt;"",M704=""),L704,M704))))</f>
        <v/>
      </c>
      <c r="AC704">
        <f>IF(AB704&lt;&gt;"",CHOOSE(MATCH(AB704,{"Low","Medium","High","Critical"},0),25,50,75,100),"")</f>
        <v/>
      </c>
    </row>
    <row r="705">
      <c r="K705">
        <f>IF(J705="v4.0",L705,IF(J705="v3.1",M705,IF(J705="Both",L705,IF(AND(L705&lt;&gt;"",M705=""),L705,M705))))</f>
        <v/>
      </c>
      <c r="AC705">
        <f>IF(AB705&lt;&gt;"",CHOOSE(MATCH(AB705,{"Low","Medium","High","Critical"},0),25,50,75,100),"")</f>
        <v/>
      </c>
    </row>
    <row r="706">
      <c r="K706">
        <f>IF(J706="v4.0",L706,IF(J706="v3.1",M706,IF(J706="Both",L706,IF(AND(L706&lt;&gt;"",M706=""),L706,M706))))</f>
        <v/>
      </c>
      <c r="AC706">
        <f>IF(AB706&lt;&gt;"",CHOOSE(MATCH(AB706,{"Low","Medium","High","Critical"},0),25,50,75,100),"")</f>
        <v/>
      </c>
    </row>
    <row r="707">
      <c r="K707">
        <f>IF(J707="v4.0",L707,IF(J707="v3.1",M707,IF(J707="Both",L707,IF(AND(L707&lt;&gt;"",M707=""),L707,M707))))</f>
        <v/>
      </c>
      <c r="AC707">
        <f>IF(AB707&lt;&gt;"",CHOOSE(MATCH(AB707,{"Low","Medium","High","Critical"},0),25,50,75,100),"")</f>
        <v/>
      </c>
    </row>
    <row r="708">
      <c r="K708">
        <f>IF(J708="v4.0",L708,IF(J708="v3.1",M708,IF(J708="Both",L708,IF(AND(L708&lt;&gt;"",M708=""),L708,M708))))</f>
        <v/>
      </c>
      <c r="AC708">
        <f>IF(AB708&lt;&gt;"",CHOOSE(MATCH(AB708,{"Low","Medium","High","Critical"},0),25,50,75,100),"")</f>
        <v/>
      </c>
    </row>
    <row r="709">
      <c r="K709">
        <f>IF(J709="v4.0",L709,IF(J709="v3.1",M709,IF(J709="Both",L709,IF(AND(L709&lt;&gt;"",M709=""),L709,M709))))</f>
        <v/>
      </c>
      <c r="AC709">
        <f>IF(AB709&lt;&gt;"",CHOOSE(MATCH(AB709,{"Low","Medium","High","Critical"},0),25,50,75,100),"")</f>
        <v/>
      </c>
    </row>
    <row r="710">
      <c r="K710">
        <f>IF(J710="v4.0",L710,IF(J710="v3.1",M710,IF(J710="Both",L710,IF(AND(L710&lt;&gt;"",M710=""),L710,M710))))</f>
        <v/>
      </c>
      <c r="AC710">
        <f>IF(AB710&lt;&gt;"",CHOOSE(MATCH(AB710,{"Low","Medium","High","Critical"},0),25,50,75,100),"")</f>
        <v/>
      </c>
    </row>
    <row r="711">
      <c r="K711">
        <f>IF(J711="v4.0",L711,IF(J711="v3.1",M711,IF(J711="Both",L711,IF(AND(L711&lt;&gt;"",M711=""),L711,M711))))</f>
        <v/>
      </c>
      <c r="AC711">
        <f>IF(AB711&lt;&gt;"",CHOOSE(MATCH(AB711,{"Low","Medium","High","Critical"},0),25,50,75,100),"")</f>
        <v/>
      </c>
    </row>
    <row r="712">
      <c r="K712">
        <f>IF(J712="v4.0",L712,IF(J712="v3.1",M712,IF(J712="Both",L712,IF(AND(L712&lt;&gt;"",M712=""),L712,M712))))</f>
        <v/>
      </c>
      <c r="AC712">
        <f>IF(AB712&lt;&gt;"",CHOOSE(MATCH(AB712,{"Low","Medium","High","Critical"},0),25,50,75,100),"")</f>
        <v/>
      </c>
    </row>
    <row r="713">
      <c r="K713">
        <f>IF(J713="v4.0",L713,IF(J713="v3.1",M713,IF(J713="Both",L713,IF(AND(L713&lt;&gt;"",M713=""),L713,M713))))</f>
        <v/>
      </c>
      <c r="AC713">
        <f>IF(AB713&lt;&gt;"",CHOOSE(MATCH(AB713,{"Low","Medium","High","Critical"},0),25,50,75,100),"")</f>
        <v/>
      </c>
    </row>
    <row r="714">
      <c r="K714">
        <f>IF(J714="v4.0",L714,IF(J714="v3.1",M714,IF(J714="Both",L714,IF(AND(L714&lt;&gt;"",M714=""),L714,M714))))</f>
        <v/>
      </c>
      <c r="AC714">
        <f>IF(AB714&lt;&gt;"",CHOOSE(MATCH(AB714,{"Low","Medium","High","Critical"},0),25,50,75,100),"")</f>
        <v/>
      </c>
    </row>
    <row r="715">
      <c r="K715">
        <f>IF(J715="v4.0",L715,IF(J715="v3.1",M715,IF(J715="Both",L715,IF(AND(L715&lt;&gt;"",M715=""),L715,M715))))</f>
        <v/>
      </c>
      <c r="AC715">
        <f>IF(AB715&lt;&gt;"",CHOOSE(MATCH(AB715,{"Low","Medium","High","Critical"},0),25,50,75,100),"")</f>
        <v/>
      </c>
    </row>
    <row r="716">
      <c r="K716">
        <f>IF(J716="v4.0",L716,IF(J716="v3.1",M716,IF(J716="Both",L716,IF(AND(L716&lt;&gt;"",M716=""),L716,M716))))</f>
        <v/>
      </c>
      <c r="AC716">
        <f>IF(AB716&lt;&gt;"",CHOOSE(MATCH(AB716,{"Low","Medium","High","Critical"},0),25,50,75,100),"")</f>
        <v/>
      </c>
    </row>
    <row r="717">
      <c r="K717">
        <f>IF(J717="v4.0",L717,IF(J717="v3.1",M717,IF(J717="Both",L717,IF(AND(L717&lt;&gt;"",M717=""),L717,M717))))</f>
        <v/>
      </c>
      <c r="AC717">
        <f>IF(AB717&lt;&gt;"",CHOOSE(MATCH(AB717,{"Low","Medium","High","Critical"},0),25,50,75,100),"")</f>
        <v/>
      </c>
    </row>
    <row r="718">
      <c r="K718">
        <f>IF(J718="v4.0",L718,IF(J718="v3.1",M718,IF(J718="Both",L718,IF(AND(L718&lt;&gt;"",M718=""),L718,M718))))</f>
        <v/>
      </c>
      <c r="AC718">
        <f>IF(AB718&lt;&gt;"",CHOOSE(MATCH(AB718,{"Low","Medium","High","Critical"},0),25,50,75,100),"")</f>
        <v/>
      </c>
    </row>
    <row r="719">
      <c r="K719">
        <f>IF(J719="v4.0",L719,IF(J719="v3.1",M719,IF(J719="Both",L719,IF(AND(L719&lt;&gt;"",M719=""),L719,M719))))</f>
        <v/>
      </c>
      <c r="AC719">
        <f>IF(AB719&lt;&gt;"",CHOOSE(MATCH(AB719,{"Low","Medium","High","Critical"},0),25,50,75,100),"")</f>
        <v/>
      </c>
    </row>
    <row r="720">
      <c r="K720">
        <f>IF(J720="v4.0",L720,IF(J720="v3.1",M720,IF(J720="Both",L720,IF(AND(L720&lt;&gt;"",M720=""),L720,M720))))</f>
        <v/>
      </c>
      <c r="AC720">
        <f>IF(AB720&lt;&gt;"",CHOOSE(MATCH(AB720,{"Low","Medium","High","Critical"},0),25,50,75,100),"")</f>
        <v/>
      </c>
    </row>
    <row r="721">
      <c r="K721">
        <f>IF(J721="v4.0",L721,IF(J721="v3.1",M721,IF(J721="Both",L721,IF(AND(L721&lt;&gt;"",M721=""),L721,M721))))</f>
        <v/>
      </c>
      <c r="AC721">
        <f>IF(AB721&lt;&gt;"",CHOOSE(MATCH(AB721,{"Low","Medium","High","Critical"},0),25,50,75,100),"")</f>
        <v/>
      </c>
    </row>
    <row r="722">
      <c r="K722">
        <f>IF(J722="v4.0",L722,IF(J722="v3.1",M722,IF(J722="Both",L722,IF(AND(L722&lt;&gt;"",M722=""),L722,M722))))</f>
        <v/>
      </c>
      <c r="AC722">
        <f>IF(AB722&lt;&gt;"",CHOOSE(MATCH(AB722,{"Low","Medium","High","Critical"},0),25,50,75,100),"")</f>
        <v/>
      </c>
    </row>
    <row r="723">
      <c r="K723">
        <f>IF(J723="v4.0",L723,IF(J723="v3.1",M723,IF(J723="Both",L723,IF(AND(L723&lt;&gt;"",M723=""),L723,M723))))</f>
        <v/>
      </c>
      <c r="AC723">
        <f>IF(AB723&lt;&gt;"",CHOOSE(MATCH(AB723,{"Low","Medium","High","Critical"},0),25,50,75,100),"")</f>
        <v/>
      </c>
    </row>
    <row r="724">
      <c r="K724">
        <f>IF(J724="v4.0",L724,IF(J724="v3.1",M724,IF(J724="Both",L724,IF(AND(L724&lt;&gt;"",M724=""),L724,M724))))</f>
        <v/>
      </c>
      <c r="AC724">
        <f>IF(AB724&lt;&gt;"",CHOOSE(MATCH(AB724,{"Low","Medium","High","Critical"},0),25,50,75,100),"")</f>
        <v/>
      </c>
    </row>
    <row r="725">
      <c r="K725">
        <f>IF(J725="v4.0",L725,IF(J725="v3.1",M725,IF(J725="Both",L725,IF(AND(L725&lt;&gt;"",M725=""),L725,M725))))</f>
        <v/>
      </c>
      <c r="AC725">
        <f>IF(AB725&lt;&gt;"",CHOOSE(MATCH(AB725,{"Low","Medium","High","Critical"},0),25,50,75,100),"")</f>
        <v/>
      </c>
    </row>
    <row r="726">
      <c r="K726">
        <f>IF(J726="v4.0",L726,IF(J726="v3.1",M726,IF(J726="Both",L726,IF(AND(L726&lt;&gt;"",M726=""),L726,M726))))</f>
        <v/>
      </c>
      <c r="AC726">
        <f>IF(AB726&lt;&gt;"",CHOOSE(MATCH(AB726,{"Low","Medium","High","Critical"},0),25,50,75,100),"")</f>
        <v/>
      </c>
    </row>
    <row r="727">
      <c r="K727">
        <f>IF(J727="v4.0",L727,IF(J727="v3.1",M727,IF(J727="Both",L727,IF(AND(L727&lt;&gt;"",M727=""),L727,M727))))</f>
        <v/>
      </c>
      <c r="AC727">
        <f>IF(AB727&lt;&gt;"",CHOOSE(MATCH(AB727,{"Low","Medium","High","Critical"},0),25,50,75,100),"")</f>
        <v/>
      </c>
    </row>
    <row r="728">
      <c r="K728">
        <f>IF(J728="v4.0",L728,IF(J728="v3.1",M728,IF(J728="Both",L728,IF(AND(L728&lt;&gt;"",M728=""),L728,M728))))</f>
        <v/>
      </c>
      <c r="AC728">
        <f>IF(AB728&lt;&gt;"",CHOOSE(MATCH(AB728,{"Low","Medium","High","Critical"},0),25,50,75,100),"")</f>
        <v/>
      </c>
    </row>
    <row r="729">
      <c r="K729">
        <f>IF(J729="v4.0",L729,IF(J729="v3.1",M729,IF(J729="Both",L729,IF(AND(L729&lt;&gt;"",M729=""),L729,M729))))</f>
        <v/>
      </c>
      <c r="AC729">
        <f>IF(AB729&lt;&gt;"",CHOOSE(MATCH(AB729,{"Low","Medium","High","Critical"},0),25,50,75,100),"")</f>
        <v/>
      </c>
    </row>
    <row r="730">
      <c r="K730">
        <f>IF(J730="v4.0",L730,IF(J730="v3.1",M730,IF(J730="Both",L730,IF(AND(L730&lt;&gt;"",M730=""),L730,M730))))</f>
        <v/>
      </c>
      <c r="AC730">
        <f>IF(AB730&lt;&gt;"",CHOOSE(MATCH(AB730,{"Low","Medium","High","Critical"},0),25,50,75,100),"")</f>
        <v/>
      </c>
    </row>
    <row r="731">
      <c r="K731">
        <f>IF(J731="v4.0",L731,IF(J731="v3.1",M731,IF(J731="Both",L731,IF(AND(L731&lt;&gt;"",M731=""),L731,M731))))</f>
        <v/>
      </c>
      <c r="AC731">
        <f>IF(AB731&lt;&gt;"",CHOOSE(MATCH(AB731,{"Low","Medium","High","Critical"},0),25,50,75,100),"")</f>
        <v/>
      </c>
    </row>
    <row r="732">
      <c r="K732">
        <f>IF(J732="v4.0",L732,IF(J732="v3.1",M732,IF(J732="Both",L732,IF(AND(L732&lt;&gt;"",M732=""),L732,M732))))</f>
        <v/>
      </c>
      <c r="AC732">
        <f>IF(AB732&lt;&gt;"",CHOOSE(MATCH(AB732,{"Low","Medium","High","Critical"},0),25,50,75,100),"")</f>
        <v/>
      </c>
    </row>
    <row r="733">
      <c r="K733">
        <f>IF(J733="v4.0",L733,IF(J733="v3.1",M733,IF(J733="Both",L733,IF(AND(L733&lt;&gt;"",M733=""),L733,M733))))</f>
        <v/>
      </c>
      <c r="AC733">
        <f>IF(AB733&lt;&gt;"",CHOOSE(MATCH(AB733,{"Low","Medium","High","Critical"},0),25,50,75,100),"")</f>
        <v/>
      </c>
    </row>
    <row r="734">
      <c r="K734">
        <f>IF(J734="v4.0",L734,IF(J734="v3.1",M734,IF(J734="Both",L734,IF(AND(L734&lt;&gt;"",M734=""),L734,M734))))</f>
        <v/>
      </c>
      <c r="AC734">
        <f>IF(AB734&lt;&gt;"",CHOOSE(MATCH(AB734,{"Low","Medium","High","Critical"},0),25,50,75,100),"")</f>
        <v/>
      </c>
    </row>
    <row r="735">
      <c r="K735">
        <f>IF(J735="v4.0",L735,IF(J735="v3.1",M735,IF(J735="Both",L735,IF(AND(L735&lt;&gt;"",M735=""),L735,M735))))</f>
        <v/>
      </c>
      <c r="AC735">
        <f>IF(AB735&lt;&gt;"",CHOOSE(MATCH(AB735,{"Low","Medium","High","Critical"},0),25,50,75,100),"")</f>
        <v/>
      </c>
    </row>
    <row r="736">
      <c r="K736">
        <f>IF(J736="v4.0",L736,IF(J736="v3.1",M736,IF(J736="Both",L736,IF(AND(L736&lt;&gt;"",M736=""),L736,M736))))</f>
        <v/>
      </c>
      <c r="AC736">
        <f>IF(AB736&lt;&gt;"",CHOOSE(MATCH(AB736,{"Low","Medium","High","Critical"},0),25,50,75,100),"")</f>
        <v/>
      </c>
    </row>
    <row r="737">
      <c r="K737">
        <f>IF(J737="v4.0",L737,IF(J737="v3.1",M737,IF(J737="Both",L737,IF(AND(L737&lt;&gt;"",M737=""),L737,M737))))</f>
        <v/>
      </c>
      <c r="AC737">
        <f>IF(AB737&lt;&gt;"",CHOOSE(MATCH(AB737,{"Low","Medium","High","Critical"},0),25,50,75,100),"")</f>
        <v/>
      </c>
    </row>
    <row r="738">
      <c r="K738">
        <f>IF(J738="v4.0",L738,IF(J738="v3.1",M738,IF(J738="Both",L738,IF(AND(L738&lt;&gt;"",M738=""),L738,M738))))</f>
        <v/>
      </c>
      <c r="AC738">
        <f>IF(AB738&lt;&gt;"",CHOOSE(MATCH(AB738,{"Low","Medium","High","Critical"},0),25,50,75,100),"")</f>
        <v/>
      </c>
    </row>
    <row r="739">
      <c r="K739">
        <f>IF(J739="v4.0",L739,IF(J739="v3.1",M739,IF(J739="Both",L739,IF(AND(L739&lt;&gt;"",M739=""),L739,M739))))</f>
        <v/>
      </c>
      <c r="AC739">
        <f>IF(AB739&lt;&gt;"",CHOOSE(MATCH(AB739,{"Low","Medium","High","Critical"},0),25,50,75,100),"")</f>
        <v/>
      </c>
    </row>
    <row r="740">
      <c r="K740">
        <f>IF(J740="v4.0",L740,IF(J740="v3.1",M740,IF(J740="Both",L740,IF(AND(L740&lt;&gt;"",M740=""),L740,M740))))</f>
        <v/>
      </c>
      <c r="AC740">
        <f>IF(AB740&lt;&gt;"",CHOOSE(MATCH(AB740,{"Low","Medium","High","Critical"},0),25,50,75,100),"")</f>
        <v/>
      </c>
    </row>
    <row r="741">
      <c r="K741">
        <f>IF(J741="v4.0",L741,IF(J741="v3.1",M741,IF(J741="Both",L741,IF(AND(L741&lt;&gt;"",M741=""),L741,M741))))</f>
        <v/>
      </c>
      <c r="AC741">
        <f>IF(AB741&lt;&gt;"",CHOOSE(MATCH(AB741,{"Low","Medium","High","Critical"},0),25,50,75,100),"")</f>
        <v/>
      </c>
    </row>
    <row r="742">
      <c r="K742">
        <f>IF(J742="v4.0",L742,IF(J742="v3.1",M742,IF(J742="Both",L742,IF(AND(L742&lt;&gt;"",M742=""),L742,M742))))</f>
        <v/>
      </c>
      <c r="AC742">
        <f>IF(AB742&lt;&gt;"",CHOOSE(MATCH(AB742,{"Low","Medium","High","Critical"},0),25,50,75,100),"")</f>
        <v/>
      </c>
    </row>
    <row r="743">
      <c r="K743">
        <f>IF(J743="v4.0",L743,IF(J743="v3.1",M743,IF(J743="Both",L743,IF(AND(L743&lt;&gt;"",M743=""),L743,M743))))</f>
        <v/>
      </c>
      <c r="AC743">
        <f>IF(AB743&lt;&gt;"",CHOOSE(MATCH(AB743,{"Low","Medium","High","Critical"},0),25,50,75,100),"")</f>
        <v/>
      </c>
    </row>
    <row r="744">
      <c r="K744">
        <f>IF(J744="v4.0",L744,IF(J744="v3.1",M744,IF(J744="Both",L744,IF(AND(L744&lt;&gt;"",M744=""),L744,M744))))</f>
        <v/>
      </c>
      <c r="AC744">
        <f>IF(AB744&lt;&gt;"",CHOOSE(MATCH(AB744,{"Low","Medium","High","Critical"},0),25,50,75,100),"")</f>
        <v/>
      </c>
    </row>
    <row r="745">
      <c r="K745">
        <f>IF(J745="v4.0",L745,IF(J745="v3.1",M745,IF(J745="Both",L745,IF(AND(L745&lt;&gt;"",M745=""),L745,M745))))</f>
        <v/>
      </c>
      <c r="AC745">
        <f>IF(AB745&lt;&gt;"",CHOOSE(MATCH(AB745,{"Low","Medium","High","Critical"},0),25,50,75,100),"")</f>
        <v/>
      </c>
    </row>
    <row r="746">
      <c r="K746">
        <f>IF(J746="v4.0",L746,IF(J746="v3.1",M746,IF(J746="Both",L746,IF(AND(L746&lt;&gt;"",M746=""),L746,M746))))</f>
        <v/>
      </c>
      <c r="AC746">
        <f>IF(AB746&lt;&gt;"",CHOOSE(MATCH(AB746,{"Low","Medium","High","Critical"},0),25,50,75,100),"")</f>
        <v/>
      </c>
    </row>
    <row r="747">
      <c r="K747">
        <f>IF(J747="v4.0",L747,IF(J747="v3.1",M747,IF(J747="Both",L747,IF(AND(L747&lt;&gt;"",M747=""),L747,M747))))</f>
        <v/>
      </c>
      <c r="AC747">
        <f>IF(AB747&lt;&gt;"",CHOOSE(MATCH(AB747,{"Low","Medium","High","Critical"},0),25,50,75,100),"")</f>
        <v/>
      </c>
    </row>
    <row r="748">
      <c r="K748">
        <f>IF(J748="v4.0",L748,IF(J748="v3.1",M748,IF(J748="Both",L748,IF(AND(L748&lt;&gt;"",M748=""),L748,M748))))</f>
        <v/>
      </c>
      <c r="AC748">
        <f>IF(AB748&lt;&gt;"",CHOOSE(MATCH(AB748,{"Low","Medium","High","Critical"},0),25,50,75,100),"")</f>
        <v/>
      </c>
    </row>
    <row r="749">
      <c r="K749">
        <f>IF(J749="v4.0",L749,IF(J749="v3.1",M749,IF(J749="Both",L749,IF(AND(L749&lt;&gt;"",M749=""),L749,M749))))</f>
        <v/>
      </c>
      <c r="AC749">
        <f>IF(AB749&lt;&gt;"",CHOOSE(MATCH(AB749,{"Low","Medium","High","Critical"},0),25,50,75,100),"")</f>
        <v/>
      </c>
    </row>
    <row r="750">
      <c r="K750">
        <f>IF(J750="v4.0",L750,IF(J750="v3.1",M750,IF(J750="Both",L750,IF(AND(L750&lt;&gt;"",M750=""),L750,M750))))</f>
        <v/>
      </c>
      <c r="AC750">
        <f>IF(AB750&lt;&gt;"",CHOOSE(MATCH(AB750,{"Low","Medium","High","Critical"},0),25,50,75,100),"")</f>
        <v/>
      </c>
    </row>
    <row r="751">
      <c r="K751">
        <f>IF(J751="v4.0",L751,IF(J751="v3.1",M751,IF(J751="Both",L751,IF(AND(L751&lt;&gt;"",M751=""),L751,M751))))</f>
        <v/>
      </c>
      <c r="AC751">
        <f>IF(AB751&lt;&gt;"",CHOOSE(MATCH(AB751,{"Low","Medium","High","Critical"},0),25,50,75,100),"")</f>
        <v/>
      </c>
    </row>
    <row r="752">
      <c r="K752">
        <f>IF(J752="v4.0",L752,IF(J752="v3.1",M752,IF(J752="Both",L752,IF(AND(L752&lt;&gt;"",M752=""),L752,M752))))</f>
        <v/>
      </c>
      <c r="AC752">
        <f>IF(AB752&lt;&gt;"",CHOOSE(MATCH(AB752,{"Low","Medium","High","Critical"},0),25,50,75,100),"")</f>
        <v/>
      </c>
    </row>
    <row r="753">
      <c r="K753">
        <f>IF(J753="v4.0",L753,IF(J753="v3.1",M753,IF(J753="Both",L753,IF(AND(L753&lt;&gt;"",M753=""),L753,M753))))</f>
        <v/>
      </c>
      <c r="AC753">
        <f>IF(AB753&lt;&gt;"",CHOOSE(MATCH(AB753,{"Low","Medium","High","Critical"},0),25,50,75,100),"")</f>
        <v/>
      </c>
    </row>
    <row r="754">
      <c r="K754">
        <f>IF(J754="v4.0",L754,IF(J754="v3.1",M754,IF(J754="Both",L754,IF(AND(L754&lt;&gt;"",M754=""),L754,M754))))</f>
        <v/>
      </c>
      <c r="AC754">
        <f>IF(AB754&lt;&gt;"",CHOOSE(MATCH(AB754,{"Low","Medium","High","Critical"},0),25,50,75,100),"")</f>
        <v/>
      </c>
    </row>
    <row r="755">
      <c r="K755">
        <f>IF(J755="v4.0",L755,IF(J755="v3.1",M755,IF(J755="Both",L755,IF(AND(L755&lt;&gt;"",M755=""),L755,M755))))</f>
        <v/>
      </c>
      <c r="AC755">
        <f>IF(AB755&lt;&gt;"",CHOOSE(MATCH(AB755,{"Low","Medium","High","Critical"},0),25,50,75,100),"")</f>
        <v/>
      </c>
    </row>
    <row r="756">
      <c r="K756">
        <f>IF(J756="v4.0",L756,IF(J756="v3.1",M756,IF(J756="Both",L756,IF(AND(L756&lt;&gt;"",M756=""),L756,M756))))</f>
        <v/>
      </c>
      <c r="AC756">
        <f>IF(AB756&lt;&gt;"",CHOOSE(MATCH(AB756,{"Low","Medium","High","Critical"},0),25,50,75,100),"")</f>
        <v/>
      </c>
    </row>
    <row r="757">
      <c r="K757">
        <f>IF(J757="v4.0",L757,IF(J757="v3.1",M757,IF(J757="Both",L757,IF(AND(L757&lt;&gt;"",M757=""),L757,M757))))</f>
        <v/>
      </c>
      <c r="AC757">
        <f>IF(AB757&lt;&gt;"",CHOOSE(MATCH(AB757,{"Low","Medium","High","Critical"},0),25,50,75,100),"")</f>
        <v/>
      </c>
    </row>
    <row r="758">
      <c r="K758">
        <f>IF(J758="v4.0",L758,IF(J758="v3.1",M758,IF(J758="Both",L758,IF(AND(L758&lt;&gt;"",M758=""),L758,M758))))</f>
        <v/>
      </c>
      <c r="AC758">
        <f>IF(AB758&lt;&gt;"",CHOOSE(MATCH(AB758,{"Low","Medium","High","Critical"},0),25,50,75,100),"")</f>
        <v/>
      </c>
    </row>
    <row r="759">
      <c r="K759">
        <f>IF(J759="v4.0",L759,IF(J759="v3.1",M759,IF(J759="Both",L759,IF(AND(L759&lt;&gt;"",M759=""),L759,M759))))</f>
        <v/>
      </c>
      <c r="AC759">
        <f>IF(AB759&lt;&gt;"",CHOOSE(MATCH(AB759,{"Low","Medium","High","Critical"},0),25,50,75,100),"")</f>
        <v/>
      </c>
    </row>
    <row r="760">
      <c r="K760">
        <f>IF(J760="v4.0",L760,IF(J760="v3.1",M760,IF(J760="Both",L760,IF(AND(L760&lt;&gt;"",M760=""),L760,M760))))</f>
        <v/>
      </c>
      <c r="AC760">
        <f>IF(AB760&lt;&gt;"",CHOOSE(MATCH(AB760,{"Low","Medium","High","Critical"},0),25,50,75,100),"")</f>
        <v/>
      </c>
    </row>
    <row r="761">
      <c r="K761">
        <f>IF(J761="v4.0",L761,IF(J761="v3.1",M761,IF(J761="Both",L761,IF(AND(L761&lt;&gt;"",M761=""),L761,M761))))</f>
        <v/>
      </c>
      <c r="AC761">
        <f>IF(AB761&lt;&gt;"",CHOOSE(MATCH(AB761,{"Low","Medium","High","Critical"},0),25,50,75,100),"")</f>
        <v/>
      </c>
    </row>
    <row r="762">
      <c r="K762">
        <f>IF(J762="v4.0",L762,IF(J762="v3.1",M762,IF(J762="Both",L762,IF(AND(L762&lt;&gt;"",M762=""),L762,M762))))</f>
        <v/>
      </c>
      <c r="AC762">
        <f>IF(AB762&lt;&gt;"",CHOOSE(MATCH(AB762,{"Low","Medium","High","Critical"},0),25,50,75,100),"")</f>
        <v/>
      </c>
    </row>
    <row r="763">
      <c r="K763">
        <f>IF(J763="v4.0",L763,IF(J763="v3.1",M763,IF(J763="Both",L763,IF(AND(L763&lt;&gt;"",M763=""),L763,M763))))</f>
        <v/>
      </c>
      <c r="AC763">
        <f>IF(AB763&lt;&gt;"",CHOOSE(MATCH(AB763,{"Low","Medium","High","Critical"},0),25,50,75,100),"")</f>
        <v/>
      </c>
    </row>
    <row r="764">
      <c r="K764">
        <f>IF(J764="v4.0",L764,IF(J764="v3.1",M764,IF(J764="Both",L764,IF(AND(L764&lt;&gt;"",M764=""),L764,M764))))</f>
        <v/>
      </c>
      <c r="AC764">
        <f>IF(AB764&lt;&gt;"",CHOOSE(MATCH(AB764,{"Low","Medium","High","Critical"},0),25,50,75,100),"")</f>
        <v/>
      </c>
    </row>
    <row r="765">
      <c r="K765">
        <f>IF(J765="v4.0",L765,IF(J765="v3.1",M765,IF(J765="Both",L765,IF(AND(L765&lt;&gt;"",M765=""),L765,M765))))</f>
        <v/>
      </c>
      <c r="AC765">
        <f>IF(AB765&lt;&gt;"",CHOOSE(MATCH(AB765,{"Low","Medium","High","Critical"},0),25,50,75,100),"")</f>
        <v/>
      </c>
    </row>
    <row r="766">
      <c r="K766">
        <f>IF(J766="v4.0",L766,IF(J766="v3.1",M766,IF(J766="Both",L766,IF(AND(L766&lt;&gt;"",M766=""),L766,M766))))</f>
        <v/>
      </c>
      <c r="AC766">
        <f>IF(AB766&lt;&gt;"",CHOOSE(MATCH(AB766,{"Low","Medium","High","Critical"},0),25,50,75,100),"")</f>
        <v/>
      </c>
    </row>
    <row r="767">
      <c r="K767">
        <f>IF(J767="v4.0",L767,IF(J767="v3.1",M767,IF(J767="Both",L767,IF(AND(L767&lt;&gt;"",M767=""),L767,M767))))</f>
        <v/>
      </c>
      <c r="AC767">
        <f>IF(AB767&lt;&gt;"",CHOOSE(MATCH(AB767,{"Low","Medium","High","Critical"},0),25,50,75,100),"")</f>
        <v/>
      </c>
    </row>
    <row r="768">
      <c r="K768">
        <f>IF(J768="v4.0",L768,IF(J768="v3.1",M768,IF(J768="Both",L768,IF(AND(L768&lt;&gt;"",M768=""),L768,M768))))</f>
        <v/>
      </c>
      <c r="AC768">
        <f>IF(AB768&lt;&gt;"",CHOOSE(MATCH(AB768,{"Low","Medium","High","Critical"},0),25,50,75,100),"")</f>
        <v/>
      </c>
    </row>
    <row r="769">
      <c r="K769">
        <f>IF(J769="v4.0",L769,IF(J769="v3.1",M769,IF(J769="Both",L769,IF(AND(L769&lt;&gt;"",M769=""),L769,M769))))</f>
        <v/>
      </c>
      <c r="AC769">
        <f>IF(AB769&lt;&gt;"",CHOOSE(MATCH(AB769,{"Low","Medium","High","Critical"},0),25,50,75,100),"")</f>
        <v/>
      </c>
    </row>
    <row r="770">
      <c r="K770">
        <f>IF(J770="v4.0",L770,IF(J770="v3.1",M770,IF(J770="Both",L770,IF(AND(L770&lt;&gt;"",M770=""),L770,M770))))</f>
        <v/>
      </c>
      <c r="AC770">
        <f>IF(AB770&lt;&gt;"",CHOOSE(MATCH(AB770,{"Low","Medium","High","Critical"},0),25,50,75,100),"")</f>
        <v/>
      </c>
    </row>
    <row r="771">
      <c r="K771">
        <f>IF(J771="v4.0",L771,IF(J771="v3.1",M771,IF(J771="Both",L771,IF(AND(L771&lt;&gt;"",M771=""),L771,M771))))</f>
        <v/>
      </c>
      <c r="AC771">
        <f>IF(AB771&lt;&gt;"",CHOOSE(MATCH(AB771,{"Low","Medium","High","Critical"},0),25,50,75,100),"")</f>
        <v/>
      </c>
    </row>
    <row r="772">
      <c r="K772">
        <f>IF(J772="v4.0",L772,IF(J772="v3.1",M772,IF(J772="Both",L772,IF(AND(L772&lt;&gt;"",M772=""),L772,M772))))</f>
        <v/>
      </c>
      <c r="AC772">
        <f>IF(AB772&lt;&gt;"",CHOOSE(MATCH(AB772,{"Low","Medium","High","Critical"},0),25,50,75,100),"")</f>
        <v/>
      </c>
    </row>
    <row r="773">
      <c r="K773">
        <f>IF(J773="v4.0",L773,IF(J773="v3.1",M773,IF(J773="Both",L773,IF(AND(L773&lt;&gt;"",M773=""),L773,M773))))</f>
        <v/>
      </c>
      <c r="AC773">
        <f>IF(AB773&lt;&gt;"",CHOOSE(MATCH(AB773,{"Low","Medium","High","Critical"},0),25,50,75,100),"")</f>
        <v/>
      </c>
    </row>
    <row r="774">
      <c r="K774">
        <f>IF(J774="v4.0",L774,IF(J774="v3.1",M774,IF(J774="Both",L774,IF(AND(L774&lt;&gt;"",M774=""),L774,M774))))</f>
        <v/>
      </c>
      <c r="AC774">
        <f>IF(AB774&lt;&gt;"",CHOOSE(MATCH(AB774,{"Low","Medium","High","Critical"},0),25,50,75,100),"")</f>
        <v/>
      </c>
    </row>
    <row r="775">
      <c r="K775">
        <f>IF(J775="v4.0",L775,IF(J775="v3.1",M775,IF(J775="Both",L775,IF(AND(L775&lt;&gt;"",M775=""),L775,M775))))</f>
        <v/>
      </c>
      <c r="AC775">
        <f>IF(AB775&lt;&gt;"",CHOOSE(MATCH(AB775,{"Low","Medium","High","Critical"},0),25,50,75,100),"")</f>
        <v/>
      </c>
    </row>
    <row r="776">
      <c r="K776">
        <f>IF(J776="v4.0",L776,IF(J776="v3.1",M776,IF(J776="Both",L776,IF(AND(L776&lt;&gt;"",M776=""),L776,M776))))</f>
        <v/>
      </c>
      <c r="AC776">
        <f>IF(AB776&lt;&gt;"",CHOOSE(MATCH(AB776,{"Low","Medium","High","Critical"},0),25,50,75,100),"")</f>
        <v/>
      </c>
    </row>
    <row r="777">
      <c r="K777">
        <f>IF(J777="v4.0",L777,IF(J777="v3.1",M777,IF(J777="Both",L777,IF(AND(L777&lt;&gt;"",M777=""),L777,M777))))</f>
        <v/>
      </c>
      <c r="AC777">
        <f>IF(AB777&lt;&gt;"",CHOOSE(MATCH(AB777,{"Low","Medium","High","Critical"},0),25,50,75,100),"")</f>
        <v/>
      </c>
    </row>
    <row r="778">
      <c r="K778">
        <f>IF(J778="v4.0",L778,IF(J778="v3.1",M778,IF(J778="Both",L778,IF(AND(L778&lt;&gt;"",M778=""),L778,M778))))</f>
        <v/>
      </c>
      <c r="AC778">
        <f>IF(AB778&lt;&gt;"",CHOOSE(MATCH(AB778,{"Low","Medium","High","Critical"},0),25,50,75,100),"")</f>
        <v/>
      </c>
    </row>
    <row r="779">
      <c r="K779">
        <f>IF(J779="v4.0",L779,IF(J779="v3.1",M779,IF(J779="Both",L779,IF(AND(L779&lt;&gt;"",M779=""),L779,M779))))</f>
        <v/>
      </c>
      <c r="AC779">
        <f>IF(AB779&lt;&gt;"",CHOOSE(MATCH(AB779,{"Low","Medium","High","Critical"},0),25,50,75,100),"")</f>
        <v/>
      </c>
    </row>
    <row r="780">
      <c r="K780">
        <f>IF(J780="v4.0",L780,IF(J780="v3.1",M780,IF(J780="Both",L780,IF(AND(L780&lt;&gt;"",M780=""),L780,M780))))</f>
        <v/>
      </c>
      <c r="AC780">
        <f>IF(AB780&lt;&gt;"",CHOOSE(MATCH(AB780,{"Low","Medium","High","Critical"},0),25,50,75,100),"")</f>
        <v/>
      </c>
    </row>
    <row r="781">
      <c r="K781">
        <f>IF(J781="v4.0",L781,IF(J781="v3.1",M781,IF(J781="Both",L781,IF(AND(L781&lt;&gt;"",M781=""),L781,M781))))</f>
        <v/>
      </c>
      <c r="AC781">
        <f>IF(AB781&lt;&gt;"",CHOOSE(MATCH(AB781,{"Low","Medium","High","Critical"},0),25,50,75,100),"")</f>
        <v/>
      </c>
    </row>
    <row r="782">
      <c r="K782">
        <f>IF(J782="v4.0",L782,IF(J782="v3.1",M782,IF(J782="Both",L782,IF(AND(L782&lt;&gt;"",M782=""),L782,M782))))</f>
        <v/>
      </c>
      <c r="AC782">
        <f>IF(AB782&lt;&gt;"",CHOOSE(MATCH(AB782,{"Low","Medium","High","Critical"},0),25,50,75,100),"")</f>
        <v/>
      </c>
    </row>
    <row r="783">
      <c r="K783">
        <f>IF(J783="v4.0",L783,IF(J783="v3.1",M783,IF(J783="Both",L783,IF(AND(L783&lt;&gt;"",M783=""),L783,M783))))</f>
        <v/>
      </c>
      <c r="AC783">
        <f>IF(AB783&lt;&gt;"",CHOOSE(MATCH(AB783,{"Low","Medium","High","Critical"},0),25,50,75,100),"")</f>
        <v/>
      </c>
    </row>
    <row r="784">
      <c r="K784">
        <f>IF(J784="v4.0",L784,IF(J784="v3.1",M784,IF(J784="Both",L784,IF(AND(L784&lt;&gt;"",M784=""),L784,M784))))</f>
        <v/>
      </c>
      <c r="AC784">
        <f>IF(AB784&lt;&gt;"",CHOOSE(MATCH(AB784,{"Low","Medium","High","Critical"},0),25,50,75,100),"")</f>
        <v/>
      </c>
    </row>
    <row r="785">
      <c r="K785">
        <f>IF(J785="v4.0",L785,IF(J785="v3.1",M785,IF(J785="Both",L785,IF(AND(L785&lt;&gt;"",M785=""),L785,M785))))</f>
        <v/>
      </c>
      <c r="AC785">
        <f>IF(AB785&lt;&gt;"",CHOOSE(MATCH(AB785,{"Low","Medium","High","Critical"},0),25,50,75,100),"")</f>
        <v/>
      </c>
    </row>
    <row r="786">
      <c r="K786">
        <f>IF(J786="v4.0",L786,IF(J786="v3.1",M786,IF(J786="Both",L786,IF(AND(L786&lt;&gt;"",M786=""),L786,M786))))</f>
        <v/>
      </c>
      <c r="AC786">
        <f>IF(AB786&lt;&gt;"",CHOOSE(MATCH(AB786,{"Low","Medium","High","Critical"},0),25,50,75,100),"")</f>
        <v/>
      </c>
    </row>
    <row r="787">
      <c r="K787">
        <f>IF(J787="v4.0",L787,IF(J787="v3.1",M787,IF(J787="Both",L787,IF(AND(L787&lt;&gt;"",M787=""),L787,M787))))</f>
        <v/>
      </c>
      <c r="AC787">
        <f>IF(AB787&lt;&gt;"",CHOOSE(MATCH(AB787,{"Low","Medium","High","Critical"},0),25,50,75,100),"")</f>
        <v/>
      </c>
    </row>
    <row r="788">
      <c r="K788">
        <f>IF(J788="v4.0",L788,IF(J788="v3.1",M788,IF(J788="Both",L788,IF(AND(L788&lt;&gt;"",M788=""),L788,M788))))</f>
        <v/>
      </c>
      <c r="AC788">
        <f>IF(AB788&lt;&gt;"",CHOOSE(MATCH(AB788,{"Low","Medium","High","Critical"},0),25,50,75,100),"")</f>
        <v/>
      </c>
    </row>
    <row r="789">
      <c r="K789">
        <f>IF(J789="v4.0",L789,IF(J789="v3.1",M789,IF(J789="Both",L789,IF(AND(L789&lt;&gt;"",M789=""),L789,M789))))</f>
        <v/>
      </c>
      <c r="AC789">
        <f>IF(AB789&lt;&gt;"",CHOOSE(MATCH(AB789,{"Low","Medium","High","Critical"},0),25,50,75,100),"")</f>
        <v/>
      </c>
    </row>
    <row r="790">
      <c r="K790">
        <f>IF(J790="v4.0",L790,IF(J790="v3.1",M790,IF(J790="Both",L790,IF(AND(L790&lt;&gt;"",M790=""),L790,M790))))</f>
        <v/>
      </c>
      <c r="AC790">
        <f>IF(AB790&lt;&gt;"",CHOOSE(MATCH(AB790,{"Low","Medium","High","Critical"},0),25,50,75,100),"")</f>
        <v/>
      </c>
    </row>
    <row r="791">
      <c r="K791">
        <f>IF(J791="v4.0",L791,IF(J791="v3.1",M791,IF(J791="Both",L791,IF(AND(L791&lt;&gt;"",M791=""),L791,M791))))</f>
        <v/>
      </c>
      <c r="AC791">
        <f>IF(AB791&lt;&gt;"",CHOOSE(MATCH(AB791,{"Low","Medium","High","Critical"},0),25,50,75,100),"")</f>
        <v/>
      </c>
    </row>
    <row r="792">
      <c r="K792">
        <f>IF(J792="v4.0",L792,IF(J792="v3.1",M792,IF(J792="Both",L792,IF(AND(L792&lt;&gt;"",M792=""),L792,M792))))</f>
        <v/>
      </c>
      <c r="AC792">
        <f>IF(AB792&lt;&gt;"",CHOOSE(MATCH(AB792,{"Low","Medium","High","Critical"},0),25,50,75,100),"")</f>
        <v/>
      </c>
    </row>
    <row r="793">
      <c r="K793">
        <f>IF(J793="v4.0",L793,IF(J793="v3.1",M793,IF(J793="Both",L793,IF(AND(L793&lt;&gt;"",M793=""),L793,M793))))</f>
        <v/>
      </c>
      <c r="AC793">
        <f>IF(AB793&lt;&gt;"",CHOOSE(MATCH(AB793,{"Low","Medium","High","Critical"},0),25,50,75,100),"")</f>
        <v/>
      </c>
    </row>
    <row r="794">
      <c r="K794">
        <f>IF(J794="v4.0",L794,IF(J794="v3.1",M794,IF(J794="Both",L794,IF(AND(L794&lt;&gt;"",M794=""),L794,M794))))</f>
        <v/>
      </c>
      <c r="AC794">
        <f>IF(AB794&lt;&gt;"",CHOOSE(MATCH(AB794,{"Low","Medium","High","Critical"},0),25,50,75,100),"")</f>
        <v/>
      </c>
    </row>
    <row r="795">
      <c r="K795">
        <f>IF(J795="v4.0",L795,IF(J795="v3.1",M795,IF(J795="Both",L795,IF(AND(L795&lt;&gt;"",M795=""),L795,M795))))</f>
        <v/>
      </c>
      <c r="AC795">
        <f>IF(AB795&lt;&gt;"",CHOOSE(MATCH(AB795,{"Low","Medium","High","Critical"},0),25,50,75,100),"")</f>
        <v/>
      </c>
    </row>
    <row r="796">
      <c r="K796">
        <f>IF(J796="v4.0",L796,IF(J796="v3.1",M796,IF(J796="Both",L796,IF(AND(L796&lt;&gt;"",M796=""),L796,M796))))</f>
        <v/>
      </c>
      <c r="AC796">
        <f>IF(AB796&lt;&gt;"",CHOOSE(MATCH(AB796,{"Low","Medium","High","Critical"},0),25,50,75,100),"")</f>
        <v/>
      </c>
    </row>
    <row r="797">
      <c r="K797">
        <f>IF(J797="v4.0",L797,IF(J797="v3.1",M797,IF(J797="Both",L797,IF(AND(L797&lt;&gt;"",M797=""),L797,M797))))</f>
        <v/>
      </c>
      <c r="AC797">
        <f>IF(AB797&lt;&gt;"",CHOOSE(MATCH(AB797,{"Low","Medium","High","Critical"},0),25,50,75,100),"")</f>
        <v/>
      </c>
    </row>
    <row r="798">
      <c r="K798">
        <f>IF(J798="v4.0",L798,IF(J798="v3.1",M798,IF(J798="Both",L798,IF(AND(L798&lt;&gt;"",M798=""),L798,M798))))</f>
        <v/>
      </c>
      <c r="AC798">
        <f>IF(AB798&lt;&gt;"",CHOOSE(MATCH(AB798,{"Low","Medium","High","Critical"},0),25,50,75,100),"")</f>
        <v/>
      </c>
    </row>
    <row r="799">
      <c r="K799">
        <f>IF(J799="v4.0",L799,IF(J799="v3.1",M799,IF(J799="Both",L799,IF(AND(L799&lt;&gt;"",M799=""),L799,M799))))</f>
        <v/>
      </c>
      <c r="AC799">
        <f>IF(AB799&lt;&gt;"",CHOOSE(MATCH(AB799,{"Low","Medium","High","Critical"},0),25,50,75,100),"")</f>
        <v/>
      </c>
    </row>
    <row r="800">
      <c r="K800">
        <f>IF(J800="v4.0",L800,IF(J800="v3.1",M800,IF(J800="Both",L800,IF(AND(L800&lt;&gt;"",M800=""),L800,M800))))</f>
        <v/>
      </c>
      <c r="AC800">
        <f>IF(AB800&lt;&gt;"",CHOOSE(MATCH(AB800,{"Low","Medium","High","Critical"},0),25,50,75,100),"")</f>
        <v/>
      </c>
    </row>
    <row r="801">
      <c r="K801">
        <f>IF(J801="v4.0",L801,IF(J801="v3.1",M801,IF(J801="Both",L801,IF(AND(L801&lt;&gt;"",M801=""),L801,M801))))</f>
        <v/>
      </c>
      <c r="AC801">
        <f>IF(AB801&lt;&gt;"",CHOOSE(MATCH(AB801,{"Low","Medium","High","Critical"},0),25,50,75,100),"")</f>
        <v/>
      </c>
    </row>
    <row r="802">
      <c r="K802">
        <f>IF(J802="v4.0",L802,IF(J802="v3.1",M802,IF(J802="Both",L802,IF(AND(L802&lt;&gt;"",M802=""),L802,M802))))</f>
        <v/>
      </c>
      <c r="AC802">
        <f>IF(AB802&lt;&gt;"",CHOOSE(MATCH(AB802,{"Low","Medium","High","Critical"},0),25,50,75,100),"")</f>
        <v/>
      </c>
    </row>
    <row r="803">
      <c r="K803">
        <f>IF(J803="v4.0",L803,IF(J803="v3.1",M803,IF(J803="Both",L803,IF(AND(L803&lt;&gt;"",M803=""),L803,M803))))</f>
        <v/>
      </c>
      <c r="AC803">
        <f>IF(AB803&lt;&gt;"",CHOOSE(MATCH(AB803,{"Low","Medium","High","Critical"},0),25,50,75,100),"")</f>
        <v/>
      </c>
    </row>
    <row r="804">
      <c r="K804">
        <f>IF(J804="v4.0",L804,IF(J804="v3.1",M804,IF(J804="Both",L804,IF(AND(L804&lt;&gt;"",M804=""),L804,M804))))</f>
        <v/>
      </c>
      <c r="AC804">
        <f>IF(AB804&lt;&gt;"",CHOOSE(MATCH(AB804,{"Low","Medium","High","Critical"},0),25,50,75,100),"")</f>
        <v/>
      </c>
    </row>
    <row r="805">
      <c r="K805">
        <f>IF(J805="v4.0",L805,IF(J805="v3.1",M805,IF(J805="Both",L805,IF(AND(L805&lt;&gt;"",M805=""),L805,M805))))</f>
        <v/>
      </c>
      <c r="AC805">
        <f>IF(AB805&lt;&gt;"",CHOOSE(MATCH(AB805,{"Low","Medium","High","Critical"},0),25,50,75,100),"")</f>
        <v/>
      </c>
    </row>
    <row r="806">
      <c r="K806">
        <f>IF(J806="v4.0",L806,IF(J806="v3.1",M806,IF(J806="Both",L806,IF(AND(L806&lt;&gt;"",M806=""),L806,M806))))</f>
        <v/>
      </c>
      <c r="AC806">
        <f>IF(AB806&lt;&gt;"",CHOOSE(MATCH(AB806,{"Low","Medium","High","Critical"},0),25,50,75,100),"")</f>
        <v/>
      </c>
    </row>
    <row r="807">
      <c r="K807">
        <f>IF(J807="v4.0",L807,IF(J807="v3.1",M807,IF(J807="Both",L807,IF(AND(L807&lt;&gt;"",M807=""),L807,M807))))</f>
        <v/>
      </c>
      <c r="AC807">
        <f>IF(AB807&lt;&gt;"",CHOOSE(MATCH(AB807,{"Low","Medium","High","Critical"},0),25,50,75,100),"")</f>
        <v/>
      </c>
    </row>
    <row r="808">
      <c r="K808">
        <f>IF(J808="v4.0",L808,IF(J808="v3.1",M808,IF(J808="Both",L808,IF(AND(L808&lt;&gt;"",M808=""),L808,M808))))</f>
        <v/>
      </c>
      <c r="AC808">
        <f>IF(AB808&lt;&gt;"",CHOOSE(MATCH(AB808,{"Low","Medium","High","Critical"},0),25,50,75,100),"")</f>
        <v/>
      </c>
    </row>
    <row r="809">
      <c r="K809">
        <f>IF(J809="v4.0",L809,IF(J809="v3.1",M809,IF(J809="Both",L809,IF(AND(L809&lt;&gt;"",M809=""),L809,M809))))</f>
        <v/>
      </c>
      <c r="AC809">
        <f>IF(AB809&lt;&gt;"",CHOOSE(MATCH(AB809,{"Low","Medium","High","Critical"},0),25,50,75,100),"")</f>
        <v/>
      </c>
    </row>
    <row r="810">
      <c r="K810">
        <f>IF(J810="v4.0",L810,IF(J810="v3.1",M810,IF(J810="Both",L810,IF(AND(L810&lt;&gt;"",M810=""),L810,M810))))</f>
        <v/>
      </c>
      <c r="AC810">
        <f>IF(AB810&lt;&gt;"",CHOOSE(MATCH(AB810,{"Low","Medium","High","Critical"},0),25,50,75,100),"")</f>
        <v/>
      </c>
    </row>
    <row r="811">
      <c r="K811">
        <f>IF(J811="v4.0",L811,IF(J811="v3.1",M811,IF(J811="Both",L811,IF(AND(L811&lt;&gt;"",M811=""),L811,M811))))</f>
        <v/>
      </c>
      <c r="AC811">
        <f>IF(AB811&lt;&gt;"",CHOOSE(MATCH(AB811,{"Low","Medium","High","Critical"},0),25,50,75,100),"")</f>
        <v/>
      </c>
    </row>
    <row r="812">
      <c r="K812">
        <f>IF(J812="v4.0",L812,IF(J812="v3.1",M812,IF(J812="Both",L812,IF(AND(L812&lt;&gt;"",M812=""),L812,M812))))</f>
        <v/>
      </c>
      <c r="AC812">
        <f>IF(AB812&lt;&gt;"",CHOOSE(MATCH(AB812,{"Low","Medium","High","Critical"},0),25,50,75,100),"")</f>
        <v/>
      </c>
    </row>
    <row r="813">
      <c r="K813">
        <f>IF(J813="v4.0",L813,IF(J813="v3.1",M813,IF(J813="Both",L813,IF(AND(L813&lt;&gt;"",M813=""),L813,M813))))</f>
        <v/>
      </c>
      <c r="AC813">
        <f>IF(AB813&lt;&gt;"",CHOOSE(MATCH(AB813,{"Low","Medium","High","Critical"},0),25,50,75,100),"")</f>
        <v/>
      </c>
    </row>
    <row r="814">
      <c r="K814">
        <f>IF(J814="v4.0",L814,IF(J814="v3.1",M814,IF(J814="Both",L814,IF(AND(L814&lt;&gt;"",M814=""),L814,M814))))</f>
        <v/>
      </c>
      <c r="AC814">
        <f>IF(AB814&lt;&gt;"",CHOOSE(MATCH(AB814,{"Low","Medium","High","Critical"},0),25,50,75,100),"")</f>
        <v/>
      </c>
    </row>
    <row r="815">
      <c r="K815">
        <f>IF(J815="v4.0",L815,IF(J815="v3.1",M815,IF(J815="Both",L815,IF(AND(L815&lt;&gt;"",M815=""),L815,M815))))</f>
        <v/>
      </c>
      <c r="AC815">
        <f>IF(AB815&lt;&gt;"",CHOOSE(MATCH(AB815,{"Low","Medium","High","Critical"},0),25,50,75,100),"")</f>
        <v/>
      </c>
    </row>
    <row r="816">
      <c r="K816">
        <f>IF(J816="v4.0",L816,IF(J816="v3.1",M816,IF(J816="Both",L816,IF(AND(L816&lt;&gt;"",M816=""),L816,M816))))</f>
        <v/>
      </c>
      <c r="AC816">
        <f>IF(AB816&lt;&gt;"",CHOOSE(MATCH(AB816,{"Low","Medium","High","Critical"},0),25,50,75,100),"")</f>
        <v/>
      </c>
    </row>
    <row r="817">
      <c r="K817">
        <f>IF(J817="v4.0",L817,IF(J817="v3.1",M817,IF(J817="Both",L817,IF(AND(L817&lt;&gt;"",M817=""),L817,M817))))</f>
        <v/>
      </c>
      <c r="AC817">
        <f>IF(AB817&lt;&gt;"",CHOOSE(MATCH(AB817,{"Low","Medium","High","Critical"},0),25,50,75,100),"")</f>
        <v/>
      </c>
    </row>
    <row r="818">
      <c r="K818">
        <f>IF(J818="v4.0",L818,IF(J818="v3.1",M818,IF(J818="Both",L818,IF(AND(L818&lt;&gt;"",M818=""),L818,M818))))</f>
        <v/>
      </c>
      <c r="AC818">
        <f>IF(AB818&lt;&gt;"",CHOOSE(MATCH(AB818,{"Low","Medium","High","Critical"},0),25,50,75,100),"")</f>
        <v/>
      </c>
    </row>
    <row r="819">
      <c r="K819">
        <f>IF(J819="v4.0",L819,IF(J819="v3.1",M819,IF(J819="Both",L819,IF(AND(L819&lt;&gt;"",M819=""),L819,M819))))</f>
        <v/>
      </c>
      <c r="AC819">
        <f>IF(AB819&lt;&gt;"",CHOOSE(MATCH(AB819,{"Low","Medium","High","Critical"},0),25,50,75,100),"")</f>
        <v/>
      </c>
    </row>
    <row r="820">
      <c r="K820">
        <f>IF(J820="v4.0",L820,IF(J820="v3.1",M820,IF(J820="Both",L820,IF(AND(L820&lt;&gt;"",M820=""),L820,M820))))</f>
        <v/>
      </c>
      <c r="AC820">
        <f>IF(AB820&lt;&gt;"",CHOOSE(MATCH(AB820,{"Low","Medium","High","Critical"},0),25,50,75,100),"")</f>
        <v/>
      </c>
    </row>
    <row r="821">
      <c r="K821">
        <f>IF(J821="v4.0",L821,IF(J821="v3.1",M821,IF(J821="Both",L821,IF(AND(L821&lt;&gt;"",M821=""),L821,M821))))</f>
        <v/>
      </c>
      <c r="AC821">
        <f>IF(AB821&lt;&gt;"",CHOOSE(MATCH(AB821,{"Low","Medium","High","Critical"},0),25,50,75,100),"")</f>
        <v/>
      </c>
    </row>
    <row r="822">
      <c r="K822">
        <f>IF(J822="v4.0",L822,IF(J822="v3.1",M822,IF(J822="Both",L822,IF(AND(L822&lt;&gt;"",M822=""),L822,M822))))</f>
        <v/>
      </c>
      <c r="AC822">
        <f>IF(AB822&lt;&gt;"",CHOOSE(MATCH(AB822,{"Low","Medium","High","Critical"},0),25,50,75,100),"")</f>
        <v/>
      </c>
    </row>
    <row r="823">
      <c r="K823">
        <f>IF(J823="v4.0",L823,IF(J823="v3.1",M823,IF(J823="Both",L823,IF(AND(L823&lt;&gt;"",M823=""),L823,M823))))</f>
        <v/>
      </c>
      <c r="AC823">
        <f>IF(AB823&lt;&gt;"",CHOOSE(MATCH(AB823,{"Low","Medium","High","Critical"},0),25,50,75,100),"")</f>
        <v/>
      </c>
    </row>
    <row r="824">
      <c r="K824">
        <f>IF(J824="v4.0",L824,IF(J824="v3.1",M824,IF(J824="Both",L824,IF(AND(L824&lt;&gt;"",M824=""),L824,M824))))</f>
        <v/>
      </c>
      <c r="AC824">
        <f>IF(AB824&lt;&gt;"",CHOOSE(MATCH(AB824,{"Low","Medium","High","Critical"},0),25,50,75,100),"")</f>
        <v/>
      </c>
    </row>
    <row r="825">
      <c r="K825">
        <f>IF(J825="v4.0",L825,IF(J825="v3.1",M825,IF(J825="Both",L825,IF(AND(L825&lt;&gt;"",M825=""),L825,M825))))</f>
        <v/>
      </c>
      <c r="AC825">
        <f>IF(AB825&lt;&gt;"",CHOOSE(MATCH(AB825,{"Low","Medium","High","Critical"},0),25,50,75,100),"")</f>
        <v/>
      </c>
    </row>
    <row r="826">
      <c r="K826">
        <f>IF(J826="v4.0",L826,IF(J826="v3.1",M826,IF(J826="Both",L826,IF(AND(L826&lt;&gt;"",M826=""),L826,M826))))</f>
        <v/>
      </c>
      <c r="AC826">
        <f>IF(AB826&lt;&gt;"",CHOOSE(MATCH(AB826,{"Low","Medium","High","Critical"},0),25,50,75,100),"")</f>
        <v/>
      </c>
    </row>
    <row r="827">
      <c r="K827">
        <f>IF(J827="v4.0",L827,IF(J827="v3.1",M827,IF(J827="Both",L827,IF(AND(L827&lt;&gt;"",M827=""),L827,M827))))</f>
        <v/>
      </c>
      <c r="AC827">
        <f>IF(AB827&lt;&gt;"",CHOOSE(MATCH(AB827,{"Low","Medium","High","Critical"},0),25,50,75,100),"")</f>
        <v/>
      </c>
    </row>
    <row r="828">
      <c r="K828">
        <f>IF(J828="v4.0",L828,IF(J828="v3.1",M828,IF(J828="Both",L828,IF(AND(L828&lt;&gt;"",M828=""),L828,M828))))</f>
        <v/>
      </c>
      <c r="AC828">
        <f>IF(AB828&lt;&gt;"",CHOOSE(MATCH(AB828,{"Low","Medium","High","Critical"},0),25,50,75,100),"")</f>
        <v/>
      </c>
    </row>
    <row r="829">
      <c r="K829">
        <f>IF(J829="v4.0",L829,IF(J829="v3.1",M829,IF(J829="Both",L829,IF(AND(L829&lt;&gt;"",M829=""),L829,M829))))</f>
        <v/>
      </c>
      <c r="AC829">
        <f>IF(AB829&lt;&gt;"",CHOOSE(MATCH(AB829,{"Low","Medium","High","Critical"},0),25,50,75,100),"")</f>
        <v/>
      </c>
    </row>
    <row r="830">
      <c r="K830">
        <f>IF(J830="v4.0",L830,IF(J830="v3.1",M830,IF(J830="Both",L830,IF(AND(L830&lt;&gt;"",M830=""),L830,M830))))</f>
        <v/>
      </c>
      <c r="AC830">
        <f>IF(AB830&lt;&gt;"",CHOOSE(MATCH(AB830,{"Low","Medium","High","Critical"},0),25,50,75,100),"")</f>
        <v/>
      </c>
    </row>
    <row r="831">
      <c r="K831">
        <f>IF(J831="v4.0",L831,IF(J831="v3.1",M831,IF(J831="Both",L831,IF(AND(L831&lt;&gt;"",M831=""),L831,M831))))</f>
        <v/>
      </c>
      <c r="AC831">
        <f>IF(AB831&lt;&gt;"",CHOOSE(MATCH(AB831,{"Low","Medium","High","Critical"},0),25,50,75,100),"")</f>
        <v/>
      </c>
    </row>
    <row r="832">
      <c r="K832">
        <f>IF(J832="v4.0",L832,IF(J832="v3.1",M832,IF(J832="Both",L832,IF(AND(L832&lt;&gt;"",M832=""),L832,M832))))</f>
        <v/>
      </c>
      <c r="AC832">
        <f>IF(AB832&lt;&gt;"",CHOOSE(MATCH(AB832,{"Low","Medium","High","Critical"},0),25,50,75,100),"")</f>
        <v/>
      </c>
    </row>
    <row r="833">
      <c r="K833">
        <f>IF(J833="v4.0",L833,IF(J833="v3.1",M833,IF(J833="Both",L833,IF(AND(L833&lt;&gt;"",M833=""),L833,M833))))</f>
        <v/>
      </c>
      <c r="AC833">
        <f>IF(AB833&lt;&gt;"",CHOOSE(MATCH(AB833,{"Low","Medium","High","Critical"},0),25,50,75,100),"")</f>
        <v/>
      </c>
    </row>
    <row r="834">
      <c r="K834">
        <f>IF(J834="v4.0",L834,IF(J834="v3.1",M834,IF(J834="Both",L834,IF(AND(L834&lt;&gt;"",M834=""),L834,M834))))</f>
        <v/>
      </c>
      <c r="AC834">
        <f>IF(AB834&lt;&gt;"",CHOOSE(MATCH(AB834,{"Low","Medium","High","Critical"},0),25,50,75,100),"")</f>
        <v/>
      </c>
    </row>
    <row r="835">
      <c r="K835">
        <f>IF(J835="v4.0",L835,IF(J835="v3.1",M835,IF(J835="Both",L835,IF(AND(L835&lt;&gt;"",M835=""),L835,M835))))</f>
        <v/>
      </c>
      <c r="AC835">
        <f>IF(AB835&lt;&gt;"",CHOOSE(MATCH(AB835,{"Low","Medium","High","Critical"},0),25,50,75,100),"")</f>
        <v/>
      </c>
    </row>
    <row r="836">
      <c r="K836">
        <f>IF(J836="v4.0",L836,IF(J836="v3.1",M836,IF(J836="Both",L836,IF(AND(L836&lt;&gt;"",M836=""),L836,M836))))</f>
        <v/>
      </c>
      <c r="AC836">
        <f>IF(AB836&lt;&gt;"",CHOOSE(MATCH(AB836,{"Low","Medium","High","Critical"},0),25,50,75,100),"")</f>
        <v/>
      </c>
    </row>
    <row r="837">
      <c r="K837">
        <f>IF(J837="v4.0",L837,IF(J837="v3.1",M837,IF(J837="Both",L837,IF(AND(L837&lt;&gt;"",M837=""),L837,M837))))</f>
        <v/>
      </c>
      <c r="AC837">
        <f>IF(AB837&lt;&gt;"",CHOOSE(MATCH(AB837,{"Low","Medium","High","Critical"},0),25,50,75,100),"")</f>
        <v/>
      </c>
    </row>
    <row r="838">
      <c r="K838">
        <f>IF(J838="v4.0",L838,IF(J838="v3.1",M838,IF(J838="Both",L838,IF(AND(L838&lt;&gt;"",M838=""),L838,M838))))</f>
        <v/>
      </c>
      <c r="AC838">
        <f>IF(AB838&lt;&gt;"",CHOOSE(MATCH(AB838,{"Low","Medium","High","Critical"},0),25,50,75,100),"")</f>
        <v/>
      </c>
    </row>
    <row r="839">
      <c r="K839">
        <f>IF(J839="v4.0",L839,IF(J839="v3.1",M839,IF(J839="Both",L839,IF(AND(L839&lt;&gt;"",M839=""),L839,M839))))</f>
        <v/>
      </c>
      <c r="AC839">
        <f>IF(AB839&lt;&gt;"",CHOOSE(MATCH(AB839,{"Low","Medium","High","Critical"},0),25,50,75,100),"")</f>
        <v/>
      </c>
    </row>
    <row r="840">
      <c r="K840">
        <f>IF(J840="v4.0",L840,IF(J840="v3.1",M840,IF(J840="Both",L840,IF(AND(L840&lt;&gt;"",M840=""),L840,M840))))</f>
        <v/>
      </c>
      <c r="AC840">
        <f>IF(AB840&lt;&gt;"",CHOOSE(MATCH(AB840,{"Low","Medium","High","Critical"},0),25,50,75,100),"")</f>
        <v/>
      </c>
    </row>
    <row r="841">
      <c r="K841">
        <f>IF(J841="v4.0",L841,IF(J841="v3.1",M841,IF(J841="Both",L841,IF(AND(L841&lt;&gt;"",M841=""),L841,M841))))</f>
        <v/>
      </c>
      <c r="AC841">
        <f>IF(AB841&lt;&gt;"",CHOOSE(MATCH(AB841,{"Low","Medium","High","Critical"},0),25,50,75,100),"")</f>
        <v/>
      </c>
    </row>
    <row r="842">
      <c r="K842">
        <f>IF(J842="v4.0",L842,IF(J842="v3.1",M842,IF(J842="Both",L842,IF(AND(L842&lt;&gt;"",M842=""),L842,M842))))</f>
        <v/>
      </c>
      <c r="AC842">
        <f>IF(AB842&lt;&gt;"",CHOOSE(MATCH(AB842,{"Low","Medium","High","Critical"},0),25,50,75,100),"")</f>
        <v/>
      </c>
    </row>
    <row r="843">
      <c r="K843">
        <f>IF(J843="v4.0",L843,IF(J843="v3.1",M843,IF(J843="Both",L843,IF(AND(L843&lt;&gt;"",M843=""),L843,M843))))</f>
        <v/>
      </c>
      <c r="AC843">
        <f>IF(AB843&lt;&gt;"",CHOOSE(MATCH(AB843,{"Low","Medium","High","Critical"},0),25,50,75,100),"")</f>
        <v/>
      </c>
    </row>
    <row r="844">
      <c r="K844">
        <f>IF(J844="v4.0",L844,IF(J844="v3.1",M844,IF(J844="Both",L844,IF(AND(L844&lt;&gt;"",M844=""),L844,M844))))</f>
        <v/>
      </c>
      <c r="AC844">
        <f>IF(AB844&lt;&gt;"",CHOOSE(MATCH(AB844,{"Low","Medium","High","Critical"},0),25,50,75,100),"")</f>
        <v/>
      </c>
    </row>
    <row r="845">
      <c r="K845">
        <f>IF(J845="v4.0",L845,IF(J845="v3.1",M845,IF(J845="Both",L845,IF(AND(L845&lt;&gt;"",M845=""),L845,M845))))</f>
        <v/>
      </c>
      <c r="AC845">
        <f>IF(AB845&lt;&gt;"",CHOOSE(MATCH(AB845,{"Low","Medium","High","Critical"},0),25,50,75,100),"")</f>
        <v/>
      </c>
    </row>
    <row r="846">
      <c r="K846">
        <f>IF(J846="v4.0",L846,IF(J846="v3.1",M846,IF(J846="Both",L846,IF(AND(L846&lt;&gt;"",M846=""),L846,M846))))</f>
        <v/>
      </c>
      <c r="AC846">
        <f>IF(AB846&lt;&gt;"",CHOOSE(MATCH(AB846,{"Low","Medium","High","Critical"},0),25,50,75,100),"")</f>
        <v/>
      </c>
    </row>
    <row r="847">
      <c r="K847">
        <f>IF(J847="v4.0",L847,IF(J847="v3.1",M847,IF(J847="Both",L847,IF(AND(L847&lt;&gt;"",M847=""),L847,M847))))</f>
        <v/>
      </c>
      <c r="AC847">
        <f>IF(AB847&lt;&gt;"",CHOOSE(MATCH(AB847,{"Low","Medium","High","Critical"},0),25,50,75,100),"")</f>
        <v/>
      </c>
    </row>
    <row r="848">
      <c r="K848">
        <f>IF(J848="v4.0",L848,IF(J848="v3.1",M848,IF(J848="Both",L848,IF(AND(L848&lt;&gt;"",M848=""),L848,M848))))</f>
        <v/>
      </c>
      <c r="AC848">
        <f>IF(AB848&lt;&gt;"",CHOOSE(MATCH(AB848,{"Low","Medium","High","Critical"},0),25,50,75,100),"")</f>
        <v/>
      </c>
    </row>
    <row r="849">
      <c r="K849">
        <f>IF(J849="v4.0",L849,IF(J849="v3.1",M849,IF(J849="Both",L849,IF(AND(L849&lt;&gt;"",M849=""),L849,M849))))</f>
        <v/>
      </c>
      <c r="AC849">
        <f>IF(AB849&lt;&gt;"",CHOOSE(MATCH(AB849,{"Low","Medium","High","Critical"},0),25,50,75,100),"")</f>
        <v/>
      </c>
    </row>
    <row r="850">
      <c r="K850">
        <f>IF(J850="v4.0",L850,IF(J850="v3.1",M850,IF(J850="Both",L850,IF(AND(L850&lt;&gt;"",M850=""),L850,M850))))</f>
        <v/>
      </c>
      <c r="AC850">
        <f>IF(AB850&lt;&gt;"",CHOOSE(MATCH(AB850,{"Low","Medium","High","Critical"},0),25,50,75,100),"")</f>
        <v/>
      </c>
    </row>
    <row r="851">
      <c r="K851">
        <f>IF(J851="v4.0",L851,IF(J851="v3.1",M851,IF(J851="Both",L851,IF(AND(L851&lt;&gt;"",M851=""),L851,M851))))</f>
        <v/>
      </c>
      <c r="AC851">
        <f>IF(AB851&lt;&gt;"",CHOOSE(MATCH(AB851,{"Low","Medium","High","Critical"},0),25,50,75,100),"")</f>
        <v/>
      </c>
    </row>
    <row r="852">
      <c r="K852">
        <f>IF(J852="v4.0",L852,IF(J852="v3.1",M852,IF(J852="Both",L852,IF(AND(L852&lt;&gt;"",M852=""),L852,M852))))</f>
        <v/>
      </c>
      <c r="AC852">
        <f>IF(AB852&lt;&gt;"",CHOOSE(MATCH(AB852,{"Low","Medium","High","Critical"},0),25,50,75,100),"")</f>
        <v/>
      </c>
    </row>
    <row r="853">
      <c r="K853">
        <f>IF(J853="v4.0",L853,IF(J853="v3.1",M853,IF(J853="Both",L853,IF(AND(L853&lt;&gt;"",M853=""),L853,M853))))</f>
        <v/>
      </c>
      <c r="AC853">
        <f>IF(AB853&lt;&gt;"",CHOOSE(MATCH(AB853,{"Low","Medium","High","Critical"},0),25,50,75,100),"")</f>
        <v/>
      </c>
    </row>
    <row r="854">
      <c r="K854">
        <f>IF(J854="v4.0",L854,IF(J854="v3.1",M854,IF(J854="Both",L854,IF(AND(L854&lt;&gt;"",M854=""),L854,M854))))</f>
        <v/>
      </c>
      <c r="AC854">
        <f>IF(AB854&lt;&gt;"",CHOOSE(MATCH(AB854,{"Low","Medium","High","Critical"},0),25,50,75,100),"")</f>
        <v/>
      </c>
    </row>
    <row r="855">
      <c r="K855">
        <f>IF(J855="v4.0",L855,IF(J855="v3.1",M855,IF(J855="Both",L855,IF(AND(L855&lt;&gt;"",M855=""),L855,M855))))</f>
        <v/>
      </c>
      <c r="AC855">
        <f>IF(AB855&lt;&gt;"",CHOOSE(MATCH(AB855,{"Low","Medium","High","Critical"},0),25,50,75,100),"")</f>
        <v/>
      </c>
    </row>
    <row r="856">
      <c r="K856">
        <f>IF(J856="v4.0",L856,IF(J856="v3.1",M856,IF(J856="Both",L856,IF(AND(L856&lt;&gt;"",M856=""),L856,M856))))</f>
        <v/>
      </c>
      <c r="AC856">
        <f>IF(AB856&lt;&gt;"",CHOOSE(MATCH(AB856,{"Low","Medium","High","Critical"},0),25,50,75,100),"")</f>
        <v/>
      </c>
    </row>
    <row r="857">
      <c r="K857">
        <f>IF(J857="v4.0",L857,IF(J857="v3.1",M857,IF(J857="Both",L857,IF(AND(L857&lt;&gt;"",M857=""),L857,M857))))</f>
        <v/>
      </c>
      <c r="AC857">
        <f>IF(AB857&lt;&gt;"",CHOOSE(MATCH(AB857,{"Low","Medium","High","Critical"},0),25,50,75,100),"")</f>
        <v/>
      </c>
    </row>
    <row r="858">
      <c r="K858">
        <f>IF(J858="v4.0",L858,IF(J858="v3.1",M858,IF(J858="Both",L858,IF(AND(L858&lt;&gt;"",M858=""),L858,M858))))</f>
        <v/>
      </c>
      <c r="AC858">
        <f>IF(AB858&lt;&gt;"",CHOOSE(MATCH(AB858,{"Low","Medium","High","Critical"},0),25,50,75,100),"")</f>
        <v/>
      </c>
    </row>
    <row r="859">
      <c r="K859">
        <f>IF(J859="v4.0",L859,IF(J859="v3.1",M859,IF(J859="Both",L859,IF(AND(L859&lt;&gt;"",M859=""),L859,M859))))</f>
        <v/>
      </c>
      <c r="AC859">
        <f>IF(AB859&lt;&gt;"",CHOOSE(MATCH(AB859,{"Low","Medium","High","Critical"},0),25,50,75,100),"")</f>
        <v/>
      </c>
    </row>
    <row r="860">
      <c r="K860">
        <f>IF(J860="v4.0",L860,IF(J860="v3.1",M860,IF(J860="Both",L860,IF(AND(L860&lt;&gt;"",M860=""),L860,M860))))</f>
        <v/>
      </c>
      <c r="AC860">
        <f>IF(AB860&lt;&gt;"",CHOOSE(MATCH(AB860,{"Low","Medium","High","Critical"},0),25,50,75,100),"")</f>
        <v/>
      </c>
    </row>
    <row r="861">
      <c r="K861">
        <f>IF(J861="v4.0",L861,IF(J861="v3.1",M861,IF(J861="Both",L861,IF(AND(L861&lt;&gt;"",M861=""),L861,M861))))</f>
        <v/>
      </c>
      <c r="AC861">
        <f>IF(AB861&lt;&gt;"",CHOOSE(MATCH(AB861,{"Low","Medium","High","Critical"},0),25,50,75,100),"")</f>
        <v/>
      </c>
    </row>
    <row r="862">
      <c r="K862">
        <f>IF(J862="v4.0",L862,IF(J862="v3.1",M862,IF(J862="Both",L862,IF(AND(L862&lt;&gt;"",M862=""),L862,M862))))</f>
        <v/>
      </c>
      <c r="AC862">
        <f>IF(AB862&lt;&gt;"",CHOOSE(MATCH(AB862,{"Low","Medium","High","Critical"},0),25,50,75,100),"")</f>
        <v/>
      </c>
    </row>
    <row r="863">
      <c r="K863">
        <f>IF(J863="v4.0",L863,IF(J863="v3.1",M863,IF(J863="Both",L863,IF(AND(L863&lt;&gt;"",M863=""),L863,M863))))</f>
        <v/>
      </c>
      <c r="AC863">
        <f>IF(AB863&lt;&gt;"",CHOOSE(MATCH(AB863,{"Low","Medium","High","Critical"},0),25,50,75,100),"")</f>
        <v/>
      </c>
    </row>
    <row r="864">
      <c r="K864">
        <f>IF(J864="v4.0",L864,IF(J864="v3.1",M864,IF(J864="Both",L864,IF(AND(L864&lt;&gt;"",M864=""),L864,M864))))</f>
        <v/>
      </c>
      <c r="AC864">
        <f>IF(AB864&lt;&gt;"",CHOOSE(MATCH(AB864,{"Low","Medium","High","Critical"},0),25,50,75,100),"")</f>
        <v/>
      </c>
    </row>
    <row r="865">
      <c r="K865">
        <f>IF(J865="v4.0",L865,IF(J865="v3.1",M865,IF(J865="Both",L865,IF(AND(L865&lt;&gt;"",M865=""),L865,M865))))</f>
        <v/>
      </c>
      <c r="AC865">
        <f>IF(AB865&lt;&gt;"",CHOOSE(MATCH(AB865,{"Low","Medium","High","Critical"},0),25,50,75,100),"")</f>
        <v/>
      </c>
    </row>
    <row r="866">
      <c r="K866">
        <f>IF(J866="v4.0",L866,IF(J866="v3.1",M866,IF(J866="Both",L866,IF(AND(L866&lt;&gt;"",M866=""),L866,M866))))</f>
        <v/>
      </c>
      <c r="AC866">
        <f>IF(AB866&lt;&gt;"",CHOOSE(MATCH(AB866,{"Low","Medium","High","Critical"},0),25,50,75,100),"")</f>
        <v/>
      </c>
    </row>
    <row r="867">
      <c r="K867">
        <f>IF(J867="v4.0",L867,IF(J867="v3.1",M867,IF(J867="Both",L867,IF(AND(L867&lt;&gt;"",M867=""),L867,M867))))</f>
        <v/>
      </c>
      <c r="AC867">
        <f>IF(AB867&lt;&gt;"",CHOOSE(MATCH(AB867,{"Low","Medium","High","Critical"},0),25,50,75,100),"")</f>
        <v/>
      </c>
    </row>
    <row r="868">
      <c r="K868">
        <f>IF(J868="v4.0",L868,IF(J868="v3.1",M868,IF(J868="Both",L868,IF(AND(L868&lt;&gt;"",M868=""),L868,M868))))</f>
        <v/>
      </c>
      <c r="AC868">
        <f>IF(AB868&lt;&gt;"",CHOOSE(MATCH(AB868,{"Low","Medium","High","Critical"},0),25,50,75,100),"")</f>
        <v/>
      </c>
    </row>
    <row r="869">
      <c r="K869">
        <f>IF(J869="v4.0",L869,IF(J869="v3.1",M869,IF(J869="Both",L869,IF(AND(L869&lt;&gt;"",M869=""),L869,M869))))</f>
        <v/>
      </c>
      <c r="AC869">
        <f>IF(AB869&lt;&gt;"",CHOOSE(MATCH(AB869,{"Low","Medium","High","Critical"},0),25,50,75,100),"")</f>
        <v/>
      </c>
    </row>
    <row r="870">
      <c r="K870">
        <f>IF(J870="v4.0",L870,IF(J870="v3.1",M870,IF(J870="Both",L870,IF(AND(L870&lt;&gt;"",M870=""),L870,M870))))</f>
        <v/>
      </c>
      <c r="AC870">
        <f>IF(AB870&lt;&gt;"",CHOOSE(MATCH(AB870,{"Low","Medium","High","Critical"},0),25,50,75,100),"")</f>
        <v/>
      </c>
    </row>
    <row r="871">
      <c r="K871">
        <f>IF(J871="v4.0",L871,IF(J871="v3.1",M871,IF(J871="Both",L871,IF(AND(L871&lt;&gt;"",M871=""),L871,M871))))</f>
        <v/>
      </c>
      <c r="AC871">
        <f>IF(AB871&lt;&gt;"",CHOOSE(MATCH(AB871,{"Low","Medium","High","Critical"},0),25,50,75,100),"")</f>
        <v/>
      </c>
    </row>
    <row r="872">
      <c r="K872">
        <f>IF(J872="v4.0",L872,IF(J872="v3.1",M872,IF(J872="Both",L872,IF(AND(L872&lt;&gt;"",M872=""),L872,M872))))</f>
        <v/>
      </c>
      <c r="AC872">
        <f>IF(AB872&lt;&gt;"",CHOOSE(MATCH(AB872,{"Low","Medium","High","Critical"},0),25,50,75,100),"")</f>
        <v/>
      </c>
    </row>
    <row r="873">
      <c r="K873">
        <f>IF(J873="v4.0",L873,IF(J873="v3.1",M873,IF(J873="Both",L873,IF(AND(L873&lt;&gt;"",M873=""),L873,M873))))</f>
        <v/>
      </c>
      <c r="AC873">
        <f>IF(AB873&lt;&gt;"",CHOOSE(MATCH(AB873,{"Low","Medium","High","Critical"},0),25,50,75,100),"")</f>
        <v/>
      </c>
    </row>
    <row r="874">
      <c r="K874">
        <f>IF(J874="v4.0",L874,IF(J874="v3.1",M874,IF(J874="Both",L874,IF(AND(L874&lt;&gt;"",M874=""),L874,M874))))</f>
        <v/>
      </c>
      <c r="AC874">
        <f>IF(AB874&lt;&gt;"",CHOOSE(MATCH(AB874,{"Low","Medium","High","Critical"},0),25,50,75,100),"")</f>
        <v/>
      </c>
    </row>
    <row r="875">
      <c r="K875">
        <f>IF(J875="v4.0",L875,IF(J875="v3.1",M875,IF(J875="Both",L875,IF(AND(L875&lt;&gt;"",M875=""),L875,M875))))</f>
        <v/>
      </c>
      <c r="AC875">
        <f>IF(AB875&lt;&gt;"",CHOOSE(MATCH(AB875,{"Low","Medium","High","Critical"},0),25,50,75,100),"")</f>
        <v/>
      </c>
    </row>
    <row r="876">
      <c r="K876">
        <f>IF(J876="v4.0",L876,IF(J876="v3.1",M876,IF(J876="Both",L876,IF(AND(L876&lt;&gt;"",M876=""),L876,M876))))</f>
        <v/>
      </c>
      <c r="AC876">
        <f>IF(AB876&lt;&gt;"",CHOOSE(MATCH(AB876,{"Low","Medium","High","Critical"},0),25,50,75,100),"")</f>
        <v/>
      </c>
    </row>
    <row r="877">
      <c r="K877">
        <f>IF(J877="v4.0",L877,IF(J877="v3.1",M877,IF(J877="Both",L877,IF(AND(L877&lt;&gt;"",M877=""),L877,M877))))</f>
        <v/>
      </c>
      <c r="AC877">
        <f>IF(AB877&lt;&gt;"",CHOOSE(MATCH(AB877,{"Low","Medium","High","Critical"},0),25,50,75,100),"")</f>
        <v/>
      </c>
    </row>
    <row r="878">
      <c r="K878">
        <f>IF(J878="v4.0",L878,IF(J878="v3.1",M878,IF(J878="Both",L878,IF(AND(L878&lt;&gt;"",M878=""),L878,M878))))</f>
        <v/>
      </c>
      <c r="AC878">
        <f>IF(AB878&lt;&gt;"",CHOOSE(MATCH(AB878,{"Low","Medium","High","Critical"},0),25,50,75,100),"")</f>
        <v/>
      </c>
    </row>
    <row r="879">
      <c r="K879">
        <f>IF(J879="v4.0",L879,IF(J879="v3.1",M879,IF(J879="Both",L879,IF(AND(L879&lt;&gt;"",M879=""),L879,M879))))</f>
        <v/>
      </c>
      <c r="AC879">
        <f>IF(AB879&lt;&gt;"",CHOOSE(MATCH(AB879,{"Low","Medium","High","Critical"},0),25,50,75,100),"")</f>
        <v/>
      </c>
    </row>
    <row r="880">
      <c r="K880">
        <f>IF(J880="v4.0",L880,IF(J880="v3.1",M880,IF(J880="Both",L880,IF(AND(L880&lt;&gt;"",M880=""),L880,M880))))</f>
        <v/>
      </c>
      <c r="AC880">
        <f>IF(AB880&lt;&gt;"",CHOOSE(MATCH(AB880,{"Low","Medium","High","Critical"},0),25,50,75,100),"")</f>
        <v/>
      </c>
    </row>
    <row r="881">
      <c r="K881">
        <f>IF(J881="v4.0",L881,IF(J881="v3.1",M881,IF(J881="Both",L881,IF(AND(L881&lt;&gt;"",M881=""),L881,M881))))</f>
        <v/>
      </c>
      <c r="AC881">
        <f>IF(AB881&lt;&gt;"",CHOOSE(MATCH(AB881,{"Low","Medium","High","Critical"},0),25,50,75,100),"")</f>
        <v/>
      </c>
    </row>
    <row r="882">
      <c r="K882">
        <f>IF(J882="v4.0",L882,IF(J882="v3.1",M882,IF(J882="Both",L882,IF(AND(L882&lt;&gt;"",M882=""),L882,M882))))</f>
        <v/>
      </c>
      <c r="AC882">
        <f>IF(AB882&lt;&gt;"",CHOOSE(MATCH(AB882,{"Low","Medium","High","Critical"},0),25,50,75,100),"")</f>
        <v/>
      </c>
    </row>
    <row r="883">
      <c r="K883">
        <f>IF(J883="v4.0",L883,IF(J883="v3.1",M883,IF(J883="Both",L883,IF(AND(L883&lt;&gt;"",M883=""),L883,M883))))</f>
        <v/>
      </c>
      <c r="AC883">
        <f>IF(AB883&lt;&gt;"",CHOOSE(MATCH(AB883,{"Low","Medium","High","Critical"},0),25,50,75,100),"")</f>
        <v/>
      </c>
    </row>
    <row r="884">
      <c r="K884">
        <f>IF(J884="v4.0",L884,IF(J884="v3.1",M884,IF(J884="Both",L884,IF(AND(L884&lt;&gt;"",M884=""),L884,M884))))</f>
        <v/>
      </c>
      <c r="AC884">
        <f>IF(AB884&lt;&gt;"",CHOOSE(MATCH(AB884,{"Low","Medium","High","Critical"},0),25,50,75,100),"")</f>
        <v/>
      </c>
    </row>
    <row r="885">
      <c r="K885">
        <f>IF(J885="v4.0",L885,IF(J885="v3.1",M885,IF(J885="Both",L885,IF(AND(L885&lt;&gt;"",M885=""),L885,M885))))</f>
        <v/>
      </c>
      <c r="AC885">
        <f>IF(AB885&lt;&gt;"",CHOOSE(MATCH(AB885,{"Low","Medium","High","Critical"},0),25,50,75,100),"")</f>
        <v/>
      </c>
    </row>
    <row r="886">
      <c r="K886">
        <f>IF(J886="v4.0",L886,IF(J886="v3.1",M886,IF(J886="Both",L886,IF(AND(L886&lt;&gt;"",M886=""),L886,M886))))</f>
        <v/>
      </c>
      <c r="AC886">
        <f>IF(AB886&lt;&gt;"",CHOOSE(MATCH(AB886,{"Low","Medium","High","Critical"},0),25,50,75,100),"")</f>
        <v/>
      </c>
    </row>
    <row r="887">
      <c r="K887">
        <f>IF(J887="v4.0",L887,IF(J887="v3.1",M887,IF(J887="Both",L887,IF(AND(L887&lt;&gt;"",M887=""),L887,M887))))</f>
        <v/>
      </c>
      <c r="AC887">
        <f>IF(AB887&lt;&gt;"",CHOOSE(MATCH(AB887,{"Low","Medium","High","Critical"},0),25,50,75,100),"")</f>
        <v/>
      </c>
    </row>
    <row r="888">
      <c r="K888">
        <f>IF(J888="v4.0",L888,IF(J888="v3.1",M888,IF(J888="Both",L888,IF(AND(L888&lt;&gt;"",M888=""),L888,M888))))</f>
        <v/>
      </c>
      <c r="AC888">
        <f>IF(AB888&lt;&gt;"",CHOOSE(MATCH(AB888,{"Low","Medium","High","Critical"},0),25,50,75,100),"")</f>
        <v/>
      </c>
    </row>
    <row r="889">
      <c r="K889">
        <f>IF(J889="v4.0",L889,IF(J889="v3.1",M889,IF(J889="Both",L889,IF(AND(L889&lt;&gt;"",M889=""),L889,M889))))</f>
        <v/>
      </c>
      <c r="AC889">
        <f>IF(AB889&lt;&gt;"",CHOOSE(MATCH(AB889,{"Low","Medium","High","Critical"},0),25,50,75,100),"")</f>
        <v/>
      </c>
    </row>
    <row r="890">
      <c r="K890">
        <f>IF(J890="v4.0",L890,IF(J890="v3.1",M890,IF(J890="Both",L890,IF(AND(L890&lt;&gt;"",M890=""),L890,M890))))</f>
        <v/>
      </c>
      <c r="AC890">
        <f>IF(AB890&lt;&gt;"",CHOOSE(MATCH(AB890,{"Low","Medium","High","Critical"},0),25,50,75,100),"")</f>
        <v/>
      </c>
    </row>
    <row r="891">
      <c r="K891">
        <f>IF(J891="v4.0",L891,IF(J891="v3.1",M891,IF(J891="Both",L891,IF(AND(L891&lt;&gt;"",M891=""),L891,M891))))</f>
        <v/>
      </c>
      <c r="AC891">
        <f>IF(AB891&lt;&gt;"",CHOOSE(MATCH(AB891,{"Low","Medium","High","Critical"},0),25,50,75,100),"")</f>
        <v/>
      </c>
    </row>
    <row r="892">
      <c r="K892">
        <f>IF(J892="v4.0",L892,IF(J892="v3.1",M892,IF(J892="Both",L892,IF(AND(L892&lt;&gt;"",M892=""),L892,M892))))</f>
        <v/>
      </c>
      <c r="AC892">
        <f>IF(AB892&lt;&gt;"",CHOOSE(MATCH(AB892,{"Low","Medium","High","Critical"},0),25,50,75,100),"")</f>
        <v/>
      </c>
    </row>
    <row r="893">
      <c r="K893">
        <f>IF(J893="v4.0",L893,IF(J893="v3.1",M893,IF(J893="Both",L893,IF(AND(L893&lt;&gt;"",M893=""),L893,M893))))</f>
        <v/>
      </c>
      <c r="AC893">
        <f>IF(AB893&lt;&gt;"",CHOOSE(MATCH(AB893,{"Low","Medium","High","Critical"},0),25,50,75,100),"")</f>
        <v/>
      </c>
    </row>
    <row r="894">
      <c r="K894">
        <f>IF(J894="v4.0",L894,IF(J894="v3.1",M894,IF(J894="Both",L894,IF(AND(L894&lt;&gt;"",M894=""),L894,M894))))</f>
        <v/>
      </c>
      <c r="AC894">
        <f>IF(AB894&lt;&gt;"",CHOOSE(MATCH(AB894,{"Low","Medium","High","Critical"},0),25,50,75,100),"")</f>
        <v/>
      </c>
    </row>
    <row r="895">
      <c r="K895">
        <f>IF(J895="v4.0",L895,IF(J895="v3.1",M895,IF(J895="Both",L895,IF(AND(L895&lt;&gt;"",M895=""),L895,M895))))</f>
        <v/>
      </c>
      <c r="AC895">
        <f>IF(AB895&lt;&gt;"",CHOOSE(MATCH(AB895,{"Low","Medium","High","Critical"},0),25,50,75,100),"")</f>
        <v/>
      </c>
    </row>
    <row r="896">
      <c r="K896">
        <f>IF(J896="v4.0",L896,IF(J896="v3.1",M896,IF(J896="Both",L896,IF(AND(L896&lt;&gt;"",M896=""),L896,M896))))</f>
        <v/>
      </c>
      <c r="AC896">
        <f>IF(AB896&lt;&gt;"",CHOOSE(MATCH(AB896,{"Low","Medium","High","Critical"},0),25,50,75,100),"")</f>
        <v/>
      </c>
    </row>
    <row r="897">
      <c r="K897">
        <f>IF(J897="v4.0",L897,IF(J897="v3.1",M897,IF(J897="Both",L897,IF(AND(L897&lt;&gt;"",M897=""),L897,M897))))</f>
        <v/>
      </c>
      <c r="AC897">
        <f>IF(AB897&lt;&gt;"",CHOOSE(MATCH(AB897,{"Low","Medium","High","Critical"},0),25,50,75,100),"")</f>
        <v/>
      </c>
    </row>
    <row r="898">
      <c r="K898">
        <f>IF(J898="v4.0",L898,IF(J898="v3.1",M898,IF(J898="Both",L898,IF(AND(L898&lt;&gt;"",M898=""),L898,M898))))</f>
        <v/>
      </c>
      <c r="AC898">
        <f>IF(AB898&lt;&gt;"",CHOOSE(MATCH(AB898,{"Low","Medium","High","Critical"},0),25,50,75,100),"")</f>
        <v/>
      </c>
    </row>
    <row r="899">
      <c r="K899">
        <f>IF(J899="v4.0",L899,IF(J899="v3.1",M899,IF(J899="Both",L899,IF(AND(L899&lt;&gt;"",M899=""),L899,M899))))</f>
        <v/>
      </c>
      <c r="AC899">
        <f>IF(AB899&lt;&gt;"",CHOOSE(MATCH(AB899,{"Low","Medium","High","Critical"},0),25,50,75,100),"")</f>
        <v/>
      </c>
    </row>
    <row r="900">
      <c r="K900">
        <f>IF(J900="v4.0",L900,IF(J900="v3.1",M900,IF(J900="Both",L900,IF(AND(L900&lt;&gt;"",M900=""),L900,M900))))</f>
        <v/>
      </c>
      <c r="AC900">
        <f>IF(AB900&lt;&gt;"",CHOOSE(MATCH(AB900,{"Low","Medium","High","Critical"},0),25,50,75,100),"")</f>
        <v/>
      </c>
    </row>
    <row r="901">
      <c r="K901">
        <f>IF(J901="v4.0",L901,IF(J901="v3.1",M901,IF(J901="Both",L901,IF(AND(L901&lt;&gt;"",M901=""),L901,M901))))</f>
        <v/>
      </c>
      <c r="AC901">
        <f>IF(AB901&lt;&gt;"",CHOOSE(MATCH(AB901,{"Low","Medium","High","Critical"},0),25,50,75,100),"")</f>
        <v/>
      </c>
    </row>
    <row r="902">
      <c r="K902">
        <f>IF(J902="v4.0",L902,IF(J902="v3.1",M902,IF(J902="Both",L902,IF(AND(L902&lt;&gt;"",M902=""),L902,M902))))</f>
        <v/>
      </c>
      <c r="AC902">
        <f>IF(AB902&lt;&gt;"",CHOOSE(MATCH(AB902,{"Low","Medium","High","Critical"},0),25,50,75,100),"")</f>
        <v/>
      </c>
    </row>
    <row r="903">
      <c r="K903">
        <f>IF(J903="v4.0",L903,IF(J903="v3.1",M903,IF(J903="Both",L903,IF(AND(L903&lt;&gt;"",M903=""),L903,M903))))</f>
        <v/>
      </c>
      <c r="AC903">
        <f>IF(AB903&lt;&gt;"",CHOOSE(MATCH(AB903,{"Low","Medium","High","Critical"},0),25,50,75,100),"")</f>
        <v/>
      </c>
    </row>
    <row r="904">
      <c r="K904">
        <f>IF(J904="v4.0",L904,IF(J904="v3.1",M904,IF(J904="Both",L904,IF(AND(L904&lt;&gt;"",M904=""),L904,M904))))</f>
        <v/>
      </c>
      <c r="AC904">
        <f>IF(AB904&lt;&gt;"",CHOOSE(MATCH(AB904,{"Low","Medium","High","Critical"},0),25,50,75,100),"")</f>
        <v/>
      </c>
    </row>
    <row r="905">
      <c r="K905">
        <f>IF(J905="v4.0",L905,IF(J905="v3.1",M905,IF(J905="Both",L905,IF(AND(L905&lt;&gt;"",M905=""),L905,M905))))</f>
        <v/>
      </c>
      <c r="AC905">
        <f>IF(AB905&lt;&gt;"",CHOOSE(MATCH(AB905,{"Low","Medium","High","Critical"},0),25,50,75,100),"")</f>
        <v/>
      </c>
    </row>
    <row r="906">
      <c r="K906">
        <f>IF(J906="v4.0",L906,IF(J906="v3.1",M906,IF(J906="Both",L906,IF(AND(L906&lt;&gt;"",M906=""),L906,M906))))</f>
        <v/>
      </c>
      <c r="AC906">
        <f>IF(AB906&lt;&gt;"",CHOOSE(MATCH(AB906,{"Low","Medium","High","Critical"},0),25,50,75,100),"")</f>
        <v/>
      </c>
    </row>
    <row r="907">
      <c r="K907">
        <f>IF(J907="v4.0",L907,IF(J907="v3.1",M907,IF(J907="Both",L907,IF(AND(L907&lt;&gt;"",M907=""),L907,M907))))</f>
        <v/>
      </c>
      <c r="AC907">
        <f>IF(AB907&lt;&gt;"",CHOOSE(MATCH(AB907,{"Low","Medium","High","Critical"},0),25,50,75,100),"")</f>
        <v/>
      </c>
    </row>
    <row r="908">
      <c r="K908">
        <f>IF(J908="v4.0",L908,IF(J908="v3.1",M908,IF(J908="Both",L908,IF(AND(L908&lt;&gt;"",M908=""),L908,M908))))</f>
        <v/>
      </c>
      <c r="AC908">
        <f>IF(AB908&lt;&gt;"",CHOOSE(MATCH(AB908,{"Low","Medium","High","Critical"},0),25,50,75,100),"")</f>
        <v/>
      </c>
    </row>
    <row r="909">
      <c r="K909">
        <f>IF(J909="v4.0",L909,IF(J909="v3.1",M909,IF(J909="Both",L909,IF(AND(L909&lt;&gt;"",M909=""),L909,M909))))</f>
        <v/>
      </c>
      <c r="AC909">
        <f>IF(AB909&lt;&gt;"",CHOOSE(MATCH(AB909,{"Low","Medium","High","Critical"},0),25,50,75,100),"")</f>
        <v/>
      </c>
    </row>
    <row r="910">
      <c r="K910">
        <f>IF(J910="v4.0",L910,IF(J910="v3.1",M910,IF(J910="Both",L910,IF(AND(L910&lt;&gt;"",M910=""),L910,M910))))</f>
        <v/>
      </c>
      <c r="AC910">
        <f>IF(AB910&lt;&gt;"",CHOOSE(MATCH(AB910,{"Low","Medium","High","Critical"},0),25,50,75,100),"")</f>
        <v/>
      </c>
    </row>
    <row r="911">
      <c r="K911">
        <f>IF(J911="v4.0",L911,IF(J911="v3.1",M911,IF(J911="Both",L911,IF(AND(L911&lt;&gt;"",M911=""),L911,M911))))</f>
        <v/>
      </c>
      <c r="AC911">
        <f>IF(AB911&lt;&gt;"",CHOOSE(MATCH(AB911,{"Low","Medium","High","Critical"},0),25,50,75,100),"")</f>
        <v/>
      </c>
    </row>
    <row r="912">
      <c r="K912">
        <f>IF(J912="v4.0",L912,IF(J912="v3.1",M912,IF(J912="Both",L912,IF(AND(L912&lt;&gt;"",M912=""),L912,M912))))</f>
        <v/>
      </c>
      <c r="AC912">
        <f>IF(AB912&lt;&gt;"",CHOOSE(MATCH(AB912,{"Low","Medium","High","Critical"},0),25,50,75,100),"")</f>
        <v/>
      </c>
    </row>
    <row r="913">
      <c r="K913">
        <f>IF(J913="v4.0",L913,IF(J913="v3.1",M913,IF(J913="Both",L913,IF(AND(L913&lt;&gt;"",M913=""),L913,M913))))</f>
        <v/>
      </c>
      <c r="AC913">
        <f>IF(AB913&lt;&gt;"",CHOOSE(MATCH(AB913,{"Low","Medium","High","Critical"},0),25,50,75,100),"")</f>
        <v/>
      </c>
    </row>
    <row r="914">
      <c r="K914">
        <f>IF(J914="v4.0",L914,IF(J914="v3.1",M914,IF(J914="Both",L914,IF(AND(L914&lt;&gt;"",M914=""),L914,M914))))</f>
        <v/>
      </c>
      <c r="AC914">
        <f>IF(AB914&lt;&gt;"",CHOOSE(MATCH(AB914,{"Low","Medium","High","Critical"},0),25,50,75,100),"")</f>
        <v/>
      </c>
    </row>
    <row r="915">
      <c r="K915">
        <f>IF(J915="v4.0",L915,IF(J915="v3.1",M915,IF(J915="Both",L915,IF(AND(L915&lt;&gt;"",M915=""),L915,M915))))</f>
        <v/>
      </c>
      <c r="AC915">
        <f>IF(AB915&lt;&gt;"",CHOOSE(MATCH(AB915,{"Low","Medium","High","Critical"},0),25,50,75,100),"")</f>
        <v/>
      </c>
    </row>
    <row r="916">
      <c r="K916">
        <f>IF(J916="v4.0",L916,IF(J916="v3.1",M916,IF(J916="Both",L916,IF(AND(L916&lt;&gt;"",M916=""),L916,M916))))</f>
        <v/>
      </c>
      <c r="AC916">
        <f>IF(AB916&lt;&gt;"",CHOOSE(MATCH(AB916,{"Low","Medium","High","Critical"},0),25,50,75,100),"")</f>
        <v/>
      </c>
    </row>
    <row r="917">
      <c r="K917">
        <f>IF(J917="v4.0",L917,IF(J917="v3.1",M917,IF(J917="Both",L917,IF(AND(L917&lt;&gt;"",M917=""),L917,M917))))</f>
        <v/>
      </c>
      <c r="AC917">
        <f>IF(AB917&lt;&gt;"",CHOOSE(MATCH(AB917,{"Low","Medium","High","Critical"},0),25,50,75,100),"")</f>
        <v/>
      </c>
    </row>
    <row r="918">
      <c r="K918">
        <f>IF(J918="v4.0",L918,IF(J918="v3.1",M918,IF(J918="Both",L918,IF(AND(L918&lt;&gt;"",M918=""),L918,M918))))</f>
        <v/>
      </c>
      <c r="AC918">
        <f>IF(AB918&lt;&gt;"",CHOOSE(MATCH(AB918,{"Low","Medium","High","Critical"},0),25,50,75,100),"")</f>
        <v/>
      </c>
    </row>
    <row r="919">
      <c r="K919">
        <f>IF(J919="v4.0",L919,IF(J919="v3.1",M919,IF(J919="Both",L919,IF(AND(L919&lt;&gt;"",M919=""),L919,M919))))</f>
        <v/>
      </c>
      <c r="AC919">
        <f>IF(AB919&lt;&gt;"",CHOOSE(MATCH(AB919,{"Low","Medium","High","Critical"},0),25,50,75,100),"")</f>
        <v/>
      </c>
    </row>
    <row r="920">
      <c r="K920">
        <f>IF(J920="v4.0",L920,IF(J920="v3.1",M920,IF(J920="Both",L920,IF(AND(L920&lt;&gt;"",M920=""),L920,M920))))</f>
        <v/>
      </c>
      <c r="AC920">
        <f>IF(AB920&lt;&gt;"",CHOOSE(MATCH(AB920,{"Low","Medium","High","Critical"},0),25,50,75,100),"")</f>
        <v/>
      </c>
    </row>
    <row r="921">
      <c r="K921">
        <f>IF(J921="v4.0",L921,IF(J921="v3.1",M921,IF(J921="Both",L921,IF(AND(L921&lt;&gt;"",M921=""),L921,M921))))</f>
        <v/>
      </c>
      <c r="AC921">
        <f>IF(AB921&lt;&gt;"",CHOOSE(MATCH(AB921,{"Low","Medium","High","Critical"},0),25,50,75,100),"")</f>
        <v/>
      </c>
    </row>
    <row r="922">
      <c r="K922">
        <f>IF(J922="v4.0",L922,IF(J922="v3.1",M922,IF(J922="Both",L922,IF(AND(L922&lt;&gt;"",M922=""),L922,M922))))</f>
        <v/>
      </c>
      <c r="AC922">
        <f>IF(AB922&lt;&gt;"",CHOOSE(MATCH(AB922,{"Low","Medium","High","Critical"},0),25,50,75,100),"")</f>
        <v/>
      </c>
    </row>
    <row r="923">
      <c r="K923">
        <f>IF(J923="v4.0",L923,IF(J923="v3.1",M923,IF(J923="Both",L923,IF(AND(L923&lt;&gt;"",M923=""),L923,M923))))</f>
        <v/>
      </c>
      <c r="AC923">
        <f>IF(AB923&lt;&gt;"",CHOOSE(MATCH(AB923,{"Low","Medium","High","Critical"},0),25,50,75,100),"")</f>
        <v/>
      </c>
    </row>
    <row r="924">
      <c r="K924">
        <f>IF(J924="v4.0",L924,IF(J924="v3.1",M924,IF(J924="Both",L924,IF(AND(L924&lt;&gt;"",M924=""),L924,M924))))</f>
        <v/>
      </c>
      <c r="AC924">
        <f>IF(AB924&lt;&gt;"",CHOOSE(MATCH(AB924,{"Low","Medium","High","Critical"},0),25,50,75,100),"")</f>
        <v/>
      </c>
    </row>
    <row r="925">
      <c r="K925">
        <f>IF(J925="v4.0",L925,IF(J925="v3.1",M925,IF(J925="Both",L925,IF(AND(L925&lt;&gt;"",M925=""),L925,M925))))</f>
        <v/>
      </c>
      <c r="AC925">
        <f>IF(AB925&lt;&gt;"",CHOOSE(MATCH(AB925,{"Low","Medium","High","Critical"},0),25,50,75,100),"")</f>
        <v/>
      </c>
    </row>
    <row r="926">
      <c r="K926">
        <f>IF(J926="v4.0",L926,IF(J926="v3.1",M926,IF(J926="Both",L926,IF(AND(L926&lt;&gt;"",M926=""),L926,M926))))</f>
        <v/>
      </c>
      <c r="AC926">
        <f>IF(AB926&lt;&gt;"",CHOOSE(MATCH(AB926,{"Low","Medium","High","Critical"},0),25,50,75,100),"")</f>
        <v/>
      </c>
    </row>
    <row r="927">
      <c r="K927">
        <f>IF(J927="v4.0",L927,IF(J927="v3.1",M927,IF(J927="Both",L927,IF(AND(L927&lt;&gt;"",M927=""),L927,M927))))</f>
        <v/>
      </c>
      <c r="AC927">
        <f>IF(AB927&lt;&gt;"",CHOOSE(MATCH(AB927,{"Low","Medium","High","Critical"},0),25,50,75,100),"")</f>
        <v/>
      </c>
    </row>
    <row r="928">
      <c r="K928">
        <f>IF(J928="v4.0",L928,IF(J928="v3.1",M928,IF(J928="Both",L928,IF(AND(L928&lt;&gt;"",M928=""),L928,M928))))</f>
        <v/>
      </c>
      <c r="AC928">
        <f>IF(AB928&lt;&gt;"",CHOOSE(MATCH(AB928,{"Low","Medium","High","Critical"},0),25,50,75,100),"")</f>
        <v/>
      </c>
    </row>
    <row r="929">
      <c r="K929">
        <f>IF(J929="v4.0",L929,IF(J929="v3.1",M929,IF(J929="Both",L929,IF(AND(L929&lt;&gt;"",M929=""),L929,M929))))</f>
        <v/>
      </c>
      <c r="AC929">
        <f>IF(AB929&lt;&gt;"",CHOOSE(MATCH(AB929,{"Low","Medium","High","Critical"},0),25,50,75,100),"")</f>
        <v/>
      </c>
    </row>
    <row r="930">
      <c r="K930">
        <f>IF(J930="v4.0",L930,IF(J930="v3.1",M930,IF(J930="Both",L930,IF(AND(L930&lt;&gt;"",M930=""),L930,M930))))</f>
        <v/>
      </c>
      <c r="AC930">
        <f>IF(AB930&lt;&gt;"",CHOOSE(MATCH(AB930,{"Low","Medium","High","Critical"},0),25,50,75,100),"")</f>
        <v/>
      </c>
    </row>
    <row r="931">
      <c r="K931">
        <f>IF(J931="v4.0",L931,IF(J931="v3.1",M931,IF(J931="Both",L931,IF(AND(L931&lt;&gt;"",M931=""),L931,M931))))</f>
        <v/>
      </c>
      <c r="AC931">
        <f>IF(AB931&lt;&gt;"",CHOOSE(MATCH(AB931,{"Low","Medium","High","Critical"},0),25,50,75,100),"")</f>
        <v/>
      </c>
    </row>
    <row r="932">
      <c r="K932">
        <f>IF(J932="v4.0",L932,IF(J932="v3.1",M932,IF(J932="Both",L932,IF(AND(L932&lt;&gt;"",M932=""),L932,M932))))</f>
        <v/>
      </c>
      <c r="AC932">
        <f>IF(AB932&lt;&gt;"",CHOOSE(MATCH(AB932,{"Low","Medium","High","Critical"},0),25,50,75,100),"")</f>
        <v/>
      </c>
    </row>
    <row r="933">
      <c r="K933">
        <f>IF(J933="v4.0",L933,IF(J933="v3.1",M933,IF(J933="Both",L933,IF(AND(L933&lt;&gt;"",M933=""),L933,M933))))</f>
        <v/>
      </c>
      <c r="AC933">
        <f>IF(AB933&lt;&gt;"",CHOOSE(MATCH(AB933,{"Low","Medium","High","Critical"},0),25,50,75,100),"")</f>
        <v/>
      </c>
    </row>
    <row r="934">
      <c r="K934">
        <f>IF(J934="v4.0",L934,IF(J934="v3.1",M934,IF(J934="Both",L934,IF(AND(L934&lt;&gt;"",M934=""),L934,M934))))</f>
        <v/>
      </c>
      <c r="AC934">
        <f>IF(AB934&lt;&gt;"",CHOOSE(MATCH(AB934,{"Low","Medium","High","Critical"},0),25,50,75,100),"")</f>
        <v/>
      </c>
    </row>
    <row r="935">
      <c r="K935">
        <f>IF(J935="v4.0",L935,IF(J935="v3.1",M935,IF(J935="Both",L935,IF(AND(L935&lt;&gt;"",M935=""),L935,M935))))</f>
        <v/>
      </c>
      <c r="AC935">
        <f>IF(AB935&lt;&gt;"",CHOOSE(MATCH(AB935,{"Low","Medium","High","Critical"},0),25,50,75,100),"")</f>
        <v/>
      </c>
    </row>
    <row r="936">
      <c r="K936">
        <f>IF(J936="v4.0",L936,IF(J936="v3.1",M936,IF(J936="Both",L936,IF(AND(L936&lt;&gt;"",M936=""),L936,M936))))</f>
        <v/>
      </c>
      <c r="AC936">
        <f>IF(AB936&lt;&gt;"",CHOOSE(MATCH(AB936,{"Low","Medium","High","Critical"},0),25,50,75,100),"")</f>
        <v/>
      </c>
    </row>
    <row r="937">
      <c r="K937">
        <f>IF(J937="v4.0",L937,IF(J937="v3.1",M937,IF(J937="Both",L937,IF(AND(L937&lt;&gt;"",M937=""),L937,M937))))</f>
        <v/>
      </c>
      <c r="AC937">
        <f>IF(AB937&lt;&gt;"",CHOOSE(MATCH(AB937,{"Low","Medium","High","Critical"},0),25,50,75,100),"")</f>
        <v/>
      </c>
    </row>
    <row r="938">
      <c r="K938">
        <f>IF(J938="v4.0",L938,IF(J938="v3.1",M938,IF(J938="Both",L938,IF(AND(L938&lt;&gt;"",M938=""),L938,M938))))</f>
        <v/>
      </c>
      <c r="AC938">
        <f>IF(AB938&lt;&gt;"",CHOOSE(MATCH(AB938,{"Low","Medium","High","Critical"},0),25,50,75,100),"")</f>
        <v/>
      </c>
    </row>
    <row r="939">
      <c r="K939">
        <f>IF(J939="v4.0",L939,IF(J939="v3.1",M939,IF(J939="Both",L939,IF(AND(L939&lt;&gt;"",M939=""),L939,M939))))</f>
        <v/>
      </c>
      <c r="AC939">
        <f>IF(AB939&lt;&gt;"",CHOOSE(MATCH(AB939,{"Low","Medium","High","Critical"},0),25,50,75,100),"")</f>
        <v/>
      </c>
    </row>
    <row r="940">
      <c r="K940">
        <f>IF(J940="v4.0",L940,IF(J940="v3.1",M940,IF(J940="Both",L940,IF(AND(L940&lt;&gt;"",M940=""),L940,M940))))</f>
        <v/>
      </c>
      <c r="AC940">
        <f>IF(AB940&lt;&gt;"",CHOOSE(MATCH(AB940,{"Low","Medium","High","Critical"},0),25,50,75,100),"")</f>
        <v/>
      </c>
    </row>
    <row r="941">
      <c r="K941">
        <f>IF(J941="v4.0",L941,IF(J941="v3.1",M941,IF(J941="Both",L941,IF(AND(L941&lt;&gt;"",M941=""),L941,M941))))</f>
        <v/>
      </c>
      <c r="AC941">
        <f>IF(AB941&lt;&gt;"",CHOOSE(MATCH(AB941,{"Low","Medium","High","Critical"},0),25,50,75,100),"")</f>
        <v/>
      </c>
    </row>
    <row r="942">
      <c r="K942">
        <f>IF(J942="v4.0",L942,IF(J942="v3.1",M942,IF(J942="Both",L942,IF(AND(L942&lt;&gt;"",M942=""),L942,M942))))</f>
        <v/>
      </c>
      <c r="AC942">
        <f>IF(AB942&lt;&gt;"",CHOOSE(MATCH(AB942,{"Low","Medium","High","Critical"},0),25,50,75,100),"")</f>
        <v/>
      </c>
    </row>
    <row r="943">
      <c r="K943">
        <f>IF(J943="v4.0",L943,IF(J943="v3.1",M943,IF(J943="Both",L943,IF(AND(L943&lt;&gt;"",M943=""),L943,M943))))</f>
        <v/>
      </c>
      <c r="AC943">
        <f>IF(AB943&lt;&gt;"",CHOOSE(MATCH(AB943,{"Low","Medium","High","Critical"},0),25,50,75,100),"")</f>
        <v/>
      </c>
    </row>
    <row r="944">
      <c r="K944">
        <f>IF(J944="v4.0",L944,IF(J944="v3.1",M944,IF(J944="Both",L944,IF(AND(L944&lt;&gt;"",M944=""),L944,M944))))</f>
        <v/>
      </c>
      <c r="AC944">
        <f>IF(AB944&lt;&gt;"",CHOOSE(MATCH(AB944,{"Low","Medium","High","Critical"},0),25,50,75,100),"")</f>
        <v/>
      </c>
    </row>
    <row r="945">
      <c r="K945">
        <f>IF(J945="v4.0",L945,IF(J945="v3.1",M945,IF(J945="Both",L945,IF(AND(L945&lt;&gt;"",M945=""),L945,M945))))</f>
        <v/>
      </c>
      <c r="AC945">
        <f>IF(AB945&lt;&gt;"",CHOOSE(MATCH(AB945,{"Low","Medium","High","Critical"},0),25,50,75,100),"")</f>
        <v/>
      </c>
    </row>
    <row r="946">
      <c r="K946">
        <f>IF(J946="v4.0",L946,IF(J946="v3.1",M946,IF(J946="Both",L946,IF(AND(L946&lt;&gt;"",M946=""),L946,M946))))</f>
        <v/>
      </c>
      <c r="AC946">
        <f>IF(AB946&lt;&gt;"",CHOOSE(MATCH(AB946,{"Low","Medium","High","Critical"},0),25,50,75,100),"")</f>
        <v/>
      </c>
    </row>
    <row r="947">
      <c r="K947">
        <f>IF(J947="v4.0",L947,IF(J947="v3.1",M947,IF(J947="Both",L947,IF(AND(L947&lt;&gt;"",M947=""),L947,M947))))</f>
        <v/>
      </c>
      <c r="AC947">
        <f>IF(AB947&lt;&gt;"",CHOOSE(MATCH(AB947,{"Low","Medium","High","Critical"},0),25,50,75,100),"")</f>
        <v/>
      </c>
    </row>
    <row r="948">
      <c r="K948">
        <f>IF(J948="v4.0",L948,IF(J948="v3.1",M948,IF(J948="Both",L948,IF(AND(L948&lt;&gt;"",M948=""),L948,M948))))</f>
        <v/>
      </c>
      <c r="AC948">
        <f>IF(AB948&lt;&gt;"",CHOOSE(MATCH(AB948,{"Low","Medium","High","Critical"},0),25,50,75,100),"")</f>
        <v/>
      </c>
    </row>
    <row r="949">
      <c r="K949">
        <f>IF(J949="v4.0",L949,IF(J949="v3.1",M949,IF(J949="Both",L949,IF(AND(L949&lt;&gt;"",M949=""),L949,M949))))</f>
        <v/>
      </c>
      <c r="AC949">
        <f>IF(AB949&lt;&gt;"",CHOOSE(MATCH(AB949,{"Low","Medium","High","Critical"},0),25,50,75,100),"")</f>
        <v/>
      </c>
    </row>
    <row r="950">
      <c r="K950">
        <f>IF(J950="v4.0",L950,IF(J950="v3.1",M950,IF(J950="Both",L950,IF(AND(L950&lt;&gt;"",M950=""),L950,M950))))</f>
        <v/>
      </c>
      <c r="AC950">
        <f>IF(AB950&lt;&gt;"",CHOOSE(MATCH(AB950,{"Low","Medium","High","Critical"},0),25,50,75,100),"")</f>
        <v/>
      </c>
    </row>
    <row r="951">
      <c r="K951">
        <f>IF(J951="v4.0",L951,IF(J951="v3.1",M951,IF(J951="Both",L951,IF(AND(L951&lt;&gt;"",M951=""),L951,M951))))</f>
        <v/>
      </c>
      <c r="AC951">
        <f>IF(AB951&lt;&gt;"",CHOOSE(MATCH(AB951,{"Low","Medium","High","Critical"},0),25,50,75,100),"")</f>
        <v/>
      </c>
    </row>
    <row r="952">
      <c r="K952">
        <f>IF(J952="v4.0",L952,IF(J952="v3.1",M952,IF(J952="Both",L952,IF(AND(L952&lt;&gt;"",M952=""),L952,M952))))</f>
        <v/>
      </c>
      <c r="AC952">
        <f>IF(AB952&lt;&gt;"",CHOOSE(MATCH(AB952,{"Low","Medium","High","Critical"},0),25,50,75,100),"")</f>
        <v/>
      </c>
    </row>
    <row r="953">
      <c r="K953">
        <f>IF(J953="v4.0",L953,IF(J953="v3.1",M953,IF(J953="Both",L953,IF(AND(L953&lt;&gt;"",M953=""),L953,M953))))</f>
        <v/>
      </c>
      <c r="AC953">
        <f>IF(AB953&lt;&gt;"",CHOOSE(MATCH(AB953,{"Low","Medium","High","Critical"},0),25,50,75,100),"")</f>
        <v/>
      </c>
    </row>
    <row r="954">
      <c r="K954">
        <f>IF(J954="v4.0",L954,IF(J954="v3.1",M954,IF(J954="Both",L954,IF(AND(L954&lt;&gt;"",M954=""),L954,M954))))</f>
        <v/>
      </c>
      <c r="AC954">
        <f>IF(AB954&lt;&gt;"",CHOOSE(MATCH(AB954,{"Low","Medium","High","Critical"},0),25,50,75,100),"")</f>
        <v/>
      </c>
    </row>
    <row r="955">
      <c r="K955">
        <f>IF(J955="v4.0",L955,IF(J955="v3.1",M955,IF(J955="Both",L955,IF(AND(L955&lt;&gt;"",M955=""),L955,M955))))</f>
        <v/>
      </c>
      <c r="AC955">
        <f>IF(AB955&lt;&gt;"",CHOOSE(MATCH(AB955,{"Low","Medium","High","Critical"},0),25,50,75,100),"")</f>
        <v/>
      </c>
    </row>
    <row r="956">
      <c r="K956">
        <f>IF(J956="v4.0",L956,IF(J956="v3.1",M956,IF(J956="Both",L956,IF(AND(L956&lt;&gt;"",M956=""),L956,M956))))</f>
        <v/>
      </c>
      <c r="AC956">
        <f>IF(AB956&lt;&gt;"",CHOOSE(MATCH(AB956,{"Low","Medium","High","Critical"},0),25,50,75,100),"")</f>
        <v/>
      </c>
    </row>
    <row r="957">
      <c r="K957">
        <f>IF(J957="v4.0",L957,IF(J957="v3.1",M957,IF(J957="Both",L957,IF(AND(L957&lt;&gt;"",M957=""),L957,M957))))</f>
        <v/>
      </c>
      <c r="AC957">
        <f>IF(AB957&lt;&gt;"",CHOOSE(MATCH(AB957,{"Low","Medium","High","Critical"},0),25,50,75,100),"")</f>
        <v/>
      </c>
    </row>
    <row r="958">
      <c r="K958">
        <f>IF(J958="v4.0",L958,IF(J958="v3.1",M958,IF(J958="Both",L958,IF(AND(L958&lt;&gt;"",M958=""),L958,M958))))</f>
        <v/>
      </c>
      <c r="AC958">
        <f>IF(AB958&lt;&gt;"",CHOOSE(MATCH(AB958,{"Low","Medium","High","Critical"},0),25,50,75,100),"")</f>
        <v/>
      </c>
    </row>
    <row r="959">
      <c r="K959">
        <f>IF(J959="v4.0",L959,IF(J959="v3.1",M959,IF(J959="Both",L959,IF(AND(L959&lt;&gt;"",M959=""),L959,M959))))</f>
        <v/>
      </c>
      <c r="AC959">
        <f>IF(AB959&lt;&gt;"",CHOOSE(MATCH(AB959,{"Low","Medium","High","Critical"},0),25,50,75,100),"")</f>
        <v/>
      </c>
    </row>
    <row r="960">
      <c r="K960">
        <f>IF(J960="v4.0",L960,IF(J960="v3.1",M960,IF(J960="Both",L960,IF(AND(L960&lt;&gt;"",M960=""),L960,M960))))</f>
        <v/>
      </c>
      <c r="AC960">
        <f>IF(AB960&lt;&gt;"",CHOOSE(MATCH(AB960,{"Low","Medium","High","Critical"},0),25,50,75,100),"")</f>
        <v/>
      </c>
    </row>
    <row r="961">
      <c r="K961">
        <f>IF(J961="v4.0",L961,IF(J961="v3.1",M961,IF(J961="Both",L961,IF(AND(L961&lt;&gt;"",M961=""),L961,M961))))</f>
        <v/>
      </c>
      <c r="AC961">
        <f>IF(AB961&lt;&gt;"",CHOOSE(MATCH(AB961,{"Low","Medium","High","Critical"},0),25,50,75,100),"")</f>
        <v/>
      </c>
    </row>
    <row r="962">
      <c r="K962">
        <f>IF(J962="v4.0",L962,IF(J962="v3.1",M962,IF(J962="Both",L962,IF(AND(L962&lt;&gt;"",M962=""),L962,M962))))</f>
        <v/>
      </c>
      <c r="AC962">
        <f>IF(AB962&lt;&gt;"",CHOOSE(MATCH(AB962,{"Low","Medium","High","Critical"},0),25,50,75,100),"")</f>
        <v/>
      </c>
    </row>
    <row r="963">
      <c r="K963">
        <f>IF(J963="v4.0",L963,IF(J963="v3.1",M963,IF(J963="Both",L963,IF(AND(L963&lt;&gt;"",M963=""),L963,M963))))</f>
        <v/>
      </c>
      <c r="AC963">
        <f>IF(AB963&lt;&gt;"",CHOOSE(MATCH(AB963,{"Low","Medium","High","Critical"},0),25,50,75,100),"")</f>
        <v/>
      </c>
    </row>
    <row r="964">
      <c r="K964">
        <f>IF(J964="v4.0",L964,IF(J964="v3.1",M964,IF(J964="Both",L964,IF(AND(L964&lt;&gt;"",M964=""),L964,M964))))</f>
        <v/>
      </c>
      <c r="AC964">
        <f>IF(AB964&lt;&gt;"",CHOOSE(MATCH(AB964,{"Low","Medium","High","Critical"},0),25,50,75,100),"")</f>
        <v/>
      </c>
    </row>
    <row r="965">
      <c r="K965">
        <f>IF(J965="v4.0",L965,IF(J965="v3.1",M965,IF(J965="Both",L965,IF(AND(L965&lt;&gt;"",M965=""),L965,M965))))</f>
        <v/>
      </c>
      <c r="AC965">
        <f>IF(AB965&lt;&gt;"",CHOOSE(MATCH(AB965,{"Low","Medium","High","Critical"},0),25,50,75,100),"")</f>
        <v/>
      </c>
    </row>
    <row r="966">
      <c r="K966">
        <f>IF(J966="v4.0",L966,IF(J966="v3.1",M966,IF(J966="Both",L966,IF(AND(L966&lt;&gt;"",M966=""),L966,M966))))</f>
        <v/>
      </c>
      <c r="AC966">
        <f>IF(AB966&lt;&gt;"",CHOOSE(MATCH(AB966,{"Low","Medium","High","Critical"},0),25,50,75,100),"")</f>
        <v/>
      </c>
    </row>
    <row r="967">
      <c r="K967">
        <f>IF(J967="v4.0",L967,IF(J967="v3.1",M967,IF(J967="Both",L967,IF(AND(L967&lt;&gt;"",M967=""),L967,M967))))</f>
        <v/>
      </c>
      <c r="AC967">
        <f>IF(AB967&lt;&gt;"",CHOOSE(MATCH(AB967,{"Low","Medium","High","Critical"},0),25,50,75,100),"")</f>
        <v/>
      </c>
    </row>
    <row r="968">
      <c r="K968">
        <f>IF(J968="v4.0",L968,IF(J968="v3.1",M968,IF(J968="Both",L968,IF(AND(L968&lt;&gt;"",M968=""),L968,M968))))</f>
        <v/>
      </c>
      <c r="AC968">
        <f>IF(AB968&lt;&gt;"",CHOOSE(MATCH(AB968,{"Low","Medium","High","Critical"},0),25,50,75,100),"")</f>
        <v/>
      </c>
    </row>
    <row r="969">
      <c r="K969">
        <f>IF(J969="v4.0",L969,IF(J969="v3.1",M969,IF(J969="Both",L969,IF(AND(L969&lt;&gt;"",M969=""),L969,M969))))</f>
        <v/>
      </c>
      <c r="AC969">
        <f>IF(AB969&lt;&gt;"",CHOOSE(MATCH(AB969,{"Low","Medium","High","Critical"},0),25,50,75,100),"")</f>
        <v/>
      </c>
    </row>
    <row r="970">
      <c r="K970">
        <f>IF(J970="v4.0",L970,IF(J970="v3.1",M970,IF(J970="Both",L970,IF(AND(L970&lt;&gt;"",M970=""),L970,M970))))</f>
        <v/>
      </c>
      <c r="AC970">
        <f>IF(AB970&lt;&gt;"",CHOOSE(MATCH(AB970,{"Low","Medium","High","Critical"},0),25,50,75,100),"")</f>
        <v/>
      </c>
    </row>
    <row r="971">
      <c r="K971">
        <f>IF(J971="v4.0",L971,IF(J971="v3.1",M971,IF(J971="Both",L971,IF(AND(L971&lt;&gt;"",M971=""),L971,M971))))</f>
        <v/>
      </c>
      <c r="AC971">
        <f>IF(AB971&lt;&gt;"",CHOOSE(MATCH(AB971,{"Low","Medium","High","Critical"},0),25,50,75,100),"")</f>
        <v/>
      </c>
    </row>
    <row r="972">
      <c r="K972">
        <f>IF(J972="v4.0",L972,IF(J972="v3.1",M972,IF(J972="Both",L972,IF(AND(L972&lt;&gt;"",M972=""),L972,M972))))</f>
        <v/>
      </c>
      <c r="AC972">
        <f>IF(AB972&lt;&gt;"",CHOOSE(MATCH(AB972,{"Low","Medium","High","Critical"},0),25,50,75,100),"")</f>
        <v/>
      </c>
    </row>
    <row r="973">
      <c r="K973">
        <f>IF(J973="v4.0",L973,IF(J973="v3.1",M973,IF(J973="Both",L973,IF(AND(L973&lt;&gt;"",M973=""),L973,M973))))</f>
        <v/>
      </c>
      <c r="AC973">
        <f>IF(AB973&lt;&gt;"",CHOOSE(MATCH(AB973,{"Low","Medium","High","Critical"},0),25,50,75,100),"")</f>
        <v/>
      </c>
    </row>
    <row r="974">
      <c r="K974">
        <f>IF(J974="v4.0",L974,IF(J974="v3.1",M974,IF(J974="Both",L974,IF(AND(L974&lt;&gt;"",M974=""),L974,M974))))</f>
        <v/>
      </c>
      <c r="AC974">
        <f>IF(AB974&lt;&gt;"",CHOOSE(MATCH(AB974,{"Low","Medium","High","Critical"},0),25,50,75,100),"")</f>
        <v/>
      </c>
    </row>
    <row r="975">
      <c r="K975">
        <f>IF(J975="v4.0",L975,IF(J975="v3.1",M975,IF(J975="Both",L975,IF(AND(L975&lt;&gt;"",M975=""),L975,M975))))</f>
        <v/>
      </c>
      <c r="AC975">
        <f>IF(AB975&lt;&gt;"",CHOOSE(MATCH(AB975,{"Low","Medium","High","Critical"},0),25,50,75,100),"")</f>
        <v/>
      </c>
    </row>
    <row r="976">
      <c r="K976">
        <f>IF(J976="v4.0",L976,IF(J976="v3.1",M976,IF(J976="Both",L976,IF(AND(L976&lt;&gt;"",M976=""),L976,M976))))</f>
        <v/>
      </c>
      <c r="AC976">
        <f>IF(AB976&lt;&gt;"",CHOOSE(MATCH(AB976,{"Low","Medium","High","Critical"},0),25,50,75,100),"")</f>
        <v/>
      </c>
    </row>
    <row r="977">
      <c r="K977">
        <f>IF(J977="v4.0",L977,IF(J977="v3.1",M977,IF(J977="Both",L977,IF(AND(L977&lt;&gt;"",M977=""),L977,M977))))</f>
        <v/>
      </c>
      <c r="AC977">
        <f>IF(AB977&lt;&gt;"",CHOOSE(MATCH(AB977,{"Low","Medium","High","Critical"},0),25,50,75,100),"")</f>
        <v/>
      </c>
    </row>
    <row r="978">
      <c r="K978">
        <f>IF(J978="v4.0",L978,IF(J978="v3.1",M978,IF(J978="Both",L978,IF(AND(L978&lt;&gt;"",M978=""),L978,M978))))</f>
        <v/>
      </c>
      <c r="AC978">
        <f>IF(AB978&lt;&gt;"",CHOOSE(MATCH(AB978,{"Low","Medium","High","Critical"},0),25,50,75,100),"")</f>
        <v/>
      </c>
    </row>
    <row r="979">
      <c r="K979">
        <f>IF(J979="v4.0",L979,IF(J979="v3.1",M979,IF(J979="Both",L979,IF(AND(L979&lt;&gt;"",M979=""),L979,M979))))</f>
        <v/>
      </c>
      <c r="AC979">
        <f>IF(AB979&lt;&gt;"",CHOOSE(MATCH(AB979,{"Low","Medium","High","Critical"},0),25,50,75,100),"")</f>
        <v/>
      </c>
    </row>
    <row r="980">
      <c r="K980">
        <f>IF(J980="v4.0",L980,IF(J980="v3.1",M980,IF(J980="Both",L980,IF(AND(L980&lt;&gt;"",M980=""),L980,M980))))</f>
        <v/>
      </c>
      <c r="AC980">
        <f>IF(AB980&lt;&gt;"",CHOOSE(MATCH(AB980,{"Low","Medium","High","Critical"},0),25,50,75,100),"")</f>
        <v/>
      </c>
    </row>
    <row r="981">
      <c r="K981">
        <f>IF(J981="v4.0",L981,IF(J981="v3.1",M981,IF(J981="Both",L981,IF(AND(L981&lt;&gt;"",M981=""),L981,M981))))</f>
        <v/>
      </c>
      <c r="AC981">
        <f>IF(AB981&lt;&gt;"",CHOOSE(MATCH(AB981,{"Low","Medium","High","Critical"},0),25,50,75,100),"")</f>
        <v/>
      </c>
    </row>
    <row r="982">
      <c r="K982">
        <f>IF(J982="v4.0",L982,IF(J982="v3.1",M982,IF(J982="Both",L982,IF(AND(L982&lt;&gt;"",M982=""),L982,M982))))</f>
        <v/>
      </c>
      <c r="AC982">
        <f>IF(AB982&lt;&gt;"",CHOOSE(MATCH(AB982,{"Low","Medium","High","Critical"},0),25,50,75,100),"")</f>
        <v/>
      </c>
    </row>
    <row r="983">
      <c r="K983">
        <f>IF(J983="v4.0",L983,IF(J983="v3.1",M983,IF(J983="Both",L983,IF(AND(L983&lt;&gt;"",M983=""),L983,M983))))</f>
        <v/>
      </c>
      <c r="AC983">
        <f>IF(AB983&lt;&gt;"",CHOOSE(MATCH(AB983,{"Low","Medium","High","Critical"},0),25,50,75,100),"")</f>
        <v/>
      </c>
    </row>
    <row r="984">
      <c r="K984">
        <f>IF(J984="v4.0",L984,IF(J984="v3.1",M984,IF(J984="Both",L984,IF(AND(L984&lt;&gt;"",M984=""),L984,M984))))</f>
        <v/>
      </c>
      <c r="AC984">
        <f>IF(AB984&lt;&gt;"",CHOOSE(MATCH(AB984,{"Low","Medium","High","Critical"},0),25,50,75,100),"")</f>
        <v/>
      </c>
    </row>
    <row r="985">
      <c r="K985">
        <f>IF(J985="v4.0",L985,IF(J985="v3.1",M985,IF(J985="Both",L985,IF(AND(L985&lt;&gt;"",M985=""),L985,M985))))</f>
        <v/>
      </c>
      <c r="AC985">
        <f>IF(AB985&lt;&gt;"",CHOOSE(MATCH(AB985,{"Low","Medium","High","Critical"},0),25,50,75,100),"")</f>
        <v/>
      </c>
    </row>
    <row r="986">
      <c r="K986">
        <f>IF(J986="v4.0",L986,IF(J986="v3.1",M986,IF(J986="Both",L986,IF(AND(L986&lt;&gt;"",M986=""),L986,M986))))</f>
        <v/>
      </c>
      <c r="AC986">
        <f>IF(AB986&lt;&gt;"",CHOOSE(MATCH(AB986,{"Low","Medium","High","Critical"},0),25,50,75,100),"")</f>
        <v/>
      </c>
    </row>
    <row r="987">
      <c r="K987">
        <f>IF(J987="v4.0",L987,IF(J987="v3.1",M987,IF(J987="Both",L987,IF(AND(L987&lt;&gt;"",M987=""),L987,M987))))</f>
        <v/>
      </c>
      <c r="AC987">
        <f>IF(AB987&lt;&gt;"",CHOOSE(MATCH(AB987,{"Low","Medium","High","Critical"},0),25,50,75,100),"")</f>
        <v/>
      </c>
    </row>
    <row r="988">
      <c r="K988">
        <f>IF(J988="v4.0",L988,IF(J988="v3.1",M988,IF(J988="Both",L988,IF(AND(L988&lt;&gt;"",M988=""),L988,M988))))</f>
        <v/>
      </c>
      <c r="AC988">
        <f>IF(AB988&lt;&gt;"",CHOOSE(MATCH(AB988,{"Low","Medium","High","Critical"},0),25,50,75,100),"")</f>
        <v/>
      </c>
    </row>
    <row r="989">
      <c r="K989">
        <f>IF(J989="v4.0",L989,IF(J989="v3.1",M989,IF(J989="Both",L989,IF(AND(L989&lt;&gt;"",M989=""),L989,M989))))</f>
        <v/>
      </c>
      <c r="AC989">
        <f>IF(AB989&lt;&gt;"",CHOOSE(MATCH(AB989,{"Low","Medium","High","Critical"},0),25,50,75,100),"")</f>
        <v/>
      </c>
    </row>
    <row r="990">
      <c r="K990">
        <f>IF(J990="v4.0",L990,IF(J990="v3.1",M990,IF(J990="Both",L990,IF(AND(L990&lt;&gt;"",M990=""),L990,M990))))</f>
        <v/>
      </c>
      <c r="AC990">
        <f>IF(AB990&lt;&gt;"",CHOOSE(MATCH(AB990,{"Low","Medium","High","Critical"},0),25,50,75,100),"")</f>
        <v/>
      </c>
    </row>
    <row r="991">
      <c r="K991">
        <f>IF(J991="v4.0",L991,IF(J991="v3.1",M991,IF(J991="Both",L991,IF(AND(L991&lt;&gt;"",M991=""),L991,M991))))</f>
        <v/>
      </c>
      <c r="AC991">
        <f>IF(AB991&lt;&gt;"",CHOOSE(MATCH(AB991,{"Low","Medium","High","Critical"},0),25,50,75,100),"")</f>
        <v/>
      </c>
    </row>
    <row r="992">
      <c r="K992">
        <f>IF(J992="v4.0",L992,IF(J992="v3.1",M992,IF(J992="Both",L992,IF(AND(L992&lt;&gt;"",M992=""),L992,M992))))</f>
        <v/>
      </c>
      <c r="AC992">
        <f>IF(AB992&lt;&gt;"",CHOOSE(MATCH(AB992,{"Low","Medium","High","Critical"},0),25,50,75,100),"")</f>
        <v/>
      </c>
    </row>
    <row r="993">
      <c r="K993">
        <f>IF(J993="v4.0",L993,IF(J993="v3.1",M993,IF(J993="Both",L993,IF(AND(L993&lt;&gt;"",M993=""),L993,M993))))</f>
        <v/>
      </c>
      <c r="AC993">
        <f>IF(AB993&lt;&gt;"",CHOOSE(MATCH(AB993,{"Low","Medium","High","Critical"},0),25,50,75,100),"")</f>
        <v/>
      </c>
    </row>
    <row r="994">
      <c r="K994">
        <f>IF(J994="v4.0",L994,IF(J994="v3.1",M994,IF(J994="Both",L994,IF(AND(L994&lt;&gt;"",M994=""),L994,M994))))</f>
        <v/>
      </c>
      <c r="AC994">
        <f>IF(AB994&lt;&gt;"",CHOOSE(MATCH(AB994,{"Low","Medium","High","Critical"},0),25,50,75,100),"")</f>
        <v/>
      </c>
    </row>
    <row r="995">
      <c r="K995">
        <f>IF(J995="v4.0",L995,IF(J995="v3.1",M995,IF(J995="Both",L995,IF(AND(L995&lt;&gt;"",M995=""),L995,M995))))</f>
        <v/>
      </c>
      <c r="AC995">
        <f>IF(AB995&lt;&gt;"",CHOOSE(MATCH(AB995,{"Low","Medium","High","Critical"},0),25,50,75,100),"")</f>
        <v/>
      </c>
    </row>
    <row r="996">
      <c r="K996">
        <f>IF(J996="v4.0",L996,IF(J996="v3.1",M996,IF(J996="Both",L996,IF(AND(L996&lt;&gt;"",M996=""),L996,M996))))</f>
        <v/>
      </c>
      <c r="AC996">
        <f>IF(AB996&lt;&gt;"",CHOOSE(MATCH(AB996,{"Low","Medium","High","Critical"},0),25,50,75,100),"")</f>
        <v/>
      </c>
    </row>
    <row r="997">
      <c r="K997">
        <f>IF(J997="v4.0",L997,IF(J997="v3.1",M997,IF(J997="Both",L997,IF(AND(L997&lt;&gt;"",M997=""),L997,M997))))</f>
        <v/>
      </c>
      <c r="AC997">
        <f>IF(AB997&lt;&gt;"",CHOOSE(MATCH(AB997,{"Low","Medium","High","Critical"},0),25,50,75,100),"")</f>
        <v/>
      </c>
    </row>
    <row r="998">
      <c r="K998">
        <f>IF(J998="v4.0",L998,IF(J998="v3.1",M998,IF(J998="Both",L998,IF(AND(L998&lt;&gt;"",M998=""),L998,M998))))</f>
        <v/>
      </c>
      <c r="AC998">
        <f>IF(AB998&lt;&gt;"",CHOOSE(MATCH(AB998,{"Low","Medium","High","Critical"},0),25,50,75,100),"")</f>
        <v/>
      </c>
    </row>
    <row r="999">
      <c r="K999">
        <f>IF(J999="v4.0",L999,IF(J999="v3.1",M999,IF(J999="Both",L999,IF(AND(L999&lt;&gt;"",M999=""),L999,M999))))</f>
        <v/>
      </c>
      <c r="AC999">
        <f>IF(AB999&lt;&gt;"",CHOOSE(MATCH(AB999,{"Low","Medium","High","Critical"},0),25,50,75,100),"")</f>
        <v/>
      </c>
    </row>
    <row r="1000">
      <c r="K1000">
        <f>IF(J1000="v4.0",L1000,IF(J1000="v3.1",M1000,IF(J1000="Both",L1000,IF(AND(L1000&lt;&gt;"",M1000=""),L1000,M1000))))</f>
        <v/>
      </c>
      <c r="AC1000">
        <f>IF(AB1000&lt;&gt;"",CHOOSE(MATCH(AB1000,{"Low","Medium","High","Critical"},0),25,50,75,100),"")</f>
        <v/>
      </c>
    </row>
  </sheetData>
  <conditionalFormatting sqref="A2:AS1000">
    <cfRule type="expression" priority="1" dxfId="0">
      <formula>OR($T2="P0",$T2="P1")</formula>
    </cfRule>
    <cfRule type="expression" priority="2" dxfId="1">
      <formula>$AB2="Critical"</formula>
    </cfRule>
    <cfRule type="expression" priority="5" dxfId="2">
      <formula>AND($Q2="P",$K2&gt;=7.0)</formula>
    </cfRule>
    <cfRule type="expression" priority="7" dxfId="3">
      <formula>$AK2="Expired"</formula>
    </cfRule>
  </conditionalFormatting>
  <conditionalFormatting sqref="AB2:AB1000">
    <cfRule type="cellIs" priority="3" operator="equal" dxfId="4">
      <formula>"High"</formula>
    </cfRule>
  </conditionalFormatting>
  <conditionalFormatting sqref="P2:P1000">
    <cfRule type="cellIs" priority="4" operator="equal" dxfId="1">
      <formula>"Y"</formula>
    </cfRule>
  </conditionalFormatting>
  <conditionalFormatting sqref="AK2:AK1000">
    <cfRule type="cellIs" priority="6" operator="equal" dxfId="5">
      <formula>"Pending"</formula>
    </cfRule>
  </conditionalFormatting>
  <conditionalFormatting sqref="AL2:AL1000">
    <cfRule type="cellIs" priority="8" operator="equal" dxfId="6">
      <formula>"Permanent"</formula>
    </cfRule>
  </conditionalFormatting>
  <dataValidations count="15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type="list">
      <formula1>"v4.0,v3.1,Both,Unknown"</formula1>
    </dataValidation>
    <dataValidation sqref="L2:L1000" showDropDown="0" showInputMessage="0" showErrorMessage="0" allowBlank="1" type="decimal" operator="between">
      <formula1>0.0</formula1>
      <formula2>10.0</formula2>
    </dataValidation>
    <dataValidation sqref="M2:M1000" showDropDown="0" showInputMessage="0" showErrorMessage="0" allowBlank="1" type="decimal" operator="between">
      <formula1>0.0</formula1>
      <formula2>10.0</formula2>
    </dataValidation>
    <dataValidation sqref="P2:P1000" showDropDown="0" showInputMessage="0" showErrorMessage="0" allowBlank="0" type="list">
      <formula1>"Y,N,X,N/A"</formula1>
    </dataValidation>
    <dataValidation sqref="Q2:Q1000" showDropDown="0" showInputMessage="0" showErrorMessage="0" allowBlank="0" type="list">
      <formula1>"P,N,X,N/A"</formula1>
    </dataValidation>
    <dataValidation sqref="R2:R1000" showDropDown="0" showInputMessage="0" showErrorMessage="0" allowBlank="0" type="list">
      <formula1>"NVD,Vendor,Scanner,Manual"</formula1>
    </dataValidation>
    <dataValidation sqref="U2:U1000" showDropDown="0" showInputMessage="0" showErrorMessage="0" allowBlank="0" type="list">
      <formula1>"EOL System,Business Critical,Cost Prohibitive,Vendor Abandoned,Architectural Constraint,No Alternative Available,Other"</formula1>
    </dataValidation>
    <dataValidation sqref="AA2:AA1000 AB2:AB1000" showDropDown="0" showInputMessage="0" showErrorMessage="0" allowBlank="0" type="list">
      <formula1>"Critical,High,Medium,Low"</formula1>
    </dataValidation>
    <dataValidation sqref="AI2:AI1000" showDropDown="0" showInputMessage="0" showErrorMessage="0" allowBlank="0" type="list">
      <formula1>"CISO,CISO + Board,CISO + CFO"</formula1>
    </dataValidation>
    <dataValidation sqref="AK2:AK1000" showDropDown="0" showInputMessage="0" showErrorMessage="0" allowBlank="0" type="list">
      <formula1>"Pending,Approved,Rejected,Expired"</formula1>
    </dataValidation>
    <dataValidation sqref="AL2:AL1000" showDropDown="0" showInputMessage="0" showErrorMessage="0" allowBlank="0" type="list">
      <formula1>"Temporary,Permanent"</formula1>
    </dataValidation>
    <dataValidation sqref="AO2:AO1000" showDropDown="0" showInputMessage="0" showErrorMessage="0" allowBlank="0" type="list">
      <formula1>"Quarterly,Semi-Annual,Annual"</formula1>
    </dataValidation>
    <dataValidation sqref="AP2:AP1000" showDropDown="0" showInputMessage="0" showErrorMessage="0" allowBlank="0" type="list">
      <formula1>"Active,Pending Approval,Expired,Closed,Rejected"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6" customWidth="1" min="5" max="5"/>
    <col width="20" customWidth="1" min="6" max="6"/>
    <col width="14" customWidth="1" min="7" max="7"/>
    <col width="18" customWidth="1" min="8" max="8"/>
    <col width="80" customWidth="1" min="9" max="9"/>
    <col width="80" customWidth="1" min="10" max="10"/>
    <col width="20" customWidth="1" min="11" max="11"/>
    <col width="14" customWidth="1" min="12" max="12"/>
    <col width="14" customWidth="1" min="13" max="13"/>
  </cols>
  <sheetData>
    <row r="1">
      <c r="A1" s="4" t="inlineStr">
        <is>
          <t>Workflow_ID</t>
        </is>
      </c>
      <c r="B1" s="4" t="inlineStr">
        <is>
          <t>Exception_ID</t>
        </is>
      </c>
      <c r="C1" s="4" t="inlineStr">
        <is>
          <t>Submission_Date</t>
        </is>
      </c>
      <c r="D1" s="4" t="inlineStr">
        <is>
          <t>Submitted_By</t>
        </is>
      </c>
      <c r="E1" s="4" t="inlineStr">
        <is>
          <t>Approval_Level</t>
        </is>
      </c>
      <c r="F1" s="4" t="inlineStr">
        <is>
          <t>Approver_Name</t>
        </is>
      </c>
      <c r="G1" s="4" t="inlineStr">
        <is>
          <t>Decision</t>
        </is>
      </c>
      <c r="H1" s="4" t="inlineStr">
        <is>
          <t>Decision_Date</t>
        </is>
      </c>
      <c r="I1" s="4" t="inlineStr">
        <is>
          <t>Decision_Notes</t>
        </is>
      </c>
      <c r="J1" s="4" t="inlineStr">
        <is>
          <t>Conditions</t>
        </is>
      </c>
      <c r="K1" s="4" t="inlineStr">
        <is>
          <t>Next_Approver</t>
        </is>
      </c>
      <c r="L1" s="4" t="inlineStr">
        <is>
          <t>Final_Decision</t>
        </is>
      </c>
      <c r="M1" s="4" t="inlineStr">
        <is>
          <t>Total_Approval_Time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2" customWidth="1" min="6" max="6"/>
    <col width="14" customWidth="1" min="7" max="7"/>
    <col width="80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80" customWidth="1" min="14" max="14"/>
    <col width="14" customWidth="1" min="15" max="15"/>
    <col width="30" customWidth="1" min="16" max="16"/>
  </cols>
  <sheetData>
    <row r="1">
      <c r="A1" s="4" t="inlineStr">
        <is>
          <t>Justification_ID</t>
        </is>
      </c>
      <c r="B1" s="4" t="inlineStr">
        <is>
          <t>Exception_ID</t>
        </is>
      </c>
      <c r="C1" s="4" t="inlineStr">
        <is>
          <t>Business_Owner</t>
        </is>
      </c>
      <c r="D1" s="4" t="inlineStr">
        <is>
          <t>System_Criticality</t>
        </is>
      </c>
      <c r="E1" s="4" t="inlineStr">
        <is>
          <t>Revenue_Impact</t>
        </is>
      </c>
      <c r="F1" s="4" t="inlineStr">
        <is>
          <t>User_Count</t>
        </is>
      </c>
      <c r="G1" s="4" t="inlineStr">
        <is>
          <t>Customer_Count</t>
        </is>
      </c>
      <c r="H1" s="4" t="inlineStr">
        <is>
          <t>Remediation_Options</t>
        </is>
      </c>
      <c r="I1" s="4" t="inlineStr">
        <is>
          <t>Option_1_Cost</t>
        </is>
      </c>
      <c r="J1" s="4" t="inlineStr">
        <is>
          <t>Option_1_Timeline</t>
        </is>
      </c>
      <c r="K1" s="4" t="inlineStr">
        <is>
          <t>Option_2_Cost</t>
        </is>
      </c>
      <c r="L1" s="4" t="inlineStr">
        <is>
          <t>Option_2_Timeline</t>
        </is>
      </c>
      <c r="M1" s="4" t="inlineStr">
        <is>
          <t>Recommended_Approach</t>
        </is>
      </c>
      <c r="N1" s="4" t="inlineStr">
        <is>
          <t>Planned_Remediation</t>
        </is>
      </c>
      <c r="O1" s="4" t="inlineStr">
        <is>
          <t>Target_Closure_Date</t>
        </is>
      </c>
      <c r="P1" s="4" t="inlineStr">
        <is>
          <t>Supporting_Documents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60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>
      <c r="A1" s="4" t="inlineStr">
        <is>
          <t>Exception_ID</t>
        </is>
      </c>
      <c r="B1" s="4" t="inlineStr">
        <is>
          <t>Control_ID</t>
        </is>
      </c>
      <c r="C1" s="4" t="inlineStr">
        <is>
          <t>Control_Type</t>
        </is>
      </c>
      <c r="D1" s="4" t="inlineStr">
        <is>
          <t>Control_Description</t>
        </is>
      </c>
      <c r="E1" s="4" t="inlineStr">
        <is>
          <t>Risk_Reduction</t>
        </is>
      </c>
      <c r="F1" s="4" t="inlineStr">
        <is>
          <t>Implementation_Date</t>
        </is>
      </c>
      <c r="G1" s="4" t="inlineStr">
        <is>
          <t>Last_Validation_Date</t>
        </is>
      </c>
      <c r="H1" s="4" t="inlineStr">
        <is>
          <t>Validation_Result</t>
        </is>
      </c>
      <c r="I1" s="4" t="inlineStr">
        <is>
          <t>Effectiveness_Rating</t>
        </is>
      </c>
      <c r="J1" s="4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Review_ID</t>
        </is>
      </c>
      <c r="B1" s="4" t="inlineStr">
        <is>
          <t>Exception_ID</t>
        </is>
      </c>
      <c r="C1" s="4" t="inlineStr">
        <is>
          <t>Review_Date</t>
        </is>
      </c>
      <c r="D1" s="4" t="inlineStr">
        <is>
          <t>Review_Type</t>
        </is>
      </c>
      <c r="E1" s="4" t="inlineStr">
        <is>
          <t>Reviewer</t>
        </is>
      </c>
      <c r="F1" s="4" t="inlineStr">
        <is>
          <t>Days_Since_Approval</t>
        </is>
      </c>
      <c r="G1" s="4" t="inlineStr">
        <is>
          <t>Compensating_Controls_Effective</t>
        </is>
      </c>
      <c r="H1" s="4" t="inlineStr">
        <is>
          <t>Risk_Level_Changed</t>
        </is>
      </c>
      <c r="I1" s="4" t="inlineStr">
        <is>
          <t>New_Risk_Level</t>
        </is>
      </c>
      <c r="J1" s="4" t="inlineStr">
        <is>
          <t>Remediation_Progress</t>
        </is>
      </c>
      <c r="K1" s="4" t="inlineStr">
        <is>
          <t>Review_Decision</t>
        </is>
      </c>
      <c r="L1" s="4" t="inlineStr">
        <is>
          <t>Renewal_Period</t>
        </is>
      </c>
      <c r="M1" s="4" t="inlineStr">
        <is>
          <t>New_Expiration_Date</t>
        </is>
      </c>
      <c r="N1" s="4" t="inlineStr">
        <is>
          <t>Action_Items</t>
        </is>
      </c>
      <c r="O1" s="4" t="inlineStr">
        <is>
          <t>Approved_By</t>
        </is>
      </c>
      <c r="P1" s="4" t="inlineStr">
        <is>
          <t>Next_Review_Date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Renewal_ID</t>
        </is>
      </c>
      <c r="B1" s="4" t="inlineStr">
        <is>
          <t>Exception_ID</t>
        </is>
      </c>
      <c r="C1" s="4" t="inlineStr">
        <is>
          <t>Renewal_Date</t>
        </is>
      </c>
      <c r="D1" s="4" t="inlineStr">
        <is>
          <t>Previous_Expiration</t>
        </is>
      </c>
      <c r="E1" s="4" t="inlineStr">
        <is>
          <t>New_Expiration</t>
        </is>
      </c>
      <c r="F1" s="4" t="inlineStr">
        <is>
          <t>Extension_Days</t>
        </is>
      </c>
      <c r="G1" s="4" t="inlineStr">
        <is>
          <t>Renewal_Count</t>
        </is>
      </c>
      <c r="H1" s="4" t="inlineStr">
        <is>
          <t>Renewal_Reason</t>
        </is>
      </c>
      <c r="I1" s="4" t="inlineStr">
        <is>
          <t>Risk_Reassessment</t>
        </is>
      </c>
      <c r="J1" s="4" t="inlineStr">
        <is>
          <t>Controls_Updated</t>
        </is>
      </c>
      <c r="K1" s="4" t="inlineStr">
        <is>
          <t>Approved_By</t>
        </is>
      </c>
      <c r="L1" s="4" t="inlineStr">
        <is>
          <t>Conditions</t>
        </is>
      </c>
      <c r="M1" s="4" t="inlineStr">
        <is>
          <t>Next_Review_Date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Closure_ID</t>
        </is>
      </c>
      <c r="B1" s="4" t="inlineStr">
        <is>
          <t>Exception_ID</t>
        </is>
      </c>
      <c r="C1" s="4" t="inlineStr">
        <is>
          <t>Closure_Date</t>
        </is>
      </c>
      <c r="D1" s="4" t="inlineStr">
        <is>
          <t>Approval_Date</t>
        </is>
      </c>
      <c r="E1" s="4" t="inlineStr">
        <is>
          <t>Days_Active</t>
        </is>
      </c>
      <c r="F1" s="4" t="inlineStr">
        <is>
          <t>Closure_Reason</t>
        </is>
      </c>
      <c r="G1" s="4" t="inlineStr">
        <is>
          <t>Remediation_Details</t>
        </is>
      </c>
      <c r="H1" s="4" t="inlineStr">
        <is>
          <t>Verification_Method</t>
        </is>
      </c>
      <c r="I1" s="4" t="inlineStr">
        <is>
          <t>Verification_Date</t>
        </is>
      </c>
      <c r="J1" s="4" t="inlineStr">
        <is>
          <t>Verified_By</t>
        </is>
      </c>
      <c r="K1" s="4" t="inlineStr">
        <is>
          <t>Compensating_Controls_Removed</t>
        </is>
      </c>
      <c r="L1" s="4" t="inlineStr">
        <is>
          <t>Lessons_Learned</t>
        </is>
      </c>
      <c r="M1" s="4" t="inlineStr">
        <is>
          <t>Final_Status</t>
        </is>
      </c>
      <c r="N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EXCEPTION MANAGEMENT DASHBOARD</t>
        </is>
      </c>
    </row>
    <row r="3">
      <c r="A3" s="2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</row>
    <row r="6">
      <c r="A6" t="inlineStr">
        <is>
          <t>Total Active Exceptions</t>
        </is>
      </c>
      <c r="B6">
        <f>COUNTA(Exception_Requests!A:A)-1</f>
        <v/>
      </c>
      <c r="C6" t="inlineStr">
        <is>
          <t>&lt;30</t>
        </is>
      </c>
      <c r="D6" t="inlineStr">
        <is>
          <t>[Gauge]</t>
        </is>
      </c>
    </row>
    <row r="7">
      <c r="A7" t="inlineStr">
        <is>
          <t>Critical Residual Risk</t>
        </is>
      </c>
      <c r="B7">
        <f>COUNTIF(Exception_Requests!AB:AB,"Critical")</f>
        <v/>
      </c>
      <c r="C7" t="inlineStr">
        <is>
          <t>0</t>
        </is>
      </c>
      <c r="D7" t="inlineStr">
        <is>
          <t>🔴</t>
        </is>
      </c>
    </row>
    <row r="8">
      <c r="A8" t="inlineStr">
        <is>
          <t>High Residual Risk</t>
        </is>
      </c>
      <c r="B8">
        <f>COUNTIF(Exception_Requests!AB:AB,"High")</f>
        <v/>
      </c>
      <c r="C8" t="inlineStr">
        <is>
          <t>&lt;5</t>
        </is>
      </c>
      <c r="D8" t="inlineStr">
        <is>
          <t>[Gauge]</t>
        </is>
      </c>
    </row>
    <row r="9">
      <c r="A9" t="inlineStr">
        <is>
          <t>Pending Approvals</t>
        </is>
      </c>
      <c r="B9">
        <f>COUNTIF(Exception_Requests!AK:AK,"Pending")</f>
        <v/>
      </c>
      <c r="C9" t="inlineStr">
        <is>
          <t>&lt;10</t>
        </is>
      </c>
      <c r="D9" t="inlineStr">
        <is>
          <t>[Number]</t>
        </is>
      </c>
    </row>
    <row r="10">
      <c r="A10" t="inlineStr">
        <is>
          <t>Expired Exceptions</t>
        </is>
      </c>
      <c r="B10">
        <f>COUNTIF(Exception_Requests!AK:AK,"Expired")</f>
        <v/>
      </c>
      <c r="C10" t="inlineStr">
        <is>
          <t>0</t>
        </is>
      </c>
      <c r="D10" t="inlineStr">
        <is>
          <t>🔴/🟢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2026-02-08T10:50:09Z</dcterms:created>
  <dcterms:modified xmlns:dcterms="http://purl.org/dc/terms/" xmlns:xsi="http://www.w3.org/2001/XMLSchema-instance" xsi:type="dcterms:W3CDTF">2026-02-08T10:50:09Z</dcterms:modified>
</cp:coreProperties>
</file>