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VE_TI_Correlation" sheetId="2" state="visible" r:id="rId2"/>
    <sheet xmlns:r="http://schemas.openxmlformats.org/officeDocument/2006/relationships" name="KEV_Impact_Assessment" sheetId="3" state="visible" r:id="rId3"/>
    <sheet xmlns:r="http://schemas.openxmlformats.org/officeDocument/2006/relationships" name="Active_Exploitation_Tracker" sheetId="4" state="visible" r:id="rId4"/>
    <sheet xmlns:r="http://schemas.openxmlformats.org/officeDocument/2006/relationships" name="Exploit_Availability" sheetId="5" state="visible" r:id="rId5"/>
    <sheet xmlns:r="http://schemas.openxmlformats.org/officeDocument/2006/relationships" name="EPSS_Scoring" sheetId="6" state="visible" r:id="rId6"/>
    <sheet xmlns:r="http://schemas.openxmlformats.org/officeDocument/2006/relationships" name="APT_Campaign_Tracking" sheetId="7" state="visible" r:id="rId7"/>
    <sheet xmlns:r="http://schemas.openxmlformats.org/officeDocument/2006/relationships" name="Emergency_Patching_Queue" sheetId="8" state="visible" r:id="rId8"/>
    <sheet xmlns:r="http://schemas.openxmlformats.org/officeDocument/2006/relationships" name="TI_Effectiveness_Metrics" sheetId="9" state="visible" r:id="rId9"/>
    <sheet xmlns:r="http://schemas.openxmlformats.org/officeDocument/2006/relationships" name="Referenc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b val="1"/>
    </font>
    <font>
      <b val="1"/>
      <sz val="12"/>
    </font>
    <font>
      <b val="1"/>
      <color rgb="00FFFFFF"/>
      <sz val="11"/>
    </font>
    <font>
      <b val="1"/>
      <sz val="11"/>
    </font>
    <font>
      <sz val="10"/>
    </font>
    <font>
      <b val="1"/>
      <color rgb="000000FF"/>
    </font>
    <font>
      <i val="1"/>
      <sz val="9"/>
    </font>
    <font>
      <b val="1"/>
      <color rgb="00FF0000"/>
    </font>
    <font>
      <b val="1"/>
      <color rgb="00003366"/>
      <sz val="14"/>
    </font>
    <font>
      <b val="1"/>
      <color rgb="000000FF"/>
      <sz val="11"/>
    </font>
    <font>
      <i val="1"/>
      <sz val="10"/>
    </font>
    <font>
      <b val="1"/>
      <sz val="14"/>
    </font>
    <font>
      <i val="1"/>
    </font>
    <font>
      <b val="1"/>
      <color rgb="000000FF"/>
      <sz val="12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0" fillId="0" borderId="0" applyAlignment="1" pivotButton="0" quotePrefix="0" xfId="0">
      <alignment wrapText="1"/>
    </xf>
    <xf numFmtId="0" fontId="13" fillId="0" borderId="0" pivotButton="0" quotePrefix="0" xfId="0"/>
    <xf numFmtId="0" fontId="14" fillId="0" borderId="0" pivotButton="0" quotePrefix="0" xfId="0"/>
  </cellXfs>
  <cellStyles count="1">
    <cellStyle name="Normal" xfId="0" builtinId="0" hidden="0"/>
  </cellStyles>
  <dxfs count="5">
    <dxf>
      <font>
        <b val="1"/>
        <color rgb="00FFFFFF"/>
        <sz val="11"/>
      </font>
      <fill>
        <patternFill patternType="solid">
          <fgColor rgb="008B0000"/>
          <bgColor rgb="008B0000"/>
        </patternFill>
      </fill>
    </dxf>
    <dxf>
      <font>
        <b val="1"/>
        <color rgb="00FFFFFF"/>
        <sz val="12"/>
      </font>
      <fill>
        <patternFill patternType="solid">
          <fgColor rgb="00FFC7CE"/>
          <bgColor rgb="00FFC7CE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FA500"/>
          <bgColor rgb="00FFA500"/>
        </patternFill>
      </fill>
    </dxf>
    <dxf>
      <fill>
        <patternFill patternType="solid">
          <fgColor rgb="00FFEB9C"/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5" customWidth="1" min="3" max="3"/>
    <col width="10" customWidth="1" min="4" max="4"/>
  </cols>
  <sheetData>
    <row r="1">
      <c r="A1" s="1" t="inlineStr">
        <is>
          <t>Workbook ID</t>
        </is>
      </c>
      <c r="B1" t="inlineStr">
        <is>
          <t>ISMS-IMP-A.8.8.4</t>
        </is>
      </c>
    </row>
    <row r="2">
      <c r="A2" s="1" t="inlineStr">
        <is>
          <t>Workbook Title</t>
        </is>
      </c>
      <c r="B2" t="inlineStr">
        <is>
          <t>Threat Intelligence Integration</t>
        </is>
      </c>
    </row>
    <row r="3">
      <c r="A3" s="1" t="inlineStr">
        <is>
          <t>Version</t>
        </is>
      </c>
      <c r="B3" t="inlineStr">
        <is>
          <t>1.1</t>
        </is>
      </c>
    </row>
    <row r="4">
      <c r="A4" s="1" t="inlineStr">
        <is>
          <t>Generated Date</t>
        </is>
      </c>
      <c r="B4" t="inlineStr">
        <is>
          <t>2026-02-08 11:50:10</t>
        </is>
      </c>
    </row>
    <row r="5">
      <c r="A5" s="1" t="inlineStr">
        <is>
          <t>Owner</t>
        </is>
      </c>
      <c r="B5" t="inlineStr">
        <is>
          <t>Vulnerability Management Coordinator</t>
        </is>
      </c>
    </row>
    <row r="6">
      <c r="A6" s="1" t="inlineStr">
        <is>
          <t>Review Frequency</t>
        </is>
      </c>
      <c r="B6" t="inlineStr">
        <is>
          <t>Weekly (TI data changes rapidly)</t>
        </is>
      </c>
    </row>
    <row r="7">
      <c r="A7" s="1" t="inlineStr">
        <is>
          <t>Status</t>
        </is>
      </c>
      <c r="B7" t="inlineStr">
        <is>
          <t>Active</t>
        </is>
      </c>
    </row>
    <row r="8">
      <c r="A8" t="inlineStr"/>
      <c r="B8" t="inlineStr"/>
    </row>
    <row r="9">
      <c r="A9" s="1" t="inlineStr">
        <is>
          <t>Architecture</t>
        </is>
      </c>
      <c r="B9" t="inlineStr">
        <is>
          <t>STANDALONE - Manual TI tracking</t>
        </is>
      </c>
    </row>
    <row r="10">
      <c r="A10" s="1" t="inlineStr">
        <is>
          <t>Related Policy</t>
        </is>
      </c>
      <c r="B10" t="inlineStr">
        <is>
          <t>ISMS-POL-A.8.8-S2 v1.1</t>
        </is>
      </c>
    </row>
    <row r="11">
      <c r="A11" s="1" t="inlineStr">
        <is>
          <t>ISO Control</t>
        </is>
      </c>
      <c r="B11" t="inlineStr">
        <is>
          <t>A.8.8</t>
        </is>
      </c>
    </row>
    <row r="15">
      <c r="A15" s="2" t="inlineStr">
        <is>
          <t>THREAT INTELLIGENCE TRACKING DASHBOARD</t>
        </is>
      </c>
    </row>
    <row r="16">
      <c r="A16" s="3" t="inlineStr">
        <is>
          <t>Metric</t>
        </is>
      </c>
      <c r="B16" s="3" t="inlineStr">
        <is>
          <t>Value</t>
        </is>
      </c>
      <c r="C16" s="3" t="inlineStr">
        <is>
          <t>Target</t>
        </is>
      </c>
      <c r="D16" s="3" t="inlineStr">
        <is>
          <t>Status</t>
        </is>
      </c>
    </row>
    <row r="17">
      <c r="A17" t="inlineStr">
        <is>
          <t>Total CVEs Tracked</t>
        </is>
      </c>
      <c r="B17">
        <f>COUNTA(CVE_TI_Flags!A2:A500)</f>
        <v/>
      </c>
      <c r="C17" t="inlineStr">
        <is>
          <t>N/A</t>
        </is>
      </c>
      <c r="D17" t="inlineStr">
        <is>
          <t>Info</t>
        </is>
      </c>
    </row>
    <row r="18">
      <c r="A18" t="inlineStr">
        <is>
          <t>TI Data Current (&lt;7 days)</t>
        </is>
      </c>
      <c r="B18">
        <f>COUNTIF(CVE_TI_Flags!M2:M500,"&gt;"&amp;TODAY()-7)</f>
        <v/>
      </c>
      <c r="C18" t="inlineStr">
        <is>
          <t>&gt;=80%</t>
        </is>
      </c>
      <c r="D18">
        <f>IF(B18/B17&gt;=0.8,"✅","⚠️")</f>
        <v/>
      </c>
    </row>
    <row r="19">
      <c r="A19" t="inlineStr">
        <is>
          <t>KEV-Listed CVEs</t>
        </is>
      </c>
      <c r="B19">
        <f>COUNTIF(CVE_TI_Flags!B2:B500,"YES")</f>
        <v/>
      </c>
      <c r="C19" t="inlineStr">
        <is>
          <t>0</t>
        </is>
      </c>
      <c r="D19">
        <f>IF(B19&gt;0,"🚨","✅")</f>
        <v/>
      </c>
    </row>
    <row r="20">
      <c r="A20" t="inlineStr">
        <is>
          <t>Active Exploitation</t>
        </is>
      </c>
      <c r="B20">
        <f>COUNTIF(CVE_TI_Flags!D2:D500,"YES")</f>
        <v/>
      </c>
      <c r="C20" t="inlineStr">
        <is>
          <t>0</t>
        </is>
      </c>
      <c r="D20">
        <f>IF(B20&gt;0,"🚨","✅")</f>
        <v/>
      </c>
    </row>
    <row r="21">
      <c r="A21" t="inlineStr">
        <is>
          <t>Emergency Patches Pending</t>
        </is>
      </c>
      <c r="B21">
        <f>COUNTIF(Emergency_Patching_Queue!G2:G100,"Open")</f>
        <v/>
      </c>
      <c r="C21" t="inlineStr">
        <is>
          <t>0</t>
        </is>
      </c>
      <c r="D21">
        <f>IF(B21&gt;0,"🚨","✅")</f>
        <v/>
      </c>
    </row>
    <row r="22">
      <c r="A22" t="inlineStr">
        <is>
          <t>High EPSS CVEs (&gt;0.5)</t>
        </is>
      </c>
      <c r="B22">
        <f>COUNTIF(CVE_TI_Flags!G2:G500,"&gt;0.5")</f>
        <v/>
      </c>
      <c r="C22" t="inlineStr">
        <is>
          <t>N/A</t>
        </is>
      </c>
      <c r="D22" t="inlineStr">
        <is>
          <t>Monitor</t>
        </is>
      </c>
    </row>
    <row r="23">
      <c r="A23" t="inlineStr">
        <is>
          <t>TI Sources Active</t>
        </is>
      </c>
      <c r="B23">
        <f>COUNTIF(TI_Data_Sources!E2:E50,"Active")</f>
        <v/>
      </c>
      <c r="C23" t="inlineStr">
        <is>
          <t>&gt;=3</t>
        </is>
      </c>
      <c r="D23">
        <f>IF(B23&gt;=3,"✅","⚠️")</f>
        <v/>
      </c>
    </row>
    <row r="26">
      <c r="A26" s="4" t="inlineStr">
        <is>
          <t>WEEKLY WORKFLOW</t>
        </is>
      </c>
    </row>
    <row r="27">
      <c r="A27" s="5" t="inlineStr">
        <is>
          <t>1. Check CISA KEV Catalog for new additions -&gt; Update Sheet 2 &amp; 3</t>
        </is>
      </c>
    </row>
    <row r="28">
      <c r="A28" s="5" t="inlineStr">
        <is>
          <t>2. Review security news for active exploitation -&gt; Update Sheet 2</t>
        </is>
      </c>
    </row>
    <row r="29">
      <c r="A29" s="5" t="inlineStr">
        <is>
          <t>3. Check EPSS scores for high-risk CVEs -&gt; Update Sheet 2</t>
        </is>
      </c>
    </row>
    <row r="30">
      <c r="A30" s="5" t="inlineStr">
        <is>
          <t>4. Verify TI data sources are current -&gt; Update Sheet 4</t>
        </is>
      </c>
    </row>
    <row r="31">
      <c r="A31" s="5" t="inlineStr">
        <is>
          <t>5. Review emergency patching queue -&gt; Update Sheet 5</t>
        </is>
      </c>
    </row>
    <row r="32">
      <c r="A32" s="5" t="inlineStr">
        <is>
          <t>6. Update Last_Updated dates in Sheet 2</t>
        </is>
      </c>
    </row>
  </sheetData>
  <mergeCells count="1">
    <mergeCell ref="A15:D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  <col width="12" customWidth="1" min="4" max="4"/>
    <col width="15" customWidth="1" min="5" max="5"/>
    <col width="12" customWidth="1" min="6" max="6"/>
    <col width="10" customWidth="1" min="7" max="7"/>
    <col width="10" customWidth="1" min="8" max="8"/>
    <col width="12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  <col width="12" customWidth="1" min="15" max="15"/>
    <col width="30" customWidth="1" min="16" max="16"/>
    <col width="12" customWidth="1" min="17" max="17"/>
    <col width="40" customWidth="1" min="18" max="18"/>
  </cols>
  <sheetData>
    <row r="1">
      <c r="A1" s="3" t="inlineStr">
        <is>
          <t>CVE_ID</t>
        </is>
      </c>
      <c r="B1" s="3" t="inlineStr">
        <is>
          <t>KEV_Listed</t>
        </is>
      </c>
      <c r="C1" s="3" t="inlineStr">
        <is>
          <t>KEV_Date_Added</t>
        </is>
      </c>
      <c r="D1" s="3" t="inlineStr">
        <is>
          <t>Active_Exploitation</t>
        </is>
      </c>
      <c r="E1" s="3" t="inlineStr">
        <is>
          <t>First_Exploit_Date</t>
        </is>
      </c>
      <c r="F1" s="3" t="inlineStr">
        <is>
          <t>Exploit_Available</t>
        </is>
      </c>
      <c r="G1" s="3" t="inlineStr">
        <is>
          <t>EPSS_Score</t>
        </is>
      </c>
      <c r="H1" s="3" t="inlineStr">
        <is>
          <t>APT_Targeted</t>
        </is>
      </c>
      <c r="I1" s="3" t="inlineStr">
        <is>
          <t>CVSS_Version</t>
        </is>
      </c>
      <c r="J1" s="3" t="inlineStr">
        <is>
          <t>CVSS_v40_Score</t>
        </is>
      </c>
      <c r="K1" s="3" t="inlineStr">
        <is>
          <t>CVSS_v31_Score</t>
        </is>
      </c>
      <c r="L1" s="3" t="inlineStr">
        <is>
          <t>Supplemental_AU</t>
        </is>
      </c>
      <c r="M1" s="3" t="inlineStr">
        <is>
          <t>TI_Score_Modifier</t>
        </is>
      </c>
      <c r="N1" s="3" t="inlineStr">
        <is>
          <t>Priority_Override</t>
        </is>
      </c>
      <c r="O1" s="3" t="inlineStr">
        <is>
          <t>Emergency_Patching</t>
        </is>
      </c>
      <c r="P1" s="3" t="inlineStr">
        <is>
          <t>TI_Data_Source</t>
        </is>
      </c>
      <c r="Q1" s="3" t="inlineStr">
        <is>
          <t>Last_Updated</t>
        </is>
      </c>
      <c r="R1" s="3" t="inlineStr">
        <is>
          <t>Notes</t>
        </is>
      </c>
    </row>
    <row r="2">
      <c r="A2" t="inlineStr">
        <is>
          <t>CVE-2024-1234</t>
        </is>
      </c>
      <c r="B2" t="inlineStr">
        <is>
          <t>YES</t>
        </is>
      </c>
      <c r="C2" t="inlineStr">
        <is>
          <t>2024-12-15</t>
        </is>
      </c>
      <c r="D2" t="inlineStr">
        <is>
          <t>YES</t>
        </is>
      </c>
      <c r="E2" t="inlineStr">
        <is>
          <t>2024-12-10</t>
        </is>
      </c>
      <c r="F2" t="inlineStr">
        <is>
          <t>YES</t>
        </is>
      </c>
      <c r="G2" t="n">
        <v>0.95</v>
      </c>
      <c r="H2" t="inlineStr">
        <is>
          <t>NO</t>
        </is>
      </c>
      <c r="I2" t="inlineStr">
        <is>
          <t>v4.0</t>
        </is>
      </c>
      <c r="J2" t="n">
        <v>9.800000000000001</v>
      </c>
      <c r="K2" t="n">
        <v>9.300000000000001</v>
      </c>
      <c r="L2" t="inlineStr">
        <is>
          <t>Y</t>
        </is>
      </c>
      <c r="M2">
        <f>IF(B2="YES",2.0,IF(D2="YES",2.0,IF(F2="YES",1.5,IF(G2&gt;0.5,0.5,0))))</f>
        <v/>
      </c>
      <c r="N2">
        <f>IF(OR(B2="YES",D2="YES"),"P0","")</f>
        <v/>
      </c>
      <c r="O2">
        <f>IF(OR(B2="YES",D2="YES"),"YES","NO")</f>
        <v/>
      </c>
      <c r="P2" t="inlineStr">
        <is>
          <t>CISA KEV, CrowdStrike Intel</t>
        </is>
      </c>
      <c r="Q2" t="inlineStr">
        <is>
          <t>08.02.2026</t>
        </is>
      </c>
      <c r="R2" t="inlineStr">
        <is>
          <t>CRITICAL: KEV + Active exploitation confirmed</t>
        </is>
      </c>
    </row>
    <row r="3">
      <c r="A3" t="inlineStr">
        <is>
          <t>CVE-2024-5678</t>
        </is>
      </c>
      <c r="B3" t="inlineStr">
        <is>
          <t>YES</t>
        </is>
      </c>
      <c r="C3" t="inlineStr">
        <is>
          <t>2025-01-02</t>
        </is>
      </c>
      <c r="D3" t="inlineStr">
        <is>
          <t>NO</t>
        </is>
      </c>
      <c r="E3" t="inlineStr"/>
      <c r="F3" t="inlineStr">
        <is>
          <t>YES</t>
        </is>
      </c>
      <c r="G3" t="n">
        <v>0.75</v>
      </c>
      <c r="H3" t="inlineStr">
        <is>
          <t>YES</t>
        </is>
      </c>
      <c r="I3" t="inlineStr">
        <is>
          <t>v4.0</t>
        </is>
      </c>
      <c r="J3" t="n">
        <v>9.1</v>
      </c>
      <c r="K3" t="n">
        <v>8.800000000000001</v>
      </c>
      <c r="L3" t="inlineStr">
        <is>
          <t>N</t>
        </is>
      </c>
      <c r="M3">
        <f>IF(B2="YES",2.0,IF(D2="YES",2.0,IF(F2="YES",1.5,IF(G2&gt;0.5,0.5,0))))</f>
        <v/>
      </c>
      <c r="N3">
        <f>IF(OR(B2="YES",D2="YES"),"P0","")</f>
        <v/>
      </c>
      <c r="O3">
        <f>IF(OR(B2="YES",D2="YES"),"YES","NO")</f>
        <v/>
      </c>
      <c r="P3" t="inlineStr">
        <is>
          <t>CISA KEV, Mandiant</t>
        </is>
      </c>
      <c r="Q3" t="inlineStr">
        <is>
          <t>08.02.2026</t>
        </is>
      </c>
      <c r="R3" t="inlineStr">
        <is>
          <t>KEV-listed, APT-targeted, high EPSS</t>
        </is>
      </c>
    </row>
    <row r="4">
      <c r="A4" t="inlineStr">
        <is>
          <t>CVE-2024-9012</t>
        </is>
      </c>
      <c r="B4" t="inlineStr">
        <is>
          <t>NO</t>
        </is>
      </c>
      <c r="C4" t="inlineStr"/>
      <c r="D4" t="inlineStr">
        <is>
          <t>YES</t>
        </is>
      </c>
      <c r="E4" t="inlineStr">
        <is>
          <t>2024-12-28</t>
        </is>
      </c>
      <c r="F4" t="inlineStr">
        <is>
          <t>YES</t>
        </is>
      </c>
      <c r="G4" t="n">
        <v>0.12</v>
      </c>
      <c r="H4" t="inlineStr">
        <is>
          <t>NO</t>
        </is>
      </c>
      <c r="I4" t="inlineStr">
        <is>
          <t>Both</t>
        </is>
      </c>
      <c r="J4" t="n">
        <v>9.300000000000001</v>
      </c>
      <c r="K4" t="n">
        <v>9</v>
      </c>
      <c r="L4" t="inlineStr">
        <is>
          <t>Y</t>
        </is>
      </c>
      <c r="M4">
        <f>IF(B2="YES",2.0,IF(D2="YES",2.0,IF(F2="YES",1.5,IF(G2&gt;0.5,0.5,0))))</f>
        <v/>
      </c>
      <c r="N4">
        <f>IF(OR(B2="YES",D2="YES"),"P0","")</f>
        <v/>
      </c>
      <c r="O4">
        <f>IF(OR(B2="YES",D2="YES"),"YES","NO")</f>
        <v/>
      </c>
      <c r="P4" t="inlineStr">
        <is>
          <t>Exploit-DB, Twitter @threatintel</t>
        </is>
      </c>
      <c r="Q4" t="inlineStr">
        <is>
          <t>08.02.2026</t>
        </is>
      </c>
      <c r="R4" t="inlineStr">
        <is>
          <t>Active exploitation observed, not yet KEV</t>
        </is>
      </c>
    </row>
    <row r="5">
      <c r="A5" t="inlineStr">
        <is>
          <t>CVE-2024-1111</t>
        </is>
      </c>
      <c r="B5" t="inlineStr">
        <is>
          <t>NO</t>
        </is>
      </c>
      <c r="C5" t="inlineStr"/>
      <c r="D5" t="inlineStr">
        <is>
          <t>NO</t>
        </is>
      </c>
      <c r="E5" t="inlineStr"/>
      <c r="F5" t="inlineStr">
        <is>
          <t>YES</t>
        </is>
      </c>
      <c r="G5" t="n">
        <v>0.45</v>
      </c>
      <c r="H5" t="inlineStr">
        <is>
          <t>NO</t>
        </is>
      </c>
      <c r="I5" t="inlineStr">
        <is>
          <t>v3.1</t>
        </is>
      </c>
      <c r="J5" t="inlineStr"/>
      <c r="K5" t="n">
        <v>7.5</v>
      </c>
      <c r="L5" t="inlineStr">
        <is>
          <t>N/A</t>
        </is>
      </c>
      <c r="M5">
        <f>IF(B2="YES",2.0,IF(D2="YES",2.0,IF(F2="YES",1.5,IF(G2&gt;0.5,0.5,0))))</f>
        <v/>
      </c>
      <c r="N5">
        <f>IF(OR(B2="YES",D2="YES"),"P0","")</f>
        <v/>
      </c>
      <c r="O5">
        <f>IF(OR(B2="YES",D2="YES"),"YES","NO")</f>
        <v/>
      </c>
      <c r="P5" t="inlineStr">
        <is>
          <t>Exploit-DB</t>
        </is>
      </c>
      <c r="Q5" t="inlineStr">
        <is>
          <t>08.02.2026</t>
        </is>
      </c>
      <c r="R5" t="inlineStr">
        <is>
          <t>Public exploit available, moderate EPSS</t>
        </is>
      </c>
    </row>
    <row r="6">
      <c r="M6">
        <f>IF(B6="YES",2.0,IF(D6="YES",2.0,IF(F6="YES",1.5,IF(G6&gt;0.5,0.5,0))))</f>
        <v/>
      </c>
      <c r="N6">
        <f>IF(OR(B6="YES",D6="YES"),"P0","")</f>
        <v/>
      </c>
      <c r="O6">
        <f>IF(OR(B6="YES",D6="YES"),"YES","NO")</f>
        <v/>
      </c>
    </row>
    <row r="7">
      <c r="M7">
        <f>IF(B7="YES",2.0,IF(D7="YES",2.0,IF(F7="YES",1.5,IF(G7&gt;0.5,0.5,0))))</f>
        <v/>
      </c>
      <c r="N7">
        <f>IF(OR(B7="YES",D7="YES"),"P0","")</f>
        <v/>
      </c>
      <c r="O7">
        <f>IF(OR(B7="YES",D7="YES"),"YES","NO")</f>
        <v/>
      </c>
    </row>
    <row r="8">
      <c r="M8">
        <f>IF(B8="YES",2.0,IF(D8="YES",2.0,IF(F8="YES",1.5,IF(G8&gt;0.5,0.5,0))))</f>
        <v/>
      </c>
      <c r="N8">
        <f>IF(OR(B8="YES",D8="YES"),"P0","")</f>
        <v/>
      </c>
      <c r="O8">
        <f>IF(OR(B8="YES",D8="YES"),"YES","NO")</f>
        <v/>
      </c>
    </row>
    <row r="9">
      <c r="M9">
        <f>IF(B9="YES",2.0,IF(D9="YES",2.0,IF(F9="YES",1.5,IF(G9&gt;0.5,0.5,0))))</f>
        <v/>
      </c>
      <c r="N9">
        <f>IF(OR(B9="YES",D9="YES"),"P0","")</f>
        <v/>
      </c>
      <c r="O9">
        <f>IF(OR(B9="YES",D9="YES"),"YES","NO")</f>
        <v/>
      </c>
    </row>
    <row r="10">
      <c r="M10">
        <f>IF(B10="YES",2.0,IF(D10="YES",2.0,IF(F10="YES",1.5,IF(G10&gt;0.5,0.5,0))))</f>
        <v/>
      </c>
      <c r="N10">
        <f>IF(OR(B10="YES",D10="YES"),"P0","")</f>
        <v/>
      </c>
      <c r="O10">
        <f>IF(OR(B10="YES",D10="YES"),"YES","NO")</f>
        <v/>
      </c>
    </row>
    <row r="11">
      <c r="M11">
        <f>IF(B11="YES",2.0,IF(D11="YES",2.0,IF(F11="YES",1.5,IF(G11&gt;0.5,0.5,0))))</f>
        <v/>
      </c>
      <c r="N11">
        <f>IF(OR(B11="YES",D11="YES"),"P0","")</f>
        <v/>
      </c>
      <c r="O11">
        <f>IF(OR(B11="YES",D11="YES"),"YES","NO")</f>
        <v/>
      </c>
    </row>
    <row r="12">
      <c r="M12">
        <f>IF(B12="YES",2.0,IF(D12="YES",2.0,IF(F12="YES",1.5,IF(G12&gt;0.5,0.5,0))))</f>
        <v/>
      </c>
      <c r="N12">
        <f>IF(OR(B12="YES",D12="YES"),"P0","")</f>
        <v/>
      </c>
      <c r="O12">
        <f>IF(OR(B12="YES",D12="YES"),"YES","NO")</f>
        <v/>
      </c>
    </row>
    <row r="13">
      <c r="M13">
        <f>IF(B13="YES",2.0,IF(D13="YES",2.0,IF(F13="YES",1.5,IF(G13&gt;0.5,0.5,0))))</f>
        <v/>
      </c>
      <c r="N13">
        <f>IF(OR(B13="YES",D13="YES"),"P0","")</f>
        <v/>
      </c>
      <c r="O13">
        <f>IF(OR(B13="YES",D13="YES"),"YES","NO")</f>
        <v/>
      </c>
    </row>
    <row r="14">
      <c r="M14">
        <f>IF(B14="YES",2.0,IF(D14="YES",2.0,IF(F14="YES",1.5,IF(G14&gt;0.5,0.5,0))))</f>
        <v/>
      </c>
      <c r="N14">
        <f>IF(OR(B14="YES",D14="YES"),"P0","")</f>
        <v/>
      </c>
      <c r="O14">
        <f>IF(OR(B14="YES",D14="YES"),"YES","NO")</f>
        <v/>
      </c>
    </row>
    <row r="15">
      <c r="M15">
        <f>IF(B15="YES",2.0,IF(D15="YES",2.0,IF(F15="YES",1.5,IF(G15&gt;0.5,0.5,0))))</f>
        <v/>
      </c>
      <c r="N15">
        <f>IF(OR(B15="YES",D15="YES"),"P0","")</f>
        <v/>
      </c>
      <c r="O15">
        <f>IF(OR(B15="YES",D15="YES"),"YES","NO")</f>
        <v/>
      </c>
    </row>
    <row r="16">
      <c r="M16">
        <f>IF(B16="YES",2.0,IF(D16="YES",2.0,IF(F16="YES",1.5,IF(G16&gt;0.5,0.5,0))))</f>
        <v/>
      </c>
      <c r="N16">
        <f>IF(OR(B16="YES",D16="YES"),"P0","")</f>
        <v/>
      </c>
      <c r="O16">
        <f>IF(OR(B16="YES",D16="YES"),"YES","NO")</f>
        <v/>
      </c>
    </row>
    <row r="17">
      <c r="M17">
        <f>IF(B17="YES",2.0,IF(D17="YES",2.0,IF(F17="YES",1.5,IF(G17&gt;0.5,0.5,0))))</f>
        <v/>
      </c>
      <c r="N17">
        <f>IF(OR(B17="YES",D17="YES"),"P0","")</f>
        <v/>
      </c>
      <c r="O17">
        <f>IF(OR(B17="YES",D17="YES"),"YES","NO")</f>
        <v/>
      </c>
    </row>
    <row r="18">
      <c r="M18">
        <f>IF(B18="YES",2.0,IF(D18="YES",2.0,IF(F18="YES",1.5,IF(G18&gt;0.5,0.5,0))))</f>
        <v/>
      </c>
      <c r="N18">
        <f>IF(OR(B18="YES",D18="YES"),"P0","")</f>
        <v/>
      </c>
      <c r="O18">
        <f>IF(OR(B18="YES",D18="YES"),"YES","NO")</f>
        <v/>
      </c>
    </row>
    <row r="19">
      <c r="M19">
        <f>IF(B19="YES",2.0,IF(D19="YES",2.0,IF(F19="YES",1.5,IF(G19&gt;0.5,0.5,0))))</f>
        <v/>
      </c>
      <c r="N19">
        <f>IF(OR(B19="YES",D19="YES"),"P0","")</f>
        <v/>
      </c>
      <c r="O19">
        <f>IF(OR(B19="YES",D19="YES"),"YES","NO")</f>
        <v/>
      </c>
    </row>
    <row r="20">
      <c r="M20">
        <f>IF(B20="YES",2.0,IF(D20="YES",2.0,IF(F20="YES",1.5,IF(G20&gt;0.5,0.5,0))))</f>
        <v/>
      </c>
      <c r="N20">
        <f>IF(OR(B20="YES",D20="YES"),"P0","")</f>
        <v/>
      </c>
      <c r="O20">
        <f>IF(OR(B20="YES",D20="YES"),"YES","NO")</f>
        <v/>
      </c>
    </row>
    <row r="22">
      <c r="A22" s="6" t="inlineStr">
        <is>
          <t>USAGE INSTRUCTIONS:</t>
        </is>
      </c>
    </row>
    <row r="23">
      <c r="A23" s="7" t="inlineStr">
        <is>
          <t>1. Enter CVE_ID in Column A (from Vulnerability Inventory)</t>
        </is>
      </c>
    </row>
    <row r="24">
      <c r="A24" s="7" t="inlineStr">
        <is>
          <t>2. Check CISA KEV Catalog -&gt; Set KEV_Listed (Col B) and KEV_Date_Added (Col C)</t>
        </is>
      </c>
    </row>
    <row r="25">
      <c r="A25" s="7" t="inlineStr">
        <is>
          <t>3. Monitor threat feeds -&gt; Set Active_Exploitation (Col D) if confirmed attacks</t>
        </is>
      </c>
    </row>
    <row r="26">
      <c r="A26" s="7" t="inlineStr">
        <is>
          <t>4. Search Exploit-DB, GitHub -&gt; Set Exploit_Available (Col F) if code exists</t>
        </is>
      </c>
    </row>
    <row r="27">
      <c r="A27" s="7" t="inlineStr">
        <is>
          <t>5. Check FIRST EPSS -&gt; Enter EPSS_Score (Col G) from https://www.first.org/epss/</t>
        </is>
      </c>
    </row>
    <row r="28">
      <c r="A28" s="7" t="inlineStr">
        <is>
          <t>6. Review APT reports -&gt; Set APT_Targeted (Col H) if mentioned</t>
        </is>
      </c>
    </row>
    <row r="29">
      <c r="A29" s="7" t="inlineStr">
        <is>
          <t>7. Document where you found the data in TI_Data_Source (Col L)</t>
        </is>
      </c>
    </row>
    <row r="30">
      <c r="A30" s="7" t="inlineStr">
        <is>
          <t>8. Update Last_Updated (Col M) when you verify the data</t>
        </is>
      </c>
    </row>
    <row r="31">
      <c r="A31" s="7" t="inlineStr">
        <is>
          <t>9. Columns I-K auto-calculate based on your entries</t>
        </is>
      </c>
    </row>
  </sheetData>
  <mergeCells count="10">
    <mergeCell ref="A27:N27"/>
    <mergeCell ref="A31:N31"/>
    <mergeCell ref="A22:N22"/>
    <mergeCell ref="A26:N26"/>
    <mergeCell ref="A24:N24"/>
    <mergeCell ref="A30:N30"/>
    <mergeCell ref="A29:N29"/>
    <mergeCell ref="A25:N25"/>
    <mergeCell ref="A28:N28"/>
    <mergeCell ref="A23:N23"/>
  </mergeCells>
  <conditionalFormatting sqref="L2:L500">
    <cfRule type="cellIs" priority="1" operator="equal" dxfId="0">
      <formula>"Y"</formula>
    </cfRule>
  </conditionalFormatting>
  <conditionalFormatting sqref="A2:R500">
    <cfRule type="expression" priority="2" dxfId="1" stopIfTrue="1">
      <formula>AND($D2="YES", $L2="Y")</formula>
    </cfRule>
  </conditionalFormatting>
  <conditionalFormatting sqref="O2:O500">
    <cfRule type="cellIs" priority="3" operator="equal" dxfId="2">
      <formula>"YES"</formula>
    </cfRule>
  </conditionalFormatting>
  <conditionalFormatting sqref="B2:B500">
    <cfRule type="cellIs" priority="4" operator="equal" dxfId="3">
      <formula>"YES"</formula>
    </cfRule>
  </conditionalFormatting>
  <conditionalFormatting sqref="D2:D500">
    <cfRule type="cellIs" priority="5" operator="equal" dxfId="3">
      <formula>"YES"</formula>
    </cfRule>
  </conditionalFormatting>
  <conditionalFormatting sqref="G2:G500">
    <cfRule type="cellIs" priority="6" operator="greaterThan" dxfId="4">
      <formula>0.5</formula>
    </cfRule>
  </conditionalFormatting>
  <dataValidations count="6">
    <dataValidation sqref="B2:B500 D2:D500 F2:F500 H2:H500" showDropDown="0" showInputMessage="0" showErrorMessage="0" allowBlank="0" type="list">
      <formula1>"YES,NO"</formula1>
    </dataValidation>
    <dataValidation sqref="G2:G500" showDropDown="0" showInputMessage="0" showErrorMessage="0" allowBlank="1" error="EPSS must be between 0.0 and 1.0" type="decimal" operator="between">
      <formula1>0</formula1>
      <formula2>1</formula2>
    </dataValidation>
    <dataValidation sqref="I2:I500" showDropDown="0" showInputMessage="0" showErrorMessage="0" allowBlank="0" errorTitle="Invalid CVSS Version" error="Select: v4.0, v3.1, or Both" type="list">
      <formula1>"v4.0,v3.1,Both"</formula1>
    </dataValidation>
    <dataValidation sqref="J2:J500" showDropDown="0" showInputMessage="0" showErrorMessage="0" allowBlank="1" errorTitle="Invalid CVSS v4.0 Score" error="Enter score between 0.0 and 10.0" type="decimal" operator="between">
      <formula1>0.0</formula1>
      <formula2>10.0</formula2>
    </dataValidation>
    <dataValidation sqref="K2:K500" showDropDown="0" showInputMessage="0" showErrorMessage="0" allowBlank="1" errorTitle="Invalid CVSS v3.1 Score" error="Enter score between 0.0 and 10.0" type="decimal" operator="between">
      <formula1>0.0</formula1>
      <formula2>10.0</formula2>
    </dataValidation>
    <dataValidation sqref="L2:L500" showDropDown="0" showInputMessage="0" showErrorMessage="0" allowBlank="0" errorTitle="Invalid Automatable Flag" error="Select: Y (wormable), N (not automatable), X (not defined), N/A (v3.1)" type="list">
      <formula1>"Y,N,X,N/A"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50" customWidth="1" min="3" max="3"/>
    <col width="12" customWidth="1" min="4" max="4"/>
    <col width="12" customWidth="1" min="5" max="5"/>
    <col width="15" customWidth="1" min="6" max="6"/>
    <col width="15" customWidth="1" min="7" max="7"/>
    <col width="20" customWidth="1" min="8" max="8"/>
    <col width="15" customWidth="1" min="9" max="9"/>
    <col width="12" customWidth="1" min="10" max="10"/>
    <col width="15" customWidth="1" min="11" max="11"/>
    <col width="12" customWidth="1" min="12" max="12"/>
    <col width="12" customWidth="1" min="13" max="13"/>
    <col width="12" customWidth="1" min="14" max="14"/>
    <col width="12" customWidth="1" min="15" max="15"/>
    <col width="14" customWidth="1" min="16" max="16"/>
    <col width="40" customWidth="1" min="17" max="17"/>
  </cols>
  <sheetData>
    <row r="1">
      <c r="A1" s="3" t="inlineStr">
        <is>
          <t>CVE_ID</t>
        </is>
      </c>
      <c r="B1" s="3" t="inlineStr">
        <is>
          <t>KEV_Date_Added</t>
        </is>
      </c>
      <c r="C1" s="3" t="inlineStr">
        <is>
          <t>KEV_Required_Action</t>
        </is>
      </c>
      <c r="D1" s="3" t="inlineStr">
        <is>
          <t>KEV_Due_Date</t>
        </is>
      </c>
      <c r="E1" s="3" t="inlineStr">
        <is>
          <t>Affected_Assets_Count</t>
        </is>
      </c>
      <c r="F1" s="3" t="inlineStr">
        <is>
          <t>Organizational_Impact</t>
        </is>
      </c>
      <c r="G1" s="3" t="inlineStr">
        <is>
          <t>Remediation_Status</t>
        </is>
      </c>
      <c r="H1" s="3" t="inlineStr">
        <is>
          <t>Remediation_Owner</t>
        </is>
      </c>
      <c r="I1" s="3" t="inlineStr">
        <is>
          <t>Actual_Remediation_Date</t>
        </is>
      </c>
      <c r="J1" s="3" t="inlineStr">
        <is>
          <t>Days_to_Remediate</t>
        </is>
      </c>
      <c r="K1" s="3" t="inlineStr">
        <is>
          <t>Compliance_Status</t>
        </is>
      </c>
      <c r="L1" s="3" t="inlineStr">
        <is>
          <t>Escalation_Required</t>
        </is>
      </c>
      <c r="M1" s="3" t="inlineStr">
        <is>
          <t>CVSS_Version</t>
        </is>
      </c>
      <c r="N1" s="3" t="inlineStr">
        <is>
          <t>CVSS_v40_Score</t>
        </is>
      </c>
      <c r="O1" s="3" t="inlineStr">
        <is>
          <t>CVSS_v31_Score</t>
        </is>
      </c>
      <c r="P1" s="3" t="inlineStr">
        <is>
          <t>Supplemental_AU</t>
        </is>
      </c>
      <c r="Q1" s="3" t="inlineStr">
        <is>
          <t>Notes</t>
        </is>
      </c>
    </row>
    <row r="2">
      <c r="A2" t="inlineStr">
        <is>
          <t>CVE-2024-1234</t>
        </is>
      </c>
      <c r="B2" t="inlineStr">
        <is>
          <t>2024-12-15</t>
        </is>
      </c>
      <c r="C2" t="inlineStr">
        <is>
          <t>Apply Log4j patches immediately</t>
        </is>
      </c>
      <c r="D2" t="inlineStr">
        <is>
          <t>2025-01-05</t>
        </is>
      </c>
      <c r="E2" t="n">
        <v>12</v>
      </c>
      <c r="F2" t="inlineStr">
        <is>
          <t>Critical</t>
        </is>
      </c>
      <c r="G2" t="inlineStr">
        <is>
          <t>Complete</t>
        </is>
      </c>
      <c r="H2" t="inlineStr">
        <is>
          <t>IT Security Team</t>
        </is>
      </c>
      <c r="I2" t="inlineStr">
        <is>
          <t>2024-12-28</t>
        </is>
      </c>
      <c r="J2">
        <f>IF(I2&lt;&gt;"",I2-B2,"")</f>
        <v/>
      </c>
      <c r="K2">
        <f>IF(I2&lt;&gt;"",IF(I2&lt;=D2,"Compliant","OVERDUE"),"In Progress")</f>
        <v/>
      </c>
      <c r="L2" t="inlineStr">
        <is>
          <t>NO</t>
        </is>
      </c>
      <c r="M2" t="inlineStr">
        <is>
          <t>v4.0</t>
        </is>
      </c>
      <c r="N2" t="n">
        <v>10</v>
      </c>
      <c r="O2" t="n">
        <v>10</v>
      </c>
      <c r="P2" t="inlineStr">
        <is>
          <t>Y</t>
        </is>
      </c>
      <c r="Q2" t="inlineStr">
        <is>
          <t>Completed ahead of deadline</t>
        </is>
      </c>
    </row>
    <row r="3">
      <c r="A3" t="inlineStr">
        <is>
          <t>CVE-2024-5678</t>
        </is>
      </c>
      <c r="B3" t="inlineStr">
        <is>
          <t>2025-01-02</t>
        </is>
      </c>
      <c r="C3" t="inlineStr">
        <is>
          <t>Apply Exchange security updates</t>
        </is>
      </c>
      <c r="D3" t="inlineStr">
        <is>
          <t>2025-01-22</t>
        </is>
      </c>
      <c r="E3" t="n">
        <v>5</v>
      </c>
      <c r="F3" t="inlineStr">
        <is>
          <t>High</t>
        </is>
      </c>
      <c r="G3" t="inlineStr">
        <is>
          <t>In_Progress</t>
        </is>
      </c>
      <c r="H3" t="inlineStr">
        <is>
          <t>System Administrators</t>
        </is>
      </c>
      <c r="I3" t="inlineStr"/>
      <c r="J3">
        <f>IF(I2&lt;&gt;"",I2-B2,"")</f>
        <v/>
      </c>
      <c r="K3">
        <f>IF(I2&lt;&gt;"",IF(I2&lt;=D2,"Compliant","OVERDUE"),"In Progress")</f>
        <v/>
      </c>
      <c r="L3" t="inlineStr">
        <is>
          <t>NO</t>
        </is>
      </c>
      <c r="M3" t="inlineStr">
        <is>
          <t>v4.0</t>
        </is>
      </c>
      <c r="N3" t="n">
        <v>8.800000000000001</v>
      </c>
      <c r="O3" t="n">
        <v>8.1</v>
      </c>
      <c r="P3" t="inlineStr">
        <is>
          <t>N</t>
        </is>
      </c>
      <c r="Q3" t="inlineStr">
        <is>
          <t>Scheduled for weekend maintenance window</t>
        </is>
      </c>
    </row>
    <row r="4">
      <c r="J4">
        <f>IF(I4&lt;&gt;"",I4-B4,"")</f>
        <v/>
      </c>
      <c r="K4">
        <f>IF(I4&lt;&gt;"",IF(I4&lt;=D4,"Compliant","OVERDUE"),"In Progress")</f>
        <v/>
      </c>
    </row>
    <row r="5">
      <c r="J5">
        <f>IF(I5&lt;&gt;"",I5-B5,"")</f>
        <v/>
      </c>
      <c r="K5">
        <f>IF(I5&lt;&gt;"",IF(I5&lt;=D5,"Compliant","OVERDUE"),"In Progress")</f>
        <v/>
      </c>
    </row>
    <row r="6">
      <c r="J6">
        <f>IF(I6&lt;&gt;"",I6-B6,"")</f>
        <v/>
      </c>
      <c r="K6">
        <f>IF(I6&lt;&gt;"",IF(I6&lt;=D6,"Compliant","OVERDUE"),"In Progress")</f>
        <v/>
      </c>
    </row>
    <row r="7">
      <c r="J7">
        <f>IF(I7&lt;&gt;"",I7-B7,"")</f>
        <v/>
      </c>
      <c r="K7">
        <f>IF(I7&lt;&gt;"",IF(I7&lt;=D7,"Compliant","OVERDUE"),"In Progress")</f>
        <v/>
      </c>
    </row>
    <row r="8">
      <c r="J8">
        <f>IF(I8&lt;&gt;"",I8-B8,"")</f>
        <v/>
      </c>
      <c r="K8">
        <f>IF(I8&lt;&gt;"",IF(I8&lt;=D8,"Compliant","OVERDUE"),"In Progress")</f>
        <v/>
      </c>
    </row>
    <row r="9">
      <c r="J9">
        <f>IF(I9&lt;&gt;"",I9-B9,"")</f>
        <v/>
      </c>
      <c r="K9">
        <f>IF(I9&lt;&gt;"",IF(I9&lt;=D9,"Compliant","OVERDUE"),"In Progress")</f>
        <v/>
      </c>
    </row>
    <row r="10">
      <c r="J10">
        <f>IF(I10&lt;&gt;"",I10-B10,"")</f>
        <v/>
      </c>
      <c r="K10">
        <f>IF(I10&lt;&gt;"",IF(I10&lt;=D10,"Compliant","OVERDUE"),"In Progress")</f>
        <v/>
      </c>
    </row>
    <row r="11">
      <c r="J11">
        <f>IF(I11&lt;&gt;"",I11-B11,"")</f>
        <v/>
      </c>
      <c r="K11">
        <f>IF(I11&lt;&gt;"",IF(I11&lt;=D11,"Compliant","OVERDUE"),"In Progress")</f>
        <v/>
      </c>
    </row>
    <row r="12">
      <c r="J12">
        <f>IF(I12&lt;&gt;"",I12-B12,"")</f>
        <v/>
      </c>
      <c r="K12">
        <f>IF(I12&lt;&gt;"",IF(I12&lt;=D12,"Compliant","OVERDUE"),"In Progress")</f>
        <v/>
      </c>
    </row>
    <row r="13">
      <c r="J13">
        <f>IF(I13&lt;&gt;"",I13-B13,"")</f>
        <v/>
      </c>
      <c r="K13">
        <f>IF(I13&lt;&gt;"",IF(I13&lt;=D13,"Compliant","OVERDUE"),"In Progress")</f>
        <v/>
      </c>
    </row>
    <row r="14">
      <c r="J14">
        <f>IF(I14&lt;&gt;"",I14-B14,"")</f>
        <v/>
      </c>
      <c r="K14">
        <f>IF(I14&lt;&gt;"",IF(I14&lt;=D14,"Compliant","OVERDUE"),"In Progress")</f>
        <v/>
      </c>
    </row>
    <row r="15">
      <c r="J15">
        <f>IF(I15&lt;&gt;"",I15-B15,"")</f>
        <v/>
      </c>
      <c r="K15">
        <f>IF(I15&lt;&gt;"",IF(I15&lt;=D15,"Compliant","OVERDUE"),"In Progress")</f>
        <v/>
      </c>
    </row>
    <row r="16">
      <c r="J16">
        <f>IF(I16&lt;&gt;"",I16-B16,"")</f>
        <v/>
      </c>
      <c r="K16">
        <f>IF(I16&lt;&gt;"",IF(I16&lt;=D16,"Compliant","OVERDUE"),"In Progress")</f>
        <v/>
      </c>
    </row>
    <row r="17">
      <c r="J17">
        <f>IF(I17&lt;&gt;"",I17-B17,"")</f>
        <v/>
      </c>
      <c r="K17">
        <f>IF(I17&lt;&gt;"",IF(I17&lt;=D17,"Compliant","OVERDUE"),"In Progress")</f>
        <v/>
      </c>
    </row>
    <row r="18">
      <c r="J18">
        <f>IF(I18&lt;&gt;"",I18-B18,"")</f>
        <v/>
      </c>
      <c r="K18">
        <f>IF(I18&lt;&gt;"",IF(I18&lt;=D18,"Compliant","OVERDUE"),"In Progress")</f>
        <v/>
      </c>
    </row>
    <row r="19">
      <c r="J19">
        <f>IF(I19&lt;&gt;"",I19-B19,"")</f>
        <v/>
      </c>
      <c r="K19">
        <f>IF(I19&lt;&gt;"",IF(I19&lt;=D19,"Compliant","OVERDUE"),"In Progress")</f>
        <v/>
      </c>
    </row>
    <row r="20">
      <c r="J20">
        <f>IF(I20&lt;&gt;"",I20-B20,"")</f>
        <v/>
      </c>
      <c r="K20">
        <f>IF(I20&lt;&gt;"",IF(I20&lt;=D20,"Compliant","OVERDUE"),"In Progress")</f>
        <v/>
      </c>
    </row>
    <row r="22">
      <c r="A22" s="6" t="inlineStr">
        <is>
          <t>KEV TRACKING INSTRUCTIONS:</t>
        </is>
      </c>
    </row>
    <row r="23">
      <c r="A23" s="7" t="inlineStr">
        <is>
          <t>1. Copy CVE_ID from Sheet 2 where KEV_Listed = YES</t>
        </is>
      </c>
    </row>
    <row r="24">
      <c r="A24" s="7" t="inlineStr">
        <is>
          <t>2. Get KEV details from https://www.cisa.gov/known-exploited-vulnerabilities-catalog</t>
        </is>
      </c>
    </row>
    <row r="25">
      <c r="A25" s="7" t="inlineStr">
        <is>
          <t>3. CISA requires remediation by KEV_Due_Date - track compliance in Column K</t>
        </is>
      </c>
    </row>
  </sheetData>
  <mergeCells count="4">
    <mergeCell ref="A25:M25"/>
    <mergeCell ref="A24:M24"/>
    <mergeCell ref="A22:M22"/>
    <mergeCell ref="A23:M23"/>
  </mergeCells>
  <conditionalFormatting sqref="P2:P200">
    <cfRule type="cellIs" priority="1" operator="equal" dxfId="0">
      <formula>"Y"</formula>
    </cfRule>
  </conditionalFormatting>
  <conditionalFormatting sqref="K2:K200">
    <cfRule type="cellIs" priority="2" operator="equal" dxfId="2">
      <formula>"OVERDUE"</formula>
    </cfRule>
  </conditionalFormatting>
  <dataValidations count="7">
    <dataValidation sqref="G2:G200" showDropDown="0" showInputMessage="0" showErrorMessage="0" allowBlank="0" type="list">
      <formula1>"Not_Started,In_Progress,Complete,Risk_Accepted"</formula1>
    </dataValidation>
    <dataValidation sqref="F2:F200" showDropDown="0" showInputMessage="0" showErrorMessage="0" allowBlank="0" type="list">
      <formula1>"Critical,High,Medium,Low"</formula1>
    </dataValidation>
    <dataValidation sqref="L2:L200" showDropDown="0" showInputMessage="0" showErrorMessage="0" allowBlank="0" type="list">
      <formula1>"YES,NO"</formula1>
    </dataValidation>
    <dataValidation sqref="M2:M200" showDropDown="0" showInputMessage="0" showErrorMessage="0" allowBlank="0" errorTitle="Invalid CVSS Version" error="Select: v4.0, v3.1, or Both" type="list">
      <formula1>"v4.0,v3.1,Both"</formula1>
    </dataValidation>
    <dataValidation sqref="N2:N200" showDropDown="0" showInputMessage="0" showErrorMessage="0" allowBlank="1" errorTitle="Invalid CVSS v4.0 Score" error="Enter score between 0.0 and 10.0" type="decimal" operator="between">
      <formula1>0.0</formula1>
      <formula2>10.0</formula2>
    </dataValidation>
    <dataValidation sqref="O2:O200" showDropDown="0" showInputMessage="0" showErrorMessage="0" allowBlank="1" errorTitle="Invalid CVSS v3.1 Score" error="Enter score between 0.0 and 10.0" type="decimal" operator="between">
      <formula1>0.0</formula1>
      <formula2>10.0</formula2>
    </dataValidation>
    <dataValidation sqref="P2:P200" showDropDown="0" showInputMessage="0" showErrorMessage="0" allowBlank="0" errorTitle="Invalid Automatable Flag" error="Select: Y (wormable), N (not automatable), X (not defined), N/A (v3.1)" type="list">
      <formula1>"Y,N,X,N/A"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12" customWidth="1" min="3" max="3"/>
    <col width="12" customWidth="1" min="4" max="4"/>
    <col width="20" customWidth="1" min="5" max="5"/>
    <col width="25" customWidth="1" min="6" max="6"/>
    <col width="25" customWidth="1" min="7" max="7"/>
    <col width="12" customWidth="1" min="8" max="8"/>
    <col width="15" customWidth="1" min="9" max="9"/>
    <col width="15" customWidth="1" min="10" max="10"/>
    <col width="15" customWidth="1" min="11" max="11"/>
    <col width="15" customWidth="1" min="12" max="12"/>
    <col width="40" customWidth="1" min="13" max="13"/>
  </cols>
  <sheetData>
    <row r="1">
      <c r="A1" s="3" t="inlineStr">
        <is>
          <t>CVE_ID</t>
        </is>
      </c>
      <c r="B1" s="3" t="inlineStr">
        <is>
          <t>Vulnerability_Title</t>
        </is>
      </c>
      <c r="C1" s="3" t="inlineStr">
        <is>
          <t>First_Seen_Date</t>
        </is>
      </c>
      <c r="D1" s="3" t="inlineStr">
        <is>
          <t>Last_Seen_Date</t>
        </is>
      </c>
      <c r="E1" s="3" t="inlineStr">
        <is>
          <t>Exploitation_Source</t>
        </is>
      </c>
      <c r="F1" s="3" t="inlineStr">
        <is>
          <t>Attack_Vector</t>
        </is>
      </c>
      <c r="G1" s="3" t="inlineStr">
        <is>
          <t>Targeted_Sectors</t>
        </is>
      </c>
      <c r="H1" s="3" t="inlineStr">
        <is>
          <t>IOCs_Available</t>
        </is>
      </c>
      <c r="I1" s="3" t="inlineStr">
        <is>
          <t>Detection_Rule_Created</t>
        </is>
      </c>
      <c r="J1" s="3" t="inlineStr">
        <is>
          <t>Organizational_Impact</t>
        </is>
      </c>
      <c r="K1" s="3" t="inlineStr">
        <is>
          <t>Affected_Assets_Count</t>
        </is>
      </c>
      <c r="L1" s="3" t="inlineStr">
        <is>
          <t>Remediation_Status</t>
        </is>
      </c>
      <c r="M1" s="3" t="inlineStr">
        <is>
          <t>Notes</t>
        </is>
      </c>
    </row>
    <row r="3">
      <c r="A3" s="8" t="inlineStr">
        <is>
          <t>ACTIVE EXPLOITATION TRACKING:</t>
        </is>
      </c>
    </row>
    <row r="4">
      <c r="A4" s="7" t="inlineStr">
        <is>
          <t>* Track vulnerabilities with CONFIRMED active exploitation in the wild</t>
        </is>
      </c>
    </row>
    <row r="5">
      <c r="A5" s="7" t="inlineStr">
        <is>
          <t>* If Organizational_Impact = Under_Attack: IMMEDIATE INCIDENT RESPONSE</t>
        </is>
      </c>
    </row>
    <row r="6">
      <c r="A6" s="7" t="inlineStr">
        <is>
          <t>* Update detection rules when IOCs are available</t>
        </is>
      </c>
    </row>
    <row r="7">
      <c r="A7" s="7" t="inlineStr">
        <is>
          <t>* Source: Auto-populate from CVE_TI_Correlation where Active_Exploitation = YES</t>
        </is>
      </c>
    </row>
  </sheetData>
  <mergeCells count="5">
    <mergeCell ref="A5:M5"/>
    <mergeCell ref="A6:M6"/>
    <mergeCell ref="A4:M4"/>
    <mergeCell ref="A3:M3"/>
    <mergeCell ref="A7:M7"/>
  </mergeCells>
  <dataValidations count="4">
    <dataValidation sqref="E2:E200" showDropDown="0" showInputMessage="0" showErrorMessage="0" allowBlank="0" type="list">
      <formula1>"TI_Feed,Vendor_Advisory,Internal_Detection,CISA_Alert,Other"</formula1>
    </dataValidation>
    <dataValidation sqref="H2:H200 I2:I200" showDropDown="0" showInputMessage="0" showErrorMessage="0" allowBlank="0" type="list">
      <formula1>"YES,NO"</formula1>
    </dataValidation>
    <dataValidation sqref="J2:J200" showDropDown="0" showInputMessage="0" showErrorMessage="0" allowBlank="0" type="list">
      <formula1>"Under_Attack,At_Risk,Not_Vulnerable"</formula1>
    </dataValidation>
    <dataValidation sqref="L2:L200" showDropDown="0" showInputMessage="0" showErrorMessage="0" allowBlank="0" type="list">
      <formula1>"Open,In_Progress,Complete,Risk_Accepted"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20" customWidth="1" min="3" max="3"/>
    <col width="20" customWidth="1" min="4" max="4"/>
    <col width="15" customWidth="1" min="5" max="5"/>
    <col width="20" customWidth="1" min="6" max="6"/>
    <col width="18" customWidth="1" min="7" max="7"/>
    <col width="12" customWidth="1" min="8" max="8"/>
    <col width="12" customWidth="1" min="9" max="9"/>
    <col width="15" customWidth="1" min="10" max="10"/>
    <col width="40" customWidth="1" min="11" max="11"/>
  </cols>
  <sheetData>
    <row r="1">
      <c r="A1" s="3" t="inlineStr">
        <is>
          <t>CVE_ID</t>
        </is>
      </c>
      <c r="B1" s="3" t="inlineStr">
        <is>
          <t>Vulnerability_Title</t>
        </is>
      </c>
      <c r="C1" s="3" t="inlineStr">
        <is>
          <t>Exploit_Source</t>
        </is>
      </c>
      <c r="D1" s="3" t="inlineStr">
        <is>
          <t>Exploit_Type</t>
        </is>
      </c>
      <c r="E1" s="3" t="inlineStr">
        <is>
          <t>Reliability</t>
        </is>
      </c>
      <c r="F1" s="3" t="inlineStr">
        <is>
          <t>Skill_Level_Required</t>
        </is>
      </c>
      <c r="G1" s="3" t="inlineStr">
        <is>
          <t>Detection_Capability</t>
        </is>
      </c>
      <c r="H1" s="3" t="inlineStr">
        <is>
          <t>First_Published</t>
        </is>
      </c>
      <c r="I1" s="3" t="inlineStr">
        <is>
          <t>Last_Updated</t>
        </is>
      </c>
      <c r="J1" s="3" t="inlineStr">
        <is>
          <t>Weaponization_Risk</t>
        </is>
      </c>
      <c r="K1" s="3" t="inlineStr">
        <is>
          <t>Notes</t>
        </is>
      </c>
    </row>
    <row r="3">
      <c r="A3" s="6" t="inlineStr">
        <is>
          <t>EXPLOIT AVAILABILITY TRACKING:</t>
        </is>
      </c>
    </row>
    <row r="4">
      <c r="A4" s="7" t="inlineStr">
        <is>
          <t>* Track public exploit code availability (Metasploit, ExploitDB, GitHub, etc.)</t>
        </is>
      </c>
    </row>
    <row r="5">
      <c r="A5" s="7" t="inlineStr">
        <is>
          <t>* Fully_Weaponized = script kiddie can use, NO modification needed</t>
        </is>
      </c>
    </row>
    <row r="6">
      <c r="A6" s="7" t="inlineStr">
        <is>
          <t>* Higher reliability + lower skill = higher risk</t>
        </is>
      </c>
    </row>
    <row r="7">
      <c r="A7" s="7" t="inlineStr">
        <is>
          <t>* Source: Auto-populate from CVE_TI_Correlation where Exploit_Available = YES</t>
        </is>
      </c>
    </row>
  </sheetData>
  <mergeCells count="5">
    <mergeCell ref="A6:K6"/>
    <mergeCell ref="A4:K4"/>
    <mergeCell ref="A3:K3"/>
    <mergeCell ref="A7:K7"/>
    <mergeCell ref="A5:K5"/>
  </mergeCells>
  <dataValidations count="6">
    <dataValidation sqref="C2:C200" showDropDown="0" showInputMessage="0" showErrorMessage="0" allowBlank="0" type="list">
      <formula1>"Metasploit,ExploitDB,GitHub,Vendor_PoC,Underground_Forums,Other"</formula1>
    </dataValidation>
    <dataValidation sqref="D2:D200" showDropDown="0" showInputMessage="0" showErrorMessage="0" allowBlank="0" type="list">
      <formula1>"Fully_Weaponized,PoC_Code,Exploit_Technique,Unknown"</formula1>
    </dataValidation>
    <dataValidation sqref="E2:E200" showDropDown="0" showInputMessage="0" showErrorMessage="0" allowBlank="0" type="list">
      <formula1>"High,Medium,Low,Unknown"</formula1>
    </dataValidation>
    <dataValidation sqref="F2:F200" showDropDown="0" showInputMessage="0" showErrorMessage="0" allowBlank="0" type="list">
      <formula1>"Novice,Intermediate,Advanced,Expert"</formula1>
    </dataValidation>
    <dataValidation sqref="G2:G200" showDropDown="0" showInputMessage="0" showErrorMessage="0" allowBlank="0" type="list">
      <formula1>"Easily_Detected,Sometimes_Detected,Rarely_Detected,Not_Detected"</formula1>
    </dataValidation>
    <dataValidation sqref="J2:J200" showDropDown="0" showInputMessage="0" showErrorMessage="0" allowBlank="0" type="list">
      <formula1>"Critical,High,Medium,Low"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12" customWidth="1" min="3" max="3"/>
    <col width="12" customWidth="1" min="4" max="4"/>
    <col width="15" customWidth="1" min="5" max="5"/>
    <col width="12" customWidth="1" min="6" max="6"/>
    <col width="15" customWidth="1" min="7" max="7"/>
    <col width="18" customWidth="1" min="8" max="8"/>
    <col width="15" customWidth="1" min="9" max="9"/>
    <col width="25" customWidth="1" min="10" max="10"/>
    <col width="40" customWidth="1" min="11" max="11"/>
  </cols>
  <sheetData>
    <row r="1">
      <c r="A1" s="3" t="inlineStr">
        <is>
          <t>CVE_ID</t>
        </is>
      </c>
      <c r="B1" s="3" t="inlineStr">
        <is>
          <t>Vulnerability_Title</t>
        </is>
      </c>
      <c r="C1" s="3" t="inlineStr">
        <is>
          <t>CVSS_Base_Score</t>
        </is>
      </c>
      <c r="D1" s="3" t="inlineStr">
        <is>
          <t>EPSS_Score</t>
        </is>
      </c>
      <c r="E1" s="3" t="inlineStr">
        <is>
          <t>EPSS_Percentile</t>
        </is>
      </c>
      <c r="F1" s="3" t="inlineStr">
        <is>
          <t>EPSS_Trend</t>
        </is>
      </c>
      <c r="G1" s="3" t="inlineStr">
        <is>
          <t>Risk_Category</t>
        </is>
      </c>
      <c r="H1" s="3" t="inlineStr">
        <is>
          <t>Combined_Risk_Score</t>
        </is>
      </c>
      <c r="I1" s="3" t="inlineStr">
        <is>
          <t>Last_EPSS_Update</t>
        </is>
      </c>
      <c r="J1" s="3" t="inlineStr">
        <is>
          <t>Prioritization_Action</t>
        </is>
      </c>
      <c r="K1" s="3" t="inlineStr">
        <is>
          <t>Notes</t>
        </is>
      </c>
    </row>
    <row r="2">
      <c r="G2">
        <f>IF(D2&gt;0.5,"High",IF(D2&gt;0.1,"Medium","Low"))</f>
        <v/>
      </c>
      <c r="H2">
        <f>IF(AND(C2&lt;&gt;"",D2&lt;&gt;""),C2*D2,"")</f>
        <v/>
      </c>
    </row>
    <row r="4">
      <c r="A4" s="6" t="inlineStr">
        <is>
          <t>EPSS SCORING GUIDANCE:</t>
        </is>
      </c>
    </row>
    <row r="5">
      <c r="A5" s="7" t="inlineStr">
        <is>
          <t>* EPSS predicts probability of exploitation within next 30 days (0.0 to 1.0)</t>
        </is>
      </c>
    </row>
    <row r="6">
      <c r="A6" s="7" t="inlineStr">
        <is>
          <t>* High EPSS (&gt;0.5) + High CVSS = TOP PRIORITY</t>
        </is>
      </c>
    </row>
    <row r="7">
      <c r="A7" s="7" t="inlineStr">
        <is>
          <t>* Combined_Risk_Score = CVSS x EPSS (impact x likelihood)</t>
        </is>
      </c>
    </row>
    <row r="8">
      <c r="A8" s="7" t="inlineStr">
        <is>
          <t>* Source: FIRST.org EPSS data - https://www.first.org/epss/</t>
        </is>
      </c>
    </row>
  </sheetData>
  <mergeCells count="5">
    <mergeCell ref="A6:K6"/>
    <mergeCell ref="A4:K4"/>
    <mergeCell ref="A7:K7"/>
    <mergeCell ref="A5:K5"/>
    <mergeCell ref="A8:K8"/>
  </mergeCells>
  <dataValidations count="3">
    <dataValidation sqref="F2:F200" showDropDown="0" showInputMessage="0" showErrorMessage="0" allowBlank="0" type="list">
      <formula1>"Increasing,Stable,Decreasing"</formula1>
    </dataValidation>
    <dataValidation sqref="G2:G200" showDropDown="0" showInputMessage="0" showErrorMessage="0" allowBlank="0" type="list">
      <formula1>"High,Medium,Low"</formula1>
    </dataValidation>
    <dataValidation sqref="J2:J200" showDropDown="0" showInputMessage="0" showErrorMessage="0" allowBlank="0" type="list">
      <formula1>"Immediate,Priority,Standard,Monitor"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15" customWidth="1" min="3" max="3"/>
    <col width="25" customWidth="1" min="4" max="4"/>
    <col width="25" customWidth="1" min="5" max="5"/>
    <col width="20" customWidth="1" min="6" max="6"/>
    <col width="18" customWidth="1" min="7" max="7"/>
    <col width="30" customWidth="1" min="8" max="8"/>
    <col width="15" customWidth="1" min="9" max="9"/>
    <col width="12" customWidth="1" min="10" max="10"/>
    <col width="12" customWidth="1" min="11" max="11"/>
    <col width="12" customWidth="1" min="12" max="12"/>
    <col width="40" customWidth="1" min="13" max="13"/>
  </cols>
  <sheetData>
    <row r="1">
      <c r="A1" s="3" t="inlineStr">
        <is>
          <t>CVE_ID</t>
        </is>
      </c>
      <c r="B1" s="3" t="inlineStr">
        <is>
          <t>Vulnerability_Title</t>
        </is>
      </c>
      <c r="C1" s="3" t="inlineStr">
        <is>
          <t>APT_Group</t>
        </is>
      </c>
      <c r="D1" s="3" t="inlineStr">
        <is>
          <t>Campaign_Name</t>
        </is>
      </c>
      <c r="E1" s="3" t="inlineStr">
        <is>
          <t>Target_Sectors</t>
        </is>
      </c>
      <c r="F1" s="3" t="inlineStr">
        <is>
          <t>Target_Geographies</t>
        </is>
      </c>
      <c r="G1" s="3" t="inlineStr">
        <is>
          <t>Organization_Sector_Match</t>
        </is>
      </c>
      <c r="H1" s="3" t="inlineStr">
        <is>
          <t>Attack_TTPs</t>
        </is>
      </c>
      <c r="I1" s="3" t="inlineStr">
        <is>
          <t>Affected_Assets_In_Org</t>
        </is>
      </c>
      <c r="J1" s="3" t="inlineStr">
        <is>
          <t>Threat_Level</t>
        </is>
      </c>
      <c r="K1" s="3" t="inlineStr">
        <is>
          <t>First_Reported</t>
        </is>
      </c>
      <c r="L1" s="3" t="inlineStr">
        <is>
          <t>Last_Activity</t>
        </is>
      </c>
      <c r="M1" s="3" t="inlineStr">
        <is>
          <t>Notes</t>
        </is>
      </c>
    </row>
    <row r="3">
      <c r="A3" s="8" t="inlineStr">
        <is>
          <t>APT CAMPAIGN TRACKING:</t>
        </is>
      </c>
    </row>
    <row r="4">
      <c r="A4" s="7" t="inlineStr">
        <is>
          <t>* Track APT (Advanced Persistent Threat) campaigns targeting your CVEs</t>
        </is>
      </c>
    </row>
    <row r="5">
      <c r="A5" s="7" t="inlineStr">
        <is>
          <t>* If Organization_Sector_Match = YES: ELEVATED PRIORITY</t>
        </is>
      </c>
    </row>
    <row r="6">
      <c r="A6" s="7" t="inlineStr">
        <is>
          <t>* Common APT Groups: APT28/29 (Russia), APT1/10/41 (China), Lazarus (DPRK)</t>
        </is>
      </c>
    </row>
    <row r="7">
      <c r="A7" s="7" t="inlineStr">
        <is>
          <t>* Attack_TTPs: Reference MITRE ATT&amp;CK technique IDs (T1190, T1078, etc.)</t>
        </is>
      </c>
    </row>
  </sheetData>
  <mergeCells count="5">
    <mergeCell ref="A5:M5"/>
    <mergeCell ref="A6:M6"/>
    <mergeCell ref="A4:M4"/>
    <mergeCell ref="A3:M3"/>
    <mergeCell ref="A7:M7"/>
  </mergeCells>
  <dataValidations count="2">
    <dataValidation sqref="G2:G200" showDropDown="0" showInputMessage="0" showErrorMessage="0" allowBlank="0" type="list">
      <formula1>"YES,NO"</formula1>
    </dataValidation>
    <dataValidation sqref="J2:J200" showDropDown="0" showInputMessage="0" showErrorMessage="0" allowBlank="0" type="list">
      <formula1>"Critical,High,Medium,Low"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2" customWidth="1" min="4" max="4"/>
    <col width="12" customWidth="1" min="5" max="5"/>
    <col width="15" customWidth="1" min="6" max="6"/>
    <col width="50" customWidth="1" min="7" max="7"/>
    <col width="15" customWidth="1" min="8" max="8"/>
    <col width="20" customWidth="1" min="9" max="9"/>
    <col width="12" customWidth="1" min="10" max="10"/>
    <col width="12" customWidth="1" min="11" max="11"/>
    <col width="12" customWidth="1" min="12" max="12"/>
    <col width="15" customWidth="1" min="13" max="13"/>
    <col width="40" customWidth="1" min="14" max="14"/>
  </cols>
  <sheetData>
    <row r="1">
      <c r="A1" s="3" t="inlineStr">
        <is>
          <t>Emergency_ID</t>
        </is>
      </c>
      <c r="B1" s="3" t="inlineStr">
        <is>
          <t>CVE_ID</t>
        </is>
      </c>
      <c r="C1" s="3" t="inlineStr">
        <is>
          <t>Trigger_Reason</t>
        </is>
      </c>
      <c r="D1" s="3" t="inlineStr">
        <is>
          <t>Trigger_Date</t>
        </is>
      </c>
      <c r="E1" s="3" t="inlineStr">
        <is>
          <t>Affected_Assets_Count</t>
        </is>
      </c>
      <c r="F1" s="3" t="inlineStr">
        <is>
          <t>Business_Impact</t>
        </is>
      </c>
      <c r="G1" s="3" t="inlineStr">
        <is>
          <t>Required_Action</t>
        </is>
      </c>
      <c r="H1" s="3" t="inlineStr">
        <is>
          <t>Status</t>
        </is>
      </c>
      <c r="I1" s="3" t="inlineStr">
        <is>
          <t>Assigned_To</t>
        </is>
      </c>
      <c r="J1" s="3" t="inlineStr">
        <is>
          <t>CISO_Approval</t>
        </is>
      </c>
      <c r="K1" s="3" t="inlineStr">
        <is>
          <t>Target_Completion</t>
        </is>
      </c>
      <c r="L1" s="3" t="inlineStr">
        <is>
          <t>Actual_Completion</t>
        </is>
      </c>
      <c r="M1" s="3" t="inlineStr">
        <is>
          <t>Time_to_Remediate_Hours</t>
        </is>
      </c>
      <c r="N1" s="3" t="inlineStr">
        <is>
          <t>Notes</t>
        </is>
      </c>
    </row>
    <row r="2">
      <c r="A2" t="inlineStr">
        <is>
          <t>EMERG-2024-001</t>
        </is>
      </c>
      <c r="B2" t="inlineStr">
        <is>
          <t>CVE-2024-1234</t>
        </is>
      </c>
      <c r="C2" t="inlineStr">
        <is>
          <t>Both</t>
        </is>
      </c>
      <c r="D2" t="inlineStr">
        <is>
          <t>2024-12-15</t>
        </is>
      </c>
      <c r="E2" t="n">
        <v>12</v>
      </c>
      <c r="F2" t="inlineStr">
        <is>
          <t>Critical</t>
        </is>
      </c>
      <c r="G2" t="inlineStr">
        <is>
          <t>Apply Log4j patches immediately</t>
        </is>
      </c>
      <c r="H2" t="inlineStr">
        <is>
          <t>Complete</t>
        </is>
      </c>
      <c r="I2" t="inlineStr">
        <is>
          <t>Security Team</t>
        </is>
      </c>
      <c r="J2" t="inlineStr">
        <is>
          <t>YES</t>
        </is>
      </c>
      <c r="K2" t="inlineStr">
        <is>
          <t>2024-12-17</t>
        </is>
      </c>
      <c r="L2" t="inlineStr">
        <is>
          <t>2024-12-16</t>
        </is>
      </c>
      <c r="M2">
        <f>IF(L2&lt;&gt;"",L2-D2,"")*24</f>
        <v/>
      </c>
      <c r="N2" t="inlineStr">
        <is>
          <t>Emergency patching completed within 24h SLA</t>
        </is>
      </c>
    </row>
    <row r="3">
      <c r="A3" t="inlineStr">
        <is>
          <t>EMERG-2025-001</t>
        </is>
      </c>
      <c r="B3" t="inlineStr">
        <is>
          <t>CVE-2024-5678</t>
        </is>
      </c>
      <c r="C3" t="inlineStr">
        <is>
          <t>KEV</t>
        </is>
      </c>
      <c r="D3" t="inlineStr">
        <is>
          <t>2025-01-02</t>
        </is>
      </c>
      <c r="E3" t="n">
        <v>5</v>
      </c>
      <c r="F3" t="inlineStr">
        <is>
          <t>High</t>
        </is>
      </c>
      <c r="G3" t="inlineStr">
        <is>
          <t>Apply Exchange security updates</t>
        </is>
      </c>
      <c r="H3" t="inlineStr">
        <is>
          <t>In_Progress</t>
        </is>
      </c>
      <c r="I3" t="inlineStr">
        <is>
          <t>System Admin</t>
        </is>
      </c>
      <c r="J3" t="inlineStr">
        <is>
          <t>YES</t>
        </is>
      </c>
      <c r="K3" t="inlineStr">
        <is>
          <t>2025-01-04</t>
        </is>
      </c>
      <c r="L3" t="inlineStr"/>
      <c r="M3">
        <f>IF(L2&lt;&gt;"",L2-D2,"")*24</f>
        <v/>
      </c>
      <c r="N3" t="inlineStr">
        <is>
          <t>Scheduled for weekend maintenance window</t>
        </is>
      </c>
    </row>
    <row r="4">
      <c r="M4">
        <f>IF(L4&lt;&gt;"",L4-D4,"")*24</f>
        <v/>
      </c>
    </row>
    <row r="5">
      <c r="M5">
        <f>IF(L5&lt;&gt;"",L5-D5,"")*24</f>
        <v/>
      </c>
    </row>
    <row r="6">
      <c r="M6">
        <f>IF(L6&lt;&gt;"",L6-D6,"")*24</f>
        <v/>
      </c>
    </row>
    <row r="7">
      <c r="M7">
        <f>IF(L7&lt;&gt;"",L7-D7,"")*24</f>
        <v/>
      </c>
    </row>
    <row r="8">
      <c r="M8">
        <f>IF(L8&lt;&gt;"",L8-D8,"")*24</f>
        <v/>
      </c>
    </row>
    <row r="9">
      <c r="M9">
        <f>IF(L9&lt;&gt;"",L9-D9,"")*24</f>
        <v/>
      </c>
    </row>
    <row r="10">
      <c r="M10">
        <f>IF(L10&lt;&gt;"",L10-D10,"")*24</f>
        <v/>
      </c>
    </row>
    <row r="11">
      <c r="M11">
        <f>IF(L11&lt;&gt;"",L11-D11,"")*24</f>
        <v/>
      </c>
    </row>
    <row r="12">
      <c r="M12">
        <f>IF(L12&lt;&gt;"",L12-D12,"")*24</f>
        <v/>
      </c>
    </row>
    <row r="13">
      <c r="M13">
        <f>IF(L13&lt;&gt;"",L13-D13,"")*24</f>
        <v/>
      </c>
    </row>
    <row r="14">
      <c r="M14">
        <f>IF(L14&lt;&gt;"",L14-D14,"")*24</f>
        <v/>
      </c>
    </row>
    <row r="15">
      <c r="M15">
        <f>IF(L15&lt;&gt;"",L15-D15,"")*24</f>
        <v/>
      </c>
    </row>
    <row r="16">
      <c r="M16">
        <f>IF(L16&lt;&gt;"",L16-D16,"")*24</f>
        <v/>
      </c>
    </row>
    <row r="17">
      <c r="M17">
        <f>IF(L17&lt;&gt;"",L17-D17,"")*24</f>
        <v/>
      </c>
    </row>
    <row r="18">
      <c r="M18">
        <f>IF(L18&lt;&gt;"",L18-D18,"")*24</f>
        <v/>
      </c>
    </row>
    <row r="19">
      <c r="M19">
        <f>IF(L19&lt;&gt;"",L19-D19,"")*24</f>
        <v/>
      </c>
    </row>
    <row r="20">
      <c r="M20">
        <f>IF(L20&lt;&gt;"",L20-D20,"")*24</f>
        <v/>
      </c>
    </row>
    <row r="22">
      <c r="A22" s="8" t="inlineStr">
        <is>
          <t>EMERGENCY PATCHING WORKFLOW:</t>
        </is>
      </c>
    </row>
    <row r="23">
      <c r="A23" s="7" t="inlineStr">
        <is>
          <t>1. Auto-populate from Sheet 2 where Emergency_Patching = YES</t>
        </is>
      </c>
    </row>
    <row r="24">
      <c r="A24" s="7" t="inlineStr">
        <is>
          <t>2. OR manually add if KEV or Active Exploitation is discovered</t>
        </is>
      </c>
    </row>
    <row r="25">
      <c r="A25" s="7" t="inlineStr">
        <is>
          <t>3. Obtain CISO approval for emergency change (Column J)</t>
        </is>
      </c>
    </row>
    <row r="26">
      <c r="A26" s="7" t="inlineStr">
        <is>
          <t>4. Target completion: 24-48 hours from trigger date</t>
        </is>
      </c>
    </row>
    <row r="27">
      <c r="A27" s="7" t="inlineStr">
        <is>
          <t>5. Update status through lifecycle: Open -&gt; In_Progress -&gt; Complete</t>
        </is>
      </c>
    </row>
    <row r="28">
      <c r="A28" s="7" t="inlineStr">
        <is>
          <t>6. Document actual completion time for SLA tracking</t>
        </is>
      </c>
    </row>
  </sheetData>
  <mergeCells count="7">
    <mergeCell ref="A27:N27"/>
    <mergeCell ref="A22:N22"/>
    <mergeCell ref="A26:N26"/>
    <mergeCell ref="A24:N24"/>
    <mergeCell ref="A25:N25"/>
    <mergeCell ref="A28:N28"/>
    <mergeCell ref="A23:N23"/>
  </mergeCells>
  <conditionalFormatting sqref="H2:H100">
    <cfRule type="cellIs" priority="1" operator="equal" dxfId="2">
      <formula>"Open"</formula>
    </cfRule>
  </conditionalFormatting>
  <dataValidations count="4">
    <dataValidation sqref="C2:C100" showDropDown="0" showInputMessage="0" showErrorMessage="0" allowBlank="0" type="list">
      <formula1>"KEV,Active_Exploitation,Both"</formula1>
    </dataValidation>
    <dataValidation sqref="F2:F100" showDropDown="0" showInputMessage="0" showErrorMessage="0" allowBlank="0" type="list">
      <formula1>"Critical,High"</formula1>
    </dataValidation>
    <dataValidation sqref="H2:H100" showDropDown="0" showInputMessage="0" showErrorMessage="0" allowBlank="0" type="list">
      <formula1>"Open,In_Progress,Complete,Escalated"</formula1>
    </dataValidation>
    <dataValidation sqref="J2:J100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2" customWidth="1" min="4" max="4"/>
    <col width="50" customWidth="1" min="5" max="5"/>
  </cols>
  <sheetData>
    <row r="1">
      <c r="A1" s="9" t="inlineStr">
        <is>
          <t>TI EFFECTIVENESS METRICS</t>
        </is>
      </c>
    </row>
    <row r="3">
      <c r="A3" s="3" t="inlineStr">
        <is>
          <t>Metric</t>
        </is>
      </c>
      <c r="B3" s="3" t="inlineStr">
        <is>
          <t>Current_Value</t>
        </is>
      </c>
      <c r="C3" s="3" t="inlineStr">
        <is>
          <t>Target</t>
        </is>
      </c>
      <c r="D3" s="3" t="inlineStr">
        <is>
          <t>Status</t>
        </is>
      </c>
      <c r="E3" s="3" t="inlineStr">
        <is>
          <t>Notes</t>
        </is>
      </c>
    </row>
    <row r="4">
      <c r="A4" t="inlineStr">
        <is>
          <t>TI Coverage %</t>
        </is>
      </c>
      <c r="B4">
        <f>COUNTIF(CVE_TI_Correlation!F:F,"YES")/COUNTA(CVE_TI_Correlation!A:A)*100</f>
        <v/>
      </c>
      <c r="C4" t="inlineStr">
        <is>
          <t>&gt;=80%</t>
        </is>
      </c>
      <c r="D4">
        <f>IF(B4&gt;=80,"GREEN","RED")</f>
        <v/>
      </c>
      <c r="E4" t="inlineStr">
        <is>
          <t>% of CVEs with TI enrichment</t>
        </is>
      </c>
    </row>
    <row r="5">
      <c r="A5" t="inlineStr">
        <is>
          <t>Avg TI Latency (hours)</t>
        </is>
      </c>
      <c r="B5" t="inlineStr"/>
      <c r="C5" t="inlineStr">
        <is>
          <t>&lt;=24</t>
        </is>
      </c>
      <c r="D5">
        <f>IF(B5&lt;=24,"GREEN",IF(B5&lt;=48,"YELLOW","RED"))</f>
        <v/>
      </c>
      <c r="E5" t="inlineStr">
        <is>
          <t>CVE discovery to TI enrichment</t>
        </is>
      </c>
    </row>
    <row r="6">
      <c r="A6" t="inlineStr">
        <is>
          <t>KEV Response Time (days)</t>
        </is>
      </c>
      <c r="B6" t="inlineStr"/>
      <c r="C6" t="inlineStr">
        <is>
          <t>&lt;=7</t>
        </is>
      </c>
      <c r="D6">
        <f>IF(B6&lt;=7,"GREEN","RED")</f>
        <v/>
      </c>
      <c r="E6" t="inlineStr">
        <is>
          <t>KEV addition to remediation</t>
        </is>
      </c>
    </row>
    <row r="7">
      <c r="A7" t="inlineStr">
        <is>
          <t>Emergency Patch SLA Compliance %</t>
        </is>
      </c>
      <c r="B7" t="inlineStr"/>
      <c r="C7" t="inlineStr">
        <is>
          <t>&gt;=95%</t>
        </is>
      </c>
      <c r="D7">
        <f>IF(B7&gt;=95,"GREEN",IF(B7&gt;=90,"YELLOW","RED"))</f>
        <v/>
      </c>
      <c r="E7" t="inlineStr">
        <is>
          <t>Emergencies completed within SLA</t>
        </is>
      </c>
    </row>
    <row r="8">
      <c r="A8" t="inlineStr">
        <is>
          <t>False Positive Rate %</t>
        </is>
      </c>
      <c r="B8" t="inlineStr"/>
      <c r="C8" t="inlineStr">
        <is>
          <t>&lt;=5%</t>
        </is>
      </c>
      <c r="D8">
        <f>IF(B8&lt;=5,"GREEN",IF(B8&lt;=10,"YELLOW","RED"))</f>
        <v/>
      </c>
      <c r="E8" t="inlineStr">
        <is>
          <t>TI alerts that were not applicable</t>
        </is>
      </c>
    </row>
    <row r="9">
      <c r="A9" t="inlineStr">
        <is>
          <t>Active TI Sources</t>
        </is>
      </c>
      <c r="B9">
        <f>COUNTIF(Reference!J:J,"Active")</f>
        <v/>
      </c>
      <c r="C9" t="inlineStr">
        <is>
          <t>&gt;=3</t>
        </is>
      </c>
      <c r="D9">
        <f>IF(B9&gt;=3,"GREEN","YELLOW")</f>
        <v/>
      </c>
      <c r="E9" t="inlineStr">
        <is>
          <t>Count of active TI data sources</t>
        </is>
      </c>
    </row>
    <row r="10">
      <c r="A10" t="inlineStr">
        <is>
          <t>High EPSS CVE Count (&gt;0.5)</t>
        </is>
      </c>
      <c r="B10">
        <f>COUNTIF(EPSS_Scoring!D:D,"&gt;0.5")</f>
        <v/>
      </c>
      <c r="C10" t="inlineStr">
        <is>
          <t>Monitor</t>
        </is>
      </c>
      <c r="D10" t="inlineStr">
        <is>
          <t>Info</t>
        </is>
      </c>
      <c r="E10" t="inlineStr">
        <is>
          <t>CVEs with high exploitation probability</t>
        </is>
      </c>
    </row>
    <row r="11">
      <c r="A11" t="inlineStr">
        <is>
          <t>APT Targeted CVE Count</t>
        </is>
      </c>
      <c r="B11">
        <f>COUNTA(APT_Campaign_Tracking!A:A)-1</f>
        <v/>
      </c>
      <c r="C11" t="inlineStr">
        <is>
          <t>Monitor</t>
        </is>
      </c>
      <c r="D11" t="inlineStr">
        <is>
          <t>Info</t>
        </is>
      </c>
      <c r="E11" t="inlineStr">
        <is>
          <t>CVEs targeted by APT campaigns</t>
        </is>
      </c>
    </row>
    <row r="14">
      <c r="A14" s="10" t="inlineStr">
        <is>
          <t>MONTHLY REVIEW QUESTIONS:</t>
        </is>
      </c>
    </row>
    <row r="15">
      <c r="A15" s="11" t="inlineStr">
        <is>
          <t>* Is TI coverage improving month-over-month?</t>
        </is>
      </c>
    </row>
    <row r="16">
      <c r="A16" s="11" t="inlineStr">
        <is>
          <t>* Is latency decreasing (faster enrichment)?</t>
        </is>
      </c>
    </row>
    <row r="17">
      <c r="A17" s="11" t="inlineStr">
        <is>
          <t>* Are we meeting KEV 7-day SLA consistently?</t>
        </is>
      </c>
    </row>
    <row r="18">
      <c r="A18" s="11" t="inlineStr">
        <is>
          <t>* Are emergencies ACTUALLY emergencies? (false positive check)</t>
        </is>
      </c>
    </row>
    <row r="19">
      <c r="A19" s="11" t="inlineStr">
        <is>
          <t>* Is TI integration worth the effort? (ROI analysis)</t>
        </is>
      </c>
    </row>
  </sheetData>
  <mergeCells count="7">
    <mergeCell ref="A16:E16"/>
    <mergeCell ref="A15:E15"/>
    <mergeCell ref="A19:E19"/>
    <mergeCell ref="A1:E1"/>
    <mergeCell ref="A14:E14"/>
    <mergeCell ref="A17:E17"/>
    <mergeCell ref="A18:E18"/>
  </mergeCells>
  <dataValidations count="1">
    <dataValidation sqref="D4:D20" showDropDown="0" showInputMessage="0" showErrorMessage="0" allowBlank="0" type="list">
      <formula1>"GREEN,YELLOW,RED,Info"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12" t="inlineStr">
        <is>
          <t>THREAT INTELLIGENCE INDICATORS - MANUAL TRACKING</t>
        </is>
      </c>
    </row>
    <row r="3">
      <c r="A3" s="2" t="inlineStr">
        <is>
          <t>PURPOSE</t>
        </is>
      </c>
    </row>
    <row r="4">
      <c r="A4" s="13" t="inlineStr">
        <is>
          <t>This workbook enables manual tracking of threat intelligence indicators for vulnerability prioritization.</t>
        </is>
      </c>
    </row>
    <row r="6">
      <c r="A6" s="14" t="inlineStr">
        <is>
          <t>This is a STANDALONE workbook - no Control 5.7 integration required.</t>
        </is>
      </c>
    </row>
    <row r="9">
      <c r="A9" s="2" t="inlineStr">
        <is>
          <t>PRIMARY TI DATA SOURCES (FREE)</t>
        </is>
      </c>
    </row>
    <row r="10">
      <c r="A10" s="1" t="inlineStr">
        <is>
          <t>CISA KEV Catalog</t>
        </is>
      </c>
      <c r="B10" t="inlineStr">
        <is>
          <t>https://www.cisa.gov/known-exploited-vulnerabilities-catalog</t>
        </is>
      </c>
    </row>
    <row r="11">
      <c r="A11" s="1" t="inlineStr">
        <is>
          <t>FIRST EPSS</t>
        </is>
      </c>
      <c r="B11" t="inlineStr">
        <is>
          <t>https://www.first.org/epss/</t>
        </is>
      </c>
    </row>
    <row r="12">
      <c r="A12" s="1" t="inlineStr">
        <is>
          <t>NVD (NIST)</t>
        </is>
      </c>
      <c r="B12" t="inlineStr">
        <is>
          <t>https://nvd.nist.gov/</t>
        </is>
      </c>
    </row>
    <row r="13">
      <c r="A13" s="1" t="inlineStr">
        <is>
          <t>Exploit-DB</t>
        </is>
      </c>
      <c r="B13" t="inlineStr">
        <is>
          <t>https://www.exploit-db.com/</t>
        </is>
      </c>
    </row>
    <row r="14">
      <c r="A14" s="1" t="inlineStr">
        <is>
          <t>GitHub Security Advisories</t>
        </is>
      </c>
      <c r="B14" t="inlineStr">
        <is>
          <t>https://github.com/advisories</t>
        </is>
      </c>
    </row>
    <row r="15">
      <c r="A15" s="1" t="inlineStr">
        <is>
          <t>CVE Details</t>
        </is>
      </c>
      <c r="B15" t="inlineStr">
        <is>
          <t>https://www.cvedetails.com/</t>
        </is>
      </c>
    </row>
    <row r="18">
      <c r="A18" s="2" t="inlineStr">
        <is>
          <t>RELATED POLICIES</t>
        </is>
      </c>
    </row>
    <row r="19">
      <c r="A19" t="inlineStr">
        <is>
          <t>ISMS-POL-A.8.8-S2</t>
        </is>
      </c>
      <c r="B19" t="inlineStr">
        <is>
          <t>Vulnerability Assessment Requirements</t>
        </is>
      </c>
    </row>
    <row r="20">
      <c r="A20" t="inlineStr">
        <is>
          <t>ISMS-POL-A.8.8-S2</t>
        </is>
      </c>
      <c r="B20" t="inlineStr">
        <is>
          <t>Section 2.2.3 - Threat Intelligence Integration</t>
        </is>
      </c>
    </row>
    <row r="23">
      <c r="A23" s="2" t="inlineStr">
        <is>
          <t>RELATED WORKBOOKS</t>
        </is>
      </c>
    </row>
    <row r="24">
      <c r="A24" t="inlineStr">
        <is>
          <t>ISMS-IMP-A.8.8.3</t>
        </is>
      </c>
      <c r="B24" t="inlineStr">
        <is>
          <t>Scoring Policy (defines TI modifiers)</t>
        </is>
      </c>
    </row>
    <row r="25">
      <c r="A25" t="inlineStr">
        <is>
          <t>ISMS-IMP-A.8.8.5</t>
        </is>
      </c>
      <c r="B25" t="inlineStr">
        <is>
          <t>Vulnerability Inventory (applies TI flags)</t>
        </is>
      </c>
    </row>
    <row r="26">
      <c r="A26" t="inlineStr">
        <is>
          <t>ISMS-IMP-A.8.8.8</t>
        </is>
      </c>
      <c r="B26" t="inlineStr">
        <is>
          <t>Remediation Tracking (emergency triggers)</t>
        </is>
      </c>
    </row>
    <row r="29">
      <c r="A29" s="2" t="inlineStr">
        <is>
          <t>CONTACT INFORMATION</t>
        </is>
      </c>
    </row>
    <row r="30">
      <c r="A30" s="1" t="inlineStr">
        <is>
          <t>Role</t>
        </is>
      </c>
      <c r="B30" s="1" t="inlineStr">
        <is>
          <t>Contact</t>
        </is>
      </c>
    </row>
    <row r="31">
      <c r="A31" t="inlineStr">
        <is>
          <t>Vulnerability Management Coordinator</t>
        </is>
      </c>
      <c r="B31" t="inlineStr">
        <is>
          <t>vm-coordinator@example.com</t>
        </is>
      </c>
    </row>
    <row r="32">
      <c r="A32" t="inlineStr">
        <is>
          <t>Security Operations Center</t>
        </is>
      </c>
      <c r="B32" t="inlineStr">
        <is>
          <t>soc@example.com</t>
        </is>
      </c>
    </row>
    <row r="33">
      <c r="A33" t="inlineStr">
        <is>
          <t>CISO</t>
        </is>
      </c>
      <c r="B33" t="inlineStr">
        <is>
          <t>ciso@example.com</t>
        </is>
      </c>
    </row>
    <row r="36">
      <c r="A36" s="15" t="inlineStr">
        <is>
          <t>OPTIONAL: CONTROL 5.7 INTEGRATION</t>
        </is>
      </c>
    </row>
    <row r="37">
      <c r="A37" t="inlineStr">
        <is>
          <t>Organizations implementing Control 5.7 (Threat Intelligence) can use those workbooks</t>
        </is>
      </c>
    </row>
    <row r="38">
      <c r="A38" t="inlineStr">
        <is>
          <t>as authoritative data sources for this manual tracker. Reference Control 5.7 workbooks</t>
        </is>
      </c>
    </row>
    <row r="39">
      <c r="A39" t="inlineStr">
        <is>
          <t>in the TI_Data_Source column (Sheet 2, Column L) when pulling data from them.</t>
        </is>
      </c>
    </row>
  </sheetData>
  <mergeCells count="7">
    <mergeCell ref="A4:B4"/>
    <mergeCell ref="A38:B38"/>
    <mergeCell ref="A37:B37"/>
    <mergeCell ref="A36:B36"/>
    <mergeCell ref="A1:B1"/>
    <mergeCell ref="A6:B6"/>
    <mergeCell ref="A39:B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2026-02-08T10:50:10Z</dcterms:created>
  <dcterms:modified xmlns:dcterms="http://purl.org/dc/terms/" xmlns:xsi="http://www.w3.org/2001/XMLSchema-instance" xsi:type="dcterms:W3CDTF">2026-02-08T10:50:10Z</dcterms:modified>
</cp:coreProperties>
</file>