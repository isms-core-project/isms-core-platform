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Vulnerability_Inventory" sheetId="2" state="visible" r:id="rId2"/>
    <sheet xmlns:r="http://schemas.openxmlformats.org/officeDocument/2006/relationships" name="Wormable_Vulnerabilities" sheetId="3" state="visible" r:id="rId3"/>
    <sheet xmlns:r="http://schemas.openxmlformats.org/officeDocument/2006/relationships" name="Safety_Critical" sheetId="4" state="visible" r:id="rId4"/>
    <sheet xmlns:r="http://schemas.openxmlformats.org/officeDocument/2006/relationships" name="Asset_Vulnerability_Matrix" sheetId="5" state="visible" r:id="rId5"/>
    <sheet xmlns:r="http://schemas.openxmlformats.org/officeDocument/2006/relationships" name="Scoring_Application" sheetId="6" state="visible" r:id="rId6"/>
    <sheet xmlns:r="http://schemas.openxmlformats.org/officeDocument/2006/relationships" name="Scoring_Transition" sheetId="7" state="visible" r:id="rId7"/>
    <sheet xmlns:r="http://schemas.openxmlformats.org/officeDocument/2006/relationships" name="Risk_Classification" sheetId="8" state="visible" r:id="rId8"/>
    <sheet xmlns:r="http://schemas.openxmlformats.org/officeDocument/2006/relationships" name="Remediation_Planning" sheetId="9" state="visible" r:id="rId9"/>
    <sheet xmlns:r="http://schemas.openxmlformats.org/officeDocument/2006/relationships" name="Historical_Trends" sheetId="10" state="visible" r:id="rId10"/>
    <sheet xmlns:r="http://schemas.openxmlformats.org/officeDocument/2006/relationships" name="Refere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b val="1"/>
      <color rgb="00FF0000"/>
      <sz val="12"/>
    </font>
    <font>
      <b val="1"/>
      <color rgb="00FFFFFF"/>
      <sz val="11"/>
    </font>
    <font>
      <b val="1"/>
      <color rgb="00FF0000"/>
    </font>
    <font>
      <i val="1"/>
      <sz val="9"/>
    </font>
    <font>
      <b val="1"/>
      <color rgb="000000FF"/>
    </font>
    <font>
      <b val="1"/>
      <color rgb="00003366"/>
      <sz val="14"/>
    </font>
    <font>
      <b val="1"/>
      <sz val="12"/>
    </font>
    <font>
      <b val="1"/>
      <sz val="14"/>
    </font>
    <font>
      <i val="1"/>
      <color rgb="000000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8B0000"/>
          <bgColor rgb="008B0000"/>
        </patternFill>
      </fill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8C00"/>
          <bgColor rgb="00FF8C00"/>
        </patternFill>
      </fill>
    </dxf>
    <dxf>
      <font>
        <b val="1"/>
        <color rgb="0000008B"/>
      </font>
      <fill>
        <patternFill patternType="solid">
          <fgColor rgb="00ADD8E6"/>
          <bgColor rgb="00ADD8E6"/>
        </patternFill>
      </fill>
    </dxf>
    <dxf>
      <fill>
        <patternFill patternType="solid">
          <fgColor rgb="00FFEB9C"/>
          <bgColor rgb="00FFEB9C"/>
        </patternFill>
      </fill>
    </dxf>
    <dxf>
      <font>
        <b val="1"/>
        <color rgb="00FF0000"/>
      </font>
      <fill>
        <patternFill patternType="solid">
          <fgColor rgb="00FFB6C1"/>
          <bgColor rgb="00FFB6C1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ISMS Generator</author>
  </authors>
  <commentList>
    <comment ref="K1" authorId="0" shapeId="0">
      <text>
        <t>AUTO-CALCULATED: Uses v4.0 if available, else v3.1. Formula selects based on CVSS_Version (Column J).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10" customWidth="1" min="4" max="4"/>
  </cols>
  <sheetData>
    <row r="1">
      <c r="A1" s="1" t="inlineStr">
        <is>
          <t>Workbook ID</t>
        </is>
      </c>
      <c r="B1" t="inlineStr">
        <is>
          <t>ISMS-IMP-A.8.8.5</t>
        </is>
      </c>
    </row>
    <row r="2">
      <c r="A2" s="1" t="inlineStr">
        <is>
          <t>Workbook Title</t>
        </is>
      </c>
      <c r="B2" t="inlineStr">
        <is>
          <t>Vulnerability Inventory</t>
        </is>
      </c>
    </row>
    <row r="3">
      <c r="A3" s="1" t="inlineStr">
        <is>
          <t>Version</t>
        </is>
      </c>
      <c r="B3" t="inlineStr">
        <is>
          <t>1.0</t>
        </is>
      </c>
    </row>
    <row r="4">
      <c r="A4" s="1" t="inlineStr">
        <is>
          <t>Generated Date</t>
        </is>
      </c>
      <c r="B4" t="inlineStr">
        <is>
          <t>2026-02-08 11:50:10</t>
        </is>
      </c>
    </row>
    <row r="5">
      <c r="A5" s="1" t="inlineStr">
        <is>
          <t>Owner</t>
        </is>
      </c>
      <c r="B5" t="inlineStr">
        <is>
          <t>Vulnerability Management Coordinator</t>
        </is>
      </c>
    </row>
    <row r="6">
      <c r="A6" s="1" t="inlineStr">
        <is>
          <t>Review Frequency</t>
        </is>
      </c>
      <c r="B6" t="inlineStr">
        <is>
          <t>Monthly</t>
        </is>
      </c>
    </row>
    <row r="7">
      <c r="A7" s="1" t="inlineStr">
        <is>
          <t>Status</t>
        </is>
      </c>
      <c r="B7" t="inlineStr">
        <is>
          <t>Active</t>
        </is>
      </c>
    </row>
    <row r="8">
      <c r="A8" t="inlineStr"/>
      <c r="B8" t="inlineStr"/>
    </row>
    <row r="9">
      <c r="A9" s="1" t="inlineStr">
        <is>
          <t>Related Workbooks</t>
        </is>
      </c>
      <c r="B9" t="inlineStr">
        <is>
          <t>A.8.8.1, A.8.8.3, A.8.8.4</t>
        </is>
      </c>
    </row>
    <row r="10">
      <c r="A10" s="1" t="inlineStr">
        <is>
          <t>Related Policy</t>
        </is>
      </c>
      <c r="B10" t="inlineStr">
        <is>
          <t>ISMS-POL-A.8.8-S2</t>
        </is>
      </c>
    </row>
    <row r="11">
      <c r="A11" s="1" t="inlineStr">
        <is>
          <t>ISO Control</t>
        </is>
      </c>
      <c r="B11" t="inlineStr">
        <is>
          <t>A.8.8</t>
        </is>
      </c>
    </row>
    <row r="15">
      <c r="A15" s="2" t="inlineStr">
        <is>
          <t>VULNERABILITY INVENTORY DASHBOARD</t>
        </is>
      </c>
    </row>
    <row r="16">
      <c r="A16" s="3" t="inlineStr">
        <is>
          <t>Metric</t>
        </is>
      </c>
      <c r="B16" s="3" t="inlineStr">
        <is>
          <t>Value</t>
        </is>
      </c>
      <c r="C16" s="3" t="inlineStr">
        <is>
          <t>Target</t>
        </is>
      </c>
      <c r="D16" s="3" t="inlineStr">
        <is>
          <t>Status</t>
        </is>
      </c>
    </row>
    <row r="17">
      <c r="A17" t="inlineStr">
        <is>
          <t>Total Vulnerabilities</t>
        </is>
      </c>
      <c r="B17">
        <f>COUNTA(Vulnerability_Inventory!A2:A1000)</f>
        <v/>
      </c>
      <c r="C17" t="inlineStr">
        <is>
          <t>N/A</t>
        </is>
      </c>
      <c r="D17" t="inlineStr">
        <is>
          <t>Info</t>
        </is>
      </c>
    </row>
    <row r="18">
      <c r="A18" t="inlineStr">
        <is>
          <t>Critical (P0) Count</t>
        </is>
      </c>
      <c r="B18">
        <f>COUNTIF(Vulnerability_Inventory!V2:V1000,"P0")</f>
        <v/>
      </c>
      <c r="C18" t="inlineStr">
        <is>
          <t>0</t>
        </is>
      </c>
      <c r="D18">
        <f>IF(B18&gt;0,"🚨","✓")</f>
        <v/>
      </c>
    </row>
    <row r="19">
      <c r="A19" t="inlineStr">
        <is>
          <t>High (P1) Count</t>
        </is>
      </c>
      <c r="B19">
        <f>COUNTIF(Vulnerability_Inventory!V2:V1000,"P1")</f>
        <v/>
      </c>
      <c r="C19" t="inlineStr">
        <is>
          <t>≤5</t>
        </is>
      </c>
      <c r="D19">
        <f>IF(B19&gt;5,"⚠","✓")</f>
        <v/>
      </c>
    </row>
    <row r="20">
      <c r="A20" t="inlineStr">
        <is>
          <t>Overdue Remediation</t>
        </is>
      </c>
      <c r="B20">
        <f>COUNTIF(Remediation_Planning!K2:K500,"Overdue")</f>
        <v/>
      </c>
      <c r="C20" t="inlineStr">
        <is>
          <t>0</t>
        </is>
      </c>
      <c r="D20">
        <f>IF(B20&gt;0,"🚨","✓")</f>
        <v/>
      </c>
    </row>
    <row r="21">
      <c r="A21" t="inlineStr">
        <is>
          <t>Average Age (days)</t>
        </is>
      </c>
      <c r="B21">
        <f>IFERROR(AVERAGE(Vulnerability_Inventory!E2:E1000),0)</f>
        <v/>
      </c>
      <c r="C21" t="inlineStr">
        <is>
          <t>≤30</t>
        </is>
      </c>
      <c r="D21">
        <f>IF(B21&gt;30,"⚠","✓")</f>
        <v/>
      </c>
    </row>
    <row r="22">
      <c r="A22" t="inlineStr">
        <is>
          <t>Assets Affected</t>
        </is>
      </c>
      <c r="B22">
        <f>COUNTA(Asset_Vulnerability_Matrix!A2:A2000)</f>
        <v/>
      </c>
      <c r="C22" t="inlineStr">
        <is>
          <t>N/A</t>
        </is>
      </c>
      <c r="D22" t="inlineStr">
        <is>
          <t>Info</t>
        </is>
      </c>
    </row>
    <row r="23">
      <c r="A23" t="inlineStr">
        <is>
          <t>KEV Vulnerabilities</t>
        </is>
      </c>
      <c r="B23">
        <f>COUNTIF(Vulnerability_Inventory!F2:F1000,"YES")</f>
        <v/>
      </c>
      <c r="C23" t="inlineStr">
        <is>
          <t>0</t>
        </is>
      </c>
      <c r="D23">
        <f>IF(B23&gt;0,"🚨","✓")</f>
        <v/>
      </c>
    </row>
    <row r="24">
      <c r="A24" t="inlineStr">
        <is>
          <t>Active Exploitation</t>
        </is>
      </c>
      <c r="B24">
        <f>COUNTIF(Vulnerability_Inventory!G2:G1000,"YES")</f>
        <v/>
      </c>
      <c r="C24" t="inlineStr">
        <is>
          <t>0</t>
        </is>
      </c>
      <c r="D24">
        <f>IF(B24&gt;0,"🚨","✓")</f>
        <v/>
      </c>
    </row>
  </sheetData>
  <mergeCells count="1">
    <mergeCell ref="A15:D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20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4" customWidth="1" min="10" max="10"/>
    <col width="14" customWidth="1" min="11" max="11"/>
    <col width="12" customWidth="1" min="12" max="12"/>
    <col width="12" customWidth="1" min="13" max="13"/>
    <col width="85" customWidth="1" min="14" max="14"/>
    <col width="85" customWidth="1" min="15" max="15"/>
    <col width="14" customWidth="1" min="16" max="16"/>
    <col width="14" customWidth="1" min="17" max="17"/>
    <col width="16" customWidth="1" min="18" max="18"/>
    <col width="14" customWidth="1" min="19" max="19"/>
    <col width="12" customWidth="1" min="20" max="20"/>
    <col width="10" customWidth="1" min="21" max="21"/>
    <col width="10" customWidth="1" min="22" max="22"/>
    <col width="12" customWidth="1" min="23" max="23"/>
    <col width="12" customWidth="1" min="24" max="24"/>
    <col width="15" customWidth="1" min="25" max="25"/>
    <col width="15" customWidth="1" min="26" max="26"/>
    <col width="20" customWidth="1" min="27" max="27"/>
    <col width="15" customWidth="1" min="28" max="28"/>
    <col width="12" customWidth="1" min="29" max="29"/>
    <col width="40" customWidth="1" min="30" max="30"/>
  </cols>
  <sheetData>
    <row r="1">
      <c r="A1" s="3" t="inlineStr">
        <is>
          <t>CVE_ID</t>
        </is>
      </c>
      <c r="B1" s="3" t="inlineStr">
        <is>
          <t>Vulnerability_Title</t>
        </is>
      </c>
      <c r="C1" s="3" t="inlineStr">
        <is>
          <t>Discovery_Date</t>
        </is>
      </c>
      <c r="D1" s="3" t="inlineStr">
        <is>
          <t>Discovery_Source</t>
        </is>
      </c>
      <c r="E1" s="3" t="inlineStr">
        <is>
          <t>Days_Since_Discovery</t>
        </is>
      </c>
      <c r="F1" s="3" t="inlineStr">
        <is>
          <t>KEV_Listed</t>
        </is>
      </c>
      <c r="G1" s="3" t="inlineStr">
        <is>
          <t>Active_Exploitation</t>
        </is>
      </c>
      <c r="H1" s="3" t="inlineStr">
        <is>
          <t>Exploit_Available</t>
        </is>
      </c>
      <c r="I1" s="3" t="inlineStr">
        <is>
          <t>EPSS_Score</t>
        </is>
      </c>
      <c r="J1" s="3" t="inlineStr">
        <is>
          <t>CVSS_Version</t>
        </is>
      </c>
      <c r="K1" s="3" t="inlineStr">
        <is>
          <t>CVSS_Primary_Score</t>
        </is>
      </c>
      <c r="L1" s="3" t="inlineStr">
        <is>
          <t>CVSS_v40_Score</t>
        </is>
      </c>
      <c r="M1" s="3" t="inlineStr">
        <is>
          <t>CVSS_v31_Score</t>
        </is>
      </c>
      <c r="N1" s="3" t="inlineStr">
        <is>
          <t>CVSS_v40_Vector</t>
        </is>
      </c>
      <c r="O1" s="3" t="inlineStr">
        <is>
          <t>CVSS_v31_Vector</t>
        </is>
      </c>
      <c r="P1" s="3" t="inlineStr">
        <is>
          <t>Supplemental_AU</t>
        </is>
      </c>
      <c r="Q1" s="3" t="inlineStr">
        <is>
          <t>Supplemental_S</t>
        </is>
      </c>
      <c r="R1" s="3" t="inlineStr">
        <is>
          <t>Version_Source</t>
        </is>
      </c>
      <c r="S1" s="3" t="inlineStr">
        <is>
          <t>Score_Date</t>
        </is>
      </c>
      <c r="T1" s="3" t="inlineStr">
        <is>
          <t>TI_Score_Modifier</t>
        </is>
      </c>
      <c r="U1" s="3" t="inlineStr">
        <is>
          <t>Final_Risk_Score</t>
        </is>
      </c>
      <c r="V1" s="3" t="inlineStr">
        <is>
          <t>Priority</t>
        </is>
      </c>
      <c r="W1" s="3" t="inlineStr">
        <is>
          <t>Affected_Assets_Count</t>
        </is>
      </c>
      <c r="X1" s="3" t="inlineStr">
        <is>
          <t>Max_Asset_Criticality</t>
        </is>
      </c>
      <c r="Y1" s="3" t="inlineStr">
        <is>
          <t>Max_Data_Sensitivity</t>
        </is>
      </c>
      <c r="Z1" s="3" t="inlineStr">
        <is>
          <t>Remediation_Status</t>
        </is>
      </c>
      <c r="AA1" s="3" t="inlineStr">
        <is>
          <t>Assigned_To</t>
        </is>
      </c>
      <c r="AB1" s="3" t="inlineStr">
        <is>
          <t>Target_Remediation_Date</t>
        </is>
      </c>
      <c r="AC1" s="3" t="inlineStr">
        <is>
          <t>Last_Updated</t>
        </is>
      </c>
      <c r="AD1" s="3" t="inlineStr">
        <is>
          <t>Notes</t>
        </is>
      </c>
    </row>
    <row r="2">
      <c r="A2" t="inlineStr">
        <is>
          <t>CVE-2024-1234</t>
        </is>
      </c>
      <c r="B2" t="inlineStr">
        <is>
          <t>Apache Log4j Remote Code Execution</t>
        </is>
      </c>
      <c r="C2" t="inlineStr">
        <is>
          <t>2024-12-15</t>
        </is>
      </c>
      <c r="D2" t="inlineStr">
        <is>
          <t>Scanner_Nessus</t>
        </is>
      </c>
      <c r="E2">
        <f>TODAY()-C2</f>
        <v/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0.95</v>
      </c>
      <c r="J2" t="inlineStr">
        <is>
          <t>v4.0</t>
        </is>
      </c>
      <c r="K2">
        <f>IF(J2="v4.0",L2,IF(J2="v3.1",M2,IF(J2="Both",L2,IF(AND(L2&lt;&gt;"",M2=""),L2,M2))))</f>
        <v/>
      </c>
      <c r="L2" t="n">
        <v>9.800000000000001</v>
      </c>
      <c r="M2" t="inlineStr"/>
      <c r="N2" t="inlineStr">
        <is>
          <t>CVSS:4.0/AV:N/AC:L/AT:N/PR:N/UI:N/VC:H/VI:H/VA:H/SC:N/SI:N/SA:N/AU:Y</t>
        </is>
      </c>
      <c r="O2" t="inlineStr"/>
      <c r="P2" t="inlineStr">
        <is>
          <t>Y</t>
        </is>
      </c>
      <c r="Q2" t="inlineStr">
        <is>
          <t>N/A</t>
        </is>
      </c>
      <c r="R2" t="inlineStr">
        <is>
          <t>NVD</t>
        </is>
      </c>
      <c r="S2" t="inlineStr">
        <is>
          <t>2024-12-16</t>
        </is>
      </c>
      <c r="T2" t="n">
        <v>2</v>
      </c>
      <c r="U2">
        <f>K2+T2</f>
        <v/>
      </c>
      <c r="V2" t="inlineStr">
        <is>
          <t>P0</t>
        </is>
      </c>
      <c r="W2">
        <f>COUNTIF(Asset_Vulnerability_Matrix!$B:$B,A2)</f>
        <v/>
      </c>
      <c r="X2" t="inlineStr">
        <is>
          <t>Critical</t>
        </is>
      </c>
      <c r="Y2" t="inlineStr">
        <is>
          <t>Restricted</t>
        </is>
      </c>
      <c r="Z2" t="inlineStr">
        <is>
          <t>In_Progress</t>
        </is>
      </c>
      <c r="AA2" t="inlineStr">
        <is>
          <t>IT Security Team</t>
        </is>
      </c>
      <c r="AB2">
        <f>C2+VLOOKUP(V2,Priority_Mapping,5,FALSE)</f>
        <v/>
      </c>
      <c r="AC2" t="inlineStr">
        <is>
          <t>08.02.2026</t>
        </is>
      </c>
      <c r="AD2" t="inlineStr">
        <is>
          <t>CRITICAL: KEV + Active exploitation + Wormable</t>
        </is>
      </c>
    </row>
    <row r="3">
      <c r="A3" t="inlineStr">
        <is>
          <t>CVE-2024-5678</t>
        </is>
      </c>
      <c r="B3" t="inlineStr">
        <is>
          <t>MS Exchange Server-Side Request Forgery</t>
        </is>
      </c>
      <c r="C3" t="inlineStr">
        <is>
          <t>2024-12-20</t>
        </is>
      </c>
      <c r="D3" t="inlineStr">
        <is>
          <t>Vendor_Advisory</t>
        </is>
      </c>
      <c r="E3">
        <f>TODAY()-C2</f>
        <v/>
      </c>
      <c r="F3" t="inlineStr">
        <is>
          <t>YES</t>
        </is>
      </c>
      <c r="G3" t="inlineStr">
        <is>
          <t>NO</t>
        </is>
      </c>
      <c r="H3" t="inlineStr">
        <is>
          <t>YES</t>
        </is>
      </c>
      <c r="I3" t="n">
        <v>0.75</v>
      </c>
      <c r="J3" t="inlineStr">
        <is>
          <t>Both</t>
        </is>
      </c>
      <c r="K3">
        <f>IF(J3="v4.0",L3,IF(J3="v3.1",M3,IF(J3="Both",L3,IF(AND(L3&lt;&gt;"",M3=""),L3,M3))))</f>
        <v/>
      </c>
      <c r="L3" t="n">
        <v>9.300000000000001</v>
      </c>
      <c r="M3" t="n">
        <v>9</v>
      </c>
      <c r="N3" t="inlineStr">
        <is>
          <t>CVSS:4.0/AV:N/AC:L/AT:N/PR:N/UI:N/VC:H/VI:H/VA:H/SC:N/SI:N/SA:N</t>
        </is>
      </c>
      <c r="O3" t="inlineStr">
        <is>
          <t>CVSS:3.1/AV:N/AC:L/PR:N/UI:N/S:U/C:H/I:H/A:H</t>
        </is>
      </c>
      <c r="P3" t="inlineStr">
        <is>
          <t>N</t>
        </is>
      </c>
      <c r="Q3" t="inlineStr">
        <is>
          <t>X</t>
        </is>
      </c>
      <c r="R3" t="inlineStr">
        <is>
          <t>Vendor</t>
        </is>
      </c>
      <c r="S3" t="inlineStr">
        <is>
          <t>2024-12-21</t>
        </is>
      </c>
      <c r="T3" t="n">
        <v>2</v>
      </c>
      <c r="U3">
        <f>K3+T3</f>
        <v/>
      </c>
      <c r="V3" t="inlineStr">
        <is>
          <t>P0</t>
        </is>
      </c>
      <c r="W3">
        <f>COUNTIF(Asset_Vulnerability_Matrix!$B:$B,A3)</f>
        <v/>
      </c>
      <c r="X3" t="inlineStr">
        <is>
          <t>High</t>
        </is>
      </c>
      <c r="Y3" t="inlineStr">
        <is>
          <t>Confidential</t>
        </is>
      </c>
      <c r="Z3" t="inlineStr">
        <is>
          <t>Assigned</t>
        </is>
      </c>
      <c r="AA3" t="inlineStr">
        <is>
          <t>Mail Team</t>
        </is>
      </c>
      <c r="AB3">
        <f>C3+VLOOKUP(V3,Priority_Mapping,5,FALSE)</f>
        <v/>
      </c>
      <c r="AC3" t="inlineStr">
        <is>
          <t>08.02.2026</t>
        </is>
      </c>
      <c r="AD3" t="inlineStr">
        <is>
          <t>KEV-listed, transition tracking</t>
        </is>
      </c>
    </row>
    <row r="4">
      <c r="A4" t="inlineStr">
        <is>
          <t>CVE-2023-9012</t>
        </is>
      </c>
      <c r="B4" t="inlineStr">
        <is>
          <t>Linux Kernel Privilege Escalation</t>
        </is>
      </c>
      <c r="C4" t="inlineStr">
        <is>
          <t>2025-01-02</t>
        </is>
      </c>
      <c r="D4" t="inlineStr">
        <is>
          <t>Manual_Research</t>
        </is>
      </c>
      <c r="E4">
        <f>TODAY()-C4</f>
        <v/>
      </c>
      <c r="F4" t="inlineStr">
        <is>
          <t>NO</t>
        </is>
      </c>
      <c r="G4" t="inlineStr">
        <is>
          <t>YES</t>
        </is>
      </c>
      <c r="H4" t="inlineStr">
        <is>
          <t>YES</t>
        </is>
      </c>
      <c r="I4" t="n">
        <v>0.12</v>
      </c>
      <c r="J4" t="inlineStr">
        <is>
          <t>v3.1</t>
        </is>
      </c>
      <c r="K4">
        <f>IF(J4="v4.0",L4,IF(J4="v3.1",M4,IF(J4="Both",L4,IF(AND(L4&lt;&gt;"",M4=""),L4,M4))))</f>
        <v/>
      </c>
      <c r="L4" t="inlineStr"/>
      <c r="M4" t="n">
        <v>7.8</v>
      </c>
      <c r="N4" t="inlineStr"/>
      <c r="O4" t="inlineStr">
        <is>
          <t>CVSS:3.1/AV:L/AC:L/PR:L/UI:N/S:U/C:H/I:H/A:H</t>
        </is>
      </c>
      <c r="P4" t="inlineStr">
        <is>
          <t>N/A</t>
        </is>
      </c>
      <c r="Q4" t="inlineStr">
        <is>
          <t>N/A</t>
        </is>
      </c>
      <c r="R4" t="inlineStr">
        <is>
          <t>Scanner</t>
        </is>
      </c>
      <c r="S4" t="inlineStr">
        <is>
          <t>2025-01-03</t>
        </is>
      </c>
      <c r="T4" t="n">
        <v>2</v>
      </c>
      <c r="U4">
        <f>K4+T4</f>
        <v/>
      </c>
      <c r="V4" t="inlineStr">
        <is>
          <t>P0</t>
        </is>
      </c>
      <c r="W4">
        <f>COUNTIF(Asset_Vulnerability_Matrix!$B:$B,A4)</f>
        <v/>
      </c>
      <c r="X4" t="inlineStr">
        <is>
          <t>Medium</t>
        </is>
      </c>
      <c r="Y4" t="inlineStr">
        <is>
          <t>Internal</t>
        </is>
      </c>
      <c r="Z4" t="inlineStr">
        <is>
          <t>Open</t>
        </is>
      </c>
      <c r="AA4" t="inlineStr"/>
      <c r="AB4">
        <f>C4+VLOOKUP(V4,Priority_Mapping,5,FALSE)</f>
        <v/>
      </c>
      <c r="AC4" t="inlineStr">
        <is>
          <t>08.02.2026</t>
        </is>
      </c>
      <c r="AD4" t="inlineStr">
        <is>
          <t>Active exploitation observed (legacy score)</t>
        </is>
      </c>
    </row>
    <row r="5">
      <c r="A5" t="inlineStr">
        <is>
          <t>CVE-2024-7890</t>
        </is>
      </c>
      <c r="B5" t="inlineStr">
        <is>
          <t>Industrial Control System Buffer Overflow</t>
        </is>
      </c>
      <c r="C5" t="inlineStr">
        <is>
          <t>2025-01-04</t>
        </is>
      </c>
      <c r="D5" t="inlineStr">
        <is>
          <t>Penetration_Test</t>
        </is>
      </c>
      <c r="E5">
        <f>TODAY()-C5</f>
        <v/>
      </c>
      <c r="F5" t="inlineStr">
        <is>
          <t>NO</t>
        </is>
      </c>
      <c r="G5" t="inlineStr">
        <is>
          <t>NO</t>
        </is>
      </c>
      <c r="H5" t="inlineStr">
        <is>
          <t>YES</t>
        </is>
      </c>
      <c r="I5" t="n">
        <v>0.45</v>
      </c>
      <c r="J5" t="inlineStr">
        <is>
          <t>v4.0</t>
        </is>
      </c>
      <c r="K5">
        <f>IF(J5="v4.0",L5,IF(J5="v3.1",M5,IF(J5="Both",L5,IF(AND(L5&lt;&gt;"",M5=""),L5,M5))))</f>
        <v/>
      </c>
      <c r="L5" t="n">
        <v>8.199999999999999</v>
      </c>
      <c r="M5" t="inlineStr"/>
      <c r="N5" t="inlineStr">
        <is>
          <t>CVSS:4.0/AV:N/AC:L/AT:N/PR:N/UI:N/VC:H/VI:H/VA:H/SC:N/SI:N/SA:N/S:P</t>
        </is>
      </c>
      <c r="O5" t="inlineStr"/>
      <c r="P5" t="inlineStr">
        <is>
          <t>N</t>
        </is>
      </c>
      <c r="Q5" t="inlineStr">
        <is>
          <t>P</t>
        </is>
      </c>
      <c r="R5" t="inlineStr">
        <is>
          <t>NVD</t>
        </is>
      </c>
      <c r="S5" t="inlineStr">
        <is>
          <t>2025-01-05</t>
        </is>
      </c>
      <c r="T5" t="n">
        <v>1.5</v>
      </c>
      <c r="U5">
        <f>K5+T5</f>
        <v/>
      </c>
      <c r="V5" t="inlineStr">
        <is>
          <t>P1</t>
        </is>
      </c>
      <c r="W5">
        <f>COUNTIF(Asset_Vulnerability_Matrix!$B:$B,A5)</f>
        <v/>
      </c>
      <c r="X5" t="inlineStr">
        <is>
          <t>High</t>
        </is>
      </c>
      <c r="Y5" t="inlineStr">
        <is>
          <t>Public</t>
        </is>
      </c>
      <c r="Z5" t="inlineStr">
        <is>
          <t>Open</t>
        </is>
      </c>
      <c r="AA5" t="inlineStr"/>
      <c r="AB5">
        <f>C5+VLOOKUP(V5,Priority_Mapping,5,FALSE)</f>
        <v/>
      </c>
      <c r="AC5" t="inlineStr">
        <is>
          <t>08.02.2026</t>
        </is>
      </c>
      <c r="AD5" t="inlineStr">
        <is>
          <t>Safety-critical: OT/ICS system</t>
        </is>
      </c>
    </row>
    <row r="6">
      <c r="E6">
        <f>TODAY()-C6</f>
        <v/>
      </c>
      <c r="K6">
        <f>IF(J6="v4.0",L6,IF(J6="v3.1",M6,IF(J6="Both",L6,IF(AND(L6&lt;&gt;"",M6=""),L6,M6))))</f>
        <v/>
      </c>
      <c r="U6">
        <f>K6+T6</f>
        <v/>
      </c>
      <c r="W6">
        <f>COUNTIF(Asset_Vulnerability_Matrix!$B:$B,A6)</f>
        <v/>
      </c>
      <c r="AB6">
        <f>C6+7</f>
        <v/>
      </c>
    </row>
    <row r="7">
      <c r="E7">
        <f>TODAY()-C7</f>
        <v/>
      </c>
      <c r="K7">
        <f>IF(J7="v4.0",L7,IF(J7="v3.1",M7,IF(J7="Both",L7,IF(AND(L7&lt;&gt;"",M7=""),L7,M7))))</f>
        <v/>
      </c>
      <c r="U7">
        <f>K7+T7</f>
        <v/>
      </c>
      <c r="W7">
        <f>COUNTIF(Asset_Vulnerability_Matrix!$B:$B,A7)</f>
        <v/>
      </c>
      <c r="AB7">
        <f>C7+7</f>
        <v/>
      </c>
    </row>
    <row r="8">
      <c r="E8">
        <f>TODAY()-C8</f>
        <v/>
      </c>
      <c r="K8">
        <f>IF(J8="v4.0",L8,IF(J8="v3.1",M8,IF(J8="Both",L8,IF(AND(L8&lt;&gt;"",M8=""),L8,M8))))</f>
        <v/>
      </c>
      <c r="U8">
        <f>K8+T8</f>
        <v/>
      </c>
      <c r="W8">
        <f>COUNTIF(Asset_Vulnerability_Matrix!$B:$B,A8)</f>
        <v/>
      </c>
      <c r="AB8">
        <f>C8+7</f>
        <v/>
      </c>
    </row>
    <row r="9">
      <c r="E9">
        <f>TODAY()-C9</f>
        <v/>
      </c>
      <c r="K9">
        <f>IF(J9="v4.0",L9,IF(J9="v3.1",M9,IF(J9="Both",L9,IF(AND(L9&lt;&gt;"",M9=""),L9,M9))))</f>
        <v/>
      </c>
      <c r="U9">
        <f>K9+T9</f>
        <v/>
      </c>
      <c r="W9">
        <f>COUNTIF(Asset_Vulnerability_Matrix!$B:$B,A9)</f>
        <v/>
      </c>
      <c r="AB9">
        <f>C9+7</f>
        <v/>
      </c>
    </row>
    <row r="10">
      <c r="E10">
        <f>TODAY()-C10</f>
        <v/>
      </c>
      <c r="K10">
        <f>IF(J10="v4.0",L10,IF(J10="v3.1",M10,IF(J10="Both",L10,IF(AND(L10&lt;&gt;"",M10=""),L10,M10))))</f>
        <v/>
      </c>
      <c r="U10">
        <f>K10+T10</f>
        <v/>
      </c>
      <c r="W10">
        <f>COUNTIF(Asset_Vulnerability_Matrix!$B:$B,A10)</f>
        <v/>
      </c>
      <c r="AB10">
        <f>C10+7</f>
        <v/>
      </c>
    </row>
    <row r="11">
      <c r="E11">
        <f>TODAY()-C11</f>
        <v/>
      </c>
      <c r="K11">
        <f>IF(J11="v4.0",L11,IF(J11="v3.1",M11,IF(J11="Both",L11,IF(AND(L11&lt;&gt;"",M11=""),L11,M11))))</f>
        <v/>
      </c>
      <c r="U11">
        <f>K11+T11</f>
        <v/>
      </c>
      <c r="W11">
        <f>COUNTIF(Asset_Vulnerability_Matrix!$B:$B,A11)</f>
        <v/>
      </c>
      <c r="AB11">
        <f>C11+7</f>
        <v/>
      </c>
    </row>
    <row r="12">
      <c r="E12">
        <f>TODAY()-C12</f>
        <v/>
      </c>
      <c r="K12">
        <f>IF(J12="v4.0",L12,IF(J12="v3.1",M12,IF(J12="Both",L12,IF(AND(L12&lt;&gt;"",M12=""),L12,M12))))</f>
        <v/>
      </c>
      <c r="U12">
        <f>K12+T12</f>
        <v/>
      </c>
      <c r="W12">
        <f>COUNTIF(Asset_Vulnerability_Matrix!$B:$B,A12)</f>
        <v/>
      </c>
      <c r="AB12">
        <f>C12+7</f>
        <v/>
      </c>
    </row>
    <row r="13">
      <c r="E13">
        <f>TODAY()-C13</f>
        <v/>
      </c>
      <c r="K13">
        <f>IF(J13="v4.0",L13,IF(J13="v3.1",M13,IF(J13="Both",L13,IF(AND(L13&lt;&gt;"",M13=""),L13,M13))))</f>
        <v/>
      </c>
      <c r="U13">
        <f>K13+T13</f>
        <v/>
      </c>
      <c r="W13">
        <f>COUNTIF(Asset_Vulnerability_Matrix!$B:$B,A13)</f>
        <v/>
      </c>
      <c r="AB13">
        <f>C13+7</f>
        <v/>
      </c>
    </row>
    <row r="14">
      <c r="E14">
        <f>TODAY()-C14</f>
        <v/>
      </c>
      <c r="K14">
        <f>IF(J14="v4.0",L14,IF(J14="v3.1",M14,IF(J14="Both",L14,IF(AND(L14&lt;&gt;"",M14=""),L14,M14))))</f>
        <v/>
      </c>
      <c r="U14">
        <f>K14+T14</f>
        <v/>
      </c>
      <c r="W14">
        <f>COUNTIF(Asset_Vulnerability_Matrix!$B:$B,A14)</f>
        <v/>
      </c>
      <c r="AB14">
        <f>C14+7</f>
        <v/>
      </c>
    </row>
    <row r="15">
      <c r="E15">
        <f>TODAY()-C15</f>
        <v/>
      </c>
      <c r="K15">
        <f>IF(J15="v4.0",L15,IF(J15="v3.1",M15,IF(J15="Both",L15,IF(AND(L15&lt;&gt;"",M15=""),L15,M15))))</f>
        <v/>
      </c>
      <c r="U15">
        <f>K15+T15</f>
        <v/>
      </c>
      <c r="W15">
        <f>COUNTIF(Asset_Vulnerability_Matrix!$B:$B,A15)</f>
        <v/>
      </c>
      <c r="AB15">
        <f>C15+7</f>
        <v/>
      </c>
    </row>
    <row r="16">
      <c r="E16">
        <f>TODAY()-C16</f>
        <v/>
      </c>
      <c r="K16">
        <f>IF(J16="v4.0",L16,IF(J16="v3.1",M16,IF(J16="Both",L16,IF(AND(L16&lt;&gt;"",M16=""),L16,M16))))</f>
        <v/>
      </c>
      <c r="U16">
        <f>K16+T16</f>
        <v/>
      </c>
      <c r="W16">
        <f>COUNTIF(Asset_Vulnerability_Matrix!$B:$B,A16)</f>
        <v/>
      </c>
      <c r="AB16">
        <f>C16+7</f>
        <v/>
      </c>
    </row>
    <row r="17">
      <c r="E17">
        <f>TODAY()-C17</f>
        <v/>
      </c>
      <c r="K17">
        <f>IF(J17="v4.0",L17,IF(J17="v3.1",M17,IF(J17="Both",L17,IF(AND(L17&lt;&gt;"",M17=""),L17,M17))))</f>
        <v/>
      </c>
      <c r="U17">
        <f>K17+T17</f>
        <v/>
      </c>
      <c r="W17">
        <f>COUNTIF(Asset_Vulnerability_Matrix!$B:$B,A17)</f>
        <v/>
      </c>
      <c r="AB17">
        <f>C17+7</f>
        <v/>
      </c>
    </row>
    <row r="18">
      <c r="E18">
        <f>TODAY()-C18</f>
        <v/>
      </c>
      <c r="K18">
        <f>IF(J18="v4.0",L18,IF(J18="v3.1",M18,IF(J18="Both",L18,IF(AND(L18&lt;&gt;"",M18=""),L18,M18))))</f>
        <v/>
      </c>
      <c r="U18">
        <f>K18+T18</f>
        <v/>
      </c>
      <c r="W18">
        <f>COUNTIF(Asset_Vulnerability_Matrix!$B:$B,A18)</f>
        <v/>
      </c>
      <c r="AB18">
        <f>C18+7</f>
        <v/>
      </c>
    </row>
    <row r="19">
      <c r="E19">
        <f>TODAY()-C19</f>
        <v/>
      </c>
      <c r="K19">
        <f>IF(J19="v4.0",L19,IF(J19="v3.1",M19,IF(J19="Both",L19,IF(AND(L19&lt;&gt;"",M19=""),L19,M19))))</f>
        <v/>
      </c>
      <c r="U19">
        <f>K19+T19</f>
        <v/>
      </c>
      <c r="W19">
        <f>COUNTIF(Asset_Vulnerability_Matrix!$B:$B,A19)</f>
        <v/>
      </c>
      <c r="AB19">
        <f>C19+7</f>
        <v/>
      </c>
    </row>
    <row r="20">
      <c r="E20">
        <f>TODAY()-C20</f>
        <v/>
      </c>
      <c r="K20">
        <f>IF(J20="v4.0",L20,IF(J20="v3.1",M20,IF(J20="Both",L20,IF(AND(L20&lt;&gt;"",M20=""),L20,M20))))</f>
        <v/>
      </c>
      <c r="U20">
        <f>K20+T20</f>
        <v/>
      </c>
      <c r="W20">
        <f>COUNTIF(Asset_Vulnerability_Matrix!$B:$B,A20)</f>
        <v/>
      </c>
      <c r="AB20">
        <f>C20+7</f>
        <v/>
      </c>
    </row>
    <row r="21">
      <c r="E21">
        <f>TODAY()-C21</f>
        <v/>
      </c>
      <c r="K21">
        <f>IF(J21="v4.0",L21,IF(J21="v3.1",M21,IF(J21="Both",L21,IF(AND(L21&lt;&gt;"",M21=""),L21,M21))))</f>
        <v/>
      </c>
      <c r="U21">
        <f>K21+T21</f>
        <v/>
      </c>
      <c r="W21">
        <f>COUNTIF(Asset_Vulnerability_Matrix!$B:$B,A21)</f>
        <v/>
      </c>
      <c r="AB21">
        <f>C21+7</f>
        <v/>
      </c>
    </row>
    <row r="22">
      <c r="E22">
        <f>TODAY()-C22</f>
        <v/>
      </c>
      <c r="K22">
        <f>IF(J22="v4.0",L22,IF(J22="v3.1",M22,IF(J22="Both",L22,IF(AND(L22&lt;&gt;"",M22=""),L22,M22))))</f>
        <v/>
      </c>
      <c r="U22">
        <f>K22+T22</f>
        <v/>
      </c>
      <c r="W22">
        <f>COUNTIF(Asset_Vulnerability_Matrix!$B:$B,A22)</f>
        <v/>
      </c>
      <c r="AB22">
        <f>C22+7</f>
        <v/>
      </c>
    </row>
    <row r="23">
      <c r="E23">
        <f>TODAY()-C23</f>
        <v/>
      </c>
      <c r="K23">
        <f>IF(J23="v4.0",L23,IF(J23="v3.1",M23,IF(J23="Both",L23,IF(AND(L23&lt;&gt;"",M23=""),L23,M23))))</f>
        <v/>
      </c>
      <c r="U23">
        <f>K23+T23</f>
        <v/>
      </c>
      <c r="W23">
        <f>COUNTIF(Asset_Vulnerability_Matrix!$B:$B,A23)</f>
        <v/>
      </c>
      <c r="AB23">
        <f>C23+7</f>
        <v/>
      </c>
    </row>
    <row r="24">
      <c r="E24">
        <f>TODAY()-C24</f>
        <v/>
      </c>
      <c r="K24">
        <f>IF(J24="v4.0",L24,IF(J24="v3.1",M24,IF(J24="Both",L24,IF(AND(L24&lt;&gt;"",M24=""),L24,M24))))</f>
        <v/>
      </c>
      <c r="U24">
        <f>K24+T24</f>
        <v/>
      </c>
      <c r="W24">
        <f>COUNTIF(Asset_Vulnerability_Matrix!$B:$B,A24)</f>
        <v/>
      </c>
      <c r="AB24">
        <f>C24+7</f>
        <v/>
      </c>
    </row>
    <row r="25">
      <c r="E25">
        <f>TODAY()-C25</f>
        <v/>
      </c>
      <c r="K25">
        <f>IF(J25="v4.0",L25,IF(J25="v3.1",M25,IF(J25="Both",L25,IF(AND(L25&lt;&gt;"",M25=""),L25,M25))))</f>
        <v/>
      </c>
      <c r="U25">
        <f>K25+T25</f>
        <v/>
      </c>
      <c r="W25">
        <f>COUNTIF(Asset_Vulnerability_Matrix!$B:$B,A25)</f>
        <v/>
      </c>
      <c r="AB25">
        <f>C25+7</f>
        <v/>
      </c>
    </row>
    <row r="26">
      <c r="E26">
        <f>TODAY()-C26</f>
        <v/>
      </c>
      <c r="K26">
        <f>IF(J26="v4.0",L26,IF(J26="v3.1",M26,IF(J26="Both",L26,IF(AND(L26&lt;&gt;"",M26=""),L26,M26))))</f>
        <v/>
      </c>
      <c r="U26">
        <f>K26+T26</f>
        <v/>
      </c>
      <c r="W26">
        <f>COUNTIF(Asset_Vulnerability_Matrix!$B:$B,A26)</f>
        <v/>
      </c>
      <c r="AB26">
        <f>C26+7</f>
        <v/>
      </c>
    </row>
    <row r="27">
      <c r="E27">
        <f>TODAY()-C27</f>
        <v/>
      </c>
      <c r="K27">
        <f>IF(J27="v4.0",L27,IF(J27="v3.1",M27,IF(J27="Both",L27,IF(AND(L27&lt;&gt;"",M27=""),L27,M27))))</f>
        <v/>
      </c>
      <c r="U27">
        <f>K27+T27</f>
        <v/>
      </c>
      <c r="W27">
        <f>COUNTIF(Asset_Vulnerability_Matrix!$B:$B,A27)</f>
        <v/>
      </c>
      <c r="AB27">
        <f>C27+7</f>
        <v/>
      </c>
    </row>
    <row r="28">
      <c r="E28">
        <f>TODAY()-C28</f>
        <v/>
      </c>
      <c r="K28">
        <f>IF(J28="v4.0",L28,IF(J28="v3.1",M28,IF(J28="Both",L28,IF(AND(L28&lt;&gt;"",M28=""),L28,M28))))</f>
        <v/>
      </c>
      <c r="U28">
        <f>K28+T28</f>
        <v/>
      </c>
      <c r="W28">
        <f>COUNTIF(Asset_Vulnerability_Matrix!$B:$B,A28)</f>
        <v/>
      </c>
      <c r="AB28">
        <f>C28+7</f>
        <v/>
      </c>
    </row>
    <row r="29">
      <c r="E29">
        <f>TODAY()-C29</f>
        <v/>
      </c>
      <c r="K29">
        <f>IF(J29="v4.0",L29,IF(J29="v3.1",M29,IF(J29="Both",L29,IF(AND(L29&lt;&gt;"",M29=""),L29,M29))))</f>
        <v/>
      </c>
      <c r="U29">
        <f>K29+T29</f>
        <v/>
      </c>
      <c r="W29">
        <f>COUNTIF(Asset_Vulnerability_Matrix!$B:$B,A29)</f>
        <v/>
      </c>
      <c r="AB29">
        <f>C29+7</f>
        <v/>
      </c>
    </row>
    <row r="30">
      <c r="E30">
        <f>TODAY()-C30</f>
        <v/>
      </c>
      <c r="K30">
        <f>IF(J30="v4.0",L30,IF(J30="v3.1",M30,IF(J30="Both",L30,IF(AND(L30&lt;&gt;"",M30=""),L30,M30))))</f>
        <v/>
      </c>
      <c r="U30">
        <f>K30+T30</f>
        <v/>
      </c>
      <c r="W30">
        <f>COUNTIF(Asset_Vulnerability_Matrix!$B:$B,A30)</f>
        <v/>
      </c>
      <c r="AB30">
        <f>C30+7</f>
        <v/>
      </c>
    </row>
  </sheetData>
  <conditionalFormatting sqref="P2:P1000">
    <cfRule type="cellIs" priority="1" operator="equal" dxfId="0">
      <formula>"Y"</formula>
    </cfRule>
  </conditionalFormatting>
  <conditionalFormatting sqref="A2:AC1000">
    <cfRule type="expression" priority="2" dxfId="1">
      <formula>AND($P2="Y",$K2&gt;=9.0)</formula>
    </cfRule>
    <cfRule type="expression" priority="3" dxfId="2">
      <formula>AND($Q2="P",$K2&gt;=7.0)</formula>
    </cfRule>
  </conditionalFormatting>
  <conditionalFormatting sqref="J2:J1000">
    <cfRule type="cellIs" priority="4" operator="equal" dxfId="3">
      <formula>"Both"</formula>
    </cfRule>
  </conditionalFormatting>
  <conditionalFormatting sqref="S2:S1000">
    <cfRule type="expression" priority="5" dxfId="4">
      <formula>$S2&lt;TODAY()-180</formula>
    </cfRule>
  </conditionalFormatting>
  <conditionalFormatting sqref="N2:O1000">
    <cfRule type="expression" priority="6" dxfId="5">
      <formula>AND($J2="v4.0",$N2="")</formula>
    </cfRule>
  </conditionalFormatting>
  <conditionalFormatting sqref="V2:V1000">
    <cfRule type="cellIs" priority="7" operator="equal" dxfId="6">
      <formula>"P0"</formula>
    </cfRule>
    <cfRule type="cellIs" priority="8" operator="equal" dxfId="7">
      <formula>"P1"</formula>
    </cfRule>
  </conditionalFormatting>
  <conditionalFormatting sqref="F2:F1000">
    <cfRule type="cellIs" priority="9" operator="equal" dxfId="6">
      <formula>"YES"</formula>
    </cfRule>
  </conditionalFormatting>
  <conditionalFormatting sqref="G2:G1000">
    <cfRule type="cellIs" priority="10" operator="equal" dxfId="6">
      <formula>"YES"</formula>
    </cfRule>
  </conditionalFormatting>
  <dataValidations count="10">
    <dataValidation sqref="D2:D1000" showDropDown="0" showInputMessage="0" showErrorMessage="0" allowBlank="0" type="list">
      <formula1>"Scanner_Nessus,Scanner_Qualys,Manual_Research,Penetration_Test,Vendor_Advisory,Bug_Bounty"</formula1>
    </dataValidation>
    <dataValidation sqref="F2:F1000 G2:G1000 H2:H1000" showDropDown="0" showInputMessage="0" showErrorMessage="0" allowBlank="0" type="list">
      <formula1>"YES,NO"</formula1>
    </dataValidation>
    <dataValidation sqref="J2:J1000" showDropDown="0" showInputMessage="0" showErrorMessage="0" allowBlank="0" errorTitle="Invalid CVSS Version" error="Select CVSS version: v4.0 (primary), v3.1 (fallback), Both, or Unknown" type="list">
      <formula1>"v4.0,v3.1,Both,Unknown"</formula1>
    </dataValidation>
    <dataValidation sqref="L2:L1000" showDropDown="0" showInputMessage="0" showErrorMessage="0" allowBlank="1" errorTitle="Invalid CVSS v4.0 Score" error="Enter CVSS v4.0 base score (0.0-10.0) or leave blank if unavailable" type="decimal" operator="between">
      <formula1>0.0</formula1>
      <formula2>10.0</formula2>
    </dataValidation>
    <dataValidation sqref="M2:M1000" showDropDown="0" showInputMessage="0" showErrorMessage="0" allowBlank="1" errorTitle="Invalid CVSS v3.1 Score" error="Enter CVSS v3.1 base score (0.0-10.0) or leave blank if unavailable" type="decimal" operator="between">
      <formula1>0.0</formula1>
      <formula2>10.0</formula2>
    </dataValidation>
    <dataValidation sqref="P2:P1000" showDropDown="0" showInputMessage="0" showErrorMessage="0" allowBlank="0" errorTitle="Invalid AU Value" error="Select: Y (wormable), N (not automatable), X (not defined), N/A (v3.1 only)" type="list">
      <formula1>"Y,N,X,N/A"</formula1>
    </dataValidation>
    <dataValidation sqref="Q2:Q1000" showDropDown="0" showInputMessage="0" showErrorMessage="0" allowBlank="0" errorTitle="Invalid S Value" error="Select: P (safety impact), N (negligible), X (not defined), N/A (v3.1 only)" type="list">
      <formula1>"P,N,X,N/A"</formula1>
    </dataValidation>
    <dataValidation sqref="R2:R1000" showDropDown="0" showInputMessage="0" showErrorMessage="0" allowBlank="0" errorTitle="Invalid Source" error="Select score source: NVD, Vendor, Scanner, or Manual" type="list">
      <formula1>"NVD,Vendor,Scanner,Manual"</formula1>
    </dataValidation>
    <dataValidation sqref="V2:V1000" showDropDown="0" showInputMessage="0" showErrorMessage="0" allowBlank="0" type="list">
      <formula1>"P0,P1,P2,P3,P4"</formula1>
    </dataValidation>
    <dataValidation sqref="Z2:Z1000" showDropDown="0" showInputMessage="0" showErrorMessage="0" allowBlank="0" type="list">
      <formula1>"Open,Assigned,In_Progress,Testing,Complete,Deferred,Risk_Accepted"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0" customWidth="1" min="8" max="8"/>
    <col width="12" customWidth="1" min="9" max="9"/>
    <col width="15" customWidth="1" min="10" max="10"/>
    <col width="8" customWidth="1" min="11" max="11"/>
    <col width="15" customWidth="1" min="12" max="12"/>
    <col width="15" customWidth="1" min="13" max="13"/>
    <col width="40" customWidth="1" min="14" max="14"/>
  </cols>
  <sheetData>
    <row r="1">
      <c r="A1" s="3" t="inlineStr">
        <is>
          <t>CVE_ID</t>
        </is>
      </c>
      <c r="B1" s="3" t="inlineStr">
        <is>
          <t>Vulnerability_Title</t>
        </is>
      </c>
      <c r="C1" s="3" t="inlineStr">
        <is>
          <t>CVSS_v40_Score</t>
        </is>
      </c>
      <c r="D1" s="3" t="inlineStr">
        <is>
          <t>CVSS_v31_Score</t>
        </is>
      </c>
      <c r="E1" s="3" t="inlineStr">
        <is>
          <t>Supplemental_AU</t>
        </is>
      </c>
      <c r="F1" s="3" t="inlineStr">
        <is>
          <t>Affected_Assets_Count</t>
        </is>
      </c>
      <c r="G1" s="3" t="inlineStr">
        <is>
          <t>Exploit_Available</t>
        </is>
      </c>
      <c r="H1" s="3" t="inlineStr">
        <is>
          <t>KEV_Listed</t>
        </is>
      </c>
      <c r="I1" s="3" t="inlineStr">
        <is>
          <t>Discovery_Date</t>
        </is>
      </c>
      <c r="J1" s="3" t="inlineStr">
        <is>
          <t>Remediation_Status</t>
        </is>
      </c>
      <c r="K1" s="3" t="inlineStr">
        <is>
          <t>Priority</t>
        </is>
      </c>
      <c r="L1" s="3" t="inlineStr">
        <is>
          <t>Target_Remediation_Date</t>
        </is>
      </c>
      <c r="M1" s="3" t="inlineStr">
        <is>
          <t>Actual_Remediation_Date</t>
        </is>
      </c>
      <c r="N1" s="3" t="inlineStr">
        <is>
          <t>Notes</t>
        </is>
      </c>
    </row>
    <row r="3">
      <c r="A3" s="4" t="inlineStr">
        <is>
          <t>WORMABLE VULNERABILITIES (AU=Y):</t>
        </is>
      </c>
    </row>
    <row r="4">
      <c r="A4" s="5" t="inlineStr">
        <is>
          <t>* Tracks vulnerabilities with Supplemental_AU=Y (Automatable/Wormable)</t>
        </is>
      </c>
    </row>
    <row r="5">
      <c r="A5" s="5" t="inlineStr">
        <is>
          <t>* These can self-propagate without user interaction - HIGHEST PRIORITY</t>
        </is>
      </c>
    </row>
    <row r="6">
      <c r="A6" s="5" t="inlineStr">
        <is>
          <t>* Auto-populate from Vulnerability_Inventory where AU=Y</t>
        </is>
      </c>
    </row>
    <row r="7">
      <c r="A7" s="5" t="inlineStr">
        <is>
          <t>* All wormable vulns must have P0 priority and immediate remediation</t>
        </is>
      </c>
    </row>
  </sheetData>
  <mergeCells count="5">
    <mergeCell ref="A3:N3"/>
    <mergeCell ref="A6:N6"/>
    <mergeCell ref="A4:N4"/>
    <mergeCell ref="A7:N7"/>
    <mergeCell ref="A5:N5"/>
  </mergeCells>
  <conditionalFormatting sqref="E2:E500">
    <cfRule type="cellIs" priority="1" operator="equal" dxfId="6">
      <formula>"Y"</formula>
    </cfRule>
  </conditionalFormatting>
  <dataValidations count="4">
    <dataValidation sqref="E2:E500" showDropDown="0" showInputMessage="0" showErrorMessage="0" allowBlank="0" type="list">
      <formula1>"Y,N"</formula1>
    </dataValidation>
    <dataValidation sqref="G2:G500 H2:H500" showDropDown="0" showInputMessage="0" showErrorMessage="0" allowBlank="0" type="list">
      <formula1>"YES,NO"</formula1>
    </dataValidation>
    <dataValidation sqref="J2:J500" showDropDown="0" showInputMessage="0" showErrorMessage="0" allowBlank="0" type="list">
      <formula1>"Open,In_Progress,Complete,Risk_Accepted"</formula1>
    </dataValidation>
    <dataValidation sqref="K2:K500" showDropDown="0" showInputMessage="0" showErrorMessage="0" allowBlank="0" type="list">
      <formula1>"P0,P1,P2,P3"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8" customWidth="1" min="4" max="4"/>
    <col width="15" customWidth="1" min="5" max="5"/>
    <col width="20" customWidth="1" min="6" max="6"/>
    <col width="12" customWidth="1" min="7" max="7"/>
    <col width="12" customWidth="1" min="8" max="8"/>
    <col width="12" customWidth="1" min="9" max="9"/>
    <col width="20" customWidth="1" min="10" max="10"/>
    <col width="15" customWidth="1" min="11" max="11"/>
    <col width="25" customWidth="1" min="12" max="12"/>
    <col width="20" customWidth="1" min="13" max="13"/>
    <col width="40" customWidth="1" min="14" max="14"/>
  </cols>
  <sheetData>
    <row r="1">
      <c r="A1" s="3" t="inlineStr">
        <is>
          <t>CVE_ID</t>
        </is>
      </c>
      <c r="B1" s="3" t="inlineStr">
        <is>
          <t>Vulnerability_Title</t>
        </is>
      </c>
      <c r="C1" s="3" t="inlineStr">
        <is>
          <t>System_Type</t>
        </is>
      </c>
      <c r="D1" s="3" t="inlineStr">
        <is>
          <t>Safety_Classification</t>
        </is>
      </c>
      <c r="E1" s="3" t="inlineStr">
        <is>
          <t>Asset_ID</t>
        </is>
      </c>
      <c r="F1" s="3" t="inlineStr">
        <is>
          <t>Asset_Location</t>
        </is>
      </c>
      <c r="G1" s="3" t="inlineStr">
        <is>
          <t>CVSS_v40_Score</t>
        </is>
      </c>
      <c r="H1" s="3" t="inlineStr">
        <is>
          <t>CVSS_v31_Score</t>
        </is>
      </c>
      <c r="I1" s="3" t="inlineStr">
        <is>
          <t>Supplemental_S</t>
        </is>
      </c>
      <c r="J1" s="3" t="inlineStr">
        <is>
          <t>Physical_Impact_Potential</t>
        </is>
      </c>
      <c r="K1" s="3" t="inlineStr">
        <is>
          <t>Remediation_Status</t>
        </is>
      </c>
      <c r="L1" s="3" t="inlineStr">
        <is>
          <t>Compensating_Control</t>
        </is>
      </c>
      <c r="M1" s="3" t="inlineStr">
        <is>
          <t>Risk_Owner</t>
        </is>
      </c>
      <c r="N1" s="3" t="inlineStr">
        <is>
          <t>Notes</t>
        </is>
      </c>
    </row>
    <row r="3">
      <c r="A3" s="4" t="inlineStr">
        <is>
          <t>SAFETY-CRITICAL VULNERABILITIES (OT/ICS):</t>
        </is>
      </c>
    </row>
    <row r="4">
      <c r="A4" s="5" t="inlineStr">
        <is>
          <t>* Tracks vulnerabilities in OT/ICS/SCADA safety-critical systems</t>
        </is>
      </c>
    </row>
    <row r="5">
      <c r="A5" s="5" t="inlineStr">
        <is>
          <t>* Supplemental_S indicates Safety impact: P=Present, S=Supplementary, N=None</t>
        </is>
      </c>
    </row>
    <row r="6">
      <c r="A6" s="5" t="inlineStr">
        <is>
          <t>* SIL classifications per IEC 61508/61511 standards</t>
        </is>
      </c>
    </row>
    <row r="7">
      <c r="A7" s="5" t="inlineStr">
        <is>
          <t>* Requires specialized OT remediation procedures and change windows</t>
        </is>
      </c>
    </row>
  </sheetData>
  <mergeCells count="5">
    <mergeCell ref="A3:N3"/>
    <mergeCell ref="A6:N6"/>
    <mergeCell ref="A4:N4"/>
    <mergeCell ref="A7:N7"/>
    <mergeCell ref="A5:N5"/>
  </mergeCells>
  <conditionalFormatting sqref="D2:D500">
    <cfRule type="cellIs" priority="1" operator="containsText" dxfId="6">
      <formula>"SIL_4"</formula>
    </cfRule>
  </conditionalFormatting>
  <dataValidations count="5">
    <dataValidation sqref="C2:C500" showDropDown="0" showInputMessage="0" showErrorMessage="0" allowBlank="0" type="list">
      <formula1>"OT,ICS,SCADA,PLC,HMI,DCS,RTU,Other"</formula1>
    </dataValidation>
    <dataValidation sqref="D2:D500" showDropDown="0" showInputMessage="0" showErrorMessage="0" allowBlank="0" type="list">
      <formula1>"SIL_4,SIL_3,SIL_2,SIL_1,Non_SIL"</formula1>
    </dataValidation>
    <dataValidation sqref="I2:I500" showDropDown="0" showInputMessage="0" showErrorMessage="0" allowBlank="0" type="list">
      <formula1>"P,S,N"</formula1>
    </dataValidation>
    <dataValidation sqref="J2:J500" showDropDown="0" showInputMessage="0" showErrorMessage="0" allowBlank="0" type="list">
      <formula1>"Critical,High,Medium,Low,None"</formula1>
    </dataValidation>
    <dataValidation sqref="K2:K500" showDropDown="0" showInputMessage="0" showErrorMessage="0" allowBlank="0" type="list">
      <formula1>"Open,In_Progress,Complete,Risk_Accepted"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2" customWidth="1" min="4" max="4"/>
    <col width="15" customWidth="1" min="5" max="5"/>
    <col width="20" customWidth="1" min="6" max="6"/>
    <col width="30" customWidth="1" min="7" max="7"/>
    <col width="15" customWidth="1" min="8" max="8"/>
    <col width="15" customWidth="1" min="9" max="9"/>
    <col width="15" customWidth="1" min="10" max="10"/>
    <col width="15" customWidth="1" min="11" max="11"/>
    <col width="12" customWidth="1" min="12" max="12"/>
    <col width="40" customWidth="1" min="13" max="13"/>
  </cols>
  <sheetData>
    <row r="1">
      <c r="A1" s="3" t="inlineStr">
        <is>
          <t>Asset_ID</t>
        </is>
      </c>
      <c r="B1" s="3" t="inlineStr">
        <is>
          <t>CVE_ID</t>
        </is>
      </c>
      <c r="C1" s="3" t="inlineStr">
        <is>
          <t>Asset_Name</t>
        </is>
      </c>
      <c r="D1" s="3" t="inlineStr">
        <is>
          <t>Asset_Criticality</t>
        </is>
      </c>
      <c r="E1" s="3" t="inlineStr">
        <is>
          <t>Data_Sensitivity</t>
        </is>
      </c>
      <c r="F1" s="3" t="inlineStr">
        <is>
          <t>Asset_Owner</t>
        </is>
      </c>
      <c r="G1" s="3" t="inlineStr">
        <is>
          <t>Vulnerable_Component</t>
        </is>
      </c>
      <c r="H1" s="3" t="inlineStr">
        <is>
          <t>Component_Version</t>
        </is>
      </c>
      <c r="I1" s="3" t="inlineStr">
        <is>
          <t>Fixed_Version_Available</t>
        </is>
      </c>
      <c r="J1" s="3" t="inlineStr">
        <is>
          <t>Patch_Availability</t>
        </is>
      </c>
      <c r="K1" s="3" t="inlineStr">
        <is>
          <t>Remediation_Complexity</t>
        </is>
      </c>
      <c r="L1" s="3" t="inlineStr">
        <is>
          <t>Last_Scan_Date</t>
        </is>
      </c>
      <c r="M1" s="3" t="inlineStr">
        <is>
          <t>Notes</t>
        </is>
      </c>
    </row>
    <row r="2">
      <c r="A2" t="inlineStr">
        <is>
          <t>SRV-001</t>
        </is>
      </c>
      <c r="B2" t="inlineStr">
        <is>
          <t>CVE-2024-1234</t>
        </is>
      </c>
      <c r="C2" t="inlineStr">
        <is>
          <t>Web-Prod-01</t>
        </is>
      </c>
      <c r="D2" t="inlineStr">
        <is>
          <t>Critical</t>
        </is>
      </c>
      <c r="E2" t="inlineStr">
        <is>
          <t>Restricted</t>
        </is>
      </c>
      <c r="F2" t="inlineStr">
        <is>
          <t>IT Operations</t>
        </is>
      </c>
      <c r="G2" t="inlineStr">
        <is>
          <t>Apache Log4j</t>
        </is>
      </c>
      <c r="H2" t="inlineStr">
        <is>
          <t>2.14.1</t>
        </is>
      </c>
      <c r="I2" t="inlineStr">
        <is>
          <t>2.17.1</t>
        </is>
      </c>
      <c r="J2" t="inlineStr">
        <is>
          <t>Available</t>
        </is>
      </c>
      <c r="K2" t="inlineStr">
        <is>
          <t>Low</t>
        </is>
      </c>
      <c r="L2" t="inlineStr">
        <is>
          <t>08.02.2026</t>
        </is>
      </c>
      <c r="M2" t="inlineStr">
        <is>
          <t>Production web server</t>
        </is>
      </c>
    </row>
    <row r="3">
      <c r="A3" t="inlineStr">
        <is>
          <t>SRV-002</t>
        </is>
      </c>
      <c r="B3" t="inlineStr">
        <is>
          <t>CVE-2024-1234</t>
        </is>
      </c>
      <c r="C3" t="inlineStr">
        <is>
          <t>Web-Prod-02</t>
        </is>
      </c>
      <c r="D3" t="inlineStr">
        <is>
          <t>Critical</t>
        </is>
      </c>
      <c r="E3" t="inlineStr">
        <is>
          <t>Restricted</t>
        </is>
      </c>
      <c r="F3" t="inlineStr">
        <is>
          <t>IT Operations</t>
        </is>
      </c>
      <c r="G3" t="inlineStr">
        <is>
          <t>Apache Log4j</t>
        </is>
      </c>
      <c r="H3" t="inlineStr">
        <is>
          <t>2.14.1</t>
        </is>
      </c>
      <c r="I3" t="inlineStr">
        <is>
          <t>2.17.1</t>
        </is>
      </c>
      <c r="J3" t="inlineStr">
        <is>
          <t>Available</t>
        </is>
      </c>
      <c r="K3" t="inlineStr">
        <is>
          <t>Low</t>
        </is>
      </c>
      <c r="L3" t="inlineStr">
        <is>
          <t>08.02.2026</t>
        </is>
      </c>
      <c r="M3" t="inlineStr">
        <is>
          <t>Production web server</t>
        </is>
      </c>
    </row>
    <row r="4">
      <c r="A4" t="inlineStr">
        <is>
          <t>SRV-010</t>
        </is>
      </c>
      <c r="B4" t="inlineStr">
        <is>
          <t>CVE-2024-5678</t>
        </is>
      </c>
      <c r="C4" t="inlineStr">
        <is>
          <t>Exchange-01</t>
        </is>
      </c>
      <c r="D4" t="inlineStr">
        <is>
          <t>High</t>
        </is>
      </c>
      <c r="E4" t="inlineStr">
        <is>
          <t>Confidential</t>
        </is>
      </c>
      <c r="F4" t="inlineStr">
        <is>
          <t>Mail Team</t>
        </is>
      </c>
      <c r="G4" t="inlineStr">
        <is>
          <t>MS Exchange Server</t>
        </is>
      </c>
      <c r="H4" t="inlineStr">
        <is>
          <t>2019 CU11</t>
        </is>
      </c>
      <c r="I4" t="inlineStr">
        <is>
          <t>2019 CU13</t>
        </is>
      </c>
      <c r="J4" t="inlineStr">
        <is>
          <t>Available</t>
        </is>
      </c>
      <c r="K4" t="inlineStr">
        <is>
          <t>Medium</t>
        </is>
      </c>
      <c r="L4" t="inlineStr">
        <is>
          <t>08.02.2026</t>
        </is>
      </c>
      <c r="M4" t="inlineStr">
        <is>
          <t>Corporate mail server</t>
        </is>
      </c>
    </row>
    <row r="5">
      <c r="A5" t="inlineStr">
        <is>
          <t>SRV-020</t>
        </is>
      </c>
      <c r="B5" t="inlineStr">
        <is>
          <t>CVE-2024-9012</t>
        </is>
      </c>
      <c r="C5" t="inlineStr">
        <is>
          <t>Linux-App-01</t>
        </is>
      </c>
      <c r="D5" t="inlineStr">
        <is>
          <t>Medium</t>
        </is>
      </c>
      <c r="E5" t="inlineStr">
        <is>
          <t>Internal</t>
        </is>
      </c>
      <c r="F5" t="inlineStr">
        <is>
          <t>Application Team</t>
        </is>
      </c>
      <c r="G5" t="inlineStr">
        <is>
          <t>Linux Kernel</t>
        </is>
      </c>
      <c r="H5" t="inlineStr">
        <is>
          <t>5.10.0</t>
        </is>
      </c>
      <c r="I5" t="inlineStr">
        <is>
          <t>5.10.102</t>
        </is>
      </c>
      <c r="J5" t="inlineStr">
        <is>
          <t>Available</t>
        </is>
      </c>
      <c r="K5" t="inlineStr">
        <is>
          <t>High</t>
        </is>
      </c>
      <c r="L5" t="inlineStr">
        <is>
          <t>08.02.2026</t>
        </is>
      </c>
      <c r="M5" t="inlineStr">
        <is>
          <t>Application server - requires reboot</t>
        </is>
      </c>
    </row>
    <row r="6">
      <c r="A6" t="inlineStr">
        <is>
          <t>DEV-001</t>
        </is>
      </c>
      <c r="B6" t="inlineStr">
        <is>
          <t>CVE-2024-1111</t>
        </is>
      </c>
      <c r="C6" t="inlineStr">
        <is>
          <t>Dev-Web-01</t>
        </is>
      </c>
      <c r="D6" t="inlineStr">
        <is>
          <t>Low</t>
        </is>
      </c>
      <c r="E6" t="inlineStr">
        <is>
          <t>Public</t>
        </is>
      </c>
      <c r="F6" t="inlineStr">
        <is>
          <t>Development Team</t>
        </is>
      </c>
      <c r="G6" t="inlineStr">
        <is>
          <t>WordPress</t>
        </is>
      </c>
      <c r="H6" t="inlineStr">
        <is>
          <t>6.2.0</t>
        </is>
      </c>
      <c r="I6" t="inlineStr">
        <is>
          <t>6.4.2</t>
        </is>
      </c>
      <c r="J6" t="inlineStr">
        <is>
          <t>Available</t>
        </is>
      </c>
      <c r="K6" t="inlineStr">
        <is>
          <t>Low</t>
        </is>
      </c>
      <c r="L6" t="inlineStr">
        <is>
          <t>08.02.2026</t>
        </is>
      </c>
      <c r="M6" t="inlineStr">
        <is>
          <t>Development environment</t>
        </is>
      </c>
    </row>
  </sheetData>
  <dataValidations count="4">
    <dataValidation sqref="D2:D2000" showDropDown="0" showInputMessage="0" showErrorMessage="0" allowBlank="0" type="list">
      <formula1>"Critical,High,Medium,Low"</formula1>
    </dataValidation>
    <dataValidation sqref="E2:E2000" showDropDown="0" showInputMessage="0" showErrorMessage="0" allowBlank="0" type="list">
      <formula1>"Restricted,Confidential,Internal,Public"</formula1>
    </dataValidation>
    <dataValidation sqref="J2:J2000" showDropDown="0" showInputMessage="0" showErrorMessage="0" allowBlank="0" type="list">
      <formula1>"Available,Pending,None,Workaround_Only"</formula1>
    </dataValidation>
    <dataValidation sqref="K2:K2000" showDropDown="0" showInputMessage="0" showErrorMessage="0" allowBlank="0" type="list">
      <formula1>"Low,Medium,High"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CVE_ID</t>
        </is>
      </c>
      <c r="B1" s="3" t="inlineStr">
        <is>
          <t>CVSS_Base_Score</t>
        </is>
      </c>
      <c r="C1" s="3" t="inlineStr">
        <is>
          <t>TI_Score_Modifier</t>
        </is>
      </c>
      <c r="D1" s="3" t="inlineStr">
        <is>
          <t>Adjusted_CVSS</t>
        </is>
      </c>
      <c r="E1" s="3" t="inlineStr">
        <is>
          <t>Asset_Criticality_Multiplier</t>
        </is>
      </c>
      <c r="F1" s="3" t="inlineStr">
        <is>
          <t>Data_Sensitivity_Multiplier</t>
        </is>
      </c>
      <c r="G1" s="3" t="inlineStr">
        <is>
          <t>Score_After_Asset</t>
        </is>
      </c>
      <c r="H1" s="3" t="inlineStr">
        <is>
          <t>Final_Risk_Score</t>
        </is>
      </c>
      <c r="I1" s="3" t="inlineStr">
        <is>
          <t>Priority</t>
        </is>
      </c>
      <c r="J1" s="3" t="inlineStr">
        <is>
          <t>Priority_Override</t>
        </is>
      </c>
      <c r="K1" s="3" t="inlineStr">
        <is>
          <t>Final_Priority</t>
        </is>
      </c>
    </row>
    <row r="2">
      <c r="A2" t="inlineStr">
        <is>
          <t>CVE-2024-1234</t>
        </is>
      </c>
      <c r="B2" t="n">
        <v>10</v>
      </c>
      <c r="C2" t="n">
        <v>2</v>
      </c>
      <c r="D2">
        <f>MIN(B2+C2,10.0)</f>
        <v/>
      </c>
      <c r="E2" t="n">
        <v>1.5</v>
      </c>
      <c r="F2" t="n">
        <v>1.5</v>
      </c>
      <c r="G2">
        <f>D2*E2</f>
        <v/>
      </c>
      <c r="H2">
        <f>MIN(G2*F2,10.0)</f>
        <v/>
      </c>
      <c r="I2">
        <f>IF(H2&gt;=9,"P0",IF(H2&gt;=7,"P1",IF(H2&gt;=4,"P2","P3")))</f>
        <v/>
      </c>
      <c r="J2">
        <f>IF(Vulnerability_Inventory!F2="YES","P0","")</f>
        <v/>
      </c>
      <c r="K2">
        <f>IF(J2&lt;&gt;"",J2,I2)</f>
        <v/>
      </c>
    </row>
    <row r="3">
      <c r="A3" t="inlineStr">
        <is>
          <t>CVE-2024-5678</t>
        </is>
      </c>
      <c r="B3" t="n">
        <v>9.1</v>
      </c>
      <c r="C3" t="n">
        <v>2</v>
      </c>
      <c r="D3">
        <f>MIN(B2+C2,10.0)</f>
        <v/>
      </c>
      <c r="E3" t="n">
        <v>1.3</v>
      </c>
      <c r="F3" t="n">
        <v>1.3</v>
      </c>
      <c r="G3">
        <f>D2*E2</f>
        <v/>
      </c>
      <c r="H3">
        <f>MIN(G2*F2,10.0)</f>
        <v/>
      </c>
      <c r="I3">
        <f>IF(H2&gt;=9,"P0",IF(H2&gt;=7,"P1",IF(H2&gt;=4,"P2","P3")))</f>
        <v/>
      </c>
      <c r="J3">
        <f>IF(Vulnerability_Inventory!F2="YES","P0","")</f>
        <v/>
      </c>
      <c r="K3">
        <f>IF(J2&lt;&gt;"",J2,I2)</f>
        <v/>
      </c>
    </row>
    <row r="10">
      <c r="A10" s="6" t="inlineStr">
        <is>
          <t>SCORING METHODOLOGY (per ISMS-IMP-A.8.8.3):</t>
        </is>
      </c>
    </row>
    <row r="11">
      <c r="A11" s="5" t="inlineStr">
        <is>
          <t>Step 1: Adjusted CVSS = MIN(CVSS_Base + TI_Modifier, 10.0)</t>
        </is>
      </c>
    </row>
    <row r="12">
      <c r="A12" s="5" t="inlineStr">
        <is>
          <t>Step 2: Score After Asset = Adjusted_CVSS × Asset_Criticality_Multiplier</t>
        </is>
      </c>
    </row>
    <row r="13">
      <c r="A13" s="5" t="inlineStr">
        <is>
          <t>Step 3: Final Risk Score = MIN(Score_After_Asset × Data_Sensitivity_Multiplier, 10.0)</t>
        </is>
      </c>
    </row>
    <row r="14">
      <c r="A14" s="5" t="inlineStr">
        <is>
          <t>Step 4: Priority = Map Final_Risk_Score to P0/P1/P2/P3/P4 per A.8.8.3</t>
        </is>
      </c>
    </row>
    <row r="15">
      <c r="A15" s="5" t="inlineStr">
        <is>
          <t>Step 5: Priority Override = Force P0 if KEV or Active Exploitation</t>
        </is>
      </c>
    </row>
  </sheetData>
  <mergeCells count="6">
    <mergeCell ref="A12:K12"/>
    <mergeCell ref="A15:K15"/>
    <mergeCell ref="A11:K11"/>
    <mergeCell ref="A10:K10"/>
    <mergeCell ref="A13:K13"/>
    <mergeCell ref="A14:K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s="7" t="inlineStr">
        <is>
          <t>CVSS v4.0 SCORING TRANSITION TRACKER</t>
        </is>
      </c>
    </row>
    <row r="3">
      <c r="A3" s="8" t="inlineStr">
        <is>
          <t>ADOPTION METRICS</t>
        </is>
      </c>
    </row>
    <row r="4">
      <c r="A4" s="3" t="inlineStr">
        <is>
          <t>Metric</t>
        </is>
      </c>
      <c r="B4" s="3" t="inlineStr">
        <is>
          <t>Current_Value</t>
        </is>
      </c>
      <c r="C4" s="3" t="inlineStr">
        <is>
          <t>Target</t>
        </is>
      </c>
      <c r="D4" s="3" t="inlineStr">
        <is>
          <t>Status</t>
        </is>
      </c>
      <c r="E4" s="3" t="inlineStr">
        <is>
          <t>Notes</t>
        </is>
      </c>
    </row>
    <row r="5">
      <c r="A5" t="inlineStr">
        <is>
          <t>Total Vulnerabilities Scored</t>
        </is>
      </c>
      <c r="B5">
        <f>COUNTA(Vulnerability_Inventory!A2:A1000)</f>
        <v/>
      </c>
      <c r="C5" t="inlineStr">
        <is>
          <t>N/A</t>
        </is>
      </c>
      <c r="D5" t="inlineStr">
        <is>
          <t>Info</t>
        </is>
      </c>
      <c r="E5" t="inlineStr"/>
    </row>
    <row r="6">
      <c r="A6" t="inlineStr">
        <is>
          <t>CVSS v4.0 Scored Count</t>
        </is>
      </c>
      <c r="B6">
        <f>COUNTIF(Vulnerability_Inventory!J2:J1000,"v4.0")</f>
        <v/>
      </c>
      <c r="C6" t="inlineStr">
        <is>
          <t>100%</t>
        </is>
      </c>
      <c r="D6" t="inlineStr"/>
      <c r="E6" t="inlineStr">
        <is>
          <t>Primary scoring version</t>
        </is>
      </c>
    </row>
    <row r="7">
      <c r="A7" t="inlineStr">
        <is>
          <t>CVSS v4.0 Adoption %</t>
        </is>
      </c>
      <c r="B7">
        <f>IF(B5&gt;0,B6/B5*100,0)</f>
        <v/>
      </c>
      <c r="C7" t="inlineStr">
        <is>
          <t>&gt;=70%</t>
        </is>
      </c>
      <c r="D7">
        <f>IF(B7&gt;=70,"GREEN",IF(B7&gt;=50,"YELLOW","RED"))</f>
        <v/>
      </c>
      <c r="E7" t="inlineStr">
        <is>
          <t>Target: 100% by Q3 2026</t>
        </is>
      </c>
    </row>
    <row r="8">
      <c r="A8" t="inlineStr">
        <is>
          <t>Dual-Scored Count (v4.0 + v3.1)</t>
        </is>
      </c>
      <c r="B8">
        <f>COUNTIFS(Vulnerability_Inventory!K2:K1000,"&gt;0",Vulnerability_Inventory!L2:L1000,"&gt;0")</f>
        <v/>
      </c>
      <c r="C8" t="inlineStr">
        <is>
          <t>N/A</t>
        </is>
      </c>
      <c r="D8" t="inlineStr">
        <is>
          <t>Info</t>
        </is>
      </c>
      <c r="E8" t="inlineStr">
        <is>
          <t>Both scores present</t>
        </is>
      </c>
    </row>
    <row r="9">
      <c r="A9" t="inlineStr">
        <is>
          <t>v3.1 Only Count (Legacy)</t>
        </is>
      </c>
      <c r="B9">
        <f>COUNTIFS(Vulnerability_Inventory!K2:K1000,"=0",Vulnerability_Inventory!L2:L1000,"&gt;0")</f>
        <v/>
      </c>
      <c r="C9" t="inlineStr">
        <is>
          <t>0</t>
        </is>
      </c>
      <c r="D9">
        <f>IF(B9&gt;0,"YELLOW","GREEN")</f>
        <v/>
      </c>
      <c r="E9" t="inlineStr">
        <is>
          <t>Should decrease over time</t>
        </is>
      </c>
    </row>
    <row r="10">
      <c r="A10" t="inlineStr">
        <is>
          <t>Average Score Delta (v4.0 - v3.1)</t>
        </is>
      </c>
      <c r="B10">
        <f>IFERROR(AVERAGE(Vulnerability_Inventory!K2:K1000)-AVERAGE(Vulnerability_Inventory!L2:L1000),0)</f>
        <v/>
      </c>
      <c r="C10" t="inlineStr">
        <is>
          <t>Monitor</t>
        </is>
      </c>
      <c r="D10" t="inlineStr">
        <is>
          <t>Info</t>
        </is>
      </c>
      <c r="E10" t="inlineStr">
        <is>
          <t>Positive = v4.0 scores higher</t>
        </is>
      </c>
    </row>
    <row r="13">
      <c r="A13" s="8" t="inlineStr">
        <is>
          <t>MONTHLY ADOPTION TREND</t>
        </is>
      </c>
    </row>
    <row r="14">
      <c r="A14" s="3" t="inlineStr">
        <is>
          <t>Month</t>
        </is>
      </c>
      <c r="B14" s="3" t="inlineStr">
        <is>
          <t>Total_Scored</t>
        </is>
      </c>
      <c r="C14" s="3" t="inlineStr">
        <is>
          <t>v4.0_Count</t>
        </is>
      </c>
      <c r="D14" s="3" t="inlineStr">
        <is>
          <t>v4.0_%</t>
        </is>
      </c>
      <c r="E14" s="3" t="inlineStr">
        <is>
          <t>v3.1_Only</t>
        </is>
      </c>
      <c r="F14" s="3" t="inlineStr">
        <is>
          <t>Notes</t>
        </is>
      </c>
    </row>
    <row r="15">
      <c r="A15" t="inlineStr">
        <is>
          <t>Month 1</t>
        </is>
      </c>
    </row>
    <row r="16">
      <c r="A16" t="inlineStr">
        <is>
          <t>Month 2</t>
        </is>
      </c>
    </row>
    <row r="17">
      <c r="A17" t="inlineStr">
        <is>
          <t>Month 3</t>
        </is>
      </c>
    </row>
    <row r="18">
      <c r="A18" t="inlineStr">
        <is>
          <t>Month 4</t>
        </is>
      </c>
    </row>
    <row r="19">
      <c r="A19" t="inlineStr">
        <is>
          <t>Month 5</t>
        </is>
      </c>
    </row>
    <row r="20">
      <c r="A20" t="inlineStr">
        <is>
          <t>Month 6</t>
        </is>
      </c>
    </row>
    <row r="21">
      <c r="A21" t="inlineStr">
        <is>
          <t>Month 7</t>
        </is>
      </c>
    </row>
    <row r="22">
      <c r="A22" t="inlineStr">
        <is>
          <t>Month 8</t>
        </is>
      </c>
    </row>
    <row r="23">
      <c r="A23" t="inlineStr">
        <is>
          <t>Month 9</t>
        </is>
      </c>
    </row>
    <row r="24">
      <c r="A24" t="inlineStr">
        <is>
          <t>Month 10</t>
        </is>
      </c>
    </row>
    <row r="25">
      <c r="A25" t="inlineStr">
        <is>
          <t>Month 11</t>
        </is>
      </c>
    </row>
    <row r="26">
      <c r="A26" t="inlineStr">
        <is>
          <t>Month 12</t>
        </is>
      </c>
    </row>
    <row r="29">
      <c r="A29" s="6" t="inlineStr">
        <is>
          <t>TRANSITION GUIDANCE:</t>
        </is>
      </c>
    </row>
    <row r="30">
      <c r="A30" s="5" t="inlineStr">
        <is>
          <t>* Track migration from CVSS v3.1 to CVSS v4.0 scoring</t>
        </is>
      </c>
    </row>
    <row r="31">
      <c r="A31" s="5" t="inlineStr">
        <is>
          <t>* Target: 100% v4.0 adoption for new vulnerabilities by Q3 2026</t>
        </is>
      </c>
    </row>
    <row r="32">
      <c r="A32" s="5" t="inlineStr">
        <is>
          <t>* Dual-scoring recommended during transition period</t>
        </is>
      </c>
    </row>
    <row r="33">
      <c r="A33" s="5" t="inlineStr">
        <is>
          <t>* Update monthly to track adoption progress</t>
        </is>
      </c>
    </row>
  </sheetData>
  <mergeCells count="6">
    <mergeCell ref="A33:F33"/>
    <mergeCell ref="A1:F1"/>
    <mergeCell ref="A32:F32"/>
    <mergeCell ref="A31:F31"/>
    <mergeCell ref="A30:F30"/>
    <mergeCell ref="A29:F2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RISK CLASSIFICATION SUMMARY</t>
        </is>
      </c>
    </row>
    <row r="3">
      <c r="A3" s="8" t="inlineStr">
        <is>
          <t>BY PRIORITY</t>
        </is>
      </c>
    </row>
    <row r="4">
      <c r="A4" s="3" t="inlineStr">
        <is>
          <t>Priority</t>
        </is>
      </c>
      <c r="B4" s="3" t="inlineStr">
        <is>
          <t>Count</t>
        </is>
      </c>
      <c r="C4" s="3" t="inlineStr">
        <is>
          <t>% of Total</t>
        </is>
      </c>
      <c r="D4" s="3" t="inlineStr">
        <is>
          <t>Avg Age (days)</t>
        </is>
      </c>
      <c r="E4" s="3" t="inlineStr">
        <is>
          <t>Overdue Count</t>
        </is>
      </c>
    </row>
    <row r="5">
      <c r="A5" t="inlineStr">
        <is>
          <t>P0</t>
        </is>
      </c>
      <c r="B5">
        <f>COUNTIF(Vulnerability_Inventory!$M:$M,"P0")</f>
        <v/>
      </c>
      <c r="C5">
        <f>B5/SUM(B5:B9)*100</f>
        <v/>
      </c>
      <c r="D5">
        <f>AVERAGEIF(Vulnerability_Inventory!$M:$M,"P0",Vulnerability_Inventory!$E:$E)</f>
        <v/>
      </c>
      <c r="E5">
        <f>COUNTIFS(Vulnerability_Inventory!$M:$M,"P0",Remediation_Planning!$K:$K,"Overdue")</f>
        <v/>
      </c>
    </row>
    <row r="6">
      <c r="A6" t="inlineStr">
        <is>
          <t>P1</t>
        </is>
      </c>
      <c r="B6">
        <f>COUNTIF(Vulnerability_Inventory!$M:$M,"P1")</f>
        <v/>
      </c>
      <c r="C6">
        <f>B6/SUM(B5:B9)*100</f>
        <v/>
      </c>
      <c r="D6">
        <f>AVERAGEIF(Vulnerability_Inventory!$M:$M,"P1",Vulnerability_Inventory!$E:$E)</f>
        <v/>
      </c>
      <c r="E6">
        <f>COUNTIFS(Vulnerability_Inventory!$M:$M,"P1",Remediation_Planning!$K:$K,"Overdue")</f>
        <v/>
      </c>
    </row>
    <row r="7">
      <c r="A7" t="inlineStr">
        <is>
          <t>P2</t>
        </is>
      </c>
      <c r="B7">
        <f>COUNTIF(Vulnerability_Inventory!$M:$M,"P2")</f>
        <v/>
      </c>
      <c r="C7">
        <f>B7/SUM(B5:B9)*100</f>
        <v/>
      </c>
      <c r="D7">
        <f>AVERAGEIF(Vulnerability_Inventory!$M:$M,"P2",Vulnerability_Inventory!$E:$E)</f>
        <v/>
      </c>
      <c r="E7">
        <f>COUNTIFS(Vulnerability_Inventory!$M:$M,"P2",Remediation_Planning!$K:$K,"Overdue")</f>
        <v/>
      </c>
    </row>
    <row r="8">
      <c r="A8" t="inlineStr">
        <is>
          <t>P3</t>
        </is>
      </c>
      <c r="B8">
        <f>COUNTIF(Vulnerability_Inventory!$M:$M,"P3")</f>
        <v/>
      </c>
      <c r="C8">
        <f>B8/SUM(B5:B9)*100</f>
        <v/>
      </c>
      <c r="D8">
        <f>AVERAGEIF(Vulnerability_Inventory!$M:$M,"P3",Vulnerability_Inventory!$E:$E)</f>
        <v/>
      </c>
      <c r="E8">
        <f>COUNTIFS(Vulnerability_Inventory!$M:$M,"P3",Remediation_Planning!$K:$K,"Overdue")</f>
        <v/>
      </c>
    </row>
    <row r="9">
      <c r="A9" t="inlineStr">
        <is>
          <t>P4</t>
        </is>
      </c>
      <c r="B9">
        <f>COUNTIF(Vulnerability_Inventory!$M:$M,"P4")</f>
        <v/>
      </c>
      <c r="C9">
        <f>B9/SUM(B5:B9)*100</f>
        <v/>
      </c>
      <c r="D9">
        <f>AVERAGEIF(Vulnerability_Inventory!$M:$M,"P4",Vulnerability_Inventory!$E:$E)</f>
        <v/>
      </c>
      <c r="E9">
        <f>COUNTIFS(Vulnerability_Inventory!$M:$M,"P4",Remediation_Planning!$K:$K,"Overdue")</f>
        <v/>
      </c>
    </row>
    <row r="12">
      <c r="A12" s="8" t="inlineStr">
        <is>
          <t>BY ASSET CRITICALITY</t>
        </is>
      </c>
    </row>
    <row r="13">
      <c r="A13" s="3" t="inlineStr">
        <is>
          <t>Asset Criticality</t>
        </is>
      </c>
      <c r="B13" s="3" t="inlineStr">
        <is>
          <t>Vulns Affecting</t>
        </is>
      </c>
      <c r="C13" s="3" t="inlineStr">
        <is>
          <t>P0+P1 Count</t>
        </is>
      </c>
      <c r="D13" s="3" t="inlineStr">
        <is>
          <t>Avg Risk Score</t>
        </is>
      </c>
    </row>
    <row r="14">
      <c r="A14" t="inlineStr">
        <is>
          <t>Critical</t>
        </is>
      </c>
      <c r="B14">
        <f>COUNTIF(Vulnerability_Inventory!$O:$O,"Critical")</f>
        <v/>
      </c>
      <c r="C14">
        <f>COUNTIFS(Vulnerability_Inventory!$O:$O,"Critical",Vulnerability_Inventory!$M:$M,"P0")+COUNTIFS(Vulnerability_Inventory!$O:$O,"Critical",Vulnerability_Inventory!$M:$M,"P1")</f>
        <v/>
      </c>
      <c r="D14">
        <f>AVERAGEIF(Vulnerability_Inventory!$O:$O,"Critical",Vulnerability_Inventory!$L:$L)</f>
        <v/>
      </c>
    </row>
    <row r="15">
      <c r="A15" t="inlineStr">
        <is>
          <t>High</t>
        </is>
      </c>
      <c r="B15">
        <f>COUNTIF(Vulnerability_Inventory!$O:$O,"High")</f>
        <v/>
      </c>
      <c r="C15">
        <f>COUNTIFS(Vulnerability_Inventory!$O:$O,"High",Vulnerability_Inventory!$M:$M,"P0")+COUNTIFS(Vulnerability_Inventory!$O:$O,"High",Vulnerability_Inventory!$M:$M,"P1")</f>
        <v/>
      </c>
      <c r="D15">
        <f>AVERAGEIF(Vulnerability_Inventory!$O:$O,"High",Vulnerability_Inventory!$L:$L)</f>
        <v/>
      </c>
    </row>
    <row r="16">
      <c r="A16" t="inlineStr">
        <is>
          <t>Medium</t>
        </is>
      </c>
      <c r="B16">
        <f>COUNTIF(Vulnerability_Inventory!$O:$O,"Medium")</f>
        <v/>
      </c>
      <c r="C16">
        <f>COUNTIFS(Vulnerability_Inventory!$O:$O,"Medium",Vulnerability_Inventory!$M:$M,"P0")+COUNTIFS(Vulnerability_Inventory!$O:$O,"Medium",Vulnerability_Inventory!$M:$M,"P1")</f>
        <v/>
      </c>
      <c r="D16">
        <f>AVERAGEIF(Vulnerability_Inventory!$O:$O,"Medium",Vulnerability_Inventory!$L:$L)</f>
        <v/>
      </c>
    </row>
    <row r="17">
      <c r="A17" t="inlineStr">
        <is>
          <t>Low</t>
        </is>
      </c>
      <c r="B17">
        <f>COUNTIF(Vulnerability_Inventory!$O:$O,"Low")</f>
        <v/>
      </c>
      <c r="C17">
        <f>COUNTIFS(Vulnerability_Inventory!$O:$O,"Low",Vulnerability_Inventory!$M:$M,"P0")+COUNTIFS(Vulnerability_Inventory!$O:$O,"Low",Vulnerability_Inventory!$M:$M,"P1")</f>
        <v/>
      </c>
      <c r="D17">
        <f>AVERAGEIF(Vulnerability_Inventory!$O:$O,"Low",Vulnerability_Inventory!$L:$L)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12" customWidth="1" min="4" max="4"/>
    <col width="10" customWidth="1" min="5" max="5"/>
    <col width="15" customWidth="1" min="6" max="6"/>
    <col width="15" customWidth="1" min="7" max="7"/>
    <col width="20" customWidth="1" min="8" max="8"/>
    <col width="40" customWidth="1" min="9" max="9"/>
    <col width="15" customWidth="1" min="10" max="10"/>
    <col width="12" customWidth="1" min="11" max="11"/>
    <col width="40" customWidth="1" min="12" max="12"/>
  </cols>
  <sheetData>
    <row r="1">
      <c r="A1" s="3" t="inlineStr">
        <is>
          <t>CVE_ID</t>
        </is>
      </c>
      <c r="B1" s="3" t="inlineStr">
        <is>
          <t>Priority</t>
        </is>
      </c>
      <c r="C1" s="3" t="inlineStr">
        <is>
          <t>Assigned_To</t>
        </is>
      </c>
      <c r="D1" s="3" t="inlineStr">
        <is>
          <t>Assignment_Date</t>
        </is>
      </c>
      <c r="E1" s="3" t="inlineStr">
        <is>
          <t>SLA_Days</t>
        </is>
      </c>
      <c r="F1" s="3" t="inlineStr">
        <is>
          <t>Target_Remediation_Date</t>
        </is>
      </c>
      <c r="G1" s="3" t="inlineStr">
        <is>
          <t>Estimated_Effort_Hours</t>
        </is>
      </c>
      <c r="H1" s="3" t="inlineStr">
        <is>
          <t>Remediation_Approach</t>
        </is>
      </c>
      <c r="I1" s="3" t="inlineStr">
        <is>
          <t>Dependencies</t>
        </is>
      </c>
      <c r="J1" s="3" t="inlineStr">
        <is>
          <t>Status</t>
        </is>
      </c>
      <c r="K1" s="3" t="inlineStr">
        <is>
          <t>SLA_Status</t>
        </is>
      </c>
      <c r="L1" s="3" t="inlineStr">
        <is>
          <t>Notes</t>
        </is>
      </c>
    </row>
    <row r="2">
      <c r="A2" t="inlineStr">
        <is>
          <t>CVE-2024-1234</t>
        </is>
      </c>
      <c r="B2" t="inlineStr">
        <is>
          <t>P0</t>
        </is>
      </c>
      <c r="C2" t="inlineStr">
        <is>
          <t>IT Security Team</t>
        </is>
      </c>
      <c r="D2" t="inlineStr">
        <is>
          <t>08.02.2026</t>
        </is>
      </c>
      <c r="E2" t="n">
        <v>2</v>
      </c>
      <c r="F2">
        <f>D2+E2</f>
        <v/>
      </c>
      <c r="G2" t="n">
        <v>8</v>
      </c>
      <c r="H2" t="inlineStr">
        <is>
          <t>Patch</t>
        </is>
      </c>
      <c r="I2" t="inlineStr">
        <is>
          <t>None</t>
        </is>
      </c>
      <c r="J2" t="inlineStr">
        <is>
          <t>In_Progress</t>
        </is>
      </c>
      <c r="K2">
        <f>IF(TODAY()&gt;F2,"Overdue","On Track")</f>
        <v/>
      </c>
      <c r="L2" t="inlineStr">
        <is>
          <t>Emergency patching in progress</t>
        </is>
      </c>
    </row>
    <row r="3">
      <c r="A3" t="inlineStr">
        <is>
          <t>CVE-2024-5678</t>
        </is>
      </c>
      <c r="B3" t="inlineStr">
        <is>
          <t>P0</t>
        </is>
      </c>
      <c r="C3" t="inlineStr">
        <is>
          <t>Mail Team</t>
        </is>
      </c>
      <c r="D3" t="inlineStr">
        <is>
          <t>08.02.2026</t>
        </is>
      </c>
      <c r="E3" t="n">
        <v>2</v>
      </c>
      <c r="F3">
        <f>D2+E2</f>
        <v/>
      </c>
      <c r="G3" t="n">
        <v>12</v>
      </c>
      <c r="H3" t="inlineStr">
        <is>
          <t>Patch</t>
        </is>
      </c>
      <c r="I3" t="inlineStr">
        <is>
          <t>Maintenance window required</t>
        </is>
      </c>
      <c r="J3" t="inlineStr">
        <is>
          <t>Assigned</t>
        </is>
      </c>
      <c r="K3">
        <f>IF(TODAY()&gt;F2,"Overdue","On Track")</f>
        <v/>
      </c>
      <c r="L3" t="inlineStr">
        <is>
          <t>Scheduled for weekend</t>
        </is>
      </c>
    </row>
    <row r="4">
      <c r="F4">
        <f>D4+E4</f>
        <v/>
      </c>
      <c r="K4">
        <f>IF(TODAY()&gt;F4,"Overdue","On Track")</f>
        <v/>
      </c>
    </row>
    <row r="5">
      <c r="F5">
        <f>D5+E5</f>
        <v/>
      </c>
      <c r="K5">
        <f>IF(TODAY()&gt;F5,"Overdue","On Track")</f>
        <v/>
      </c>
    </row>
    <row r="6">
      <c r="F6">
        <f>D6+E6</f>
        <v/>
      </c>
      <c r="K6">
        <f>IF(TODAY()&gt;F6,"Overdue","On Track")</f>
        <v/>
      </c>
    </row>
    <row r="7">
      <c r="F7">
        <f>D7+E7</f>
        <v/>
      </c>
      <c r="K7">
        <f>IF(TODAY()&gt;F7,"Overdue","On Track")</f>
        <v/>
      </c>
    </row>
    <row r="8">
      <c r="F8">
        <f>D8+E8</f>
        <v/>
      </c>
      <c r="K8">
        <f>IF(TODAY()&gt;F8,"Overdue","On Track")</f>
        <v/>
      </c>
    </row>
    <row r="9">
      <c r="F9">
        <f>D9+E9</f>
        <v/>
      </c>
      <c r="K9">
        <f>IF(TODAY()&gt;F9,"Overdue","On Track")</f>
        <v/>
      </c>
    </row>
    <row r="10">
      <c r="F10">
        <f>D10+E10</f>
        <v/>
      </c>
      <c r="K10">
        <f>IF(TODAY()&gt;F10,"Overdue","On Track")</f>
        <v/>
      </c>
    </row>
    <row r="11">
      <c r="F11">
        <f>D11+E11</f>
        <v/>
      </c>
      <c r="K11">
        <f>IF(TODAY()&gt;F11,"Overdue","On Track")</f>
        <v/>
      </c>
    </row>
    <row r="12">
      <c r="F12">
        <f>D12+E12</f>
        <v/>
      </c>
      <c r="K12">
        <f>IF(TODAY()&gt;F12,"Overdue","On Track")</f>
        <v/>
      </c>
    </row>
    <row r="13">
      <c r="F13">
        <f>D13+E13</f>
        <v/>
      </c>
      <c r="K13">
        <f>IF(TODAY()&gt;F13,"Overdue","On Track")</f>
        <v/>
      </c>
    </row>
    <row r="14">
      <c r="F14">
        <f>D14+E14</f>
        <v/>
      </c>
      <c r="K14">
        <f>IF(TODAY()&gt;F14,"Overdue","On Track")</f>
        <v/>
      </c>
    </row>
    <row r="15">
      <c r="F15">
        <f>D15+E15</f>
        <v/>
      </c>
      <c r="K15">
        <f>IF(TODAY()&gt;F15,"Overdue","On Track")</f>
        <v/>
      </c>
    </row>
    <row r="16">
      <c r="F16">
        <f>D16+E16</f>
        <v/>
      </c>
      <c r="K16">
        <f>IF(TODAY()&gt;F16,"Overdue","On Track")</f>
        <v/>
      </c>
    </row>
    <row r="17">
      <c r="F17">
        <f>D17+E17</f>
        <v/>
      </c>
      <c r="K17">
        <f>IF(TODAY()&gt;F17,"Overdue","On Track")</f>
        <v/>
      </c>
    </row>
    <row r="18">
      <c r="F18">
        <f>D18+E18</f>
        <v/>
      </c>
      <c r="K18">
        <f>IF(TODAY()&gt;F18,"Overdue","On Track")</f>
        <v/>
      </c>
    </row>
    <row r="19">
      <c r="F19">
        <f>D19+E19</f>
        <v/>
      </c>
      <c r="K19">
        <f>IF(TODAY()&gt;F19,"Overdue","On Track")</f>
        <v/>
      </c>
    </row>
    <row r="20">
      <c r="F20">
        <f>D20+E20</f>
        <v/>
      </c>
      <c r="K20">
        <f>IF(TODAY()&gt;F20,"Overdue","On Track")</f>
        <v/>
      </c>
    </row>
    <row r="21">
      <c r="F21">
        <f>D21+E21</f>
        <v/>
      </c>
      <c r="K21">
        <f>IF(TODAY()&gt;F21,"Overdue","On Track")</f>
        <v/>
      </c>
    </row>
    <row r="22">
      <c r="F22">
        <f>D22+E22</f>
        <v/>
      </c>
      <c r="K22">
        <f>IF(TODAY()&gt;F22,"Overdue","On Track")</f>
        <v/>
      </c>
    </row>
    <row r="23">
      <c r="F23">
        <f>D23+E23</f>
        <v/>
      </c>
      <c r="K23">
        <f>IF(TODAY()&gt;F23,"Overdue","On Track")</f>
        <v/>
      </c>
    </row>
    <row r="24">
      <c r="F24">
        <f>D24+E24</f>
        <v/>
      </c>
      <c r="K24">
        <f>IF(TODAY()&gt;F24,"Overdue","On Track")</f>
        <v/>
      </c>
    </row>
    <row r="25">
      <c r="F25">
        <f>D25+E25</f>
        <v/>
      </c>
      <c r="K25">
        <f>IF(TODAY()&gt;F25,"Overdue","On Track")</f>
        <v/>
      </c>
    </row>
    <row r="26">
      <c r="F26">
        <f>D26+E26</f>
        <v/>
      </c>
      <c r="K26">
        <f>IF(TODAY()&gt;F26,"Overdue","On Track")</f>
        <v/>
      </c>
    </row>
    <row r="27">
      <c r="F27">
        <f>D27+E27</f>
        <v/>
      </c>
      <c r="K27">
        <f>IF(TODAY()&gt;F27,"Overdue","On Track")</f>
        <v/>
      </c>
    </row>
    <row r="28">
      <c r="F28">
        <f>D28+E28</f>
        <v/>
      </c>
      <c r="K28">
        <f>IF(TODAY()&gt;F28,"Overdue","On Track")</f>
        <v/>
      </c>
    </row>
    <row r="29">
      <c r="F29">
        <f>D29+E29</f>
        <v/>
      </c>
      <c r="K29">
        <f>IF(TODAY()&gt;F29,"Overdue","On Track")</f>
        <v/>
      </c>
    </row>
    <row r="30">
      <c r="F30">
        <f>D30+E30</f>
        <v/>
      </c>
      <c r="K30">
        <f>IF(TODAY()&gt;F30,"Overdue","On Track")</f>
        <v/>
      </c>
    </row>
  </sheetData>
  <conditionalFormatting sqref="K2:K500">
    <cfRule type="cellIs" priority="1" operator="equal" dxfId="6">
      <formula>"Overdue"</formula>
    </cfRule>
  </conditionalFormatting>
  <dataValidations count="2">
    <dataValidation sqref="H2:H500" showDropDown="0" showInputMessage="0" showErrorMessage="0" allowBlank="0" type="list">
      <formula1>"Patch,Workaround,Configuration_Change,Risk_Accept,Decommission"</formula1>
    </dataValidation>
    <dataValidation sqref="J2:J500" showDropDown="0" showInputMessage="0" showErrorMessage="0" allowBlank="0" type="list">
      <formula1>"Open,Assigned,In_Progress,Testing,Complete"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Month</t>
        </is>
      </c>
      <c r="B1" s="3" t="inlineStr">
        <is>
          <t>Total_Vulnerabilities</t>
        </is>
      </c>
      <c r="C1" s="3" t="inlineStr">
        <is>
          <t>P0_Count</t>
        </is>
      </c>
      <c r="D1" s="3" t="inlineStr">
        <is>
          <t>P1_Count</t>
        </is>
      </c>
      <c r="E1" s="3" t="inlineStr">
        <is>
          <t>New_Discovered</t>
        </is>
      </c>
      <c r="F1" s="3" t="inlineStr">
        <is>
          <t>Remediated</t>
        </is>
      </c>
      <c r="G1" s="3" t="inlineStr">
        <is>
          <t>Avg_Time_to_Remediate_Days</t>
        </is>
      </c>
      <c r="H1" s="3" t="inlineStr">
        <is>
          <t>KEV_Count</t>
        </is>
      </c>
      <c r="I1" s="3" t="inlineStr">
        <is>
          <t>Overdue_Count</t>
        </is>
      </c>
    </row>
    <row r="2">
      <c r="A2" t="inlineStr">
        <is>
          <t>2025-01</t>
        </is>
      </c>
      <c r="B2">
        <f>COUNTA(Vulnerability_Inventory!A2:A1000)</f>
        <v/>
      </c>
      <c r="C2">
        <f>COUNTIF(Vulnerability_Inventory!V2:V1000,"P0")</f>
        <v/>
      </c>
      <c r="D2">
        <f>COUNTIF(Vulnerability_Inventory!V2:V1000,"P1")</f>
        <v/>
      </c>
      <c r="E2" t="inlineStr">
        <is>
          <t>[Manual entry - new this month]</t>
        </is>
      </c>
      <c r="F2" t="inlineStr">
        <is>
          <t>[Manual entry - closed this month]</t>
        </is>
      </c>
      <c r="G2" t="inlineStr">
        <is>
          <t>[Manual calculation]</t>
        </is>
      </c>
      <c r="H2">
        <f>COUNTIF(Vulnerability_Inventory!F2:F1000,"YES")</f>
        <v/>
      </c>
      <c r="I2">
        <f>COUNTIF(Remediation_Planning!K2:K500,"Overdue")</f>
        <v/>
      </c>
    </row>
    <row r="4">
      <c r="A4" s="10" t="inlineStr">
        <is>
          <t>UPDATE: Manually snapshot these values at month-end</t>
        </is>
      </c>
    </row>
  </sheetData>
  <mergeCells count="1">
    <mergeCell ref="A4:I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9" t="inlineStr">
        <is>
          <t>VULNERABILITY INVENTORY - MASTER CVE TRACKING</t>
        </is>
      </c>
    </row>
    <row r="3">
      <c r="A3" s="8" t="inlineStr">
        <is>
          <t>PURPOSE</t>
        </is>
      </c>
    </row>
    <row r="4">
      <c r="A4" t="inlineStr">
        <is>
          <t>Single source of truth for all discovered vulnerabilities. Integrates scan results, TI flags, scoring, and remediation planning.</t>
        </is>
      </c>
    </row>
    <row r="7">
      <c r="A7" s="8" t="inlineStr">
        <is>
          <t>RELATED WORKBOOKS</t>
        </is>
      </c>
    </row>
    <row r="8">
      <c r="A8" t="inlineStr">
        <is>
          <t>ISMS-IMP-A.8.8.1</t>
        </is>
      </c>
      <c r="B8" t="inlineStr">
        <is>
          <t>Scanning Infrastructure (scan results source)</t>
        </is>
      </c>
    </row>
    <row r="9">
      <c r="A9" t="inlineStr">
        <is>
          <t>ISMS-IMP-A.8.8.3</t>
        </is>
      </c>
      <c r="B9" t="inlineStr">
        <is>
          <t>Scoring Policy (scoring rules)</t>
        </is>
      </c>
    </row>
    <row r="10">
      <c r="A10" t="inlineStr">
        <is>
          <t>ISMS-IMP-A.8.8.4</t>
        </is>
      </c>
      <c r="B10" t="inlineStr">
        <is>
          <t>TI Indicators (KEV, Active Exploitation flags)</t>
        </is>
      </c>
    </row>
    <row r="11">
      <c r="A11" t="inlineStr">
        <is>
          <t>ISMS-IMP-A.8.8.6</t>
        </is>
      </c>
      <c r="B11" t="inlineStr">
        <is>
          <t>Risk Assessment (uses final scores)</t>
        </is>
      </c>
    </row>
    <row r="12">
      <c r="A12" t="inlineStr">
        <is>
          <t>ISMS-IMP-A.8.8.8</t>
        </is>
      </c>
      <c r="B12" t="inlineStr">
        <is>
          <t>Remediation Tracking (workflow initiation)</t>
        </is>
      </c>
    </row>
    <row r="15">
      <c r="A15" s="8" t="inlineStr">
        <is>
          <t>WEEKLY UPDATE WORKFLOW</t>
        </is>
      </c>
    </row>
    <row r="16">
      <c r="A16" t="inlineStr">
        <is>
          <t>1. Import new scan results from A.8.8.1</t>
        </is>
      </c>
    </row>
    <row r="17">
      <c r="A17" t="inlineStr">
        <is>
          <t>2. Update TI flags from A.8.8.4 (KEV, Active Exploitation)</t>
        </is>
      </c>
    </row>
    <row r="18">
      <c r="A18" t="inlineStr">
        <is>
          <t>3. Map vulnerabilities to assets (Sheet 3)</t>
        </is>
      </c>
    </row>
    <row r="19">
      <c r="A19" t="inlineStr">
        <is>
          <t>4. Review scoring application (Sheet 4)</t>
        </is>
      </c>
    </row>
    <row r="20">
      <c r="A20" t="inlineStr">
        <is>
          <t>5. Assign P0/P1 vulnerabilities (Sheet 6)</t>
        </is>
      </c>
    </row>
    <row r="21">
      <c r="A21" t="inlineStr">
        <is>
          <t>6. Update remediation status</t>
        </is>
      </c>
    </row>
    <row r="22">
      <c r="A22" t="inlineStr">
        <is>
          <t>7. Review SLA compliance</t>
        </is>
      </c>
    </row>
  </sheetData>
  <mergeCells count="9">
    <mergeCell ref="A4:B4"/>
    <mergeCell ref="A20:B20"/>
    <mergeCell ref="A21:B21"/>
    <mergeCell ref="A16:B16"/>
    <mergeCell ref="A19:B19"/>
    <mergeCell ref="A1:B1"/>
    <mergeCell ref="A17:B17"/>
    <mergeCell ref="A18:B18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2026-02-08T10:50:10Z</dcterms:created>
  <dcterms:modified xmlns:dcterms="http://purl.org/dc/terms/" xmlns:xsi="http://www.w3.org/2001/XMLSchema-instance" xsi:type="dcterms:W3CDTF">2026-02-08T10:50:10Z</dcterms:modified>
</cp:coreProperties>
</file>