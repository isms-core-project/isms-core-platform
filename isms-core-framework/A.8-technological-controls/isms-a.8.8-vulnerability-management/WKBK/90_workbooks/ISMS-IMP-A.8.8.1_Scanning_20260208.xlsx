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anner_Inventory" sheetId="2" state="visible" r:id="rId2"/>
    <sheet xmlns:r="http://schemas.openxmlformats.org/officeDocument/2006/relationships" name="Scan_Engine_Details" sheetId="3" state="visible" r:id="rId3"/>
    <sheet xmlns:r="http://schemas.openxmlformats.org/officeDocument/2006/relationships" name="Asset_Scanner_Mapping" sheetId="4" state="visible" r:id="rId4"/>
    <sheet xmlns:r="http://schemas.openxmlformats.org/officeDocument/2006/relationships" name="Scan_Schedule" sheetId="5" state="visible" r:id="rId5"/>
    <sheet xmlns:r="http://schemas.openxmlformats.org/officeDocument/2006/relationships" name="Scan_Execution_Log" sheetId="6" state="visible" r:id="rId6"/>
    <sheet xmlns:r="http://schemas.openxmlformats.org/officeDocument/2006/relationships" name="Coverage_Gap_Analysis" sheetId="7" state="visible" r:id="rId7"/>
    <sheet xmlns:r="http://schemas.openxmlformats.org/officeDocument/2006/relationships" name="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name val="Calibri"/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D3D3D3"/>
          <bgColor rgb="00D3D3D3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006400"/>
      </font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  <dxf>
      <font>
        <b val="1"/>
        <color rgb="00000000"/>
      </font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canner_Inventory!A1" TargetMode="External" Id="rId1"/><Relationship Type="http://schemas.openxmlformats.org/officeDocument/2006/relationships/hyperlink" Target="#Scan_Engine_Details!A1" TargetMode="External" Id="rId2"/><Relationship Type="http://schemas.openxmlformats.org/officeDocument/2006/relationships/hyperlink" Target="#Asset_Scanner_Mapping!A1" TargetMode="External" Id="rId3"/><Relationship Type="http://schemas.openxmlformats.org/officeDocument/2006/relationships/hyperlink" Target="#Scan_Schedule!A1" TargetMode="External" Id="rId4"/><Relationship Type="http://schemas.openxmlformats.org/officeDocument/2006/relationships/hyperlink" Target="#Scan_Execution_Log!A1" TargetMode="External" Id="rId5"/><Relationship Type="http://schemas.openxmlformats.org/officeDocument/2006/relationships/hyperlink" Target="#Coverage_Gap_Analysis!A1" TargetMode="External" Id="rId6"/><Relationship Type="http://schemas.openxmlformats.org/officeDocument/2006/relationships/hyperlink" Target="#Reference!A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ISMS-IMP-A.8.8.1</t>
        </is>
      </c>
    </row>
    <row r="2">
      <c r="A2" s="1" t="inlineStr">
        <is>
          <t>Workbook Title</t>
        </is>
      </c>
      <c r="B2" t="inlineStr">
        <is>
          <t>Vulnerability Scanning Infrastructure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2026-02-08 11:50:09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Review Frequency</t>
        </is>
      </c>
      <c r="B7" t="inlineStr">
        <is>
          <t>Quarterly</t>
        </is>
      </c>
    </row>
    <row r="8">
      <c r="A8" s="1" t="inlineStr">
        <is>
          <t>Next Review Date</t>
        </is>
      </c>
      <c r="B8" t="inlineStr">
        <is>
          <t>[Date]</t>
        </is>
      </c>
    </row>
    <row r="9">
      <c r="A9" s="1" t="inlineStr">
        <is>
          <t>Status</t>
        </is>
      </c>
      <c r="B9" t="inlineStr">
        <is>
          <t>Active</t>
        </is>
      </c>
    </row>
    <row r="10">
      <c r="A10" t="inlineStr"/>
      <c r="B10" t="inlineStr"/>
    </row>
    <row r="11">
      <c r="A11" s="1" t="inlineStr">
        <is>
          <t>Related Policy</t>
        </is>
      </c>
      <c r="B11" t="inlineStr">
        <is>
          <t>ISMS-POL-A.8.8-S2</t>
        </is>
      </c>
    </row>
    <row r="12">
      <c r="A12" s="1" t="inlineStr">
        <is>
          <t>ISO Control</t>
        </is>
      </c>
      <c r="B12" t="inlineStr">
        <is>
          <t>A.8.8</t>
        </is>
      </c>
    </row>
    <row r="13">
      <c r="A13" s="1" t="inlineStr">
        <is>
          <t>Integration</t>
        </is>
      </c>
      <c r="B13" t="inlineStr">
        <is>
          <t>A.8.8.2, A.8.8.5, A.8.8.12</t>
        </is>
      </c>
    </row>
    <row r="14">
      <c r="A14" t="inlineStr"/>
      <c r="B14" t="inlineStr"/>
    </row>
    <row r="15">
      <c r="A15" s="1" t="inlineStr">
        <is>
          <t>Generated By</t>
        </is>
      </c>
      <c r="B15" t="inlineStr">
        <is>
          <t>Python automation script</t>
        </is>
      </c>
    </row>
    <row r="17">
      <c r="A17" s="2" t="inlineStr">
        <is>
          <t>KEY PERFORMANCE INDICATORS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Target</t>
        </is>
      </c>
      <c r="D18" s="3" t="inlineStr">
        <is>
          <t>Status</t>
        </is>
      </c>
    </row>
    <row r="19">
      <c r="A19" t="inlineStr">
        <is>
          <t>Total Scanners</t>
        </is>
      </c>
      <c r="B19">
        <f>COUNTA(Scanner_Inventory!A2:A100)</f>
        <v/>
      </c>
      <c r="C19" t="inlineStr">
        <is>
          <t>N/A</t>
        </is>
      </c>
      <c r="D19">
        <f>IF(B19&gt;0,"✅","❌")</f>
        <v/>
      </c>
    </row>
    <row r="20">
      <c r="A20" t="inlineStr">
        <is>
          <t>Active Scanners</t>
        </is>
      </c>
      <c r="B20">
        <f>COUNTIF(Scanner_Inventory!F2:F100,"Active")</f>
        <v/>
      </c>
      <c r="C20" t="inlineStr">
        <is>
          <t>&gt;=2</t>
        </is>
      </c>
      <c r="D20">
        <f>IF(B20&gt;=2,"✅","⚠️")</f>
        <v/>
      </c>
    </row>
    <row r="21">
      <c r="A21" t="inlineStr">
        <is>
          <t>Assets with Scanner</t>
        </is>
      </c>
      <c r="B21">
        <f>COUNTIF(Asset_Scanner_Mapping!D2:D1000,"&lt;&gt;")</f>
        <v/>
      </c>
      <c r="C21" t="inlineStr">
        <is>
          <t>100%</t>
        </is>
      </c>
      <c r="D21">
        <f>IF(B21&gt;0,"✅","⚠️")</f>
        <v/>
      </c>
    </row>
    <row r="22">
      <c r="A22" t="inlineStr">
        <is>
          <t>Assets Without Coverage</t>
        </is>
      </c>
      <c r="B22">
        <f>COUNTA(Coverage_Gap_Analysis!A2:A200)</f>
        <v/>
      </c>
      <c r="C22" t="inlineStr">
        <is>
          <t>0</t>
        </is>
      </c>
      <c r="D22">
        <f>IF(B22=0,"✅","⚠️")</f>
        <v/>
      </c>
    </row>
    <row r="23">
      <c r="A23" t="inlineStr">
        <is>
          <t>Scans Last 7 Days</t>
        </is>
      </c>
      <c r="B23">
        <f>COUNTIFS(Scan_Execution_Log!C2:C500,"&gt;="&amp;TODAY()-7)</f>
        <v/>
      </c>
      <c r="C23" t="inlineStr">
        <is>
          <t>&gt;=10</t>
        </is>
      </c>
      <c r="D23">
        <f>IF(B23&gt;=10,"✅","⚠️")</f>
        <v/>
      </c>
    </row>
    <row r="24">
      <c r="A24" t="inlineStr">
        <is>
          <t>Scan Completion Rate %</t>
        </is>
      </c>
      <c r="B24">
        <f>IFERROR(COUNTIF(Scan_Execution_Log!F2:F500,"Complete")/COUNTA(Scan_Execution_Log!F2:F500)*100,0)</f>
        <v/>
      </c>
      <c r="C24" t="inlineStr">
        <is>
          <t>&gt;=95</t>
        </is>
      </c>
      <c r="D24">
        <f>IF(B24&gt;=95,"✅","⚠️")</f>
        <v/>
      </c>
    </row>
    <row r="26">
      <c r="A26" s="2" t="inlineStr">
        <is>
          <t>NAVIGATION</t>
        </is>
      </c>
    </row>
    <row r="27">
      <c r="A27" s="4" t="inlineStr">
        <is>
          <t>-&gt; Sheet 2: Scanner Inventory</t>
        </is>
      </c>
    </row>
    <row r="28">
      <c r="A28" s="4" t="inlineStr">
        <is>
          <t>-&gt; Sheet 3: Scan Engine Details</t>
        </is>
      </c>
    </row>
    <row r="29">
      <c r="A29" s="4" t="inlineStr">
        <is>
          <t>-&gt; Sheet 4: Asset-Scanner Mapping</t>
        </is>
      </c>
    </row>
    <row r="30">
      <c r="A30" s="4" t="inlineStr">
        <is>
          <t>-&gt; Sheet 5: Scan Schedule</t>
        </is>
      </c>
    </row>
    <row r="31">
      <c r="A31" s="4" t="inlineStr">
        <is>
          <t>-&gt; Sheet 6: Scan Execution Log</t>
        </is>
      </c>
    </row>
    <row r="32">
      <c r="A32" s="4" t="inlineStr">
        <is>
          <t>-&gt; Sheet 7: Coverage Gap Analysis</t>
        </is>
      </c>
    </row>
    <row r="33">
      <c r="A33" s="4" t="inlineStr">
        <is>
          <t>-&gt; Sheet 8: Reference</t>
        </is>
      </c>
    </row>
  </sheetData>
  <mergeCells count="1">
    <mergeCell ref="A17:D17"/>
  </mergeCells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  <hyperlink xmlns:r="http://schemas.openxmlformats.org/officeDocument/2006/relationships" ref="A30" r:id="rId4"/>
    <hyperlink xmlns:r="http://schemas.openxmlformats.org/officeDocument/2006/relationships" ref="A31" r:id="rId5"/>
    <hyperlink xmlns:r="http://schemas.openxmlformats.org/officeDocument/2006/relationships" ref="A32" r:id="rId6"/>
    <hyperlink xmlns:r="http://schemas.openxmlformats.org/officeDocument/2006/relationships" ref="A33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0" customWidth="1" min="4" max="4"/>
    <col width="15" customWidth="1" min="5" max="5"/>
    <col width="12" customWidth="1" min="6" max="6"/>
    <col width="15" customWidth="1" min="7" max="7"/>
    <col width="20" customWidth="1" min="8" max="8"/>
    <col width="15" customWidth="1" min="9" max="9"/>
    <col width="20" customWidth="1" min="10" max="10"/>
    <col width="2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8" customWidth="1" min="21" max="21"/>
    <col width="22" customWidth="1" min="22" max="22"/>
    <col width="40" customWidth="1" min="23" max="23"/>
  </cols>
  <sheetData>
    <row r="1">
      <c r="A1" s="3" t="inlineStr">
        <is>
          <t>Scanner_ID</t>
        </is>
      </c>
      <c r="B1" s="3" t="inlineStr">
        <is>
          <t>Scanner_Name</t>
        </is>
      </c>
      <c r="C1" s="3" t="inlineStr">
        <is>
          <t>Vendor_Product</t>
        </is>
      </c>
      <c r="D1" s="3" t="inlineStr">
        <is>
          <t>Scanner_Type</t>
        </is>
      </c>
      <c r="E1" s="3" t="inlineStr">
        <is>
          <t>Version</t>
        </is>
      </c>
      <c r="F1" s="3" t="inlineStr">
        <is>
          <t>Status</t>
        </is>
      </c>
      <c r="G1" s="3" t="inlineStr">
        <is>
          <t>Deployment_Type</t>
        </is>
      </c>
      <c r="H1" s="3" t="inlineStr">
        <is>
          <t>Primary_Location</t>
        </is>
      </c>
      <c r="I1" s="3" t="inlineStr">
        <is>
          <t>IP_Address</t>
        </is>
      </c>
      <c r="J1" s="3" t="inlineStr">
        <is>
          <t>Owner_Team</t>
        </is>
      </c>
      <c r="K1" s="3" t="inlineStr">
        <is>
          <t>Owner_Contact</t>
        </is>
      </c>
      <c r="L1" s="3" t="inlineStr">
        <is>
          <t>License_Type</t>
        </is>
      </c>
      <c r="M1" s="3" t="inlineStr">
        <is>
          <t>License_Expiry</t>
        </is>
      </c>
      <c r="N1" s="3" t="inlineStr">
        <is>
          <t>Max_Scan_Targets</t>
        </is>
      </c>
      <c r="O1" s="3" t="inlineStr">
        <is>
          <t>Uptime_SLA_%</t>
        </is>
      </c>
      <c r="P1" s="3" t="inlineStr">
        <is>
          <t>Authenticated_Scanning</t>
        </is>
      </c>
      <c r="Q1" s="3" t="inlineStr">
        <is>
          <t>Agent_Based</t>
        </is>
      </c>
      <c r="R1" s="3" t="inlineStr">
        <is>
          <t>API_Available</t>
        </is>
      </c>
      <c r="S1" s="3" t="inlineStr">
        <is>
          <t>Compliance_Checks</t>
        </is>
      </c>
      <c r="T1" s="3" t="inlineStr">
        <is>
          <t>Last_Update_Date</t>
        </is>
      </c>
      <c r="U1" s="3" t="inlineStr">
        <is>
          <t>CVSS_v40_Support</t>
        </is>
      </c>
      <c r="V1" s="3" t="inlineStr">
        <is>
          <t>CVSS_v40_Available_Date</t>
        </is>
      </c>
      <c r="W1" s="3" t="inlineStr">
        <is>
          <t>Notes</t>
        </is>
      </c>
    </row>
    <row r="2">
      <c r="A2" t="inlineStr">
        <is>
          <t>SCAN-2025-001</t>
        </is>
      </c>
      <c r="B2" t="inlineStr">
        <is>
          <t>Nessus Pro 01</t>
        </is>
      </c>
      <c r="C2" t="inlineStr">
        <is>
          <t>Tenable Nessus Professional</t>
        </is>
      </c>
      <c r="D2" t="inlineStr">
        <is>
          <t>Network</t>
        </is>
      </c>
      <c r="E2" t="inlineStr">
        <is>
          <t>10.6.2</t>
        </is>
      </c>
      <c r="F2" t="inlineStr">
        <is>
          <t>Active</t>
        </is>
      </c>
      <c r="G2" t="inlineStr">
        <is>
          <t>On-Premise</t>
        </is>
      </c>
      <c r="H2" t="inlineStr">
        <is>
          <t>Datacenter-ZH</t>
        </is>
      </c>
      <c r="I2" t="inlineStr">
        <is>
          <t>10.50.1.10</t>
        </is>
      </c>
      <c r="J2" t="inlineStr">
        <is>
          <t>Security Operations</t>
        </is>
      </c>
      <c r="K2" t="inlineStr">
        <is>
          <t>secops@example.com</t>
        </is>
      </c>
      <c r="L2" t="inlineStr">
        <is>
          <t>Subscription</t>
        </is>
      </c>
      <c r="M2" t="inlineStr">
        <is>
          <t>2025-12-31</t>
        </is>
      </c>
      <c r="N2" t="n">
        <v>500</v>
      </c>
      <c r="O2" t="n">
        <v>99.5</v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08.02.2026</t>
        </is>
      </c>
      <c r="U2" t="inlineStr">
        <is>
          <t>Unknown</t>
        </is>
      </c>
      <c r="V2" t="inlineStr"/>
      <c r="W2" t="inlineStr">
        <is>
          <t>Primary network scanner</t>
        </is>
      </c>
    </row>
    <row r="3">
      <c r="A3" t="inlineStr">
        <is>
          <t>SCAN-2025-002</t>
        </is>
      </c>
      <c r="B3" t="inlineStr">
        <is>
          <t>Qualys Cloud</t>
        </is>
      </c>
      <c r="C3" t="inlineStr">
        <is>
          <t>Qualys VMDR</t>
        </is>
      </c>
      <c r="D3" t="inlineStr">
        <is>
          <t>Network</t>
        </is>
      </c>
      <c r="E3" t="inlineStr">
        <is>
          <t>Cloud</t>
        </is>
      </c>
      <c r="F3" t="inlineStr">
        <is>
          <t>Active</t>
        </is>
      </c>
      <c r="G3" t="inlineStr">
        <is>
          <t>Cloud</t>
        </is>
      </c>
      <c r="H3" t="inlineStr">
        <is>
          <t>AWS eu-central-1</t>
        </is>
      </c>
      <c r="I3" t="inlineStr">
        <is>
          <t>N/A</t>
        </is>
      </c>
      <c r="J3" t="inlineStr">
        <is>
          <t>Security Operations</t>
        </is>
      </c>
      <c r="K3" t="inlineStr">
        <is>
          <t>secops@example.com</t>
        </is>
      </c>
      <c r="L3" t="inlineStr">
        <is>
          <t>Subscription</t>
        </is>
      </c>
      <c r="M3" t="inlineStr">
        <is>
          <t>2026-06-30</t>
        </is>
      </c>
      <c r="N3" t="n">
        <v>1000</v>
      </c>
      <c r="O3" t="n">
        <v>99.90000000000001</v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08.02.2026</t>
        </is>
      </c>
      <c r="U3" t="inlineStr">
        <is>
          <t>Unknown</t>
        </is>
      </c>
      <c r="V3" t="inlineStr"/>
      <c r="W3" t="inlineStr">
        <is>
          <t>Cloud-based scanner</t>
        </is>
      </c>
    </row>
    <row r="4">
      <c r="A4" t="inlineStr">
        <is>
          <t>SCAN-2025-003</t>
        </is>
      </c>
      <c r="B4" t="inlineStr">
        <is>
          <t>OWASP ZAP</t>
        </is>
      </c>
      <c r="C4" t="inlineStr">
        <is>
          <t>OWASP ZAP</t>
        </is>
      </c>
      <c r="D4" t="inlineStr">
        <is>
          <t>WebApp</t>
        </is>
      </c>
      <c r="E4" t="inlineStr">
        <is>
          <t>2.14.0</t>
        </is>
      </c>
      <c r="F4" t="inlineStr">
        <is>
          <t>Active</t>
        </is>
      </c>
      <c r="G4" t="inlineStr">
        <is>
          <t>On-Premise</t>
        </is>
      </c>
      <c r="H4" t="inlineStr">
        <is>
          <t>Security Lab</t>
        </is>
      </c>
      <c r="I4" t="inlineStr">
        <is>
          <t>10.50.2.15</t>
        </is>
      </c>
      <c r="J4" t="inlineStr">
        <is>
          <t>Application Security</t>
        </is>
      </c>
      <c r="K4" t="inlineStr">
        <is>
          <t>appsec@example.com</t>
        </is>
      </c>
      <c r="L4" t="inlineStr">
        <is>
          <t>Free/Open-Source</t>
        </is>
      </c>
      <c r="M4" t="inlineStr"/>
      <c r="N4" t="n">
        <v>0</v>
      </c>
      <c r="O4" t="n">
        <v>95</v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08.02.2026</t>
        </is>
      </c>
      <c r="U4" t="inlineStr">
        <is>
          <t>Unknown</t>
        </is>
      </c>
      <c r="V4" t="inlineStr"/>
      <c r="W4" t="inlineStr">
        <is>
          <t>Web app security testing</t>
        </is>
      </c>
    </row>
  </sheetData>
  <conditionalFormatting sqref="F2:F100">
    <cfRule type="cellIs" priority="1" operator="equal" dxfId="0">
      <formula>"Inactive"</formula>
    </cfRule>
    <cfRule type="cellIs" priority="2" operator="equal" dxfId="1">
      <formula>"Decommissioned"</formula>
    </cfRule>
  </conditionalFormatting>
  <conditionalFormatting sqref="M2:M100">
    <cfRule type="cellIs" priority="3" operator="lessThan" dxfId="2">
      <formula>TODAY()+30</formula>
    </cfRule>
    <cfRule type="cellIs" priority="4" operator="lessThan" dxfId="1">
      <formula>TODAY()</formula>
    </cfRule>
  </conditionalFormatting>
  <conditionalFormatting sqref="U2:U100">
    <cfRule type="cellIs" priority="5" operator="equal" dxfId="3">
      <formula>"Yes"</formula>
    </cfRule>
    <cfRule type="expression" priority="6" dxfId="4" stopIfTrue="1">
      <formula>AND(U2="No", TODAY()&gt;DATE(2025,6,30))</formula>
    </cfRule>
  </conditionalFormatting>
  <conditionalFormatting sqref="V2:V100">
    <cfRule type="expression" priority="7" dxfId="5" stopIfTrue="1">
      <formula>AND(U2="Roadmap", V2&gt;DATE(2025,9,30))</formula>
    </cfRule>
  </conditionalFormatting>
  <dataValidations count="8">
    <dataValidation sqref="C2:C100" showDropDown="0" showInputMessage="0" showErrorMessage="0" allowBlank="0" errorTitle="Invalid Vendor" error="Invalid selection" type="list">
      <formula1>"Tenable Nessus Professional,Tenable Nessus Expert,Qualys VMDR,Rapid7 InsightVM,OpenVAS,Burp Suite Enterprise,OWASP ZAP,Acunetix,Prisma Cloud,Trivy,Other"</formula1>
    </dataValidation>
    <dataValidation sqref="D2:D100" showDropDown="0" showInputMessage="0" showErrorMessage="0" allowBlank="0" type="list">
      <formula1>"Network,WebApp,Container,Cloud,Mobile,API,SAST,DAST"</formula1>
    </dataValidation>
    <dataValidation sqref="F2:F100" showDropDown="0" showInputMessage="0" showErrorMessage="0" allowBlank="0" type="list">
      <formula1>"Active,Inactive,Maintenance,Decommissioned"</formula1>
    </dataValidation>
    <dataValidation sqref="G2:G100" showDropDown="0" showInputMessage="0" showErrorMessage="0" allowBlank="0" type="list">
      <formula1>"On-Premise,Cloud,Hybrid"</formula1>
    </dataValidation>
    <dataValidation sqref="L2:L100" showDropDown="0" showInputMessage="0" showErrorMessage="0" allowBlank="0" type="list">
      <formula1>"Perpetual,Subscription,Free/Open-Source"</formula1>
    </dataValidation>
    <dataValidation sqref="P2:P100 Q2:Q100 R2:R100 S2:S100" showDropDown="0" showInputMessage="0" showErrorMessage="0" allowBlank="0" type="list">
      <formula1>"YES,NO"</formula1>
    </dataValidation>
    <dataValidation sqref="U2:U100" showDropDown="0" showInputMessage="0" showErrorMessage="0" allowBlank="0" errorTitle="Invalid CVSS v4.0 Support Status" error="Select: Yes, No, Roadmap, or Unknown" promptTitle="CVSS v4.0 Support" prompt="Select scanner CVSS v4.0 support status" type="list">
      <formula1>"Yes,No,Roadmap,Unknown"</formula1>
    </dataValidation>
    <dataValidation sqref="V2:V100" showDropDown="0" showInputMessage="0" showErrorMessage="0" allowBlank="1" errorTitle="Invalid Date" error="Enter date between 2023-11-01 and 2026-12-31 (YYYY-MM-DD)" promptTitle="CVSS v4.0 Available Date" prompt="Enter date when CVSS v4.0 support is/was available" type="date" operator="between">
      <formula1>2023-11-01</formula1>
      <formula2>2026-12-31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10" customWidth="1" min="5" max="5"/>
    <col width="40" customWidth="1" min="6" max="6"/>
    <col width="12" customWidth="1" min="7" max="7"/>
    <col width="20" customWidth="1" min="8" max="8"/>
    <col width="10" customWidth="1" min="9" max="9"/>
    <col width="1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  <col width="15" customWidth="1" min="16" max="16"/>
    <col width="40" customWidth="1" min="17" max="17"/>
  </cols>
  <sheetData>
    <row r="1">
      <c r="A1" s="3" t="inlineStr">
        <is>
          <t>Scanner_ID</t>
        </is>
      </c>
      <c r="B1" s="3" t="inlineStr">
        <is>
          <t>Scan_Engine_Name</t>
        </is>
      </c>
      <c r="C1" s="3" t="inlineStr">
        <is>
          <t>Hardware_Specs</t>
        </is>
      </c>
      <c r="D1" s="3" t="inlineStr">
        <is>
          <t>OS_Platform</t>
        </is>
      </c>
      <c r="E1" s="3" t="inlineStr">
        <is>
          <t>Network_Interfaces</t>
        </is>
      </c>
      <c r="F1" s="3" t="inlineStr">
        <is>
          <t>Scan_Zones_Accessible</t>
        </is>
      </c>
      <c r="G1" s="3" t="inlineStr">
        <is>
          <t>Max_Concurrent_Scans</t>
        </is>
      </c>
      <c r="H1" s="3" t="inlineStr">
        <is>
          <t>Credential_Vault</t>
        </is>
      </c>
      <c r="I1" s="3" t="inlineStr">
        <is>
          <t>Credentials_Count</t>
        </is>
      </c>
      <c r="J1" s="3" t="inlineStr">
        <is>
          <t>Plugin_Count</t>
        </is>
      </c>
      <c r="K1" s="3" t="inlineStr">
        <is>
          <t>Last_Plugin_Update</t>
        </is>
      </c>
      <c r="L1" s="3" t="inlineStr">
        <is>
          <t>Auto_Update_Enabled</t>
        </is>
      </c>
      <c r="M1" s="3" t="inlineStr">
        <is>
          <t>Backup_Frequency</t>
        </is>
      </c>
      <c r="N1" s="3" t="inlineStr">
        <is>
          <t>Last_Backup_Date</t>
        </is>
      </c>
      <c r="O1" s="3" t="inlineStr">
        <is>
          <t>High_Availability</t>
        </is>
      </c>
      <c r="P1" s="3" t="inlineStr">
        <is>
          <t>HA_Partner_ID</t>
        </is>
      </c>
      <c r="Q1" s="3" t="inlineStr">
        <is>
          <t>Notes</t>
        </is>
      </c>
    </row>
    <row r="2">
      <c r="A2" t="inlineStr">
        <is>
          <t>SCAN-2025-001</t>
        </is>
      </c>
      <c r="B2" t="inlineStr">
        <is>
          <t>Nessus Engine 1</t>
        </is>
      </c>
      <c r="C2" t="inlineStr">
        <is>
          <t>VM: 8 vCPU, 16GB RAM, 500GB SSD</t>
        </is>
      </c>
      <c r="D2" t="inlineStr">
        <is>
          <t>Ubuntu 22.04 LTS</t>
        </is>
      </c>
      <c r="E2" t="n">
        <v>2</v>
      </c>
      <c r="F2" t="inlineStr">
        <is>
          <t>DMZ, Internal-Prod</t>
        </is>
      </c>
      <c r="G2" t="n">
        <v>4</v>
      </c>
      <c r="H2" t="inlineStr">
        <is>
          <t>CyberArk</t>
        </is>
      </c>
      <c r="I2" t="n">
        <v>25</v>
      </c>
      <c r="J2" t="n">
        <v>175000</v>
      </c>
      <c r="K2" t="inlineStr">
        <is>
          <t>08.02.2026</t>
        </is>
      </c>
      <c r="L2" t="inlineStr">
        <is>
          <t>YES</t>
        </is>
      </c>
      <c r="M2" t="inlineStr">
        <is>
          <t>Daily</t>
        </is>
      </c>
      <c r="N2" t="inlineStr">
        <is>
          <t>08.02.2026</t>
        </is>
      </c>
      <c r="O2" t="inlineStr">
        <is>
          <t>NO</t>
        </is>
      </c>
      <c r="P2" t="inlineStr"/>
      <c r="Q2" t="inlineStr">
        <is>
          <t>Primary network scanner engine</t>
        </is>
      </c>
    </row>
    <row r="3">
      <c r="A3" t="inlineStr">
        <is>
          <t>SCAN-2025-002</t>
        </is>
      </c>
      <c r="B3" t="inlineStr">
        <is>
          <t>Qualys Cloud Scanner</t>
        </is>
      </c>
      <c r="C3" t="inlineStr">
        <is>
          <t>Qualys Managed Infrastructure</t>
        </is>
      </c>
      <c r="D3" t="inlineStr">
        <is>
          <t>Cloud Platform</t>
        </is>
      </c>
      <c r="E3" t="n">
        <v>0</v>
      </c>
      <c r="F3" t="inlineStr">
        <is>
          <t>Cloud VPC, On-Prem via Connector</t>
        </is>
      </c>
      <c r="G3" t="n">
        <v>10</v>
      </c>
      <c r="H3" t="inlineStr">
        <is>
          <t>Qualys Vault</t>
        </is>
      </c>
      <c r="I3" t="n">
        <v>15</v>
      </c>
      <c r="J3" t="n">
        <v>200000</v>
      </c>
      <c r="K3" t="inlineStr">
        <is>
          <t>08.02.2026</t>
        </is>
      </c>
      <c r="L3" t="inlineStr">
        <is>
          <t>YES</t>
        </is>
      </c>
      <c r="M3" t="inlineStr">
        <is>
          <t>Daily</t>
        </is>
      </c>
      <c r="N3" t="inlineStr">
        <is>
          <t>08.02.2026</t>
        </is>
      </c>
      <c r="O3" t="inlineStr">
        <is>
          <t>YES</t>
        </is>
      </c>
      <c r="P3" t="inlineStr"/>
      <c r="Q3" t="inlineStr">
        <is>
          <t>Managed by Qualys</t>
        </is>
      </c>
    </row>
  </sheetData>
  <dataValidations count="2">
    <dataValidation sqref="L2:L100 O2:O100" showDropDown="0" showInputMessage="0" showErrorMessage="0" allowBlank="0" type="list">
      <formula1>"YES,NO"</formula1>
    </dataValidation>
    <dataValidation sqref="M2:M100" showDropDown="0" showInputMessage="0" showErrorMessage="0" allowBlank="0" type="list">
      <formula1>"Daily,Weekly,Monthly"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40" customWidth="1" min="14" max="14"/>
  </cols>
  <sheetData>
    <row r="1">
      <c r="A1" s="3" t="inlineStr">
        <is>
          <t>Asset_ID</t>
        </is>
      </c>
      <c r="B1" s="3" t="inlineStr">
        <is>
          <t>Asset_Name</t>
        </is>
      </c>
      <c r="C1" s="3" t="inlineStr">
        <is>
          <t>Asset_Type</t>
        </is>
      </c>
      <c r="D1" s="3" t="inlineStr">
        <is>
          <t>Primary_Scanner_ID</t>
        </is>
      </c>
      <c r="E1" s="3" t="inlineStr">
        <is>
          <t>Backup_Scanner_ID</t>
        </is>
      </c>
      <c r="F1" s="3" t="inlineStr">
        <is>
          <t>Scan_Frequency</t>
        </is>
      </c>
      <c r="G1" s="3" t="inlineStr">
        <is>
          <t>Authenticated_Scan</t>
        </is>
      </c>
      <c r="H1" s="3" t="inlineStr">
        <is>
          <t>Last_Scan_Date</t>
        </is>
      </c>
      <c r="I1" s="3" t="inlineStr">
        <is>
          <t>Next_Scheduled_Scan</t>
        </is>
      </c>
      <c r="J1" s="3" t="inlineStr">
        <is>
          <t>Days_Since_Last_Scan</t>
        </is>
      </c>
      <c r="K1" s="3" t="inlineStr">
        <is>
          <t>Scan_Coverage_Status</t>
        </is>
      </c>
      <c r="L1" s="3" t="inlineStr">
        <is>
          <t>Asset_Criticality</t>
        </is>
      </c>
      <c r="M1" s="3" t="inlineStr">
        <is>
          <t>Owner</t>
        </is>
      </c>
      <c r="N1" s="3" t="inlineStr">
        <is>
          <t>Notes</t>
        </is>
      </c>
    </row>
    <row r="2">
      <c r="A2" t="inlineStr">
        <is>
          <t>AST-2025-001</t>
        </is>
      </c>
      <c r="B2" t="inlineStr">
        <is>
          <t>WEB-PROD-01</t>
        </is>
      </c>
      <c r="C2" t="inlineStr">
        <is>
          <t>Server</t>
        </is>
      </c>
      <c r="D2" t="inlineStr">
        <is>
          <t>SCAN-2025-001</t>
        </is>
      </c>
      <c r="E2" t="inlineStr"/>
      <c r="F2" t="inlineStr">
        <is>
          <t>Weekly</t>
        </is>
      </c>
      <c r="G2" t="inlineStr">
        <is>
          <t>YES</t>
        </is>
      </c>
      <c r="H2" t="inlineStr">
        <is>
          <t>06.02.2026</t>
        </is>
      </c>
      <c r="I2" t="inlineStr">
        <is>
          <t>13.02.2026</t>
        </is>
      </c>
      <c r="J2" t="inlineStr">
        <is>
          <t>2</t>
        </is>
      </c>
      <c r="K2" t="inlineStr">
        <is>
          <t>✅ Current</t>
        </is>
      </c>
      <c r="L2" t="inlineStr">
        <is>
          <t>Critical</t>
        </is>
      </c>
      <c r="M2" t="inlineStr">
        <is>
          <t>IT Operations</t>
        </is>
      </c>
      <c r="N2" t="inlineStr">
        <is>
          <t>Production web server</t>
        </is>
      </c>
    </row>
    <row r="3">
      <c r="A3" t="inlineStr">
        <is>
          <t>AST-2025-002</t>
        </is>
      </c>
      <c r="B3" t="inlineStr">
        <is>
          <t>DB-PROD-01</t>
        </is>
      </c>
      <c r="C3" t="inlineStr">
        <is>
          <t>Server</t>
        </is>
      </c>
      <c r="D3" t="inlineStr">
        <is>
          <t>SCAN-2025-001</t>
        </is>
      </c>
      <c r="E3" t="inlineStr"/>
      <c r="F3" t="inlineStr">
        <is>
          <t>Weekly</t>
        </is>
      </c>
      <c r="G3" t="inlineStr">
        <is>
          <t>YES</t>
        </is>
      </c>
      <c r="H3" t="inlineStr">
        <is>
          <t>05.02.2026</t>
        </is>
      </c>
      <c r="I3" t="inlineStr">
        <is>
          <t>12.02.2026</t>
        </is>
      </c>
      <c r="J3" t="inlineStr">
        <is>
          <t>3</t>
        </is>
      </c>
      <c r="K3" t="inlineStr">
        <is>
          <t>✅ Current</t>
        </is>
      </c>
      <c r="L3" t="inlineStr">
        <is>
          <t>Critical</t>
        </is>
      </c>
      <c r="M3" t="inlineStr">
        <is>
          <t>Database Team</t>
        </is>
      </c>
      <c r="N3" t="inlineStr">
        <is>
          <t>Primary database</t>
        </is>
      </c>
    </row>
    <row r="4">
      <c r="A4" t="inlineStr">
        <is>
          <t>AST-2025-003</t>
        </is>
      </c>
      <c r="B4" t="inlineStr">
        <is>
          <t>APP-DEV-05</t>
        </is>
      </c>
      <c r="C4" t="inlineStr">
        <is>
          <t>Server</t>
        </is>
      </c>
      <c r="D4" t="inlineStr">
        <is>
          <t>SCAN-2025-003</t>
        </is>
      </c>
      <c r="E4" t="inlineStr"/>
      <c r="F4" t="inlineStr">
        <is>
          <t>Monthly</t>
        </is>
      </c>
      <c r="G4" t="inlineStr">
        <is>
          <t>NO</t>
        </is>
      </c>
      <c r="H4" t="inlineStr">
        <is>
          <t>18.01.2026</t>
        </is>
      </c>
      <c r="I4" t="inlineStr">
        <is>
          <t>17.02.2026</t>
        </is>
      </c>
      <c r="J4" t="inlineStr">
        <is>
          <t>21</t>
        </is>
      </c>
      <c r="K4" t="inlineStr">
        <is>
          <t>✅ Current</t>
        </is>
      </c>
      <c r="L4" t="inlineStr">
        <is>
          <t>Low</t>
        </is>
      </c>
      <c r="M4" t="inlineStr">
        <is>
          <t>Development Team</t>
        </is>
      </c>
      <c r="N4" t="inlineStr">
        <is>
          <t>Development server</t>
        </is>
      </c>
    </row>
  </sheetData>
  <conditionalFormatting sqref="K2:K1000">
    <cfRule type="cellIs" priority="1" operator="containsText" dxfId="6">
      <formula>"✅"</formula>
    </cfRule>
    <cfRule type="cellIs" priority="2" operator="containsText" dxfId="2">
      <formula>"⚠️"</formula>
    </cfRule>
    <cfRule type="cellIs" priority="3" operator="containsText" dxfId="1">
      <formula>"❌"</formula>
    </cfRule>
  </conditionalFormatting>
  <dataValidations count="4">
    <dataValidation sqref="C2:C1000" showDropDown="0" showInputMessage="0" showErrorMessage="0" allowBlank="0" type="list">
      <formula1>"Server,Workstation,Network Device,Container,Cloud Resource,Mobile Device,IoT Device"</formula1>
    </dataValidation>
    <dataValidation sqref="F2:F1000" showDropDown="0" showInputMessage="0" showErrorMessage="0" allowBlank="0" type="list">
      <formula1>"Daily,Weekly,Biweekly,Monthly,Quarterly"</formula1>
    </dataValidation>
    <dataValidation sqref="G2:G1000" showDropDown="0" showInputMessage="0" showErrorMessage="0" allowBlank="0" type="list">
      <formula1>"YES,NO"</formula1>
    </dataValidation>
    <dataValidation sqref="L2:L10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3" t="inlineStr">
        <is>
          <t>Schedule_ID</t>
        </is>
      </c>
      <c r="B1" s="3" t="inlineStr">
        <is>
          <t>Schedule_Name</t>
        </is>
      </c>
      <c r="C1" s="3" t="inlineStr">
        <is>
          <t>Scanner_ID</t>
        </is>
      </c>
      <c r="D1" s="3" t="inlineStr">
        <is>
          <t>Asset_Group</t>
        </is>
      </c>
      <c r="E1" s="3" t="inlineStr">
        <is>
          <t>Asset_Count</t>
        </is>
      </c>
      <c r="F1" s="3" t="inlineStr">
        <is>
          <t>Frequency</t>
        </is>
      </c>
      <c r="G1" s="3" t="inlineStr">
        <is>
          <t>Scheduled_Day</t>
        </is>
      </c>
      <c r="H1" s="3" t="inlineStr">
        <is>
          <t>Scheduled_Time</t>
        </is>
      </c>
      <c r="I1" s="3" t="inlineStr">
        <is>
          <t>Estimated_Duration_Hours</t>
        </is>
      </c>
      <c r="J1" s="3" t="inlineStr">
        <is>
          <t>Scan_Type</t>
        </is>
      </c>
      <c r="K1" s="3" t="inlineStr">
        <is>
          <t>Authenticated</t>
        </is>
      </c>
      <c r="L1" s="3" t="inlineStr">
        <is>
          <t>Active</t>
        </is>
      </c>
      <c r="M1" s="3" t="inlineStr">
        <is>
          <t>Last_Run_Date</t>
        </is>
      </c>
      <c r="N1" s="3" t="inlineStr">
        <is>
          <t>Next_Run_Date</t>
        </is>
      </c>
      <c r="O1" s="3" t="inlineStr">
        <is>
          <t>Owner</t>
        </is>
      </c>
      <c r="P1" s="3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Scan_ID</t>
        </is>
      </c>
      <c r="B1" s="3" t="inlineStr">
        <is>
          <t>Asset_ID</t>
        </is>
      </c>
      <c r="C1" s="3" t="inlineStr">
        <is>
          <t>Scan_Date</t>
        </is>
      </c>
      <c r="D1" s="3" t="inlineStr">
        <is>
          <t>Scan_Start_Time</t>
        </is>
      </c>
      <c r="E1" s="3" t="inlineStr">
        <is>
          <t>Scan_End_Time</t>
        </is>
      </c>
      <c r="F1" s="3" t="inlineStr">
        <is>
          <t>Status</t>
        </is>
      </c>
      <c r="G1" s="3" t="inlineStr">
        <is>
          <t>Scanner_ID</t>
        </is>
      </c>
      <c r="H1" s="3" t="inlineStr">
        <is>
          <t>Scan_Type</t>
        </is>
      </c>
      <c r="I1" s="3" t="inlineStr">
        <is>
          <t>Vulnerabilities_Found</t>
        </is>
      </c>
      <c r="J1" s="3" t="inlineStr">
        <is>
          <t>Critical_Vulns</t>
        </is>
      </c>
      <c r="K1" s="3" t="inlineStr">
        <is>
          <t>High_Vulns</t>
        </is>
      </c>
      <c r="L1" s="3" t="inlineStr">
        <is>
          <t>Medium_Vulns</t>
        </is>
      </c>
      <c r="M1" s="3" t="inlineStr">
        <is>
          <t>Low_Vulns</t>
        </is>
      </c>
      <c r="N1" s="3" t="inlineStr">
        <is>
          <t>Info_Vulns</t>
        </is>
      </c>
      <c r="O1" s="3" t="inlineStr">
        <is>
          <t>Duration_Minutes</t>
        </is>
      </c>
      <c r="P1" s="3" t="inlineStr">
        <is>
          <t>Scan_Report_Link</t>
        </is>
      </c>
      <c r="Q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Asset_ID</t>
        </is>
      </c>
      <c r="B1" s="3" t="inlineStr">
        <is>
          <t>Asset_Name</t>
        </is>
      </c>
      <c r="C1" s="3" t="inlineStr">
        <is>
          <t>Asset_Type</t>
        </is>
      </c>
      <c r="D1" s="3" t="inlineStr">
        <is>
          <t>Asset_Criticality</t>
        </is>
      </c>
      <c r="E1" s="3" t="inlineStr">
        <is>
          <t>Gap_Type</t>
        </is>
      </c>
      <c r="F1" s="3" t="inlineStr">
        <is>
          <t>Days_Since_Last_Scan</t>
        </is>
      </c>
      <c r="G1" s="3" t="inlineStr">
        <is>
          <t>Required_Frequency</t>
        </is>
      </c>
      <c r="H1" s="3" t="inlineStr">
        <is>
          <t>Recommended_Scanner</t>
        </is>
      </c>
      <c r="I1" s="3" t="inlineStr">
        <is>
          <t>Priority</t>
        </is>
      </c>
      <c r="J1" s="3" t="inlineStr">
        <is>
          <t>Assigned_To</t>
        </is>
      </c>
      <c r="K1" s="3" t="inlineStr">
        <is>
          <t>Target_Resolution_Date</t>
        </is>
      </c>
      <c r="L1" s="3" t="inlineStr">
        <is>
          <t>Status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RELATED POLICY DOCUMENTS</t>
        </is>
      </c>
    </row>
    <row r="2">
      <c r="A2" t="inlineStr">
        <is>
          <t>ISMS-POL-A.8.8</t>
        </is>
      </c>
      <c r="B2" t="inlineStr">
        <is>
          <t>Vulnerability Management Policy Framework (Master)</t>
        </is>
      </c>
    </row>
    <row r="3">
      <c r="A3" t="inlineStr">
        <is>
          <t>ISMS-POL-A.8.8-S2</t>
        </is>
      </c>
      <c r="B3" t="inlineStr">
        <is>
          <t>Requirements - Section 2.1.1 (Automated Scanning)</t>
        </is>
      </c>
    </row>
    <row r="4">
      <c r="A4" t="inlineStr">
        <is>
          <t>Controls 5.9/5.14</t>
        </is>
      </c>
      <c r="B4" t="inlineStr">
        <is>
          <t>Asset Management</t>
        </is>
      </c>
    </row>
    <row r="5">
      <c r="A5" t="inlineStr">
        <is>
          <t>Control 8.32</t>
        </is>
      </c>
      <c r="B5" t="inlineStr">
        <is>
          <t>Change Management</t>
        </is>
      </c>
    </row>
    <row r="10">
      <c r="A10" s="2" t="inlineStr">
        <is>
          <t>RELATED WORKBOOKS</t>
        </is>
      </c>
    </row>
    <row r="11">
      <c r="A11" t="inlineStr">
        <is>
          <t>ISMS-IMP-A.8.8.2</t>
        </is>
      </c>
      <c r="B11" t="inlineStr">
        <is>
          <t>Network Coverage Assessment</t>
        </is>
      </c>
    </row>
    <row r="12">
      <c r="A12" t="inlineStr">
        <is>
          <t>ISMS-IMP-A.8.8.5</t>
        </is>
      </c>
      <c r="B12" t="inlineStr">
        <is>
          <t>Vulnerability Inventory</t>
        </is>
      </c>
    </row>
    <row r="13">
      <c r="A13" t="inlineStr">
        <is>
          <t>ISMS-IMP-A.8.8.12</t>
        </is>
      </c>
      <c r="B13" t="inlineStr">
        <is>
          <t>Metrics &amp; KPIs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2026-02-08T10:50:09Z</dcterms:created>
  <dcterms:modified xmlns:dcterms="http://purl.org/dc/terms/" xmlns:xsi="http://www.w3.org/2001/XMLSchema-instance" xsi:type="dcterms:W3CDTF">2026-02-08T10:50:09Z</dcterms:modified>
</cp:coreProperties>
</file>