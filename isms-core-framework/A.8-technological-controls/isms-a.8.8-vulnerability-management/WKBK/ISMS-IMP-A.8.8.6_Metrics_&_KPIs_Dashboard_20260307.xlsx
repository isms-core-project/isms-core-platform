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Metric Definitions" sheetId="2" state="visible" r:id="rId2"/>
    <sheet xmlns:r="http://schemas.openxmlformats.org/officeDocument/2006/relationships" name="SLA Performance" sheetId="3" state="visible" r:id="rId3"/>
    <sheet xmlns:r="http://schemas.openxmlformats.org/officeDocument/2006/relationships" name="Risk Metrics" sheetId="4" state="visible" r:id="rId4"/>
    <sheet xmlns:r="http://schemas.openxmlformats.org/officeDocument/2006/relationships" name="Monthly Trends" sheetId="5" state="visible" r:id="rId5"/>
    <sheet xmlns:r="http://schemas.openxmlformats.org/officeDocument/2006/relationships" name="Executive Dashboard" sheetId="6" state="visible" r:id="rId6"/>
    <sheet xmlns:r="http://schemas.openxmlformats.org/officeDocument/2006/relationships" name="Benchmark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color rgb="00808080"/>
      <sz val="10"/>
    </font>
    <font>
      <name val="Calibri"/>
      <sz val="10"/>
    </font>
    <font>
      <name val="Calibri"/>
      <b val="1"/>
      <color rgb="00FFFFFF"/>
      <sz val="11"/>
    </font>
    <font>
      <name val="Calibri"/>
      <b val="1"/>
      <color rgb="00FFFFFF"/>
      <sz val="10"/>
    </font>
    <font>
      <name val="Calibri"/>
      <b val="1"/>
      <color rgb="00000000"/>
      <sz val="10"/>
    </font>
    <font>
      <name val="Calibri"/>
      <color rgb="00000000"/>
      <sz val="10"/>
    </font>
    <font>
      <name val="Calibri"/>
      <color rgb="00C00000"/>
      <sz val="10"/>
    </font>
    <font>
      <name val="Calibri"/>
      <color rgb="009C5700"/>
      <sz val="10"/>
    </font>
    <font>
      <name val="Calibri"/>
      <color rgb="00276221"/>
      <sz val="10"/>
    </font>
    <font>
      <name val="Calibri"/>
      <b val="1"/>
      <color rgb="00000000"/>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5" fillId="0" borderId="1" applyAlignment="1" pivotButton="0" quotePrefix="0" xfId="0">
      <alignment horizontal="center" vertical="center"/>
    </xf>
    <xf numFmtId="0" fontId="4" fillId="9" borderId="1" applyAlignment="1" pivotButton="0" quotePrefix="0" xfId="0">
      <alignment horizontal="center" vertical="center" wrapText="1"/>
    </xf>
    <xf numFmtId="0" fontId="6" fillId="10" borderId="1" applyAlignment="1" pivotButton="0" quotePrefix="0" xfId="0">
      <alignment horizontal="left" vertical="center"/>
    </xf>
    <xf numFmtId="0" fontId="7" fillId="11" borderId="1" applyAlignment="1" pivotButton="0" quotePrefix="0" xfId="0">
      <alignment horizontal="left" vertical="center"/>
    </xf>
    <xf numFmtId="0" fontId="8" fillId="12" borderId="1" applyAlignment="1" pivotButton="0" quotePrefix="0" xfId="0">
      <alignment horizontal="center" vertical="center"/>
    </xf>
    <xf numFmtId="0" fontId="9" fillId="8" borderId="1" applyAlignment="1" pivotButton="0" quotePrefix="0" xfId="0">
      <alignment horizontal="center" vertical="center" wrapText="1"/>
    </xf>
    <xf numFmtId="0" fontId="1" fillId="8" borderId="1" applyAlignment="1" pivotButton="0" quotePrefix="0" xfId="0">
      <alignment horizontal="center" vertical="center"/>
    </xf>
    <xf numFmtId="0" fontId="5" fillId="0" borderId="0" applyAlignment="1" pivotButton="0" quotePrefix="0" xfId="0">
      <alignment horizontal="left" vertical="center"/>
    </xf>
    <xf numFmtId="0" fontId="8" fillId="8" borderId="1" applyAlignment="1" pivotButton="0" quotePrefix="0" xfId="0">
      <alignment horizontal="left" vertical="center"/>
    </xf>
    <xf numFmtId="0" fontId="10" fillId="9" borderId="1" applyAlignment="1" pivotButton="0" quotePrefix="0" xfId="0">
      <alignment horizontal="center" vertical="center" wrapText="1"/>
    </xf>
    <xf numFmtId="0" fontId="11" fillId="11" borderId="1" applyAlignment="1" pivotButton="0" quotePrefix="0" xfId="0">
      <alignment horizontal="left" vertical="center"/>
    </xf>
    <xf numFmtId="0" fontId="11" fillId="11" borderId="1" applyAlignment="1" pivotButton="0" quotePrefix="0" xfId="0">
      <alignment horizontal="center" vertical="center"/>
    </xf>
    <xf numFmtId="164" fontId="11" fillId="11" borderId="1" applyAlignment="1" pivotButton="0" quotePrefix="0" xfId="0">
      <alignment horizontal="center" vertical="center"/>
    </xf>
    <xf numFmtId="0" fontId="10" fillId="9" borderId="1" applyAlignment="1" pivotButton="0" quotePrefix="0" xfId="0">
      <alignment horizontal="left" vertical="center"/>
    </xf>
    <xf numFmtId="0" fontId="10" fillId="9" borderId="1" applyAlignment="1" pivotButton="0" quotePrefix="0" xfId="0">
      <alignment horizontal="center" vertical="center"/>
    </xf>
    <xf numFmtId="164" fontId="10" fillId="9" borderId="1" applyAlignment="1" pivotButton="0" quotePrefix="0" xfId="0">
      <alignment horizontal="center" vertical="center"/>
    </xf>
    <xf numFmtId="0" fontId="0" fillId="11" borderId="1" pivotButton="0" quotePrefix="0" xfId="0"/>
    <xf numFmtId="0" fontId="8" fillId="13" borderId="1" applyAlignment="1" pivotButton="0" quotePrefix="0" xfId="0">
      <alignment horizontal="left" vertical="center"/>
    </xf>
    <xf numFmtId="0" fontId="12" fillId="14" borderId="1" applyAlignment="1" pivotButton="0" quotePrefix="0" xfId="0">
      <alignment horizontal="left" vertical="center"/>
    </xf>
    <xf numFmtId="0" fontId="12" fillId="14" borderId="1" applyAlignment="1" pivotButton="0" quotePrefix="0" xfId="0">
      <alignment horizontal="center" vertical="center"/>
    </xf>
    <xf numFmtId="0" fontId="13" fillId="15" borderId="1" applyAlignment="1" pivotButton="0" quotePrefix="0" xfId="0">
      <alignment horizontal="left" vertical="center"/>
    </xf>
    <xf numFmtId="0" fontId="13" fillId="15" borderId="1" applyAlignment="1" pivotButton="0" quotePrefix="0" xfId="0">
      <alignment horizontal="center" vertical="center"/>
    </xf>
    <xf numFmtId="0" fontId="14" fillId="16" borderId="1" applyAlignment="1" pivotButton="0" quotePrefix="0" xfId="0">
      <alignment horizontal="left" vertical="center"/>
    </xf>
    <xf numFmtId="0" fontId="14" fillId="16" borderId="1" applyAlignment="1" pivotButton="0" quotePrefix="0" xfId="0">
      <alignment horizontal="center" vertical="center"/>
    </xf>
    <xf numFmtId="0" fontId="10" fillId="0" borderId="1" pivotButton="0" quotePrefix="0" xfId="0"/>
    <xf numFmtId="164" fontId="0" fillId="0" borderId="1" pivotButton="0" quotePrefix="0" xfId="0"/>
    <xf numFmtId="0" fontId="7" fillId="11" borderId="1" pivotButton="0" quotePrefix="0" xfId="0"/>
    <xf numFmtId="0" fontId="15" fillId="0" borderId="1" pivotButton="0" quotePrefix="0" xfId="0"/>
    <xf numFmtId="0" fontId="7" fillId="11" borderId="1" applyAlignment="1" pivotButton="0" quotePrefix="0" xfId="0">
      <alignment horizontal="center" vertical="center"/>
    </xf>
    <xf numFmtId="0" fontId="10"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ISMS-IMP-A.8.8.6  -  Metrics &amp; KPIs Dashboard
ISO/IEC 27001:2022 - Control A.8.8: Management of Technical Vulnerabilities</t>
        </is>
      </c>
    </row>
    <row r="3">
      <c r="A3" s="2" t="inlineStr">
        <is>
          <t>Document Information</t>
        </is>
      </c>
    </row>
    <row r="4">
      <c r="A4" s="3" t="inlineStr">
        <is>
          <t>Document ID</t>
        </is>
      </c>
      <c r="B4" t="inlineStr">
        <is>
          <t>ISMS-IMP-A.8.8.6</t>
        </is>
      </c>
    </row>
    <row r="5">
      <c r="A5" s="3" t="inlineStr">
        <is>
          <t>Workbook Title</t>
        </is>
      </c>
      <c r="B5" t="inlineStr">
        <is>
          <t>Metrics &amp; KPIs Dashboard</t>
        </is>
      </c>
    </row>
    <row r="6">
      <c r="A6" s="3" t="inlineStr">
        <is>
          <t>Control Reference</t>
        </is>
      </c>
      <c r="B6" t="inlineStr">
        <is>
          <t>ISO/IEC 27001:2022 - Control A.8.8: Management of Technical Vulnerabilities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sheet to understand the assessment structure and status conventions.</t>
        </is>
      </c>
    </row>
    <row r="14">
      <c r="A14" t="inlineStr">
        <is>
          <t>2. Complete the Metric Definitions sheet with all 80 KPI definitions and current status.</t>
        </is>
      </c>
    </row>
    <row r="15">
      <c r="A15" t="inlineStr">
        <is>
          <t>3. Complete the SLA Performance sheet with SLA compliance data per priority level.</t>
        </is>
      </c>
    </row>
    <row r="16">
      <c r="A16" t="inlineStr">
        <is>
          <t>4. Complete the Risk Metrics sheet with current risk KPI values.</t>
        </is>
      </c>
    </row>
    <row r="17">
      <c r="A17" t="inlineStr">
        <is>
          <t>5. Complete the Monthly Trends sheet with rolling 12-month vulnerability data.</t>
        </is>
      </c>
    </row>
    <row r="18">
      <c r="A18" t="inlineStr">
        <is>
          <t>6. Review the Executive Dashboard for a print-ready A4 summary of key metrics.</t>
        </is>
      </c>
    </row>
    <row r="19">
      <c r="A19" t="inlineStr">
        <is>
          <t>7. Complete the Benchmarks sheet comparing org metrics to industry standards.</t>
        </is>
      </c>
    </row>
    <row r="20">
      <c r="A20" t="inlineStr">
        <is>
          <t>8. Record all supporting evidence in the Evidence Register.</t>
        </is>
      </c>
    </row>
    <row r="21">
      <c r="A21" t="inlineStr">
        <is>
          <t>9. Review the Summary Dashboard for TABLE 1/2/3 compliance metrics.</t>
        </is>
      </c>
    </row>
    <row r="22">
      <c r="A22" t="inlineStr">
        <is>
          <t>10. Obtain sign-off via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5"/>
  <sheetViews>
    <sheetView showGridLines="0" workbookViewId="0">
      <pane ySplit="4" topLeftCell="A5" activePane="bottomLeft" state="frozen"/>
      <selection pane="bottomLeft" activeCell="A1" sqref="A1"/>
    </sheetView>
  </sheetViews>
  <sheetFormatPr baseColWidth="8" defaultRowHeight="15"/>
  <cols>
    <col width="12" customWidth="1" min="1" max="1"/>
    <col width="30" customWidth="1" min="2" max="2"/>
    <col width="20" customWidth="1" min="3" max="3"/>
    <col width="35" customWidth="1" min="4" max="4"/>
    <col width="30" customWidth="1" min="5" max="5"/>
    <col width="15" customWidth="1" min="6" max="6"/>
    <col width="12" customWidth="1" min="7" max="7"/>
    <col width="16" customWidth="1" min="8" max="8"/>
    <col width="15" customWidth="1" min="9" max="9"/>
    <col width="20" customWidth="1" min="10" max="10"/>
    <col width="20" customWidth="1" min="11" max="11"/>
    <col width="20" customWidth="1" min="12" max="12"/>
    <col width="14" customWidth="1" min="13" max="13"/>
    <col width="20" customWidth="1" min="14" max="14"/>
    <col width="16" customWidth="1" min="15" max="15"/>
    <col width="30" customWidth="1" min="16" max="16"/>
    <col width="14" customWidth="1" min="17" max="17"/>
  </cols>
  <sheetData>
    <row r="1" ht="35" customHeight="1">
      <c r="A1" s="11" t="inlineStr">
        <is>
          <t>ISMS-IMP-A.8.8.6  —  METRIC DEFINITIONS</t>
        </is>
      </c>
    </row>
    <row r="2">
      <c r="A2" s="12" t="inlineStr">
        <is>
          <t>ISO/IEC 27001:2022 — Control A.8.8: Management of Technical Vulnerabilities</t>
        </is>
      </c>
    </row>
    <row r="3">
      <c r="A3" s="6" t="n"/>
    </row>
    <row r="4">
      <c r="A4" s="13" t="inlineStr">
        <is>
          <t>Metric_ID</t>
        </is>
      </c>
      <c r="B4" s="13" t="inlineStr">
        <is>
          <t>Metric_Name</t>
        </is>
      </c>
      <c r="C4" s="13" t="inlineStr">
        <is>
          <t>Category</t>
        </is>
      </c>
      <c r="D4" s="13" t="inlineStr">
        <is>
          <t>Description</t>
        </is>
      </c>
      <c r="E4" s="13" t="inlineStr">
        <is>
          <t>Formula_Description</t>
        </is>
      </c>
      <c r="F4" s="13" t="inlineStr">
        <is>
          <t>Current_Value</t>
        </is>
      </c>
      <c r="G4" s="13" t="inlineStr">
        <is>
          <t>Target</t>
        </is>
      </c>
      <c r="H4" s="13" t="inlineStr">
        <is>
          <t>Warning_Threshold</t>
        </is>
      </c>
      <c r="I4" s="13" t="inlineStr">
        <is>
          <t>Unit</t>
        </is>
      </c>
      <c r="J4" s="13" t="inlineStr">
        <is>
          <t>Calculation_Frequency</t>
        </is>
      </c>
      <c r="K4" s="13" t="inlineStr">
        <is>
          <t>Data_Source</t>
        </is>
      </c>
      <c r="L4" s="13" t="inlineStr">
        <is>
          <t>Measurement_Tool</t>
        </is>
      </c>
      <c r="M4" s="13" t="inlineStr">
        <is>
          <t>Last_Updated</t>
        </is>
      </c>
      <c r="N4" s="13" t="inlineStr">
        <is>
          <t>Responsible_Owner</t>
        </is>
      </c>
      <c r="O4" s="13" t="inlineStr">
        <is>
          <t>Audit_Relevance</t>
        </is>
      </c>
      <c r="P4" s="13" t="inlineStr">
        <is>
          <t>Notes</t>
        </is>
      </c>
      <c r="Q4" s="13" t="inlineStr">
        <is>
          <t>Status</t>
        </is>
      </c>
    </row>
    <row r="5">
      <c r="A5" s="14" t="inlineStr">
        <is>
          <t>MET-001</t>
        </is>
      </c>
      <c r="B5" s="14" t="inlineStr">
        <is>
          <t>Mean Time to Remediate (P1)</t>
        </is>
      </c>
      <c r="C5" s="14" t="inlineStr">
        <is>
          <t>Remediation</t>
        </is>
      </c>
      <c r="D5" s="14" t="inlineStr">
        <is>
          <t>Average days from discovery to close for P1 vulnerabilities</t>
        </is>
      </c>
      <c r="E5" s="14" t="inlineStr">
        <is>
          <t>AVG(Days_Active) where Priority=P1</t>
        </is>
      </c>
      <c r="F5" s="14" t="inlineStr">
        <is>
          <t>12.5</t>
        </is>
      </c>
      <c r="G5" s="14" t="inlineStr">
        <is>
          <t>14</t>
        </is>
      </c>
      <c r="H5" s="14" t="inlineStr">
        <is>
          <t>21</t>
        </is>
      </c>
      <c r="I5" s="14" t="inlineStr">
        <is>
          <t>Days</t>
        </is>
      </c>
      <c r="J5" s="14" t="inlineStr">
        <is>
          <t>Monthly</t>
        </is>
      </c>
      <c r="K5" s="14" t="inlineStr">
        <is>
          <t>Remediation Queue</t>
        </is>
      </c>
      <c r="L5" s="14" t="inlineStr">
        <is>
          <t>ISMS-IMP-A.8.8.4</t>
        </is>
      </c>
      <c r="M5" s="14" t="inlineStr">
        <is>
          <t>2026-02-01</t>
        </is>
      </c>
      <c r="N5" s="14" t="inlineStr">
        <is>
          <t>CISO</t>
        </is>
      </c>
      <c r="O5" s="14" t="inlineStr">
        <is>
          <t>Critical</t>
        </is>
      </c>
      <c r="P5" s="14" t="inlineStr"/>
      <c r="Q5" s="14" t="inlineStr">
        <is>
          <t>Green</t>
        </is>
      </c>
    </row>
    <row r="6">
      <c r="A6" s="15" t="n"/>
      <c r="B6" s="15" t="n"/>
      <c r="C6" s="15" t="n"/>
      <c r="D6" s="15" t="n"/>
      <c r="E6" s="15" t="n"/>
      <c r="F6" s="15" t="n"/>
      <c r="G6" s="15" t="n"/>
      <c r="H6" s="15" t="n"/>
      <c r="I6" s="15" t="n"/>
      <c r="J6" s="15" t="n"/>
      <c r="K6" s="15" t="n"/>
      <c r="L6" s="15" t="n"/>
      <c r="M6" s="15" t="n"/>
      <c r="N6" s="15" t="n"/>
      <c r="O6" s="15" t="n"/>
      <c r="P6" s="15" t="n"/>
      <c r="Q6" s="15" t="n"/>
    </row>
    <row r="7">
      <c r="A7" s="15" t="n"/>
      <c r="B7" s="15" t="n"/>
      <c r="C7" s="15" t="n"/>
      <c r="D7" s="15" t="n"/>
      <c r="E7" s="15" t="n"/>
      <c r="F7" s="15" t="n"/>
      <c r="G7" s="15" t="n"/>
      <c r="H7" s="15" t="n"/>
      <c r="I7" s="15" t="n"/>
      <c r="J7" s="15" t="n"/>
      <c r="K7" s="15" t="n"/>
      <c r="L7" s="15" t="n"/>
      <c r="M7" s="15" t="n"/>
      <c r="N7" s="15" t="n"/>
      <c r="O7" s="15" t="n"/>
      <c r="P7" s="15" t="n"/>
      <c r="Q7" s="15" t="n"/>
    </row>
    <row r="8">
      <c r="A8" s="15" t="n"/>
      <c r="B8" s="15" t="n"/>
      <c r="C8" s="15" t="n"/>
      <c r="D8" s="15" t="n"/>
      <c r="E8" s="15" t="n"/>
      <c r="F8" s="15" t="n"/>
      <c r="G8" s="15" t="n"/>
      <c r="H8" s="15" t="n"/>
      <c r="I8" s="15" t="n"/>
      <c r="J8" s="15" t="n"/>
      <c r="K8" s="15" t="n"/>
      <c r="L8" s="15" t="n"/>
      <c r="M8" s="15" t="n"/>
      <c r="N8" s="15" t="n"/>
      <c r="O8" s="15" t="n"/>
      <c r="P8" s="15" t="n"/>
      <c r="Q8" s="15" t="n"/>
    </row>
    <row r="9">
      <c r="A9" s="15" t="n"/>
      <c r="B9" s="15" t="n"/>
      <c r="C9" s="15" t="n"/>
      <c r="D9" s="15" t="n"/>
      <c r="E9" s="15" t="n"/>
      <c r="F9" s="15" t="n"/>
      <c r="G9" s="15" t="n"/>
      <c r="H9" s="15" t="n"/>
      <c r="I9" s="15" t="n"/>
      <c r="J9" s="15" t="n"/>
      <c r="K9" s="15" t="n"/>
      <c r="L9" s="15" t="n"/>
      <c r="M9" s="15" t="n"/>
      <c r="N9" s="15" t="n"/>
      <c r="O9" s="15" t="n"/>
      <c r="P9" s="15" t="n"/>
      <c r="Q9" s="15" t="n"/>
    </row>
    <row r="10">
      <c r="A10" s="15" t="n"/>
      <c r="B10" s="15" t="n"/>
      <c r="C10" s="15" t="n"/>
      <c r="D10" s="15" t="n"/>
      <c r="E10" s="15" t="n"/>
      <c r="F10" s="15" t="n"/>
      <c r="G10" s="15" t="n"/>
      <c r="H10" s="15" t="n"/>
      <c r="I10" s="15" t="n"/>
      <c r="J10" s="15" t="n"/>
      <c r="K10" s="15" t="n"/>
      <c r="L10" s="15" t="n"/>
      <c r="M10" s="15" t="n"/>
      <c r="N10" s="15" t="n"/>
      <c r="O10" s="15" t="n"/>
      <c r="P10" s="15" t="n"/>
      <c r="Q10" s="15" t="n"/>
    </row>
    <row r="11">
      <c r="A11" s="15" t="n"/>
      <c r="B11" s="15" t="n"/>
      <c r="C11" s="15" t="n"/>
      <c r="D11" s="15" t="n"/>
      <c r="E11" s="15" t="n"/>
      <c r="F11" s="15" t="n"/>
      <c r="G11" s="15" t="n"/>
      <c r="H11" s="15" t="n"/>
      <c r="I11" s="15" t="n"/>
      <c r="J11" s="15" t="n"/>
      <c r="K11" s="15" t="n"/>
      <c r="L11" s="15" t="n"/>
      <c r="M11" s="15" t="n"/>
      <c r="N11" s="15" t="n"/>
      <c r="O11" s="15" t="n"/>
      <c r="P11" s="15" t="n"/>
      <c r="Q11" s="15" t="n"/>
    </row>
    <row r="12">
      <c r="A12" s="15" t="n"/>
      <c r="B12" s="15" t="n"/>
      <c r="C12" s="15" t="n"/>
      <c r="D12" s="15" t="n"/>
      <c r="E12" s="15" t="n"/>
      <c r="F12" s="15" t="n"/>
      <c r="G12" s="15" t="n"/>
      <c r="H12" s="15" t="n"/>
      <c r="I12" s="15" t="n"/>
      <c r="J12" s="15" t="n"/>
      <c r="K12" s="15" t="n"/>
      <c r="L12" s="15" t="n"/>
      <c r="M12" s="15" t="n"/>
      <c r="N12" s="15" t="n"/>
      <c r="O12" s="15" t="n"/>
      <c r="P12" s="15" t="n"/>
      <c r="Q12" s="15" t="n"/>
    </row>
    <row r="13">
      <c r="A13" s="15" t="n"/>
      <c r="B13" s="15" t="n"/>
      <c r="C13" s="15" t="n"/>
      <c r="D13" s="15" t="n"/>
      <c r="E13" s="15" t="n"/>
      <c r="F13" s="15" t="n"/>
      <c r="G13" s="15" t="n"/>
      <c r="H13" s="15" t="n"/>
      <c r="I13" s="15" t="n"/>
      <c r="J13" s="15" t="n"/>
      <c r="K13" s="15" t="n"/>
      <c r="L13" s="15" t="n"/>
      <c r="M13" s="15" t="n"/>
      <c r="N13" s="15" t="n"/>
      <c r="O13" s="15" t="n"/>
      <c r="P13" s="15" t="n"/>
      <c r="Q13" s="15" t="n"/>
    </row>
    <row r="14">
      <c r="A14" s="15" t="n"/>
      <c r="B14" s="15" t="n"/>
      <c r="C14" s="15" t="n"/>
      <c r="D14" s="15" t="n"/>
      <c r="E14" s="15" t="n"/>
      <c r="F14" s="15" t="n"/>
      <c r="G14" s="15" t="n"/>
      <c r="H14" s="15" t="n"/>
      <c r="I14" s="15" t="n"/>
      <c r="J14" s="15" t="n"/>
      <c r="K14" s="15" t="n"/>
      <c r="L14" s="15" t="n"/>
      <c r="M14" s="15" t="n"/>
      <c r="N14" s="15" t="n"/>
      <c r="O14" s="15" t="n"/>
      <c r="P14" s="15" t="n"/>
      <c r="Q14" s="15" t="n"/>
    </row>
    <row r="15">
      <c r="A15" s="15" t="n"/>
      <c r="B15" s="15" t="n"/>
      <c r="C15" s="15" t="n"/>
      <c r="D15" s="15" t="n"/>
      <c r="E15" s="15" t="n"/>
      <c r="F15" s="15" t="n"/>
      <c r="G15" s="15" t="n"/>
      <c r="H15" s="15" t="n"/>
      <c r="I15" s="15" t="n"/>
      <c r="J15" s="15" t="n"/>
      <c r="K15" s="15" t="n"/>
      <c r="L15" s="15" t="n"/>
      <c r="M15" s="15" t="n"/>
      <c r="N15" s="15" t="n"/>
      <c r="O15" s="15" t="n"/>
      <c r="P15" s="15" t="n"/>
      <c r="Q15" s="15" t="n"/>
    </row>
    <row r="16">
      <c r="A16" s="15" t="n"/>
      <c r="B16" s="15" t="n"/>
      <c r="C16" s="15" t="n"/>
      <c r="D16" s="15" t="n"/>
      <c r="E16" s="15" t="n"/>
      <c r="F16" s="15" t="n"/>
      <c r="G16" s="15" t="n"/>
      <c r="H16" s="15" t="n"/>
      <c r="I16" s="15" t="n"/>
      <c r="J16" s="15" t="n"/>
      <c r="K16" s="15" t="n"/>
      <c r="L16" s="15" t="n"/>
      <c r="M16" s="15" t="n"/>
      <c r="N16" s="15" t="n"/>
      <c r="O16" s="15" t="n"/>
      <c r="P16" s="15" t="n"/>
      <c r="Q16" s="15" t="n"/>
    </row>
    <row r="17">
      <c r="A17" s="15" t="n"/>
      <c r="B17" s="15" t="n"/>
      <c r="C17" s="15" t="n"/>
      <c r="D17" s="15" t="n"/>
      <c r="E17" s="15" t="n"/>
      <c r="F17" s="15" t="n"/>
      <c r="G17" s="15" t="n"/>
      <c r="H17" s="15" t="n"/>
      <c r="I17" s="15" t="n"/>
      <c r="J17" s="15" t="n"/>
      <c r="K17" s="15" t="n"/>
      <c r="L17" s="15" t="n"/>
      <c r="M17" s="15" t="n"/>
      <c r="N17" s="15" t="n"/>
      <c r="O17" s="15" t="n"/>
      <c r="P17" s="15" t="n"/>
      <c r="Q17" s="15" t="n"/>
    </row>
    <row r="18">
      <c r="A18" s="15" t="n"/>
      <c r="B18" s="15" t="n"/>
      <c r="C18" s="15" t="n"/>
      <c r="D18" s="15" t="n"/>
      <c r="E18" s="15" t="n"/>
      <c r="F18" s="15" t="n"/>
      <c r="G18" s="15" t="n"/>
      <c r="H18" s="15" t="n"/>
      <c r="I18" s="15" t="n"/>
      <c r="J18" s="15" t="n"/>
      <c r="K18" s="15" t="n"/>
      <c r="L18" s="15" t="n"/>
      <c r="M18" s="15" t="n"/>
      <c r="N18" s="15" t="n"/>
      <c r="O18" s="15" t="n"/>
      <c r="P18" s="15" t="n"/>
      <c r="Q18" s="15" t="n"/>
    </row>
    <row r="19">
      <c r="A19" s="15" t="n"/>
      <c r="B19" s="15" t="n"/>
      <c r="C19" s="15" t="n"/>
      <c r="D19" s="15" t="n"/>
      <c r="E19" s="15" t="n"/>
      <c r="F19" s="15" t="n"/>
      <c r="G19" s="15" t="n"/>
      <c r="H19" s="15" t="n"/>
      <c r="I19" s="15" t="n"/>
      <c r="J19" s="15" t="n"/>
      <c r="K19" s="15" t="n"/>
      <c r="L19" s="15" t="n"/>
      <c r="M19" s="15" t="n"/>
      <c r="N19" s="15" t="n"/>
      <c r="O19" s="15" t="n"/>
      <c r="P19" s="15" t="n"/>
      <c r="Q19" s="15" t="n"/>
    </row>
    <row r="20">
      <c r="A20" s="15" t="n"/>
      <c r="B20" s="15" t="n"/>
      <c r="C20" s="15" t="n"/>
      <c r="D20" s="15" t="n"/>
      <c r="E20" s="15" t="n"/>
      <c r="F20" s="15" t="n"/>
      <c r="G20" s="15" t="n"/>
      <c r="H20" s="15" t="n"/>
      <c r="I20" s="15" t="n"/>
      <c r="J20" s="15" t="n"/>
      <c r="K20" s="15" t="n"/>
      <c r="L20" s="15" t="n"/>
      <c r="M20" s="15" t="n"/>
      <c r="N20" s="15" t="n"/>
      <c r="O20" s="15" t="n"/>
      <c r="P20" s="15" t="n"/>
      <c r="Q20" s="15" t="n"/>
    </row>
    <row r="21">
      <c r="A21" s="15" t="n"/>
      <c r="B21" s="15" t="n"/>
      <c r="C21" s="15" t="n"/>
      <c r="D21" s="15" t="n"/>
      <c r="E21" s="15" t="n"/>
      <c r="F21" s="15" t="n"/>
      <c r="G21" s="15" t="n"/>
      <c r="H21" s="15" t="n"/>
      <c r="I21" s="15" t="n"/>
      <c r="J21" s="15" t="n"/>
      <c r="K21" s="15" t="n"/>
      <c r="L21" s="15" t="n"/>
      <c r="M21" s="15" t="n"/>
      <c r="N21" s="15" t="n"/>
      <c r="O21" s="15" t="n"/>
      <c r="P21" s="15" t="n"/>
      <c r="Q21" s="15" t="n"/>
    </row>
    <row r="22">
      <c r="A22" s="15" t="n"/>
      <c r="B22" s="15" t="n"/>
      <c r="C22" s="15" t="n"/>
      <c r="D22" s="15" t="n"/>
      <c r="E22" s="15" t="n"/>
      <c r="F22" s="15" t="n"/>
      <c r="G22" s="15" t="n"/>
      <c r="H22" s="15" t="n"/>
      <c r="I22" s="15" t="n"/>
      <c r="J22" s="15" t="n"/>
      <c r="K22" s="15" t="n"/>
      <c r="L22" s="15" t="n"/>
      <c r="M22" s="15" t="n"/>
      <c r="N22" s="15" t="n"/>
      <c r="O22" s="15" t="n"/>
      <c r="P22" s="15" t="n"/>
      <c r="Q22" s="15" t="n"/>
    </row>
    <row r="23">
      <c r="A23" s="15" t="n"/>
      <c r="B23" s="15" t="n"/>
      <c r="C23" s="15" t="n"/>
      <c r="D23" s="15" t="n"/>
      <c r="E23" s="15" t="n"/>
      <c r="F23" s="15" t="n"/>
      <c r="G23" s="15" t="n"/>
      <c r="H23" s="15" t="n"/>
      <c r="I23" s="15" t="n"/>
      <c r="J23" s="15" t="n"/>
      <c r="K23" s="15" t="n"/>
      <c r="L23" s="15" t="n"/>
      <c r="M23" s="15" t="n"/>
      <c r="N23" s="15" t="n"/>
      <c r="O23" s="15" t="n"/>
      <c r="P23" s="15" t="n"/>
      <c r="Q23" s="15" t="n"/>
    </row>
    <row r="24">
      <c r="A24" s="15" t="n"/>
      <c r="B24" s="15" t="n"/>
      <c r="C24" s="15" t="n"/>
      <c r="D24" s="15" t="n"/>
      <c r="E24" s="15" t="n"/>
      <c r="F24" s="15" t="n"/>
      <c r="G24" s="15" t="n"/>
      <c r="H24" s="15" t="n"/>
      <c r="I24" s="15" t="n"/>
      <c r="J24" s="15" t="n"/>
      <c r="K24" s="15" t="n"/>
      <c r="L24" s="15" t="n"/>
      <c r="M24" s="15" t="n"/>
      <c r="N24" s="15" t="n"/>
      <c r="O24" s="15" t="n"/>
      <c r="P24" s="15" t="n"/>
      <c r="Q24" s="15" t="n"/>
    </row>
    <row r="25">
      <c r="A25" s="15" t="n"/>
      <c r="B25" s="15" t="n"/>
      <c r="C25" s="15" t="n"/>
      <c r="D25" s="15" t="n"/>
      <c r="E25" s="15" t="n"/>
      <c r="F25" s="15" t="n"/>
      <c r="G25" s="15" t="n"/>
      <c r="H25" s="15" t="n"/>
      <c r="I25" s="15" t="n"/>
      <c r="J25" s="15" t="n"/>
      <c r="K25" s="15" t="n"/>
      <c r="L25" s="15" t="n"/>
      <c r="M25" s="15" t="n"/>
      <c r="N25" s="15" t="n"/>
      <c r="O25" s="15" t="n"/>
      <c r="P25" s="15" t="n"/>
      <c r="Q25" s="15" t="n"/>
    </row>
    <row r="26">
      <c r="A26" s="15" t="n"/>
      <c r="B26" s="15" t="n"/>
      <c r="C26" s="15" t="n"/>
      <c r="D26" s="15" t="n"/>
      <c r="E26" s="15" t="n"/>
      <c r="F26" s="15" t="n"/>
      <c r="G26" s="15" t="n"/>
      <c r="H26" s="15" t="n"/>
      <c r="I26" s="15" t="n"/>
      <c r="J26" s="15" t="n"/>
      <c r="K26" s="15" t="n"/>
      <c r="L26" s="15" t="n"/>
      <c r="M26" s="15" t="n"/>
      <c r="N26" s="15" t="n"/>
      <c r="O26" s="15" t="n"/>
      <c r="P26" s="15" t="n"/>
      <c r="Q26" s="15" t="n"/>
    </row>
    <row r="27">
      <c r="A27" s="15" t="n"/>
      <c r="B27" s="15" t="n"/>
      <c r="C27" s="15" t="n"/>
      <c r="D27" s="15" t="n"/>
      <c r="E27" s="15" t="n"/>
      <c r="F27" s="15" t="n"/>
      <c r="G27" s="15" t="n"/>
      <c r="H27" s="15" t="n"/>
      <c r="I27" s="15" t="n"/>
      <c r="J27" s="15" t="n"/>
      <c r="K27" s="15" t="n"/>
      <c r="L27" s="15" t="n"/>
      <c r="M27" s="15" t="n"/>
      <c r="N27" s="15" t="n"/>
      <c r="O27" s="15" t="n"/>
      <c r="P27" s="15" t="n"/>
      <c r="Q27" s="15" t="n"/>
    </row>
    <row r="28">
      <c r="A28" s="15" t="n"/>
      <c r="B28" s="15" t="n"/>
      <c r="C28" s="15" t="n"/>
      <c r="D28" s="15" t="n"/>
      <c r="E28" s="15" t="n"/>
      <c r="F28" s="15" t="n"/>
      <c r="G28" s="15" t="n"/>
      <c r="H28" s="15" t="n"/>
      <c r="I28" s="15" t="n"/>
      <c r="J28" s="15" t="n"/>
      <c r="K28" s="15" t="n"/>
      <c r="L28" s="15" t="n"/>
      <c r="M28" s="15" t="n"/>
      <c r="N28" s="15" t="n"/>
      <c r="O28" s="15" t="n"/>
      <c r="P28" s="15" t="n"/>
      <c r="Q28" s="15" t="n"/>
    </row>
    <row r="29">
      <c r="A29" s="15" t="n"/>
      <c r="B29" s="15" t="n"/>
      <c r="C29" s="15" t="n"/>
      <c r="D29" s="15" t="n"/>
      <c r="E29" s="15" t="n"/>
      <c r="F29" s="15" t="n"/>
      <c r="G29" s="15" t="n"/>
      <c r="H29" s="15" t="n"/>
      <c r="I29" s="15" t="n"/>
      <c r="J29" s="15" t="n"/>
      <c r="K29" s="15" t="n"/>
      <c r="L29" s="15" t="n"/>
      <c r="M29" s="15" t="n"/>
      <c r="N29" s="15" t="n"/>
      <c r="O29" s="15" t="n"/>
      <c r="P29" s="15" t="n"/>
      <c r="Q29" s="15" t="n"/>
    </row>
    <row r="30">
      <c r="A30" s="15" t="n"/>
      <c r="B30" s="15" t="n"/>
      <c r="C30" s="15" t="n"/>
      <c r="D30" s="15" t="n"/>
      <c r="E30" s="15" t="n"/>
      <c r="F30" s="15" t="n"/>
      <c r="G30" s="15" t="n"/>
      <c r="H30" s="15" t="n"/>
      <c r="I30" s="15" t="n"/>
      <c r="J30" s="15" t="n"/>
      <c r="K30" s="15" t="n"/>
      <c r="L30" s="15" t="n"/>
      <c r="M30" s="15" t="n"/>
      <c r="N30" s="15" t="n"/>
      <c r="O30" s="15" t="n"/>
      <c r="P30" s="15" t="n"/>
      <c r="Q30" s="15" t="n"/>
    </row>
    <row r="31">
      <c r="A31" s="15" t="n"/>
      <c r="B31" s="15" t="n"/>
      <c r="C31" s="15" t="n"/>
      <c r="D31" s="15" t="n"/>
      <c r="E31" s="15" t="n"/>
      <c r="F31" s="15" t="n"/>
      <c r="G31" s="15" t="n"/>
      <c r="H31" s="15" t="n"/>
      <c r="I31" s="15" t="n"/>
      <c r="J31" s="15" t="n"/>
      <c r="K31" s="15" t="n"/>
      <c r="L31" s="15" t="n"/>
      <c r="M31" s="15" t="n"/>
      <c r="N31" s="15" t="n"/>
      <c r="O31" s="15" t="n"/>
      <c r="P31" s="15" t="n"/>
      <c r="Q31" s="15" t="n"/>
    </row>
    <row r="32">
      <c r="A32" s="15" t="n"/>
      <c r="B32" s="15" t="n"/>
      <c r="C32" s="15" t="n"/>
      <c r="D32" s="15" t="n"/>
      <c r="E32" s="15" t="n"/>
      <c r="F32" s="15" t="n"/>
      <c r="G32" s="15" t="n"/>
      <c r="H32" s="15" t="n"/>
      <c r="I32" s="15" t="n"/>
      <c r="J32" s="15" t="n"/>
      <c r="K32" s="15" t="n"/>
      <c r="L32" s="15" t="n"/>
      <c r="M32" s="15" t="n"/>
      <c r="N32" s="15" t="n"/>
      <c r="O32" s="15" t="n"/>
      <c r="P32" s="15" t="n"/>
      <c r="Q32" s="15" t="n"/>
    </row>
    <row r="33">
      <c r="A33" s="15" t="n"/>
      <c r="B33" s="15" t="n"/>
      <c r="C33" s="15" t="n"/>
      <c r="D33" s="15" t="n"/>
      <c r="E33" s="15" t="n"/>
      <c r="F33" s="15" t="n"/>
      <c r="G33" s="15" t="n"/>
      <c r="H33" s="15" t="n"/>
      <c r="I33" s="15" t="n"/>
      <c r="J33" s="15" t="n"/>
      <c r="K33" s="15" t="n"/>
      <c r="L33" s="15" t="n"/>
      <c r="M33" s="15" t="n"/>
      <c r="N33" s="15" t="n"/>
      <c r="O33" s="15" t="n"/>
      <c r="P33" s="15" t="n"/>
      <c r="Q33" s="15" t="n"/>
    </row>
    <row r="34">
      <c r="A34" s="15" t="n"/>
      <c r="B34" s="15" t="n"/>
      <c r="C34" s="15" t="n"/>
      <c r="D34" s="15" t="n"/>
      <c r="E34" s="15" t="n"/>
      <c r="F34" s="15" t="n"/>
      <c r="G34" s="15" t="n"/>
      <c r="H34" s="15" t="n"/>
      <c r="I34" s="15" t="n"/>
      <c r="J34" s="15" t="n"/>
      <c r="K34" s="15" t="n"/>
      <c r="L34" s="15" t="n"/>
      <c r="M34" s="15" t="n"/>
      <c r="N34" s="15" t="n"/>
      <c r="O34" s="15" t="n"/>
      <c r="P34" s="15" t="n"/>
      <c r="Q34" s="15" t="n"/>
    </row>
    <row r="35">
      <c r="A35" s="15" t="n"/>
      <c r="B35" s="15" t="n"/>
      <c r="C35" s="15" t="n"/>
      <c r="D35" s="15" t="n"/>
      <c r="E35" s="15" t="n"/>
      <c r="F35" s="15" t="n"/>
      <c r="G35" s="15" t="n"/>
      <c r="H35" s="15" t="n"/>
      <c r="I35" s="15" t="n"/>
      <c r="J35" s="15" t="n"/>
      <c r="K35" s="15" t="n"/>
      <c r="L35" s="15" t="n"/>
      <c r="M35" s="15" t="n"/>
      <c r="N35" s="15" t="n"/>
      <c r="O35" s="15" t="n"/>
      <c r="P35" s="15" t="n"/>
      <c r="Q35" s="15" t="n"/>
    </row>
    <row r="36">
      <c r="A36" s="15" t="n"/>
      <c r="B36" s="15" t="n"/>
      <c r="C36" s="15" t="n"/>
      <c r="D36" s="15" t="n"/>
      <c r="E36" s="15" t="n"/>
      <c r="F36" s="15" t="n"/>
      <c r="G36" s="15" t="n"/>
      <c r="H36" s="15" t="n"/>
      <c r="I36" s="15" t="n"/>
      <c r="J36" s="15" t="n"/>
      <c r="K36" s="15" t="n"/>
      <c r="L36" s="15" t="n"/>
      <c r="M36" s="15" t="n"/>
      <c r="N36" s="15" t="n"/>
      <c r="O36" s="15" t="n"/>
      <c r="P36" s="15" t="n"/>
      <c r="Q36" s="15" t="n"/>
    </row>
    <row r="37">
      <c r="A37" s="15" t="n"/>
      <c r="B37" s="15" t="n"/>
      <c r="C37" s="15" t="n"/>
      <c r="D37" s="15" t="n"/>
      <c r="E37" s="15" t="n"/>
      <c r="F37" s="15" t="n"/>
      <c r="G37" s="15" t="n"/>
      <c r="H37" s="15" t="n"/>
      <c r="I37" s="15" t="n"/>
      <c r="J37" s="15" t="n"/>
      <c r="K37" s="15" t="n"/>
      <c r="L37" s="15" t="n"/>
      <c r="M37" s="15" t="n"/>
      <c r="N37" s="15" t="n"/>
      <c r="O37" s="15" t="n"/>
      <c r="P37" s="15" t="n"/>
      <c r="Q37" s="15" t="n"/>
    </row>
    <row r="38">
      <c r="A38" s="15" t="n"/>
      <c r="B38" s="15" t="n"/>
      <c r="C38" s="15" t="n"/>
      <c r="D38" s="15" t="n"/>
      <c r="E38" s="15" t="n"/>
      <c r="F38" s="15" t="n"/>
      <c r="G38" s="15" t="n"/>
      <c r="H38" s="15" t="n"/>
      <c r="I38" s="15" t="n"/>
      <c r="J38" s="15" t="n"/>
      <c r="K38" s="15" t="n"/>
      <c r="L38" s="15" t="n"/>
      <c r="M38" s="15" t="n"/>
      <c r="N38" s="15" t="n"/>
      <c r="O38" s="15" t="n"/>
      <c r="P38" s="15" t="n"/>
      <c r="Q38" s="15" t="n"/>
    </row>
    <row r="39">
      <c r="A39" s="15" t="n"/>
      <c r="B39" s="15" t="n"/>
      <c r="C39" s="15" t="n"/>
      <c r="D39" s="15" t="n"/>
      <c r="E39" s="15" t="n"/>
      <c r="F39" s="15" t="n"/>
      <c r="G39" s="15" t="n"/>
      <c r="H39" s="15" t="n"/>
      <c r="I39" s="15" t="n"/>
      <c r="J39" s="15" t="n"/>
      <c r="K39" s="15" t="n"/>
      <c r="L39" s="15" t="n"/>
      <c r="M39" s="15" t="n"/>
      <c r="N39" s="15" t="n"/>
      <c r="O39" s="15" t="n"/>
      <c r="P39" s="15" t="n"/>
      <c r="Q39" s="15" t="n"/>
    </row>
    <row r="40">
      <c r="A40" s="15" t="n"/>
      <c r="B40" s="15" t="n"/>
      <c r="C40" s="15" t="n"/>
      <c r="D40" s="15" t="n"/>
      <c r="E40" s="15" t="n"/>
      <c r="F40" s="15" t="n"/>
      <c r="G40" s="15" t="n"/>
      <c r="H40" s="15" t="n"/>
      <c r="I40" s="15" t="n"/>
      <c r="J40" s="15" t="n"/>
      <c r="K40" s="15" t="n"/>
      <c r="L40" s="15" t="n"/>
      <c r="M40" s="15" t="n"/>
      <c r="N40" s="15" t="n"/>
      <c r="O40" s="15" t="n"/>
      <c r="P40" s="15" t="n"/>
      <c r="Q40" s="15" t="n"/>
    </row>
    <row r="41">
      <c r="A41" s="15" t="n"/>
      <c r="B41" s="15" t="n"/>
      <c r="C41" s="15" t="n"/>
      <c r="D41" s="15" t="n"/>
      <c r="E41" s="15" t="n"/>
      <c r="F41" s="15" t="n"/>
      <c r="G41" s="15" t="n"/>
      <c r="H41" s="15" t="n"/>
      <c r="I41" s="15" t="n"/>
      <c r="J41" s="15" t="n"/>
      <c r="K41" s="15" t="n"/>
      <c r="L41" s="15" t="n"/>
      <c r="M41" s="15" t="n"/>
      <c r="N41" s="15" t="n"/>
      <c r="O41" s="15" t="n"/>
      <c r="P41" s="15" t="n"/>
      <c r="Q41" s="15" t="n"/>
    </row>
    <row r="42">
      <c r="A42" s="15" t="n"/>
      <c r="B42" s="15" t="n"/>
      <c r="C42" s="15" t="n"/>
      <c r="D42" s="15" t="n"/>
      <c r="E42" s="15" t="n"/>
      <c r="F42" s="15" t="n"/>
      <c r="G42" s="15" t="n"/>
      <c r="H42" s="15" t="n"/>
      <c r="I42" s="15" t="n"/>
      <c r="J42" s="15" t="n"/>
      <c r="K42" s="15" t="n"/>
      <c r="L42" s="15" t="n"/>
      <c r="M42" s="15" t="n"/>
      <c r="N42" s="15" t="n"/>
      <c r="O42" s="15" t="n"/>
      <c r="P42" s="15" t="n"/>
      <c r="Q42" s="15" t="n"/>
    </row>
    <row r="43">
      <c r="A43" s="15" t="n"/>
      <c r="B43" s="15" t="n"/>
      <c r="C43" s="15" t="n"/>
      <c r="D43" s="15" t="n"/>
      <c r="E43" s="15" t="n"/>
      <c r="F43" s="15" t="n"/>
      <c r="G43" s="15" t="n"/>
      <c r="H43" s="15" t="n"/>
      <c r="I43" s="15" t="n"/>
      <c r="J43" s="15" t="n"/>
      <c r="K43" s="15" t="n"/>
      <c r="L43" s="15" t="n"/>
      <c r="M43" s="15" t="n"/>
      <c r="N43" s="15" t="n"/>
      <c r="O43" s="15" t="n"/>
      <c r="P43" s="15" t="n"/>
      <c r="Q43" s="15" t="n"/>
    </row>
    <row r="44">
      <c r="A44" s="15" t="n"/>
      <c r="B44" s="15" t="n"/>
      <c r="C44" s="15" t="n"/>
      <c r="D44" s="15" t="n"/>
      <c r="E44" s="15" t="n"/>
      <c r="F44" s="15" t="n"/>
      <c r="G44" s="15" t="n"/>
      <c r="H44" s="15" t="n"/>
      <c r="I44" s="15" t="n"/>
      <c r="J44" s="15" t="n"/>
      <c r="K44" s="15" t="n"/>
      <c r="L44" s="15" t="n"/>
      <c r="M44" s="15" t="n"/>
      <c r="N44" s="15" t="n"/>
      <c r="O44" s="15" t="n"/>
      <c r="P44" s="15" t="n"/>
      <c r="Q44" s="15" t="n"/>
    </row>
    <row r="45">
      <c r="A45" s="15" t="n"/>
      <c r="B45" s="15" t="n"/>
      <c r="C45" s="15" t="n"/>
      <c r="D45" s="15" t="n"/>
      <c r="E45" s="15" t="n"/>
      <c r="F45" s="15" t="n"/>
      <c r="G45" s="15" t="n"/>
      <c r="H45" s="15" t="n"/>
      <c r="I45" s="15" t="n"/>
      <c r="J45" s="15" t="n"/>
      <c r="K45" s="15" t="n"/>
      <c r="L45" s="15" t="n"/>
      <c r="M45" s="15" t="n"/>
      <c r="N45" s="15" t="n"/>
      <c r="O45" s="15" t="n"/>
      <c r="P45" s="15" t="n"/>
      <c r="Q45" s="15" t="n"/>
    </row>
    <row r="46">
      <c r="A46" s="15" t="n"/>
      <c r="B46" s="15" t="n"/>
      <c r="C46" s="15" t="n"/>
      <c r="D46" s="15" t="n"/>
      <c r="E46" s="15" t="n"/>
      <c r="F46" s="15" t="n"/>
      <c r="G46" s="15" t="n"/>
      <c r="H46" s="15" t="n"/>
      <c r="I46" s="15" t="n"/>
      <c r="J46" s="15" t="n"/>
      <c r="K46" s="15" t="n"/>
      <c r="L46" s="15" t="n"/>
      <c r="M46" s="15" t="n"/>
      <c r="N46" s="15" t="n"/>
      <c r="O46" s="15" t="n"/>
      <c r="P46" s="15" t="n"/>
      <c r="Q46" s="15" t="n"/>
    </row>
    <row r="47">
      <c r="A47" s="15" t="n"/>
      <c r="B47" s="15" t="n"/>
      <c r="C47" s="15" t="n"/>
      <c r="D47" s="15" t="n"/>
      <c r="E47" s="15" t="n"/>
      <c r="F47" s="15" t="n"/>
      <c r="G47" s="15" t="n"/>
      <c r="H47" s="15" t="n"/>
      <c r="I47" s="15" t="n"/>
      <c r="J47" s="15" t="n"/>
      <c r="K47" s="15" t="n"/>
      <c r="L47" s="15" t="n"/>
      <c r="M47" s="15" t="n"/>
      <c r="N47" s="15" t="n"/>
      <c r="O47" s="15" t="n"/>
      <c r="P47" s="15" t="n"/>
      <c r="Q47" s="15" t="n"/>
    </row>
    <row r="48">
      <c r="A48" s="15" t="n"/>
      <c r="B48" s="15" t="n"/>
      <c r="C48" s="15" t="n"/>
      <c r="D48" s="15" t="n"/>
      <c r="E48" s="15" t="n"/>
      <c r="F48" s="15" t="n"/>
      <c r="G48" s="15" t="n"/>
      <c r="H48" s="15" t="n"/>
      <c r="I48" s="15" t="n"/>
      <c r="J48" s="15" t="n"/>
      <c r="K48" s="15" t="n"/>
      <c r="L48" s="15" t="n"/>
      <c r="M48" s="15" t="n"/>
      <c r="N48" s="15" t="n"/>
      <c r="O48" s="15" t="n"/>
      <c r="P48" s="15" t="n"/>
      <c r="Q48" s="15" t="n"/>
    </row>
    <row r="49">
      <c r="A49" s="15" t="n"/>
      <c r="B49" s="15" t="n"/>
      <c r="C49" s="15" t="n"/>
      <c r="D49" s="15" t="n"/>
      <c r="E49" s="15" t="n"/>
      <c r="F49" s="15" t="n"/>
      <c r="G49" s="15" t="n"/>
      <c r="H49" s="15" t="n"/>
      <c r="I49" s="15" t="n"/>
      <c r="J49" s="15" t="n"/>
      <c r="K49" s="15" t="n"/>
      <c r="L49" s="15" t="n"/>
      <c r="M49" s="15" t="n"/>
      <c r="N49" s="15" t="n"/>
      <c r="O49" s="15" t="n"/>
      <c r="P49" s="15" t="n"/>
      <c r="Q49" s="15" t="n"/>
    </row>
    <row r="50">
      <c r="A50" s="15" t="n"/>
      <c r="B50" s="15" t="n"/>
      <c r="C50" s="15" t="n"/>
      <c r="D50" s="15" t="n"/>
      <c r="E50" s="15" t="n"/>
      <c r="F50" s="15" t="n"/>
      <c r="G50" s="15" t="n"/>
      <c r="H50" s="15" t="n"/>
      <c r="I50" s="15" t="n"/>
      <c r="J50" s="15" t="n"/>
      <c r="K50" s="15" t="n"/>
      <c r="L50" s="15" t="n"/>
      <c r="M50" s="15" t="n"/>
      <c r="N50" s="15" t="n"/>
      <c r="O50" s="15" t="n"/>
      <c r="P50" s="15" t="n"/>
      <c r="Q50" s="15" t="n"/>
    </row>
    <row r="51">
      <c r="A51" s="15" t="n"/>
      <c r="B51" s="15" t="n"/>
      <c r="C51" s="15" t="n"/>
      <c r="D51" s="15" t="n"/>
      <c r="E51" s="15" t="n"/>
      <c r="F51" s="15" t="n"/>
      <c r="G51" s="15" t="n"/>
      <c r="H51" s="15" t="n"/>
      <c r="I51" s="15" t="n"/>
      <c r="J51" s="15" t="n"/>
      <c r="K51" s="15" t="n"/>
      <c r="L51" s="15" t="n"/>
      <c r="M51" s="15" t="n"/>
      <c r="N51" s="15" t="n"/>
      <c r="O51" s="15" t="n"/>
      <c r="P51" s="15" t="n"/>
      <c r="Q51" s="15" t="n"/>
    </row>
    <row r="52">
      <c r="A52" s="15" t="n"/>
      <c r="B52" s="15" t="n"/>
      <c r="C52" s="15" t="n"/>
      <c r="D52" s="15" t="n"/>
      <c r="E52" s="15" t="n"/>
      <c r="F52" s="15" t="n"/>
      <c r="G52" s="15" t="n"/>
      <c r="H52" s="15" t="n"/>
      <c r="I52" s="15" t="n"/>
      <c r="J52" s="15" t="n"/>
      <c r="K52" s="15" t="n"/>
      <c r="L52" s="15" t="n"/>
      <c r="M52" s="15" t="n"/>
      <c r="N52" s="15" t="n"/>
      <c r="O52" s="15" t="n"/>
      <c r="P52" s="15" t="n"/>
      <c r="Q52" s="15" t="n"/>
    </row>
    <row r="53">
      <c r="A53" s="15" t="n"/>
      <c r="B53" s="15" t="n"/>
      <c r="C53" s="15" t="n"/>
      <c r="D53" s="15" t="n"/>
      <c r="E53" s="15" t="n"/>
      <c r="F53" s="15" t="n"/>
      <c r="G53" s="15" t="n"/>
      <c r="H53" s="15" t="n"/>
      <c r="I53" s="15" t="n"/>
      <c r="J53" s="15" t="n"/>
      <c r="K53" s="15" t="n"/>
      <c r="L53" s="15" t="n"/>
      <c r="M53" s="15" t="n"/>
      <c r="N53" s="15" t="n"/>
      <c r="O53" s="15" t="n"/>
      <c r="P53" s="15" t="n"/>
      <c r="Q53" s="15" t="n"/>
    </row>
    <row r="54">
      <c r="A54" s="15" t="n"/>
      <c r="B54" s="15" t="n"/>
      <c r="C54" s="15" t="n"/>
      <c r="D54" s="15" t="n"/>
      <c r="E54" s="15" t="n"/>
      <c r="F54" s="15" t="n"/>
      <c r="G54" s="15" t="n"/>
      <c r="H54" s="15" t="n"/>
      <c r="I54" s="15" t="n"/>
      <c r="J54" s="15" t="n"/>
      <c r="K54" s="15" t="n"/>
      <c r="L54" s="15" t="n"/>
      <c r="M54" s="15" t="n"/>
      <c r="N54" s="15" t="n"/>
      <c r="O54" s="15" t="n"/>
      <c r="P54" s="15" t="n"/>
      <c r="Q54" s="15" t="n"/>
    </row>
    <row r="55">
      <c r="A55" s="15" t="n"/>
      <c r="B55" s="15" t="n"/>
      <c r="C55" s="15" t="n"/>
      <c r="D55" s="15" t="n"/>
      <c r="E55" s="15" t="n"/>
      <c r="F55" s="15" t="n"/>
      <c r="G55" s="15" t="n"/>
      <c r="H55" s="15" t="n"/>
      <c r="I55" s="15" t="n"/>
      <c r="J55" s="15" t="n"/>
      <c r="K55" s="15" t="n"/>
      <c r="L55" s="15" t="n"/>
      <c r="M55" s="15" t="n"/>
      <c r="N55" s="15" t="n"/>
      <c r="O55" s="15" t="n"/>
      <c r="P55" s="15" t="n"/>
      <c r="Q55" s="15" t="n"/>
    </row>
    <row r="56">
      <c r="A56" s="15" t="n"/>
      <c r="B56" s="15" t="n"/>
      <c r="C56" s="15" t="n"/>
      <c r="D56" s="15" t="n"/>
      <c r="E56" s="15" t="n"/>
      <c r="F56" s="15" t="n"/>
      <c r="G56" s="15" t="n"/>
      <c r="H56" s="15" t="n"/>
      <c r="I56" s="15" t="n"/>
      <c r="J56" s="15" t="n"/>
      <c r="K56" s="15" t="n"/>
      <c r="L56" s="15" t="n"/>
      <c r="M56" s="15" t="n"/>
      <c r="N56" s="15" t="n"/>
      <c r="O56" s="15" t="n"/>
      <c r="P56" s="15" t="n"/>
      <c r="Q56" s="15" t="n"/>
    </row>
    <row r="57">
      <c r="A57" s="15" t="n"/>
      <c r="B57" s="15" t="n"/>
      <c r="C57" s="15" t="n"/>
      <c r="D57" s="15" t="n"/>
      <c r="E57" s="15" t="n"/>
      <c r="F57" s="15" t="n"/>
      <c r="G57" s="15" t="n"/>
      <c r="H57" s="15" t="n"/>
      <c r="I57" s="15" t="n"/>
      <c r="J57" s="15" t="n"/>
      <c r="K57" s="15" t="n"/>
      <c r="L57" s="15" t="n"/>
      <c r="M57" s="15" t="n"/>
      <c r="N57" s="15" t="n"/>
      <c r="O57" s="15" t="n"/>
      <c r="P57" s="15" t="n"/>
      <c r="Q57" s="15" t="n"/>
    </row>
    <row r="58">
      <c r="A58" s="15" t="n"/>
      <c r="B58" s="15" t="n"/>
      <c r="C58" s="15" t="n"/>
      <c r="D58" s="15" t="n"/>
      <c r="E58" s="15" t="n"/>
      <c r="F58" s="15" t="n"/>
      <c r="G58" s="15" t="n"/>
      <c r="H58" s="15" t="n"/>
      <c r="I58" s="15" t="n"/>
      <c r="J58" s="15" t="n"/>
      <c r="K58" s="15" t="n"/>
      <c r="L58" s="15" t="n"/>
      <c r="M58" s="15" t="n"/>
      <c r="N58" s="15" t="n"/>
      <c r="O58" s="15" t="n"/>
      <c r="P58" s="15" t="n"/>
      <c r="Q58" s="15" t="n"/>
    </row>
    <row r="59">
      <c r="A59" s="15" t="n"/>
      <c r="B59" s="15" t="n"/>
      <c r="C59" s="15" t="n"/>
      <c r="D59" s="15" t="n"/>
      <c r="E59" s="15" t="n"/>
      <c r="F59" s="15" t="n"/>
      <c r="G59" s="15" t="n"/>
      <c r="H59" s="15" t="n"/>
      <c r="I59" s="15" t="n"/>
      <c r="J59" s="15" t="n"/>
      <c r="K59" s="15" t="n"/>
      <c r="L59" s="15" t="n"/>
      <c r="M59" s="15" t="n"/>
      <c r="N59" s="15" t="n"/>
      <c r="O59" s="15" t="n"/>
      <c r="P59" s="15" t="n"/>
      <c r="Q59" s="15" t="n"/>
    </row>
    <row r="60">
      <c r="A60" s="15" t="n"/>
      <c r="B60" s="15" t="n"/>
      <c r="C60" s="15" t="n"/>
      <c r="D60" s="15" t="n"/>
      <c r="E60" s="15" t="n"/>
      <c r="F60" s="15" t="n"/>
      <c r="G60" s="15" t="n"/>
      <c r="H60" s="15" t="n"/>
      <c r="I60" s="15" t="n"/>
      <c r="J60" s="15" t="n"/>
      <c r="K60" s="15" t="n"/>
      <c r="L60" s="15" t="n"/>
      <c r="M60" s="15" t="n"/>
      <c r="N60" s="15" t="n"/>
      <c r="O60" s="15" t="n"/>
      <c r="P60" s="15" t="n"/>
      <c r="Q60" s="15" t="n"/>
    </row>
    <row r="61">
      <c r="A61" s="15" t="n"/>
      <c r="B61" s="15" t="n"/>
      <c r="C61" s="15" t="n"/>
      <c r="D61" s="15" t="n"/>
      <c r="E61" s="15" t="n"/>
      <c r="F61" s="15" t="n"/>
      <c r="G61" s="15" t="n"/>
      <c r="H61" s="15" t="n"/>
      <c r="I61" s="15" t="n"/>
      <c r="J61" s="15" t="n"/>
      <c r="K61" s="15" t="n"/>
      <c r="L61" s="15" t="n"/>
      <c r="M61" s="15" t="n"/>
      <c r="N61" s="15" t="n"/>
      <c r="O61" s="15" t="n"/>
      <c r="P61" s="15" t="n"/>
      <c r="Q61" s="15" t="n"/>
    </row>
    <row r="62">
      <c r="A62" s="15" t="n"/>
      <c r="B62" s="15" t="n"/>
      <c r="C62" s="15" t="n"/>
      <c r="D62" s="15" t="n"/>
      <c r="E62" s="15" t="n"/>
      <c r="F62" s="15" t="n"/>
      <c r="G62" s="15" t="n"/>
      <c r="H62" s="15" t="n"/>
      <c r="I62" s="15" t="n"/>
      <c r="J62" s="15" t="n"/>
      <c r="K62" s="15" t="n"/>
      <c r="L62" s="15" t="n"/>
      <c r="M62" s="15" t="n"/>
      <c r="N62" s="15" t="n"/>
      <c r="O62" s="15" t="n"/>
      <c r="P62" s="15" t="n"/>
      <c r="Q62" s="15" t="n"/>
    </row>
    <row r="63">
      <c r="A63" s="15" t="n"/>
      <c r="B63" s="15" t="n"/>
      <c r="C63" s="15" t="n"/>
      <c r="D63" s="15" t="n"/>
      <c r="E63" s="15" t="n"/>
      <c r="F63" s="15" t="n"/>
      <c r="G63" s="15" t="n"/>
      <c r="H63" s="15" t="n"/>
      <c r="I63" s="15" t="n"/>
      <c r="J63" s="15" t="n"/>
      <c r="K63" s="15" t="n"/>
      <c r="L63" s="15" t="n"/>
      <c r="M63" s="15" t="n"/>
      <c r="N63" s="15" t="n"/>
      <c r="O63" s="15" t="n"/>
      <c r="P63" s="15" t="n"/>
      <c r="Q63" s="15" t="n"/>
    </row>
    <row r="64">
      <c r="A64" s="15" t="n"/>
      <c r="B64" s="15" t="n"/>
      <c r="C64" s="15" t="n"/>
      <c r="D64" s="15" t="n"/>
      <c r="E64" s="15" t="n"/>
      <c r="F64" s="15" t="n"/>
      <c r="G64" s="15" t="n"/>
      <c r="H64" s="15" t="n"/>
      <c r="I64" s="15" t="n"/>
      <c r="J64" s="15" t="n"/>
      <c r="K64" s="15" t="n"/>
      <c r="L64" s="15" t="n"/>
      <c r="M64" s="15" t="n"/>
      <c r="N64" s="15" t="n"/>
      <c r="O64" s="15" t="n"/>
      <c r="P64" s="15" t="n"/>
      <c r="Q64" s="15" t="n"/>
    </row>
    <row r="65">
      <c r="A65" s="15" t="n"/>
      <c r="B65" s="15" t="n"/>
      <c r="C65" s="15" t="n"/>
      <c r="D65" s="15" t="n"/>
      <c r="E65" s="15" t="n"/>
      <c r="F65" s="15" t="n"/>
      <c r="G65" s="15" t="n"/>
      <c r="H65" s="15" t="n"/>
      <c r="I65" s="15" t="n"/>
      <c r="J65" s="15" t="n"/>
      <c r="K65" s="15" t="n"/>
      <c r="L65" s="15" t="n"/>
      <c r="M65" s="15" t="n"/>
      <c r="N65" s="15" t="n"/>
      <c r="O65" s="15" t="n"/>
      <c r="P65" s="15" t="n"/>
      <c r="Q65" s="15" t="n"/>
    </row>
    <row r="66">
      <c r="A66" s="15" t="n"/>
      <c r="B66" s="15" t="n"/>
      <c r="C66" s="15" t="n"/>
      <c r="D66" s="15" t="n"/>
      <c r="E66" s="15" t="n"/>
      <c r="F66" s="15" t="n"/>
      <c r="G66" s="15" t="n"/>
      <c r="H66" s="15" t="n"/>
      <c r="I66" s="15" t="n"/>
      <c r="J66" s="15" t="n"/>
      <c r="K66" s="15" t="n"/>
      <c r="L66" s="15" t="n"/>
      <c r="M66" s="15" t="n"/>
      <c r="N66" s="15" t="n"/>
      <c r="O66" s="15" t="n"/>
      <c r="P66" s="15" t="n"/>
      <c r="Q66" s="15" t="n"/>
    </row>
    <row r="67">
      <c r="A67" s="15" t="n"/>
      <c r="B67" s="15" t="n"/>
      <c r="C67" s="15" t="n"/>
      <c r="D67" s="15" t="n"/>
      <c r="E67" s="15" t="n"/>
      <c r="F67" s="15" t="n"/>
      <c r="G67" s="15" t="n"/>
      <c r="H67" s="15" t="n"/>
      <c r="I67" s="15" t="n"/>
      <c r="J67" s="15" t="n"/>
      <c r="K67" s="15" t="n"/>
      <c r="L67" s="15" t="n"/>
      <c r="M67" s="15" t="n"/>
      <c r="N67" s="15" t="n"/>
      <c r="O67" s="15" t="n"/>
      <c r="P67" s="15" t="n"/>
      <c r="Q67" s="15" t="n"/>
    </row>
    <row r="68">
      <c r="A68" s="15" t="n"/>
      <c r="B68" s="15" t="n"/>
      <c r="C68" s="15" t="n"/>
      <c r="D68" s="15" t="n"/>
      <c r="E68" s="15" t="n"/>
      <c r="F68" s="15" t="n"/>
      <c r="G68" s="15" t="n"/>
      <c r="H68" s="15" t="n"/>
      <c r="I68" s="15" t="n"/>
      <c r="J68" s="15" t="n"/>
      <c r="K68" s="15" t="n"/>
      <c r="L68" s="15" t="n"/>
      <c r="M68" s="15" t="n"/>
      <c r="N68" s="15" t="n"/>
      <c r="O68" s="15" t="n"/>
      <c r="P68" s="15" t="n"/>
      <c r="Q68" s="15" t="n"/>
    </row>
    <row r="69">
      <c r="A69" s="15" t="n"/>
      <c r="B69" s="15" t="n"/>
      <c r="C69" s="15" t="n"/>
      <c r="D69" s="15" t="n"/>
      <c r="E69" s="15" t="n"/>
      <c r="F69" s="15" t="n"/>
      <c r="G69" s="15" t="n"/>
      <c r="H69" s="15" t="n"/>
      <c r="I69" s="15" t="n"/>
      <c r="J69" s="15" t="n"/>
      <c r="K69" s="15" t="n"/>
      <c r="L69" s="15" t="n"/>
      <c r="M69" s="15" t="n"/>
      <c r="N69" s="15" t="n"/>
      <c r="O69" s="15" t="n"/>
      <c r="P69" s="15" t="n"/>
      <c r="Q69" s="15" t="n"/>
    </row>
    <row r="70">
      <c r="A70" s="15" t="n"/>
      <c r="B70" s="15" t="n"/>
      <c r="C70" s="15" t="n"/>
      <c r="D70" s="15" t="n"/>
      <c r="E70" s="15" t="n"/>
      <c r="F70" s="15" t="n"/>
      <c r="G70" s="15" t="n"/>
      <c r="H70" s="15" t="n"/>
      <c r="I70" s="15" t="n"/>
      <c r="J70" s="15" t="n"/>
      <c r="K70" s="15" t="n"/>
      <c r="L70" s="15" t="n"/>
      <c r="M70" s="15" t="n"/>
      <c r="N70" s="15" t="n"/>
      <c r="O70" s="15" t="n"/>
      <c r="P70" s="15" t="n"/>
      <c r="Q70" s="15" t="n"/>
    </row>
    <row r="71">
      <c r="A71" s="15" t="n"/>
      <c r="B71" s="15" t="n"/>
      <c r="C71" s="15" t="n"/>
      <c r="D71" s="15" t="n"/>
      <c r="E71" s="15" t="n"/>
      <c r="F71" s="15" t="n"/>
      <c r="G71" s="15" t="n"/>
      <c r="H71" s="15" t="n"/>
      <c r="I71" s="15" t="n"/>
      <c r="J71" s="15" t="n"/>
      <c r="K71" s="15" t="n"/>
      <c r="L71" s="15" t="n"/>
      <c r="M71" s="15" t="n"/>
      <c r="N71" s="15" t="n"/>
      <c r="O71" s="15" t="n"/>
      <c r="P71" s="15" t="n"/>
      <c r="Q71" s="15" t="n"/>
    </row>
    <row r="72">
      <c r="A72" s="15" t="n"/>
      <c r="B72" s="15" t="n"/>
      <c r="C72" s="15" t="n"/>
      <c r="D72" s="15" t="n"/>
      <c r="E72" s="15" t="n"/>
      <c r="F72" s="15" t="n"/>
      <c r="G72" s="15" t="n"/>
      <c r="H72" s="15" t="n"/>
      <c r="I72" s="15" t="n"/>
      <c r="J72" s="15" t="n"/>
      <c r="K72" s="15" t="n"/>
      <c r="L72" s="15" t="n"/>
      <c r="M72" s="15" t="n"/>
      <c r="N72" s="15" t="n"/>
      <c r="O72" s="15" t="n"/>
      <c r="P72" s="15" t="n"/>
      <c r="Q72" s="15" t="n"/>
    </row>
    <row r="73">
      <c r="A73" s="15" t="n"/>
      <c r="B73" s="15" t="n"/>
      <c r="C73" s="15" t="n"/>
      <c r="D73" s="15" t="n"/>
      <c r="E73" s="15" t="n"/>
      <c r="F73" s="15" t="n"/>
      <c r="G73" s="15" t="n"/>
      <c r="H73" s="15" t="n"/>
      <c r="I73" s="15" t="n"/>
      <c r="J73" s="15" t="n"/>
      <c r="K73" s="15" t="n"/>
      <c r="L73" s="15" t="n"/>
      <c r="M73" s="15" t="n"/>
      <c r="N73" s="15" t="n"/>
      <c r="O73" s="15" t="n"/>
      <c r="P73" s="15" t="n"/>
      <c r="Q73" s="15" t="n"/>
    </row>
    <row r="74">
      <c r="A74" s="15" t="n"/>
      <c r="B74" s="15" t="n"/>
      <c r="C74" s="15" t="n"/>
      <c r="D74" s="15" t="n"/>
      <c r="E74" s="15" t="n"/>
      <c r="F74" s="15" t="n"/>
      <c r="G74" s="15" t="n"/>
      <c r="H74" s="15" t="n"/>
      <c r="I74" s="15" t="n"/>
      <c r="J74" s="15" t="n"/>
      <c r="K74" s="15" t="n"/>
      <c r="L74" s="15" t="n"/>
      <c r="M74" s="15" t="n"/>
      <c r="N74" s="15" t="n"/>
      <c r="O74" s="15" t="n"/>
      <c r="P74" s="15" t="n"/>
      <c r="Q74" s="15" t="n"/>
    </row>
    <row r="75">
      <c r="A75" s="15" t="n"/>
      <c r="B75" s="15" t="n"/>
      <c r="C75" s="15" t="n"/>
      <c r="D75" s="15" t="n"/>
      <c r="E75" s="15" t="n"/>
      <c r="F75" s="15" t="n"/>
      <c r="G75" s="15" t="n"/>
      <c r="H75" s="15" t="n"/>
      <c r="I75" s="15" t="n"/>
      <c r="J75" s="15" t="n"/>
      <c r="K75" s="15" t="n"/>
      <c r="L75" s="15" t="n"/>
      <c r="M75" s="15" t="n"/>
      <c r="N75" s="15" t="n"/>
      <c r="O75" s="15" t="n"/>
      <c r="P75" s="15" t="n"/>
      <c r="Q75" s="15" t="n"/>
    </row>
    <row r="76">
      <c r="A76" s="15" t="n"/>
      <c r="B76" s="15" t="n"/>
      <c r="C76" s="15" t="n"/>
      <c r="D76" s="15" t="n"/>
      <c r="E76" s="15" t="n"/>
      <c r="F76" s="15" t="n"/>
      <c r="G76" s="15" t="n"/>
      <c r="H76" s="15" t="n"/>
      <c r="I76" s="15" t="n"/>
      <c r="J76" s="15" t="n"/>
      <c r="K76" s="15" t="n"/>
      <c r="L76" s="15" t="n"/>
      <c r="M76" s="15" t="n"/>
      <c r="N76" s="15" t="n"/>
      <c r="O76" s="15" t="n"/>
      <c r="P76" s="15" t="n"/>
      <c r="Q76" s="15" t="n"/>
    </row>
    <row r="77">
      <c r="A77" s="15" t="n"/>
      <c r="B77" s="15" t="n"/>
      <c r="C77" s="15" t="n"/>
      <c r="D77" s="15" t="n"/>
      <c r="E77" s="15" t="n"/>
      <c r="F77" s="15" t="n"/>
      <c r="G77" s="15" t="n"/>
      <c r="H77" s="15" t="n"/>
      <c r="I77" s="15" t="n"/>
      <c r="J77" s="15" t="n"/>
      <c r="K77" s="15" t="n"/>
      <c r="L77" s="15" t="n"/>
      <c r="M77" s="15" t="n"/>
      <c r="N77" s="15" t="n"/>
      <c r="O77" s="15" t="n"/>
      <c r="P77" s="15" t="n"/>
      <c r="Q77" s="15" t="n"/>
    </row>
    <row r="78">
      <c r="A78" s="15" t="n"/>
      <c r="B78" s="15" t="n"/>
      <c r="C78" s="15" t="n"/>
      <c r="D78" s="15" t="n"/>
      <c r="E78" s="15" t="n"/>
      <c r="F78" s="15" t="n"/>
      <c r="G78" s="15" t="n"/>
      <c r="H78" s="15" t="n"/>
      <c r="I78" s="15" t="n"/>
      <c r="J78" s="15" t="n"/>
      <c r="K78" s="15" t="n"/>
      <c r="L78" s="15" t="n"/>
      <c r="M78" s="15" t="n"/>
      <c r="N78" s="15" t="n"/>
      <c r="O78" s="15" t="n"/>
      <c r="P78" s="15" t="n"/>
      <c r="Q78" s="15" t="n"/>
    </row>
    <row r="79">
      <c r="A79" s="15" t="n"/>
      <c r="B79" s="15" t="n"/>
      <c r="C79" s="15" t="n"/>
      <c r="D79" s="15" t="n"/>
      <c r="E79" s="15" t="n"/>
      <c r="F79" s="15" t="n"/>
      <c r="G79" s="15" t="n"/>
      <c r="H79" s="15" t="n"/>
      <c r="I79" s="15" t="n"/>
      <c r="J79" s="15" t="n"/>
      <c r="K79" s="15" t="n"/>
      <c r="L79" s="15" t="n"/>
      <c r="M79" s="15" t="n"/>
      <c r="N79" s="15" t="n"/>
      <c r="O79" s="15" t="n"/>
      <c r="P79" s="15" t="n"/>
      <c r="Q79" s="15" t="n"/>
    </row>
    <row r="80">
      <c r="A80" s="15" t="n"/>
      <c r="B80" s="15" t="n"/>
      <c r="C80" s="15" t="n"/>
      <c r="D80" s="15" t="n"/>
      <c r="E80" s="15" t="n"/>
      <c r="F80" s="15" t="n"/>
      <c r="G80" s="15" t="n"/>
      <c r="H80" s="15" t="n"/>
      <c r="I80" s="15" t="n"/>
      <c r="J80" s="15" t="n"/>
      <c r="K80" s="15" t="n"/>
      <c r="L80" s="15" t="n"/>
      <c r="M80" s="15" t="n"/>
      <c r="N80" s="15" t="n"/>
      <c r="O80" s="15" t="n"/>
      <c r="P80" s="15" t="n"/>
      <c r="Q80" s="15" t="n"/>
    </row>
    <row r="81">
      <c r="A81" s="15" t="n"/>
      <c r="B81" s="15" t="n"/>
      <c r="C81" s="15" t="n"/>
      <c r="D81" s="15" t="n"/>
      <c r="E81" s="15" t="n"/>
      <c r="F81" s="15" t="n"/>
      <c r="G81" s="15" t="n"/>
      <c r="H81" s="15" t="n"/>
      <c r="I81" s="15" t="n"/>
      <c r="J81" s="15" t="n"/>
      <c r="K81" s="15" t="n"/>
      <c r="L81" s="15" t="n"/>
      <c r="M81" s="15" t="n"/>
      <c r="N81" s="15" t="n"/>
      <c r="O81" s="15" t="n"/>
      <c r="P81" s="15" t="n"/>
      <c r="Q81" s="15" t="n"/>
    </row>
    <row r="82">
      <c r="A82" s="15" t="n"/>
      <c r="B82" s="15" t="n"/>
      <c r="C82" s="15" t="n"/>
      <c r="D82" s="15" t="n"/>
      <c r="E82" s="15" t="n"/>
      <c r="F82" s="15" t="n"/>
      <c r="G82" s="15" t="n"/>
      <c r="H82" s="15" t="n"/>
      <c r="I82" s="15" t="n"/>
      <c r="J82" s="15" t="n"/>
      <c r="K82" s="15" t="n"/>
      <c r="L82" s="15" t="n"/>
      <c r="M82" s="15" t="n"/>
      <c r="N82" s="15" t="n"/>
      <c r="O82" s="15" t="n"/>
      <c r="P82" s="15" t="n"/>
      <c r="Q82" s="15" t="n"/>
    </row>
    <row r="83">
      <c r="A83" s="15" t="n"/>
      <c r="B83" s="15" t="n"/>
      <c r="C83" s="15" t="n"/>
      <c r="D83" s="15" t="n"/>
      <c r="E83" s="15" t="n"/>
      <c r="F83" s="15" t="n"/>
      <c r="G83" s="15" t="n"/>
      <c r="H83" s="15" t="n"/>
      <c r="I83" s="15" t="n"/>
      <c r="J83" s="15" t="n"/>
      <c r="K83" s="15" t="n"/>
      <c r="L83" s="15" t="n"/>
      <c r="M83" s="15" t="n"/>
      <c r="N83" s="15" t="n"/>
      <c r="O83" s="15" t="n"/>
      <c r="P83" s="15" t="n"/>
      <c r="Q83" s="15" t="n"/>
    </row>
    <row r="84">
      <c r="A84" s="15" t="n"/>
      <c r="B84" s="15" t="n"/>
      <c r="C84" s="15" t="n"/>
      <c r="D84" s="15" t="n"/>
      <c r="E84" s="15" t="n"/>
      <c r="F84" s="15" t="n"/>
      <c r="G84" s="15" t="n"/>
      <c r="H84" s="15" t="n"/>
      <c r="I84" s="15" t="n"/>
      <c r="J84" s="15" t="n"/>
      <c r="K84" s="15" t="n"/>
      <c r="L84" s="15" t="n"/>
      <c r="M84" s="15" t="n"/>
      <c r="N84" s="15" t="n"/>
      <c r="O84" s="15" t="n"/>
      <c r="P84" s="15" t="n"/>
      <c r="Q84" s="15" t="n"/>
    </row>
    <row r="85">
      <c r="A85" s="15" t="n"/>
      <c r="B85" s="15" t="n"/>
      <c r="C85" s="15" t="n"/>
      <c r="D85" s="15" t="n"/>
      <c r="E85" s="15" t="n"/>
      <c r="F85" s="15" t="n"/>
      <c r="G85" s="15" t="n"/>
      <c r="H85" s="15" t="n"/>
      <c r="I85" s="15" t="n"/>
      <c r="J85" s="15" t="n"/>
      <c r="K85" s="15" t="n"/>
      <c r="L85" s="15" t="n"/>
      <c r="M85" s="15" t="n"/>
      <c r="N85" s="15" t="n"/>
      <c r="O85" s="15" t="n"/>
      <c r="P85" s="15" t="n"/>
      <c r="Q85" s="15" t="n"/>
    </row>
  </sheetData>
  <mergeCells count="3">
    <mergeCell ref="A3:Q3"/>
    <mergeCell ref="A2:Q2"/>
    <mergeCell ref="A1:Q1"/>
  </mergeCells>
  <dataValidations count="5">
    <dataValidation sqref="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showDropDown="0" showInputMessage="0" showErrorMessage="1" allowBlank="1" type="list">
      <formula1>"Green,Yellow,Red,N/A"</formula1>
    </dataValidation>
    <dataValidation sqref="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showDropDown="0" showInputMessage="0" showErrorMessage="1" allowBlank="1" type="list">
      <formula1>"Critical,High,Medium,Low"</formula1>
    </dataValidation>
    <dataValidation sqref="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showDropDown="0" showInputMessage="0" showErrorMessage="1" allowBlank="1" type="list">
      <formula1>"Discovery,Assessment,Prioritization,Remediation,Validation,Exception Management,Reporting"</formula1>
    </dataValidation>
    <dataValidation sqref="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showDropDown="0" showInputMessage="0" showErrorMessage="1" allowBlank="1" type="list">
      <formula1>"Count,Percentage,Days,Hours,Score,Status"</formula1>
    </dataValidation>
    <dataValidation sqref="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showDropDown="0" showInputMessage="0" showErrorMessage="1" allowBlank="1" type="list">
      <formula1>"Daily,Weekly,Monthly,Quarterly,Annual"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5"/>
  <sheetViews>
    <sheetView showGridLines="0" workbookViewId="0">
      <pane ySplit="4" topLeftCell="A5" activePane="bottomLeft" state="frozen"/>
      <selection pane="bottomLeft" activeCell="A1" sqref="A1"/>
    </sheetView>
  </sheetViews>
  <sheetFormatPr baseColWidth="8" defaultRowHeight="15"/>
  <cols>
    <col width="16" customWidth="1" min="1" max="1"/>
    <col width="18" customWidth="1" min="2" max="2"/>
    <col width="18" customWidth="1" min="3" max="3"/>
    <col width="14" customWidth="1" min="4" max="4"/>
    <col width="14" customWidth="1" min="5" max="5"/>
    <col width="14" customWidth="1" min="6" max="6"/>
    <col width="30" customWidth="1" min="7" max="7"/>
  </cols>
  <sheetData>
    <row r="1" ht="35" customHeight="1">
      <c r="A1" s="11" t="inlineStr">
        <is>
          <t>ISMS-IMP-A.8.8.6  —  SLA PERFORMANCE</t>
        </is>
      </c>
    </row>
    <row r="2">
      <c r="A2" s="12" t="inlineStr">
        <is>
          <t>ISO/IEC 27001:2022 — Control A.8.8: Management of Technical Vulnerabilities</t>
        </is>
      </c>
    </row>
    <row r="3">
      <c r="A3" s="6" t="n"/>
    </row>
    <row r="4">
      <c r="A4" s="13" t="inlineStr">
        <is>
          <t>Priority_Level</t>
        </is>
      </c>
      <c r="B4" s="13" t="inlineStr">
        <is>
          <t>SLA_Target</t>
        </is>
      </c>
      <c r="C4" s="13" t="inlineStr">
        <is>
          <t>Current_Avg_Days</t>
        </is>
      </c>
      <c r="D4" s="13" t="inlineStr">
        <is>
          <t>SLA_Status</t>
        </is>
      </c>
      <c r="E4" s="13" t="inlineStr">
        <is>
          <t>Total_Items</t>
        </is>
      </c>
      <c r="F4" s="13" t="inlineStr">
        <is>
          <t>Items_Breached</t>
        </is>
      </c>
      <c r="G4" s="13" t="inlineStr">
        <is>
          <t>Notes</t>
        </is>
      </c>
    </row>
    <row r="5">
      <c r="A5" s="14" t="inlineStr">
        <is>
          <t>P1 Critical</t>
        </is>
      </c>
      <c r="B5" s="14" t="inlineStr">
        <is>
          <t>14 days</t>
        </is>
      </c>
      <c r="C5" s="14" t="inlineStr">
        <is>
          <t>12.5</t>
        </is>
      </c>
      <c r="D5" s="14" t="inlineStr">
        <is>
          <t>Met</t>
        </is>
      </c>
      <c r="E5" s="14" t="inlineStr">
        <is>
          <t>23</t>
        </is>
      </c>
      <c r="F5" s="14" t="inlineStr">
        <is>
          <t>2</t>
        </is>
      </c>
      <c r="G5" s="14" t="inlineStr">
        <is>
          <t>Last 30 days</t>
        </is>
      </c>
    </row>
    <row r="6">
      <c r="A6" s="15" t="n"/>
      <c r="B6" s="15" t="n"/>
      <c r="C6" s="15" t="n"/>
      <c r="D6" s="15" t="n"/>
      <c r="E6" s="15" t="n"/>
      <c r="F6" s="15" t="n"/>
      <c r="G6" s="15" t="n"/>
    </row>
    <row r="7">
      <c r="A7" s="15" t="n"/>
      <c r="B7" s="15" t="n"/>
      <c r="C7" s="15" t="n"/>
      <c r="D7" s="15" t="n"/>
      <c r="E7" s="15" t="n"/>
      <c r="F7" s="15" t="n"/>
      <c r="G7" s="15" t="n"/>
    </row>
    <row r="8">
      <c r="A8" s="15" t="n"/>
      <c r="B8" s="15" t="n"/>
      <c r="C8" s="15" t="n"/>
      <c r="D8" s="15" t="n"/>
      <c r="E8" s="15" t="n"/>
      <c r="F8" s="15" t="n"/>
      <c r="G8" s="15" t="n"/>
    </row>
    <row r="9">
      <c r="A9" s="15" t="n"/>
      <c r="B9" s="15" t="n"/>
      <c r="C9" s="15" t="n"/>
      <c r="D9" s="15" t="n"/>
      <c r="E9" s="15" t="n"/>
      <c r="F9" s="15" t="n"/>
      <c r="G9" s="15" t="n"/>
    </row>
    <row r="10">
      <c r="A10" s="15" t="n"/>
      <c r="B10" s="15" t="n"/>
      <c r="C10" s="15" t="n"/>
      <c r="D10" s="15" t="n"/>
      <c r="E10" s="15" t="n"/>
      <c r="F10" s="15" t="n"/>
      <c r="G10" s="15" t="n"/>
    </row>
    <row r="11">
      <c r="A11" s="15" t="n"/>
      <c r="B11" s="15" t="n"/>
      <c r="C11" s="15" t="n"/>
      <c r="D11" s="15" t="n"/>
      <c r="E11" s="15" t="n"/>
      <c r="F11" s="15" t="n"/>
      <c r="G11" s="15" t="n"/>
    </row>
    <row r="12">
      <c r="A12" s="15" t="n"/>
      <c r="B12" s="15" t="n"/>
      <c r="C12" s="15" t="n"/>
      <c r="D12" s="15" t="n"/>
      <c r="E12" s="15" t="n"/>
      <c r="F12" s="15" t="n"/>
      <c r="G12" s="15" t="n"/>
    </row>
    <row r="13">
      <c r="A13" s="15" t="n"/>
      <c r="B13" s="15" t="n"/>
      <c r="C13" s="15" t="n"/>
      <c r="D13" s="15" t="n"/>
      <c r="E13" s="15" t="n"/>
      <c r="F13" s="15" t="n"/>
      <c r="G13" s="15" t="n"/>
    </row>
    <row r="14">
      <c r="A14" s="15" t="n"/>
      <c r="B14" s="15" t="n"/>
      <c r="C14" s="15" t="n"/>
      <c r="D14" s="15" t="n"/>
      <c r="E14" s="15" t="n"/>
      <c r="F14" s="15" t="n"/>
      <c r="G14" s="15" t="n"/>
    </row>
    <row r="15">
      <c r="A15" s="15" t="n"/>
      <c r="B15" s="15" t="n"/>
      <c r="C15" s="15" t="n"/>
      <c r="D15" s="15" t="n"/>
      <c r="E15" s="15" t="n"/>
      <c r="F15" s="15" t="n"/>
      <c r="G15" s="15" t="n"/>
    </row>
    <row r="16">
      <c r="A16" s="15" t="n"/>
      <c r="B16" s="15" t="n"/>
      <c r="C16" s="15" t="n"/>
      <c r="D16" s="15" t="n"/>
      <c r="E16" s="15" t="n"/>
      <c r="F16" s="15" t="n"/>
      <c r="G16" s="15" t="n"/>
    </row>
    <row r="17">
      <c r="A17" s="15" t="n"/>
      <c r="B17" s="15" t="n"/>
      <c r="C17" s="15" t="n"/>
      <c r="D17" s="15" t="n"/>
      <c r="E17" s="15" t="n"/>
      <c r="F17" s="15" t="n"/>
      <c r="G17" s="15" t="n"/>
    </row>
    <row r="18">
      <c r="A18" s="15" t="n"/>
      <c r="B18" s="15" t="n"/>
      <c r="C18" s="15" t="n"/>
      <c r="D18" s="15" t="n"/>
      <c r="E18" s="15" t="n"/>
      <c r="F18" s="15" t="n"/>
      <c r="G18" s="15" t="n"/>
    </row>
    <row r="19">
      <c r="A19" s="15" t="n"/>
      <c r="B19" s="15" t="n"/>
      <c r="C19" s="15" t="n"/>
      <c r="D19" s="15" t="n"/>
      <c r="E19" s="15" t="n"/>
      <c r="F19" s="15" t="n"/>
      <c r="G19" s="15" t="n"/>
    </row>
    <row r="20">
      <c r="A20" s="15" t="n"/>
      <c r="B20" s="15" t="n"/>
      <c r="C20" s="15" t="n"/>
      <c r="D20" s="15" t="n"/>
      <c r="E20" s="15" t="n"/>
      <c r="F20" s="15" t="n"/>
      <c r="G20" s="15" t="n"/>
    </row>
    <row r="21">
      <c r="A21" s="15" t="n"/>
      <c r="B21" s="15" t="n"/>
      <c r="C21" s="15" t="n"/>
      <c r="D21" s="15" t="n"/>
      <c r="E21" s="15" t="n"/>
      <c r="F21" s="15" t="n"/>
      <c r="G21" s="15" t="n"/>
    </row>
    <row r="22">
      <c r="A22" s="15" t="n"/>
      <c r="B22" s="15" t="n"/>
      <c r="C22" s="15" t="n"/>
      <c r="D22" s="15" t="n"/>
      <c r="E22" s="15" t="n"/>
      <c r="F22" s="15" t="n"/>
      <c r="G22" s="15" t="n"/>
    </row>
    <row r="23">
      <c r="A23" s="15" t="n"/>
      <c r="B23" s="15" t="n"/>
      <c r="C23" s="15" t="n"/>
      <c r="D23" s="15" t="n"/>
      <c r="E23" s="15" t="n"/>
      <c r="F23" s="15" t="n"/>
      <c r="G23" s="15" t="n"/>
    </row>
    <row r="24">
      <c r="A24" s="15" t="n"/>
      <c r="B24" s="15" t="n"/>
      <c r="C24" s="15" t="n"/>
      <c r="D24" s="15" t="n"/>
      <c r="E24" s="15" t="n"/>
      <c r="F24" s="15" t="n"/>
      <c r="G24" s="15" t="n"/>
    </row>
    <row r="25">
      <c r="A25" s="15" t="n"/>
      <c r="B25" s="15" t="n"/>
      <c r="C25" s="15" t="n"/>
      <c r="D25" s="15" t="n"/>
      <c r="E25" s="15" t="n"/>
      <c r="F25" s="15" t="n"/>
      <c r="G25" s="15" t="n"/>
    </row>
    <row r="26">
      <c r="A26" s="15" t="n"/>
      <c r="B26" s="15" t="n"/>
      <c r="C26" s="15" t="n"/>
      <c r="D26" s="15" t="n"/>
      <c r="E26" s="15" t="n"/>
      <c r="F26" s="15" t="n"/>
      <c r="G26" s="15" t="n"/>
    </row>
    <row r="27">
      <c r="A27" s="15" t="n"/>
      <c r="B27" s="15" t="n"/>
      <c r="C27" s="15" t="n"/>
      <c r="D27" s="15" t="n"/>
      <c r="E27" s="15" t="n"/>
      <c r="F27" s="15" t="n"/>
      <c r="G27" s="15" t="n"/>
    </row>
    <row r="28">
      <c r="A28" s="15" t="n"/>
      <c r="B28" s="15" t="n"/>
      <c r="C28" s="15" t="n"/>
      <c r="D28" s="15" t="n"/>
      <c r="E28" s="15" t="n"/>
      <c r="F28" s="15" t="n"/>
      <c r="G28" s="15" t="n"/>
    </row>
    <row r="29">
      <c r="A29" s="15" t="n"/>
      <c r="B29" s="15" t="n"/>
      <c r="C29" s="15" t="n"/>
      <c r="D29" s="15" t="n"/>
      <c r="E29" s="15" t="n"/>
      <c r="F29" s="15" t="n"/>
      <c r="G29" s="15" t="n"/>
    </row>
    <row r="30">
      <c r="A30" s="15" t="n"/>
      <c r="B30" s="15" t="n"/>
      <c r="C30" s="15" t="n"/>
      <c r="D30" s="15" t="n"/>
      <c r="E30" s="15" t="n"/>
      <c r="F30" s="15" t="n"/>
      <c r="G30" s="15" t="n"/>
    </row>
    <row r="31">
      <c r="A31" s="15" t="n"/>
      <c r="B31" s="15" t="n"/>
      <c r="C31" s="15" t="n"/>
      <c r="D31" s="15" t="n"/>
      <c r="E31" s="15" t="n"/>
      <c r="F31" s="15" t="n"/>
      <c r="G31" s="15" t="n"/>
    </row>
    <row r="32">
      <c r="A32" s="15" t="n"/>
      <c r="B32" s="15" t="n"/>
      <c r="C32" s="15" t="n"/>
      <c r="D32" s="15" t="n"/>
      <c r="E32" s="15" t="n"/>
      <c r="F32" s="15" t="n"/>
      <c r="G32" s="15" t="n"/>
    </row>
    <row r="33">
      <c r="A33" s="15" t="n"/>
      <c r="B33" s="15" t="n"/>
      <c r="C33" s="15" t="n"/>
      <c r="D33" s="15" t="n"/>
      <c r="E33" s="15" t="n"/>
      <c r="F33" s="15" t="n"/>
      <c r="G33" s="15" t="n"/>
    </row>
    <row r="34">
      <c r="A34" s="15" t="n"/>
      <c r="B34" s="15" t="n"/>
      <c r="C34" s="15" t="n"/>
      <c r="D34" s="15" t="n"/>
      <c r="E34" s="15" t="n"/>
      <c r="F34" s="15" t="n"/>
      <c r="G34" s="15" t="n"/>
    </row>
    <row r="35">
      <c r="A35" s="15" t="n"/>
      <c r="B35" s="15" t="n"/>
      <c r="C35" s="15" t="n"/>
      <c r="D35" s="15" t="n"/>
      <c r="E35" s="15" t="n"/>
      <c r="F35" s="15" t="n"/>
      <c r="G35" s="15" t="n"/>
    </row>
    <row r="36">
      <c r="A36" s="15" t="n"/>
      <c r="B36" s="15" t="n"/>
      <c r="C36" s="15" t="n"/>
      <c r="D36" s="15" t="n"/>
      <c r="E36" s="15" t="n"/>
      <c r="F36" s="15" t="n"/>
      <c r="G36" s="15" t="n"/>
    </row>
    <row r="37">
      <c r="A37" s="15" t="n"/>
      <c r="B37" s="15" t="n"/>
      <c r="C37" s="15" t="n"/>
      <c r="D37" s="15" t="n"/>
      <c r="E37" s="15" t="n"/>
      <c r="F37" s="15" t="n"/>
      <c r="G37" s="15" t="n"/>
    </row>
    <row r="38">
      <c r="A38" s="15" t="n"/>
      <c r="B38" s="15" t="n"/>
      <c r="C38" s="15" t="n"/>
      <c r="D38" s="15" t="n"/>
      <c r="E38" s="15" t="n"/>
      <c r="F38" s="15" t="n"/>
      <c r="G38" s="15" t="n"/>
    </row>
    <row r="39">
      <c r="A39" s="15" t="n"/>
      <c r="B39" s="15" t="n"/>
      <c r="C39" s="15" t="n"/>
      <c r="D39" s="15" t="n"/>
      <c r="E39" s="15" t="n"/>
      <c r="F39" s="15" t="n"/>
      <c r="G39" s="15" t="n"/>
    </row>
    <row r="40">
      <c r="A40" s="15" t="n"/>
      <c r="B40" s="15" t="n"/>
      <c r="C40" s="15" t="n"/>
      <c r="D40" s="15" t="n"/>
      <c r="E40" s="15" t="n"/>
      <c r="F40" s="15" t="n"/>
      <c r="G40" s="15" t="n"/>
    </row>
    <row r="41">
      <c r="A41" s="15" t="n"/>
      <c r="B41" s="15" t="n"/>
      <c r="C41" s="15" t="n"/>
      <c r="D41" s="15" t="n"/>
      <c r="E41" s="15" t="n"/>
      <c r="F41" s="15" t="n"/>
      <c r="G41" s="15" t="n"/>
    </row>
    <row r="42">
      <c r="A42" s="15" t="n"/>
      <c r="B42" s="15" t="n"/>
      <c r="C42" s="15" t="n"/>
      <c r="D42" s="15" t="n"/>
      <c r="E42" s="15" t="n"/>
      <c r="F42" s="15" t="n"/>
      <c r="G42" s="15" t="n"/>
    </row>
    <row r="43">
      <c r="A43" s="15" t="n"/>
      <c r="B43" s="15" t="n"/>
      <c r="C43" s="15" t="n"/>
      <c r="D43" s="15" t="n"/>
      <c r="E43" s="15" t="n"/>
      <c r="F43" s="15" t="n"/>
      <c r="G43" s="15" t="n"/>
    </row>
    <row r="44">
      <c r="A44" s="15" t="n"/>
      <c r="B44" s="15" t="n"/>
      <c r="C44" s="15" t="n"/>
      <c r="D44" s="15" t="n"/>
      <c r="E44" s="15" t="n"/>
      <c r="F44" s="15" t="n"/>
      <c r="G44" s="15" t="n"/>
    </row>
    <row r="45">
      <c r="A45" s="15" t="n"/>
      <c r="B45" s="15" t="n"/>
      <c r="C45" s="15" t="n"/>
      <c r="D45" s="15" t="n"/>
      <c r="E45" s="15" t="n"/>
      <c r="F45" s="15" t="n"/>
      <c r="G45" s="15" t="n"/>
    </row>
    <row r="46">
      <c r="A46" s="15" t="n"/>
      <c r="B46" s="15" t="n"/>
      <c r="C46" s="15" t="n"/>
      <c r="D46" s="15" t="n"/>
      <c r="E46" s="15" t="n"/>
      <c r="F46" s="15" t="n"/>
      <c r="G46" s="15" t="n"/>
    </row>
    <row r="47">
      <c r="A47" s="15" t="n"/>
      <c r="B47" s="15" t="n"/>
      <c r="C47" s="15" t="n"/>
      <c r="D47" s="15" t="n"/>
      <c r="E47" s="15" t="n"/>
      <c r="F47" s="15" t="n"/>
      <c r="G47" s="15" t="n"/>
    </row>
    <row r="48">
      <c r="A48" s="15" t="n"/>
      <c r="B48" s="15" t="n"/>
      <c r="C48" s="15" t="n"/>
      <c r="D48" s="15" t="n"/>
      <c r="E48" s="15" t="n"/>
      <c r="F48" s="15" t="n"/>
      <c r="G48" s="15" t="n"/>
    </row>
    <row r="49">
      <c r="A49" s="15" t="n"/>
      <c r="B49" s="15" t="n"/>
      <c r="C49" s="15" t="n"/>
      <c r="D49" s="15" t="n"/>
      <c r="E49" s="15" t="n"/>
      <c r="F49" s="15" t="n"/>
      <c r="G49" s="15" t="n"/>
    </row>
    <row r="50">
      <c r="A50" s="15" t="n"/>
      <c r="B50" s="15" t="n"/>
      <c r="C50" s="15" t="n"/>
      <c r="D50" s="15" t="n"/>
      <c r="E50" s="15" t="n"/>
      <c r="F50" s="15" t="n"/>
      <c r="G50" s="15" t="n"/>
    </row>
    <row r="51">
      <c r="A51" s="15" t="n"/>
      <c r="B51" s="15" t="n"/>
      <c r="C51" s="15" t="n"/>
      <c r="D51" s="15" t="n"/>
      <c r="E51" s="15" t="n"/>
      <c r="F51" s="15" t="n"/>
      <c r="G51" s="15" t="n"/>
    </row>
    <row r="52">
      <c r="A52" s="15" t="n"/>
      <c r="B52" s="15" t="n"/>
      <c r="C52" s="15" t="n"/>
      <c r="D52" s="15" t="n"/>
      <c r="E52" s="15" t="n"/>
      <c r="F52" s="15" t="n"/>
      <c r="G52" s="15" t="n"/>
    </row>
    <row r="53">
      <c r="A53" s="15" t="n"/>
      <c r="B53" s="15" t="n"/>
      <c r="C53" s="15" t="n"/>
      <c r="D53" s="15" t="n"/>
      <c r="E53" s="15" t="n"/>
      <c r="F53" s="15" t="n"/>
      <c r="G53" s="15" t="n"/>
    </row>
    <row r="54">
      <c r="A54" s="15" t="n"/>
      <c r="B54" s="15" t="n"/>
      <c r="C54" s="15" t="n"/>
      <c r="D54" s="15" t="n"/>
      <c r="E54" s="15" t="n"/>
      <c r="F54" s="15" t="n"/>
      <c r="G54" s="15" t="n"/>
    </row>
    <row r="55">
      <c r="A55" s="15" t="n"/>
      <c r="B55" s="15" t="n"/>
      <c r="C55" s="15" t="n"/>
      <c r="D55" s="15" t="n"/>
      <c r="E55" s="15" t="n"/>
      <c r="F55" s="15" t="n"/>
      <c r="G55" s="15" t="n"/>
    </row>
  </sheetData>
  <mergeCells count="3">
    <mergeCell ref="A3:G3"/>
    <mergeCell ref="A2:G2"/>
    <mergeCell ref="A1:G1"/>
  </mergeCells>
  <dataValidations count="2">
    <dataValidation sqref="D6 D7 D8 D9 D10 D11 D12 D13 D14 D15 D16 D17 D18 D19 D20 D21 D22 D23 D24 D25 D26 D27 D28 D29 D30 D31 D32 D33 D34 D35 D36 D37 D38 D39 D40 D41 D42 D43 D44 D45 D46 D47 D48 D49 D50 D51 D52 D53 D54 D55" showDropDown="0" showInputMessage="0" showErrorMessage="1" allowBlank="1" type="list">
      <formula1>"Met,Violated,N/A"</formula1>
    </dataValidation>
    <dataValidation sqref="A6 A7 A8 A9 A10 A11 A12 A13 A14 A15 A16 A17 A18 A19 A20 A21 A22 A23 A24 A25 A26 A27 A28 A29 A30 A31 A32 A33 A34 A35 A36 A37 A38 A39 A40 A41 A42 A43 A44 A45 A46 A47 A48 A49 A50 A51 A52 A53 A54 A55" showDropDown="0" showInputMessage="0" showErrorMessage="1" allowBlank="1" type="list">
      <formula1>"P0 Emergency,P1 Critical,P2 High,P3 Medium,P4 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5"/>
  <sheetViews>
    <sheetView showGridLines="0" workbookViewId="0">
      <pane ySplit="4" topLeftCell="A5" activePane="bottomLeft" state="frozen"/>
      <selection pane="bottomLeft" activeCell="A1" sqref="A1"/>
    </sheetView>
  </sheetViews>
  <sheetFormatPr baseColWidth="8" defaultRowHeight="15"/>
  <cols>
    <col width="12" customWidth="1" min="1" max="1"/>
    <col width="35" customWidth="1" min="2" max="2"/>
    <col width="18" customWidth="1" min="3" max="3"/>
    <col width="12" customWidth="1" min="4" max="4"/>
    <col width="40" customWidth="1" min="5" max="5"/>
  </cols>
  <sheetData>
    <row r="1" ht="35" customHeight="1">
      <c r="A1" s="11" t="inlineStr">
        <is>
          <t>ISMS-IMP-A.8.8.6  —  RISK METRICS</t>
        </is>
      </c>
    </row>
    <row r="2">
      <c r="A2" s="12" t="inlineStr">
        <is>
          <t>ISO/IEC 27001:2022 — Control A.8.8: Management of Technical Vulnerabilities</t>
        </is>
      </c>
    </row>
    <row r="3">
      <c r="A3" s="6" t="n"/>
    </row>
    <row r="4">
      <c r="A4" s="13" t="inlineStr">
        <is>
          <t>Metric_ID</t>
        </is>
      </c>
      <c r="B4" s="13" t="inlineStr">
        <is>
          <t>Metric_Name</t>
        </is>
      </c>
      <c r="C4" s="13" t="inlineStr">
        <is>
          <t>Current_Value</t>
        </is>
      </c>
      <c r="D4" s="13" t="inlineStr">
        <is>
          <t>Status</t>
        </is>
      </c>
      <c r="E4" s="13" t="inlineStr">
        <is>
          <t>Notes</t>
        </is>
      </c>
    </row>
    <row r="5">
      <c r="A5" s="14" t="inlineStr">
        <is>
          <t>RMT-001</t>
        </is>
      </c>
      <c r="B5" s="14" t="inlineStr">
        <is>
          <t>Open P0 Vulnerabilities</t>
        </is>
      </c>
      <c r="C5" s="14" t="inlineStr">
        <is>
          <t>0</t>
        </is>
      </c>
      <c r="D5" s="14" t="inlineStr">
        <is>
          <t>Green</t>
        </is>
      </c>
      <c r="E5" s="14" t="inlineStr">
        <is>
          <t>No P0 items open as of assessment date</t>
        </is>
      </c>
    </row>
    <row r="6">
      <c r="A6" s="15" t="n"/>
      <c r="B6" s="15" t="n"/>
      <c r="C6" s="15" t="n"/>
      <c r="D6" s="15" t="n"/>
      <c r="E6" s="15" t="n"/>
    </row>
    <row r="7">
      <c r="A7" s="15" t="n"/>
      <c r="B7" s="15" t="n"/>
      <c r="C7" s="15" t="n"/>
      <c r="D7" s="15" t="n"/>
      <c r="E7" s="15" t="n"/>
    </row>
    <row r="8">
      <c r="A8" s="15" t="n"/>
      <c r="B8" s="15" t="n"/>
      <c r="C8" s="15" t="n"/>
      <c r="D8" s="15" t="n"/>
      <c r="E8" s="15" t="n"/>
    </row>
    <row r="9">
      <c r="A9" s="15" t="n"/>
      <c r="B9" s="15" t="n"/>
      <c r="C9" s="15" t="n"/>
      <c r="D9" s="15" t="n"/>
      <c r="E9" s="15" t="n"/>
    </row>
    <row r="10">
      <c r="A10" s="15" t="n"/>
      <c r="B10" s="15" t="n"/>
      <c r="C10" s="15" t="n"/>
      <c r="D10" s="15" t="n"/>
      <c r="E10" s="15" t="n"/>
    </row>
    <row r="11">
      <c r="A11" s="15" t="n"/>
      <c r="B11" s="15" t="n"/>
      <c r="C11" s="15" t="n"/>
      <c r="D11" s="15" t="n"/>
      <c r="E11" s="15" t="n"/>
    </row>
    <row r="12">
      <c r="A12" s="15" t="n"/>
      <c r="B12" s="15" t="n"/>
      <c r="C12" s="15" t="n"/>
      <c r="D12" s="15" t="n"/>
      <c r="E12" s="15" t="n"/>
    </row>
    <row r="13">
      <c r="A13" s="15" t="n"/>
      <c r="B13" s="15" t="n"/>
      <c r="C13" s="15" t="n"/>
      <c r="D13" s="15" t="n"/>
      <c r="E13" s="15" t="n"/>
    </row>
    <row r="14">
      <c r="A14" s="15" t="n"/>
      <c r="B14" s="15" t="n"/>
      <c r="C14" s="15" t="n"/>
      <c r="D14" s="15" t="n"/>
      <c r="E14" s="15" t="n"/>
    </row>
    <row r="15">
      <c r="A15" s="15" t="n"/>
      <c r="B15" s="15" t="n"/>
      <c r="C15" s="15" t="n"/>
      <c r="D15" s="15" t="n"/>
      <c r="E15" s="15" t="n"/>
    </row>
    <row r="16">
      <c r="A16" s="15" t="n"/>
      <c r="B16" s="15" t="n"/>
      <c r="C16" s="15" t="n"/>
      <c r="D16" s="15" t="n"/>
      <c r="E16" s="15" t="n"/>
    </row>
    <row r="17">
      <c r="A17" s="15" t="n"/>
      <c r="B17" s="15" t="n"/>
      <c r="C17" s="15" t="n"/>
      <c r="D17" s="15" t="n"/>
      <c r="E17" s="15" t="n"/>
    </row>
    <row r="18">
      <c r="A18" s="15" t="n"/>
      <c r="B18" s="15" t="n"/>
      <c r="C18" s="15" t="n"/>
      <c r="D18" s="15" t="n"/>
      <c r="E18" s="15" t="n"/>
    </row>
    <row r="19">
      <c r="A19" s="15" t="n"/>
      <c r="B19" s="15" t="n"/>
      <c r="C19" s="15" t="n"/>
      <c r="D19" s="15" t="n"/>
      <c r="E19" s="15" t="n"/>
    </row>
    <row r="20">
      <c r="A20" s="15" t="n"/>
      <c r="B20" s="15" t="n"/>
      <c r="C20" s="15" t="n"/>
      <c r="D20" s="15" t="n"/>
      <c r="E20" s="15" t="n"/>
    </row>
    <row r="21">
      <c r="A21" s="15" t="n"/>
      <c r="B21" s="15" t="n"/>
      <c r="C21" s="15" t="n"/>
      <c r="D21" s="15" t="n"/>
      <c r="E21" s="15" t="n"/>
    </row>
    <row r="22">
      <c r="A22" s="15" t="n"/>
      <c r="B22" s="15" t="n"/>
      <c r="C22" s="15" t="n"/>
      <c r="D22" s="15" t="n"/>
      <c r="E22" s="15" t="n"/>
    </row>
    <row r="23">
      <c r="A23" s="15" t="n"/>
      <c r="B23" s="15" t="n"/>
      <c r="C23" s="15" t="n"/>
      <c r="D23" s="15" t="n"/>
      <c r="E23" s="15" t="n"/>
    </row>
    <row r="24">
      <c r="A24" s="15" t="n"/>
      <c r="B24" s="15" t="n"/>
      <c r="C24" s="15" t="n"/>
      <c r="D24" s="15" t="n"/>
      <c r="E24" s="15" t="n"/>
    </row>
    <row r="25">
      <c r="A25" s="15" t="n"/>
      <c r="B25" s="15" t="n"/>
      <c r="C25" s="15" t="n"/>
      <c r="D25" s="15" t="n"/>
      <c r="E25" s="15" t="n"/>
    </row>
    <row r="26">
      <c r="A26" s="15" t="n"/>
      <c r="B26" s="15" t="n"/>
      <c r="C26" s="15" t="n"/>
      <c r="D26" s="15" t="n"/>
      <c r="E26" s="15" t="n"/>
    </row>
    <row r="27">
      <c r="A27" s="15" t="n"/>
      <c r="B27" s="15" t="n"/>
      <c r="C27" s="15" t="n"/>
      <c r="D27" s="15" t="n"/>
      <c r="E27" s="15" t="n"/>
    </row>
    <row r="28">
      <c r="A28" s="15" t="n"/>
      <c r="B28" s="15" t="n"/>
      <c r="C28" s="15" t="n"/>
      <c r="D28" s="15" t="n"/>
      <c r="E28" s="15" t="n"/>
    </row>
    <row r="29">
      <c r="A29" s="15" t="n"/>
      <c r="B29" s="15" t="n"/>
      <c r="C29" s="15" t="n"/>
      <c r="D29" s="15" t="n"/>
      <c r="E29" s="15" t="n"/>
    </row>
    <row r="30">
      <c r="A30" s="15" t="n"/>
      <c r="B30" s="15" t="n"/>
      <c r="C30" s="15" t="n"/>
      <c r="D30" s="15" t="n"/>
      <c r="E30" s="15" t="n"/>
    </row>
    <row r="31">
      <c r="A31" s="15" t="n"/>
      <c r="B31" s="15" t="n"/>
      <c r="C31" s="15" t="n"/>
      <c r="D31" s="15" t="n"/>
      <c r="E31" s="15" t="n"/>
    </row>
    <row r="32">
      <c r="A32" s="15" t="n"/>
      <c r="B32" s="15" t="n"/>
      <c r="C32" s="15" t="n"/>
      <c r="D32" s="15" t="n"/>
      <c r="E32" s="15" t="n"/>
    </row>
    <row r="33">
      <c r="A33" s="15" t="n"/>
      <c r="B33" s="15" t="n"/>
      <c r="C33" s="15" t="n"/>
      <c r="D33" s="15" t="n"/>
      <c r="E33" s="15" t="n"/>
    </row>
    <row r="34">
      <c r="A34" s="15" t="n"/>
      <c r="B34" s="15" t="n"/>
      <c r="C34" s="15" t="n"/>
      <c r="D34" s="15" t="n"/>
      <c r="E34" s="15" t="n"/>
    </row>
    <row r="35">
      <c r="A35" s="15" t="n"/>
      <c r="B35" s="15" t="n"/>
      <c r="C35" s="15" t="n"/>
      <c r="D35" s="15" t="n"/>
      <c r="E35" s="15" t="n"/>
    </row>
    <row r="36">
      <c r="A36" s="15" t="n"/>
      <c r="B36" s="15" t="n"/>
      <c r="C36" s="15" t="n"/>
      <c r="D36" s="15" t="n"/>
      <c r="E36" s="15" t="n"/>
    </row>
    <row r="37">
      <c r="A37" s="15" t="n"/>
      <c r="B37" s="15" t="n"/>
      <c r="C37" s="15" t="n"/>
      <c r="D37" s="15" t="n"/>
      <c r="E37" s="15" t="n"/>
    </row>
    <row r="38">
      <c r="A38" s="15" t="n"/>
      <c r="B38" s="15" t="n"/>
      <c r="C38" s="15" t="n"/>
      <c r="D38" s="15" t="n"/>
      <c r="E38" s="15" t="n"/>
    </row>
    <row r="39">
      <c r="A39" s="15" t="n"/>
      <c r="B39" s="15" t="n"/>
      <c r="C39" s="15" t="n"/>
      <c r="D39" s="15" t="n"/>
      <c r="E39" s="15" t="n"/>
    </row>
    <row r="40">
      <c r="A40" s="15" t="n"/>
      <c r="B40" s="15" t="n"/>
      <c r="C40" s="15" t="n"/>
      <c r="D40" s="15" t="n"/>
      <c r="E40" s="15" t="n"/>
    </row>
    <row r="41">
      <c r="A41" s="15" t="n"/>
      <c r="B41" s="15" t="n"/>
      <c r="C41" s="15" t="n"/>
      <c r="D41" s="15" t="n"/>
      <c r="E41" s="15" t="n"/>
    </row>
    <row r="42">
      <c r="A42" s="15" t="n"/>
      <c r="B42" s="15" t="n"/>
      <c r="C42" s="15" t="n"/>
      <c r="D42" s="15" t="n"/>
      <c r="E42" s="15" t="n"/>
    </row>
    <row r="43">
      <c r="A43" s="15" t="n"/>
      <c r="B43" s="15" t="n"/>
      <c r="C43" s="15" t="n"/>
      <c r="D43" s="15" t="n"/>
      <c r="E43" s="15" t="n"/>
    </row>
    <row r="44">
      <c r="A44" s="15" t="n"/>
      <c r="B44" s="15" t="n"/>
      <c r="C44" s="15" t="n"/>
      <c r="D44" s="15" t="n"/>
      <c r="E44" s="15" t="n"/>
    </row>
    <row r="45">
      <c r="A45" s="15" t="n"/>
      <c r="B45" s="15" t="n"/>
      <c r="C45" s="15" t="n"/>
      <c r="D45" s="15" t="n"/>
      <c r="E45" s="15" t="n"/>
    </row>
    <row r="46">
      <c r="A46" s="15" t="n"/>
      <c r="B46" s="15" t="n"/>
      <c r="C46" s="15" t="n"/>
      <c r="D46" s="15" t="n"/>
      <c r="E46" s="15" t="n"/>
    </row>
    <row r="47">
      <c r="A47" s="15" t="n"/>
      <c r="B47" s="15" t="n"/>
      <c r="C47" s="15" t="n"/>
      <c r="D47" s="15" t="n"/>
      <c r="E47" s="15" t="n"/>
    </row>
    <row r="48">
      <c r="A48" s="15" t="n"/>
      <c r="B48" s="15" t="n"/>
      <c r="C48" s="15" t="n"/>
      <c r="D48" s="15" t="n"/>
      <c r="E48" s="15" t="n"/>
    </row>
    <row r="49">
      <c r="A49" s="15" t="n"/>
      <c r="B49" s="15" t="n"/>
      <c r="C49" s="15" t="n"/>
      <c r="D49" s="15" t="n"/>
      <c r="E49" s="15" t="n"/>
    </row>
    <row r="50">
      <c r="A50" s="15" t="n"/>
      <c r="B50" s="15" t="n"/>
      <c r="C50" s="15" t="n"/>
      <c r="D50" s="15" t="n"/>
      <c r="E50" s="15" t="n"/>
    </row>
    <row r="51">
      <c r="A51" s="15" t="n"/>
      <c r="B51" s="15" t="n"/>
      <c r="C51" s="15" t="n"/>
      <c r="D51" s="15" t="n"/>
      <c r="E51" s="15" t="n"/>
    </row>
    <row r="52">
      <c r="A52" s="15" t="n"/>
      <c r="B52" s="15" t="n"/>
      <c r="C52" s="15" t="n"/>
      <c r="D52" s="15" t="n"/>
      <c r="E52" s="15" t="n"/>
    </row>
    <row r="53">
      <c r="A53" s="15" t="n"/>
      <c r="B53" s="15" t="n"/>
      <c r="C53" s="15" t="n"/>
      <c r="D53" s="15" t="n"/>
      <c r="E53" s="15" t="n"/>
    </row>
    <row r="54">
      <c r="A54" s="15" t="n"/>
      <c r="B54" s="15" t="n"/>
      <c r="C54" s="15" t="n"/>
      <c r="D54" s="15" t="n"/>
      <c r="E54" s="15" t="n"/>
    </row>
    <row r="55">
      <c r="A55" s="15" t="n"/>
      <c r="B55" s="15" t="n"/>
      <c r="C55" s="15" t="n"/>
      <c r="D55" s="15" t="n"/>
      <c r="E55" s="15" t="n"/>
    </row>
  </sheetData>
  <mergeCells count="3">
    <mergeCell ref="A2:E2"/>
    <mergeCell ref="A1:E1"/>
    <mergeCell ref="A3:E3"/>
  </mergeCells>
  <dataValidations count="1">
    <dataValidation sqref="D6 D7 D8 D9 D10 D11 D12 D13 D14 D15 D16 D17 D18 D19 D20 D21 D22 D23 D24 D25 D26 D27 D28 D29 D30 D31 D32 D33 D34 D35 D36 D37 D38 D39 D40 D41 D42 D43 D44 D45 D46 D47 D48 D49 D50 D51 D52 D53 D54 D55" showDropDown="0" showInputMessage="0" showErrorMessage="1" allowBlank="1" type="list">
      <formula1>"Green,Yellow,Red"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cols>
    <col width="14" customWidth="1" min="1" max="1"/>
    <col width="18" customWidth="1" min="2" max="2"/>
    <col width="20" customWidth="1" min="3" max="3"/>
    <col width="14" customWidth="1" min="4" max="4"/>
    <col width="22" customWidth="1" min="5" max="5"/>
    <col width="14" customWidth="1" min="6" max="6"/>
    <col width="12" customWidth="1" min="7" max="7"/>
    <col width="30" customWidth="1" min="8" max="8"/>
  </cols>
  <sheetData>
    <row r="1" ht="35" customHeight="1">
      <c r="A1" s="11" t="inlineStr">
        <is>
          <t>ISMS-IMP-A.8.8.6  —  MONTHLY TRENDS</t>
        </is>
      </c>
    </row>
    <row r="2">
      <c r="A2" s="12" t="inlineStr">
        <is>
          <t>ISO/IEC 27001:2022 — Control A.8.8: Management of Technical Vulnerabilities</t>
        </is>
      </c>
    </row>
    <row r="3">
      <c r="A3" s="6" t="n"/>
    </row>
    <row r="4">
      <c r="A4" s="13" t="inlineStr">
        <is>
          <t>Month</t>
        </is>
      </c>
      <c r="B4" s="13" t="inlineStr">
        <is>
          <t>Total_Vulns_Open</t>
        </is>
      </c>
      <c r="C4" s="13" t="inlineStr">
        <is>
          <t>New_Vulns_Discovered</t>
        </is>
      </c>
      <c r="D4" s="13" t="inlineStr">
        <is>
          <t>Remediated</t>
        </is>
      </c>
      <c r="E4" s="13" t="inlineStr">
        <is>
          <t>Avg_Days_To_Remediate</t>
        </is>
      </c>
      <c r="F4" s="13" t="inlineStr">
        <is>
          <t>Trend_Status</t>
        </is>
      </c>
      <c r="G4" s="13" t="inlineStr">
        <is>
          <t>P0_P1_Open</t>
        </is>
      </c>
      <c r="H4" s="13" t="inlineStr">
        <is>
          <t>Notes</t>
        </is>
      </c>
    </row>
    <row r="5">
      <c r="A5" s="14" t="inlineStr">
        <is>
          <t>Jan</t>
        </is>
      </c>
      <c r="B5" s="14" t="inlineStr">
        <is>
          <t>145</t>
        </is>
      </c>
      <c r="C5" s="14" t="inlineStr">
        <is>
          <t>32</t>
        </is>
      </c>
      <c r="D5" s="14" t="inlineStr">
        <is>
          <t>28</t>
        </is>
      </c>
      <c r="E5" s="14" t="inlineStr">
        <is>
          <t>15.2</t>
        </is>
      </c>
      <c r="F5" s="14" t="inlineStr">
        <is>
          <t>Improving</t>
        </is>
      </c>
      <c r="G5" s="14" t="inlineStr">
        <is>
          <t>3</t>
        </is>
      </c>
      <c r="H5" s="14" t="inlineStr">
        <is>
          <t>End of quarter review</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sheetData>
  <mergeCells count="3">
    <mergeCell ref="A3:H3"/>
    <mergeCell ref="A2:H2"/>
    <mergeCell ref="A1:H1"/>
  </mergeCells>
  <dataValidations count="2">
    <dataValidation sqref="F6 F7 F8 F9 F10 F11 F12 F13 F14 F15 F16 F17 F18 F19 F20 F21 F22 F23 F24 F25 F26 F27 F28 F29 F30 F31 F32 F33 F34 F35 F36 F37 F38 F39 F40 F41 F42 F43 F44 F45 F46 F47 F48 F49 F50 F51 F52 F53 F54 F55" showDropDown="0" showInputMessage="0" showErrorMessage="1" allowBlank="1" type="list">
      <formula1>"Improving,Stable,Declining"</formula1>
    </dataValidation>
    <dataValidation sqref="A6 A7 A8 A9 A10 A11 A12 A13 A14 A15 A16 A17 A18 A19 A20 A21 A22 A23 A24 A25 A26 A27 A28 A29 A30 A31 A32 A33 A34 A35 A36 A37 A38 A39 A40 A41 A42 A43 A44 A45 A46 A47 A48 A49 A50 A51 A52 A53 A54 A55" showDropDown="0" showInputMessage="0" showErrorMessage="1" allowBlank="1" type="list">
      <formula1>"Jan,Feb,Mar,Apr,May,Jun,Jul,Aug,Sep,Oct,Nov,Dec"</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8"/>
  <sheetViews>
    <sheetView showGridLines="0" workbookViewId="0">
      <pane ySplit="2" topLeftCell="A3" activePane="bottomLeft" state="frozen"/>
      <selection pane="bottomLeft" activeCell="A1" sqref="A1"/>
    </sheetView>
  </sheetViews>
  <sheetFormatPr baseColWidth="8" defaultRowHeight="15"/>
  <cols>
    <col width="28" customWidth="1" min="1" max="1"/>
    <col width="45" customWidth="1" min="2" max="2"/>
    <col width="18" customWidth="1" min="3" max="3"/>
    <col width="14" customWidth="1" min="4" max="4"/>
    <col width="35" customWidth="1" min="5" max="5"/>
  </cols>
  <sheetData>
    <row r="1" ht="35" customHeight="1">
      <c r="A1" s="11" t="inlineStr">
        <is>
          <t>ISMS-IMP-A.8.8.6  —  EXECUTIVE DASHBOARD</t>
        </is>
      </c>
    </row>
    <row r="2">
      <c r="A2" s="12" t="inlineStr">
        <is>
          <t>ISO/IEC 27001:2022 — Control A.8.8: Management of Technical Vulnerabilities — Executive Summary</t>
        </is>
      </c>
    </row>
    <row r="4">
      <c r="A4" s="16" t="inlineStr">
        <is>
          <t>KEY PERFORMANCE INDICATORS — CURRENT STATUS</t>
        </is>
      </c>
    </row>
    <row r="5">
      <c r="A5" s="13" t="inlineStr">
        <is>
          <t>KPI Area</t>
        </is>
      </c>
      <c r="B5" s="13" t="inlineStr">
        <is>
          <t>Description</t>
        </is>
      </c>
      <c r="C5" s="13" t="inlineStr">
        <is>
          <t>Source Workbook</t>
        </is>
      </c>
      <c r="D5" s="13" t="inlineStr">
        <is>
          <t>Status</t>
        </is>
      </c>
      <c r="E5" s="13" t="inlineStr">
        <is>
          <t>Notes</t>
        </is>
      </c>
    </row>
    <row r="6">
      <c r="A6" s="15" t="inlineStr">
        <is>
          <t>Scanning Coverage</t>
        </is>
      </c>
      <c r="B6" s="15" t="inlineStr">
        <is>
          <t>% assets with active scanner coverage</t>
        </is>
      </c>
      <c r="C6" s="15" t="inlineStr">
        <is>
          <t>S1</t>
        </is>
      </c>
      <c r="D6" s="15" t="inlineStr"/>
      <c r="E6" s="15" t="inlineStr"/>
    </row>
    <row r="7">
      <c r="A7" s="15" t="inlineStr">
        <is>
          <t>Vulnerability Inventory</t>
        </is>
      </c>
      <c r="B7" s="15" t="inlineStr">
        <is>
          <t>Total open vulnerabilities by priority</t>
        </is>
      </c>
      <c r="C7" s="15" t="inlineStr">
        <is>
          <t>S2</t>
        </is>
      </c>
      <c r="D7" s="15" t="inlineStr"/>
      <c r="E7" s="15" t="inlineStr"/>
    </row>
    <row r="8">
      <c r="A8" s="15" t="inlineStr">
        <is>
          <t>Threat Intelligence</t>
        </is>
      </c>
      <c r="B8" s="15" t="inlineStr">
        <is>
          <t>Active exploitation &amp; KEV status</t>
        </is>
      </c>
      <c r="C8" s="15" t="inlineStr">
        <is>
          <t>S3</t>
        </is>
      </c>
      <c r="D8" s="15" t="inlineStr"/>
      <c r="E8" s="15" t="inlineStr"/>
    </row>
    <row r="9">
      <c r="A9" s="15" t="inlineStr">
        <is>
          <t>Remediation SLA</t>
        </is>
      </c>
      <c r="B9" s="15" t="inlineStr">
        <is>
          <t>SLA compliance by priority tier</t>
        </is>
      </c>
      <c r="C9" s="15" t="inlineStr">
        <is>
          <t>S4</t>
        </is>
      </c>
      <c r="D9" s="15" t="inlineStr"/>
      <c r="E9" s="15" t="inlineStr"/>
    </row>
    <row r="10">
      <c r="A10" s="15" t="inlineStr">
        <is>
          <t>Exception Management</t>
        </is>
      </c>
      <c r="B10" s="15" t="inlineStr">
        <is>
          <t>Open exceptions &amp; compensating controls</t>
        </is>
      </c>
      <c r="C10" s="15" t="inlineStr">
        <is>
          <t>S5</t>
        </is>
      </c>
      <c r="D10" s="15" t="inlineStr"/>
      <c r="E10" s="15" t="inlineStr"/>
    </row>
    <row r="11">
      <c r="A11" s="15" t="inlineStr">
        <is>
          <t>KPI Health</t>
        </is>
      </c>
      <c r="B11" s="15" t="inlineStr">
        <is>
          <t>Overall KPI green/yellow/red status</t>
        </is>
      </c>
      <c r="C11" s="15" t="inlineStr">
        <is>
          <t>S6</t>
        </is>
      </c>
      <c r="D11" s="15" t="inlineStr"/>
      <c r="E11" s="15" t="inlineStr"/>
    </row>
    <row r="13">
      <c r="A13" s="16" t="inlineStr">
        <is>
          <t>AUDIT READINESS SUMMARY</t>
        </is>
      </c>
    </row>
    <row r="14">
      <c r="A14" s="13" t="inlineStr">
        <is>
          <t>Audit Item</t>
        </is>
      </c>
      <c r="B14" s="13" t="inlineStr">
        <is>
          <t>Guidance</t>
        </is>
      </c>
      <c r="C14" s="13" t="inlineStr">
        <is>
          <t>Status</t>
        </is>
      </c>
    </row>
    <row r="15">
      <c r="A15" s="15" t="inlineStr">
        <is>
          <t>Audit-Critical KPIs in Green</t>
        </is>
      </c>
      <c r="B15" s="15" t="inlineStr">
        <is>
          <t>Review Metric Definitions — Audit_Relevance=Critical, Status=Green</t>
        </is>
      </c>
      <c r="C15" s="15" t="inlineStr"/>
    </row>
    <row r="16">
      <c r="A16" s="15" t="inlineStr">
        <is>
          <t>Audit-Critical KPIs in Red</t>
        </is>
      </c>
      <c r="B16" s="15" t="inlineStr">
        <is>
          <t>Immediate remediation required before audit</t>
        </is>
      </c>
      <c r="C16" s="15" t="inlineStr"/>
    </row>
    <row r="17">
      <c r="A17" s="15" t="inlineStr">
        <is>
          <t>Evidence Completeness</t>
        </is>
      </c>
      <c r="B17" s="15" t="inlineStr">
        <is>
          <t>All FFFFCC rows in Evidence Register populated</t>
        </is>
      </c>
      <c r="C17" s="15" t="inlineStr"/>
    </row>
    <row r="18">
      <c r="A18" s="15" t="inlineStr">
        <is>
          <t>Sign-Off Obtained</t>
        </is>
      </c>
      <c r="B18" s="15" t="inlineStr">
        <is>
          <t>Approval Sign-Off sheet fully completed</t>
        </is>
      </c>
      <c r="C18" s="15" t="inlineStr"/>
    </row>
  </sheetData>
  <mergeCells count="4">
    <mergeCell ref="A4:H4"/>
    <mergeCell ref="A13:H13"/>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5"/>
  <sheetViews>
    <sheetView showGridLines="0" workbookViewId="0">
      <pane ySplit="4" topLeftCell="A5" activePane="bottomLeft" state="frozen"/>
      <selection pane="bottomLeft" activeCell="A1" sqref="A1"/>
    </sheetView>
  </sheetViews>
  <sheetFormatPr baseColWidth="8" defaultRowHeight="15"/>
  <cols>
    <col width="14" customWidth="1" min="1" max="1"/>
    <col width="30" customWidth="1" min="2" max="2"/>
    <col width="20" customWidth="1" min="3" max="3"/>
    <col width="20" customWidth="1" min="4" max="4"/>
    <col width="18" customWidth="1" min="5" max="5"/>
    <col width="20" customWidth="1" min="6" max="6"/>
    <col width="30" customWidth="1" min="7" max="7"/>
  </cols>
  <sheetData>
    <row r="1" ht="35" customHeight="1">
      <c r="A1" s="11" t="inlineStr">
        <is>
          <t>ISMS-IMP-A.8.8.6  —  BENCHMARKS</t>
        </is>
      </c>
    </row>
    <row r="2">
      <c r="A2" s="12" t="inlineStr">
        <is>
          <t>ISO/IEC 27001:2022 — Control A.8.8: Management of Technical Vulnerabilities</t>
        </is>
      </c>
    </row>
    <row r="3">
      <c r="A3" s="6" t="n"/>
    </row>
    <row r="4">
      <c r="A4" s="13" t="inlineStr">
        <is>
          <t>Benchmark_ID</t>
        </is>
      </c>
      <c r="B4" s="13" t="inlineStr">
        <is>
          <t>Metric_Name</t>
        </is>
      </c>
      <c r="C4" s="13" t="inlineStr">
        <is>
          <t>Industry_Target</t>
        </is>
      </c>
      <c r="D4" s="13" t="inlineStr">
        <is>
          <t>Our_Current_Value</t>
        </is>
      </c>
      <c r="E4" s="13" t="inlineStr">
        <is>
          <t>Benchmark_Status</t>
        </is>
      </c>
      <c r="F4" s="13" t="inlineStr">
        <is>
          <t>Source</t>
        </is>
      </c>
      <c r="G4" s="13" t="inlineStr">
        <is>
          <t>Notes</t>
        </is>
      </c>
    </row>
    <row r="5">
      <c r="A5" s="14" t="inlineStr">
        <is>
          <t>BNK-001</t>
        </is>
      </c>
      <c r="B5" s="14" t="inlineStr">
        <is>
          <t>Mean Time to Remediate P1</t>
        </is>
      </c>
      <c r="C5" s="14" t="inlineStr">
        <is>
          <t>14 days</t>
        </is>
      </c>
      <c r="D5" s="14" t="inlineStr">
        <is>
          <t>12.5 days</t>
        </is>
      </c>
      <c r="E5" s="14" t="inlineStr">
        <is>
          <t>Exceeding</t>
        </is>
      </c>
      <c r="F5" s="14" t="inlineStr">
        <is>
          <t>SANS 2024</t>
        </is>
      </c>
      <c r="G5" s="14" t="inlineStr">
        <is>
          <t>Below industry target — good</t>
        </is>
      </c>
    </row>
    <row r="6">
      <c r="A6" s="15" t="n"/>
      <c r="B6" s="15" t="n"/>
      <c r="C6" s="15" t="n"/>
      <c r="D6" s="15" t="n"/>
      <c r="E6" s="15" t="n"/>
      <c r="F6" s="15" t="n"/>
      <c r="G6" s="15" t="n"/>
    </row>
    <row r="7">
      <c r="A7" s="15" t="n"/>
      <c r="B7" s="15" t="n"/>
      <c r="C7" s="15" t="n"/>
      <c r="D7" s="15" t="n"/>
      <c r="E7" s="15" t="n"/>
      <c r="F7" s="15" t="n"/>
      <c r="G7" s="15" t="n"/>
    </row>
    <row r="8">
      <c r="A8" s="15" t="n"/>
      <c r="B8" s="15" t="n"/>
      <c r="C8" s="15" t="n"/>
      <c r="D8" s="15" t="n"/>
      <c r="E8" s="15" t="n"/>
      <c r="F8" s="15" t="n"/>
      <c r="G8" s="15" t="n"/>
    </row>
    <row r="9">
      <c r="A9" s="15" t="n"/>
      <c r="B9" s="15" t="n"/>
      <c r="C9" s="15" t="n"/>
      <c r="D9" s="15" t="n"/>
      <c r="E9" s="15" t="n"/>
      <c r="F9" s="15" t="n"/>
      <c r="G9" s="15" t="n"/>
    </row>
    <row r="10">
      <c r="A10" s="15" t="n"/>
      <c r="B10" s="15" t="n"/>
      <c r="C10" s="15" t="n"/>
      <c r="D10" s="15" t="n"/>
      <c r="E10" s="15" t="n"/>
      <c r="F10" s="15" t="n"/>
      <c r="G10" s="15" t="n"/>
    </row>
    <row r="11">
      <c r="A11" s="15" t="n"/>
      <c r="B11" s="15" t="n"/>
      <c r="C11" s="15" t="n"/>
      <c r="D11" s="15" t="n"/>
      <c r="E11" s="15" t="n"/>
      <c r="F11" s="15" t="n"/>
      <c r="G11" s="15" t="n"/>
    </row>
    <row r="12">
      <c r="A12" s="15" t="n"/>
      <c r="B12" s="15" t="n"/>
      <c r="C12" s="15" t="n"/>
      <c r="D12" s="15" t="n"/>
      <c r="E12" s="15" t="n"/>
      <c r="F12" s="15" t="n"/>
      <c r="G12" s="15" t="n"/>
    </row>
    <row r="13">
      <c r="A13" s="15" t="n"/>
      <c r="B13" s="15" t="n"/>
      <c r="C13" s="15" t="n"/>
      <c r="D13" s="15" t="n"/>
      <c r="E13" s="15" t="n"/>
      <c r="F13" s="15" t="n"/>
      <c r="G13" s="15" t="n"/>
    </row>
    <row r="14">
      <c r="A14" s="15" t="n"/>
      <c r="B14" s="15" t="n"/>
      <c r="C14" s="15" t="n"/>
      <c r="D14" s="15" t="n"/>
      <c r="E14" s="15" t="n"/>
      <c r="F14" s="15" t="n"/>
      <c r="G14" s="15" t="n"/>
    </row>
    <row r="15">
      <c r="A15" s="15" t="n"/>
      <c r="B15" s="15" t="n"/>
      <c r="C15" s="15" t="n"/>
      <c r="D15" s="15" t="n"/>
      <c r="E15" s="15" t="n"/>
      <c r="F15" s="15" t="n"/>
      <c r="G15" s="15" t="n"/>
    </row>
    <row r="16">
      <c r="A16" s="15" t="n"/>
      <c r="B16" s="15" t="n"/>
      <c r="C16" s="15" t="n"/>
      <c r="D16" s="15" t="n"/>
      <c r="E16" s="15" t="n"/>
      <c r="F16" s="15" t="n"/>
      <c r="G16" s="15" t="n"/>
    </row>
    <row r="17">
      <c r="A17" s="15" t="n"/>
      <c r="B17" s="15" t="n"/>
      <c r="C17" s="15" t="n"/>
      <c r="D17" s="15" t="n"/>
      <c r="E17" s="15" t="n"/>
      <c r="F17" s="15" t="n"/>
      <c r="G17" s="15" t="n"/>
    </row>
    <row r="18">
      <c r="A18" s="15" t="n"/>
      <c r="B18" s="15" t="n"/>
      <c r="C18" s="15" t="n"/>
      <c r="D18" s="15" t="n"/>
      <c r="E18" s="15" t="n"/>
      <c r="F18" s="15" t="n"/>
      <c r="G18" s="15" t="n"/>
    </row>
    <row r="19">
      <c r="A19" s="15" t="n"/>
      <c r="B19" s="15" t="n"/>
      <c r="C19" s="15" t="n"/>
      <c r="D19" s="15" t="n"/>
      <c r="E19" s="15" t="n"/>
      <c r="F19" s="15" t="n"/>
      <c r="G19" s="15" t="n"/>
    </row>
    <row r="20">
      <c r="A20" s="15" t="n"/>
      <c r="B20" s="15" t="n"/>
      <c r="C20" s="15" t="n"/>
      <c r="D20" s="15" t="n"/>
      <c r="E20" s="15" t="n"/>
      <c r="F20" s="15" t="n"/>
      <c r="G20" s="15" t="n"/>
    </row>
    <row r="21">
      <c r="A21" s="15" t="n"/>
      <c r="B21" s="15" t="n"/>
      <c r="C21" s="15" t="n"/>
      <c r="D21" s="15" t="n"/>
      <c r="E21" s="15" t="n"/>
      <c r="F21" s="15" t="n"/>
      <c r="G21" s="15" t="n"/>
    </row>
    <row r="22">
      <c r="A22" s="15" t="n"/>
      <c r="B22" s="15" t="n"/>
      <c r="C22" s="15" t="n"/>
      <c r="D22" s="15" t="n"/>
      <c r="E22" s="15" t="n"/>
      <c r="F22" s="15" t="n"/>
      <c r="G22" s="15" t="n"/>
    </row>
    <row r="23">
      <c r="A23" s="15" t="n"/>
      <c r="B23" s="15" t="n"/>
      <c r="C23" s="15" t="n"/>
      <c r="D23" s="15" t="n"/>
      <c r="E23" s="15" t="n"/>
      <c r="F23" s="15" t="n"/>
      <c r="G23" s="15" t="n"/>
    </row>
    <row r="24">
      <c r="A24" s="15" t="n"/>
      <c r="B24" s="15" t="n"/>
      <c r="C24" s="15" t="n"/>
      <c r="D24" s="15" t="n"/>
      <c r="E24" s="15" t="n"/>
      <c r="F24" s="15" t="n"/>
      <c r="G24" s="15" t="n"/>
    </row>
    <row r="25">
      <c r="A25" s="15" t="n"/>
      <c r="B25" s="15" t="n"/>
      <c r="C25" s="15" t="n"/>
      <c r="D25" s="15" t="n"/>
      <c r="E25" s="15" t="n"/>
      <c r="F25" s="15" t="n"/>
      <c r="G25" s="15" t="n"/>
    </row>
    <row r="26">
      <c r="A26" s="15" t="n"/>
      <c r="B26" s="15" t="n"/>
      <c r="C26" s="15" t="n"/>
      <c r="D26" s="15" t="n"/>
      <c r="E26" s="15" t="n"/>
      <c r="F26" s="15" t="n"/>
      <c r="G26" s="15" t="n"/>
    </row>
    <row r="27">
      <c r="A27" s="15" t="n"/>
      <c r="B27" s="15" t="n"/>
      <c r="C27" s="15" t="n"/>
      <c r="D27" s="15" t="n"/>
      <c r="E27" s="15" t="n"/>
      <c r="F27" s="15" t="n"/>
      <c r="G27" s="15" t="n"/>
    </row>
    <row r="28">
      <c r="A28" s="15" t="n"/>
      <c r="B28" s="15" t="n"/>
      <c r="C28" s="15" t="n"/>
      <c r="D28" s="15" t="n"/>
      <c r="E28" s="15" t="n"/>
      <c r="F28" s="15" t="n"/>
      <c r="G28" s="15" t="n"/>
    </row>
    <row r="29">
      <c r="A29" s="15" t="n"/>
      <c r="B29" s="15" t="n"/>
      <c r="C29" s="15" t="n"/>
      <c r="D29" s="15" t="n"/>
      <c r="E29" s="15" t="n"/>
      <c r="F29" s="15" t="n"/>
      <c r="G29" s="15" t="n"/>
    </row>
    <row r="30">
      <c r="A30" s="15" t="n"/>
      <c r="B30" s="15" t="n"/>
      <c r="C30" s="15" t="n"/>
      <c r="D30" s="15" t="n"/>
      <c r="E30" s="15" t="n"/>
      <c r="F30" s="15" t="n"/>
      <c r="G30" s="15" t="n"/>
    </row>
    <row r="31">
      <c r="A31" s="15" t="n"/>
      <c r="B31" s="15" t="n"/>
      <c r="C31" s="15" t="n"/>
      <c r="D31" s="15" t="n"/>
      <c r="E31" s="15" t="n"/>
      <c r="F31" s="15" t="n"/>
      <c r="G31" s="15" t="n"/>
    </row>
    <row r="32">
      <c r="A32" s="15" t="n"/>
      <c r="B32" s="15" t="n"/>
      <c r="C32" s="15" t="n"/>
      <c r="D32" s="15" t="n"/>
      <c r="E32" s="15" t="n"/>
      <c r="F32" s="15" t="n"/>
      <c r="G32" s="15" t="n"/>
    </row>
    <row r="33">
      <c r="A33" s="15" t="n"/>
      <c r="B33" s="15" t="n"/>
      <c r="C33" s="15" t="n"/>
      <c r="D33" s="15" t="n"/>
      <c r="E33" s="15" t="n"/>
      <c r="F33" s="15" t="n"/>
      <c r="G33" s="15" t="n"/>
    </row>
    <row r="34">
      <c r="A34" s="15" t="n"/>
      <c r="B34" s="15" t="n"/>
      <c r="C34" s="15" t="n"/>
      <c r="D34" s="15" t="n"/>
      <c r="E34" s="15" t="n"/>
      <c r="F34" s="15" t="n"/>
      <c r="G34" s="15" t="n"/>
    </row>
    <row r="35">
      <c r="A35" s="15" t="n"/>
      <c r="B35" s="15" t="n"/>
      <c r="C35" s="15" t="n"/>
      <c r="D35" s="15" t="n"/>
      <c r="E35" s="15" t="n"/>
      <c r="F35" s="15" t="n"/>
      <c r="G35" s="15" t="n"/>
    </row>
    <row r="36">
      <c r="A36" s="15" t="n"/>
      <c r="B36" s="15" t="n"/>
      <c r="C36" s="15" t="n"/>
      <c r="D36" s="15" t="n"/>
      <c r="E36" s="15" t="n"/>
      <c r="F36" s="15" t="n"/>
      <c r="G36" s="15" t="n"/>
    </row>
    <row r="37">
      <c r="A37" s="15" t="n"/>
      <c r="B37" s="15" t="n"/>
      <c r="C37" s="15" t="n"/>
      <c r="D37" s="15" t="n"/>
      <c r="E37" s="15" t="n"/>
      <c r="F37" s="15" t="n"/>
      <c r="G37" s="15" t="n"/>
    </row>
    <row r="38">
      <c r="A38" s="15" t="n"/>
      <c r="B38" s="15" t="n"/>
      <c r="C38" s="15" t="n"/>
      <c r="D38" s="15" t="n"/>
      <c r="E38" s="15" t="n"/>
      <c r="F38" s="15" t="n"/>
      <c r="G38" s="15" t="n"/>
    </row>
    <row r="39">
      <c r="A39" s="15" t="n"/>
      <c r="B39" s="15" t="n"/>
      <c r="C39" s="15" t="n"/>
      <c r="D39" s="15" t="n"/>
      <c r="E39" s="15" t="n"/>
      <c r="F39" s="15" t="n"/>
      <c r="G39" s="15" t="n"/>
    </row>
    <row r="40">
      <c r="A40" s="15" t="n"/>
      <c r="B40" s="15" t="n"/>
      <c r="C40" s="15" t="n"/>
      <c r="D40" s="15" t="n"/>
      <c r="E40" s="15" t="n"/>
      <c r="F40" s="15" t="n"/>
      <c r="G40" s="15" t="n"/>
    </row>
    <row r="41">
      <c r="A41" s="15" t="n"/>
      <c r="B41" s="15" t="n"/>
      <c r="C41" s="15" t="n"/>
      <c r="D41" s="15" t="n"/>
      <c r="E41" s="15" t="n"/>
      <c r="F41" s="15" t="n"/>
      <c r="G41" s="15" t="n"/>
    </row>
    <row r="42">
      <c r="A42" s="15" t="n"/>
      <c r="B42" s="15" t="n"/>
      <c r="C42" s="15" t="n"/>
      <c r="D42" s="15" t="n"/>
      <c r="E42" s="15" t="n"/>
      <c r="F42" s="15" t="n"/>
      <c r="G42" s="15" t="n"/>
    </row>
    <row r="43">
      <c r="A43" s="15" t="n"/>
      <c r="B43" s="15" t="n"/>
      <c r="C43" s="15" t="n"/>
      <c r="D43" s="15" t="n"/>
      <c r="E43" s="15" t="n"/>
      <c r="F43" s="15" t="n"/>
      <c r="G43" s="15" t="n"/>
    </row>
    <row r="44">
      <c r="A44" s="15" t="n"/>
      <c r="B44" s="15" t="n"/>
      <c r="C44" s="15" t="n"/>
      <c r="D44" s="15" t="n"/>
      <c r="E44" s="15" t="n"/>
      <c r="F44" s="15" t="n"/>
      <c r="G44" s="15" t="n"/>
    </row>
    <row r="45">
      <c r="A45" s="15" t="n"/>
      <c r="B45" s="15" t="n"/>
      <c r="C45" s="15" t="n"/>
      <c r="D45" s="15" t="n"/>
      <c r="E45" s="15" t="n"/>
      <c r="F45" s="15" t="n"/>
      <c r="G45" s="15" t="n"/>
    </row>
    <row r="46">
      <c r="A46" s="15" t="n"/>
      <c r="B46" s="15" t="n"/>
      <c r="C46" s="15" t="n"/>
      <c r="D46" s="15" t="n"/>
      <c r="E46" s="15" t="n"/>
      <c r="F46" s="15" t="n"/>
      <c r="G46" s="15" t="n"/>
    </row>
    <row r="47">
      <c r="A47" s="15" t="n"/>
      <c r="B47" s="15" t="n"/>
      <c r="C47" s="15" t="n"/>
      <c r="D47" s="15" t="n"/>
      <c r="E47" s="15" t="n"/>
      <c r="F47" s="15" t="n"/>
      <c r="G47" s="15" t="n"/>
    </row>
    <row r="48">
      <c r="A48" s="15" t="n"/>
      <c r="B48" s="15" t="n"/>
      <c r="C48" s="15" t="n"/>
      <c r="D48" s="15" t="n"/>
      <c r="E48" s="15" t="n"/>
      <c r="F48" s="15" t="n"/>
      <c r="G48" s="15" t="n"/>
    </row>
    <row r="49">
      <c r="A49" s="15" t="n"/>
      <c r="B49" s="15" t="n"/>
      <c r="C49" s="15" t="n"/>
      <c r="D49" s="15" t="n"/>
      <c r="E49" s="15" t="n"/>
      <c r="F49" s="15" t="n"/>
      <c r="G49" s="15" t="n"/>
    </row>
    <row r="50">
      <c r="A50" s="15" t="n"/>
      <c r="B50" s="15" t="n"/>
      <c r="C50" s="15" t="n"/>
      <c r="D50" s="15" t="n"/>
      <c r="E50" s="15" t="n"/>
      <c r="F50" s="15" t="n"/>
      <c r="G50" s="15" t="n"/>
    </row>
    <row r="51">
      <c r="A51" s="15" t="n"/>
      <c r="B51" s="15" t="n"/>
      <c r="C51" s="15" t="n"/>
      <c r="D51" s="15" t="n"/>
      <c r="E51" s="15" t="n"/>
      <c r="F51" s="15" t="n"/>
      <c r="G51" s="15" t="n"/>
    </row>
    <row r="52">
      <c r="A52" s="15" t="n"/>
      <c r="B52" s="15" t="n"/>
      <c r="C52" s="15" t="n"/>
      <c r="D52" s="15" t="n"/>
      <c r="E52" s="15" t="n"/>
      <c r="F52" s="15" t="n"/>
      <c r="G52" s="15" t="n"/>
    </row>
    <row r="53">
      <c r="A53" s="15" t="n"/>
      <c r="B53" s="15" t="n"/>
      <c r="C53" s="15" t="n"/>
      <c r="D53" s="15" t="n"/>
      <c r="E53" s="15" t="n"/>
      <c r="F53" s="15" t="n"/>
      <c r="G53" s="15" t="n"/>
    </row>
    <row r="54">
      <c r="A54" s="15" t="n"/>
      <c r="B54" s="15" t="n"/>
      <c r="C54" s="15" t="n"/>
      <c r="D54" s="15" t="n"/>
      <c r="E54" s="15" t="n"/>
      <c r="F54" s="15" t="n"/>
      <c r="G54" s="15" t="n"/>
    </row>
    <row r="55">
      <c r="A55" s="15" t="n"/>
      <c r="B55" s="15" t="n"/>
      <c r="C55" s="15" t="n"/>
      <c r="D55" s="15" t="n"/>
      <c r="E55" s="15" t="n"/>
      <c r="F55" s="15" t="n"/>
      <c r="G55" s="15" t="n"/>
    </row>
  </sheetData>
  <mergeCells count="3">
    <mergeCell ref="A3:G3"/>
    <mergeCell ref="A2:G2"/>
    <mergeCell ref="A1:G1"/>
  </mergeCells>
  <dataValidations count="1">
    <dataValidation sqref="E6 E7 E8 E9 E10 E11 E12 E13 E14 E15 E16 E17 E18 E19 E20 E21 E22 E23 E24 E25 E26 E27 E28 E29 E30 E31 E32 E33 E34 E35 E36 E37 E38 E39 E40 E41 E42 E43 E44 E45 E46 E47 E48 E49 E50 E51 E52 E53 E54 E55" showDropDown="0" showInputMessage="0" showErrorMessage="1" allowBlank="1" type="list">
      <formula1>"Exceeding,Meeting,Below,N/A"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32" customWidth="1" min="2" max="2"/>
    <col width="22" customWidth="1" min="3" max="3"/>
    <col width="20" customWidth="1" min="4" max="4"/>
    <col width="16" customWidth="1" min="5" max="5"/>
    <col width="18" customWidth="1" min="6" max="6"/>
    <col width="40" customWidth="1" min="7" max="7"/>
    <col width="30" customWidth="1" min="8" max="8"/>
  </cols>
  <sheetData>
    <row r="1" ht="35" customHeight="1">
      <c r="A1" s="11" t="inlineStr">
        <is>
          <t>EVIDENCE REGISTER</t>
        </is>
      </c>
    </row>
    <row r="2">
      <c r="A2" s="12" t="inlineStr">
        <is>
          <t>ISO/IEC 27001:2022 — Control A.8.8: Management of Technical Vulnerabilities — Evidence Collection</t>
        </is>
      </c>
    </row>
    <row r="3">
      <c r="A3" s="6" t="n"/>
    </row>
    <row r="4">
      <c r="A4" s="17" t="inlineStr">
        <is>
          <t>Evidence_ID</t>
        </is>
      </c>
      <c r="B4" s="17" t="inlineStr">
        <is>
          <t>Evidence_Title</t>
        </is>
      </c>
      <c r="C4" s="17" t="inlineStr">
        <is>
          <t>Evidence_Type</t>
        </is>
      </c>
      <c r="D4" s="17" t="inlineStr">
        <is>
          <t>Source_Sheet</t>
        </is>
      </c>
      <c r="E4" s="17" t="inlineStr">
        <is>
          <t>Date_Collected</t>
        </is>
      </c>
      <c r="F4" s="17" t="inlineStr">
        <is>
          <t>Collected_By</t>
        </is>
      </c>
      <c r="G4" s="17" t="inlineStr">
        <is>
          <t>File_Path_or_Reference</t>
        </is>
      </c>
      <c r="H4" s="17" t="inlineStr">
        <is>
          <t>Notes</t>
        </is>
      </c>
    </row>
    <row r="5">
      <c r="A5" s="14" t="inlineStr">
        <is>
          <t>EV-001</t>
        </is>
      </c>
      <c r="B5" s="14" t="inlineStr">
        <is>
          <t>KPI Status Report</t>
        </is>
      </c>
      <c r="C5" s="14" t="inlineStr">
        <is>
          <t>Report</t>
        </is>
      </c>
      <c r="D5" s="14" t="inlineStr">
        <is>
          <t>Metric Definitions</t>
        </is>
      </c>
      <c r="E5" s="14" t="inlineStr">
        <is>
          <t>2026-02-01</t>
        </is>
      </c>
      <c r="F5" s="14" t="inlineStr">
        <is>
          <t>CISO</t>
        </is>
      </c>
      <c r="G5" s="14" t="inlineStr">
        <is>
          <t>/evidence/a.8.8/kpi-report-202602.pdf</t>
        </is>
      </c>
      <c r="H5" s="14" t="inlineStr">
        <is>
          <t>Monthly KPI report</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3">
    <mergeCell ref="A3:H3"/>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1"/>
  <sheetViews>
    <sheetView showGridLines="0" workbookViewId="0">
      <pane ySplit="3" topLeftCell="A4" activePane="bottomLeft" state="frozen"/>
      <selection pane="bottomLeft" activeCell="A1" sqref="A1"/>
    </sheetView>
  </sheetViews>
  <sheetFormatPr baseColWidth="8" defaultRowHeight="15"/>
  <cols>
    <col width="30" customWidth="1" min="1" max="1"/>
    <col width="52" customWidth="1" min="2" max="2"/>
    <col width="12" customWidth="1" min="3" max="3"/>
    <col width="14" customWidth="1" min="4" max="4"/>
    <col width="16" customWidth="1" min="5" max="5"/>
    <col width="10" customWidth="1" min="6" max="6"/>
    <col width="12" customWidth="1" min="7" max="7"/>
  </cols>
  <sheetData>
    <row r="1" ht="35" customHeight="1">
      <c r="A1" s="18" t="inlineStr">
        <is>
          <t>METRICS &amp; KPIS DASHBOARD — SUMMARY DASHBOARD</t>
        </is>
      </c>
      <c r="B1" s="6" t="n"/>
      <c r="C1" s="6" t="n"/>
      <c r="D1" s="6" t="n"/>
      <c r="E1" s="6" t="n"/>
      <c r="F1" s="6" t="n"/>
      <c r="G1" s="6" t="n"/>
    </row>
    <row r="2">
      <c r="A2" s="19" t="inlineStr">
        <is>
          <t>ISO/IEC 27001:2022 — Control A.8.8: Management of Technical Vulnerabilities</t>
        </is>
      </c>
    </row>
    <row r="4">
      <c r="A4" s="20" t="inlineStr">
        <is>
          <t>TABLE 1: ASSESSMENT AREA COMPLIANCE OVERVIEW</t>
        </is>
      </c>
    </row>
    <row r="5">
      <c r="A5" s="21" t="inlineStr">
        <is>
          <t>Assessment Area</t>
        </is>
      </c>
      <c r="B5" s="21" t="inlineStr">
        <is>
          <t>Total Items</t>
        </is>
      </c>
      <c r="C5" s="21" t="inlineStr">
        <is>
          <t>Compliant</t>
        </is>
      </c>
      <c r="D5" s="21" t="inlineStr">
        <is>
          <t>Partial / Warning</t>
        </is>
      </c>
      <c r="E5" s="21" t="inlineStr">
        <is>
          <t>Non-Compliant</t>
        </is>
      </c>
      <c r="F5" s="21" t="inlineStr">
        <is>
          <t>N/A</t>
        </is>
      </c>
      <c r="G5" s="21" t="inlineStr">
        <is>
          <t>Compliance %</t>
        </is>
      </c>
    </row>
    <row r="6">
      <c r="A6" s="22" t="inlineStr">
        <is>
          <t>Metric Definitions</t>
        </is>
      </c>
      <c r="B6" s="23">
        <f>COUNTA('Metric Definitions'!A6:A85)</f>
        <v/>
      </c>
      <c r="C6" s="23">
        <f>COUNTIF('Metric Definitions'!Q6:Q85,"Green")</f>
        <v/>
      </c>
      <c r="D6" s="23">
        <f>COUNTIF('Metric Definitions'!Q6:Q85,"Yellow")</f>
        <v/>
      </c>
      <c r="E6" s="23">
        <f>COUNTIF('Metric Definitions'!Q6:Q85,"Red")</f>
        <v/>
      </c>
      <c r="F6" s="23">
        <f>COUNTIF('Metric Definitions'!Q6:Q85,"N/A")</f>
        <v/>
      </c>
      <c r="G6" s="24">
        <f>IF((B6-F6)=0,0,C6/(B6-F6))</f>
        <v/>
      </c>
    </row>
    <row r="7">
      <c r="A7" s="22" t="inlineStr">
        <is>
          <t>SLA Performance</t>
        </is>
      </c>
      <c r="B7" s="23">
        <f>COUNTA('SLA Performance'!A6:A55)</f>
        <v/>
      </c>
      <c r="C7" s="23">
        <f>COUNTIF('SLA Performance'!D6:D55,"Met")</f>
        <v/>
      </c>
      <c r="D7" s="23" t="inlineStr">
        <is>
          <t>0</t>
        </is>
      </c>
      <c r="E7" s="23">
        <f>COUNTIF('SLA Performance'!D6:D55,"Violated")</f>
        <v/>
      </c>
      <c r="F7" s="23">
        <f>COUNTIF('SLA Performance'!D6:D55,"N/A")</f>
        <v/>
      </c>
      <c r="G7" s="24">
        <f>IF((B7-F7)=0,0,C7/(B7-F7))</f>
        <v/>
      </c>
    </row>
    <row r="8">
      <c r="A8" s="22" t="inlineStr">
        <is>
          <t>Risk Metrics</t>
        </is>
      </c>
      <c r="B8" s="23">
        <f>COUNTA('Risk Metrics'!A6:A55)</f>
        <v/>
      </c>
      <c r="C8" s="23">
        <f>COUNTIF('Risk Metrics'!D6:D55,"Green")</f>
        <v/>
      </c>
      <c r="D8" s="23">
        <f>COUNTIF('Risk Metrics'!D6:D55,"Yellow")</f>
        <v/>
      </c>
      <c r="E8" s="23">
        <f>COUNTIF('Risk Metrics'!D6:D55,"Red")</f>
        <v/>
      </c>
      <c r="F8" s="23" t="inlineStr">
        <is>
          <t>0</t>
        </is>
      </c>
      <c r="G8" s="24">
        <f>IF((B8-F8)=0,0,C8/(B8-F8))</f>
        <v/>
      </c>
    </row>
    <row r="9">
      <c r="A9" s="22" t="inlineStr">
        <is>
          <t>Monthly Trends</t>
        </is>
      </c>
      <c r="B9" s="23">
        <f>COUNTA('Monthly Trends'!A6:A55)</f>
        <v/>
      </c>
      <c r="C9" s="23">
        <f>COUNTIF('Monthly Trends'!F6:F55,"Improving")</f>
        <v/>
      </c>
      <c r="D9" s="23">
        <f>COUNTIF('Monthly Trends'!F6:F55,"Stable")</f>
        <v/>
      </c>
      <c r="E9" s="23">
        <f>COUNTIF('Monthly Trends'!F6:F55,"Declining")</f>
        <v/>
      </c>
      <c r="F9" s="23" t="inlineStr">
        <is>
          <t>0</t>
        </is>
      </c>
      <c r="G9" s="24">
        <f>IF((B9-F9)=0,0,C9/(B9-F9))</f>
        <v/>
      </c>
    </row>
    <row r="10">
      <c r="A10" s="22" t="inlineStr">
        <is>
          <t>Executive Dashboard</t>
        </is>
      </c>
      <c r="B10" s="23">
        <f>IF(COUNTA('Executive Dashboard'!A1:H1)&gt;0,1,0)</f>
        <v/>
      </c>
      <c r="C10" s="23">
        <f>B10</f>
        <v/>
      </c>
      <c r="D10" s="23" t="inlineStr">
        <is>
          <t>0</t>
        </is>
      </c>
      <c r="E10" s="23">
        <f>1-B10</f>
        <v/>
      </c>
      <c r="F10" s="23" t="inlineStr">
        <is>
          <t>0</t>
        </is>
      </c>
      <c r="G10" s="24">
        <f>IF((B10-F10)=0,0,C10/(B10-F10))</f>
        <v/>
      </c>
    </row>
    <row r="11">
      <c r="A11" s="25" t="inlineStr">
        <is>
          <t>TOTAL</t>
        </is>
      </c>
      <c r="B11" s="26">
        <f>SUM(B6:B10)</f>
        <v/>
      </c>
      <c r="C11" s="26">
        <f>SUM(C6:C10)</f>
        <v/>
      </c>
      <c r="D11" s="26">
        <f>SUM(D6:D10)</f>
        <v/>
      </c>
      <c r="E11" s="26">
        <f>SUM(E6:E10)</f>
        <v/>
      </c>
      <c r="F11" s="26">
        <f>SUM(F6:F10)</f>
        <v/>
      </c>
      <c r="G11" s="27">
        <f>IF((B11-F11)=0,0,C11/(B11-F11))</f>
        <v/>
      </c>
    </row>
    <row r="13">
      <c r="A13" s="20" t="inlineStr">
        <is>
          <t>TABLE 2: KEY METRICS</t>
        </is>
      </c>
    </row>
    <row r="14">
      <c r="A14" s="25" t="inlineStr">
        <is>
          <t>Metric</t>
        </is>
      </c>
      <c r="B14" s="26" t="inlineStr">
        <is>
          <t>Value</t>
        </is>
      </c>
      <c r="C14" s="26" t="inlineStr"/>
      <c r="D14" s="26" t="inlineStr"/>
      <c r="E14" s="26" t="inlineStr"/>
      <c r="F14" s="26" t="inlineStr"/>
      <c r="G14" s="26" t="inlineStr"/>
    </row>
    <row r="15">
      <c r="A15" s="25" t="inlineStr">
        <is>
          <t>KPI Status Overview</t>
        </is>
      </c>
    </row>
    <row r="16">
      <c r="A16" s="22" t="inlineStr">
        <is>
          <t>Total KPIs Defined</t>
        </is>
      </c>
      <c r="B16" s="23">
        <f>COUNTA('Metric Definitions'!A6:A85)</f>
        <v/>
      </c>
      <c r="C16" s="28" t="n"/>
      <c r="D16" s="28" t="n"/>
      <c r="E16" s="28" t="n"/>
      <c r="F16" s="28" t="n"/>
      <c r="G16" s="28" t="n"/>
    </row>
    <row r="17">
      <c r="A17" s="22" t="inlineStr">
        <is>
          <t>KPIs in Green (On Target)</t>
        </is>
      </c>
      <c r="B17" s="23">
        <f>COUNTIF('Metric Definitions'!Q6:Q85,"Green")</f>
        <v/>
      </c>
      <c r="C17" s="28" t="n"/>
      <c r="D17" s="28" t="n"/>
      <c r="E17" s="28" t="n"/>
      <c r="F17" s="28" t="n"/>
      <c r="G17" s="28" t="n"/>
    </row>
    <row r="18">
      <c r="A18" s="22" t="inlineStr">
        <is>
          <t>KPIs in Yellow (Warning)</t>
        </is>
      </c>
      <c r="B18" s="23">
        <f>COUNTIF('Metric Definitions'!Q6:Q85,"Yellow")</f>
        <v/>
      </c>
      <c r="C18" s="28" t="n"/>
      <c r="D18" s="28" t="n"/>
      <c r="E18" s="28" t="n"/>
      <c r="F18" s="28" t="n"/>
      <c r="G18" s="28" t="n"/>
    </row>
    <row r="19">
      <c r="A19" s="22" t="inlineStr">
        <is>
          <t>KPIs in Red (Critical)</t>
        </is>
      </c>
      <c r="B19" s="23">
        <f>COUNTIF('Metric Definitions'!Q6:Q85,"Red")</f>
        <v/>
      </c>
      <c r="C19" s="28" t="n"/>
      <c r="D19" s="28" t="n"/>
      <c r="E19" s="28" t="n"/>
      <c r="F19" s="28" t="n"/>
      <c r="G19" s="28" t="n"/>
    </row>
    <row r="20">
      <c r="A20" s="25" t="inlineStr">
        <is>
          <t>Audit Readiness</t>
        </is>
      </c>
    </row>
    <row r="21">
      <c r="A21" s="22" t="inlineStr">
        <is>
          <t>Audit-Critical KPIs in Green</t>
        </is>
      </c>
      <c r="B21" s="23">
        <f>COUNTIFS('Metric Definitions'!O6:O85,"Critical",'Metric Definitions'!Q6:Q85,"Green")</f>
        <v/>
      </c>
      <c r="C21" s="28" t="n"/>
      <c r="D21" s="28" t="n"/>
      <c r="E21" s="28" t="n"/>
      <c r="F21" s="28" t="n"/>
      <c r="G21" s="28" t="n"/>
    </row>
    <row r="22">
      <c r="A22" s="22" t="inlineStr">
        <is>
          <t>Audit-Critical KPIs in Red</t>
        </is>
      </c>
      <c r="B22" s="23">
        <f>COUNTIFS('Metric Definitions'!O6:O85,"Critical",'Metric Definitions'!Q6:Q85,"Red")</f>
        <v/>
      </c>
      <c r="C22" s="28" t="n"/>
      <c r="D22" s="28" t="n"/>
      <c r="E22" s="28" t="n"/>
      <c r="F22" s="28" t="n"/>
      <c r="G22" s="28" t="n"/>
    </row>
    <row r="23">
      <c r="A23" s="25" t="inlineStr">
        <is>
          <t>SLA &amp; Risk Metrics</t>
        </is>
      </c>
    </row>
    <row r="24">
      <c r="A24" s="22" t="inlineStr">
        <is>
          <t>SLA Metrics — Met</t>
        </is>
      </c>
      <c r="B24" s="23">
        <f>COUNTIF('SLA Performance'!D6:D55,"Met")</f>
        <v/>
      </c>
      <c r="C24" s="28" t="n"/>
      <c r="D24" s="28" t="n"/>
      <c r="E24" s="28" t="n"/>
      <c r="F24" s="28" t="n"/>
      <c r="G24" s="28" t="n"/>
    </row>
    <row r="25">
      <c r="A25" s="22" t="inlineStr">
        <is>
          <t>SLA Metrics — Violated</t>
        </is>
      </c>
      <c r="B25" s="23">
        <f>COUNTIF('SLA Performance'!D6:D55,"Violated")</f>
        <v/>
      </c>
      <c r="C25" s="28" t="n"/>
      <c r="D25" s="28" t="n"/>
      <c r="E25" s="28" t="n"/>
      <c r="F25" s="28" t="n"/>
      <c r="G25" s="28" t="n"/>
    </row>
    <row r="26">
      <c r="A26" s="22" t="inlineStr">
        <is>
          <t>Risk Metrics in Green</t>
        </is>
      </c>
      <c r="B26" s="23">
        <f>COUNTIF('Risk Metrics'!D6:D55,"Green")</f>
        <v/>
      </c>
      <c r="C26" s="28" t="n"/>
      <c r="D26" s="28" t="n"/>
      <c r="E26" s="28" t="n"/>
      <c r="F26" s="28" t="n"/>
      <c r="G26" s="28" t="n"/>
    </row>
    <row r="27">
      <c r="A27" s="22" t="inlineStr">
        <is>
          <t>KPI Green Rate %</t>
        </is>
      </c>
      <c r="B27" s="24">
        <f>IFERROR(COUNTIF('Metric Definitions'!Q6:Q85,"Green")/COUNTA('Metric Definitions'!A6:A85),0)</f>
        <v/>
      </c>
      <c r="C27" s="28" t="n"/>
      <c r="D27" s="28" t="n"/>
      <c r="E27" s="28" t="n"/>
      <c r="F27" s="28" t="n"/>
      <c r="G27" s="28" t="n"/>
    </row>
    <row r="28">
      <c r="A28" s="25" t="inlineStr">
        <is>
          <t>Benchmarking</t>
        </is>
      </c>
    </row>
    <row r="29">
      <c r="A29" s="22" t="inlineStr">
        <is>
          <t>Benchmarks — Exceeding Target</t>
        </is>
      </c>
      <c r="B29" s="23">
        <f>COUNTIF('Benchmarks'!E6:E55,"Exceeding")</f>
        <v/>
      </c>
      <c r="C29" s="28" t="n"/>
      <c r="D29" s="28" t="n"/>
      <c r="E29" s="28" t="n"/>
      <c r="F29" s="28" t="n"/>
      <c r="G29" s="28" t="n"/>
    </row>
    <row r="30">
      <c r="A30" s="22" t="inlineStr">
        <is>
          <t>Benchmarks — Below Target</t>
        </is>
      </c>
      <c r="B30" s="23">
        <f>COUNTIF('Benchmarks'!E6:E55,"Below")</f>
        <v/>
      </c>
      <c r="C30" s="28" t="n"/>
      <c r="D30" s="28" t="n"/>
      <c r="E30" s="28" t="n"/>
      <c r="F30" s="28" t="n"/>
      <c r="G30" s="28" t="n"/>
    </row>
    <row r="32">
      <c r="A32" s="29" t="inlineStr">
        <is>
          <t>TABLE 3: CRITICAL FINDINGS REQUIRING ACTION</t>
        </is>
      </c>
    </row>
    <row r="33">
      <c r="A33" s="25" t="inlineStr">
        <is>
          <t>Category</t>
        </is>
      </c>
      <c r="B33" s="26" t="inlineStr">
        <is>
          <t>Finding</t>
        </is>
      </c>
      <c r="C33" s="26" t="inlineStr">
        <is>
          <t>Count</t>
        </is>
      </c>
      <c r="D33" s="26" t="inlineStr">
        <is>
          <t>Severity</t>
        </is>
      </c>
      <c r="E33" s="26" t="inlineStr">
        <is>
          <t>Action Required</t>
        </is>
      </c>
      <c r="F33" s="26" t="inlineStr"/>
      <c r="G33" s="26" t="inlineStr"/>
    </row>
    <row r="34">
      <c r="A34" s="30" t="inlineStr">
        <is>
          <t>Audit Readiness</t>
        </is>
      </c>
      <c r="B34" s="30" t="inlineStr">
        <is>
          <t>Audit-critical KPIs in RED status</t>
        </is>
      </c>
      <c r="C34" s="31">
        <f>COUNTIFS('Metric Definitions'!O6:O85,"Critical",'Metric Definitions'!Q6:Q85,"Red")</f>
        <v/>
      </c>
      <c r="D34" s="31" t="inlineStr">
        <is>
          <t>Critical</t>
        </is>
      </c>
      <c r="E34" s="31" t="inlineStr">
        <is>
          <t>Immediate</t>
        </is>
      </c>
      <c r="F34" s="31" t="inlineStr"/>
      <c r="G34" s="31" t="inlineStr"/>
    </row>
    <row r="35">
      <c r="A35" s="32" t="inlineStr">
        <is>
          <t>SLA</t>
        </is>
      </c>
      <c r="B35" s="32" t="inlineStr">
        <is>
          <t>SLA metrics violated</t>
        </is>
      </c>
      <c r="C35" s="33">
        <f>COUNTIF('SLA Performance'!D6:D55,"Violated")</f>
        <v/>
      </c>
      <c r="D35" s="33" t="inlineStr">
        <is>
          <t>High</t>
        </is>
      </c>
      <c r="E35" s="33" t="inlineStr">
        <is>
          <t>Urgent</t>
        </is>
      </c>
      <c r="F35" s="33" t="inlineStr"/>
      <c r="G35" s="33" t="inlineStr"/>
    </row>
    <row r="36">
      <c r="A36" s="32" t="inlineStr">
        <is>
          <t>Risk Metrics</t>
        </is>
      </c>
      <c r="B36" s="32" t="inlineStr">
        <is>
          <t>Risk metrics in RED status</t>
        </is>
      </c>
      <c r="C36" s="33">
        <f>COUNTIF('Risk Metrics'!D6:D55,"Red")</f>
        <v/>
      </c>
      <c r="D36" s="33" t="inlineStr">
        <is>
          <t>High</t>
        </is>
      </c>
      <c r="E36" s="33" t="inlineStr">
        <is>
          <t>Urgent</t>
        </is>
      </c>
      <c r="F36" s="33" t="inlineStr"/>
      <c r="G36" s="33" t="inlineStr"/>
    </row>
    <row r="37">
      <c r="A37" s="32" t="inlineStr">
        <is>
          <t>KPI Health</t>
        </is>
      </c>
      <c r="B37" s="32" t="inlineStr">
        <is>
          <t>All KPIs in RED status</t>
        </is>
      </c>
      <c r="C37" s="33">
        <f>COUNTIF('Metric Definitions'!Q6:Q85,"Red")</f>
        <v/>
      </c>
      <c r="D37" s="33" t="inlineStr">
        <is>
          <t>High</t>
        </is>
      </c>
      <c r="E37" s="33" t="inlineStr">
        <is>
          <t>Urgent</t>
        </is>
      </c>
      <c r="F37" s="33" t="inlineStr"/>
      <c r="G37" s="33" t="inlineStr"/>
    </row>
    <row r="38">
      <c r="A38" s="32" t="inlineStr">
        <is>
          <t>Audit Readiness</t>
        </is>
      </c>
      <c r="B38" s="32" t="inlineStr">
        <is>
          <t>High-relevance KPIs in RED</t>
        </is>
      </c>
      <c r="C38" s="33">
        <f>COUNTIFS('Metric Definitions'!O6:O85,"High",'Metric Definitions'!Q6:Q85,"Red")</f>
        <v/>
      </c>
      <c r="D38" s="33" t="inlineStr">
        <is>
          <t>High</t>
        </is>
      </c>
      <c r="E38" s="33" t="inlineStr">
        <is>
          <t>Urgent</t>
        </is>
      </c>
      <c r="F38" s="33" t="inlineStr"/>
      <c r="G38" s="33" t="inlineStr"/>
    </row>
    <row r="39">
      <c r="A39" s="34" t="inlineStr">
        <is>
          <t>Benchmarking</t>
        </is>
      </c>
      <c r="B39" s="34" t="inlineStr">
        <is>
          <t>Metrics below industry benchmark</t>
        </is>
      </c>
      <c r="C39" s="35">
        <f>COUNTIF('Benchmarks'!E6:E55,"Below")</f>
        <v/>
      </c>
      <c r="D39" s="35" t="inlineStr">
        <is>
          <t>Medium</t>
        </is>
      </c>
      <c r="E39" s="35" t="inlineStr">
        <is>
          <t>Plan</t>
        </is>
      </c>
      <c r="F39" s="35" t="inlineStr"/>
      <c r="G39" s="35" t="inlineStr"/>
    </row>
    <row r="40">
      <c r="A40" s="34" t="inlineStr">
        <is>
          <t>KPI Health</t>
        </is>
      </c>
      <c r="B40" s="34" t="inlineStr">
        <is>
          <t>KPIs in YELLOW (warning) status</t>
        </is>
      </c>
      <c r="C40" s="35">
        <f>COUNTIF('Metric Definitions'!Q6:Q85,"Yellow")</f>
        <v/>
      </c>
      <c r="D40" s="35" t="inlineStr">
        <is>
          <t>Medium</t>
        </is>
      </c>
      <c r="E40" s="35" t="inlineStr">
        <is>
          <t>Plan</t>
        </is>
      </c>
      <c r="F40" s="35" t="inlineStr"/>
      <c r="G40" s="35" t="inlineStr"/>
    </row>
    <row r="41">
      <c r="A41" s="34" t="inlineStr">
        <is>
          <t>Reporting</t>
        </is>
      </c>
      <c r="B41" s="34" t="inlineStr">
        <is>
          <t>Monthly trends showing decline</t>
        </is>
      </c>
      <c r="C41" s="35">
        <f>COUNTIF('Monthly Trends'!F6:F55,"Declining")</f>
        <v/>
      </c>
      <c r="D41" s="35" t="inlineStr">
        <is>
          <t>Medium</t>
        </is>
      </c>
      <c r="E41" s="35" t="inlineStr">
        <is>
          <t>Plan</t>
        </is>
      </c>
      <c r="F41" s="35" t="inlineStr"/>
      <c r="G41" s="35" t="inlineStr"/>
    </row>
  </sheetData>
  <mergeCells count="9">
    <mergeCell ref="A32:G32"/>
    <mergeCell ref="A13:G13"/>
    <mergeCell ref="A1:G1"/>
    <mergeCell ref="A4:G4"/>
    <mergeCell ref="A20:G20"/>
    <mergeCell ref="A2:G2"/>
    <mergeCell ref="A15:G15"/>
    <mergeCell ref="A28:G28"/>
    <mergeCell ref="A23:G2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1"/>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8" t="inlineStr">
        <is>
          <t>METRICS AND KPIs DASHBOARD — ASSESSMENT APPROVAL AND SIGN-OFF</t>
        </is>
      </c>
      <c r="B1" s="6" t="n"/>
      <c r="C1" s="6" t="n"/>
      <c r="D1" s="6" t="n"/>
      <c r="E1" s="6" t="n"/>
    </row>
    <row r="2">
      <c r="A2" s="12" t="inlineStr">
        <is>
          <t>ISO/IEC 27001:2022 Annex A — Control A.8.8: Management of Technical Vulnerabilities</t>
        </is>
      </c>
      <c r="B2" s="6" t="n"/>
      <c r="C2" s="6" t="n"/>
      <c r="D2" s="6" t="n"/>
      <c r="E2" s="6" t="n"/>
    </row>
    <row r="3">
      <c r="A3" s="16" t="inlineStr">
        <is>
          <t>ASSESSMENT SUMMARY</t>
        </is>
      </c>
      <c r="B3" s="6" t="n"/>
      <c r="C3" s="6" t="n"/>
      <c r="D3" s="6" t="n"/>
      <c r="E3" s="6" t="n"/>
    </row>
    <row r="4">
      <c r="A4" s="36" t="inlineStr">
        <is>
          <t>Document:</t>
        </is>
      </c>
      <c r="B4" s="6" t="inlineStr">
        <is>
          <t>ISMS-IMP-A.8.8.6 — Metrics &amp; KPIs Dashboard</t>
        </is>
      </c>
      <c r="C4" s="6" t="n"/>
      <c r="D4" s="6" t="n"/>
      <c r="E4" s="6" t="n"/>
    </row>
    <row r="5">
      <c r="A5" s="36" t="inlineStr">
        <is>
          <t>Assessment Period:</t>
        </is>
      </c>
      <c r="B5" s="28" t="inlineStr"/>
      <c r="C5" s="6" t="n"/>
      <c r="D5" s="6" t="n"/>
      <c r="E5" s="6" t="n"/>
    </row>
    <row r="6">
      <c r="A6" s="36" t="inlineStr">
        <is>
          <t>Overall Compliance Rating:</t>
        </is>
      </c>
      <c r="B6" s="37">
        <f>'Summary Dashboard'!G11</f>
        <v/>
      </c>
      <c r="C6" s="6" t="n"/>
      <c r="D6" s="6" t="n"/>
      <c r="E6" s="6" t="n"/>
    </row>
    <row r="7">
      <c r="A7" s="36" t="inlineStr">
        <is>
          <t>Assessment Status:</t>
        </is>
      </c>
      <c r="B7" s="28" t="inlineStr"/>
      <c r="C7" s="6" t="n"/>
      <c r="D7" s="6" t="n"/>
      <c r="E7" s="6" t="n"/>
    </row>
    <row r="8">
      <c r="A8" s="36" t="inlineStr">
        <is>
          <t>Assessed By:</t>
        </is>
      </c>
      <c r="B8" s="28" t="inlineStr"/>
      <c r="C8" s="6" t="n"/>
      <c r="D8" s="6" t="n"/>
      <c r="E8" s="6" t="n"/>
    </row>
    <row r="9">
      <c r="A9" s="6" t="n"/>
    </row>
    <row r="10">
      <c r="A10" s="16" t="inlineStr">
        <is>
          <t>ASSESSMENT REVIEW AND APPROVAL</t>
        </is>
      </c>
    </row>
    <row r="11">
      <c r="A11" s="21" t="inlineStr">
        <is>
          <t>Role / Function</t>
        </is>
      </c>
      <c r="B11" s="21" t="inlineStr">
        <is>
          <t>Name</t>
        </is>
      </c>
      <c r="C11" s="21" t="inlineStr">
        <is>
          <t>Signature / Initials</t>
        </is>
      </c>
      <c r="D11" s="21" t="inlineStr">
        <is>
          <t>Date (DD.MM.YYYY)</t>
        </is>
      </c>
      <c r="E11" s="21" t="inlineStr">
        <is>
          <t>Comments</t>
        </is>
      </c>
    </row>
    <row r="12">
      <c r="A12" s="38" t="inlineStr">
        <is>
          <t>Lead Assessor / Author</t>
        </is>
      </c>
      <c r="B12" s="28" t="n"/>
      <c r="C12" s="28" t="n"/>
      <c r="D12" s="28" t="n"/>
      <c r="E12" s="28" t="n"/>
    </row>
    <row r="13">
      <c r="A13" s="38" t="inlineStr">
        <is>
          <t>IT Security Manager</t>
        </is>
      </c>
      <c r="B13" s="28" t="n"/>
      <c r="C13" s="28" t="n"/>
      <c r="D13" s="28" t="n"/>
      <c r="E13" s="28" t="n"/>
    </row>
    <row r="14">
      <c r="A14" s="38" t="inlineStr">
        <is>
          <t>Reviewer (Technical / Compliance)</t>
        </is>
      </c>
      <c r="B14" s="28" t="n"/>
      <c r="C14" s="28" t="n"/>
      <c r="D14" s="28" t="n"/>
      <c r="E14" s="28" t="n"/>
    </row>
    <row r="15">
      <c r="A15" s="38" t="inlineStr">
        <is>
          <t>CISO / Final Approver</t>
        </is>
      </c>
      <c r="B15" s="28" t="n"/>
      <c r="C15" s="28" t="n"/>
      <c r="D15" s="28" t="n"/>
      <c r="E15" s="28" t="n"/>
    </row>
    <row r="16">
      <c r="A16" s="6" t="n"/>
    </row>
    <row r="17">
      <c r="A17" s="39" t="inlineStr">
        <is>
          <t>FINAL DECISION:</t>
        </is>
      </c>
      <c r="B17" s="40" t="inlineStr">
        <is>
          <t>☐ Approved     ☐ Approved with Conditions     ☐ Rejected     ☐ Deferred</t>
        </is>
      </c>
      <c r="C17" s="6" t="n"/>
      <c r="D17" s="6" t="n"/>
      <c r="E17" s="6" t="n"/>
    </row>
    <row r="18">
      <c r="A18" s="6" t="n"/>
    </row>
    <row r="19">
      <c r="A19" s="16" t="inlineStr">
        <is>
          <t>NEXT REVIEW DETAILS</t>
        </is>
      </c>
    </row>
    <row r="20">
      <c r="A20" s="41" t="inlineStr">
        <is>
          <t>Next Review Date (DD.MM.YYYY)</t>
        </is>
      </c>
      <c r="B20" s="28" t="n"/>
    </row>
    <row r="21">
      <c r="A21" s="41" t="inlineStr">
        <is>
          <t>Review Owner</t>
        </is>
      </c>
      <c r="B21" s="28" t="n"/>
    </row>
  </sheetData>
  <mergeCells count="16">
    <mergeCell ref="B17:E17"/>
    <mergeCell ref="B8:E8"/>
    <mergeCell ref="A18:E18"/>
    <mergeCell ref="B4:E4"/>
    <mergeCell ref="A2:E2"/>
    <mergeCell ref="A16:E16"/>
    <mergeCell ref="A10:E10"/>
    <mergeCell ref="B6:E6"/>
    <mergeCell ref="B21:E21"/>
    <mergeCell ref="A19:E19"/>
    <mergeCell ref="B7:E7"/>
    <mergeCell ref="A1:E1"/>
    <mergeCell ref="B5:E5"/>
    <mergeCell ref="B20:E20"/>
    <mergeCell ref="A9:E9"/>
    <mergeCell ref="A3:E3"/>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ISMS-IMP-A.8.8.6 — Metrics &amp; KPIs Dashboard</dc:title>
  <dc:description xmlns:dc="http://purl.org/dc/elements/1.1/">ISMS Implementation Workbook — ISMS-IMP-A.8.8.6</dc:description>
  <dc:subject xmlns:dc="http://purl.org/dc/elements/1.1/">ISO/IEC 27001:2022 — Control A.8.8: Management of Technical Vulnerabilities</dc:subject>
  <dcterms:created xmlns:dcterms="http://purl.org/dc/terms/" xmlns:xsi="http://www.w3.org/2001/XMLSchema-instance" xsi:type="dcterms:W3CDTF">2026-03-07T11:28:36Z</dcterms:created>
  <dcterms:modified xmlns:dcterms="http://purl.org/dc/terms/" xmlns:xsi="http://www.w3.org/2001/XMLSchema-instance" xsi:type="dcterms:W3CDTF">2026-03-07T11:28:36Z</dcterms:modified>
</cp:coreProperties>
</file>