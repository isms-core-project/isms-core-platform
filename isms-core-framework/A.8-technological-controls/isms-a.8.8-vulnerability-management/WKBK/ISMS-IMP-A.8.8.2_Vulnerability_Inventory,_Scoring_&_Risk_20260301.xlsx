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Vulnerability Inventory" sheetId="2" state="visible" r:id="rId2"/>
    <sheet xmlns:r="http://schemas.openxmlformats.org/officeDocument/2006/relationships" name="Vulnerability Scoring" sheetId="3" state="visible" r:id="rId3"/>
    <sheet xmlns:r="http://schemas.openxmlformats.org/officeDocument/2006/relationships" name="Asset Criticality" sheetId="4" state="visible" r:id="rId4"/>
    <sheet xmlns:r="http://schemas.openxmlformats.org/officeDocument/2006/relationships" name="Risk Assessment" sheetId="5" state="visible" r:id="rId5"/>
    <sheet xmlns:r="http://schemas.openxmlformats.org/officeDocument/2006/relationships" name="Risk Treatment"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i val="1"/>
      <sz val="10"/>
    </font>
    <font>
      <name val="Calibri"/>
      <b val="1"/>
      <color rgb="00FFFFFF"/>
      <sz val="10"/>
    </font>
    <font>
      <name val="Calibri"/>
      <b val="1"/>
      <color rgb="00FFFFFF"/>
      <sz val="11"/>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1" fillId="8" borderId="1" applyAlignment="1" pivotButton="0" quotePrefix="0" xfId="0">
      <alignment horizontal="center"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6" fillId="10" borderId="1" pivotButton="0" quotePrefix="0" xfId="0"/>
    <xf numFmtId="0" fontId="0" fillId="11" borderId="1" applyAlignment="1" pivotButton="0" quotePrefix="0" xfId="0">
      <alignment vertical="center"/>
    </xf>
    <xf numFmtId="0" fontId="5" fillId="0" borderId="0" applyAlignment="1" pivotButton="0" quotePrefix="0" xfId="0">
      <alignment horizontal="left" vertical="center"/>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12" fillId="11" borderId="1" applyAlignment="1" pivotButton="0" quotePrefix="0" xfId="0">
      <alignment horizontal="left" vertical="center"/>
    </xf>
    <xf numFmtId="0" fontId="12" fillId="11" borderId="1" applyAlignment="1" pivotButton="0" quotePrefix="0" xfId="0">
      <alignment horizontal="center" vertical="center"/>
    </xf>
    <xf numFmtId="164" fontId="12" fillId="11" borderId="1" applyAlignment="1" pivotButton="0" quotePrefix="0" xfId="0">
      <alignment horizontal="center" vertical="center"/>
    </xf>
    <xf numFmtId="0" fontId="11" fillId="9" borderId="1" applyAlignment="1" pivotButton="0" quotePrefix="0" xfId="0">
      <alignment horizontal="left" vertical="center"/>
    </xf>
    <xf numFmtId="0" fontId="11" fillId="9" borderId="1" applyAlignment="1" pivotButton="0" quotePrefix="0" xfId="0">
      <alignment horizontal="center" vertical="center"/>
    </xf>
    <xf numFmtId="164" fontId="11" fillId="9" borderId="1" applyAlignment="1" pivotButton="0" quotePrefix="0" xfId="0">
      <alignment horizontal="center" vertical="center"/>
    </xf>
    <xf numFmtId="0" fontId="0" fillId="11" borderId="1" pivotButton="0" quotePrefix="0" xfId="0"/>
    <xf numFmtId="0" fontId="10" fillId="12" borderId="1" applyAlignment="1" pivotButton="0" quotePrefix="0" xfId="0">
      <alignment horizontal="left" vertical="center"/>
    </xf>
    <xf numFmtId="0" fontId="13" fillId="13" borderId="1" applyAlignment="1" pivotButton="0" quotePrefix="0" xfId="0">
      <alignment horizontal="left" vertical="center"/>
    </xf>
    <xf numFmtId="0" fontId="13" fillId="13" borderId="1" applyAlignment="1" pivotButton="0" quotePrefix="0" xfId="0">
      <alignment horizontal="center" vertical="center"/>
    </xf>
    <xf numFmtId="0" fontId="14" fillId="14" borderId="1" applyAlignment="1" pivotButton="0" quotePrefix="0" xfId="0">
      <alignment horizontal="left" vertical="center"/>
    </xf>
    <xf numFmtId="0" fontId="14" fillId="14" borderId="1" applyAlignment="1" pivotButton="0" quotePrefix="0" xfId="0">
      <alignment horizontal="center" vertical="center"/>
    </xf>
    <xf numFmtId="0" fontId="15" fillId="15" borderId="1" applyAlignment="1" pivotButton="0" quotePrefix="0" xfId="0">
      <alignment horizontal="left" vertical="center"/>
    </xf>
    <xf numFmtId="0" fontId="15" fillId="15" borderId="1" applyAlignment="1" pivotButton="0" quotePrefix="0" xfId="0">
      <alignment horizontal="center" vertical="center"/>
    </xf>
    <xf numFmtId="0" fontId="10" fillId="16" borderId="1" applyAlignment="1" pivotButton="0" quotePrefix="0" xfId="0">
      <alignment horizontal="center" vertical="center"/>
    </xf>
    <xf numFmtId="0" fontId="11" fillId="0" borderId="1" pivotButton="0" quotePrefix="0" xfId="0"/>
    <xf numFmtId="164" fontId="0" fillId="0" borderId="1" pivotButton="0" quotePrefix="0" xfId="0"/>
    <xf numFmtId="0" fontId="7" fillId="11" borderId="1" pivotButton="0" quotePrefix="0" xfId="0"/>
    <xf numFmtId="0" fontId="16" fillId="0" borderId="1" pivotButton="0" quotePrefix="0" xfId="0"/>
    <xf numFmtId="0" fontId="7" fillId="11" borderId="1" applyAlignment="1" pivotButton="0" quotePrefix="0" xfId="0">
      <alignment horizontal="center" vertical="center"/>
    </xf>
    <xf numFmtId="0" fontId="11"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ISMS-IMP-A.8.8.2  -  Vulnerability Inventory, Scoring &amp; Risk
ISO/IEC 27001:2022 - Control A.8.8: Management of Technical Vulnerabilities</t>
        </is>
      </c>
    </row>
    <row r="3">
      <c r="A3" s="2" t="inlineStr">
        <is>
          <t>Document Information</t>
        </is>
      </c>
    </row>
    <row r="4">
      <c r="A4" s="3" t="inlineStr">
        <is>
          <t>Document ID</t>
        </is>
      </c>
      <c r="B4" t="inlineStr">
        <is>
          <t>ISMS-IMP-A.8.8.2</t>
        </is>
      </c>
    </row>
    <row r="5">
      <c r="A5" s="3" t="inlineStr">
        <is>
          <t>Workbook Title</t>
        </is>
      </c>
      <c r="B5" t="inlineStr">
        <is>
          <t>Vulnerability Inventory, Scoring &amp; Risk</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Vulnerability Inventory sheet with all known vulnerabilities in scope.</t>
        </is>
      </c>
    </row>
    <row r="15">
      <c r="A15" t="inlineStr">
        <is>
          <t>3. Complete the Vulnerability Scoring sheet with CVSS v4.0/v3.1 scores per CVE.</t>
        </is>
      </c>
    </row>
    <row r="16">
      <c r="A16" t="inlineStr">
        <is>
          <t>4. Complete the Asset Criticality sheet with criticality ratings for all affected assets.</t>
        </is>
      </c>
    </row>
    <row r="17">
      <c r="A17" t="inlineStr">
        <is>
          <t>5. Complete the Risk Assessment sheet with risk treatment decisions for each vulnerability.</t>
        </is>
      </c>
    </row>
    <row r="18">
      <c r="A18" t="inlineStr">
        <is>
          <t>6. Complete the Risk Treatment sheet tracking treatment implementation and expiry.</t>
        </is>
      </c>
    </row>
    <row r="19">
      <c r="A19" t="inlineStr">
        <is>
          <t>7. Record all supporting evidence in the Evidence Register.</t>
        </is>
      </c>
    </row>
    <row r="20">
      <c r="A20" t="inlineStr">
        <is>
          <t>8. Review the Summary Dashboard for TABLE 1/2/3 compliance metrics.</t>
        </is>
      </c>
    </row>
    <row r="21">
      <c r="A21" t="inlineStr">
        <is>
          <t>9. Obtain sign-off via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5"/>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40" customWidth="1" min="3" max="3"/>
    <col width="16" customWidth="1" min="4" max="4"/>
    <col width="20" customWidth="1" min="5" max="5"/>
    <col width="12" customWidth="1" min="6" max="6"/>
    <col width="16" customWidth="1" min="7" max="7"/>
    <col width="16" customWidth="1" min="8" max="8"/>
    <col width="14" customWidth="1" min="9" max="9"/>
    <col width="14" customWidth="1" min="10" max="10"/>
    <col width="12" customWidth="1" min="11" max="11"/>
    <col width="12" customWidth="1" min="12" max="12"/>
    <col width="14" customWidth="1" min="13" max="13"/>
    <col width="22" customWidth="1" min="14" max="14"/>
    <col width="18" customWidth="1" min="15" max="15"/>
    <col width="14" customWidth="1" min="16" max="16"/>
    <col width="35" customWidth="1" min="17" max="17"/>
    <col width="18" customWidth="1" min="18" max="18"/>
    <col width="16" customWidth="1" min="19" max="19"/>
    <col width="12" customWidth="1" min="20" max="20"/>
    <col width="20" customWidth="1" min="21" max="21"/>
    <col width="10" customWidth="1" min="22" max="22"/>
    <col width="20" customWidth="1" min="23" max="23"/>
    <col width="20" customWidth="1" min="24" max="24"/>
    <col width="30" customWidth="1" min="25" max="25"/>
    <col width="20" customWidth="1" min="26" max="26"/>
  </cols>
  <sheetData>
    <row r="1" ht="35" customHeight="1">
      <c r="A1" s="11" t="inlineStr">
        <is>
          <t>ISMS-IMP-A.8.8.2  —  VULNERABILITY INVENTORY</t>
        </is>
      </c>
    </row>
    <row r="2">
      <c r="A2" s="12" t="inlineStr">
        <is>
          <t>ISO/IEC 27001:2022 — Control A.8.8: Management of Technical Vulnerabilities</t>
        </is>
      </c>
    </row>
    <row r="3">
      <c r="A3" s="6" t="n"/>
    </row>
    <row r="4">
      <c r="A4" s="13" t="inlineStr">
        <is>
          <t>Vuln_ID</t>
        </is>
      </c>
      <c r="B4" s="13" t="inlineStr">
        <is>
          <t>CVE_ID</t>
        </is>
      </c>
      <c r="C4" s="13" t="inlineStr">
        <is>
          <t>Vulnerability_Name</t>
        </is>
      </c>
      <c r="D4" s="13" t="inlineStr">
        <is>
          <t>Affected_Asset_ID</t>
        </is>
      </c>
      <c r="E4" s="13" t="inlineStr">
        <is>
          <t>Affected_Asset_Name</t>
        </is>
      </c>
      <c r="F4" s="13" t="inlineStr">
        <is>
          <t>KEV_Listed</t>
        </is>
      </c>
      <c r="G4" s="13" t="inlineStr">
        <is>
          <t>First_Detected_Date</t>
        </is>
      </c>
      <c r="H4" s="13" t="inlineStr">
        <is>
          <t>Last_Scanned_Date</t>
        </is>
      </c>
      <c r="I4" s="13" t="inlineStr">
        <is>
          <t>CVSS_v3.1_Score</t>
        </is>
      </c>
      <c r="J4" s="13" t="inlineStr">
        <is>
          <t>CVSS_v4.0_Score</t>
        </is>
      </c>
      <c r="K4" s="13" t="inlineStr">
        <is>
          <t>CVSS_Severity</t>
        </is>
      </c>
      <c r="L4" s="13" t="inlineStr">
        <is>
          <t>EPSS_Score</t>
        </is>
      </c>
      <c r="M4" s="13" t="inlineStr">
        <is>
          <t>Exploit_Available</t>
        </is>
      </c>
      <c r="N4" s="13" t="inlineStr">
        <is>
          <t>Affected_Software</t>
        </is>
      </c>
      <c r="O4" s="13" t="inlineStr">
        <is>
          <t>Affected_Version</t>
        </is>
      </c>
      <c r="P4" s="13" t="inlineStr">
        <is>
          <t>Patch_Available</t>
        </is>
      </c>
      <c r="Q4" s="13" t="inlineStr">
        <is>
          <t>Patch_URL</t>
        </is>
      </c>
      <c r="R4" s="13" t="inlineStr">
        <is>
          <t>Scanner_Source</t>
        </is>
      </c>
      <c r="S4" s="13" t="inlineStr">
        <is>
          <t>Scan_Date</t>
        </is>
      </c>
      <c r="T4" s="13" t="inlineStr">
        <is>
          <t>Risk_Score</t>
        </is>
      </c>
      <c r="U4" s="13" t="inlineStr">
        <is>
          <t>Business_Owner</t>
        </is>
      </c>
      <c r="V4" s="13" t="inlineStr">
        <is>
          <t>Priority</t>
        </is>
      </c>
      <c r="W4" s="13" t="inlineStr">
        <is>
          <t>Target_Remediation_Date</t>
        </is>
      </c>
      <c r="X4" s="13" t="inlineStr">
        <is>
          <t>Actual_Remediation_Date</t>
        </is>
      </c>
      <c r="Y4" s="13" t="inlineStr">
        <is>
          <t>Notes</t>
        </is>
      </c>
      <c r="Z4" s="13" t="inlineStr">
        <is>
          <t>Remediation_Status</t>
        </is>
      </c>
    </row>
    <row r="5">
      <c r="A5" s="14" t="inlineStr">
        <is>
          <t>VULN-001</t>
        </is>
      </c>
      <c r="B5" s="14" t="inlineStr">
        <is>
          <t>CVE-2024-1234</t>
        </is>
      </c>
      <c r="C5" s="14" t="inlineStr">
        <is>
          <t>Critical RCE in Apache HTTP Server</t>
        </is>
      </c>
      <c r="D5" s="14" t="inlineStr">
        <is>
          <t>SRV-PROD-001</t>
        </is>
      </c>
      <c r="E5" s="14" t="inlineStr">
        <is>
          <t>web-prod-01</t>
        </is>
      </c>
      <c r="F5" s="14" t="inlineStr">
        <is>
          <t>YES</t>
        </is>
      </c>
      <c r="G5" s="14" t="inlineStr">
        <is>
          <t>15/01/2024</t>
        </is>
      </c>
      <c r="H5" s="14" t="inlineStr">
        <is>
          <t>20/01/2024</t>
        </is>
      </c>
      <c r="I5" s="14" t="n">
        <v>9.800000000000001</v>
      </c>
      <c r="J5" s="14" t="n">
        <v>9.199999999999999</v>
      </c>
      <c r="K5" s="14" t="inlineStr">
        <is>
          <t>Critical</t>
        </is>
      </c>
      <c r="L5" s="14" t="n">
        <v>0.9742</v>
      </c>
      <c r="M5" s="14" t="inlineStr">
        <is>
          <t>Yes</t>
        </is>
      </c>
      <c r="N5" s="14" t="inlineStr">
        <is>
          <t>Apache HTTP Server</t>
        </is>
      </c>
      <c r="O5" s="14" t="inlineStr">
        <is>
          <t>2.4.50</t>
        </is>
      </c>
      <c r="P5" s="14" t="inlineStr">
        <is>
          <t>Yes</t>
        </is>
      </c>
      <c r="Q5" s="14" t="inlineStr">
        <is>
          <t>https://httpd.apache.org/security/</t>
        </is>
      </c>
      <c r="R5" s="14" t="inlineStr">
        <is>
          <t>Tenable Nessus</t>
        </is>
      </c>
      <c r="S5" s="14" t="inlineStr">
        <is>
          <t>20/01/2024</t>
        </is>
      </c>
      <c r="T5" s="14" t="n">
        <v>95</v>
      </c>
      <c r="U5" s="14" t="inlineStr">
        <is>
          <t>Infrastructure Team</t>
        </is>
      </c>
      <c r="V5" s="14" t="inlineStr">
        <is>
          <t>P0</t>
        </is>
      </c>
      <c r="W5" s="14" t="inlineStr">
        <is>
          <t>25/01/2024</t>
        </is>
      </c>
      <c r="X5" s="14" t="inlineStr"/>
      <c r="Y5" s="14" t="inlineStr">
        <is>
          <t>KEV-listed; emergency patching initiated</t>
        </is>
      </c>
      <c r="Z5" s="14" t="inlineStr">
        <is>
          <t>In Progress</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row>
  </sheetData>
  <mergeCells count="3">
    <mergeCell ref="A1:Z1"/>
    <mergeCell ref="A3:Z3"/>
    <mergeCell ref="A2:Z2"/>
  </mergeCells>
  <dataValidations count="6">
    <dataValidation sqref="Z6 Z7 Z8 Z9 Z10 Z11 Z12 Z13 Z14 Z15 Z16 Z17 Z18 Z19 Z20 Z21 Z22 Z23 Z24 Z25 Z26 Z27 Z28 Z29 Z30 Z31 Z32 Z33 Z34 Z35 Z36 Z37 Z38 Z39 Z40 Z41 Z42 Z43 Z44 Z45 Z46 Z47 Z48 Z49 Z50 Z51 Z52 Z53 Z54 Z55" showDropDown="0" showInputMessage="0" showErrorMessage="0" allowBlank="1" type="list">
      <formula1>"Open,In Progress,Testing,Complete,Risk Accepted"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"YES,NO"</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"P0,P1,P2,P3,P4"</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"Critical,High,Medium,Low,Informational"</formula1>
    </dataValidation>
    <dataValidation sqref="M6 M7 M8 M9 M10 M11 M12 M13 M14 M15 M16 M17 M18 M19 M20 M21 M22 M23 M24 M25 M26 M27 M28 M29 M30 M31 M32 M33 M34 M35 M36 M37 M38 M39 M40 M41 M42 M43 M44 M45 M46 M47 M48 M49 M50 M51 M52 M53 M54 M55" showDropDown="0" showInputMessage="0" showErrorMessage="0" allowBlank="1" type="list">
      <formula1>"Yes,No,PoC"</formula1>
    </dataValidation>
    <dataValidation sqref="P6 P7 P8 P9 P10 P11 P12 P13 P14 P15 P16 P17 P18 P19 P20 P21 P22 P23 P24 P25 P26 P27 P28 P29 P30 P31 P32 P33 P34 P35 P36 P37 P38 P39 P40 P41 P42 P43 P44 P45 P46 P47 P48 P49 P50 P51 P52 P53 P54 P55" showDropDown="0" showInputMessage="0" showErrorMessage="0" allowBlank="1" type="list">
      <formula1>"Yes,No,Workaround"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6" customWidth="1" min="3" max="3"/>
    <col width="55" customWidth="1" min="4" max="4"/>
    <col width="16" customWidth="1" min="5" max="5"/>
    <col width="55" customWidth="1" min="6" max="6"/>
    <col width="14" customWidth="1" min="7" max="7"/>
    <col width="16" customWidth="1" min="8" max="8"/>
  </cols>
  <sheetData>
    <row r="1" ht="35" customHeight="1">
      <c r="A1" s="11" t="inlineStr">
        <is>
          <t>ISMS-IMP-A.8.8.2  —  VULNERABILITY SCORING</t>
        </is>
      </c>
    </row>
    <row r="2">
      <c r="A2" s="12" t="inlineStr">
        <is>
          <t>ISO/IEC 27001:2022 — Control A.8.8: CVSS v4.0 Scoring Completeness</t>
        </is>
      </c>
    </row>
    <row r="3">
      <c r="A3" s="6" t="n"/>
    </row>
    <row r="4">
      <c r="A4" s="13" t="inlineStr">
        <is>
          <t>CVE_ID</t>
        </is>
      </c>
      <c r="B4" s="13" t="inlineStr">
        <is>
          <t>Asset_ID</t>
        </is>
      </c>
      <c r="C4" s="13" t="inlineStr">
        <is>
          <t>CVSS_v3.1_Score</t>
        </is>
      </c>
      <c r="D4" s="13" t="inlineStr">
        <is>
          <t>CVSS_v3.1_Vector</t>
        </is>
      </c>
      <c r="E4" s="13" t="inlineStr">
        <is>
          <t>CVSS_v4.0_Score</t>
        </is>
      </c>
      <c r="F4" s="13" t="inlineStr">
        <is>
          <t>CVSS_v4.0_Vector</t>
        </is>
      </c>
      <c r="G4" s="13" t="inlineStr">
        <is>
          <t>EPSS_Score</t>
        </is>
      </c>
      <c r="H4" s="13" t="inlineStr">
        <is>
          <t>Score_Status</t>
        </is>
      </c>
    </row>
    <row r="5">
      <c r="A5" s="14" t="inlineStr">
        <is>
          <t>CVE-2024-1234</t>
        </is>
      </c>
      <c r="B5" s="14" t="inlineStr">
        <is>
          <t>SRV-PROD-001</t>
        </is>
      </c>
      <c r="C5" s="14" t="n">
        <v>9.800000000000001</v>
      </c>
      <c r="D5" s="14" t="inlineStr">
        <is>
          <t>CVSS:3.1/AV:N/AC:L/PR:N/UI:N/S:U/C:H/I:H/A:H</t>
        </is>
      </c>
      <c r="E5" s="14" t="n">
        <v>9.199999999999999</v>
      </c>
      <c r="F5" s="14" t="inlineStr">
        <is>
          <t>CVSS:4.0/AV:N/AC:L/AT:N/PR:N/UI:N/VC:H/VI:H/VA:H/SC:N/SI:N/SA:N</t>
        </is>
      </c>
      <c r="G5" s="14" t="n">
        <v>0.9742</v>
      </c>
      <c r="H5" s="14" t="inlineStr">
        <is>
          <t>v4.0 Scored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"v4.0 Scored,v3.1 Only,Unscored,Disputed"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6" customWidth="1" min="1" max="1"/>
    <col width="25" customWidth="1" min="2" max="2"/>
    <col width="18" customWidth="1" min="3" max="3"/>
    <col width="22" customWidth="1" min="4" max="4"/>
    <col width="28" customWidth="1" min="5" max="5"/>
    <col width="16" customWidth="1" min="6" max="6"/>
    <col width="20" customWidth="1" min="7" max="7"/>
    <col width="18" customWidth="1" min="8" max="8"/>
  </cols>
  <sheetData>
    <row r="1" ht="35" customHeight="1">
      <c r="A1" s="11" t="inlineStr">
        <is>
          <t>ISMS-IMP-A.8.8.2  —  ASSET CRITICALITY</t>
        </is>
      </c>
    </row>
    <row r="2">
      <c r="A2" s="12" t="inlineStr">
        <is>
          <t>ISO/IEC 27001:2022 — Control A.8.8: Asset Criticality Register</t>
        </is>
      </c>
    </row>
    <row r="3">
      <c r="A3" s="6" t="n"/>
    </row>
    <row r="4">
      <c r="A4" s="13" t="inlineStr">
        <is>
          <t>Asset_ID</t>
        </is>
      </c>
      <c r="B4" s="13" t="inlineStr">
        <is>
          <t>Asset_Name</t>
        </is>
      </c>
      <c r="C4" s="13" t="inlineStr">
        <is>
          <t>Asset_Type</t>
        </is>
      </c>
      <c r="D4" s="13" t="inlineStr">
        <is>
          <t>Asset_Owner</t>
        </is>
      </c>
      <c r="E4" s="13" t="inlineStr">
        <is>
          <t>Business_Function</t>
        </is>
      </c>
      <c r="F4" s="13" t="inlineStr">
        <is>
          <t>Criticality_Level</t>
        </is>
      </c>
      <c r="G4" s="13" t="inlineStr">
        <is>
          <t>Last_Assessment_Date</t>
        </is>
      </c>
      <c r="H4" s="13" t="inlineStr">
        <is>
          <t>Validation_Status</t>
        </is>
      </c>
    </row>
    <row r="5">
      <c r="A5" s="14" t="inlineStr">
        <is>
          <t>SRV-PROD-001</t>
        </is>
      </c>
      <c r="B5" s="14" t="inlineStr">
        <is>
          <t>web-prod-01</t>
        </is>
      </c>
      <c r="C5" s="14" t="inlineStr">
        <is>
          <t>Server</t>
        </is>
      </c>
      <c r="D5" s="14" t="inlineStr">
        <is>
          <t>Infrastructure Team</t>
        </is>
      </c>
      <c r="E5" s="14" t="inlineStr">
        <is>
          <t>E-Commerce Platform</t>
        </is>
      </c>
      <c r="F5" s="14" t="inlineStr">
        <is>
          <t>Critical</t>
        </is>
      </c>
      <c r="G5" s="14" t="inlineStr">
        <is>
          <t>15/01/2024</t>
        </is>
      </c>
      <c r="H5" s="14" t="inlineStr">
        <is>
          <t>Validated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3">
    <mergeCell ref="A3:H3"/>
    <mergeCell ref="A2:H2"/>
    <mergeCell ref="A1:H1"/>
  </mergeCells>
  <dataValidations count="3">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"Server,Workstation,Network Device,Application,Database,Cloud"</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"Critical,High,Medium,Low"</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"Validated,Needs Review,Overdue"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5"/>
  <sheetViews>
    <sheetView showGridLines="0" workbookViewId="0">
      <pane ySplit="4" topLeftCell="A5" activePane="bottomLeft" state="frozen"/>
      <selection pane="bottomLeft" activeCell="A1" sqref="A1"/>
    </sheetView>
  </sheetViews>
  <sheetFormatPr baseColWidth="8" defaultRowHeight="15"/>
  <cols>
    <col width="14" customWidth="1" min="1" max="1"/>
    <col width="55" customWidth="1" min="2" max="2"/>
    <col width="12" customWidth="1" min="3" max="3"/>
    <col width="12" customWidth="1" min="4" max="4"/>
    <col width="12" customWidth="1" min="5" max="5"/>
    <col width="20" customWidth="1" min="6" max="6"/>
    <col width="22" customWidth="1" min="7" max="7"/>
  </cols>
  <sheetData>
    <row r="1" ht="35" customHeight="1">
      <c r="A1" s="11" t="inlineStr">
        <is>
          <t>ISMS-IMP-A.8.8.2  —  RISK ASSESSMENT</t>
        </is>
      </c>
    </row>
    <row r="2">
      <c r="A2" s="12" t="inlineStr">
        <is>
          <t>ISO/IEC 27001:2022 — Control A.8.8: Vulnerability Risk Assessments</t>
        </is>
      </c>
    </row>
    <row r="3">
      <c r="A3" s="6" t="n"/>
    </row>
    <row r="4">
      <c r="A4" s="13" t="inlineStr">
        <is>
          <t>Vuln_ID</t>
        </is>
      </c>
      <c r="B4" s="13" t="inlineStr">
        <is>
          <t>Risk_Description</t>
        </is>
      </c>
      <c r="C4" s="13" t="inlineStr">
        <is>
          <t>Likelihood</t>
        </is>
      </c>
      <c r="D4" s="13" t="inlineStr">
        <is>
          <t>Impact</t>
        </is>
      </c>
      <c r="E4" s="13" t="inlineStr">
        <is>
          <t>Risk_Score</t>
        </is>
      </c>
      <c r="F4" s="13" t="inlineStr">
        <is>
          <t>Inherent_Risk_Rating</t>
        </is>
      </c>
      <c r="G4" s="13" t="inlineStr">
        <is>
          <t>Risk_Treatment_Status</t>
        </is>
      </c>
    </row>
    <row r="5">
      <c r="A5" s="14" t="inlineStr">
        <is>
          <t>VULN-001</t>
        </is>
      </c>
      <c r="B5" s="14" t="inlineStr">
        <is>
          <t>RCE exploit enables full server compromise via unauthenticated HTTP</t>
        </is>
      </c>
      <c r="C5" s="14" t="inlineStr">
        <is>
          <t>High</t>
        </is>
      </c>
      <c r="D5" s="14" t="inlineStr">
        <is>
          <t>High</t>
        </is>
      </c>
      <c r="E5" s="14" t="n">
        <v>25</v>
      </c>
      <c r="F5" s="14" t="inlineStr">
        <is>
          <t>Critical</t>
        </is>
      </c>
      <c r="G5" s="14" t="inlineStr">
        <is>
          <t>Approved</t>
        </is>
      </c>
    </row>
    <row r="6">
      <c r="A6" s="15" t="n"/>
      <c r="B6" s="15" t="n"/>
      <c r="C6" s="15" t="n"/>
      <c r="D6" s="15" t="n"/>
      <c r="E6" s="15" t="n"/>
      <c r="F6" s="15" t="n"/>
      <c r="G6" s="15" t="n"/>
    </row>
    <row r="7">
      <c r="A7" s="15" t="n"/>
      <c r="B7" s="15" t="n"/>
      <c r="C7" s="15" t="n"/>
      <c r="D7" s="15" t="n"/>
      <c r="E7" s="15" t="n"/>
      <c r="F7" s="15" t="n"/>
      <c r="G7" s="15" t="n"/>
    </row>
    <row r="8">
      <c r="A8" s="15" t="n"/>
      <c r="B8" s="15" t="n"/>
      <c r="C8" s="15" t="n"/>
      <c r="D8" s="15" t="n"/>
      <c r="E8" s="15" t="n"/>
      <c r="F8" s="15" t="n"/>
      <c r="G8" s="15" t="n"/>
    </row>
    <row r="9">
      <c r="A9" s="15" t="n"/>
      <c r="B9" s="15" t="n"/>
      <c r="C9" s="15" t="n"/>
      <c r="D9" s="15" t="n"/>
      <c r="E9" s="15" t="n"/>
      <c r="F9" s="15" t="n"/>
      <c r="G9" s="15" t="n"/>
    </row>
    <row r="10">
      <c r="A10" s="15" t="n"/>
      <c r="B10" s="15" t="n"/>
      <c r="C10" s="15" t="n"/>
      <c r="D10" s="15" t="n"/>
      <c r="E10" s="15" t="n"/>
      <c r="F10" s="15" t="n"/>
      <c r="G10" s="15" t="n"/>
    </row>
    <row r="11">
      <c r="A11" s="15" t="n"/>
      <c r="B11" s="15" t="n"/>
      <c r="C11" s="15" t="n"/>
      <c r="D11" s="15" t="n"/>
      <c r="E11" s="15" t="n"/>
      <c r="F11" s="15" t="n"/>
      <c r="G11" s="15" t="n"/>
    </row>
    <row r="12">
      <c r="A12" s="15" t="n"/>
      <c r="B12" s="15" t="n"/>
      <c r="C12" s="15" t="n"/>
      <c r="D12" s="15" t="n"/>
      <c r="E12" s="15" t="n"/>
      <c r="F12" s="15" t="n"/>
      <c r="G12" s="15" t="n"/>
    </row>
    <row r="13">
      <c r="A13" s="15" t="n"/>
      <c r="B13" s="15" t="n"/>
      <c r="C13" s="15" t="n"/>
      <c r="D13" s="15" t="n"/>
      <c r="E13" s="15" t="n"/>
      <c r="F13" s="15" t="n"/>
      <c r="G13" s="15" t="n"/>
    </row>
    <row r="14">
      <c r="A14" s="15" t="n"/>
      <c r="B14" s="15" t="n"/>
      <c r="C14" s="15" t="n"/>
      <c r="D14" s="15" t="n"/>
      <c r="E14" s="15" t="n"/>
      <c r="F14" s="15" t="n"/>
      <c r="G14" s="15" t="n"/>
    </row>
    <row r="15">
      <c r="A15" s="15" t="n"/>
      <c r="B15" s="15" t="n"/>
      <c r="C15" s="15" t="n"/>
      <c r="D15" s="15" t="n"/>
      <c r="E15" s="15" t="n"/>
      <c r="F15" s="15" t="n"/>
      <c r="G15" s="15" t="n"/>
    </row>
    <row r="16">
      <c r="A16" s="15" t="n"/>
      <c r="B16" s="15" t="n"/>
      <c r="C16" s="15" t="n"/>
      <c r="D16" s="15" t="n"/>
      <c r="E16" s="15" t="n"/>
      <c r="F16" s="15" t="n"/>
      <c r="G16" s="15" t="n"/>
    </row>
    <row r="17">
      <c r="A17" s="15" t="n"/>
      <c r="B17" s="15" t="n"/>
      <c r="C17" s="15" t="n"/>
      <c r="D17" s="15" t="n"/>
      <c r="E17" s="15" t="n"/>
      <c r="F17" s="15" t="n"/>
      <c r="G17" s="15" t="n"/>
    </row>
    <row r="18">
      <c r="A18" s="15" t="n"/>
      <c r="B18" s="15" t="n"/>
      <c r="C18" s="15" t="n"/>
      <c r="D18" s="15" t="n"/>
      <c r="E18" s="15" t="n"/>
      <c r="F18" s="15" t="n"/>
      <c r="G18" s="15" t="n"/>
    </row>
    <row r="19">
      <c r="A19" s="15" t="n"/>
      <c r="B19" s="15" t="n"/>
      <c r="C19" s="15" t="n"/>
      <c r="D19" s="15" t="n"/>
      <c r="E19" s="15" t="n"/>
      <c r="F19" s="15" t="n"/>
      <c r="G19" s="15" t="n"/>
    </row>
    <row r="20">
      <c r="A20" s="15" t="n"/>
      <c r="B20" s="15" t="n"/>
      <c r="C20" s="15" t="n"/>
      <c r="D20" s="15" t="n"/>
      <c r="E20" s="15" t="n"/>
      <c r="F20" s="15" t="n"/>
      <c r="G20" s="15" t="n"/>
    </row>
    <row r="21">
      <c r="A21" s="15" t="n"/>
      <c r="B21" s="15" t="n"/>
      <c r="C21" s="15" t="n"/>
      <c r="D21" s="15" t="n"/>
      <c r="E21" s="15" t="n"/>
      <c r="F21" s="15" t="n"/>
      <c r="G21" s="15" t="n"/>
    </row>
    <row r="22">
      <c r="A22" s="15" t="n"/>
      <c r="B22" s="15" t="n"/>
      <c r="C22" s="15" t="n"/>
      <c r="D22" s="15" t="n"/>
      <c r="E22" s="15" t="n"/>
      <c r="F22" s="15" t="n"/>
      <c r="G22" s="15" t="n"/>
    </row>
    <row r="23">
      <c r="A23" s="15" t="n"/>
      <c r="B23" s="15" t="n"/>
      <c r="C23" s="15" t="n"/>
      <c r="D23" s="15" t="n"/>
      <c r="E23" s="15" t="n"/>
      <c r="F23" s="15" t="n"/>
      <c r="G23" s="15" t="n"/>
    </row>
    <row r="24">
      <c r="A24" s="15" t="n"/>
      <c r="B24" s="15" t="n"/>
      <c r="C24" s="15" t="n"/>
      <c r="D24" s="15" t="n"/>
      <c r="E24" s="15" t="n"/>
      <c r="F24" s="15" t="n"/>
      <c r="G24" s="15" t="n"/>
    </row>
    <row r="25">
      <c r="A25" s="15" t="n"/>
      <c r="B25" s="15" t="n"/>
      <c r="C25" s="15" t="n"/>
      <c r="D25" s="15" t="n"/>
      <c r="E25" s="15" t="n"/>
      <c r="F25" s="15" t="n"/>
      <c r="G25" s="15" t="n"/>
    </row>
    <row r="26">
      <c r="A26" s="15" t="n"/>
      <c r="B26" s="15" t="n"/>
      <c r="C26" s="15" t="n"/>
      <c r="D26" s="15" t="n"/>
      <c r="E26" s="15" t="n"/>
      <c r="F26" s="15" t="n"/>
      <c r="G26" s="15" t="n"/>
    </row>
    <row r="27">
      <c r="A27" s="15" t="n"/>
      <c r="B27" s="15" t="n"/>
      <c r="C27" s="15" t="n"/>
      <c r="D27" s="15" t="n"/>
      <c r="E27" s="15" t="n"/>
      <c r="F27" s="15" t="n"/>
      <c r="G27" s="15" t="n"/>
    </row>
    <row r="28">
      <c r="A28" s="15" t="n"/>
      <c r="B28" s="15" t="n"/>
      <c r="C28" s="15" t="n"/>
      <c r="D28" s="15" t="n"/>
      <c r="E28" s="15" t="n"/>
      <c r="F28" s="15" t="n"/>
      <c r="G28" s="15" t="n"/>
    </row>
    <row r="29">
      <c r="A29" s="15" t="n"/>
      <c r="B29" s="15" t="n"/>
      <c r="C29" s="15" t="n"/>
      <c r="D29" s="15" t="n"/>
      <c r="E29" s="15" t="n"/>
      <c r="F29" s="15" t="n"/>
      <c r="G29" s="15" t="n"/>
    </row>
    <row r="30">
      <c r="A30" s="15" t="n"/>
      <c r="B30" s="15" t="n"/>
      <c r="C30" s="15" t="n"/>
      <c r="D30" s="15" t="n"/>
      <c r="E30" s="15" t="n"/>
      <c r="F30" s="15" t="n"/>
      <c r="G30" s="15" t="n"/>
    </row>
    <row r="31">
      <c r="A31" s="15" t="n"/>
      <c r="B31" s="15" t="n"/>
      <c r="C31" s="15" t="n"/>
      <c r="D31" s="15" t="n"/>
      <c r="E31" s="15" t="n"/>
      <c r="F31" s="15" t="n"/>
      <c r="G31" s="15" t="n"/>
    </row>
    <row r="32">
      <c r="A32" s="15" t="n"/>
      <c r="B32" s="15" t="n"/>
      <c r="C32" s="15" t="n"/>
      <c r="D32" s="15" t="n"/>
      <c r="E32" s="15" t="n"/>
      <c r="F32" s="15" t="n"/>
      <c r="G32" s="15" t="n"/>
    </row>
    <row r="33">
      <c r="A33" s="15" t="n"/>
      <c r="B33" s="15" t="n"/>
      <c r="C33" s="15" t="n"/>
      <c r="D33" s="15" t="n"/>
      <c r="E33" s="15" t="n"/>
      <c r="F33" s="15" t="n"/>
      <c r="G33" s="15" t="n"/>
    </row>
    <row r="34">
      <c r="A34" s="15" t="n"/>
      <c r="B34" s="15" t="n"/>
      <c r="C34" s="15" t="n"/>
      <c r="D34" s="15" t="n"/>
      <c r="E34" s="15" t="n"/>
      <c r="F34" s="15" t="n"/>
      <c r="G34" s="15" t="n"/>
    </row>
    <row r="35">
      <c r="A35" s="15" t="n"/>
      <c r="B35" s="15" t="n"/>
      <c r="C35" s="15" t="n"/>
      <c r="D35" s="15" t="n"/>
      <c r="E35" s="15" t="n"/>
      <c r="F35" s="15" t="n"/>
      <c r="G35" s="15" t="n"/>
    </row>
    <row r="36">
      <c r="A36" s="15" t="n"/>
      <c r="B36" s="15" t="n"/>
      <c r="C36" s="15" t="n"/>
      <c r="D36" s="15" t="n"/>
      <c r="E36" s="15" t="n"/>
      <c r="F36" s="15" t="n"/>
      <c r="G36" s="15" t="n"/>
    </row>
    <row r="37">
      <c r="A37" s="15" t="n"/>
      <c r="B37" s="15" t="n"/>
      <c r="C37" s="15" t="n"/>
      <c r="D37" s="15" t="n"/>
      <c r="E37" s="15" t="n"/>
      <c r="F37" s="15" t="n"/>
      <c r="G37" s="15" t="n"/>
    </row>
    <row r="38">
      <c r="A38" s="15" t="n"/>
      <c r="B38" s="15" t="n"/>
      <c r="C38" s="15" t="n"/>
      <c r="D38" s="15" t="n"/>
      <c r="E38" s="15" t="n"/>
      <c r="F38" s="15" t="n"/>
      <c r="G38" s="15" t="n"/>
    </row>
    <row r="39">
      <c r="A39" s="15" t="n"/>
      <c r="B39" s="15" t="n"/>
      <c r="C39" s="15" t="n"/>
      <c r="D39" s="15" t="n"/>
      <c r="E39" s="15" t="n"/>
      <c r="F39" s="15" t="n"/>
      <c r="G39" s="15" t="n"/>
    </row>
    <row r="40">
      <c r="A40" s="15" t="n"/>
      <c r="B40" s="15" t="n"/>
      <c r="C40" s="15" t="n"/>
      <c r="D40" s="15" t="n"/>
      <c r="E40" s="15" t="n"/>
      <c r="F40" s="15" t="n"/>
      <c r="G40" s="15" t="n"/>
    </row>
    <row r="41">
      <c r="A41" s="15" t="n"/>
      <c r="B41" s="15" t="n"/>
      <c r="C41" s="15" t="n"/>
      <c r="D41" s="15" t="n"/>
      <c r="E41" s="15" t="n"/>
      <c r="F41" s="15" t="n"/>
      <c r="G41" s="15" t="n"/>
    </row>
    <row r="42">
      <c r="A42" s="15" t="n"/>
      <c r="B42" s="15" t="n"/>
      <c r="C42" s="15" t="n"/>
      <c r="D42" s="15" t="n"/>
      <c r="E42" s="15" t="n"/>
      <c r="F42" s="15" t="n"/>
      <c r="G42" s="15" t="n"/>
    </row>
    <row r="43">
      <c r="A43" s="15" t="n"/>
      <c r="B43" s="15" t="n"/>
      <c r="C43" s="15" t="n"/>
      <c r="D43" s="15" t="n"/>
      <c r="E43" s="15" t="n"/>
      <c r="F43" s="15" t="n"/>
      <c r="G43" s="15" t="n"/>
    </row>
    <row r="44">
      <c r="A44" s="15" t="n"/>
      <c r="B44" s="15" t="n"/>
      <c r="C44" s="15" t="n"/>
      <c r="D44" s="15" t="n"/>
      <c r="E44" s="15" t="n"/>
      <c r="F44" s="15" t="n"/>
      <c r="G44" s="15" t="n"/>
    </row>
    <row r="45">
      <c r="A45" s="15" t="n"/>
      <c r="B45" s="15" t="n"/>
      <c r="C45" s="15" t="n"/>
      <c r="D45" s="15" t="n"/>
      <c r="E45" s="15" t="n"/>
      <c r="F45" s="15" t="n"/>
      <c r="G45" s="15" t="n"/>
    </row>
    <row r="46">
      <c r="A46" s="15" t="n"/>
      <c r="B46" s="15" t="n"/>
      <c r="C46" s="15" t="n"/>
      <c r="D46" s="15" t="n"/>
      <c r="E46" s="15" t="n"/>
      <c r="F46" s="15" t="n"/>
      <c r="G46" s="15" t="n"/>
    </row>
    <row r="47">
      <c r="A47" s="15" t="n"/>
      <c r="B47" s="15" t="n"/>
      <c r="C47" s="15" t="n"/>
      <c r="D47" s="15" t="n"/>
      <c r="E47" s="15" t="n"/>
      <c r="F47" s="15" t="n"/>
      <c r="G47" s="15" t="n"/>
    </row>
    <row r="48">
      <c r="A48" s="15" t="n"/>
      <c r="B48" s="15" t="n"/>
      <c r="C48" s="15" t="n"/>
      <c r="D48" s="15" t="n"/>
      <c r="E48" s="15" t="n"/>
      <c r="F48" s="15" t="n"/>
      <c r="G48" s="15" t="n"/>
    </row>
    <row r="49">
      <c r="A49" s="15" t="n"/>
      <c r="B49" s="15" t="n"/>
      <c r="C49" s="15" t="n"/>
      <c r="D49" s="15" t="n"/>
      <c r="E49" s="15" t="n"/>
      <c r="F49" s="15" t="n"/>
      <c r="G49" s="15" t="n"/>
    </row>
    <row r="50">
      <c r="A50" s="15" t="n"/>
      <c r="B50" s="15" t="n"/>
      <c r="C50" s="15" t="n"/>
      <c r="D50" s="15" t="n"/>
      <c r="E50" s="15" t="n"/>
      <c r="F50" s="15" t="n"/>
      <c r="G50" s="15" t="n"/>
    </row>
    <row r="51">
      <c r="A51" s="15" t="n"/>
      <c r="B51" s="15" t="n"/>
      <c r="C51" s="15" t="n"/>
      <c r="D51" s="15" t="n"/>
      <c r="E51" s="15" t="n"/>
      <c r="F51" s="15" t="n"/>
      <c r="G51" s="15" t="n"/>
    </row>
    <row r="52">
      <c r="A52" s="15" t="n"/>
      <c r="B52" s="15" t="n"/>
      <c r="C52" s="15" t="n"/>
      <c r="D52" s="15" t="n"/>
      <c r="E52" s="15" t="n"/>
      <c r="F52" s="15" t="n"/>
      <c r="G52" s="15" t="n"/>
    </row>
    <row r="53">
      <c r="A53" s="15" t="n"/>
      <c r="B53" s="15" t="n"/>
      <c r="C53" s="15" t="n"/>
      <c r="D53" s="15" t="n"/>
      <c r="E53" s="15" t="n"/>
      <c r="F53" s="15" t="n"/>
      <c r="G53" s="15" t="n"/>
    </row>
    <row r="54">
      <c r="A54" s="15" t="n"/>
      <c r="B54" s="15" t="n"/>
      <c r="C54" s="15" t="n"/>
      <c r="D54" s="15" t="n"/>
      <c r="E54" s="15" t="n"/>
      <c r="F54" s="15" t="n"/>
      <c r="G54" s="15" t="n"/>
    </row>
    <row r="55">
      <c r="A55" s="15" t="n"/>
      <c r="B55" s="15" t="n"/>
      <c r="C55" s="15" t="n"/>
      <c r="D55" s="15" t="n"/>
      <c r="E55" s="15" t="n"/>
      <c r="F55" s="15" t="n"/>
      <c r="G55" s="15" t="n"/>
    </row>
  </sheetData>
  <mergeCells count="3">
    <mergeCell ref="A3:G3"/>
    <mergeCell ref="A2:G2"/>
    <mergeCell ref="A1:G1"/>
  </mergeCells>
  <dataValidations count="4">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"High,Medium,Low"</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1" type="list">
      <formula1>"High,Medium,Low"</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"Critical,High,Medium,Low"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"Assessed,Pending Approval,Approved,Rejected"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50" customWidth="1" min="4" max="4"/>
    <col width="22" customWidth="1" min="5" max="5"/>
    <col width="20" customWidth="1" min="6" max="6"/>
    <col width="16" customWidth="1" min="7" max="7"/>
    <col width="16" customWidth="1" min="8" max="8"/>
    <col width="16" customWidth="1" min="9" max="9"/>
    <col width="40" customWidth="1" min="10" max="10"/>
    <col width="20" customWidth="1" min="11" max="11"/>
    <col width="16" customWidth="1" min="12" max="12"/>
  </cols>
  <sheetData>
    <row r="1" ht="35" customHeight="1">
      <c r="A1" s="11" t="inlineStr">
        <is>
          <t>ISMS-IMP-A.8.8.2  —  RISK TREATMENT</t>
        </is>
      </c>
    </row>
    <row r="2">
      <c r="A2" s="12" t="inlineStr">
        <is>
          <t>ISO/IEC 27001:2022 — Control A.8.8: Risk Treatment Decisions</t>
        </is>
      </c>
    </row>
    <row r="3">
      <c r="A3" s="6" t="n"/>
    </row>
    <row r="4">
      <c r="A4" s="13" t="inlineStr">
        <is>
          <t>Decision_ID</t>
        </is>
      </c>
      <c r="B4" s="13" t="inlineStr">
        <is>
          <t>Vuln_ID</t>
        </is>
      </c>
      <c r="C4" s="13" t="inlineStr">
        <is>
          <t>Treatment_Option</t>
        </is>
      </c>
      <c r="D4" s="13" t="inlineStr">
        <is>
          <t>Treatment_Description</t>
        </is>
      </c>
      <c r="E4" s="13" t="inlineStr">
        <is>
          <t>Risk_Owner</t>
        </is>
      </c>
      <c r="F4" s="13" t="inlineStr">
        <is>
          <t>Approved_By</t>
        </is>
      </c>
      <c r="G4" s="13" t="inlineStr">
        <is>
          <t>Approval_Date</t>
        </is>
      </c>
      <c r="H4" s="13" t="inlineStr">
        <is>
          <t>Decision_Date</t>
        </is>
      </c>
      <c r="I4" s="13" t="inlineStr">
        <is>
          <t>Review_Due_Date</t>
        </is>
      </c>
      <c r="J4" s="13" t="inlineStr">
        <is>
          <t>Implementation_Notes</t>
        </is>
      </c>
      <c r="K4" s="13" t="inlineStr">
        <is>
          <t>Residual_Risk_Level</t>
        </is>
      </c>
      <c r="L4" s="13" t="inlineStr">
        <is>
          <t>Status</t>
        </is>
      </c>
    </row>
    <row r="5">
      <c r="A5" s="14" t="inlineStr">
        <is>
          <t>TRT-001</t>
        </is>
      </c>
      <c r="B5" s="14" t="inlineStr">
        <is>
          <t>VULN-001</t>
        </is>
      </c>
      <c r="C5" s="14" t="inlineStr">
        <is>
          <t>Remediate</t>
        </is>
      </c>
      <c r="D5" s="14" t="inlineStr">
        <is>
          <t>Apply Apache patch 2.4.51 and harden HTTP configuration</t>
        </is>
      </c>
      <c r="E5" s="14" t="inlineStr">
        <is>
          <t>Infrastructure Lead</t>
        </is>
      </c>
      <c r="F5" s="14" t="inlineStr">
        <is>
          <t>CISO</t>
        </is>
      </c>
      <c r="G5" s="14" t="inlineStr">
        <is>
          <t>20/01/2024</t>
        </is>
      </c>
      <c r="H5" s="14" t="inlineStr">
        <is>
          <t>21/01/2024</t>
        </is>
      </c>
      <c r="I5" s="14" t="inlineStr">
        <is>
          <t>30/01/2024</t>
        </is>
      </c>
      <c r="J5" s="14" t="inlineStr">
        <is>
          <t>Emergency patch approved; CAB bypass authorised</t>
        </is>
      </c>
      <c r="K5" s="14" t="inlineStr">
        <is>
          <t>Low</t>
        </is>
      </c>
      <c r="L5" s="14" t="inlineStr">
        <is>
          <t>Implemented</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3">
    <mergeCell ref="A3:L3"/>
    <mergeCell ref="A2:L2"/>
    <mergeCell ref="A1:L1"/>
  </mergeCells>
  <dataValidations count="3">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"Remediate,Mitigate,Accept,Transfer"</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"High,Medium,Low,Negligible"</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"Open,Approved,Implemented,Expired"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6" t="inlineStr">
        <is>
          <t>EVIDENCE REGISTER</t>
        </is>
      </c>
    </row>
    <row r="2">
      <c r="A2" s="17" t="inlineStr">
        <is>
          <t>ISO/IEC 27001:2022 Annex A — Control A.8.8: Management of Technical Vulnerabilities</t>
        </is>
      </c>
    </row>
    <row r="3">
      <c r="A3" s="6" t="n"/>
    </row>
    <row r="4">
      <c r="A4" s="18" t="inlineStr">
        <is>
          <t>Evidence ID</t>
        </is>
      </c>
      <c r="B4" s="18" t="inlineStr">
        <is>
          <t>Evidence Type</t>
        </is>
      </c>
      <c r="C4" s="18" t="inlineStr">
        <is>
          <t>Description</t>
        </is>
      </c>
      <c r="D4" s="18" t="inlineStr">
        <is>
          <t>Related Control / Section</t>
        </is>
      </c>
      <c r="E4" s="18" t="inlineStr">
        <is>
          <t>Collection Date (DD.MM.YYYY)</t>
        </is>
      </c>
      <c r="F4" s="18" t="inlineStr">
        <is>
          <t>Storage Location / Reference</t>
        </is>
      </c>
      <c r="G4" s="18" t="inlineStr">
        <is>
          <t>Collected By</t>
        </is>
      </c>
      <c r="H4" s="18" t="inlineStr">
        <is>
          <t>Status</t>
        </is>
      </c>
    </row>
    <row r="5">
      <c r="A5" s="19" t="inlineStr">
        <is>
          <t>EV-001</t>
        </is>
      </c>
      <c r="B5" s="19" t="inlineStr">
        <is>
          <t>Vulnerability Report</t>
        </is>
      </c>
      <c r="C5" s="19" t="inlineStr">
        <is>
          <t>Sample evidence entry — replace with actual evidence</t>
        </is>
      </c>
      <c r="D5" s="19" t="inlineStr">
        <is>
          <t>A.8.8 Vulnerability Inventory</t>
        </is>
      </c>
      <c r="E5" s="19" t="inlineStr">
        <is>
          <t>01.01.2026</t>
        </is>
      </c>
      <c r="F5" s="19" t="inlineStr">
        <is>
          <t>SharePoint/ISMS/A.8.8/S2/Evidence/</t>
        </is>
      </c>
      <c r="G5" s="19" t="inlineStr">
        <is>
          <t>Security Team</t>
        </is>
      </c>
      <c r="H5" s="19" t="inlineStr">
        <is>
          <t>Active</t>
        </is>
      </c>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6" t="inlineStr">
        <is>
          <t>VULNERABILITY INVENTORY, SCORING &amp; RISK — SUMMARY DASHBOARD</t>
        </is>
      </c>
      <c r="B1" s="6" t="n"/>
      <c r="C1" s="6" t="n"/>
      <c r="D1" s="6" t="n"/>
      <c r="E1" s="6" t="n"/>
      <c r="F1" s="6" t="n"/>
      <c r="G1" s="6" t="n"/>
    </row>
    <row r="2">
      <c r="A2" s="21" t="inlineStr">
        <is>
          <t>ISO/IEC 27001:2022 — Control A.8.8: Management of Technical Vulnerabilities</t>
        </is>
      </c>
    </row>
    <row r="4">
      <c r="A4" s="22" t="inlineStr">
        <is>
          <t>TABLE 1: ASSESSMENT AREA COMPLIANCE OVERVIEW</t>
        </is>
      </c>
    </row>
    <row r="5">
      <c r="A5" s="23" t="inlineStr">
        <is>
          <t>Assessment Area</t>
        </is>
      </c>
      <c r="B5" s="23" t="inlineStr">
        <is>
          <t>Total Items</t>
        </is>
      </c>
      <c r="C5" s="23" t="inlineStr">
        <is>
          <t>Compliant</t>
        </is>
      </c>
      <c r="D5" s="23" t="inlineStr">
        <is>
          <t>Partial / Warning</t>
        </is>
      </c>
      <c r="E5" s="23" t="inlineStr">
        <is>
          <t>Non-Compliant</t>
        </is>
      </c>
      <c r="F5" s="23" t="inlineStr">
        <is>
          <t>N/A</t>
        </is>
      </c>
      <c r="G5" s="23" t="inlineStr">
        <is>
          <t>Compliance %</t>
        </is>
      </c>
    </row>
    <row r="6">
      <c r="A6" s="24" t="inlineStr">
        <is>
          <t>Vulnerability Inventory</t>
        </is>
      </c>
      <c r="B6" s="25">
        <f>COUNTA('Vulnerability Inventory'!A6:A55)</f>
        <v/>
      </c>
      <c r="C6" s="25">
        <f>COUNTIF('Vulnerability Inventory'!Z6:Z55,"Complete")+COUNTIF('Vulnerability Inventory'!Z6:Z55,"Risk Accepted")</f>
        <v/>
      </c>
      <c r="D6" s="25">
        <f>COUNTIF('Vulnerability Inventory'!Z6:Z55,"In Progress")+COUNTIF('Vulnerability Inventory'!Z6:Z55,"Testing")</f>
        <v/>
      </c>
      <c r="E6" s="25">
        <f>COUNTIF('Vulnerability Inventory'!Z6:Z55,"Open")</f>
        <v/>
      </c>
      <c r="F6" s="25" t="inlineStr">
        <is>
          <t>0</t>
        </is>
      </c>
      <c r="G6" s="26">
        <f>IF((B6-F6)=0,0,C6/(B6-F6))</f>
        <v/>
      </c>
    </row>
    <row r="7">
      <c r="A7" s="24" t="inlineStr">
        <is>
          <t>Vulnerability Scoring</t>
        </is>
      </c>
      <c r="B7" s="25">
        <f>COUNTA('Vulnerability Scoring'!A6:A55)</f>
        <v/>
      </c>
      <c r="C7" s="25">
        <f>COUNTIF('Vulnerability Scoring'!H6:H55,"v4.0 Scored")</f>
        <v/>
      </c>
      <c r="D7" s="25">
        <f>COUNTIF('Vulnerability Scoring'!H6:H55,"v3.1 Only")</f>
        <v/>
      </c>
      <c r="E7" s="25">
        <f>COUNTIF('Vulnerability Scoring'!H6:H55,"Unscored")</f>
        <v/>
      </c>
      <c r="F7" s="25" t="inlineStr">
        <is>
          <t>0</t>
        </is>
      </c>
      <c r="G7" s="26">
        <f>IF((B7-F7)=0,0,C7/(B7-F7))</f>
        <v/>
      </c>
    </row>
    <row r="8">
      <c r="A8" s="24" t="inlineStr">
        <is>
          <t>Asset Criticality</t>
        </is>
      </c>
      <c r="B8" s="25">
        <f>COUNTA('Asset Criticality'!A6:A55)</f>
        <v/>
      </c>
      <c r="C8" s="25">
        <f>COUNTIF('Asset Criticality'!H6:H55,"Validated")</f>
        <v/>
      </c>
      <c r="D8" s="25">
        <f>COUNTIF('Asset Criticality'!H6:H55,"Needs Review")</f>
        <v/>
      </c>
      <c r="E8" s="25">
        <f>COUNTIF('Asset Criticality'!H6:H55,"Overdue")</f>
        <v/>
      </c>
      <c r="F8" s="25" t="inlineStr">
        <is>
          <t>0</t>
        </is>
      </c>
      <c r="G8" s="26">
        <f>IF((B8-F8)=0,0,C8/(B8-F8))</f>
        <v/>
      </c>
    </row>
    <row r="9">
      <c r="A9" s="24" t="inlineStr">
        <is>
          <t>Risk Assessment</t>
        </is>
      </c>
      <c r="B9" s="25">
        <f>COUNTA('Risk Assessment'!A6:A55)</f>
        <v/>
      </c>
      <c r="C9" s="25">
        <f>COUNTIF('Risk Assessment'!G6:G55,"Approved")</f>
        <v/>
      </c>
      <c r="D9" s="25">
        <f>COUNTIF('Risk Assessment'!G6:G55,"Pending Approval")</f>
        <v/>
      </c>
      <c r="E9" s="25">
        <f>COUNTIF('Risk Assessment'!G6:G55,"Rejected")+COUNTIF('Risk Assessment'!G6:G55,"Assessed")</f>
        <v/>
      </c>
      <c r="F9" s="25" t="inlineStr">
        <is>
          <t>0</t>
        </is>
      </c>
      <c r="G9" s="26">
        <f>IF((B9-F9)=0,0,C9/(B9-F9))</f>
        <v/>
      </c>
    </row>
    <row r="10">
      <c r="A10" s="24" t="inlineStr">
        <is>
          <t>Risk Treatment</t>
        </is>
      </c>
      <c r="B10" s="25">
        <f>COUNTA('Risk Treatment'!A6:A55)</f>
        <v/>
      </c>
      <c r="C10" s="25">
        <f>COUNTIF('Risk Treatment'!L6:L55,"Implemented")</f>
        <v/>
      </c>
      <c r="D10" s="25">
        <f>COUNTIF('Risk Treatment'!L6:L55,"Approved")</f>
        <v/>
      </c>
      <c r="E10" s="25">
        <f>COUNTIF('Risk Treatment'!L6:L55,"Open")+COUNTIF('Risk Treatment'!L6:L55,"Expired")</f>
        <v/>
      </c>
      <c r="F10" s="25" t="inlineStr">
        <is>
          <t>0</t>
        </is>
      </c>
      <c r="G10" s="26">
        <f>IF((B10-F10)=0,0,C10/(B10-F10))</f>
        <v/>
      </c>
    </row>
    <row r="11">
      <c r="A11" s="27" t="inlineStr">
        <is>
          <t>TOTAL</t>
        </is>
      </c>
      <c r="B11" s="28">
        <f>SUM(B6:B10)</f>
        <v/>
      </c>
      <c r="C11" s="28">
        <f>SUM(C6:C10)</f>
        <v/>
      </c>
      <c r="D11" s="28">
        <f>SUM(D6:D10)</f>
        <v/>
      </c>
      <c r="E11" s="28">
        <f>SUM(E6:E10)</f>
        <v/>
      </c>
      <c r="F11" s="28">
        <f>SUM(F6:F10)</f>
        <v/>
      </c>
      <c r="G11" s="29">
        <f>IF((B11-F11)=0,0,C11/(B11-F11))</f>
        <v/>
      </c>
    </row>
    <row r="13">
      <c r="A13" s="22" t="inlineStr">
        <is>
          <t>TABLE 2: KEY METRICS</t>
        </is>
      </c>
    </row>
    <row r="14">
      <c r="A14" s="27" t="inlineStr">
        <is>
          <t>Metric</t>
        </is>
      </c>
      <c r="B14" s="28" t="inlineStr">
        <is>
          <t>Value</t>
        </is>
      </c>
      <c r="C14" s="28" t="inlineStr"/>
      <c r="D14" s="28" t="inlineStr"/>
      <c r="E14" s="28" t="inlineStr"/>
      <c r="F14" s="28" t="inlineStr"/>
      <c r="G14" s="28" t="inlineStr"/>
    </row>
    <row r="15">
      <c r="A15" s="27" t="inlineStr">
        <is>
          <t>Vulnerability Backlog</t>
        </is>
      </c>
    </row>
    <row r="16">
      <c r="A16" s="24" t="inlineStr">
        <is>
          <t>Total Vulnerabilities in Inventory</t>
        </is>
      </c>
      <c r="B16" s="25">
        <f>COUNTA('Vulnerability Inventory'!A6:A55)</f>
        <v/>
      </c>
      <c r="C16" s="30" t="n"/>
      <c r="D16" s="30" t="n"/>
      <c r="E16" s="30" t="n"/>
      <c r="F16" s="30" t="n"/>
      <c r="G16" s="30" t="n"/>
    </row>
    <row r="17">
      <c r="A17" s="24" t="inlineStr">
        <is>
          <t>P0 — Emergency (Open)</t>
        </is>
      </c>
      <c r="B17" s="25">
        <f>COUNTIFS('Vulnerability Inventory'!V6:V55,"P0",'Vulnerability Inventory'!Z6:Z55,"Open")</f>
        <v/>
      </c>
      <c r="C17" s="30" t="n"/>
      <c r="D17" s="30" t="n"/>
      <c r="E17" s="30" t="n"/>
      <c r="F17" s="30" t="n"/>
      <c r="G17" s="30" t="n"/>
    </row>
    <row r="18">
      <c r="A18" s="24" t="inlineStr">
        <is>
          <t>P1 — Critical (Open)</t>
        </is>
      </c>
      <c r="B18" s="25">
        <f>COUNTIFS('Vulnerability Inventory'!V6:V55,"P1",'Vulnerability Inventory'!Z6:Z55,"Open")</f>
        <v/>
      </c>
      <c r="C18" s="30" t="n"/>
      <c r="D18" s="30" t="n"/>
      <c r="E18" s="30" t="n"/>
      <c r="F18" s="30" t="n"/>
      <c r="G18" s="30" t="n"/>
    </row>
    <row r="19">
      <c r="A19" s="24" t="inlineStr">
        <is>
          <t>P2 — High (Open)</t>
        </is>
      </c>
      <c r="B19" s="25">
        <f>COUNTIFS('Vulnerability Inventory'!V6:V55,"P2",'Vulnerability Inventory'!Z6:Z55,"Open")</f>
        <v/>
      </c>
      <c r="C19" s="30" t="n"/>
      <c r="D19" s="30" t="n"/>
      <c r="E19" s="30" t="n"/>
      <c r="F19" s="30" t="n"/>
      <c r="G19" s="30" t="n"/>
    </row>
    <row r="20">
      <c r="A20" s="24" t="inlineStr">
        <is>
          <t>KEV-Listed Vulnerabilities</t>
        </is>
      </c>
      <c r="B20" s="25">
        <f>COUNTIF('Vulnerability Inventory'!F6:F55,"YES")</f>
        <v/>
      </c>
      <c r="C20" s="30" t="n"/>
      <c r="D20" s="30" t="n"/>
      <c r="E20" s="30" t="n"/>
      <c r="F20" s="30" t="n"/>
      <c r="G20" s="30" t="n"/>
    </row>
    <row r="21">
      <c r="A21" s="24" t="inlineStr">
        <is>
          <t>KEV-Listed — Not Remediated</t>
        </is>
      </c>
      <c r="B21" s="25">
        <f>COUNTIFS('Vulnerability Inventory'!F6:F55,"YES",'Vulnerability Inventory'!Z6:Z55,"Open")</f>
        <v/>
      </c>
      <c r="C21" s="30" t="n"/>
      <c r="D21" s="30" t="n"/>
      <c r="E21" s="30" t="n"/>
      <c r="F21" s="30" t="n"/>
      <c r="G21" s="30" t="n"/>
    </row>
    <row r="22">
      <c r="A22" s="24" t="inlineStr">
        <is>
          <t>Remediated (Complete)</t>
        </is>
      </c>
      <c r="B22" s="25">
        <f>COUNTIF('Vulnerability Inventory'!Z6:Z55,"Complete")</f>
        <v/>
      </c>
      <c r="C22" s="30" t="n"/>
      <c r="D22" s="30" t="n"/>
      <c r="E22" s="30" t="n"/>
      <c r="F22" s="30" t="n"/>
      <c r="G22" s="30" t="n"/>
    </row>
    <row r="23">
      <c r="A23" s="24" t="inlineStr">
        <is>
          <t>Risk Accepted</t>
        </is>
      </c>
      <c r="B23" s="25">
        <f>COUNTIF('Vulnerability Inventory'!Z6:Z55,"Risk Accepted")</f>
        <v/>
      </c>
      <c r="C23" s="30" t="n"/>
      <c r="D23" s="30" t="n"/>
      <c r="E23" s="30" t="n"/>
      <c r="F23" s="30" t="n"/>
      <c r="G23" s="30" t="n"/>
    </row>
    <row r="24">
      <c r="A24" s="27" t="inlineStr">
        <is>
          <t>Scoring &amp; Assessment</t>
        </is>
      </c>
    </row>
    <row r="25">
      <c r="A25" s="24" t="inlineStr">
        <is>
          <t>CVSS v4.0 Scored %</t>
        </is>
      </c>
      <c r="B25" s="26">
        <f>IFERROR(COUNTIF('Vulnerability Scoring'!H6:H55,"v4.0 Scored")/COUNTA('Vulnerability Scoring'!A6:A55),0)</f>
        <v/>
      </c>
      <c r="C25" s="30" t="n"/>
      <c r="D25" s="30" t="n"/>
      <c r="E25" s="30" t="n"/>
      <c r="F25" s="30" t="n"/>
      <c r="G25" s="30" t="n"/>
    </row>
    <row r="26">
      <c r="A26" s="27" t="inlineStr">
        <is>
          <t>Asset &amp; Risk Management</t>
        </is>
      </c>
    </row>
    <row r="27">
      <c r="A27" s="24" t="inlineStr">
        <is>
          <t>Assets in Criticality Register</t>
        </is>
      </c>
      <c r="B27" s="25">
        <f>COUNTA('Asset Criticality'!A6:A55)</f>
        <v/>
      </c>
      <c r="C27" s="30" t="n"/>
      <c r="D27" s="30" t="n"/>
      <c r="E27" s="30" t="n"/>
      <c r="F27" s="30" t="n"/>
      <c r="G27" s="30" t="n"/>
    </row>
    <row r="28">
      <c r="A28" s="24" t="inlineStr">
        <is>
          <t>Risk Treatment Decisions — Pending</t>
        </is>
      </c>
      <c r="B28" s="25">
        <f>COUNTIF('Risk Treatment'!L6:L55,"Open")</f>
        <v/>
      </c>
      <c r="C28" s="30" t="n"/>
      <c r="D28" s="30" t="n"/>
      <c r="E28" s="30" t="n"/>
      <c r="F28" s="30" t="n"/>
      <c r="G28" s="30" t="n"/>
    </row>
    <row r="29">
      <c r="A29" s="24" t="inlineStr">
        <is>
          <t>Risk Treatment Decisions — Implemented</t>
        </is>
      </c>
      <c r="B29" s="25">
        <f>COUNTIF('Risk Treatment'!L6:L55,"Implemented")</f>
        <v/>
      </c>
      <c r="C29" s="30" t="n"/>
      <c r="D29" s="30" t="n"/>
      <c r="E29" s="30" t="n"/>
      <c r="F29" s="30" t="n"/>
      <c r="G29" s="30" t="n"/>
    </row>
    <row r="31">
      <c r="A31" s="31" t="inlineStr">
        <is>
          <t>TABLE 3: CRITICAL FINDINGS REQUIRING ACTION</t>
        </is>
      </c>
    </row>
    <row r="32">
      <c r="A32" s="27" t="inlineStr">
        <is>
          <t>Category</t>
        </is>
      </c>
      <c r="B32" s="28" t="inlineStr">
        <is>
          <t>Finding</t>
        </is>
      </c>
      <c r="C32" s="28" t="inlineStr">
        <is>
          <t>Count</t>
        </is>
      </c>
      <c r="D32" s="28" t="inlineStr">
        <is>
          <t>Severity</t>
        </is>
      </c>
      <c r="E32" s="28" t="inlineStr">
        <is>
          <t>Action Required</t>
        </is>
      </c>
      <c r="F32" s="28" t="inlineStr"/>
      <c r="G32" s="28" t="inlineStr"/>
    </row>
    <row r="33">
      <c r="A33" s="32" t="inlineStr">
        <is>
          <t>Emergency</t>
        </is>
      </c>
      <c r="B33" s="32" t="inlineStr">
        <is>
          <t>P0 Emergency vulnerabilities — Open</t>
        </is>
      </c>
      <c r="C33" s="33">
        <f>COUNTIFS('Vulnerability Inventory'!V6:V55,"P0",'Vulnerability Inventory'!Z6:Z55,"Open")</f>
        <v/>
      </c>
      <c r="D33" s="33" t="inlineStr">
        <is>
          <t>Critical</t>
        </is>
      </c>
      <c r="E33" s="33" t="inlineStr">
        <is>
          <t>Immediate</t>
        </is>
      </c>
      <c r="F33" s="33" t="inlineStr"/>
      <c r="G33" s="33" t="inlineStr"/>
    </row>
    <row r="34">
      <c r="A34" s="32" t="inlineStr">
        <is>
          <t>KEV Compliance</t>
        </is>
      </c>
      <c r="B34" s="32" t="inlineStr">
        <is>
          <t>KEV-listed vulnerabilities — Not Remediated</t>
        </is>
      </c>
      <c r="C34" s="33">
        <f>COUNTIFS('Vulnerability Inventory'!F6:F55,"YES",'Vulnerability Inventory'!Z6:Z55,"Open")</f>
        <v/>
      </c>
      <c r="D34" s="33" t="inlineStr">
        <is>
          <t>Critical</t>
        </is>
      </c>
      <c r="E34" s="33" t="inlineStr">
        <is>
          <t>Immediate</t>
        </is>
      </c>
      <c r="F34" s="33" t="inlineStr"/>
      <c r="G34" s="33" t="inlineStr"/>
    </row>
    <row r="35">
      <c r="A35" s="32" t="inlineStr">
        <is>
          <t>Priority</t>
        </is>
      </c>
      <c r="B35" s="32" t="inlineStr">
        <is>
          <t>P1 Critical vulnerabilities — Open</t>
        </is>
      </c>
      <c r="C35" s="33">
        <f>COUNTIFS('Vulnerability Inventory'!V6:V55,"P1",'Vulnerability Inventory'!Z6:Z55,"Open")</f>
        <v/>
      </c>
      <c r="D35" s="33" t="inlineStr">
        <is>
          <t>Critical</t>
        </is>
      </c>
      <c r="E35" s="33" t="inlineStr">
        <is>
          <t>Immediate</t>
        </is>
      </c>
      <c r="F35" s="33" t="inlineStr"/>
      <c r="G35" s="33" t="inlineStr"/>
    </row>
    <row r="36">
      <c r="A36" s="34" t="inlineStr">
        <is>
          <t>Risk Assessment</t>
        </is>
      </c>
      <c r="B36" s="34" t="inlineStr">
        <is>
          <t>Risk treatment decisions pending approval</t>
        </is>
      </c>
      <c r="C36" s="35">
        <f>COUNTIF('Risk Treatment'!L6:L55,"Open")</f>
        <v/>
      </c>
      <c r="D36" s="35" t="inlineStr">
        <is>
          <t>High</t>
        </is>
      </c>
      <c r="E36" s="35" t="inlineStr">
        <is>
          <t>Urgent</t>
        </is>
      </c>
      <c r="F36" s="35" t="inlineStr"/>
      <c r="G36" s="35" t="inlineStr"/>
    </row>
    <row r="37">
      <c r="A37" s="34" t="inlineStr">
        <is>
          <t>Risk Assessment</t>
        </is>
      </c>
      <c r="B37" s="34" t="inlineStr">
        <is>
          <t>Risk treatment decisions expired</t>
        </is>
      </c>
      <c r="C37" s="35">
        <f>COUNTIF('Risk Treatment'!L6:L55,"Expired")</f>
        <v/>
      </c>
      <c r="D37" s="35" t="inlineStr">
        <is>
          <t>High</t>
        </is>
      </c>
      <c r="E37" s="35" t="inlineStr">
        <is>
          <t>Urgent</t>
        </is>
      </c>
      <c r="F37" s="35" t="inlineStr"/>
      <c r="G37" s="35" t="inlineStr"/>
    </row>
    <row r="38">
      <c r="A38" s="34" t="inlineStr">
        <is>
          <t>Scoring</t>
        </is>
      </c>
      <c r="B38" s="34" t="inlineStr">
        <is>
          <t>Vulnerabilities with no CVSS score</t>
        </is>
      </c>
      <c r="C38" s="35">
        <f>COUNTIF('Vulnerability Scoring'!H6:H55,"Unscored")</f>
        <v/>
      </c>
      <c r="D38" s="35" t="inlineStr">
        <is>
          <t>High</t>
        </is>
      </c>
      <c r="E38" s="35" t="inlineStr">
        <is>
          <t>Urgent</t>
        </is>
      </c>
      <c r="F38" s="35" t="inlineStr"/>
      <c r="G38" s="35" t="inlineStr"/>
    </row>
    <row r="39">
      <c r="A39" s="36" t="inlineStr">
        <is>
          <t>Asset Criticality</t>
        </is>
      </c>
      <c r="B39" s="36" t="inlineStr">
        <is>
          <t>Asset criticality assessments overdue</t>
        </is>
      </c>
      <c r="C39" s="37">
        <f>COUNTIF('Asset Criticality'!H6:H55,"Overdue")</f>
        <v/>
      </c>
      <c r="D39" s="37" t="inlineStr">
        <is>
          <t>Medium</t>
        </is>
      </c>
      <c r="E39" s="37" t="inlineStr">
        <is>
          <t>Plan</t>
        </is>
      </c>
      <c r="F39" s="37" t="inlineStr"/>
      <c r="G39" s="37" t="inlineStr"/>
    </row>
    <row r="40">
      <c r="A40" s="36" t="inlineStr">
        <is>
          <t>Priority</t>
        </is>
      </c>
      <c r="B40" s="36" t="inlineStr">
        <is>
          <t>P2 High vulnerabilities — Open</t>
        </is>
      </c>
      <c r="C40" s="37">
        <f>COUNTIFS('Vulnerability Inventory'!V6:V55,"P2",'Vulnerability Inventory'!Z6:Z55,"Open")</f>
        <v/>
      </c>
      <c r="D40" s="37" t="inlineStr">
        <is>
          <t>Medium</t>
        </is>
      </c>
      <c r="E40" s="37" t="inlineStr">
        <is>
          <t>Plan</t>
        </is>
      </c>
      <c r="F40" s="37" t="inlineStr"/>
      <c r="G40" s="37" t="inlineStr"/>
    </row>
  </sheetData>
  <mergeCells count="8">
    <mergeCell ref="A13:G13"/>
    <mergeCell ref="A1:G1"/>
    <mergeCell ref="A31:G31"/>
    <mergeCell ref="A4:G4"/>
    <mergeCell ref="A26:G26"/>
    <mergeCell ref="A24:G24"/>
    <mergeCell ref="A2:G2"/>
    <mergeCell ref="A15:G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VULNERABILITY INVENTORY, SCORING AND RISK — ASSESSMENT APPROVAL AND SIGN-OFF</t>
        </is>
      </c>
      <c r="B1" s="6" t="n"/>
      <c r="C1" s="6" t="n"/>
      <c r="D1" s="6" t="n"/>
      <c r="E1" s="6" t="n"/>
    </row>
    <row r="2">
      <c r="A2" s="12" t="inlineStr">
        <is>
          <t>ISO/IEC 27001:2022 Annex A — Control A.8.8: Management of Technical Vulnerabilities</t>
        </is>
      </c>
      <c r="B2" s="6" t="n"/>
      <c r="C2" s="6" t="n"/>
      <c r="D2" s="6" t="n"/>
      <c r="E2" s="6" t="n"/>
    </row>
    <row r="3">
      <c r="A3" s="38" t="inlineStr">
        <is>
          <t>ASSESSMENT SUMMARY</t>
        </is>
      </c>
      <c r="B3" s="6" t="n"/>
      <c r="C3" s="6" t="n"/>
      <c r="D3" s="6" t="n"/>
      <c r="E3" s="6" t="n"/>
    </row>
    <row r="4">
      <c r="A4" s="39" t="inlineStr">
        <is>
          <t>Document:</t>
        </is>
      </c>
      <c r="B4" s="6" t="inlineStr">
        <is>
          <t>ISMS-IMP-A.8.8.2 — Vulnerability Inventory, Scoring &amp; Risk</t>
        </is>
      </c>
      <c r="C4" s="6" t="n"/>
      <c r="D4" s="6" t="n"/>
      <c r="E4" s="6" t="n"/>
    </row>
    <row r="5">
      <c r="A5" s="39" t="inlineStr">
        <is>
          <t>Assessment Period:</t>
        </is>
      </c>
      <c r="B5" s="30" t="inlineStr"/>
      <c r="C5" s="6" t="n"/>
      <c r="D5" s="6" t="n"/>
      <c r="E5" s="6" t="n"/>
    </row>
    <row r="6">
      <c r="A6" s="39" t="inlineStr">
        <is>
          <t>Overall Compliance Rating:</t>
        </is>
      </c>
      <c r="B6" s="40">
        <f>'Summary Dashboard'!G11</f>
        <v/>
      </c>
      <c r="C6" s="6" t="n"/>
      <c r="D6" s="6" t="n"/>
      <c r="E6" s="6" t="n"/>
    </row>
    <row r="7">
      <c r="A7" s="39" t="inlineStr">
        <is>
          <t>Assessment Status:</t>
        </is>
      </c>
      <c r="B7" s="30" t="inlineStr"/>
      <c r="C7" s="6" t="n"/>
      <c r="D7" s="6" t="n"/>
      <c r="E7" s="6" t="n"/>
    </row>
    <row r="8">
      <c r="A8" s="39" t="inlineStr">
        <is>
          <t>Assessed By:</t>
        </is>
      </c>
      <c r="B8" s="30" t="inlineStr"/>
      <c r="C8" s="6" t="n"/>
      <c r="D8" s="6" t="n"/>
      <c r="E8" s="6" t="n"/>
    </row>
    <row r="9">
      <c r="A9" s="6" t="n"/>
    </row>
    <row r="10">
      <c r="A10" s="38" t="inlineStr">
        <is>
          <t>ASSESSMENT REVIEW AND APPROVAL</t>
        </is>
      </c>
    </row>
    <row r="11">
      <c r="A11" s="23" t="inlineStr">
        <is>
          <t>Role / Function</t>
        </is>
      </c>
      <c r="B11" s="23" t="inlineStr">
        <is>
          <t>Name</t>
        </is>
      </c>
      <c r="C11" s="23" t="inlineStr">
        <is>
          <t>Signature / Initials</t>
        </is>
      </c>
      <c r="D11" s="23" t="inlineStr">
        <is>
          <t>Date (DD.MM.YYYY)</t>
        </is>
      </c>
      <c r="E11" s="23" t="inlineStr">
        <is>
          <t>Comments</t>
        </is>
      </c>
    </row>
    <row r="12">
      <c r="A12" s="41" t="inlineStr">
        <is>
          <t>Lead Assessor / Author</t>
        </is>
      </c>
      <c r="B12" s="30" t="n"/>
      <c r="C12" s="30" t="n"/>
      <c r="D12" s="30" t="n"/>
      <c r="E12" s="30" t="n"/>
    </row>
    <row r="13">
      <c r="A13" s="41" t="inlineStr">
        <is>
          <t>IT Security Manager</t>
        </is>
      </c>
      <c r="B13" s="30" t="n"/>
      <c r="C13" s="30" t="n"/>
      <c r="D13" s="30" t="n"/>
      <c r="E13" s="30" t="n"/>
    </row>
    <row r="14">
      <c r="A14" s="41" t="inlineStr">
        <is>
          <t>Reviewer (Technical / Compliance)</t>
        </is>
      </c>
      <c r="B14" s="30" t="n"/>
      <c r="C14" s="30" t="n"/>
      <c r="D14" s="30" t="n"/>
      <c r="E14" s="30" t="n"/>
    </row>
    <row r="15">
      <c r="A15" s="41" t="inlineStr">
        <is>
          <t>CISO / Final Approver</t>
        </is>
      </c>
      <c r="B15" s="30" t="n"/>
      <c r="C15" s="30" t="n"/>
      <c r="D15" s="30" t="n"/>
      <c r="E15" s="30" t="n"/>
    </row>
    <row r="16">
      <c r="A16" s="6" t="n"/>
    </row>
    <row r="17">
      <c r="A17" s="42" t="inlineStr">
        <is>
          <t>FINAL DECISION:</t>
        </is>
      </c>
      <c r="B17" s="43" t="inlineStr">
        <is>
          <t>☐ Approved     ☐ Approved with Conditions     ☐ Rejected     ☐ Deferred</t>
        </is>
      </c>
      <c r="C17" s="6" t="n"/>
      <c r="D17" s="6" t="n"/>
      <c r="E17" s="6" t="n"/>
    </row>
    <row r="18">
      <c r="A18" s="6" t="n"/>
    </row>
    <row r="19">
      <c r="A19" s="38" t="inlineStr">
        <is>
          <t>NEXT REVIEW DETAILS</t>
        </is>
      </c>
    </row>
    <row r="20">
      <c r="A20" s="44" t="inlineStr">
        <is>
          <t>Next Review Date (DD.MM.YYYY)</t>
        </is>
      </c>
      <c r="B20" s="30" t="n"/>
    </row>
    <row r="21">
      <c r="A21" s="44" t="inlineStr">
        <is>
          <t>Review Owner</t>
        </is>
      </c>
      <c r="B21" s="30"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ISMS-IMP-A.8.8.2 — Vulnerability Inventory, Scoring &amp; Risk</dc:title>
  <dc:description xmlns:dc="http://purl.org/dc/elements/1.1/">ISMS Implementation Workbook — ISMS-IMP-A.8.8.2</dc:description>
  <dc:subject xmlns:dc="http://purl.org/dc/elements/1.1/">ISO/IEC 27001:2022 — Control A.8.8: Management of Technical Vulnerabilities</dc:subject>
  <dcterms:created xmlns:dcterms="http://purl.org/dc/terms/" xmlns:xsi="http://www.w3.org/2001/XMLSchema-instance" xsi:type="dcterms:W3CDTF">2026-03-01T16:58:27Z</dcterms:created>
  <dcterms:modified xmlns:dcterms="http://purl.org/dc/terms/" xmlns:xsi="http://www.w3.org/2001/XMLSchema-instance" xsi:type="dcterms:W3CDTF">2026-03-01T16:58:28Z</dcterms:modified>
</cp:coreProperties>
</file>