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Vulnerability Inventory" sheetId="2" state="visible" r:id="rId2"/>
    <sheet xmlns:r="http://schemas.openxmlformats.org/officeDocument/2006/relationships" name="Vulnerability Scoring" sheetId="3" state="visible" r:id="rId3"/>
    <sheet xmlns:r="http://schemas.openxmlformats.org/officeDocument/2006/relationships" name="Asset Criticality" sheetId="4" state="visible" r:id="rId4"/>
    <sheet xmlns:r="http://schemas.openxmlformats.org/officeDocument/2006/relationships" name="Risk Assessment" sheetId="5" state="visible" r:id="rId5"/>
    <sheet xmlns:r="http://schemas.openxmlformats.org/officeDocument/2006/relationships" name="Risk Treatment"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17">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i val="1"/>
      <color rgb="00808080"/>
      <sz val="10"/>
    </font>
    <font>
      <name val="Calibri"/>
      <sz val="10"/>
    </font>
    <font>
      <name val="Calibri"/>
      <i val="1"/>
      <sz val="10"/>
    </font>
    <font>
      <name val="Calibri"/>
      <b val="1"/>
      <color rgb="00FFFFFF"/>
      <sz val="10"/>
    </font>
    <font>
      <name val="Calibri"/>
      <b val="1"/>
      <color rgb="00FFFFFF"/>
      <sz val="11"/>
    </font>
    <font>
      <name val="Calibri"/>
      <b val="1"/>
      <color rgb="00000000"/>
      <sz val="10"/>
    </font>
    <font>
      <name val="Calibri"/>
      <color rgb="00000000"/>
      <sz val="10"/>
    </font>
    <font>
      <name val="Calibri"/>
      <color rgb="00C00000"/>
      <sz val="10"/>
    </font>
    <font>
      <name val="Calibri"/>
      <color rgb="009C5700"/>
      <sz val="10"/>
    </font>
    <font>
      <name val="Calibri"/>
      <color rgb="00276221"/>
      <sz val="10"/>
    </font>
    <font>
      <name val="Calibri"/>
      <b val="1"/>
      <color rgb="00000000"/>
      <sz val="11"/>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5">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xf>
    <xf numFmtId="0" fontId="5" fillId="0" borderId="1" applyAlignment="1" pivotButton="0" quotePrefix="0" xfId="0">
      <alignment horizontal="center" vertical="center"/>
    </xf>
    <xf numFmtId="0" fontId="4" fillId="9" borderId="1" applyAlignment="1" pivotButton="0" quotePrefix="0" xfId="0">
      <alignment horizontal="center" vertical="center" wrapText="1"/>
    </xf>
    <xf numFmtId="0" fontId="6" fillId="10" borderId="1" applyAlignment="1" pivotButton="0" quotePrefix="0" xfId="0">
      <alignment horizontal="left" vertical="center"/>
    </xf>
    <xf numFmtId="0" fontId="7" fillId="11" borderId="1" applyAlignment="1" pivotButton="0" quotePrefix="0" xfId="0">
      <alignment horizontal="left" vertical="center"/>
    </xf>
    <xf numFmtId="0" fontId="1" fillId="8" borderId="1" applyAlignment="1" pivotButton="0" quotePrefix="0" xfId="0">
      <alignment horizontal="center" vertical="center"/>
    </xf>
    <xf numFmtId="0" fontId="8" fillId="0" borderId="1" applyAlignment="1" pivotButton="0" quotePrefix="0" xfId="0">
      <alignment horizontal="center" vertical="center"/>
    </xf>
    <xf numFmtId="0" fontId="9" fillId="8" borderId="1" applyAlignment="1" pivotButton="0" quotePrefix="0" xfId="0">
      <alignment horizontal="center" vertical="center" wrapText="1"/>
    </xf>
    <xf numFmtId="0" fontId="6" fillId="10" borderId="1" pivotButton="0" quotePrefix="0" xfId="0"/>
    <xf numFmtId="0" fontId="0" fillId="11" borderId="1" applyAlignment="1" pivotButton="0" quotePrefix="0" xfId="0">
      <alignment vertical="center"/>
    </xf>
    <xf numFmtId="0" fontId="5" fillId="0" borderId="0" applyAlignment="1" pivotButton="0" quotePrefix="0" xfId="0">
      <alignment horizontal="left" vertical="center"/>
    </xf>
    <xf numFmtId="0" fontId="10" fillId="8" borderId="1" applyAlignment="1" pivotButton="0" quotePrefix="0" xfId="0">
      <alignment horizontal="left" vertical="center"/>
    </xf>
    <xf numFmtId="0" fontId="11" fillId="9" borderId="1" applyAlignment="1" pivotButton="0" quotePrefix="0" xfId="0">
      <alignment horizontal="center" vertical="center" wrapText="1"/>
    </xf>
    <xf numFmtId="0" fontId="12" fillId="11" borderId="1" applyAlignment="1" pivotButton="0" quotePrefix="0" xfId="0">
      <alignment horizontal="left" vertical="center"/>
    </xf>
    <xf numFmtId="0" fontId="12" fillId="11" borderId="1" applyAlignment="1" pivotButton="0" quotePrefix="0" xfId="0">
      <alignment horizontal="center" vertical="center"/>
    </xf>
    <xf numFmtId="164" fontId="12" fillId="11" borderId="1" applyAlignment="1" pivotButton="0" quotePrefix="0" xfId="0">
      <alignment horizontal="center" vertical="center"/>
    </xf>
    <xf numFmtId="0" fontId="11" fillId="9" borderId="1" applyAlignment="1" pivotButton="0" quotePrefix="0" xfId="0">
      <alignment horizontal="left" vertical="center"/>
    </xf>
    <xf numFmtId="0" fontId="11" fillId="9" borderId="1" applyAlignment="1" pivotButton="0" quotePrefix="0" xfId="0">
      <alignment horizontal="center" vertical="center"/>
    </xf>
    <xf numFmtId="164" fontId="11" fillId="9" borderId="1" applyAlignment="1" pivotButton="0" quotePrefix="0" xfId="0">
      <alignment horizontal="center" vertical="center"/>
    </xf>
    <xf numFmtId="0" fontId="0" fillId="11" borderId="1" pivotButton="0" quotePrefix="0" xfId="0"/>
    <xf numFmtId="0" fontId="10" fillId="12" borderId="1" applyAlignment="1" pivotButton="0" quotePrefix="0" xfId="0">
      <alignment horizontal="left" vertical="center"/>
    </xf>
    <xf numFmtId="0" fontId="13" fillId="13" borderId="1" applyAlignment="1" pivotButton="0" quotePrefix="0" xfId="0">
      <alignment horizontal="left" vertical="center"/>
    </xf>
    <xf numFmtId="0" fontId="13" fillId="13" borderId="1" applyAlignment="1" pivotButton="0" quotePrefix="0" xfId="0">
      <alignment horizontal="center" vertical="center"/>
    </xf>
    <xf numFmtId="0" fontId="14" fillId="14" borderId="1" applyAlignment="1" pivotButton="0" quotePrefix="0" xfId="0">
      <alignment horizontal="left" vertical="center"/>
    </xf>
    <xf numFmtId="0" fontId="14" fillId="14" borderId="1" applyAlignment="1" pivotButton="0" quotePrefix="0" xfId="0">
      <alignment horizontal="center" vertical="center"/>
    </xf>
    <xf numFmtId="0" fontId="15" fillId="15" borderId="1" applyAlignment="1" pivotButton="0" quotePrefix="0" xfId="0">
      <alignment horizontal="left" vertical="center"/>
    </xf>
    <xf numFmtId="0" fontId="15" fillId="15" borderId="1" applyAlignment="1" pivotButton="0" quotePrefix="0" xfId="0">
      <alignment horizontal="center" vertical="center"/>
    </xf>
    <xf numFmtId="0" fontId="10" fillId="16" borderId="1" applyAlignment="1" pivotButton="0" quotePrefix="0" xfId="0">
      <alignment horizontal="center" vertical="center"/>
    </xf>
    <xf numFmtId="0" fontId="11" fillId="0" borderId="1" pivotButton="0" quotePrefix="0" xfId="0"/>
    <xf numFmtId="164" fontId="0" fillId="0" borderId="1" pivotButton="0" quotePrefix="0" xfId="0"/>
    <xf numFmtId="0" fontId="7" fillId="11" borderId="1" pivotButton="0" quotePrefix="0" xfId="0"/>
    <xf numFmtId="0" fontId="16" fillId="0" borderId="1" pivotButton="0" quotePrefix="0" xfId="0"/>
    <xf numFmtId="0" fontId="7" fillId="11" borderId="1" applyAlignment="1" pivotButton="0" quotePrefix="0" xfId="0">
      <alignment horizontal="center" vertical="center"/>
    </xf>
    <xf numFmtId="0" fontId="11" fillId="11"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ISMS-IMP-A.8.8.2  -  Vulnerability Inventory, Scoring &amp; Risk
ISO/IEC 27001:2022 - Control A.8.8: Management of Technical Vulnerabilities</t>
        </is>
      </c>
    </row>
    <row r="3">
      <c r="A3" s="2" t="inlineStr">
        <is>
          <t>Document Information</t>
        </is>
      </c>
    </row>
    <row r="4">
      <c r="A4" s="3" t="inlineStr">
        <is>
          <t>Document ID</t>
        </is>
      </c>
      <c r="B4" t="inlineStr">
        <is>
          <t>ISMS-IMP-A.8.8.2</t>
        </is>
      </c>
    </row>
    <row r="5">
      <c r="A5" s="3" t="inlineStr">
        <is>
          <t>Workbook Title</t>
        </is>
      </c>
      <c r="B5" t="inlineStr">
        <is>
          <t>Vulnerability Inventory, Scoring &amp; Risk</t>
        </is>
      </c>
    </row>
    <row r="6">
      <c r="A6" s="3" t="inlineStr">
        <is>
          <t>Control Reference</t>
        </is>
      </c>
      <c r="B6" t="inlineStr">
        <is>
          <t>ISO/IEC 27001:2022 - Control A.8.8: Management of Technical Vulnerabilities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this sheet to understand the assessment structure and status conventions.</t>
        </is>
      </c>
    </row>
    <row r="14">
      <c r="A14" t="inlineStr">
        <is>
          <t>2. Complete the Vulnerability Inventory sheet with all known vulnerabilities in scope.</t>
        </is>
      </c>
    </row>
    <row r="15">
      <c r="A15" t="inlineStr">
        <is>
          <t>3. Complete the Vulnerability Scoring sheet with CVSS v4.0/v3.1 scores per CVE.</t>
        </is>
      </c>
    </row>
    <row r="16">
      <c r="A16" t="inlineStr">
        <is>
          <t>4. Complete the Asset Criticality sheet with criticality ratings for all affected assets.</t>
        </is>
      </c>
    </row>
    <row r="17">
      <c r="A17" t="inlineStr">
        <is>
          <t>5. Complete the Risk Assessment sheet with risk treatment decisions for each vulnerability.</t>
        </is>
      </c>
    </row>
    <row r="18">
      <c r="A18" t="inlineStr">
        <is>
          <t>6. Complete the Risk Treatment sheet tracking treatment implementation and expiry.</t>
        </is>
      </c>
    </row>
    <row r="19">
      <c r="A19" t="inlineStr">
        <is>
          <t>7. Record all supporting evidence in the Evidence Register.</t>
        </is>
      </c>
    </row>
    <row r="20">
      <c r="A20" t="inlineStr">
        <is>
          <t>8. Review the Summary Dashboard for TABLE 1/2/3 compliance metrics.</t>
        </is>
      </c>
    </row>
    <row r="21">
      <c r="A21" t="inlineStr">
        <is>
          <t>9. Obtain sign-off via the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55"/>
  <sheetViews>
    <sheetView showGridLines="0" workbookViewId="0">
      <pane ySplit="4" topLeftCell="A5" activePane="bottomLeft" state="frozen"/>
      <selection pane="bottomLeft" activeCell="A1" sqref="A1"/>
    </sheetView>
  </sheetViews>
  <sheetFormatPr baseColWidth="8" defaultRowHeight="15"/>
  <cols>
    <col width="14" customWidth="1" min="1" max="1"/>
    <col width="18" customWidth="1" min="2" max="2"/>
    <col width="40" customWidth="1" min="3" max="3"/>
    <col width="16" customWidth="1" min="4" max="4"/>
    <col width="20" customWidth="1" min="5" max="5"/>
    <col width="12" customWidth="1" min="6" max="6"/>
    <col width="16" customWidth="1" min="7" max="7"/>
    <col width="16" customWidth="1" min="8" max="8"/>
    <col width="14" customWidth="1" min="9" max="9"/>
    <col width="14" customWidth="1" min="10" max="10"/>
    <col width="12" customWidth="1" min="11" max="11"/>
    <col width="12" customWidth="1" min="12" max="12"/>
    <col width="14" customWidth="1" min="13" max="13"/>
    <col width="22" customWidth="1" min="14" max="14"/>
    <col width="18" customWidth="1" min="15" max="15"/>
    <col width="14" customWidth="1" min="16" max="16"/>
    <col width="35" customWidth="1" min="17" max="17"/>
    <col width="18" customWidth="1" min="18" max="18"/>
    <col width="16" customWidth="1" min="19" max="19"/>
    <col width="12" customWidth="1" min="20" max="20"/>
    <col width="20" customWidth="1" min="21" max="21"/>
    <col width="10" customWidth="1" min="22" max="22"/>
    <col width="20" customWidth="1" min="23" max="23"/>
    <col width="20" customWidth="1" min="24" max="24"/>
    <col width="30" customWidth="1" min="25" max="25"/>
    <col width="20" customWidth="1" min="26" max="26"/>
  </cols>
  <sheetData>
    <row r="1" ht="35" customHeight="1">
      <c r="A1" s="11" t="inlineStr">
        <is>
          <t>ISMS-IMP-A.8.8.2  —  VULNERABILITY INVENTORY</t>
        </is>
      </c>
    </row>
    <row r="2">
      <c r="A2" s="12" t="inlineStr">
        <is>
          <t>ISO/IEC 27001:2022 — Control A.8.8: Management of Technical Vulnerabilities</t>
        </is>
      </c>
    </row>
    <row r="3">
      <c r="A3" s="6" t="n"/>
    </row>
    <row r="4">
      <c r="A4" s="13" t="inlineStr">
        <is>
          <t>Vuln_ID</t>
        </is>
      </c>
      <c r="B4" s="13" t="inlineStr">
        <is>
          <t>CVE_ID</t>
        </is>
      </c>
      <c r="C4" s="13" t="inlineStr">
        <is>
          <t>Vulnerability_Name</t>
        </is>
      </c>
      <c r="D4" s="13" t="inlineStr">
        <is>
          <t>Affected_Asset_ID</t>
        </is>
      </c>
      <c r="E4" s="13" t="inlineStr">
        <is>
          <t>Affected_Asset_Name</t>
        </is>
      </c>
      <c r="F4" s="13" t="inlineStr">
        <is>
          <t>KEV_Listed</t>
        </is>
      </c>
      <c r="G4" s="13" t="inlineStr">
        <is>
          <t>First_Detected_Date</t>
        </is>
      </c>
      <c r="H4" s="13" t="inlineStr">
        <is>
          <t>Last_Scanned_Date</t>
        </is>
      </c>
      <c r="I4" s="13" t="inlineStr">
        <is>
          <t>CVSS_v3.1_Score</t>
        </is>
      </c>
      <c r="J4" s="13" t="inlineStr">
        <is>
          <t>CVSS_v4.0_Score</t>
        </is>
      </c>
      <c r="K4" s="13" t="inlineStr">
        <is>
          <t>CVSS_Severity</t>
        </is>
      </c>
      <c r="L4" s="13" t="inlineStr">
        <is>
          <t>EPSS_Score</t>
        </is>
      </c>
      <c r="M4" s="13" t="inlineStr">
        <is>
          <t>Exploit_Available</t>
        </is>
      </c>
      <c r="N4" s="13" t="inlineStr">
        <is>
          <t>Affected_Software</t>
        </is>
      </c>
      <c r="O4" s="13" t="inlineStr">
        <is>
          <t>Affected_Version</t>
        </is>
      </c>
      <c r="P4" s="13" t="inlineStr">
        <is>
          <t>Patch_Available</t>
        </is>
      </c>
      <c r="Q4" s="13" t="inlineStr">
        <is>
          <t>Patch_URL</t>
        </is>
      </c>
      <c r="R4" s="13" t="inlineStr">
        <is>
          <t>Scanner_Source</t>
        </is>
      </c>
      <c r="S4" s="13" t="inlineStr">
        <is>
          <t>Scan_Date</t>
        </is>
      </c>
      <c r="T4" s="13" t="inlineStr">
        <is>
          <t>Risk_Score</t>
        </is>
      </c>
      <c r="U4" s="13" t="inlineStr">
        <is>
          <t>Business_Owner</t>
        </is>
      </c>
      <c r="V4" s="13" t="inlineStr">
        <is>
          <t>Priority</t>
        </is>
      </c>
      <c r="W4" s="13" t="inlineStr">
        <is>
          <t>Target_Remediation_Date</t>
        </is>
      </c>
      <c r="X4" s="13" t="inlineStr">
        <is>
          <t>Actual_Remediation_Date</t>
        </is>
      </c>
      <c r="Y4" s="13" t="inlineStr">
        <is>
          <t>Notes</t>
        </is>
      </c>
      <c r="Z4" s="13" t="inlineStr">
        <is>
          <t>Remediation_Status</t>
        </is>
      </c>
    </row>
    <row r="5">
      <c r="A5" s="14" t="inlineStr">
        <is>
          <t>VULN-001</t>
        </is>
      </c>
      <c r="B5" s="14" t="inlineStr">
        <is>
          <t>CVE-2024-1234</t>
        </is>
      </c>
      <c r="C5" s="14" t="inlineStr">
        <is>
          <t>Critical RCE in Apache HTTP Server</t>
        </is>
      </c>
      <c r="D5" s="14" t="inlineStr">
        <is>
          <t>SRV-PROD-001</t>
        </is>
      </c>
      <c r="E5" s="14" t="inlineStr">
        <is>
          <t>web-prod-01</t>
        </is>
      </c>
      <c r="F5" s="14" t="inlineStr">
        <is>
          <t>YES</t>
        </is>
      </c>
      <c r="G5" s="14" t="inlineStr">
        <is>
          <t>15/01/2024</t>
        </is>
      </c>
      <c r="H5" s="14" t="inlineStr">
        <is>
          <t>20/01/2024</t>
        </is>
      </c>
      <c r="I5" s="14" t="n">
        <v>9.800000000000001</v>
      </c>
      <c r="J5" s="14" t="n">
        <v>9.199999999999999</v>
      </c>
      <c r="K5" s="14" t="inlineStr">
        <is>
          <t>Critical</t>
        </is>
      </c>
      <c r="L5" s="14" t="n">
        <v>0.9742</v>
      </c>
      <c r="M5" s="14" t="inlineStr">
        <is>
          <t>Yes</t>
        </is>
      </c>
      <c r="N5" s="14" t="inlineStr">
        <is>
          <t>Apache HTTP Server</t>
        </is>
      </c>
      <c r="O5" s="14" t="inlineStr">
        <is>
          <t>2.4.50</t>
        </is>
      </c>
      <c r="P5" s="14" t="inlineStr">
        <is>
          <t>Yes</t>
        </is>
      </c>
      <c r="Q5" s="14" t="inlineStr">
        <is>
          <t>https://httpd.apache.org/security/</t>
        </is>
      </c>
      <c r="R5" s="14" t="inlineStr">
        <is>
          <t>Tenable Nessus</t>
        </is>
      </c>
      <c r="S5" s="14" t="inlineStr">
        <is>
          <t>20/01/2024</t>
        </is>
      </c>
      <c r="T5" s="14" t="n">
        <v>95</v>
      </c>
      <c r="U5" s="14" t="inlineStr">
        <is>
          <t>Infrastructure Team</t>
        </is>
      </c>
      <c r="V5" s="14" t="inlineStr">
        <is>
          <t>P0</t>
        </is>
      </c>
      <c r="W5" s="14" t="inlineStr">
        <is>
          <t>25/01/2024</t>
        </is>
      </c>
      <c r="X5" s="14" t="inlineStr"/>
      <c r="Y5" s="14" t="inlineStr">
        <is>
          <t>KEV-listed; emergency patching initiated</t>
        </is>
      </c>
      <c r="Z5" s="14" t="inlineStr">
        <is>
          <t>In Progress</t>
        </is>
      </c>
    </row>
    <row r="6">
      <c r="A6" s="15" t="n"/>
      <c r="B6" s="15" t="n"/>
      <c r="C6" s="15" t="n"/>
      <c r="D6" s="15" t="n"/>
      <c r="E6" s="15" t="n"/>
      <c r="F6" s="15" t="n"/>
      <c r="G6" s="15" t="n"/>
      <c r="H6" s="15" t="n"/>
      <c r="I6" s="15" t="n"/>
      <c r="J6" s="15" t="n"/>
      <c r="K6" s="15" t="n"/>
      <c r="L6" s="15" t="n"/>
      <c r="M6" s="15" t="n"/>
      <c r="N6" s="15" t="n"/>
      <c r="O6" s="15" t="n"/>
      <c r="P6" s="15" t="n"/>
      <c r="Q6" s="15" t="n"/>
      <c r="R6" s="15" t="n"/>
      <c r="S6" s="15" t="n"/>
      <c r="T6" s="15" t="n"/>
      <c r="U6" s="15" t="n"/>
      <c r="V6" s="15" t="n"/>
      <c r="W6" s="15" t="n"/>
      <c r="X6" s="15" t="n"/>
      <c r="Y6" s="15" t="n"/>
      <c r="Z6" s="15" t="n"/>
    </row>
    <row r="7">
      <c r="A7" s="15" t="n"/>
      <c r="B7" s="15" t="n"/>
      <c r="C7" s="15" t="n"/>
      <c r="D7" s="15" t="n"/>
      <c r="E7" s="15" t="n"/>
      <c r="F7" s="15" t="n"/>
      <c r="G7" s="15" t="n"/>
      <c r="H7" s="15" t="n"/>
      <c r="I7" s="15" t="n"/>
      <c r="J7" s="15" t="n"/>
      <c r="K7" s="15" t="n"/>
      <c r="L7" s="15" t="n"/>
      <c r="M7" s="15" t="n"/>
      <c r="N7" s="15" t="n"/>
      <c r="O7" s="15" t="n"/>
      <c r="P7" s="15" t="n"/>
      <c r="Q7" s="15" t="n"/>
      <c r="R7" s="15" t="n"/>
      <c r="S7" s="15" t="n"/>
      <c r="T7" s="15" t="n"/>
      <c r="U7" s="15" t="n"/>
      <c r="V7" s="15" t="n"/>
      <c r="W7" s="15" t="n"/>
      <c r="X7" s="15" t="n"/>
      <c r="Y7" s="15" t="n"/>
      <c r="Z7" s="15" t="n"/>
    </row>
    <row r="8">
      <c r="A8" s="15" t="n"/>
      <c r="B8" s="15" t="n"/>
      <c r="C8" s="15" t="n"/>
      <c r="D8" s="15" t="n"/>
      <c r="E8" s="15" t="n"/>
      <c r="F8" s="15" t="n"/>
      <c r="G8" s="15" t="n"/>
      <c r="H8" s="15" t="n"/>
      <c r="I8" s="15" t="n"/>
      <c r="J8" s="15" t="n"/>
      <c r="K8" s="15" t="n"/>
      <c r="L8" s="15" t="n"/>
      <c r="M8" s="15" t="n"/>
      <c r="N8" s="15" t="n"/>
      <c r="O8" s="15" t="n"/>
      <c r="P8" s="15" t="n"/>
      <c r="Q8" s="15" t="n"/>
      <c r="R8" s="15" t="n"/>
      <c r="S8" s="15" t="n"/>
      <c r="T8" s="15" t="n"/>
      <c r="U8" s="15" t="n"/>
      <c r="V8" s="15" t="n"/>
      <c r="W8" s="15" t="n"/>
      <c r="X8" s="15" t="n"/>
      <c r="Y8" s="15" t="n"/>
      <c r="Z8" s="15" t="n"/>
    </row>
    <row r="9">
      <c r="A9" s="15" t="n"/>
      <c r="B9" s="15" t="n"/>
      <c r="C9" s="15" t="n"/>
      <c r="D9" s="15" t="n"/>
      <c r="E9" s="15" t="n"/>
      <c r="F9" s="15" t="n"/>
      <c r="G9" s="15" t="n"/>
      <c r="H9" s="15" t="n"/>
      <c r="I9" s="15" t="n"/>
      <c r="J9" s="15" t="n"/>
      <c r="K9" s="15" t="n"/>
      <c r="L9" s="15" t="n"/>
      <c r="M9" s="15" t="n"/>
      <c r="N9" s="15" t="n"/>
      <c r="O9" s="15" t="n"/>
      <c r="P9" s="15" t="n"/>
      <c r="Q9" s="15" t="n"/>
      <c r="R9" s="15" t="n"/>
      <c r="S9" s="15" t="n"/>
      <c r="T9" s="15" t="n"/>
      <c r="U9" s="15" t="n"/>
      <c r="V9" s="15" t="n"/>
      <c r="W9" s="15" t="n"/>
      <c r="X9" s="15" t="n"/>
      <c r="Y9" s="15" t="n"/>
      <c r="Z9" s="15" t="n"/>
    </row>
    <row r="10">
      <c r="A10" s="15" t="n"/>
      <c r="B10" s="15" t="n"/>
      <c r="C10" s="15" t="n"/>
      <c r="D10" s="15" t="n"/>
      <c r="E10" s="15" t="n"/>
      <c r="F10" s="15" t="n"/>
      <c r="G10" s="15" t="n"/>
      <c r="H10" s="15" t="n"/>
      <c r="I10" s="15" t="n"/>
      <c r="J10" s="15" t="n"/>
      <c r="K10" s="15" t="n"/>
      <c r="L10" s="15" t="n"/>
      <c r="M10" s="15" t="n"/>
      <c r="N10" s="15" t="n"/>
      <c r="O10" s="15" t="n"/>
      <c r="P10" s="15" t="n"/>
      <c r="Q10" s="15" t="n"/>
      <c r="R10" s="15" t="n"/>
      <c r="S10" s="15" t="n"/>
      <c r="T10" s="15" t="n"/>
      <c r="U10" s="15" t="n"/>
      <c r="V10" s="15" t="n"/>
      <c r="W10" s="15" t="n"/>
      <c r="X10" s="15" t="n"/>
      <c r="Y10" s="15" t="n"/>
      <c r="Z10" s="15" t="n"/>
    </row>
    <row r="11">
      <c r="A11" s="15" t="n"/>
      <c r="B11" s="15" t="n"/>
      <c r="C11" s="15" t="n"/>
      <c r="D11" s="15" t="n"/>
      <c r="E11" s="15" t="n"/>
      <c r="F11" s="15" t="n"/>
      <c r="G11" s="15" t="n"/>
      <c r="H11" s="15" t="n"/>
      <c r="I11" s="15" t="n"/>
      <c r="J11" s="15" t="n"/>
      <c r="K11" s="15" t="n"/>
      <c r="L11" s="15" t="n"/>
      <c r="M11" s="15" t="n"/>
      <c r="N11" s="15" t="n"/>
      <c r="O11" s="15" t="n"/>
      <c r="P11" s="15" t="n"/>
      <c r="Q11" s="15" t="n"/>
      <c r="R11" s="15" t="n"/>
      <c r="S11" s="15" t="n"/>
      <c r="T11" s="15" t="n"/>
      <c r="U11" s="15" t="n"/>
      <c r="V11" s="15" t="n"/>
      <c r="W11" s="15" t="n"/>
      <c r="X11" s="15" t="n"/>
      <c r="Y11" s="15" t="n"/>
      <c r="Z11" s="15" t="n"/>
    </row>
    <row r="12">
      <c r="A12" s="15" t="n"/>
      <c r="B12" s="15" t="n"/>
      <c r="C12" s="15" t="n"/>
      <c r="D12" s="15" t="n"/>
      <c r="E12" s="15" t="n"/>
      <c r="F12" s="15" t="n"/>
      <c r="G12" s="15" t="n"/>
      <c r="H12" s="15" t="n"/>
      <c r="I12" s="15" t="n"/>
      <c r="J12" s="15" t="n"/>
      <c r="K12" s="15" t="n"/>
      <c r="L12" s="15" t="n"/>
      <c r="M12" s="15" t="n"/>
      <c r="N12" s="15" t="n"/>
      <c r="O12" s="15" t="n"/>
      <c r="P12" s="15" t="n"/>
      <c r="Q12" s="15" t="n"/>
      <c r="R12" s="15" t="n"/>
      <c r="S12" s="15" t="n"/>
      <c r="T12" s="15" t="n"/>
      <c r="U12" s="15" t="n"/>
      <c r="V12" s="15" t="n"/>
      <c r="W12" s="15" t="n"/>
      <c r="X12" s="15" t="n"/>
      <c r="Y12" s="15" t="n"/>
      <c r="Z12" s="15" t="n"/>
    </row>
    <row r="13">
      <c r="A13" s="15" t="n"/>
      <c r="B13" s="15" t="n"/>
      <c r="C13" s="15" t="n"/>
      <c r="D13" s="15" t="n"/>
      <c r="E13" s="15" t="n"/>
      <c r="F13" s="15" t="n"/>
      <c r="G13" s="15" t="n"/>
      <c r="H13" s="15" t="n"/>
      <c r="I13" s="15" t="n"/>
      <c r="J13" s="15" t="n"/>
      <c r="K13" s="15" t="n"/>
      <c r="L13" s="15" t="n"/>
      <c r="M13" s="15" t="n"/>
      <c r="N13" s="15" t="n"/>
      <c r="O13" s="15" t="n"/>
      <c r="P13" s="15" t="n"/>
      <c r="Q13" s="15" t="n"/>
      <c r="R13" s="15" t="n"/>
      <c r="S13" s="15" t="n"/>
      <c r="T13" s="15" t="n"/>
      <c r="U13" s="15" t="n"/>
      <c r="V13" s="15" t="n"/>
      <c r="W13" s="15" t="n"/>
      <c r="X13" s="15" t="n"/>
      <c r="Y13" s="15" t="n"/>
      <c r="Z13" s="15" t="n"/>
    </row>
    <row r="14">
      <c r="A14" s="15" t="n"/>
      <c r="B14" s="15" t="n"/>
      <c r="C14" s="15" t="n"/>
      <c r="D14" s="15" t="n"/>
      <c r="E14" s="15" t="n"/>
      <c r="F14" s="15" t="n"/>
      <c r="G14" s="15" t="n"/>
      <c r="H14" s="15" t="n"/>
      <c r="I14" s="15" t="n"/>
      <c r="J14" s="15" t="n"/>
      <c r="K14" s="15" t="n"/>
      <c r="L14" s="15" t="n"/>
      <c r="M14" s="15" t="n"/>
      <c r="N14" s="15" t="n"/>
      <c r="O14" s="15" t="n"/>
      <c r="P14" s="15" t="n"/>
      <c r="Q14" s="15" t="n"/>
      <c r="R14" s="15" t="n"/>
      <c r="S14" s="15" t="n"/>
      <c r="T14" s="15" t="n"/>
      <c r="U14" s="15" t="n"/>
      <c r="V14" s="15" t="n"/>
      <c r="W14" s="15" t="n"/>
      <c r="X14" s="15" t="n"/>
      <c r="Y14" s="15" t="n"/>
      <c r="Z14" s="15" t="n"/>
    </row>
    <row r="15">
      <c r="A15" s="15" t="n"/>
      <c r="B15" s="15" t="n"/>
      <c r="C15" s="15" t="n"/>
      <c r="D15" s="15" t="n"/>
      <c r="E15" s="15" t="n"/>
      <c r="F15" s="15" t="n"/>
      <c r="G15" s="15" t="n"/>
      <c r="H15" s="15" t="n"/>
      <c r="I15" s="15" t="n"/>
      <c r="J15" s="15" t="n"/>
      <c r="K15" s="15" t="n"/>
      <c r="L15" s="15" t="n"/>
      <c r="M15" s="15" t="n"/>
      <c r="N15" s="15" t="n"/>
      <c r="O15" s="15" t="n"/>
      <c r="P15" s="15" t="n"/>
      <c r="Q15" s="15" t="n"/>
      <c r="R15" s="15" t="n"/>
      <c r="S15" s="15" t="n"/>
      <c r="T15" s="15" t="n"/>
      <c r="U15" s="15" t="n"/>
      <c r="V15" s="15" t="n"/>
      <c r="W15" s="15" t="n"/>
      <c r="X15" s="15" t="n"/>
      <c r="Y15" s="15" t="n"/>
      <c r="Z15" s="15" t="n"/>
    </row>
    <row r="16">
      <c r="A16" s="15" t="n"/>
      <c r="B16" s="15" t="n"/>
      <c r="C16" s="15" t="n"/>
      <c r="D16" s="15" t="n"/>
      <c r="E16" s="15" t="n"/>
      <c r="F16" s="15" t="n"/>
      <c r="G16" s="15" t="n"/>
      <c r="H16" s="15" t="n"/>
      <c r="I16" s="15" t="n"/>
      <c r="J16" s="15" t="n"/>
      <c r="K16" s="15" t="n"/>
      <c r="L16" s="15" t="n"/>
      <c r="M16" s="15" t="n"/>
      <c r="N16" s="15" t="n"/>
      <c r="O16" s="15" t="n"/>
      <c r="P16" s="15" t="n"/>
      <c r="Q16" s="15" t="n"/>
      <c r="R16" s="15" t="n"/>
      <c r="S16" s="15" t="n"/>
      <c r="T16" s="15" t="n"/>
      <c r="U16" s="15" t="n"/>
      <c r="V16" s="15" t="n"/>
      <c r="W16" s="15" t="n"/>
      <c r="X16" s="15" t="n"/>
      <c r="Y16" s="15" t="n"/>
      <c r="Z16" s="15" t="n"/>
    </row>
    <row r="17">
      <c r="A17" s="15" t="n"/>
      <c r="B17" s="15" t="n"/>
      <c r="C17" s="15" t="n"/>
      <c r="D17" s="15" t="n"/>
      <c r="E17" s="15" t="n"/>
      <c r="F17" s="15" t="n"/>
      <c r="G17" s="15" t="n"/>
      <c r="H17" s="15" t="n"/>
      <c r="I17" s="15" t="n"/>
      <c r="J17" s="15" t="n"/>
      <c r="K17" s="15" t="n"/>
      <c r="L17" s="15" t="n"/>
      <c r="M17" s="15" t="n"/>
      <c r="N17" s="15" t="n"/>
      <c r="O17" s="15" t="n"/>
      <c r="P17" s="15" t="n"/>
      <c r="Q17" s="15" t="n"/>
      <c r="R17" s="15" t="n"/>
      <c r="S17" s="15" t="n"/>
      <c r="T17" s="15" t="n"/>
      <c r="U17" s="15" t="n"/>
      <c r="V17" s="15" t="n"/>
      <c r="W17" s="15" t="n"/>
      <c r="X17" s="15" t="n"/>
      <c r="Y17" s="15" t="n"/>
      <c r="Z17" s="15" t="n"/>
    </row>
    <row r="18">
      <c r="A18" s="15" t="n"/>
      <c r="B18" s="15" t="n"/>
      <c r="C18" s="15" t="n"/>
      <c r="D18" s="15" t="n"/>
      <c r="E18" s="15" t="n"/>
      <c r="F18" s="15" t="n"/>
      <c r="G18" s="15" t="n"/>
      <c r="H18" s="15" t="n"/>
      <c r="I18" s="15" t="n"/>
      <c r="J18" s="15" t="n"/>
      <c r="K18" s="15" t="n"/>
      <c r="L18" s="15" t="n"/>
      <c r="M18" s="15" t="n"/>
      <c r="N18" s="15" t="n"/>
      <c r="O18" s="15" t="n"/>
      <c r="P18" s="15" t="n"/>
      <c r="Q18" s="15" t="n"/>
      <c r="R18" s="15" t="n"/>
      <c r="S18" s="15" t="n"/>
      <c r="T18" s="15" t="n"/>
      <c r="U18" s="15" t="n"/>
      <c r="V18" s="15" t="n"/>
      <c r="W18" s="15" t="n"/>
      <c r="X18" s="15" t="n"/>
      <c r="Y18" s="15" t="n"/>
      <c r="Z18" s="15" t="n"/>
    </row>
    <row r="19">
      <c r="A19" s="15" t="n"/>
      <c r="B19" s="15" t="n"/>
      <c r="C19" s="15" t="n"/>
      <c r="D19" s="15" t="n"/>
      <c r="E19" s="15" t="n"/>
      <c r="F19" s="15" t="n"/>
      <c r="G19" s="15" t="n"/>
      <c r="H19" s="15" t="n"/>
      <c r="I19" s="15" t="n"/>
      <c r="J19" s="15" t="n"/>
      <c r="K19" s="15" t="n"/>
      <c r="L19" s="15" t="n"/>
      <c r="M19" s="15" t="n"/>
      <c r="N19" s="15" t="n"/>
      <c r="O19" s="15" t="n"/>
      <c r="P19" s="15" t="n"/>
      <c r="Q19" s="15" t="n"/>
      <c r="R19" s="15" t="n"/>
      <c r="S19" s="15" t="n"/>
      <c r="T19" s="15" t="n"/>
      <c r="U19" s="15" t="n"/>
      <c r="V19" s="15" t="n"/>
      <c r="W19" s="15" t="n"/>
      <c r="X19" s="15" t="n"/>
      <c r="Y19" s="15" t="n"/>
      <c r="Z19" s="15" t="n"/>
    </row>
    <row r="20">
      <c r="A20" s="15" t="n"/>
      <c r="B20" s="15" t="n"/>
      <c r="C20" s="15" t="n"/>
      <c r="D20" s="15" t="n"/>
      <c r="E20" s="15" t="n"/>
      <c r="F20" s="15" t="n"/>
      <c r="G20" s="15" t="n"/>
      <c r="H20" s="15" t="n"/>
      <c r="I20" s="15" t="n"/>
      <c r="J20" s="15" t="n"/>
      <c r="K20" s="15" t="n"/>
      <c r="L20" s="15" t="n"/>
      <c r="M20" s="15" t="n"/>
      <c r="N20" s="15" t="n"/>
      <c r="O20" s="15" t="n"/>
      <c r="P20" s="15" t="n"/>
      <c r="Q20" s="15" t="n"/>
      <c r="R20" s="15" t="n"/>
      <c r="S20" s="15" t="n"/>
      <c r="T20" s="15" t="n"/>
      <c r="U20" s="15" t="n"/>
      <c r="V20" s="15" t="n"/>
      <c r="W20" s="15" t="n"/>
      <c r="X20" s="15" t="n"/>
      <c r="Y20" s="15" t="n"/>
      <c r="Z20" s="15" t="n"/>
    </row>
    <row r="21">
      <c r="A21" s="15" t="n"/>
      <c r="B21" s="15" t="n"/>
      <c r="C21" s="15" t="n"/>
      <c r="D21" s="15" t="n"/>
      <c r="E21" s="15" t="n"/>
      <c r="F21" s="15" t="n"/>
      <c r="G21" s="15" t="n"/>
      <c r="H21" s="15" t="n"/>
      <c r="I21" s="15" t="n"/>
      <c r="J21" s="15" t="n"/>
      <c r="K21" s="15" t="n"/>
      <c r="L21" s="15" t="n"/>
      <c r="M21" s="15" t="n"/>
      <c r="N21" s="15" t="n"/>
      <c r="O21" s="15" t="n"/>
      <c r="P21" s="15" t="n"/>
      <c r="Q21" s="15" t="n"/>
      <c r="R21" s="15" t="n"/>
      <c r="S21" s="15" t="n"/>
      <c r="T21" s="15" t="n"/>
      <c r="U21" s="15" t="n"/>
      <c r="V21" s="15" t="n"/>
      <c r="W21" s="15" t="n"/>
      <c r="X21" s="15" t="n"/>
      <c r="Y21" s="15" t="n"/>
      <c r="Z21" s="15" t="n"/>
    </row>
    <row r="22">
      <c r="A22" s="15" t="n"/>
      <c r="B22" s="15" t="n"/>
      <c r="C22" s="15" t="n"/>
      <c r="D22" s="15" t="n"/>
      <c r="E22" s="15" t="n"/>
      <c r="F22" s="15" t="n"/>
      <c r="G22" s="15" t="n"/>
      <c r="H22" s="15" t="n"/>
      <c r="I22" s="15" t="n"/>
      <c r="J22" s="15" t="n"/>
      <c r="K22" s="15" t="n"/>
      <c r="L22" s="15" t="n"/>
      <c r="M22" s="15" t="n"/>
      <c r="N22" s="15" t="n"/>
      <c r="O22" s="15" t="n"/>
      <c r="P22" s="15" t="n"/>
      <c r="Q22" s="15" t="n"/>
      <c r="R22" s="15" t="n"/>
      <c r="S22" s="15" t="n"/>
      <c r="T22" s="15" t="n"/>
      <c r="U22" s="15" t="n"/>
      <c r="V22" s="15" t="n"/>
      <c r="W22" s="15" t="n"/>
      <c r="X22" s="15" t="n"/>
      <c r="Y22" s="15" t="n"/>
      <c r="Z22" s="15" t="n"/>
    </row>
    <row r="23">
      <c r="A23" s="15" t="n"/>
      <c r="B23" s="15" t="n"/>
      <c r="C23" s="15" t="n"/>
      <c r="D23" s="15" t="n"/>
      <c r="E23" s="15" t="n"/>
      <c r="F23" s="15" t="n"/>
      <c r="G23" s="15" t="n"/>
      <c r="H23" s="15" t="n"/>
      <c r="I23" s="15" t="n"/>
      <c r="J23" s="15" t="n"/>
      <c r="K23" s="15" t="n"/>
      <c r="L23" s="15" t="n"/>
      <c r="M23" s="15" t="n"/>
      <c r="N23" s="15" t="n"/>
      <c r="O23" s="15" t="n"/>
      <c r="P23" s="15" t="n"/>
      <c r="Q23" s="15" t="n"/>
      <c r="R23" s="15" t="n"/>
      <c r="S23" s="15" t="n"/>
      <c r="T23" s="15" t="n"/>
      <c r="U23" s="15" t="n"/>
      <c r="V23" s="15" t="n"/>
      <c r="W23" s="15" t="n"/>
      <c r="X23" s="15" t="n"/>
      <c r="Y23" s="15" t="n"/>
      <c r="Z23" s="15" t="n"/>
    </row>
    <row r="24">
      <c r="A24" s="15" t="n"/>
      <c r="B24" s="15" t="n"/>
      <c r="C24" s="15" t="n"/>
      <c r="D24" s="15" t="n"/>
      <c r="E24" s="15" t="n"/>
      <c r="F24" s="15" t="n"/>
      <c r="G24" s="15" t="n"/>
      <c r="H24" s="15" t="n"/>
      <c r="I24" s="15" t="n"/>
      <c r="J24" s="15" t="n"/>
      <c r="K24" s="15" t="n"/>
      <c r="L24" s="15" t="n"/>
      <c r="M24" s="15" t="n"/>
      <c r="N24" s="15" t="n"/>
      <c r="O24" s="15" t="n"/>
      <c r="P24" s="15" t="n"/>
      <c r="Q24" s="15" t="n"/>
      <c r="R24" s="15" t="n"/>
      <c r="S24" s="15" t="n"/>
      <c r="T24" s="15" t="n"/>
      <c r="U24" s="15" t="n"/>
      <c r="V24" s="15" t="n"/>
      <c r="W24" s="15" t="n"/>
      <c r="X24" s="15" t="n"/>
      <c r="Y24" s="15" t="n"/>
      <c r="Z24" s="15" t="n"/>
    </row>
    <row r="25">
      <c r="A25" s="15" t="n"/>
      <c r="B25" s="15" t="n"/>
      <c r="C25" s="15" t="n"/>
      <c r="D25" s="15" t="n"/>
      <c r="E25" s="15" t="n"/>
      <c r="F25" s="15" t="n"/>
      <c r="G25" s="15" t="n"/>
      <c r="H25" s="15" t="n"/>
      <c r="I25" s="15" t="n"/>
      <c r="J25" s="15" t="n"/>
      <c r="K25" s="15" t="n"/>
      <c r="L25" s="15" t="n"/>
      <c r="M25" s="15" t="n"/>
      <c r="N25" s="15" t="n"/>
      <c r="O25" s="15" t="n"/>
      <c r="P25" s="15" t="n"/>
      <c r="Q25" s="15" t="n"/>
      <c r="R25" s="15" t="n"/>
      <c r="S25" s="15" t="n"/>
      <c r="T25" s="15" t="n"/>
      <c r="U25" s="15" t="n"/>
      <c r="V25" s="15" t="n"/>
      <c r="W25" s="15" t="n"/>
      <c r="X25" s="15" t="n"/>
      <c r="Y25" s="15" t="n"/>
      <c r="Z25" s="15" t="n"/>
    </row>
    <row r="26">
      <c r="A26" s="15" t="n"/>
      <c r="B26" s="15" t="n"/>
      <c r="C26" s="15" t="n"/>
      <c r="D26" s="15" t="n"/>
      <c r="E26" s="15" t="n"/>
      <c r="F26" s="15" t="n"/>
      <c r="G26" s="15" t="n"/>
      <c r="H26" s="15" t="n"/>
      <c r="I26" s="15" t="n"/>
      <c r="J26" s="15" t="n"/>
      <c r="K26" s="15" t="n"/>
      <c r="L26" s="15" t="n"/>
      <c r="M26" s="15" t="n"/>
      <c r="N26" s="15" t="n"/>
      <c r="O26" s="15" t="n"/>
      <c r="P26" s="15" t="n"/>
      <c r="Q26" s="15" t="n"/>
      <c r="R26" s="15" t="n"/>
      <c r="S26" s="15" t="n"/>
      <c r="T26" s="15" t="n"/>
      <c r="U26" s="15" t="n"/>
      <c r="V26" s="15" t="n"/>
      <c r="W26" s="15" t="n"/>
      <c r="X26" s="15" t="n"/>
      <c r="Y26" s="15" t="n"/>
      <c r="Z26" s="15" t="n"/>
    </row>
    <row r="27">
      <c r="A27" s="15" t="n"/>
      <c r="B27" s="15" t="n"/>
      <c r="C27" s="15" t="n"/>
      <c r="D27" s="15" t="n"/>
      <c r="E27" s="15" t="n"/>
      <c r="F27" s="15" t="n"/>
      <c r="G27" s="15" t="n"/>
      <c r="H27" s="15" t="n"/>
      <c r="I27" s="15" t="n"/>
      <c r="J27" s="15" t="n"/>
      <c r="K27" s="15" t="n"/>
      <c r="L27" s="15" t="n"/>
      <c r="M27" s="15" t="n"/>
      <c r="N27" s="15" t="n"/>
      <c r="O27" s="15" t="n"/>
      <c r="P27" s="15" t="n"/>
      <c r="Q27" s="15" t="n"/>
      <c r="R27" s="15" t="n"/>
      <c r="S27" s="15" t="n"/>
      <c r="T27" s="15" t="n"/>
      <c r="U27" s="15" t="n"/>
      <c r="V27" s="15" t="n"/>
      <c r="W27" s="15" t="n"/>
      <c r="X27" s="15" t="n"/>
      <c r="Y27" s="15" t="n"/>
      <c r="Z27" s="15" t="n"/>
    </row>
    <row r="28">
      <c r="A28" s="15" t="n"/>
      <c r="B28" s="15" t="n"/>
      <c r="C28" s="15" t="n"/>
      <c r="D28" s="15" t="n"/>
      <c r="E28" s="15" t="n"/>
      <c r="F28" s="15" t="n"/>
      <c r="G28" s="15" t="n"/>
      <c r="H28" s="15" t="n"/>
      <c r="I28" s="15" t="n"/>
      <c r="J28" s="15" t="n"/>
      <c r="K28" s="15" t="n"/>
      <c r="L28" s="15" t="n"/>
      <c r="M28" s="15" t="n"/>
      <c r="N28" s="15" t="n"/>
      <c r="O28" s="15" t="n"/>
      <c r="P28" s="15" t="n"/>
      <c r="Q28" s="15" t="n"/>
      <c r="R28" s="15" t="n"/>
      <c r="S28" s="15" t="n"/>
      <c r="T28" s="15" t="n"/>
      <c r="U28" s="15" t="n"/>
      <c r="V28" s="15" t="n"/>
      <c r="W28" s="15" t="n"/>
      <c r="X28" s="15" t="n"/>
      <c r="Y28" s="15" t="n"/>
      <c r="Z28" s="15" t="n"/>
    </row>
    <row r="29">
      <c r="A29" s="15" t="n"/>
      <c r="B29" s="15" t="n"/>
      <c r="C29" s="15" t="n"/>
      <c r="D29" s="15" t="n"/>
      <c r="E29" s="15" t="n"/>
      <c r="F29" s="15" t="n"/>
      <c r="G29" s="15" t="n"/>
      <c r="H29" s="15" t="n"/>
      <c r="I29" s="15" t="n"/>
      <c r="J29" s="15" t="n"/>
      <c r="K29" s="15" t="n"/>
      <c r="L29" s="15" t="n"/>
      <c r="M29" s="15" t="n"/>
      <c r="N29" s="15" t="n"/>
      <c r="O29" s="15" t="n"/>
      <c r="P29" s="15" t="n"/>
      <c r="Q29" s="15" t="n"/>
      <c r="R29" s="15" t="n"/>
      <c r="S29" s="15" t="n"/>
      <c r="T29" s="15" t="n"/>
      <c r="U29" s="15" t="n"/>
      <c r="V29" s="15" t="n"/>
      <c r="W29" s="15" t="n"/>
      <c r="X29" s="15" t="n"/>
      <c r="Y29" s="15" t="n"/>
      <c r="Z29" s="15" t="n"/>
    </row>
    <row r="30">
      <c r="A30" s="15" t="n"/>
      <c r="B30" s="15" t="n"/>
      <c r="C30" s="15" t="n"/>
      <c r="D30" s="15" t="n"/>
      <c r="E30" s="15" t="n"/>
      <c r="F30" s="15" t="n"/>
      <c r="G30" s="15" t="n"/>
      <c r="H30" s="15" t="n"/>
      <c r="I30" s="15" t="n"/>
      <c r="J30" s="15" t="n"/>
      <c r="K30" s="15" t="n"/>
      <c r="L30" s="15" t="n"/>
      <c r="M30" s="15" t="n"/>
      <c r="N30" s="15" t="n"/>
      <c r="O30" s="15" t="n"/>
      <c r="P30" s="15" t="n"/>
      <c r="Q30" s="15" t="n"/>
      <c r="R30" s="15" t="n"/>
      <c r="S30" s="15" t="n"/>
      <c r="T30" s="15" t="n"/>
      <c r="U30" s="15" t="n"/>
      <c r="V30" s="15" t="n"/>
      <c r="W30" s="15" t="n"/>
      <c r="X30" s="15" t="n"/>
      <c r="Y30" s="15" t="n"/>
      <c r="Z30" s="15" t="n"/>
    </row>
    <row r="31">
      <c r="A31" s="15" t="n"/>
      <c r="B31" s="15" t="n"/>
      <c r="C31" s="15" t="n"/>
      <c r="D31" s="15" t="n"/>
      <c r="E31" s="15" t="n"/>
      <c r="F31" s="15" t="n"/>
      <c r="G31" s="15" t="n"/>
      <c r="H31" s="15" t="n"/>
      <c r="I31" s="15" t="n"/>
      <c r="J31" s="15" t="n"/>
      <c r="K31" s="15" t="n"/>
      <c r="L31" s="15" t="n"/>
      <c r="M31" s="15" t="n"/>
      <c r="N31" s="15" t="n"/>
      <c r="O31" s="15" t="n"/>
      <c r="P31" s="15" t="n"/>
      <c r="Q31" s="15" t="n"/>
      <c r="R31" s="15" t="n"/>
      <c r="S31" s="15" t="n"/>
      <c r="T31" s="15" t="n"/>
      <c r="U31" s="15" t="n"/>
      <c r="V31" s="15" t="n"/>
      <c r="W31" s="15" t="n"/>
      <c r="X31" s="15" t="n"/>
      <c r="Y31" s="15" t="n"/>
      <c r="Z31" s="15" t="n"/>
    </row>
    <row r="32">
      <c r="A32" s="15" t="n"/>
      <c r="B32" s="15" t="n"/>
      <c r="C32" s="15" t="n"/>
      <c r="D32" s="15" t="n"/>
      <c r="E32" s="15" t="n"/>
      <c r="F32" s="15" t="n"/>
      <c r="G32" s="15" t="n"/>
      <c r="H32" s="15" t="n"/>
      <c r="I32" s="15" t="n"/>
      <c r="J32" s="15" t="n"/>
      <c r="K32" s="15" t="n"/>
      <c r="L32" s="15" t="n"/>
      <c r="M32" s="15" t="n"/>
      <c r="N32" s="15" t="n"/>
      <c r="O32" s="15" t="n"/>
      <c r="P32" s="15" t="n"/>
      <c r="Q32" s="15" t="n"/>
      <c r="R32" s="15" t="n"/>
      <c r="S32" s="15" t="n"/>
      <c r="T32" s="15" t="n"/>
      <c r="U32" s="15" t="n"/>
      <c r="V32" s="15" t="n"/>
      <c r="W32" s="15" t="n"/>
      <c r="X32" s="15" t="n"/>
      <c r="Y32" s="15" t="n"/>
      <c r="Z32" s="15" t="n"/>
    </row>
    <row r="33">
      <c r="A33" s="15" t="n"/>
      <c r="B33" s="15" t="n"/>
      <c r="C33" s="15" t="n"/>
      <c r="D33" s="15" t="n"/>
      <c r="E33" s="15" t="n"/>
      <c r="F33" s="15" t="n"/>
      <c r="G33" s="15" t="n"/>
      <c r="H33" s="15" t="n"/>
      <c r="I33" s="15" t="n"/>
      <c r="J33" s="15" t="n"/>
      <c r="K33" s="15" t="n"/>
      <c r="L33" s="15" t="n"/>
      <c r="M33" s="15" t="n"/>
      <c r="N33" s="15" t="n"/>
      <c r="O33" s="15" t="n"/>
      <c r="P33" s="15" t="n"/>
      <c r="Q33" s="15" t="n"/>
      <c r="R33" s="15" t="n"/>
      <c r="S33" s="15" t="n"/>
      <c r="T33" s="15" t="n"/>
      <c r="U33" s="15" t="n"/>
      <c r="V33" s="15" t="n"/>
      <c r="W33" s="15" t="n"/>
      <c r="X33" s="15" t="n"/>
      <c r="Y33" s="15" t="n"/>
      <c r="Z33" s="15" t="n"/>
    </row>
    <row r="34">
      <c r="A34" s="15" t="n"/>
      <c r="B34" s="15" t="n"/>
      <c r="C34" s="15" t="n"/>
      <c r="D34" s="15" t="n"/>
      <c r="E34" s="15" t="n"/>
      <c r="F34" s="15" t="n"/>
      <c r="G34" s="15" t="n"/>
      <c r="H34" s="15" t="n"/>
      <c r="I34" s="15" t="n"/>
      <c r="J34" s="15" t="n"/>
      <c r="K34" s="15" t="n"/>
      <c r="L34" s="15" t="n"/>
      <c r="M34" s="15" t="n"/>
      <c r="N34" s="15" t="n"/>
      <c r="O34" s="15" t="n"/>
      <c r="P34" s="15" t="n"/>
      <c r="Q34" s="15" t="n"/>
      <c r="R34" s="15" t="n"/>
      <c r="S34" s="15" t="n"/>
      <c r="T34" s="15" t="n"/>
      <c r="U34" s="15" t="n"/>
      <c r="V34" s="15" t="n"/>
      <c r="W34" s="15" t="n"/>
      <c r="X34" s="15" t="n"/>
      <c r="Y34" s="15" t="n"/>
      <c r="Z34" s="15" t="n"/>
    </row>
    <row r="35">
      <c r="A35" s="15" t="n"/>
      <c r="B35" s="15" t="n"/>
      <c r="C35" s="15" t="n"/>
      <c r="D35" s="15" t="n"/>
      <c r="E35" s="15" t="n"/>
      <c r="F35" s="15" t="n"/>
      <c r="G35" s="15" t="n"/>
      <c r="H35" s="15" t="n"/>
      <c r="I35" s="15" t="n"/>
      <c r="J35" s="15" t="n"/>
      <c r="K35" s="15" t="n"/>
      <c r="L35" s="15" t="n"/>
      <c r="M35" s="15" t="n"/>
      <c r="N35" s="15" t="n"/>
      <c r="O35" s="15" t="n"/>
      <c r="P35" s="15" t="n"/>
      <c r="Q35" s="15" t="n"/>
      <c r="R35" s="15" t="n"/>
      <c r="S35" s="15" t="n"/>
      <c r="T35" s="15" t="n"/>
      <c r="U35" s="15" t="n"/>
      <c r="V35" s="15" t="n"/>
      <c r="W35" s="15" t="n"/>
      <c r="X35" s="15" t="n"/>
      <c r="Y35" s="15" t="n"/>
      <c r="Z35" s="15" t="n"/>
    </row>
    <row r="36">
      <c r="A36" s="15" t="n"/>
      <c r="B36" s="15" t="n"/>
      <c r="C36" s="15" t="n"/>
      <c r="D36" s="15" t="n"/>
      <c r="E36" s="15" t="n"/>
      <c r="F36" s="15" t="n"/>
      <c r="G36" s="15" t="n"/>
      <c r="H36" s="15" t="n"/>
      <c r="I36" s="15" t="n"/>
      <c r="J36" s="15" t="n"/>
      <c r="K36" s="15" t="n"/>
      <c r="L36" s="15" t="n"/>
      <c r="M36" s="15" t="n"/>
      <c r="N36" s="15" t="n"/>
      <c r="O36" s="15" t="n"/>
      <c r="P36" s="15" t="n"/>
      <c r="Q36" s="15" t="n"/>
      <c r="R36" s="15" t="n"/>
      <c r="S36" s="15" t="n"/>
      <c r="T36" s="15" t="n"/>
      <c r="U36" s="15" t="n"/>
      <c r="V36" s="15" t="n"/>
      <c r="W36" s="15" t="n"/>
      <c r="X36" s="15" t="n"/>
      <c r="Y36" s="15" t="n"/>
      <c r="Z36" s="15" t="n"/>
    </row>
    <row r="37">
      <c r="A37" s="15" t="n"/>
      <c r="B37" s="15" t="n"/>
      <c r="C37" s="15" t="n"/>
      <c r="D37" s="15" t="n"/>
      <c r="E37" s="15" t="n"/>
      <c r="F37" s="15" t="n"/>
      <c r="G37" s="15" t="n"/>
      <c r="H37" s="15" t="n"/>
      <c r="I37" s="15" t="n"/>
      <c r="J37" s="15" t="n"/>
      <c r="K37" s="15" t="n"/>
      <c r="L37" s="15" t="n"/>
      <c r="M37" s="15" t="n"/>
      <c r="N37" s="15" t="n"/>
      <c r="O37" s="15" t="n"/>
      <c r="P37" s="15" t="n"/>
      <c r="Q37" s="15" t="n"/>
      <c r="R37" s="15" t="n"/>
      <c r="S37" s="15" t="n"/>
      <c r="T37" s="15" t="n"/>
      <c r="U37" s="15" t="n"/>
      <c r="V37" s="15" t="n"/>
      <c r="W37" s="15" t="n"/>
      <c r="X37" s="15" t="n"/>
      <c r="Y37" s="15" t="n"/>
      <c r="Z37" s="15" t="n"/>
    </row>
    <row r="38">
      <c r="A38" s="15" t="n"/>
      <c r="B38" s="15" t="n"/>
      <c r="C38" s="15" t="n"/>
      <c r="D38" s="15" t="n"/>
      <c r="E38" s="15" t="n"/>
      <c r="F38" s="15" t="n"/>
      <c r="G38" s="15" t="n"/>
      <c r="H38" s="15" t="n"/>
      <c r="I38" s="15" t="n"/>
      <c r="J38" s="15" t="n"/>
      <c r="K38" s="15" t="n"/>
      <c r="L38" s="15" t="n"/>
      <c r="M38" s="15" t="n"/>
      <c r="N38" s="15" t="n"/>
      <c r="O38" s="15" t="n"/>
      <c r="P38" s="15" t="n"/>
      <c r="Q38" s="15" t="n"/>
      <c r="R38" s="15" t="n"/>
      <c r="S38" s="15" t="n"/>
      <c r="T38" s="15" t="n"/>
      <c r="U38" s="15" t="n"/>
      <c r="V38" s="15" t="n"/>
      <c r="W38" s="15" t="n"/>
      <c r="X38" s="15" t="n"/>
      <c r="Y38" s="15" t="n"/>
      <c r="Z38" s="15" t="n"/>
    </row>
    <row r="39">
      <c r="A39" s="15" t="n"/>
      <c r="B39" s="15" t="n"/>
      <c r="C39" s="15" t="n"/>
      <c r="D39" s="15" t="n"/>
      <c r="E39" s="15" t="n"/>
      <c r="F39" s="15" t="n"/>
      <c r="G39" s="15" t="n"/>
      <c r="H39" s="15" t="n"/>
      <c r="I39" s="15" t="n"/>
      <c r="J39" s="15" t="n"/>
      <c r="K39" s="15" t="n"/>
      <c r="L39" s="15" t="n"/>
      <c r="M39" s="15" t="n"/>
      <c r="N39" s="15" t="n"/>
      <c r="O39" s="15" t="n"/>
      <c r="P39" s="15" t="n"/>
      <c r="Q39" s="15" t="n"/>
      <c r="R39" s="15" t="n"/>
      <c r="S39" s="15" t="n"/>
      <c r="T39" s="15" t="n"/>
      <c r="U39" s="15" t="n"/>
      <c r="V39" s="15" t="n"/>
      <c r="W39" s="15" t="n"/>
      <c r="X39" s="15" t="n"/>
      <c r="Y39" s="15" t="n"/>
      <c r="Z39" s="15" t="n"/>
    </row>
    <row r="40">
      <c r="A40" s="15" t="n"/>
      <c r="B40" s="15" t="n"/>
      <c r="C40" s="15" t="n"/>
      <c r="D40" s="15" t="n"/>
      <c r="E40" s="15" t="n"/>
      <c r="F40" s="15" t="n"/>
      <c r="G40" s="15" t="n"/>
      <c r="H40" s="15" t="n"/>
      <c r="I40" s="15" t="n"/>
      <c r="J40" s="15" t="n"/>
      <c r="K40" s="15" t="n"/>
      <c r="L40" s="15" t="n"/>
      <c r="M40" s="15" t="n"/>
      <c r="N40" s="15" t="n"/>
      <c r="O40" s="15" t="n"/>
      <c r="P40" s="15" t="n"/>
      <c r="Q40" s="15" t="n"/>
      <c r="R40" s="15" t="n"/>
      <c r="S40" s="15" t="n"/>
      <c r="T40" s="15" t="n"/>
      <c r="U40" s="15" t="n"/>
      <c r="V40" s="15" t="n"/>
      <c r="W40" s="15" t="n"/>
      <c r="X40" s="15" t="n"/>
      <c r="Y40" s="15" t="n"/>
      <c r="Z40" s="15" t="n"/>
    </row>
    <row r="41">
      <c r="A41" s="15" t="n"/>
      <c r="B41" s="15" t="n"/>
      <c r="C41" s="15" t="n"/>
      <c r="D41" s="15" t="n"/>
      <c r="E41" s="15" t="n"/>
      <c r="F41" s="15" t="n"/>
      <c r="G41" s="15" t="n"/>
      <c r="H41" s="15" t="n"/>
      <c r="I41" s="15" t="n"/>
      <c r="J41" s="15" t="n"/>
      <c r="K41" s="15" t="n"/>
      <c r="L41" s="15" t="n"/>
      <c r="M41" s="15" t="n"/>
      <c r="N41" s="15" t="n"/>
      <c r="O41" s="15" t="n"/>
      <c r="P41" s="15" t="n"/>
      <c r="Q41" s="15" t="n"/>
      <c r="R41" s="15" t="n"/>
      <c r="S41" s="15" t="n"/>
      <c r="T41" s="15" t="n"/>
      <c r="U41" s="15" t="n"/>
      <c r="V41" s="15" t="n"/>
      <c r="W41" s="15" t="n"/>
      <c r="X41" s="15" t="n"/>
      <c r="Y41" s="15" t="n"/>
      <c r="Z41" s="15" t="n"/>
    </row>
    <row r="42">
      <c r="A42" s="15" t="n"/>
      <c r="B42" s="15" t="n"/>
      <c r="C42" s="15" t="n"/>
      <c r="D42" s="15" t="n"/>
      <c r="E42" s="15" t="n"/>
      <c r="F42" s="15" t="n"/>
      <c r="G42" s="15" t="n"/>
      <c r="H42" s="15" t="n"/>
      <c r="I42" s="15" t="n"/>
      <c r="J42" s="15" t="n"/>
      <c r="K42" s="15" t="n"/>
      <c r="L42" s="15" t="n"/>
      <c r="M42" s="15" t="n"/>
      <c r="N42" s="15" t="n"/>
      <c r="O42" s="15" t="n"/>
      <c r="P42" s="15" t="n"/>
      <c r="Q42" s="15" t="n"/>
      <c r="R42" s="15" t="n"/>
      <c r="S42" s="15" t="n"/>
      <c r="T42" s="15" t="n"/>
      <c r="U42" s="15" t="n"/>
      <c r="V42" s="15" t="n"/>
      <c r="W42" s="15" t="n"/>
      <c r="X42" s="15" t="n"/>
      <c r="Y42" s="15" t="n"/>
      <c r="Z42" s="15" t="n"/>
    </row>
    <row r="43">
      <c r="A43" s="15" t="n"/>
      <c r="B43" s="15" t="n"/>
      <c r="C43" s="15" t="n"/>
      <c r="D43" s="15" t="n"/>
      <c r="E43" s="15" t="n"/>
      <c r="F43" s="15" t="n"/>
      <c r="G43" s="15" t="n"/>
      <c r="H43" s="15" t="n"/>
      <c r="I43" s="15" t="n"/>
      <c r="J43" s="15" t="n"/>
      <c r="K43" s="15" t="n"/>
      <c r="L43" s="15" t="n"/>
      <c r="M43" s="15" t="n"/>
      <c r="N43" s="15" t="n"/>
      <c r="O43" s="15" t="n"/>
      <c r="P43" s="15" t="n"/>
      <c r="Q43" s="15" t="n"/>
      <c r="R43" s="15" t="n"/>
      <c r="S43" s="15" t="n"/>
      <c r="T43" s="15" t="n"/>
      <c r="U43" s="15" t="n"/>
      <c r="V43" s="15" t="n"/>
      <c r="W43" s="15" t="n"/>
      <c r="X43" s="15" t="n"/>
      <c r="Y43" s="15" t="n"/>
      <c r="Z43" s="15" t="n"/>
    </row>
    <row r="44">
      <c r="A44" s="15" t="n"/>
      <c r="B44" s="15" t="n"/>
      <c r="C44" s="15" t="n"/>
      <c r="D44" s="15" t="n"/>
      <c r="E44" s="15" t="n"/>
      <c r="F44" s="15" t="n"/>
      <c r="G44" s="15" t="n"/>
      <c r="H44" s="15" t="n"/>
      <c r="I44" s="15" t="n"/>
      <c r="J44" s="15" t="n"/>
      <c r="K44" s="15" t="n"/>
      <c r="L44" s="15" t="n"/>
      <c r="M44" s="15" t="n"/>
      <c r="N44" s="15" t="n"/>
      <c r="O44" s="15" t="n"/>
      <c r="P44" s="15" t="n"/>
      <c r="Q44" s="15" t="n"/>
      <c r="R44" s="15" t="n"/>
      <c r="S44" s="15" t="n"/>
      <c r="T44" s="15" t="n"/>
      <c r="U44" s="15" t="n"/>
      <c r="V44" s="15" t="n"/>
      <c r="W44" s="15" t="n"/>
      <c r="X44" s="15" t="n"/>
      <c r="Y44" s="15" t="n"/>
      <c r="Z44" s="15" t="n"/>
    </row>
    <row r="45">
      <c r="A45" s="15" t="n"/>
      <c r="B45" s="15" t="n"/>
      <c r="C45" s="15" t="n"/>
      <c r="D45" s="15" t="n"/>
      <c r="E45" s="15" t="n"/>
      <c r="F45" s="15" t="n"/>
      <c r="G45" s="15" t="n"/>
      <c r="H45" s="15" t="n"/>
      <c r="I45" s="15" t="n"/>
      <c r="J45" s="15" t="n"/>
      <c r="K45" s="15" t="n"/>
      <c r="L45" s="15" t="n"/>
      <c r="M45" s="15" t="n"/>
      <c r="N45" s="15" t="n"/>
      <c r="O45" s="15" t="n"/>
      <c r="P45" s="15" t="n"/>
      <c r="Q45" s="15" t="n"/>
      <c r="R45" s="15" t="n"/>
      <c r="S45" s="15" t="n"/>
      <c r="T45" s="15" t="n"/>
      <c r="U45" s="15" t="n"/>
      <c r="V45" s="15" t="n"/>
      <c r="W45" s="15" t="n"/>
      <c r="X45" s="15" t="n"/>
      <c r="Y45" s="15" t="n"/>
      <c r="Z45" s="15" t="n"/>
    </row>
    <row r="46">
      <c r="A46" s="15" t="n"/>
      <c r="B46" s="15" t="n"/>
      <c r="C46" s="15" t="n"/>
      <c r="D46" s="15" t="n"/>
      <c r="E46" s="15" t="n"/>
      <c r="F46" s="15" t="n"/>
      <c r="G46" s="15" t="n"/>
      <c r="H46" s="15" t="n"/>
      <c r="I46" s="15" t="n"/>
      <c r="J46" s="15" t="n"/>
      <c r="K46" s="15" t="n"/>
      <c r="L46" s="15" t="n"/>
      <c r="M46" s="15" t="n"/>
      <c r="N46" s="15" t="n"/>
      <c r="O46" s="15" t="n"/>
      <c r="P46" s="15" t="n"/>
      <c r="Q46" s="15" t="n"/>
      <c r="R46" s="15" t="n"/>
      <c r="S46" s="15" t="n"/>
      <c r="T46" s="15" t="n"/>
      <c r="U46" s="15" t="n"/>
      <c r="V46" s="15" t="n"/>
      <c r="W46" s="15" t="n"/>
      <c r="X46" s="15" t="n"/>
      <c r="Y46" s="15" t="n"/>
      <c r="Z46" s="15" t="n"/>
    </row>
    <row r="47">
      <c r="A47" s="15" t="n"/>
      <c r="B47" s="15" t="n"/>
      <c r="C47" s="15" t="n"/>
      <c r="D47" s="15" t="n"/>
      <c r="E47" s="15" t="n"/>
      <c r="F47" s="15" t="n"/>
      <c r="G47" s="15" t="n"/>
      <c r="H47" s="15" t="n"/>
      <c r="I47" s="15" t="n"/>
      <c r="J47" s="15" t="n"/>
      <c r="K47" s="15" t="n"/>
      <c r="L47" s="15" t="n"/>
      <c r="M47" s="15" t="n"/>
      <c r="N47" s="15" t="n"/>
      <c r="O47" s="15" t="n"/>
      <c r="P47" s="15" t="n"/>
      <c r="Q47" s="15" t="n"/>
      <c r="R47" s="15" t="n"/>
      <c r="S47" s="15" t="n"/>
      <c r="T47" s="15" t="n"/>
      <c r="U47" s="15" t="n"/>
      <c r="V47" s="15" t="n"/>
      <c r="W47" s="15" t="n"/>
      <c r="X47" s="15" t="n"/>
      <c r="Y47" s="15" t="n"/>
      <c r="Z47" s="15" t="n"/>
    </row>
    <row r="48">
      <c r="A48" s="15" t="n"/>
      <c r="B48" s="15" t="n"/>
      <c r="C48" s="15" t="n"/>
      <c r="D48" s="15" t="n"/>
      <c r="E48" s="15" t="n"/>
      <c r="F48" s="15" t="n"/>
      <c r="G48" s="15" t="n"/>
      <c r="H48" s="15" t="n"/>
      <c r="I48" s="15" t="n"/>
      <c r="J48" s="15" t="n"/>
      <c r="K48" s="15" t="n"/>
      <c r="L48" s="15" t="n"/>
      <c r="M48" s="15" t="n"/>
      <c r="N48" s="15" t="n"/>
      <c r="O48" s="15" t="n"/>
      <c r="P48" s="15" t="n"/>
      <c r="Q48" s="15" t="n"/>
      <c r="R48" s="15" t="n"/>
      <c r="S48" s="15" t="n"/>
      <c r="T48" s="15" t="n"/>
      <c r="U48" s="15" t="n"/>
      <c r="V48" s="15" t="n"/>
      <c r="W48" s="15" t="n"/>
      <c r="X48" s="15" t="n"/>
      <c r="Y48" s="15" t="n"/>
      <c r="Z48" s="15" t="n"/>
    </row>
    <row r="49">
      <c r="A49" s="15" t="n"/>
      <c r="B49" s="15" t="n"/>
      <c r="C49" s="15" t="n"/>
      <c r="D49" s="15" t="n"/>
      <c r="E49" s="15" t="n"/>
      <c r="F49" s="15" t="n"/>
      <c r="G49" s="15" t="n"/>
      <c r="H49" s="15" t="n"/>
      <c r="I49" s="15" t="n"/>
      <c r="J49" s="15" t="n"/>
      <c r="K49" s="15" t="n"/>
      <c r="L49" s="15" t="n"/>
      <c r="M49" s="15" t="n"/>
      <c r="N49" s="15" t="n"/>
      <c r="O49" s="15" t="n"/>
      <c r="P49" s="15" t="n"/>
      <c r="Q49" s="15" t="n"/>
      <c r="R49" s="15" t="n"/>
      <c r="S49" s="15" t="n"/>
      <c r="T49" s="15" t="n"/>
      <c r="U49" s="15" t="n"/>
      <c r="V49" s="15" t="n"/>
      <c r="W49" s="15" t="n"/>
      <c r="X49" s="15" t="n"/>
      <c r="Y49" s="15" t="n"/>
      <c r="Z49" s="15" t="n"/>
    </row>
    <row r="50">
      <c r="A50" s="15" t="n"/>
      <c r="B50" s="15" t="n"/>
      <c r="C50" s="15" t="n"/>
      <c r="D50" s="15" t="n"/>
      <c r="E50" s="15" t="n"/>
      <c r="F50" s="15" t="n"/>
      <c r="G50" s="15" t="n"/>
      <c r="H50" s="15" t="n"/>
      <c r="I50" s="15" t="n"/>
      <c r="J50" s="15" t="n"/>
      <c r="K50" s="15" t="n"/>
      <c r="L50" s="15" t="n"/>
      <c r="M50" s="15" t="n"/>
      <c r="N50" s="15" t="n"/>
      <c r="O50" s="15" t="n"/>
      <c r="P50" s="15" t="n"/>
      <c r="Q50" s="15" t="n"/>
      <c r="R50" s="15" t="n"/>
      <c r="S50" s="15" t="n"/>
      <c r="T50" s="15" t="n"/>
      <c r="U50" s="15" t="n"/>
      <c r="V50" s="15" t="n"/>
      <c r="W50" s="15" t="n"/>
      <c r="X50" s="15" t="n"/>
      <c r="Y50" s="15" t="n"/>
      <c r="Z50" s="15" t="n"/>
    </row>
    <row r="51">
      <c r="A51" s="15" t="n"/>
      <c r="B51" s="15" t="n"/>
      <c r="C51" s="15" t="n"/>
      <c r="D51" s="15" t="n"/>
      <c r="E51" s="15" t="n"/>
      <c r="F51" s="15" t="n"/>
      <c r="G51" s="15" t="n"/>
      <c r="H51" s="15" t="n"/>
      <c r="I51" s="15" t="n"/>
      <c r="J51" s="15" t="n"/>
      <c r="K51" s="15" t="n"/>
      <c r="L51" s="15" t="n"/>
      <c r="M51" s="15" t="n"/>
      <c r="N51" s="15" t="n"/>
      <c r="O51" s="15" t="n"/>
      <c r="P51" s="15" t="n"/>
      <c r="Q51" s="15" t="n"/>
      <c r="R51" s="15" t="n"/>
      <c r="S51" s="15" t="n"/>
      <c r="T51" s="15" t="n"/>
      <c r="U51" s="15" t="n"/>
      <c r="V51" s="15" t="n"/>
      <c r="W51" s="15" t="n"/>
      <c r="X51" s="15" t="n"/>
      <c r="Y51" s="15" t="n"/>
      <c r="Z51" s="15" t="n"/>
    </row>
    <row r="52">
      <c r="A52" s="15" t="n"/>
      <c r="B52" s="15" t="n"/>
      <c r="C52" s="15" t="n"/>
      <c r="D52" s="15" t="n"/>
      <c r="E52" s="15" t="n"/>
      <c r="F52" s="15" t="n"/>
      <c r="G52" s="15" t="n"/>
      <c r="H52" s="15" t="n"/>
      <c r="I52" s="15" t="n"/>
      <c r="J52" s="15" t="n"/>
      <c r="K52" s="15" t="n"/>
      <c r="L52" s="15" t="n"/>
      <c r="M52" s="15" t="n"/>
      <c r="N52" s="15" t="n"/>
      <c r="O52" s="15" t="n"/>
      <c r="P52" s="15" t="n"/>
      <c r="Q52" s="15" t="n"/>
      <c r="R52" s="15" t="n"/>
      <c r="S52" s="15" t="n"/>
      <c r="T52" s="15" t="n"/>
      <c r="U52" s="15" t="n"/>
      <c r="V52" s="15" t="n"/>
      <c r="W52" s="15" t="n"/>
      <c r="X52" s="15" t="n"/>
      <c r="Y52" s="15" t="n"/>
      <c r="Z52" s="15" t="n"/>
    </row>
    <row r="53">
      <c r="A53" s="15" t="n"/>
      <c r="B53" s="15" t="n"/>
      <c r="C53" s="15" t="n"/>
      <c r="D53" s="15" t="n"/>
      <c r="E53" s="15" t="n"/>
      <c r="F53" s="15" t="n"/>
      <c r="G53" s="15" t="n"/>
      <c r="H53" s="15" t="n"/>
      <c r="I53" s="15" t="n"/>
      <c r="J53" s="15" t="n"/>
      <c r="K53" s="15" t="n"/>
      <c r="L53" s="15" t="n"/>
      <c r="M53" s="15" t="n"/>
      <c r="N53" s="15" t="n"/>
      <c r="O53" s="15" t="n"/>
      <c r="P53" s="15" t="n"/>
      <c r="Q53" s="15" t="n"/>
      <c r="R53" s="15" t="n"/>
      <c r="S53" s="15" t="n"/>
      <c r="T53" s="15" t="n"/>
      <c r="U53" s="15" t="n"/>
      <c r="V53" s="15" t="n"/>
      <c r="W53" s="15" t="n"/>
      <c r="X53" s="15" t="n"/>
      <c r="Y53" s="15" t="n"/>
      <c r="Z53" s="15" t="n"/>
    </row>
    <row r="54">
      <c r="A54" s="15" t="n"/>
      <c r="B54" s="15" t="n"/>
      <c r="C54" s="15" t="n"/>
      <c r="D54" s="15" t="n"/>
      <c r="E54" s="15" t="n"/>
      <c r="F54" s="15" t="n"/>
      <c r="G54" s="15" t="n"/>
      <c r="H54" s="15" t="n"/>
      <c r="I54" s="15" t="n"/>
      <c r="J54" s="15" t="n"/>
      <c r="K54" s="15" t="n"/>
      <c r="L54" s="15" t="n"/>
      <c r="M54" s="15" t="n"/>
      <c r="N54" s="15" t="n"/>
      <c r="O54" s="15" t="n"/>
      <c r="P54" s="15" t="n"/>
      <c r="Q54" s="15" t="n"/>
      <c r="R54" s="15" t="n"/>
      <c r="S54" s="15" t="n"/>
      <c r="T54" s="15" t="n"/>
      <c r="U54" s="15" t="n"/>
      <c r="V54" s="15" t="n"/>
      <c r="W54" s="15" t="n"/>
      <c r="X54" s="15" t="n"/>
      <c r="Y54" s="15" t="n"/>
      <c r="Z54" s="15" t="n"/>
    </row>
    <row r="55">
      <c r="A55" s="15" t="n"/>
      <c r="B55" s="15" t="n"/>
      <c r="C55" s="15" t="n"/>
      <c r="D55" s="15" t="n"/>
      <c r="E55" s="15" t="n"/>
      <c r="F55" s="15" t="n"/>
      <c r="G55" s="15" t="n"/>
      <c r="H55" s="15" t="n"/>
      <c r="I55" s="15" t="n"/>
      <c r="J55" s="15" t="n"/>
      <c r="K55" s="15" t="n"/>
      <c r="L55" s="15" t="n"/>
      <c r="M55" s="15" t="n"/>
      <c r="N55" s="15" t="n"/>
      <c r="O55" s="15" t="n"/>
      <c r="P55" s="15" t="n"/>
      <c r="Q55" s="15" t="n"/>
      <c r="R55" s="15" t="n"/>
      <c r="S55" s="15" t="n"/>
      <c r="T55" s="15" t="n"/>
      <c r="U55" s="15" t="n"/>
      <c r="V55" s="15" t="n"/>
      <c r="W55" s="15" t="n"/>
      <c r="X55" s="15" t="n"/>
      <c r="Y55" s="15" t="n"/>
      <c r="Z55" s="15" t="n"/>
    </row>
  </sheetData>
  <mergeCells count="3">
    <mergeCell ref="A1:Z1"/>
    <mergeCell ref="A3:Z3"/>
    <mergeCell ref="A2:Z2"/>
  </mergeCells>
  <dataValidations count="6">
    <dataValidation sqref="Z6 Z7 Z8 Z9 Z10 Z11 Z12 Z13 Z14 Z15 Z16 Z17 Z18 Z19 Z20 Z21 Z22 Z23 Z24 Z25 Z26 Z27 Z28 Z29 Z30 Z31 Z32 Z33 Z34 Z35 Z36 Z37 Z38 Z39 Z40 Z41 Z42 Z43 Z44 Z45 Z46 Z47 Z48 Z49 Z50 Z51 Z52 Z53 Z54 Z55" showDropDown="0" showInputMessage="0" showErrorMessage="0" allowBlank="1" type="list">
      <formula1>"Open,In Progress,Testing,Complete,Risk Accepted"</formula1>
    </dataValidation>
    <dataValidation sqref="F6 F7 F8 F9 F10 F11 F12 F13 F14 F15 F16 F17 F18 F19 F20 F21 F22 F23 F24 F25 F26 F27 F28 F29 F30 F31 F32 F33 F34 F35 F36 F37 F38 F39 F40 F41 F42 F43 F44 F45 F46 F47 F48 F49 F50 F51 F52 F53 F54 F55" showDropDown="0" showInputMessage="0" showErrorMessage="0" allowBlank="1" type="list">
      <formula1>"YES,NO"</formula1>
    </dataValidation>
    <dataValidation sqref="V6 V7 V8 V9 V10 V11 V12 V13 V14 V15 V16 V17 V18 V19 V20 V21 V22 V23 V24 V25 V26 V27 V28 V29 V30 V31 V32 V33 V34 V35 V36 V37 V38 V39 V40 V41 V42 V43 V44 V45 V46 V47 V48 V49 V50 V51 V52 V53 V54 V55" showDropDown="0" showInputMessage="0" showErrorMessage="0" allowBlank="1" type="list">
      <formula1>"P0,P1,P2,P3,P4"</formula1>
    </dataValidation>
    <dataValidation sqref="K6 K7 K8 K9 K10 K11 K12 K13 K14 K15 K16 K17 K18 K19 K20 K21 K22 K23 K24 K25 K26 K27 K28 K29 K30 K31 K32 K33 K34 K35 K36 K37 K38 K39 K40 K41 K42 K43 K44 K45 K46 K47 K48 K49 K50 K51 K52 K53 K54 K55" showDropDown="0" showInputMessage="0" showErrorMessage="0" allowBlank="1" type="list">
      <formula1>"Critical,High,Medium,Low,Informational"</formula1>
    </dataValidation>
    <dataValidation sqref="M6 M7 M8 M9 M10 M11 M12 M13 M14 M15 M16 M17 M18 M19 M20 M21 M22 M23 M24 M25 M26 M27 M28 M29 M30 M31 M32 M33 M34 M35 M36 M37 M38 M39 M40 M41 M42 M43 M44 M45 M46 M47 M48 M49 M50 M51 M52 M53 M54 M55" showDropDown="0" showInputMessage="0" showErrorMessage="0" allowBlank="1" type="list">
      <formula1>"Yes,No,PoC"</formula1>
    </dataValidation>
    <dataValidation sqref="P6 P7 P8 P9 P10 P11 P12 P13 P14 P15 P16 P17 P18 P19 P20 P21 P22 P23 P24 P25 P26 P27 P28 P29 P30 P31 P32 P33 P34 P35 P36 P37 P38 P39 P40 P41 P42 P43 P44 P45 P46 P47 P48 P49 P50 P51 P52 P53 P54 P55" showDropDown="0" showInputMessage="0" showErrorMessage="0" allowBlank="1" type="list">
      <formula1>"Yes,No,Workaround"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5"/>
  <sheetViews>
    <sheetView showGridLines="0" workbookViewId="0">
      <pane ySplit="4" topLeftCell="A5" activePane="bottomLeft" state="frozen"/>
      <selection pane="bottomLeft" activeCell="A1" sqref="A1"/>
    </sheetView>
  </sheetViews>
  <sheetFormatPr baseColWidth="8" defaultRowHeight="15"/>
  <cols>
    <col width="18" customWidth="1" min="1" max="1"/>
    <col width="16" customWidth="1" min="2" max="2"/>
    <col width="16" customWidth="1" min="3" max="3"/>
    <col width="55" customWidth="1" min="4" max="4"/>
    <col width="16" customWidth="1" min="5" max="5"/>
    <col width="55" customWidth="1" min="6" max="6"/>
    <col width="14" customWidth="1" min="7" max="7"/>
    <col width="16" customWidth="1" min="8" max="8"/>
  </cols>
  <sheetData>
    <row r="1" ht="35" customHeight="1">
      <c r="A1" s="11" t="inlineStr">
        <is>
          <t>ISMS-IMP-A.8.8.2  —  VULNERABILITY SCORING</t>
        </is>
      </c>
    </row>
    <row r="2">
      <c r="A2" s="12" t="inlineStr">
        <is>
          <t>ISO/IEC 27001:2022 — Control A.8.8: CVSS v4.0 Scoring Completeness</t>
        </is>
      </c>
    </row>
    <row r="3">
      <c r="A3" s="6" t="n"/>
    </row>
    <row r="4">
      <c r="A4" s="13" t="inlineStr">
        <is>
          <t>CVE_ID</t>
        </is>
      </c>
      <c r="B4" s="13" t="inlineStr">
        <is>
          <t>Asset_ID</t>
        </is>
      </c>
      <c r="C4" s="13" t="inlineStr">
        <is>
          <t>CVSS_v3.1_Score</t>
        </is>
      </c>
      <c r="D4" s="13" t="inlineStr">
        <is>
          <t>CVSS_v3.1_Vector</t>
        </is>
      </c>
      <c r="E4" s="13" t="inlineStr">
        <is>
          <t>CVSS_v4.0_Score</t>
        </is>
      </c>
      <c r="F4" s="13" t="inlineStr">
        <is>
          <t>CVSS_v4.0_Vector</t>
        </is>
      </c>
      <c r="G4" s="13" t="inlineStr">
        <is>
          <t>EPSS_Score</t>
        </is>
      </c>
      <c r="H4" s="13" t="inlineStr">
        <is>
          <t>Score_Status</t>
        </is>
      </c>
    </row>
    <row r="5">
      <c r="A5" s="14" t="inlineStr">
        <is>
          <t>CVE-2024-1234</t>
        </is>
      </c>
      <c r="B5" s="14" t="inlineStr">
        <is>
          <t>SRV-PROD-001</t>
        </is>
      </c>
      <c r="C5" s="14" t="n">
        <v>9.800000000000001</v>
      </c>
      <c r="D5" s="14" t="inlineStr">
        <is>
          <t>CVSS:3.1/AV:N/AC:L/PR:N/UI:N/S:U/C:H/I:H/A:H</t>
        </is>
      </c>
      <c r="E5" s="14" t="n">
        <v>9.199999999999999</v>
      </c>
      <c r="F5" s="14" t="inlineStr">
        <is>
          <t>CVSS:4.0/AV:N/AC:L/AT:N/PR:N/UI:N/VC:H/VI:H/VA:H/SC:N/SI:N/SA:N</t>
        </is>
      </c>
      <c r="G5" s="14" t="n">
        <v>0.9742</v>
      </c>
      <c r="H5" s="14" t="inlineStr">
        <is>
          <t>v4.0 Scored</t>
        </is>
      </c>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sheetData>
  <mergeCells count="3">
    <mergeCell ref="A3:H3"/>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showDropDown="0" showInputMessage="0" showErrorMessage="0" allowBlank="1" type="list">
      <formula1>"v4.0 Scored,v3.1 Only,Unscored,Disputed"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5"/>
  <sheetViews>
    <sheetView showGridLines="0" workbookViewId="0">
      <pane ySplit="4" topLeftCell="A5" activePane="bottomLeft" state="frozen"/>
      <selection pane="bottomLeft" activeCell="A1" sqref="A1"/>
    </sheetView>
  </sheetViews>
  <sheetFormatPr baseColWidth="8" defaultRowHeight="15"/>
  <cols>
    <col width="16" customWidth="1" min="1" max="1"/>
    <col width="25" customWidth="1" min="2" max="2"/>
    <col width="18" customWidth="1" min="3" max="3"/>
    <col width="22" customWidth="1" min="4" max="4"/>
    <col width="28" customWidth="1" min="5" max="5"/>
    <col width="16" customWidth="1" min="6" max="6"/>
    <col width="20" customWidth="1" min="7" max="7"/>
    <col width="18" customWidth="1" min="8" max="8"/>
  </cols>
  <sheetData>
    <row r="1" ht="35" customHeight="1">
      <c r="A1" s="11" t="inlineStr">
        <is>
          <t>ISMS-IMP-A.8.8.2  —  ASSET CRITICALITY</t>
        </is>
      </c>
    </row>
    <row r="2">
      <c r="A2" s="12" t="inlineStr">
        <is>
          <t>ISO/IEC 27001:2022 — Control A.8.8: Asset Criticality Register</t>
        </is>
      </c>
    </row>
    <row r="3">
      <c r="A3" s="6" t="n"/>
    </row>
    <row r="4">
      <c r="A4" s="13" t="inlineStr">
        <is>
          <t>Asset_ID</t>
        </is>
      </c>
      <c r="B4" s="13" t="inlineStr">
        <is>
          <t>Asset_Name</t>
        </is>
      </c>
      <c r="C4" s="13" t="inlineStr">
        <is>
          <t>Asset_Type</t>
        </is>
      </c>
      <c r="D4" s="13" t="inlineStr">
        <is>
          <t>Asset_Owner</t>
        </is>
      </c>
      <c r="E4" s="13" t="inlineStr">
        <is>
          <t>Business_Function</t>
        </is>
      </c>
      <c r="F4" s="13" t="inlineStr">
        <is>
          <t>Criticality_Level</t>
        </is>
      </c>
      <c r="G4" s="13" t="inlineStr">
        <is>
          <t>Last_Assessment_Date</t>
        </is>
      </c>
      <c r="H4" s="13" t="inlineStr">
        <is>
          <t>Validation_Status</t>
        </is>
      </c>
    </row>
    <row r="5">
      <c r="A5" s="14" t="inlineStr">
        <is>
          <t>SRV-PROD-001</t>
        </is>
      </c>
      <c r="B5" s="14" t="inlineStr">
        <is>
          <t>web-prod-01</t>
        </is>
      </c>
      <c r="C5" s="14" t="inlineStr">
        <is>
          <t>Server</t>
        </is>
      </c>
      <c r="D5" s="14" t="inlineStr">
        <is>
          <t>Infrastructure Team</t>
        </is>
      </c>
      <c r="E5" s="14" t="inlineStr">
        <is>
          <t>E-Commerce Platform</t>
        </is>
      </c>
      <c r="F5" s="14" t="inlineStr">
        <is>
          <t>Critical</t>
        </is>
      </c>
      <c r="G5" s="14" t="inlineStr">
        <is>
          <t>15/01/2024</t>
        </is>
      </c>
      <c r="H5" s="14" t="inlineStr">
        <is>
          <t>Validated</t>
        </is>
      </c>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sheetData>
  <mergeCells count="3">
    <mergeCell ref="A3:H3"/>
    <mergeCell ref="A2:H2"/>
    <mergeCell ref="A1:H1"/>
  </mergeCells>
  <dataValidations count="3">
    <dataValidation sqref="C6 C7 C8 C9 C10 C11 C12 C13 C14 C15 C16 C17 C18 C19 C20 C21 C22 C23 C24 C25 C26 C27 C28 C29 C30 C31 C32 C33 C34 C35 C36 C37 C38 C39 C40 C41 C42 C43 C44 C45 C46 C47 C48 C49 C50 C51 C52 C53 C54 C55" showDropDown="0" showInputMessage="0" showErrorMessage="0" allowBlank="1" type="list">
      <formula1>"Server,Workstation,Network Device,Application,Database,Cloud"</formula1>
    </dataValidation>
    <dataValidation sqref="F6 F7 F8 F9 F10 F11 F12 F13 F14 F15 F16 F17 F18 F19 F20 F21 F22 F23 F24 F25 F26 F27 F28 F29 F30 F31 F32 F33 F34 F35 F36 F37 F38 F39 F40 F41 F42 F43 F44 F45 F46 F47 F48 F49 F50 F51 F52 F53 F54 F55" showDropDown="0" showInputMessage="0" showErrorMessage="0" allowBlank="1" type="list">
      <formula1>"Critical,High,Medium,Low"</formula1>
    </dataValidation>
    <dataValidation sqref="H6 H7 H8 H9 H10 H11 H12 H13 H14 H15 H16 H17 H18 H19 H20 H21 H22 H23 H24 H25 H26 H27 H28 H29 H30 H31 H32 H33 H34 H35 H36 H37 H38 H39 H40 H41 H42 H43 H44 H45 H46 H47 H48 H49 H50 H51 H52 H53 H54 H55" showDropDown="0" showInputMessage="0" showErrorMessage="0" allowBlank="1" type="list">
      <formula1>"Validated,Needs Review,Overdue"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5"/>
  <sheetViews>
    <sheetView showGridLines="0" workbookViewId="0">
      <pane ySplit="4" topLeftCell="A5" activePane="bottomLeft" state="frozen"/>
      <selection pane="bottomLeft" activeCell="A1" sqref="A1"/>
    </sheetView>
  </sheetViews>
  <sheetFormatPr baseColWidth="8" defaultRowHeight="15"/>
  <cols>
    <col width="14" customWidth="1" min="1" max="1"/>
    <col width="55" customWidth="1" min="2" max="2"/>
    <col width="12" customWidth="1" min="3" max="3"/>
    <col width="12" customWidth="1" min="4" max="4"/>
    <col width="12" customWidth="1" min="5" max="5"/>
    <col width="20" customWidth="1" min="6" max="6"/>
    <col width="22" customWidth="1" min="7" max="7"/>
  </cols>
  <sheetData>
    <row r="1" ht="35" customHeight="1">
      <c r="A1" s="11" t="inlineStr">
        <is>
          <t>ISMS-IMP-A.8.8.2  —  RISK ASSESSMENT</t>
        </is>
      </c>
    </row>
    <row r="2">
      <c r="A2" s="12" t="inlineStr">
        <is>
          <t>ISO/IEC 27001:2022 — Control A.8.8: Vulnerability Risk Assessments</t>
        </is>
      </c>
    </row>
    <row r="3">
      <c r="A3" s="6" t="n"/>
    </row>
    <row r="4">
      <c r="A4" s="13" t="inlineStr">
        <is>
          <t>Vuln_ID</t>
        </is>
      </c>
      <c r="B4" s="13" t="inlineStr">
        <is>
          <t>Risk_Description</t>
        </is>
      </c>
      <c r="C4" s="13" t="inlineStr">
        <is>
          <t>Likelihood</t>
        </is>
      </c>
      <c r="D4" s="13" t="inlineStr">
        <is>
          <t>Impact</t>
        </is>
      </c>
      <c r="E4" s="13" t="inlineStr">
        <is>
          <t>Risk_Score</t>
        </is>
      </c>
      <c r="F4" s="13" t="inlineStr">
        <is>
          <t>Inherent_Risk_Rating</t>
        </is>
      </c>
      <c r="G4" s="13" t="inlineStr">
        <is>
          <t>Risk_Treatment_Status</t>
        </is>
      </c>
    </row>
    <row r="5">
      <c r="A5" s="14" t="inlineStr">
        <is>
          <t>VULN-001</t>
        </is>
      </c>
      <c r="B5" s="14" t="inlineStr">
        <is>
          <t>RCE exploit enables full server compromise via unauthenticated HTTP</t>
        </is>
      </c>
      <c r="C5" s="14" t="inlineStr">
        <is>
          <t>High</t>
        </is>
      </c>
      <c r="D5" s="14" t="inlineStr">
        <is>
          <t>High</t>
        </is>
      </c>
      <c r="E5" s="14" t="n">
        <v>25</v>
      </c>
      <c r="F5" s="14" t="inlineStr">
        <is>
          <t>Critical</t>
        </is>
      </c>
      <c r="G5" s="14" t="inlineStr">
        <is>
          <t>Approved</t>
        </is>
      </c>
    </row>
    <row r="6">
      <c r="A6" s="15" t="n"/>
      <c r="B6" s="15" t="n"/>
      <c r="C6" s="15" t="n"/>
      <c r="D6" s="15" t="n"/>
      <c r="E6" s="15" t="n"/>
      <c r="F6" s="15" t="n"/>
      <c r="G6" s="15" t="n"/>
    </row>
    <row r="7">
      <c r="A7" s="15" t="n"/>
      <c r="B7" s="15" t="n"/>
      <c r="C7" s="15" t="n"/>
      <c r="D7" s="15" t="n"/>
      <c r="E7" s="15" t="n"/>
      <c r="F7" s="15" t="n"/>
      <c r="G7" s="15" t="n"/>
    </row>
    <row r="8">
      <c r="A8" s="15" t="n"/>
      <c r="B8" s="15" t="n"/>
      <c r="C8" s="15" t="n"/>
      <c r="D8" s="15" t="n"/>
      <c r="E8" s="15" t="n"/>
      <c r="F8" s="15" t="n"/>
      <c r="G8" s="15" t="n"/>
    </row>
    <row r="9">
      <c r="A9" s="15" t="n"/>
      <c r="B9" s="15" t="n"/>
      <c r="C9" s="15" t="n"/>
      <c r="D9" s="15" t="n"/>
      <c r="E9" s="15" t="n"/>
      <c r="F9" s="15" t="n"/>
      <c r="G9" s="15" t="n"/>
    </row>
    <row r="10">
      <c r="A10" s="15" t="n"/>
      <c r="B10" s="15" t="n"/>
      <c r="C10" s="15" t="n"/>
      <c r="D10" s="15" t="n"/>
      <c r="E10" s="15" t="n"/>
      <c r="F10" s="15" t="n"/>
      <c r="G10" s="15" t="n"/>
    </row>
    <row r="11">
      <c r="A11" s="15" t="n"/>
      <c r="B11" s="15" t="n"/>
      <c r="C11" s="15" t="n"/>
      <c r="D11" s="15" t="n"/>
      <c r="E11" s="15" t="n"/>
      <c r="F11" s="15" t="n"/>
      <c r="G11" s="15" t="n"/>
    </row>
    <row r="12">
      <c r="A12" s="15" t="n"/>
      <c r="B12" s="15" t="n"/>
      <c r="C12" s="15" t="n"/>
      <c r="D12" s="15" t="n"/>
      <c r="E12" s="15" t="n"/>
      <c r="F12" s="15" t="n"/>
      <c r="G12" s="15" t="n"/>
    </row>
    <row r="13">
      <c r="A13" s="15" t="n"/>
      <c r="B13" s="15" t="n"/>
      <c r="C13" s="15" t="n"/>
      <c r="D13" s="15" t="n"/>
      <c r="E13" s="15" t="n"/>
      <c r="F13" s="15" t="n"/>
      <c r="G13" s="15" t="n"/>
    </row>
    <row r="14">
      <c r="A14" s="15" t="n"/>
      <c r="B14" s="15" t="n"/>
      <c r="C14" s="15" t="n"/>
      <c r="D14" s="15" t="n"/>
      <c r="E14" s="15" t="n"/>
      <c r="F14" s="15" t="n"/>
      <c r="G14" s="15" t="n"/>
    </row>
    <row r="15">
      <c r="A15" s="15" t="n"/>
      <c r="B15" s="15" t="n"/>
      <c r="C15" s="15" t="n"/>
      <c r="D15" s="15" t="n"/>
      <c r="E15" s="15" t="n"/>
      <c r="F15" s="15" t="n"/>
      <c r="G15" s="15" t="n"/>
    </row>
    <row r="16">
      <c r="A16" s="15" t="n"/>
      <c r="B16" s="15" t="n"/>
      <c r="C16" s="15" t="n"/>
      <c r="D16" s="15" t="n"/>
      <c r="E16" s="15" t="n"/>
      <c r="F16" s="15" t="n"/>
      <c r="G16" s="15" t="n"/>
    </row>
    <row r="17">
      <c r="A17" s="15" t="n"/>
      <c r="B17" s="15" t="n"/>
      <c r="C17" s="15" t="n"/>
      <c r="D17" s="15" t="n"/>
      <c r="E17" s="15" t="n"/>
      <c r="F17" s="15" t="n"/>
      <c r="G17" s="15" t="n"/>
    </row>
    <row r="18">
      <c r="A18" s="15" t="n"/>
      <c r="B18" s="15" t="n"/>
      <c r="C18" s="15" t="n"/>
      <c r="D18" s="15" t="n"/>
      <c r="E18" s="15" t="n"/>
      <c r="F18" s="15" t="n"/>
      <c r="G18" s="15" t="n"/>
    </row>
    <row r="19">
      <c r="A19" s="15" t="n"/>
      <c r="B19" s="15" t="n"/>
      <c r="C19" s="15" t="n"/>
      <c r="D19" s="15" t="n"/>
      <c r="E19" s="15" t="n"/>
      <c r="F19" s="15" t="n"/>
      <c r="G19" s="15" t="n"/>
    </row>
    <row r="20">
      <c r="A20" s="15" t="n"/>
      <c r="B20" s="15" t="n"/>
      <c r="C20" s="15" t="n"/>
      <c r="D20" s="15" t="n"/>
      <c r="E20" s="15" t="n"/>
      <c r="F20" s="15" t="n"/>
      <c r="G20" s="15" t="n"/>
    </row>
    <row r="21">
      <c r="A21" s="15" t="n"/>
      <c r="B21" s="15" t="n"/>
      <c r="C21" s="15" t="n"/>
      <c r="D21" s="15" t="n"/>
      <c r="E21" s="15" t="n"/>
      <c r="F21" s="15" t="n"/>
      <c r="G21" s="15" t="n"/>
    </row>
    <row r="22">
      <c r="A22" s="15" t="n"/>
      <c r="B22" s="15" t="n"/>
      <c r="C22" s="15" t="n"/>
      <c r="D22" s="15" t="n"/>
      <c r="E22" s="15" t="n"/>
      <c r="F22" s="15" t="n"/>
      <c r="G22" s="15" t="n"/>
    </row>
    <row r="23">
      <c r="A23" s="15" t="n"/>
      <c r="B23" s="15" t="n"/>
      <c r="C23" s="15" t="n"/>
      <c r="D23" s="15" t="n"/>
      <c r="E23" s="15" t="n"/>
      <c r="F23" s="15" t="n"/>
      <c r="G23" s="15" t="n"/>
    </row>
    <row r="24">
      <c r="A24" s="15" t="n"/>
      <c r="B24" s="15" t="n"/>
      <c r="C24" s="15" t="n"/>
      <c r="D24" s="15" t="n"/>
      <c r="E24" s="15" t="n"/>
      <c r="F24" s="15" t="n"/>
      <c r="G24" s="15" t="n"/>
    </row>
    <row r="25">
      <c r="A25" s="15" t="n"/>
      <c r="B25" s="15" t="n"/>
      <c r="C25" s="15" t="n"/>
      <c r="D25" s="15" t="n"/>
      <c r="E25" s="15" t="n"/>
      <c r="F25" s="15" t="n"/>
      <c r="G25" s="15" t="n"/>
    </row>
    <row r="26">
      <c r="A26" s="15" t="n"/>
      <c r="B26" s="15" t="n"/>
      <c r="C26" s="15" t="n"/>
      <c r="D26" s="15" t="n"/>
      <c r="E26" s="15" t="n"/>
      <c r="F26" s="15" t="n"/>
      <c r="G26" s="15" t="n"/>
    </row>
    <row r="27">
      <c r="A27" s="15" t="n"/>
      <c r="B27" s="15" t="n"/>
      <c r="C27" s="15" t="n"/>
      <c r="D27" s="15" t="n"/>
      <c r="E27" s="15" t="n"/>
      <c r="F27" s="15" t="n"/>
      <c r="G27" s="15" t="n"/>
    </row>
    <row r="28">
      <c r="A28" s="15" t="n"/>
      <c r="B28" s="15" t="n"/>
      <c r="C28" s="15" t="n"/>
      <c r="D28" s="15" t="n"/>
      <c r="E28" s="15" t="n"/>
      <c r="F28" s="15" t="n"/>
      <c r="G28" s="15" t="n"/>
    </row>
    <row r="29">
      <c r="A29" s="15" t="n"/>
      <c r="B29" s="15" t="n"/>
      <c r="C29" s="15" t="n"/>
      <c r="D29" s="15" t="n"/>
      <c r="E29" s="15" t="n"/>
      <c r="F29" s="15" t="n"/>
      <c r="G29" s="15" t="n"/>
    </row>
    <row r="30">
      <c r="A30" s="15" t="n"/>
      <c r="B30" s="15" t="n"/>
      <c r="C30" s="15" t="n"/>
      <c r="D30" s="15" t="n"/>
      <c r="E30" s="15" t="n"/>
      <c r="F30" s="15" t="n"/>
      <c r="G30" s="15" t="n"/>
    </row>
    <row r="31">
      <c r="A31" s="15" t="n"/>
      <c r="B31" s="15" t="n"/>
      <c r="C31" s="15" t="n"/>
      <c r="D31" s="15" t="n"/>
      <c r="E31" s="15" t="n"/>
      <c r="F31" s="15" t="n"/>
      <c r="G31" s="15" t="n"/>
    </row>
    <row r="32">
      <c r="A32" s="15" t="n"/>
      <c r="B32" s="15" t="n"/>
      <c r="C32" s="15" t="n"/>
      <c r="D32" s="15" t="n"/>
      <c r="E32" s="15" t="n"/>
      <c r="F32" s="15" t="n"/>
      <c r="G32" s="15" t="n"/>
    </row>
    <row r="33">
      <c r="A33" s="15" t="n"/>
      <c r="B33" s="15" t="n"/>
      <c r="C33" s="15" t="n"/>
      <c r="D33" s="15" t="n"/>
      <c r="E33" s="15" t="n"/>
      <c r="F33" s="15" t="n"/>
      <c r="G33" s="15" t="n"/>
    </row>
    <row r="34">
      <c r="A34" s="15" t="n"/>
      <c r="B34" s="15" t="n"/>
      <c r="C34" s="15" t="n"/>
      <c r="D34" s="15" t="n"/>
      <c r="E34" s="15" t="n"/>
      <c r="F34" s="15" t="n"/>
      <c r="G34" s="15" t="n"/>
    </row>
    <row r="35">
      <c r="A35" s="15" t="n"/>
      <c r="B35" s="15" t="n"/>
      <c r="C35" s="15" t="n"/>
      <c r="D35" s="15" t="n"/>
      <c r="E35" s="15" t="n"/>
      <c r="F35" s="15" t="n"/>
      <c r="G35" s="15" t="n"/>
    </row>
    <row r="36">
      <c r="A36" s="15" t="n"/>
      <c r="B36" s="15" t="n"/>
      <c r="C36" s="15" t="n"/>
      <c r="D36" s="15" t="n"/>
      <c r="E36" s="15" t="n"/>
      <c r="F36" s="15" t="n"/>
      <c r="G36" s="15" t="n"/>
    </row>
    <row r="37">
      <c r="A37" s="15" t="n"/>
      <c r="B37" s="15" t="n"/>
      <c r="C37" s="15" t="n"/>
      <c r="D37" s="15" t="n"/>
      <c r="E37" s="15" t="n"/>
      <c r="F37" s="15" t="n"/>
      <c r="G37" s="15" t="n"/>
    </row>
    <row r="38">
      <c r="A38" s="15" t="n"/>
      <c r="B38" s="15" t="n"/>
      <c r="C38" s="15" t="n"/>
      <c r="D38" s="15" t="n"/>
      <c r="E38" s="15" t="n"/>
      <c r="F38" s="15" t="n"/>
      <c r="G38" s="15" t="n"/>
    </row>
    <row r="39">
      <c r="A39" s="15" t="n"/>
      <c r="B39" s="15" t="n"/>
      <c r="C39" s="15" t="n"/>
      <c r="D39" s="15" t="n"/>
      <c r="E39" s="15" t="n"/>
      <c r="F39" s="15" t="n"/>
      <c r="G39" s="15" t="n"/>
    </row>
    <row r="40">
      <c r="A40" s="15" t="n"/>
      <c r="B40" s="15" t="n"/>
      <c r="C40" s="15" t="n"/>
      <c r="D40" s="15" t="n"/>
      <c r="E40" s="15" t="n"/>
      <c r="F40" s="15" t="n"/>
      <c r="G40" s="15" t="n"/>
    </row>
    <row r="41">
      <c r="A41" s="15" t="n"/>
      <c r="B41" s="15" t="n"/>
      <c r="C41" s="15" t="n"/>
      <c r="D41" s="15" t="n"/>
      <c r="E41" s="15" t="n"/>
      <c r="F41" s="15" t="n"/>
      <c r="G41" s="15" t="n"/>
    </row>
    <row r="42">
      <c r="A42" s="15" t="n"/>
      <c r="B42" s="15" t="n"/>
      <c r="C42" s="15" t="n"/>
      <c r="D42" s="15" t="n"/>
      <c r="E42" s="15" t="n"/>
      <c r="F42" s="15" t="n"/>
      <c r="G42" s="15" t="n"/>
    </row>
    <row r="43">
      <c r="A43" s="15" t="n"/>
      <c r="B43" s="15" t="n"/>
      <c r="C43" s="15" t="n"/>
      <c r="D43" s="15" t="n"/>
      <c r="E43" s="15" t="n"/>
      <c r="F43" s="15" t="n"/>
      <c r="G43" s="15" t="n"/>
    </row>
    <row r="44">
      <c r="A44" s="15" t="n"/>
      <c r="B44" s="15" t="n"/>
      <c r="C44" s="15" t="n"/>
      <c r="D44" s="15" t="n"/>
      <c r="E44" s="15" t="n"/>
      <c r="F44" s="15" t="n"/>
      <c r="G44" s="15" t="n"/>
    </row>
    <row r="45">
      <c r="A45" s="15" t="n"/>
      <c r="B45" s="15" t="n"/>
      <c r="C45" s="15" t="n"/>
      <c r="D45" s="15" t="n"/>
      <c r="E45" s="15" t="n"/>
      <c r="F45" s="15" t="n"/>
      <c r="G45" s="15" t="n"/>
    </row>
    <row r="46">
      <c r="A46" s="15" t="n"/>
      <c r="B46" s="15" t="n"/>
      <c r="C46" s="15" t="n"/>
      <c r="D46" s="15" t="n"/>
      <c r="E46" s="15" t="n"/>
      <c r="F46" s="15" t="n"/>
      <c r="G46" s="15" t="n"/>
    </row>
    <row r="47">
      <c r="A47" s="15" t="n"/>
      <c r="B47" s="15" t="n"/>
      <c r="C47" s="15" t="n"/>
      <c r="D47" s="15" t="n"/>
      <c r="E47" s="15" t="n"/>
      <c r="F47" s="15" t="n"/>
      <c r="G47" s="15" t="n"/>
    </row>
    <row r="48">
      <c r="A48" s="15" t="n"/>
      <c r="B48" s="15" t="n"/>
      <c r="C48" s="15" t="n"/>
      <c r="D48" s="15" t="n"/>
      <c r="E48" s="15" t="n"/>
      <c r="F48" s="15" t="n"/>
      <c r="G48" s="15" t="n"/>
    </row>
    <row r="49">
      <c r="A49" s="15" t="n"/>
      <c r="B49" s="15" t="n"/>
      <c r="C49" s="15" t="n"/>
      <c r="D49" s="15" t="n"/>
      <c r="E49" s="15" t="n"/>
      <c r="F49" s="15" t="n"/>
      <c r="G49" s="15" t="n"/>
    </row>
    <row r="50">
      <c r="A50" s="15" t="n"/>
      <c r="B50" s="15" t="n"/>
      <c r="C50" s="15" t="n"/>
      <c r="D50" s="15" t="n"/>
      <c r="E50" s="15" t="n"/>
      <c r="F50" s="15" t="n"/>
      <c r="G50" s="15" t="n"/>
    </row>
    <row r="51">
      <c r="A51" s="15" t="n"/>
      <c r="B51" s="15" t="n"/>
      <c r="C51" s="15" t="n"/>
      <c r="D51" s="15" t="n"/>
      <c r="E51" s="15" t="n"/>
      <c r="F51" s="15" t="n"/>
      <c r="G51" s="15" t="n"/>
    </row>
    <row r="52">
      <c r="A52" s="15" t="n"/>
      <c r="B52" s="15" t="n"/>
      <c r="C52" s="15" t="n"/>
      <c r="D52" s="15" t="n"/>
      <c r="E52" s="15" t="n"/>
      <c r="F52" s="15" t="n"/>
      <c r="G52" s="15" t="n"/>
    </row>
    <row r="53">
      <c r="A53" s="15" t="n"/>
      <c r="B53" s="15" t="n"/>
      <c r="C53" s="15" t="n"/>
      <c r="D53" s="15" t="n"/>
      <c r="E53" s="15" t="n"/>
      <c r="F53" s="15" t="n"/>
      <c r="G53" s="15" t="n"/>
    </row>
    <row r="54">
      <c r="A54" s="15" t="n"/>
      <c r="B54" s="15" t="n"/>
      <c r="C54" s="15" t="n"/>
      <c r="D54" s="15" t="n"/>
      <c r="E54" s="15" t="n"/>
      <c r="F54" s="15" t="n"/>
      <c r="G54" s="15" t="n"/>
    </row>
    <row r="55">
      <c r="A55" s="15" t="n"/>
      <c r="B55" s="15" t="n"/>
      <c r="C55" s="15" t="n"/>
      <c r="D55" s="15" t="n"/>
      <c r="E55" s="15" t="n"/>
      <c r="F55" s="15" t="n"/>
      <c r="G55" s="15" t="n"/>
    </row>
  </sheetData>
  <mergeCells count="3">
    <mergeCell ref="A3:G3"/>
    <mergeCell ref="A2:G2"/>
    <mergeCell ref="A1:G1"/>
  </mergeCells>
  <dataValidations count="4">
    <dataValidation sqref="C6 C7 C8 C9 C10 C11 C12 C13 C14 C15 C16 C17 C18 C19 C20 C21 C22 C23 C24 C25 C26 C27 C28 C29 C30 C31 C32 C33 C34 C35 C36 C37 C38 C39 C40 C41 C42 C43 C44 C45 C46 C47 C48 C49 C50 C51 C52 C53 C54 C55" showDropDown="0" showInputMessage="0" showErrorMessage="0" allowBlank="1" type="list">
      <formula1>"High,Medium,Low"</formula1>
    </dataValidation>
    <dataValidation sqref="D6 D7 D8 D9 D10 D11 D12 D13 D14 D15 D16 D17 D18 D19 D20 D21 D22 D23 D24 D25 D26 D27 D28 D29 D30 D31 D32 D33 D34 D35 D36 D37 D38 D39 D40 D41 D42 D43 D44 D45 D46 D47 D48 D49 D50 D51 D52 D53 D54 D55" showDropDown="0" showInputMessage="0" showErrorMessage="0" allowBlank="1" type="list">
      <formula1>"High,Medium,Low"</formula1>
    </dataValidation>
    <dataValidation sqref="F6 F7 F8 F9 F10 F11 F12 F13 F14 F15 F16 F17 F18 F19 F20 F21 F22 F23 F24 F25 F26 F27 F28 F29 F30 F31 F32 F33 F34 F35 F36 F37 F38 F39 F40 F41 F42 F43 F44 F45 F46 F47 F48 F49 F50 F51 F52 F53 F54 F55" showDropDown="0" showInputMessage="0" showErrorMessage="0" allowBlank="1" type="list">
      <formula1>"Critical,High,Medium,Low"</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1" type="list">
      <formula1>"Assessed,Pending Approval,Approved,Rejected"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55"/>
  <sheetViews>
    <sheetView showGridLines="0" workbookViewId="0">
      <pane ySplit="4" topLeftCell="A5" activePane="bottomLeft" state="frozen"/>
      <selection pane="bottomLeft" activeCell="A1" sqref="A1"/>
    </sheetView>
  </sheetViews>
  <sheetFormatPr baseColWidth="8" defaultRowHeight="15"/>
  <cols>
    <col width="14" customWidth="1" min="1" max="1"/>
    <col width="14" customWidth="1" min="2" max="2"/>
    <col width="14" customWidth="1" min="3" max="3"/>
    <col width="50" customWidth="1" min="4" max="4"/>
    <col width="22" customWidth="1" min="5" max="5"/>
    <col width="20" customWidth="1" min="6" max="6"/>
    <col width="16" customWidth="1" min="7" max="7"/>
    <col width="16" customWidth="1" min="8" max="8"/>
    <col width="16" customWidth="1" min="9" max="9"/>
    <col width="40" customWidth="1" min="10" max="10"/>
    <col width="20" customWidth="1" min="11" max="11"/>
    <col width="16" customWidth="1" min="12" max="12"/>
  </cols>
  <sheetData>
    <row r="1" ht="35" customHeight="1">
      <c r="A1" s="11" t="inlineStr">
        <is>
          <t>ISMS-IMP-A.8.8.2  —  RISK TREATMENT</t>
        </is>
      </c>
    </row>
    <row r="2">
      <c r="A2" s="12" t="inlineStr">
        <is>
          <t>ISO/IEC 27001:2022 — Control A.8.8: Risk Treatment Decisions</t>
        </is>
      </c>
    </row>
    <row r="3">
      <c r="A3" s="6" t="n"/>
    </row>
    <row r="4">
      <c r="A4" s="13" t="inlineStr">
        <is>
          <t>Decision_ID</t>
        </is>
      </c>
      <c r="B4" s="13" t="inlineStr">
        <is>
          <t>Vuln_ID</t>
        </is>
      </c>
      <c r="C4" s="13" t="inlineStr">
        <is>
          <t>Treatment_Option</t>
        </is>
      </c>
      <c r="D4" s="13" t="inlineStr">
        <is>
          <t>Treatment_Description</t>
        </is>
      </c>
      <c r="E4" s="13" t="inlineStr">
        <is>
          <t>Risk_Owner</t>
        </is>
      </c>
      <c r="F4" s="13" t="inlineStr">
        <is>
          <t>Approved_By</t>
        </is>
      </c>
      <c r="G4" s="13" t="inlineStr">
        <is>
          <t>Approval_Date</t>
        </is>
      </c>
      <c r="H4" s="13" t="inlineStr">
        <is>
          <t>Decision_Date</t>
        </is>
      </c>
      <c r="I4" s="13" t="inlineStr">
        <is>
          <t>Review_Due_Date</t>
        </is>
      </c>
      <c r="J4" s="13" t="inlineStr">
        <is>
          <t>Implementation_Notes</t>
        </is>
      </c>
      <c r="K4" s="13" t="inlineStr">
        <is>
          <t>Residual_Risk_Level</t>
        </is>
      </c>
      <c r="L4" s="13" t="inlineStr">
        <is>
          <t>Status</t>
        </is>
      </c>
    </row>
    <row r="5">
      <c r="A5" s="14" t="inlineStr">
        <is>
          <t>TRT-001</t>
        </is>
      </c>
      <c r="B5" s="14" t="inlineStr">
        <is>
          <t>VULN-001</t>
        </is>
      </c>
      <c r="C5" s="14" t="inlineStr">
        <is>
          <t>Remediate</t>
        </is>
      </c>
      <c r="D5" s="14" t="inlineStr">
        <is>
          <t>Apply Apache patch 2.4.51 and harden HTTP configuration</t>
        </is>
      </c>
      <c r="E5" s="14" t="inlineStr">
        <is>
          <t>Infrastructure Lead</t>
        </is>
      </c>
      <c r="F5" s="14" t="inlineStr">
        <is>
          <t>CISO</t>
        </is>
      </c>
      <c r="G5" s="14" t="inlineStr">
        <is>
          <t>20/01/2024</t>
        </is>
      </c>
      <c r="H5" s="14" t="inlineStr">
        <is>
          <t>21/01/2024</t>
        </is>
      </c>
      <c r="I5" s="14" t="inlineStr">
        <is>
          <t>30/01/2024</t>
        </is>
      </c>
      <c r="J5" s="14" t="inlineStr">
        <is>
          <t>Emergency patch approved; CAB bypass authorised</t>
        </is>
      </c>
      <c r="K5" s="14" t="inlineStr">
        <is>
          <t>Low</t>
        </is>
      </c>
      <c r="L5" s="14" t="inlineStr">
        <is>
          <t>Implemented</t>
        </is>
      </c>
    </row>
    <row r="6">
      <c r="A6" s="15" t="n"/>
      <c r="B6" s="15" t="n"/>
      <c r="C6" s="15" t="n"/>
      <c r="D6" s="15" t="n"/>
      <c r="E6" s="15" t="n"/>
      <c r="F6" s="15" t="n"/>
      <c r="G6" s="15" t="n"/>
      <c r="H6" s="15" t="n"/>
      <c r="I6" s="15" t="n"/>
      <c r="J6" s="15" t="n"/>
      <c r="K6" s="15" t="n"/>
      <c r="L6" s="15" t="n"/>
    </row>
    <row r="7">
      <c r="A7" s="15" t="n"/>
      <c r="B7" s="15" t="n"/>
      <c r="C7" s="15" t="n"/>
      <c r="D7" s="15" t="n"/>
      <c r="E7" s="15" t="n"/>
      <c r="F7" s="15" t="n"/>
      <c r="G7" s="15" t="n"/>
      <c r="H7" s="15" t="n"/>
      <c r="I7" s="15" t="n"/>
      <c r="J7" s="15" t="n"/>
      <c r="K7" s="15" t="n"/>
      <c r="L7" s="15" t="n"/>
    </row>
    <row r="8">
      <c r="A8" s="15" t="n"/>
      <c r="B8" s="15" t="n"/>
      <c r="C8" s="15" t="n"/>
      <c r="D8" s="15" t="n"/>
      <c r="E8" s="15" t="n"/>
      <c r="F8" s="15" t="n"/>
      <c r="G8" s="15" t="n"/>
      <c r="H8" s="15" t="n"/>
      <c r="I8" s="15" t="n"/>
      <c r="J8" s="15" t="n"/>
      <c r="K8" s="15" t="n"/>
      <c r="L8" s="15" t="n"/>
    </row>
    <row r="9">
      <c r="A9" s="15" t="n"/>
      <c r="B9" s="15" t="n"/>
      <c r="C9" s="15" t="n"/>
      <c r="D9" s="15" t="n"/>
      <c r="E9" s="15" t="n"/>
      <c r="F9" s="15" t="n"/>
      <c r="G9" s="15" t="n"/>
      <c r="H9" s="15" t="n"/>
      <c r="I9" s="15" t="n"/>
      <c r="J9" s="15" t="n"/>
      <c r="K9" s="15" t="n"/>
      <c r="L9" s="15" t="n"/>
    </row>
    <row r="10">
      <c r="A10" s="15" t="n"/>
      <c r="B10" s="15" t="n"/>
      <c r="C10" s="15" t="n"/>
      <c r="D10" s="15" t="n"/>
      <c r="E10" s="15" t="n"/>
      <c r="F10" s="15" t="n"/>
      <c r="G10" s="15" t="n"/>
      <c r="H10" s="15" t="n"/>
      <c r="I10" s="15" t="n"/>
      <c r="J10" s="15" t="n"/>
      <c r="K10" s="15" t="n"/>
      <c r="L10" s="15" t="n"/>
    </row>
    <row r="11">
      <c r="A11" s="15" t="n"/>
      <c r="B11" s="15" t="n"/>
      <c r="C11" s="15" t="n"/>
      <c r="D11" s="15" t="n"/>
      <c r="E11" s="15" t="n"/>
      <c r="F11" s="15" t="n"/>
      <c r="G11" s="15" t="n"/>
      <c r="H11" s="15" t="n"/>
      <c r="I11" s="15" t="n"/>
      <c r="J11" s="15" t="n"/>
      <c r="K11" s="15" t="n"/>
      <c r="L11" s="15" t="n"/>
    </row>
    <row r="12">
      <c r="A12" s="15" t="n"/>
      <c r="B12" s="15" t="n"/>
      <c r="C12" s="15" t="n"/>
      <c r="D12" s="15" t="n"/>
      <c r="E12" s="15" t="n"/>
      <c r="F12" s="15" t="n"/>
      <c r="G12" s="15" t="n"/>
      <c r="H12" s="15" t="n"/>
      <c r="I12" s="15" t="n"/>
      <c r="J12" s="15" t="n"/>
      <c r="K12" s="15" t="n"/>
      <c r="L12" s="15" t="n"/>
    </row>
    <row r="13">
      <c r="A13" s="15" t="n"/>
      <c r="B13" s="15" t="n"/>
      <c r="C13" s="15" t="n"/>
      <c r="D13" s="15" t="n"/>
      <c r="E13" s="15" t="n"/>
      <c r="F13" s="15" t="n"/>
      <c r="G13" s="15" t="n"/>
      <c r="H13" s="15" t="n"/>
      <c r="I13" s="15" t="n"/>
      <c r="J13" s="15" t="n"/>
      <c r="K13" s="15" t="n"/>
      <c r="L13" s="15" t="n"/>
    </row>
    <row r="14">
      <c r="A14" s="15" t="n"/>
      <c r="B14" s="15" t="n"/>
      <c r="C14" s="15" t="n"/>
      <c r="D14" s="15" t="n"/>
      <c r="E14" s="15" t="n"/>
      <c r="F14" s="15" t="n"/>
      <c r="G14" s="15" t="n"/>
      <c r="H14" s="15" t="n"/>
      <c r="I14" s="15" t="n"/>
      <c r="J14" s="15" t="n"/>
      <c r="K14" s="15" t="n"/>
      <c r="L14" s="15" t="n"/>
    </row>
    <row r="15">
      <c r="A15" s="15" t="n"/>
      <c r="B15" s="15" t="n"/>
      <c r="C15" s="15" t="n"/>
      <c r="D15" s="15" t="n"/>
      <c r="E15" s="15" t="n"/>
      <c r="F15" s="15" t="n"/>
      <c r="G15" s="15" t="n"/>
      <c r="H15" s="15" t="n"/>
      <c r="I15" s="15" t="n"/>
      <c r="J15" s="15" t="n"/>
      <c r="K15" s="15" t="n"/>
      <c r="L15" s="15" t="n"/>
    </row>
    <row r="16">
      <c r="A16" s="15" t="n"/>
      <c r="B16" s="15" t="n"/>
      <c r="C16" s="15" t="n"/>
      <c r="D16" s="15" t="n"/>
      <c r="E16" s="15" t="n"/>
      <c r="F16" s="15" t="n"/>
      <c r="G16" s="15" t="n"/>
      <c r="H16" s="15" t="n"/>
      <c r="I16" s="15" t="n"/>
      <c r="J16" s="15" t="n"/>
      <c r="K16" s="15" t="n"/>
      <c r="L16" s="15" t="n"/>
    </row>
    <row r="17">
      <c r="A17" s="15" t="n"/>
      <c r="B17" s="15" t="n"/>
      <c r="C17" s="15" t="n"/>
      <c r="D17" s="15" t="n"/>
      <c r="E17" s="15" t="n"/>
      <c r="F17" s="15" t="n"/>
      <c r="G17" s="15" t="n"/>
      <c r="H17" s="15" t="n"/>
      <c r="I17" s="15" t="n"/>
      <c r="J17" s="15" t="n"/>
      <c r="K17" s="15" t="n"/>
      <c r="L17" s="15" t="n"/>
    </row>
    <row r="18">
      <c r="A18" s="15" t="n"/>
      <c r="B18" s="15" t="n"/>
      <c r="C18" s="15" t="n"/>
      <c r="D18" s="15" t="n"/>
      <c r="E18" s="15" t="n"/>
      <c r="F18" s="15" t="n"/>
      <c r="G18" s="15" t="n"/>
      <c r="H18" s="15" t="n"/>
      <c r="I18" s="15" t="n"/>
      <c r="J18" s="15" t="n"/>
      <c r="K18" s="15" t="n"/>
      <c r="L18" s="15" t="n"/>
    </row>
    <row r="19">
      <c r="A19" s="15" t="n"/>
      <c r="B19" s="15" t="n"/>
      <c r="C19" s="15" t="n"/>
      <c r="D19" s="15" t="n"/>
      <c r="E19" s="15" t="n"/>
      <c r="F19" s="15" t="n"/>
      <c r="G19" s="15" t="n"/>
      <c r="H19" s="15" t="n"/>
      <c r="I19" s="15" t="n"/>
      <c r="J19" s="15" t="n"/>
      <c r="K19" s="15" t="n"/>
      <c r="L19" s="15" t="n"/>
    </row>
    <row r="20">
      <c r="A20" s="15" t="n"/>
      <c r="B20" s="15" t="n"/>
      <c r="C20" s="15" t="n"/>
      <c r="D20" s="15" t="n"/>
      <c r="E20" s="15" t="n"/>
      <c r="F20" s="15" t="n"/>
      <c r="G20" s="15" t="n"/>
      <c r="H20" s="15" t="n"/>
      <c r="I20" s="15" t="n"/>
      <c r="J20" s="15" t="n"/>
      <c r="K20" s="15" t="n"/>
      <c r="L20" s="15" t="n"/>
    </row>
    <row r="21">
      <c r="A21" s="15" t="n"/>
      <c r="B21" s="15" t="n"/>
      <c r="C21" s="15" t="n"/>
      <c r="D21" s="15" t="n"/>
      <c r="E21" s="15" t="n"/>
      <c r="F21" s="15" t="n"/>
      <c r="G21" s="15" t="n"/>
      <c r="H21" s="15" t="n"/>
      <c r="I21" s="15" t="n"/>
      <c r="J21" s="15" t="n"/>
      <c r="K21" s="15" t="n"/>
      <c r="L21" s="15" t="n"/>
    </row>
    <row r="22">
      <c r="A22" s="15" t="n"/>
      <c r="B22" s="15" t="n"/>
      <c r="C22" s="15" t="n"/>
      <c r="D22" s="15" t="n"/>
      <c r="E22" s="15" t="n"/>
      <c r="F22" s="15" t="n"/>
      <c r="G22" s="15" t="n"/>
      <c r="H22" s="15" t="n"/>
      <c r="I22" s="15" t="n"/>
      <c r="J22" s="15" t="n"/>
      <c r="K22" s="15" t="n"/>
      <c r="L22" s="15" t="n"/>
    </row>
    <row r="23">
      <c r="A23" s="15" t="n"/>
      <c r="B23" s="15" t="n"/>
      <c r="C23" s="15" t="n"/>
      <c r="D23" s="15" t="n"/>
      <c r="E23" s="15" t="n"/>
      <c r="F23" s="15" t="n"/>
      <c r="G23" s="15" t="n"/>
      <c r="H23" s="15" t="n"/>
      <c r="I23" s="15" t="n"/>
      <c r="J23" s="15" t="n"/>
      <c r="K23" s="15" t="n"/>
      <c r="L23" s="15" t="n"/>
    </row>
    <row r="24">
      <c r="A24" s="15" t="n"/>
      <c r="B24" s="15" t="n"/>
      <c r="C24" s="15" t="n"/>
      <c r="D24" s="15" t="n"/>
      <c r="E24" s="15" t="n"/>
      <c r="F24" s="15" t="n"/>
      <c r="G24" s="15" t="n"/>
      <c r="H24" s="15" t="n"/>
      <c r="I24" s="15" t="n"/>
      <c r="J24" s="15" t="n"/>
      <c r="K24" s="15" t="n"/>
      <c r="L24" s="15" t="n"/>
    </row>
    <row r="25">
      <c r="A25" s="15" t="n"/>
      <c r="B25" s="15" t="n"/>
      <c r="C25" s="15" t="n"/>
      <c r="D25" s="15" t="n"/>
      <c r="E25" s="15" t="n"/>
      <c r="F25" s="15" t="n"/>
      <c r="G25" s="15" t="n"/>
      <c r="H25" s="15" t="n"/>
      <c r="I25" s="15" t="n"/>
      <c r="J25" s="15" t="n"/>
      <c r="K25" s="15" t="n"/>
      <c r="L25" s="15" t="n"/>
    </row>
    <row r="26">
      <c r="A26" s="15" t="n"/>
      <c r="B26" s="15" t="n"/>
      <c r="C26" s="15" t="n"/>
      <c r="D26" s="15" t="n"/>
      <c r="E26" s="15" t="n"/>
      <c r="F26" s="15" t="n"/>
      <c r="G26" s="15" t="n"/>
      <c r="H26" s="15" t="n"/>
      <c r="I26" s="15" t="n"/>
      <c r="J26" s="15" t="n"/>
      <c r="K26" s="15" t="n"/>
      <c r="L26" s="15" t="n"/>
    </row>
    <row r="27">
      <c r="A27" s="15" t="n"/>
      <c r="B27" s="15" t="n"/>
      <c r="C27" s="15" t="n"/>
      <c r="D27" s="15" t="n"/>
      <c r="E27" s="15" t="n"/>
      <c r="F27" s="15" t="n"/>
      <c r="G27" s="15" t="n"/>
      <c r="H27" s="15" t="n"/>
      <c r="I27" s="15" t="n"/>
      <c r="J27" s="15" t="n"/>
      <c r="K27" s="15" t="n"/>
      <c r="L27" s="15" t="n"/>
    </row>
    <row r="28">
      <c r="A28" s="15" t="n"/>
      <c r="B28" s="15" t="n"/>
      <c r="C28" s="15" t="n"/>
      <c r="D28" s="15" t="n"/>
      <c r="E28" s="15" t="n"/>
      <c r="F28" s="15" t="n"/>
      <c r="G28" s="15" t="n"/>
      <c r="H28" s="15" t="n"/>
      <c r="I28" s="15" t="n"/>
      <c r="J28" s="15" t="n"/>
      <c r="K28" s="15" t="n"/>
      <c r="L28" s="15" t="n"/>
    </row>
    <row r="29">
      <c r="A29" s="15" t="n"/>
      <c r="B29" s="15" t="n"/>
      <c r="C29" s="15" t="n"/>
      <c r="D29" s="15" t="n"/>
      <c r="E29" s="15" t="n"/>
      <c r="F29" s="15" t="n"/>
      <c r="G29" s="15" t="n"/>
      <c r="H29" s="15" t="n"/>
      <c r="I29" s="15" t="n"/>
      <c r="J29" s="15" t="n"/>
      <c r="K29" s="15" t="n"/>
      <c r="L29" s="15" t="n"/>
    </row>
    <row r="30">
      <c r="A30" s="15" t="n"/>
      <c r="B30" s="15" t="n"/>
      <c r="C30" s="15" t="n"/>
      <c r="D30" s="15" t="n"/>
      <c r="E30" s="15" t="n"/>
      <c r="F30" s="15" t="n"/>
      <c r="G30" s="15" t="n"/>
      <c r="H30" s="15" t="n"/>
      <c r="I30" s="15" t="n"/>
      <c r="J30" s="15" t="n"/>
      <c r="K30" s="15" t="n"/>
      <c r="L30" s="15" t="n"/>
    </row>
    <row r="31">
      <c r="A31" s="15" t="n"/>
      <c r="B31" s="15" t="n"/>
      <c r="C31" s="15" t="n"/>
      <c r="D31" s="15" t="n"/>
      <c r="E31" s="15" t="n"/>
      <c r="F31" s="15" t="n"/>
      <c r="G31" s="15" t="n"/>
      <c r="H31" s="15" t="n"/>
      <c r="I31" s="15" t="n"/>
      <c r="J31" s="15" t="n"/>
      <c r="K31" s="15" t="n"/>
      <c r="L31" s="15" t="n"/>
    </row>
    <row r="32">
      <c r="A32" s="15" t="n"/>
      <c r="B32" s="15" t="n"/>
      <c r="C32" s="15" t="n"/>
      <c r="D32" s="15" t="n"/>
      <c r="E32" s="15" t="n"/>
      <c r="F32" s="15" t="n"/>
      <c r="G32" s="15" t="n"/>
      <c r="H32" s="15" t="n"/>
      <c r="I32" s="15" t="n"/>
      <c r="J32" s="15" t="n"/>
      <c r="K32" s="15" t="n"/>
      <c r="L32" s="15" t="n"/>
    </row>
    <row r="33">
      <c r="A33" s="15" t="n"/>
      <c r="B33" s="15" t="n"/>
      <c r="C33" s="15" t="n"/>
      <c r="D33" s="15" t="n"/>
      <c r="E33" s="15" t="n"/>
      <c r="F33" s="15" t="n"/>
      <c r="G33" s="15" t="n"/>
      <c r="H33" s="15" t="n"/>
      <c r="I33" s="15" t="n"/>
      <c r="J33" s="15" t="n"/>
      <c r="K33" s="15" t="n"/>
      <c r="L33" s="15" t="n"/>
    </row>
    <row r="34">
      <c r="A34" s="15" t="n"/>
      <c r="B34" s="15" t="n"/>
      <c r="C34" s="15" t="n"/>
      <c r="D34" s="15" t="n"/>
      <c r="E34" s="15" t="n"/>
      <c r="F34" s="15" t="n"/>
      <c r="G34" s="15" t="n"/>
      <c r="H34" s="15" t="n"/>
      <c r="I34" s="15" t="n"/>
      <c r="J34" s="15" t="n"/>
      <c r="K34" s="15" t="n"/>
      <c r="L34" s="15" t="n"/>
    </row>
    <row r="35">
      <c r="A35" s="15" t="n"/>
      <c r="B35" s="15" t="n"/>
      <c r="C35" s="15" t="n"/>
      <c r="D35" s="15" t="n"/>
      <c r="E35" s="15" t="n"/>
      <c r="F35" s="15" t="n"/>
      <c r="G35" s="15" t="n"/>
      <c r="H35" s="15" t="n"/>
      <c r="I35" s="15" t="n"/>
      <c r="J35" s="15" t="n"/>
      <c r="K35" s="15" t="n"/>
      <c r="L35" s="15" t="n"/>
    </row>
    <row r="36">
      <c r="A36" s="15" t="n"/>
      <c r="B36" s="15" t="n"/>
      <c r="C36" s="15" t="n"/>
      <c r="D36" s="15" t="n"/>
      <c r="E36" s="15" t="n"/>
      <c r="F36" s="15" t="n"/>
      <c r="G36" s="15" t="n"/>
      <c r="H36" s="15" t="n"/>
      <c r="I36" s="15" t="n"/>
      <c r="J36" s="15" t="n"/>
      <c r="K36" s="15" t="n"/>
      <c r="L36" s="15" t="n"/>
    </row>
    <row r="37">
      <c r="A37" s="15" t="n"/>
      <c r="B37" s="15" t="n"/>
      <c r="C37" s="15" t="n"/>
      <c r="D37" s="15" t="n"/>
      <c r="E37" s="15" t="n"/>
      <c r="F37" s="15" t="n"/>
      <c r="G37" s="15" t="n"/>
      <c r="H37" s="15" t="n"/>
      <c r="I37" s="15" t="n"/>
      <c r="J37" s="15" t="n"/>
      <c r="K37" s="15" t="n"/>
      <c r="L37" s="15" t="n"/>
    </row>
    <row r="38">
      <c r="A38" s="15" t="n"/>
      <c r="B38" s="15" t="n"/>
      <c r="C38" s="15" t="n"/>
      <c r="D38" s="15" t="n"/>
      <c r="E38" s="15" t="n"/>
      <c r="F38" s="15" t="n"/>
      <c r="G38" s="15" t="n"/>
      <c r="H38" s="15" t="n"/>
      <c r="I38" s="15" t="n"/>
      <c r="J38" s="15" t="n"/>
      <c r="K38" s="15" t="n"/>
      <c r="L38" s="15" t="n"/>
    </row>
    <row r="39">
      <c r="A39" s="15" t="n"/>
      <c r="B39" s="15" t="n"/>
      <c r="C39" s="15" t="n"/>
      <c r="D39" s="15" t="n"/>
      <c r="E39" s="15" t="n"/>
      <c r="F39" s="15" t="n"/>
      <c r="G39" s="15" t="n"/>
      <c r="H39" s="15" t="n"/>
      <c r="I39" s="15" t="n"/>
      <c r="J39" s="15" t="n"/>
      <c r="K39" s="15" t="n"/>
      <c r="L39" s="15" t="n"/>
    </row>
    <row r="40">
      <c r="A40" s="15" t="n"/>
      <c r="B40" s="15" t="n"/>
      <c r="C40" s="15" t="n"/>
      <c r="D40" s="15" t="n"/>
      <c r="E40" s="15" t="n"/>
      <c r="F40" s="15" t="n"/>
      <c r="G40" s="15" t="n"/>
      <c r="H40" s="15" t="n"/>
      <c r="I40" s="15" t="n"/>
      <c r="J40" s="15" t="n"/>
      <c r="K40" s="15" t="n"/>
      <c r="L40" s="15" t="n"/>
    </row>
    <row r="41">
      <c r="A41" s="15" t="n"/>
      <c r="B41" s="15" t="n"/>
      <c r="C41" s="15" t="n"/>
      <c r="D41" s="15" t="n"/>
      <c r="E41" s="15" t="n"/>
      <c r="F41" s="15" t="n"/>
      <c r="G41" s="15" t="n"/>
      <c r="H41" s="15" t="n"/>
      <c r="I41" s="15" t="n"/>
      <c r="J41" s="15" t="n"/>
      <c r="K41" s="15" t="n"/>
      <c r="L41" s="15" t="n"/>
    </row>
    <row r="42">
      <c r="A42" s="15" t="n"/>
      <c r="B42" s="15" t="n"/>
      <c r="C42" s="15" t="n"/>
      <c r="D42" s="15" t="n"/>
      <c r="E42" s="15" t="n"/>
      <c r="F42" s="15" t="n"/>
      <c r="G42" s="15" t="n"/>
      <c r="H42" s="15" t="n"/>
      <c r="I42" s="15" t="n"/>
      <c r="J42" s="15" t="n"/>
      <c r="K42" s="15" t="n"/>
      <c r="L42" s="15" t="n"/>
    </row>
    <row r="43">
      <c r="A43" s="15" t="n"/>
      <c r="B43" s="15" t="n"/>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5" t="n"/>
      <c r="B45" s="15" t="n"/>
      <c r="C45" s="15" t="n"/>
      <c r="D45" s="15" t="n"/>
      <c r="E45" s="15" t="n"/>
      <c r="F45" s="15" t="n"/>
      <c r="G45" s="15" t="n"/>
      <c r="H45" s="15" t="n"/>
      <c r="I45" s="15" t="n"/>
      <c r="J45" s="15" t="n"/>
      <c r="K45" s="15" t="n"/>
      <c r="L45" s="15" t="n"/>
    </row>
    <row r="46">
      <c r="A46" s="15" t="n"/>
      <c r="B46" s="15" t="n"/>
      <c r="C46" s="15" t="n"/>
      <c r="D46" s="15" t="n"/>
      <c r="E46" s="15" t="n"/>
      <c r="F46" s="15" t="n"/>
      <c r="G46" s="15" t="n"/>
      <c r="H46" s="15" t="n"/>
      <c r="I46" s="15" t="n"/>
      <c r="J46" s="15" t="n"/>
      <c r="K46" s="15" t="n"/>
      <c r="L46" s="15" t="n"/>
    </row>
    <row r="47">
      <c r="A47" s="15" t="n"/>
      <c r="B47" s="15" t="n"/>
      <c r="C47" s="15" t="n"/>
      <c r="D47" s="15" t="n"/>
      <c r="E47" s="15" t="n"/>
      <c r="F47" s="15" t="n"/>
      <c r="G47" s="15" t="n"/>
      <c r="H47" s="15" t="n"/>
      <c r="I47" s="15" t="n"/>
      <c r="J47" s="15" t="n"/>
      <c r="K47" s="15" t="n"/>
      <c r="L47" s="15" t="n"/>
    </row>
    <row r="48">
      <c r="A48" s="15" t="n"/>
      <c r="B48" s="15" t="n"/>
      <c r="C48" s="15" t="n"/>
      <c r="D48" s="15" t="n"/>
      <c r="E48" s="15" t="n"/>
      <c r="F48" s="15" t="n"/>
      <c r="G48" s="15" t="n"/>
      <c r="H48" s="15" t="n"/>
      <c r="I48" s="15" t="n"/>
      <c r="J48" s="15" t="n"/>
      <c r="K48" s="15" t="n"/>
      <c r="L48" s="15" t="n"/>
    </row>
    <row r="49">
      <c r="A49" s="15" t="n"/>
      <c r="B49" s="15" t="n"/>
      <c r="C49" s="15" t="n"/>
      <c r="D49" s="15" t="n"/>
      <c r="E49" s="15" t="n"/>
      <c r="F49" s="15" t="n"/>
      <c r="G49" s="15" t="n"/>
      <c r="H49" s="15" t="n"/>
      <c r="I49" s="15" t="n"/>
      <c r="J49" s="15" t="n"/>
      <c r="K49" s="15" t="n"/>
      <c r="L49" s="15" t="n"/>
    </row>
    <row r="50">
      <c r="A50" s="15" t="n"/>
      <c r="B50" s="15" t="n"/>
      <c r="C50" s="15" t="n"/>
      <c r="D50" s="15" t="n"/>
      <c r="E50" s="15" t="n"/>
      <c r="F50" s="15" t="n"/>
      <c r="G50" s="15" t="n"/>
      <c r="H50" s="15" t="n"/>
      <c r="I50" s="15" t="n"/>
      <c r="J50" s="15" t="n"/>
      <c r="K50" s="15" t="n"/>
      <c r="L50" s="15" t="n"/>
    </row>
    <row r="51">
      <c r="A51" s="15" t="n"/>
      <c r="B51" s="15" t="n"/>
      <c r="C51" s="15" t="n"/>
      <c r="D51" s="15" t="n"/>
      <c r="E51" s="15" t="n"/>
      <c r="F51" s="15" t="n"/>
      <c r="G51" s="15" t="n"/>
      <c r="H51" s="15" t="n"/>
      <c r="I51" s="15" t="n"/>
      <c r="J51" s="15" t="n"/>
      <c r="K51" s="15" t="n"/>
      <c r="L51" s="15" t="n"/>
    </row>
    <row r="52">
      <c r="A52" s="15" t="n"/>
      <c r="B52" s="15" t="n"/>
      <c r="C52" s="15" t="n"/>
      <c r="D52" s="15" t="n"/>
      <c r="E52" s="15" t="n"/>
      <c r="F52" s="15" t="n"/>
      <c r="G52" s="15" t="n"/>
      <c r="H52" s="15" t="n"/>
      <c r="I52" s="15" t="n"/>
      <c r="J52" s="15" t="n"/>
      <c r="K52" s="15" t="n"/>
      <c r="L52" s="15" t="n"/>
    </row>
    <row r="53">
      <c r="A53" s="15" t="n"/>
      <c r="B53" s="15" t="n"/>
      <c r="C53" s="15" t="n"/>
      <c r="D53" s="15" t="n"/>
      <c r="E53" s="15" t="n"/>
      <c r="F53" s="15" t="n"/>
      <c r="G53" s="15" t="n"/>
      <c r="H53" s="15" t="n"/>
      <c r="I53" s="15" t="n"/>
      <c r="J53" s="15" t="n"/>
      <c r="K53" s="15" t="n"/>
      <c r="L53" s="15" t="n"/>
    </row>
    <row r="54">
      <c r="A54" s="15" t="n"/>
      <c r="B54" s="15" t="n"/>
      <c r="C54" s="15" t="n"/>
      <c r="D54" s="15" t="n"/>
      <c r="E54" s="15" t="n"/>
      <c r="F54" s="15" t="n"/>
      <c r="G54" s="15" t="n"/>
      <c r="H54" s="15" t="n"/>
      <c r="I54" s="15" t="n"/>
      <c r="J54" s="15" t="n"/>
      <c r="K54" s="15" t="n"/>
      <c r="L54" s="15" t="n"/>
    </row>
    <row r="55">
      <c r="A55" s="15" t="n"/>
      <c r="B55" s="15" t="n"/>
      <c r="C55" s="15" t="n"/>
      <c r="D55" s="15" t="n"/>
      <c r="E55" s="15" t="n"/>
      <c r="F55" s="15" t="n"/>
      <c r="G55" s="15" t="n"/>
      <c r="H55" s="15" t="n"/>
      <c r="I55" s="15" t="n"/>
      <c r="J55" s="15" t="n"/>
      <c r="K55" s="15" t="n"/>
      <c r="L55" s="15" t="n"/>
    </row>
  </sheetData>
  <mergeCells count="3">
    <mergeCell ref="A3:L3"/>
    <mergeCell ref="A2:L2"/>
    <mergeCell ref="A1:L1"/>
  </mergeCells>
  <dataValidations count="3">
    <dataValidation sqref="C6 C7 C8 C9 C10 C11 C12 C13 C14 C15 C16 C17 C18 C19 C20 C21 C22 C23 C24 C25 C26 C27 C28 C29 C30 C31 C32 C33 C34 C35 C36 C37 C38 C39 C40 C41 C42 C43 C44 C45 C46 C47 C48 C49 C50 C51 C52 C53 C54 C55" showDropDown="0" showInputMessage="0" showErrorMessage="0" allowBlank="1" type="list">
      <formula1>"Remediate,Mitigate,Accept,Transfer"</formula1>
    </dataValidation>
    <dataValidation sqref="K6 K7 K8 K9 K10 K11 K12 K13 K14 K15 K16 K17 K18 K19 K20 K21 K22 K23 K24 K25 K26 K27 K28 K29 K30 K31 K32 K33 K34 K35 K36 K37 K38 K39 K40 K41 K42 K43 K44 K45 K46 K47 K48 K49 K50 K51 K52 K53 K54 K55" showDropDown="0" showInputMessage="0" showErrorMessage="0" allowBlank="1" type="list">
      <formula1>"High,Medium,Low,Negligible"</formula1>
    </dataValidation>
    <dataValidation sqref="L6 L7 L8 L9 L10 L11 L12 L13 L14 L15 L16 L17 L18 L19 L20 L21 L22 L23 L24 L25 L26 L27 L28 L29 L30 L31 L32 L33 L34 L35 L36 L37 L38 L39 L40 L41 L42 L43 L44 L45 L46 L47 L48 L49 L50 L51 L52 L53 L54 L55" showDropDown="0" showInputMessage="0" showErrorMessage="0" allowBlank="1" type="list">
      <formula1>"Open,Approved,Implemented,Expired"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16" t="inlineStr">
        <is>
          <t>EVIDENCE REGISTER</t>
        </is>
      </c>
    </row>
    <row r="2">
      <c r="A2" s="17" t="inlineStr">
        <is>
          <t>ISO/IEC 27001:2022 Annex A — Control A.8.8: Management of Technical Vulnerabilities</t>
        </is>
      </c>
    </row>
    <row r="3">
      <c r="A3" s="6" t="n"/>
    </row>
    <row r="4">
      <c r="A4" s="18" t="inlineStr">
        <is>
          <t>Evidence ID</t>
        </is>
      </c>
      <c r="B4" s="18" t="inlineStr">
        <is>
          <t>Evidence Type</t>
        </is>
      </c>
      <c r="C4" s="18" t="inlineStr">
        <is>
          <t>Description</t>
        </is>
      </c>
      <c r="D4" s="18" t="inlineStr">
        <is>
          <t>Related Control / Section</t>
        </is>
      </c>
      <c r="E4" s="18" t="inlineStr">
        <is>
          <t>Collection Date (DD.MM.YYYY)</t>
        </is>
      </c>
      <c r="F4" s="18" t="inlineStr">
        <is>
          <t>Storage Location / Reference</t>
        </is>
      </c>
      <c r="G4" s="18" t="inlineStr">
        <is>
          <t>Collected By</t>
        </is>
      </c>
      <c r="H4" s="18" t="inlineStr">
        <is>
          <t>Status</t>
        </is>
      </c>
    </row>
    <row r="5">
      <c r="A5" s="19" t="inlineStr">
        <is>
          <t>EV-001</t>
        </is>
      </c>
      <c r="B5" s="19" t="inlineStr">
        <is>
          <t>Vulnerability Report</t>
        </is>
      </c>
      <c r="C5" s="19" t="inlineStr">
        <is>
          <t>Sample evidence entry — replace with actual evidence</t>
        </is>
      </c>
      <c r="D5" s="19" t="inlineStr">
        <is>
          <t>A.8.8 Vulnerability Inventory</t>
        </is>
      </c>
      <c r="E5" s="19" t="inlineStr">
        <is>
          <t>01.01.2026</t>
        </is>
      </c>
      <c r="F5" s="19" t="inlineStr">
        <is>
          <t>SharePoint/ISMS/A.8.8/S2/Evidence/</t>
        </is>
      </c>
      <c r="G5" s="19" t="inlineStr">
        <is>
          <t>Security Team</t>
        </is>
      </c>
      <c r="H5" s="19" t="inlineStr">
        <is>
          <t>Active</t>
        </is>
      </c>
    </row>
    <row r="6">
      <c r="A6" s="20" t="n"/>
      <c r="B6" s="20" t="n"/>
      <c r="C6" s="20" t="n"/>
      <c r="D6" s="20" t="n"/>
      <c r="E6" s="20" t="n"/>
      <c r="F6" s="20" t="n"/>
      <c r="G6" s="20" t="n"/>
      <c r="H6" s="20" t="n"/>
    </row>
    <row r="7">
      <c r="A7" s="20" t="n"/>
      <c r="B7" s="20" t="n"/>
      <c r="C7" s="20" t="n"/>
      <c r="D7" s="20" t="n"/>
      <c r="E7" s="20" t="n"/>
      <c r="F7" s="20" t="n"/>
      <c r="G7" s="20" t="n"/>
      <c r="H7" s="20" t="n"/>
    </row>
    <row r="8">
      <c r="A8" s="20" t="n"/>
      <c r="B8" s="20" t="n"/>
      <c r="C8" s="20" t="n"/>
      <c r="D8" s="20" t="n"/>
      <c r="E8" s="20" t="n"/>
      <c r="F8" s="20" t="n"/>
      <c r="G8" s="20" t="n"/>
      <c r="H8" s="20" t="n"/>
    </row>
    <row r="9">
      <c r="A9" s="20" t="n"/>
      <c r="B9" s="20" t="n"/>
      <c r="C9" s="20" t="n"/>
      <c r="D9" s="20" t="n"/>
      <c r="E9" s="20" t="n"/>
      <c r="F9" s="20" t="n"/>
      <c r="G9" s="20" t="n"/>
      <c r="H9" s="20" t="n"/>
    </row>
    <row r="10">
      <c r="A10" s="20" t="n"/>
      <c r="B10" s="20" t="n"/>
      <c r="C10" s="20" t="n"/>
      <c r="D10" s="20" t="n"/>
      <c r="E10" s="20" t="n"/>
      <c r="F10" s="20" t="n"/>
      <c r="G10" s="20" t="n"/>
      <c r="H10" s="20" t="n"/>
    </row>
    <row r="11">
      <c r="A11" s="20" t="n"/>
      <c r="B11" s="20" t="n"/>
      <c r="C11" s="20" t="n"/>
      <c r="D11" s="20" t="n"/>
      <c r="E11" s="20" t="n"/>
      <c r="F11" s="20" t="n"/>
      <c r="G11" s="20" t="n"/>
      <c r="H11" s="20" t="n"/>
    </row>
    <row r="12">
      <c r="A12" s="20" t="n"/>
      <c r="B12" s="20" t="n"/>
      <c r="C12" s="20" t="n"/>
      <c r="D12" s="20" t="n"/>
      <c r="E12" s="20" t="n"/>
      <c r="F12" s="20" t="n"/>
      <c r="G12" s="20" t="n"/>
      <c r="H12" s="20" t="n"/>
    </row>
    <row r="13">
      <c r="A13" s="20" t="n"/>
      <c r="B13" s="20" t="n"/>
      <c r="C13" s="20" t="n"/>
      <c r="D13" s="20" t="n"/>
      <c r="E13" s="20" t="n"/>
      <c r="F13" s="20" t="n"/>
      <c r="G13" s="20" t="n"/>
      <c r="H13" s="20" t="n"/>
    </row>
    <row r="14">
      <c r="A14" s="20" t="n"/>
      <c r="B14" s="20" t="n"/>
      <c r="C14" s="20" t="n"/>
      <c r="D14" s="20" t="n"/>
      <c r="E14" s="20" t="n"/>
      <c r="F14" s="20" t="n"/>
      <c r="G14" s="20" t="n"/>
      <c r="H14" s="20" t="n"/>
    </row>
    <row r="15">
      <c r="A15" s="20" t="n"/>
      <c r="B15" s="20" t="n"/>
      <c r="C15" s="20" t="n"/>
      <c r="D15" s="20" t="n"/>
      <c r="E15" s="20" t="n"/>
      <c r="F15" s="20" t="n"/>
      <c r="G15" s="20" t="n"/>
      <c r="H15" s="20" t="n"/>
    </row>
    <row r="16">
      <c r="A16" s="20" t="n"/>
      <c r="B16" s="20" t="n"/>
      <c r="C16" s="20" t="n"/>
      <c r="D16" s="20" t="n"/>
      <c r="E16" s="20" t="n"/>
      <c r="F16" s="20" t="n"/>
      <c r="G16" s="20" t="n"/>
      <c r="H16" s="20" t="n"/>
    </row>
    <row r="17">
      <c r="A17" s="20" t="n"/>
      <c r="B17" s="20" t="n"/>
      <c r="C17" s="20" t="n"/>
      <c r="D17" s="20" t="n"/>
      <c r="E17" s="20" t="n"/>
      <c r="F17" s="20" t="n"/>
      <c r="G17" s="20" t="n"/>
      <c r="H17" s="20" t="n"/>
    </row>
    <row r="18">
      <c r="A18" s="20" t="n"/>
      <c r="B18" s="20" t="n"/>
      <c r="C18" s="20" t="n"/>
      <c r="D18" s="20" t="n"/>
      <c r="E18" s="20" t="n"/>
      <c r="F18" s="20" t="n"/>
      <c r="G18" s="20" t="n"/>
      <c r="H18" s="20" t="n"/>
    </row>
    <row r="19">
      <c r="A19" s="20" t="n"/>
      <c r="B19" s="20" t="n"/>
      <c r="C19" s="20" t="n"/>
      <c r="D19" s="20" t="n"/>
      <c r="E19" s="20" t="n"/>
      <c r="F19" s="20" t="n"/>
      <c r="G19" s="20" t="n"/>
      <c r="H19" s="20" t="n"/>
    </row>
    <row r="20">
      <c r="A20" s="20" t="n"/>
      <c r="B20" s="20" t="n"/>
      <c r="C20" s="20" t="n"/>
      <c r="D20" s="20" t="n"/>
      <c r="E20" s="20" t="n"/>
      <c r="F20" s="20" t="n"/>
      <c r="G20" s="20" t="n"/>
      <c r="H20" s="20" t="n"/>
    </row>
    <row r="21">
      <c r="A21" s="20" t="n"/>
      <c r="B21" s="20" t="n"/>
      <c r="C21" s="20" t="n"/>
      <c r="D21" s="20" t="n"/>
      <c r="E21" s="20" t="n"/>
      <c r="F21" s="20" t="n"/>
      <c r="G21" s="20" t="n"/>
      <c r="H21" s="20" t="n"/>
    </row>
    <row r="22">
      <c r="A22" s="20" t="n"/>
      <c r="B22" s="20" t="n"/>
      <c r="C22" s="20" t="n"/>
      <c r="D22" s="20" t="n"/>
      <c r="E22" s="20" t="n"/>
      <c r="F22" s="20" t="n"/>
      <c r="G22" s="20" t="n"/>
      <c r="H22" s="20" t="n"/>
    </row>
    <row r="23">
      <c r="A23" s="20" t="n"/>
      <c r="B23" s="20" t="n"/>
      <c r="C23" s="20" t="n"/>
      <c r="D23" s="20" t="n"/>
      <c r="E23" s="20" t="n"/>
      <c r="F23" s="20" t="n"/>
      <c r="G23" s="20" t="n"/>
      <c r="H23" s="20" t="n"/>
    </row>
    <row r="24">
      <c r="A24" s="20" t="n"/>
      <c r="B24" s="20" t="n"/>
      <c r="C24" s="20" t="n"/>
      <c r="D24" s="20" t="n"/>
      <c r="E24" s="20" t="n"/>
      <c r="F24" s="20" t="n"/>
      <c r="G24" s="20" t="n"/>
      <c r="H24" s="20" t="n"/>
    </row>
    <row r="25">
      <c r="A25" s="20" t="n"/>
      <c r="B25" s="20" t="n"/>
      <c r="C25" s="20" t="n"/>
      <c r="D25" s="20" t="n"/>
      <c r="E25" s="20" t="n"/>
      <c r="F25" s="20" t="n"/>
      <c r="G25" s="20" t="n"/>
      <c r="H25" s="20" t="n"/>
    </row>
    <row r="26">
      <c r="A26" s="20" t="n"/>
      <c r="B26" s="20" t="n"/>
      <c r="C26" s="20" t="n"/>
      <c r="D26" s="20" t="n"/>
      <c r="E26" s="20" t="n"/>
      <c r="F26" s="20" t="n"/>
      <c r="G26" s="20" t="n"/>
      <c r="H26" s="20" t="n"/>
    </row>
    <row r="27">
      <c r="A27" s="20" t="n"/>
      <c r="B27" s="20" t="n"/>
      <c r="C27" s="20" t="n"/>
      <c r="D27" s="20" t="n"/>
      <c r="E27" s="20" t="n"/>
      <c r="F27" s="20" t="n"/>
      <c r="G27" s="20" t="n"/>
      <c r="H27" s="20" t="n"/>
    </row>
    <row r="28">
      <c r="A28" s="20" t="n"/>
      <c r="B28" s="20" t="n"/>
      <c r="C28" s="20" t="n"/>
      <c r="D28" s="20" t="n"/>
      <c r="E28" s="20" t="n"/>
      <c r="F28" s="20" t="n"/>
      <c r="G28" s="20" t="n"/>
      <c r="H28" s="20" t="n"/>
    </row>
    <row r="29">
      <c r="A29" s="20" t="n"/>
      <c r="B29" s="20" t="n"/>
      <c r="C29" s="20" t="n"/>
      <c r="D29" s="20" t="n"/>
      <c r="E29" s="20" t="n"/>
      <c r="F29" s="20" t="n"/>
      <c r="G29" s="20" t="n"/>
      <c r="H29" s="20" t="n"/>
    </row>
    <row r="30">
      <c r="A30" s="20" t="n"/>
      <c r="B30" s="20" t="n"/>
      <c r="C30" s="20" t="n"/>
      <c r="D30" s="20" t="n"/>
      <c r="E30" s="20" t="n"/>
      <c r="F30" s="20" t="n"/>
      <c r="G30" s="20" t="n"/>
      <c r="H30" s="20" t="n"/>
    </row>
    <row r="31">
      <c r="A31" s="20" t="n"/>
      <c r="B31" s="20" t="n"/>
      <c r="C31" s="20" t="n"/>
      <c r="D31" s="20" t="n"/>
      <c r="E31" s="20" t="n"/>
      <c r="F31" s="20" t="n"/>
      <c r="G31" s="20" t="n"/>
      <c r="H31" s="20" t="n"/>
    </row>
    <row r="32">
      <c r="A32" s="20" t="n"/>
      <c r="B32" s="20" t="n"/>
      <c r="C32" s="20" t="n"/>
      <c r="D32" s="20" t="n"/>
      <c r="E32" s="20" t="n"/>
      <c r="F32" s="20" t="n"/>
      <c r="G32" s="20" t="n"/>
      <c r="H32" s="20" t="n"/>
    </row>
    <row r="33">
      <c r="A33" s="20" t="n"/>
      <c r="B33" s="20" t="n"/>
      <c r="C33" s="20" t="n"/>
      <c r="D33" s="20" t="n"/>
      <c r="E33" s="20" t="n"/>
      <c r="F33" s="20" t="n"/>
      <c r="G33" s="20" t="n"/>
      <c r="H33" s="20" t="n"/>
    </row>
    <row r="34">
      <c r="A34" s="20" t="n"/>
      <c r="B34" s="20" t="n"/>
      <c r="C34" s="20" t="n"/>
      <c r="D34" s="20" t="n"/>
      <c r="E34" s="20" t="n"/>
      <c r="F34" s="20" t="n"/>
      <c r="G34" s="20" t="n"/>
      <c r="H34" s="20" t="n"/>
    </row>
    <row r="35">
      <c r="A35" s="20" t="n"/>
      <c r="B35" s="20" t="n"/>
      <c r="C35" s="20" t="n"/>
      <c r="D35" s="20" t="n"/>
      <c r="E35" s="20" t="n"/>
      <c r="F35" s="20" t="n"/>
      <c r="G35" s="20" t="n"/>
      <c r="H35" s="20" t="n"/>
    </row>
    <row r="36">
      <c r="A36" s="20" t="n"/>
      <c r="B36" s="20" t="n"/>
      <c r="C36" s="20" t="n"/>
      <c r="D36" s="20" t="n"/>
      <c r="E36" s="20" t="n"/>
      <c r="F36" s="20" t="n"/>
      <c r="G36" s="20" t="n"/>
      <c r="H36" s="20" t="n"/>
    </row>
    <row r="37">
      <c r="A37" s="20" t="n"/>
      <c r="B37" s="20" t="n"/>
      <c r="C37" s="20" t="n"/>
      <c r="D37" s="20" t="n"/>
      <c r="E37" s="20" t="n"/>
      <c r="F37" s="20" t="n"/>
      <c r="G37" s="20" t="n"/>
      <c r="H37" s="20" t="n"/>
    </row>
    <row r="38">
      <c r="A38" s="20" t="n"/>
      <c r="B38" s="20" t="n"/>
      <c r="C38" s="20" t="n"/>
      <c r="D38" s="20" t="n"/>
      <c r="E38" s="20" t="n"/>
      <c r="F38" s="20" t="n"/>
      <c r="G38" s="20" t="n"/>
      <c r="H38" s="20" t="n"/>
    </row>
    <row r="39">
      <c r="A39" s="20" t="n"/>
      <c r="B39" s="20" t="n"/>
      <c r="C39" s="20" t="n"/>
      <c r="D39" s="20" t="n"/>
      <c r="E39" s="20" t="n"/>
      <c r="F39" s="20" t="n"/>
      <c r="G39" s="20" t="n"/>
      <c r="H39" s="20" t="n"/>
    </row>
    <row r="40">
      <c r="A40" s="20" t="n"/>
      <c r="B40" s="20" t="n"/>
      <c r="C40" s="20" t="n"/>
      <c r="D40" s="20" t="n"/>
      <c r="E40" s="20" t="n"/>
      <c r="F40" s="20" t="n"/>
      <c r="G40" s="20" t="n"/>
      <c r="H40" s="20" t="n"/>
    </row>
    <row r="41">
      <c r="A41" s="20" t="n"/>
      <c r="B41" s="20" t="n"/>
      <c r="C41" s="20" t="n"/>
      <c r="D41" s="20" t="n"/>
      <c r="E41" s="20" t="n"/>
      <c r="F41" s="20" t="n"/>
      <c r="G41" s="20" t="n"/>
      <c r="H41" s="20" t="n"/>
    </row>
    <row r="42">
      <c r="A42" s="20" t="n"/>
      <c r="B42" s="20" t="n"/>
      <c r="C42" s="20" t="n"/>
      <c r="D42" s="20" t="n"/>
      <c r="E42" s="20" t="n"/>
      <c r="F42" s="20" t="n"/>
      <c r="G42" s="20" t="n"/>
      <c r="H42" s="20" t="n"/>
    </row>
    <row r="43">
      <c r="A43" s="20" t="n"/>
      <c r="B43" s="20" t="n"/>
      <c r="C43" s="20" t="n"/>
      <c r="D43" s="20" t="n"/>
      <c r="E43" s="20" t="n"/>
      <c r="F43" s="20" t="n"/>
      <c r="G43" s="20" t="n"/>
      <c r="H43" s="20" t="n"/>
    </row>
    <row r="44">
      <c r="A44" s="20" t="n"/>
      <c r="B44" s="20" t="n"/>
      <c r="C44" s="20" t="n"/>
      <c r="D44" s="20" t="n"/>
      <c r="E44" s="20" t="n"/>
      <c r="F44" s="20" t="n"/>
      <c r="G44" s="20" t="n"/>
      <c r="H44" s="20" t="n"/>
    </row>
    <row r="45">
      <c r="A45" s="20" t="n"/>
      <c r="B45" s="20" t="n"/>
      <c r="C45" s="20" t="n"/>
      <c r="D45" s="20" t="n"/>
      <c r="E45" s="20" t="n"/>
      <c r="F45" s="20" t="n"/>
      <c r="G45" s="20" t="n"/>
      <c r="H45" s="20" t="n"/>
    </row>
    <row r="46">
      <c r="A46" s="20" t="n"/>
      <c r="B46" s="20" t="n"/>
      <c r="C46" s="20" t="n"/>
      <c r="D46" s="20" t="n"/>
      <c r="E46" s="20" t="n"/>
      <c r="F46" s="20" t="n"/>
      <c r="G46" s="20" t="n"/>
      <c r="H46" s="20" t="n"/>
    </row>
    <row r="47">
      <c r="A47" s="20" t="n"/>
      <c r="B47" s="20" t="n"/>
      <c r="C47" s="20" t="n"/>
      <c r="D47" s="20" t="n"/>
      <c r="E47" s="20" t="n"/>
      <c r="F47" s="20" t="n"/>
      <c r="G47" s="20" t="n"/>
      <c r="H47" s="20" t="n"/>
    </row>
    <row r="48">
      <c r="A48" s="20" t="n"/>
      <c r="B48" s="20" t="n"/>
      <c r="C48" s="20" t="n"/>
      <c r="D48" s="20" t="n"/>
      <c r="E48" s="20" t="n"/>
      <c r="F48" s="20" t="n"/>
      <c r="G48" s="20" t="n"/>
      <c r="H48" s="20" t="n"/>
    </row>
    <row r="49">
      <c r="A49" s="20" t="n"/>
      <c r="B49" s="20" t="n"/>
      <c r="C49" s="20" t="n"/>
      <c r="D49" s="20" t="n"/>
      <c r="E49" s="20" t="n"/>
      <c r="F49" s="20" t="n"/>
      <c r="G49" s="20" t="n"/>
      <c r="H49" s="20" t="n"/>
    </row>
    <row r="50">
      <c r="A50" s="20" t="n"/>
      <c r="B50" s="20" t="n"/>
      <c r="C50" s="20" t="n"/>
      <c r="D50" s="20" t="n"/>
      <c r="E50" s="20" t="n"/>
      <c r="F50" s="20" t="n"/>
      <c r="G50" s="20" t="n"/>
      <c r="H50" s="20" t="n"/>
    </row>
    <row r="51">
      <c r="A51" s="20" t="n"/>
      <c r="B51" s="20" t="n"/>
      <c r="C51" s="20" t="n"/>
      <c r="D51" s="20" t="n"/>
      <c r="E51" s="20" t="n"/>
      <c r="F51" s="20" t="n"/>
      <c r="G51" s="20" t="n"/>
      <c r="H51" s="20" t="n"/>
    </row>
    <row r="52">
      <c r="A52" s="20" t="n"/>
      <c r="B52" s="20" t="n"/>
      <c r="C52" s="20" t="n"/>
      <c r="D52" s="20" t="n"/>
      <c r="E52" s="20" t="n"/>
      <c r="F52" s="20" t="n"/>
      <c r="G52" s="20" t="n"/>
      <c r="H52" s="20" t="n"/>
    </row>
    <row r="53">
      <c r="A53" s="20" t="n"/>
      <c r="B53" s="20" t="n"/>
      <c r="C53" s="20" t="n"/>
      <c r="D53" s="20" t="n"/>
      <c r="E53" s="20" t="n"/>
      <c r="F53" s="20" t="n"/>
      <c r="G53" s="20" t="n"/>
      <c r="H53" s="20" t="n"/>
    </row>
    <row r="54">
      <c r="A54" s="20" t="n"/>
      <c r="B54" s="20" t="n"/>
      <c r="C54" s="20" t="n"/>
      <c r="D54" s="20" t="n"/>
      <c r="E54" s="20" t="n"/>
      <c r="F54" s="20" t="n"/>
      <c r="G54" s="20" t="n"/>
      <c r="H54" s="20" t="n"/>
    </row>
    <row r="55">
      <c r="A55" s="20" t="n"/>
      <c r="B55" s="20" t="n"/>
      <c r="C55" s="20" t="n"/>
      <c r="D55" s="20" t="n"/>
      <c r="E55" s="20" t="n"/>
      <c r="F55" s="20" t="n"/>
      <c r="G55" s="20" t="n"/>
      <c r="H55" s="20" t="n"/>
    </row>
    <row r="56">
      <c r="A56" s="20" t="n"/>
      <c r="B56" s="20" t="n"/>
      <c r="C56" s="20" t="n"/>
      <c r="D56" s="20" t="n"/>
      <c r="E56" s="20" t="n"/>
      <c r="F56" s="20" t="n"/>
      <c r="G56" s="20" t="n"/>
      <c r="H56" s="20" t="n"/>
    </row>
    <row r="57">
      <c r="A57" s="20" t="n"/>
      <c r="B57" s="20" t="n"/>
      <c r="C57" s="20" t="n"/>
      <c r="D57" s="20" t="n"/>
      <c r="E57" s="20" t="n"/>
      <c r="F57" s="20" t="n"/>
      <c r="G57" s="20" t="n"/>
      <c r="H57" s="20" t="n"/>
    </row>
    <row r="58">
      <c r="A58" s="20" t="n"/>
      <c r="B58" s="20" t="n"/>
      <c r="C58" s="20" t="n"/>
      <c r="D58" s="20" t="n"/>
      <c r="E58" s="20" t="n"/>
      <c r="F58" s="20" t="n"/>
      <c r="G58" s="20" t="n"/>
      <c r="H58" s="20" t="n"/>
    </row>
    <row r="59">
      <c r="A59" s="20" t="n"/>
      <c r="B59" s="20" t="n"/>
      <c r="C59" s="20" t="n"/>
      <c r="D59" s="20" t="n"/>
      <c r="E59" s="20" t="n"/>
      <c r="F59" s="20" t="n"/>
      <c r="G59" s="20" t="n"/>
      <c r="H59" s="20" t="n"/>
    </row>
    <row r="60">
      <c r="A60" s="20" t="n"/>
      <c r="B60" s="20" t="n"/>
      <c r="C60" s="20" t="n"/>
      <c r="D60" s="20" t="n"/>
      <c r="E60" s="20" t="n"/>
      <c r="F60" s="20" t="n"/>
      <c r="G60" s="20" t="n"/>
      <c r="H60" s="20" t="n"/>
    </row>
    <row r="61">
      <c r="A61" s="20" t="n"/>
      <c r="B61" s="20" t="n"/>
      <c r="C61" s="20" t="n"/>
      <c r="D61" s="20" t="n"/>
      <c r="E61" s="20" t="n"/>
      <c r="F61" s="20" t="n"/>
      <c r="G61" s="20" t="n"/>
      <c r="H61" s="20" t="n"/>
    </row>
    <row r="62">
      <c r="A62" s="20" t="n"/>
      <c r="B62" s="20" t="n"/>
      <c r="C62" s="20" t="n"/>
      <c r="D62" s="20" t="n"/>
      <c r="E62" s="20" t="n"/>
      <c r="F62" s="20" t="n"/>
      <c r="G62" s="20" t="n"/>
      <c r="H62" s="20" t="n"/>
    </row>
    <row r="63">
      <c r="A63" s="20" t="n"/>
      <c r="B63" s="20" t="n"/>
      <c r="C63" s="20" t="n"/>
      <c r="D63" s="20" t="n"/>
      <c r="E63" s="20" t="n"/>
      <c r="F63" s="20" t="n"/>
      <c r="G63" s="20" t="n"/>
      <c r="H63" s="20" t="n"/>
    </row>
    <row r="64">
      <c r="A64" s="20" t="n"/>
      <c r="B64" s="20" t="n"/>
      <c r="C64" s="20" t="n"/>
      <c r="D64" s="20" t="n"/>
      <c r="E64" s="20" t="n"/>
      <c r="F64" s="20" t="n"/>
      <c r="G64" s="20" t="n"/>
      <c r="H64" s="20" t="n"/>
    </row>
    <row r="65">
      <c r="A65" s="20" t="n"/>
      <c r="B65" s="20" t="n"/>
      <c r="C65" s="20" t="n"/>
      <c r="D65" s="20" t="n"/>
      <c r="E65" s="20" t="n"/>
      <c r="F65" s="20" t="n"/>
      <c r="G65" s="20" t="n"/>
      <c r="H65" s="20" t="n"/>
    </row>
    <row r="66">
      <c r="A66" s="20" t="n"/>
      <c r="B66" s="20" t="n"/>
      <c r="C66" s="20" t="n"/>
      <c r="D66" s="20" t="n"/>
      <c r="E66" s="20" t="n"/>
      <c r="F66" s="20" t="n"/>
      <c r="G66" s="20" t="n"/>
      <c r="H66" s="20" t="n"/>
    </row>
    <row r="67">
      <c r="A67" s="20" t="n"/>
      <c r="B67" s="20" t="n"/>
      <c r="C67" s="20" t="n"/>
      <c r="D67" s="20" t="n"/>
      <c r="E67" s="20" t="n"/>
      <c r="F67" s="20" t="n"/>
      <c r="G67" s="20" t="n"/>
      <c r="H67" s="20" t="n"/>
    </row>
    <row r="68">
      <c r="A68" s="20" t="n"/>
      <c r="B68" s="20" t="n"/>
      <c r="C68" s="20" t="n"/>
      <c r="D68" s="20" t="n"/>
      <c r="E68" s="20" t="n"/>
      <c r="F68" s="20" t="n"/>
      <c r="G68" s="20" t="n"/>
      <c r="H68" s="20" t="n"/>
    </row>
    <row r="69">
      <c r="A69" s="20" t="n"/>
      <c r="B69" s="20" t="n"/>
      <c r="C69" s="20" t="n"/>
      <c r="D69" s="20" t="n"/>
      <c r="E69" s="20" t="n"/>
      <c r="F69" s="20" t="n"/>
      <c r="G69" s="20" t="n"/>
      <c r="H69" s="20" t="n"/>
    </row>
    <row r="70">
      <c r="A70" s="20" t="n"/>
      <c r="B70" s="20" t="n"/>
      <c r="C70" s="20" t="n"/>
      <c r="D70" s="20" t="n"/>
      <c r="E70" s="20" t="n"/>
      <c r="F70" s="20" t="n"/>
      <c r="G70" s="20" t="n"/>
      <c r="H70" s="20" t="n"/>
    </row>
    <row r="71">
      <c r="A71" s="20" t="n"/>
      <c r="B71" s="20" t="n"/>
      <c r="C71" s="20" t="n"/>
      <c r="D71" s="20" t="n"/>
      <c r="E71" s="20" t="n"/>
      <c r="F71" s="20" t="n"/>
      <c r="G71" s="20" t="n"/>
      <c r="H71" s="20" t="n"/>
    </row>
    <row r="72">
      <c r="A72" s="20" t="n"/>
      <c r="B72" s="20" t="n"/>
      <c r="C72" s="20" t="n"/>
      <c r="D72" s="20" t="n"/>
      <c r="E72" s="20" t="n"/>
      <c r="F72" s="20" t="n"/>
      <c r="G72" s="20" t="n"/>
      <c r="H72" s="20" t="n"/>
    </row>
    <row r="73">
      <c r="A73" s="20" t="n"/>
      <c r="B73" s="20" t="n"/>
      <c r="C73" s="20" t="n"/>
      <c r="D73" s="20" t="n"/>
      <c r="E73" s="20" t="n"/>
      <c r="F73" s="20" t="n"/>
      <c r="G73" s="20" t="n"/>
      <c r="H73" s="20" t="n"/>
    </row>
    <row r="74">
      <c r="A74" s="20" t="n"/>
      <c r="B74" s="20" t="n"/>
      <c r="C74" s="20" t="n"/>
      <c r="D74" s="20" t="n"/>
      <c r="E74" s="20" t="n"/>
      <c r="F74" s="20" t="n"/>
      <c r="G74" s="20" t="n"/>
      <c r="H74" s="20" t="n"/>
    </row>
    <row r="75">
      <c r="A75" s="20" t="n"/>
      <c r="B75" s="20" t="n"/>
      <c r="C75" s="20" t="n"/>
      <c r="D75" s="20" t="n"/>
      <c r="E75" s="20" t="n"/>
      <c r="F75" s="20" t="n"/>
      <c r="G75" s="20" t="n"/>
      <c r="H75" s="20" t="n"/>
    </row>
    <row r="76">
      <c r="A76" s="20" t="n"/>
      <c r="B76" s="20" t="n"/>
      <c r="C76" s="20" t="n"/>
      <c r="D76" s="20" t="n"/>
      <c r="E76" s="20" t="n"/>
      <c r="F76" s="20" t="n"/>
      <c r="G76" s="20" t="n"/>
      <c r="H76" s="20" t="n"/>
    </row>
    <row r="77">
      <c r="A77" s="20" t="n"/>
      <c r="B77" s="20" t="n"/>
      <c r="C77" s="20" t="n"/>
      <c r="D77" s="20" t="n"/>
      <c r="E77" s="20" t="n"/>
      <c r="F77" s="20" t="n"/>
      <c r="G77" s="20" t="n"/>
      <c r="H77" s="20" t="n"/>
    </row>
    <row r="78">
      <c r="A78" s="20" t="n"/>
      <c r="B78" s="20" t="n"/>
      <c r="C78" s="20" t="n"/>
      <c r="D78" s="20" t="n"/>
      <c r="E78" s="20" t="n"/>
      <c r="F78" s="20" t="n"/>
      <c r="G78" s="20" t="n"/>
      <c r="H78" s="20" t="n"/>
    </row>
    <row r="79">
      <c r="A79" s="20" t="n"/>
      <c r="B79" s="20" t="n"/>
      <c r="C79" s="20" t="n"/>
      <c r="D79" s="20" t="n"/>
      <c r="E79" s="20" t="n"/>
      <c r="F79" s="20" t="n"/>
      <c r="G79" s="20" t="n"/>
      <c r="H79" s="20" t="n"/>
    </row>
    <row r="80">
      <c r="A80" s="20" t="n"/>
      <c r="B80" s="20" t="n"/>
      <c r="C80" s="20" t="n"/>
      <c r="D80" s="20" t="n"/>
      <c r="E80" s="20" t="n"/>
      <c r="F80" s="20" t="n"/>
      <c r="G80" s="20" t="n"/>
      <c r="H80" s="20" t="n"/>
    </row>
    <row r="81">
      <c r="A81" s="20" t="n"/>
      <c r="B81" s="20" t="n"/>
      <c r="C81" s="20" t="n"/>
      <c r="D81" s="20" t="n"/>
      <c r="E81" s="20" t="n"/>
      <c r="F81" s="20" t="n"/>
      <c r="G81" s="20" t="n"/>
      <c r="H81" s="20" t="n"/>
    </row>
    <row r="82">
      <c r="A82" s="20" t="n"/>
      <c r="B82" s="20" t="n"/>
      <c r="C82" s="20" t="n"/>
      <c r="D82" s="20" t="n"/>
      <c r="E82" s="20" t="n"/>
      <c r="F82" s="20" t="n"/>
      <c r="G82" s="20" t="n"/>
      <c r="H82" s="20" t="n"/>
    </row>
    <row r="83">
      <c r="A83" s="20" t="n"/>
      <c r="B83" s="20" t="n"/>
      <c r="C83" s="20" t="n"/>
      <c r="D83" s="20" t="n"/>
      <c r="E83" s="20" t="n"/>
      <c r="F83" s="20" t="n"/>
      <c r="G83" s="20" t="n"/>
      <c r="H83" s="20" t="n"/>
    </row>
    <row r="84">
      <c r="A84" s="20" t="n"/>
      <c r="B84" s="20" t="n"/>
      <c r="C84" s="20" t="n"/>
      <c r="D84" s="20" t="n"/>
      <c r="E84" s="20" t="n"/>
      <c r="F84" s="20" t="n"/>
      <c r="G84" s="20" t="n"/>
      <c r="H84" s="20" t="n"/>
    </row>
    <row r="85">
      <c r="A85" s="20" t="n"/>
      <c r="B85" s="20" t="n"/>
      <c r="C85" s="20" t="n"/>
      <c r="D85" s="20" t="n"/>
      <c r="E85" s="20" t="n"/>
      <c r="F85" s="20" t="n"/>
      <c r="G85" s="20" t="n"/>
      <c r="H85" s="20" t="n"/>
    </row>
    <row r="86">
      <c r="A86" s="20" t="n"/>
      <c r="B86" s="20" t="n"/>
      <c r="C86" s="20" t="n"/>
      <c r="D86" s="20" t="n"/>
      <c r="E86" s="20" t="n"/>
      <c r="F86" s="20" t="n"/>
      <c r="G86" s="20" t="n"/>
      <c r="H86" s="20" t="n"/>
    </row>
    <row r="87">
      <c r="A87" s="20" t="n"/>
      <c r="B87" s="20" t="n"/>
      <c r="C87" s="20" t="n"/>
      <c r="D87" s="20" t="n"/>
      <c r="E87" s="20" t="n"/>
      <c r="F87" s="20" t="n"/>
      <c r="G87" s="20" t="n"/>
      <c r="H87" s="20" t="n"/>
    </row>
    <row r="88">
      <c r="A88" s="20" t="n"/>
      <c r="B88" s="20" t="n"/>
      <c r="C88" s="20" t="n"/>
      <c r="D88" s="20" t="n"/>
      <c r="E88" s="20" t="n"/>
      <c r="F88" s="20" t="n"/>
      <c r="G88" s="20" t="n"/>
      <c r="H88" s="20" t="n"/>
    </row>
    <row r="89">
      <c r="A89" s="20" t="n"/>
      <c r="B89" s="20" t="n"/>
      <c r="C89" s="20" t="n"/>
      <c r="D89" s="20" t="n"/>
      <c r="E89" s="20" t="n"/>
      <c r="F89" s="20" t="n"/>
      <c r="G89" s="20" t="n"/>
      <c r="H89" s="20" t="n"/>
    </row>
    <row r="90">
      <c r="A90" s="20" t="n"/>
      <c r="B90" s="20" t="n"/>
      <c r="C90" s="20" t="n"/>
      <c r="D90" s="20" t="n"/>
      <c r="E90" s="20" t="n"/>
      <c r="F90" s="20" t="n"/>
      <c r="G90" s="20" t="n"/>
      <c r="H90" s="20" t="n"/>
    </row>
    <row r="91">
      <c r="A91" s="20" t="n"/>
      <c r="B91" s="20" t="n"/>
      <c r="C91" s="20" t="n"/>
      <c r="D91" s="20" t="n"/>
      <c r="E91" s="20" t="n"/>
      <c r="F91" s="20" t="n"/>
      <c r="G91" s="20" t="n"/>
      <c r="H91" s="20" t="n"/>
    </row>
    <row r="92">
      <c r="A92" s="20" t="n"/>
      <c r="B92" s="20" t="n"/>
      <c r="C92" s="20" t="n"/>
      <c r="D92" s="20" t="n"/>
      <c r="E92" s="20" t="n"/>
      <c r="F92" s="20" t="n"/>
      <c r="G92" s="20" t="n"/>
      <c r="H92" s="20" t="n"/>
    </row>
    <row r="93">
      <c r="A93" s="20" t="n"/>
      <c r="B93" s="20" t="n"/>
      <c r="C93" s="20" t="n"/>
      <c r="D93" s="20" t="n"/>
      <c r="E93" s="20" t="n"/>
      <c r="F93" s="20" t="n"/>
      <c r="G93" s="20" t="n"/>
      <c r="H93" s="20" t="n"/>
    </row>
    <row r="94">
      <c r="A94" s="20" t="n"/>
      <c r="B94" s="20" t="n"/>
      <c r="C94" s="20" t="n"/>
      <c r="D94" s="20" t="n"/>
      <c r="E94" s="20" t="n"/>
      <c r="F94" s="20" t="n"/>
      <c r="G94" s="20" t="n"/>
      <c r="H94" s="20" t="n"/>
    </row>
    <row r="95">
      <c r="A95" s="20" t="n"/>
      <c r="B95" s="20" t="n"/>
      <c r="C95" s="20" t="n"/>
      <c r="D95" s="20" t="n"/>
      <c r="E95" s="20" t="n"/>
      <c r="F95" s="20" t="n"/>
      <c r="G95" s="20" t="n"/>
      <c r="H95" s="20" t="n"/>
    </row>
    <row r="96">
      <c r="A96" s="20" t="n"/>
      <c r="B96" s="20" t="n"/>
      <c r="C96" s="20" t="n"/>
      <c r="D96" s="20" t="n"/>
      <c r="E96" s="20" t="n"/>
      <c r="F96" s="20" t="n"/>
      <c r="G96" s="20" t="n"/>
      <c r="H96" s="20" t="n"/>
    </row>
    <row r="97">
      <c r="A97" s="20" t="n"/>
      <c r="B97" s="20" t="n"/>
      <c r="C97" s="20" t="n"/>
      <c r="D97" s="20" t="n"/>
      <c r="E97" s="20" t="n"/>
      <c r="F97" s="20" t="n"/>
      <c r="G97" s="20" t="n"/>
      <c r="H97" s="20" t="n"/>
    </row>
    <row r="98">
      <c r="A98" s="20" t="n"/>
      <c r="B98" s="20" t="n"/>
      <c r="C98" s="20" t="n"/>
      <c r="D98" s="20" t="n"/>
      <c r="E98" s="20" t="n"/>
      <c r="F98" s="20" t="n"/>
      <c r="G98" s="20" t="n"/>
      <c r="H98" s="20" t="n"/>
    </row>
    <row r="99">
      <c r="A99" s="20" t="n"/>
      <c r="B99" s="20" t="n"/>
      <c r="C99" s="20" t="n"/>
      <c r="D99" s="20" t="n"/>
      <c r="E99" s="20" t="n"/>
      <c r="F99" s="20" t="n"/>
      <c r="G99" s="20" t="n"/>
      <c r="H99" s="20" t="n"/>
    </row>
    <row r="100">
      <c r="A100" s="20" t="n"/>
      <c r="B100" s="20" t="n"/>
      <c r="C100" s="20" t="n"/>
      <c r="D100" s="20" t="n"/>
      <c r="E100" s="20" t="n"/>
      <c r="F100" s="20" t="n"/>
      <c r="G100" s="20" t="n"/>
      <c r="H100" s="20" t="n"/>
    </row>
    <row r="101">
      <c r="A101" s="20" t="n"/>
      <c r="B101" s="20" t="n"/>
      <c r="C101" s="20" t="n"/>
      <c r="D101" s="20" t="n"/>
      <c r="E101" s="20" t="n"/>
      <c r="F101" s="20" t="n"/>
      <c r="G101" s="20" t="n"/>
      <c r="H101" s="20" t="n"/>
    </row>
    <row r="102">
      <c r="A102" s="20" t="n"/>
      <c r="B102" s="20" t="n"/>
      <c r="C102" s="20" t="n"/>
      <c r="D102" s="20" t="n"/>
      <c r="E102" s="20" t="n"/>
      <c r="F102" s="20" t="n"/>
      <c r="G102" s="20" t="n"/>
      <c r="H102" s="20" t="n"/>
    </row>
    <row r="103">
      <c r="A103" s="20" t="n"/>
      <c r="B103" s="20" t="n"/>
      <c r="C103" s="20" t="n"/>
      <c r="D103" s="20" t="n"/>
      <c r="E103" s="20" t="n"/>
      <c r="F103" s="20" t="n"/>
      <c r="G103" s="20" t="n"/>
      <c r="H103" s="20" t="n"/>
    </row>
    <row r="104">
      <c r="A104" s="20" t="n"/>
      <c r="B104" s="20" t="n"/>
      <c r="C104" s="20" t="n"/>
      <c r="D104" s="20" t="n"/>
      <c r="E104" s="20" t="n"/>
      <c r="F104" s="20" t="n"/>
      <c r="G104" s="20" t="n"/>
      <c r="H104" s="20" t="n"/>
    </row>
    <row r="105">
      <c r="A105" s="20" t="n"/>
      <c r="B105" s="20" t="n"/>
      <c r="C105" s="20" t="n"/>
      <c r="D105" s="20" t="n"/>
      <c r="E105" s="20" t="n"/>
      <c r="F105" s="20" t="n"/>
      <c r="G105" s="20" t="n"/>
      <c r="H105" s="20" t="n"/>
    </row>
  </sheetData>
  <mergeCells count="3">
    <mergeCell ref="A3:H3"/>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"Active,Archived,Superseded,Pending Review"</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0"/>
  <sheetViews>
    <sheetView showGridLines="0" workbookViewId="0">
      <pane ySplit="3" topLeftCell="A4" activePane="bottomLeft" state="frozen"/>
      <selection pane="bottomLeft" activeCell="A1" sqref="A1"/>
    </sheetView>
  </sheetViews>
  <sheetFormatPr baseColWidth="8" defaultRowHeight="15"/>
  <cols>
    <col width="30" customWidth="1" min="1" max="1"/>
    <col width="52" customWidth="1" min="2" max="2"/>
    <col width="12" customWidth="1" min="3" max="3"/>
    <col width="14" customWidth="1" min="4" max="4"/>
    <col width="16" customWidth="1" min="5" max="5"/>
    <col width="10" customWidth="1" min="6" max="6"/>
    <col width="12" customWidth="1" min="7" max="7"/>
  </cols>
  <sheetData>
    <row r="1" ht="35" customHeight="1">
      <c r="A1" s="16" t="inlineStr">
        <is>
          <t>VULNERABILITY INVENTORY, SCORING &amp; RISK — SUMMARY DASHBOARD</t>
        </is>
      </c>
      <c r="B1" s="6" t="n"/>
      <c r="C1" s="6" t="n"/>
      <c r="D1" s="6" t="n"/>
      <c r="E1" s="6" t="n"/>
      <c r="F1" s="6" t="n"/>
      <c r="G1" s="6" t="n"/>
    </row>
    <row r="2">
      <c r="A2" s="21" t="inlineStr">
        <is>
          <t>ISO/IEC 27001:2022 — Control A.8.8: Management of Technical Vulnerabilities</t>
        </is>
      </c>
    </row>
    <row r="4">
      <c r="A4" s="22" t="inlineStr">
        <is>
          <t>TABLE 1: ASSESSMENT AREA COMPLIANCE OVERVIEW</t>
        </is>
      </c>
    </row>
    <row r="5">
      <c r="A5" s="23" t="inlineStr">
        <is>
          <t>Assessment Area</t>
        </is>
      </c>
      <c r="B5" s="23" t="inlineStr">
        <is>
          <t>Total Items</t>
        </is>
      </c>
      <c r="C5" s="23" t="inlineStr">
        <is>
          <t>Compliant</t>
        </is>
      </c>
      <c r="D5" s="23" t="inlineStr">
        <is>
          <t>Partial / Warning</t>
        </is>
      </c>
      <c r="E5" s="23" t="inlineStr">
        <is>
          <t>Non-Compliant</t>
        </is>
      </c>
      <c r="F5" s="23" t="inlineStr">
        <is>
          <t>N/A</t>
        </is>
      </c>
      <c r="G5" s="23" t="inlineStr">
        <is>
          <t>Compliance %</t>
        </is>
      </c>
    </row>
    <row r="6">
      <c r="A6" s="24" t="inlineStr">
        <is>
          <t>Vulnerability Inventory</t>
        </is>
      </c>
      <c r="B6" s="25">
        <f>COUNTA('Vulnerability Inventory'!A6:A55)</f>
        <v/>
      </c>
      <c r="C6" s="25">
        <f>COUNTIF('Vulnerability Inventory'!Z6:Z55,"Complete")+COUNTIF('Vulnerability Inventory'!Z6:Z55,"Risk Accepted")</f>
        <v/>
      </c>
      <c r="D6" s="25">
        <f>COUNTIF('Vulnerability Inventory'!Z6:Z55,"In Progress")+COUNTIF('Vulnerability Inventory'!Z6:Z55,"Testing")</f>
        <v/>
      </c>
      <c r="E6" s="25">
        <f>COUNTIF('Vulnerability Inventory'!Z6:Z55,"Open")</f>
        <v/>
      </c>
      <c r="F6" s="25" t="inlineStr">
        <is>
          <t>0</t>
        </is>
      </c>
      <c r="G6" s="26">
        <f>IF((B6-F6)=0,0,C6/(B6-F6))</f>
        <v/>
      </c>
    </row>
    <row r="7">
      <c r="A7" s="24" t="inlineStr">
        <is>
          <t>Vulnerability Scoring</t>
        </is>
      </c>
      <c r="B7" s="25">
        <f>COUNTA('Vulnerability Scoring'!A6:A55)</f>
        <v/>
      </c>
      <c r="C7" s="25">
        <f>COUNTIF('Vulnerability Scoring'!H6:H55,"v4.0 Scored")</f>
        <v/>
      </c>
      <c r="D7" s="25">
        <f>COUNTIF('Vulnerability Scoring'!H6:H55,"v3.1 Only")</f>
        <v/>
      </c>
      <c r="E7" s="25">
        <f>COUNTIF('Vulnerability Scoring'!H6:H55,"Unscored")</f>
        <v/>
      </c>
      <c r="F7" s="25" t="inlineStr">
        <is>
          <t>0</t>
        </is>
      </c>
      <c r="G7" s="26">
        <f>IF((B7-F7)=0,0,C7/(B7-F7))</f>
        <v/>
      </c>
    </row>
    <row r="8">
      <c r="A8" s="24" t="inlineStr">
        <is>
          <t>Asset Criticality</t>
        </is>
      </c>
      <c r="B8" s="25">
        <f>COUNTA('Asset Criticality'!A6:A55)</f>
        <v/>
      </c>
      <c r="C8" s="25">
        <f>COUNTIF('Asset Criticality'!H6:H55,"Validated")</f>
        <v/>
      </c>
      <c r="D8" s="25">
        <f>COUNTIF('Asset Criticality'!H6:H55,"Needs Review")</f>
        <v/>
      </c>
      <c r="E8" s="25">
        <f>COUNTIF('Asset Criticality'!H6:H55,"Overdue")</f>
        <v/>
      </c>
      <c r="F8" s="25" t="inlineStr">
        <is>
          <t>0</t>
        </is>
      </c>
      <c r="G8" s="26">
        <f>IF((B8-F8)=0,0,C8/(B8-F8))</f>
        <v/>
      </c>
    </row>
    <row r="9">
      <c r="A9" s="24" t="inlineStr">
        <is>
          <t>Risk Assessment</t>
        </is>
      </c>
      <c r="B9" s="25">
        <f>COUNTA('Risk Assessment'!A6:A55)</f>
        <v/>
      </c>
      <c r="C9" s="25">
        <f>COUNTIF('Risk Assessment'!G6:G55,"Approved")</f>
        <v/>
      </c>
      <c r="D9" s="25">
        <f>COUNTIF('Risk Assessment'!G6:G55,"Pending Approval")</f>
        <v/>
      </c>
      <c r="E9" s="25">
        <f>COUNTIF('Risk Assessment'!G6:G55,"Rejected")+COUNTIF('Risk Assessment'!G6:G55,"Assessed")</f>
        <v/>
      </c>
      <c r="F9" s="25" t="inlineStr">
        <is>
          <t>0</t>
        </is>
      </c>
      <c r="G9" s="26">
        <f>IF((B9-F9)=0,0,C9/(B9-F9))</f>
        <v/>
      </c>
    </row>
    <row r="10">
      <c r="A10" s="24" t="inlineStr">
        <is>
          <t>Risk Treatment</t>
        </is>
      </c>
      <c r="B10" s="25">
        <f>COUNTA('Risk Treatment'!A6:A55)</f>
        <v/>
      </c>
      <c r="C10" s="25">
        <f>COUNTIF('Risk Treatment'!L6:L55,"Implemented")</f>
        <v/>
      </c>
      <c r="D10" s="25">
        <f>COUNTIF('Risk Treatment'!L6:L55,"Approved")</f>
        <v/>
      </c>
      <c r="E10" s="25">
        <f>COUNTIF('Risk Treatment'!L6:L55,"Open")+COUNTIF('Risk Treatment'!L6:L55,"Expired")</f>
        <v/>
      </c>
      <c r="F10" s="25" t="inlineStr">
        <is>
          <t>0</t>
        </is>
      </c>
      <c r="G10" s="26">
        <f>IF((B10-F10)=0,0,C10/(B10-F10))</f>
        <v/>
      </c>
    </row>
    <row r="11">
      <c r="A11" s="27" t="inlineStr">
        <is>
          <t>TOTAL</t>
        </is>
      </c>
      <c r="B11" s="28">
        <f>SUM(B6:B10)</f>
        <v/>
      </c>
      <c r="C11" s="28">
        <f>SUM(C6:C10)</f>
        <v/>
      </c>
      <c r="D11" s="28">
        <f>SUM(D6:D10)</f>
        <v/>
      </c>
      <c r="E11" s="28">
        <f>SUM(E6:E10)</f>
        <v/>
      </c>
      <c r="F11" s="28">
        <f>SUM(F6:F10)</f>
        <v/>
      </c>
      <c r="G11" s="29">
        <f>IF((B11-F11)=0,0,C11/(B11-F11))</f>
        <v/>
      </c>
    </row>
    <row r="13">
      <c r="A13" s="22" t="inlineStr">
        <is>
          <t>TABLE 2: KEY METRICS</t>
        </is>
      </c>
    </row>
    <row r="14">
      <c r="A14" s="27" t="inlineStr">
        <is>
          <t>Metric</t>
        </is>
      </c>
      <c r="B14" s="28" t="inlineStr">
        <is>
          <t>Value</t>
        </is>
      </c>
      <c r="C14" s="28" t="inlineStr"/>
      <c r="D14" s="28" t="inlineStr"/>
      <c r="E14" s="28" t="inlineStr"/>
      <c r="F14" s="28" t="inlineStr"/>
      <c r="G14" s="28" t="inlineStr"/>
    </row>
    <row r="15">
      <c r="A15" s="27" t="inlineStr">
        <is>
          <t>Vulnerability Backlog</t>
        </is>
      </c>
    </row>
    <row r="16">
      <c r="A16" s="24" t="inlineStr">
        <is>
          <t>Total Vulnerabilities in Inventory</t>
        </is>
      </c>
      <c r="B16" s="25">
        <f>COUNTA('Vulnerability Inventory'!A6:A55)</f>
        <v/>
      </c>
      <c r="C16" s="30" t="n"/>
      <c r="D16" s="30" t="n"/>
      <c r="E16" s="30" t="n"/>
      <c r="F16" s="30" t="n"/>
      <c r="G16" s="30" t="n"/>
    </row>
    <row r="17">
      <c r="A17" s="24" t="inlineStr">
        <is>
          <t>P0 — Emergency (Open)</t>
        </is>
      </c>
      <c r="B17" s="25">
        <f>COUNTIFS('Vulnerability Inventory'!V6:V55,"P0",'Vulnerability Inventory'!Z6:Z55,"Open")</f>
        <v/>
      </c>
      <c r="C17" s="30" t="n"/>
      <c r="D17" s="30" t="n"/>
      <c r="E17" s="30" t="n"/>
      <c r="F17" s="30" t="n"/>
      <c r="G17" s="30" t="n"/>
    </row>
    <row r="18">
      <c r="A18" s="24" t="inlineStr">
        <is>
          <t>P1 — Critical (Open)</t>
        </is>
      </c>
      <c r="B18" s="25">
        <f>COUNTIFS('Vulnerability Inventory'!V6:V55,"P1",'Vulnerability Inventory'!Z6:Z55,"Open")</f>
        <v/>
      </c>
      <c r="C18" s="30" t="n"/>
      <c r="D18" s="30" t="n"/>
      <c r="E18" s="30" t="n"/>
      <c r="F18" s="30" t="n"/>
      <c r="G18" s="30" t="n"/>
    </row>
    <row r="19">
      <c r="A19" s="24" t="inlineStr">
        <is>
          <t>P2 — High (Open)</t>
        </is>
      </c>
      <c r="B19" s="25">
        <f>COUNTIFS('Vulnerability Inventory'!V6:V55,"P2",'Vulnerability Inventory'!Z6:Z55,"Open")</f>
        <v/>
      </c>
      <c r="C19" s="30" t="n"/>
      <c r="D19" s="30" t="n"/>
      <c r="E19" s="30" t="n"/>
      <c r="F19" s="30" t="n"/>
      <c r="G19" s="30" t="n"/>
    </row>
    <row r="20">
      <c r="A20" s="24" t="inlineStr">
        <is>
          <t>KEV-Listed Vulnerabilities</t>
        </is>
      </c>
      <c r="B20" s="25">
        <f>COUNTIF('Vulnerability Inventory'!F6:F55,"YES")</f>
        <v/>
      </c>
      <c r="C20" s="30" t="n"/>
      <c r="D20" s="30" t="n"/>
      <c r="E20" s="30" t="n"/>
      <c r="F20" s="30" t="n"/>
      <c r="G20" s="30" t="n"/>
    </row>
    <row r="21">
      <c r="A21" s="24" t="inlineStr">
        <is>
          <t>KEV-Listed — Not Remediated</t>
        </is>
      </c>
      <c r="B21" s="25">
        <f>COUNTIFS('Vulnerability Inventory'!F6:F55,"YES",'Vulnerability Inventory'!Z6:Z55,"Open")</f>
        <v/>
      </c>
      <c r="C21" s="30" t="n"/>
      <c r="D21" s="30" t="n"/>
      <c r="E21" s="30" t="n"/>
      <c r="F21" s="30" t="n"/>
      <c r="G21" s="30" t="n"/>
    </row>
    <row r="22">
      <c r="A22" s="24" t="inlineStr">
        <is>
          <t>Remediated (Complete)</t>
        </is>
      </c>
      <c r="B22" s="25">
        <f>COUNTIF('Vulnerability Inventory'!Z6:Z55,"Complete")</f>
        <v/>
      </c>
      <c r="C22" s="30" t="n"/>
      <c r="D22" s="30" t="n"/>
      <c r="E22" s="30" t="n"/>
      <c r="F22" s="30" t="n"/>
      <c r="G22" s="30" t="n"/>
    </row>
    <row r="23">
      <c r="A23" s="24" t="inlineStr">
        <is>
          <t>Risk Accepted</t>
        </is>
      </c>
      <c r="B23" s="25">
        <f>COUNTIF('Vulnerability Inventory'!Z6:Z55,"Risk Accepted")</f>
        <v/>
      </c>
      <c r="C23" s="30" t="n"/>
      <c r="D23" s="30" t="n"/>
      <c r="E23" s="30" t="n"/>
      <c r="F23" s="30" t="n"/>
      <c r="G23" s="30" t="n"/>
    </row>
    <row r="24">
      <c r="A24" s="27" t="inlineStr">
        <is>
          <t>Scoring &amp; Assessment</t>
        </is>
      </c>
    </row>
    <row r="25">
      <c r="A25" s="24" t="inlineStr">
        <is>
          <t>CVSS v4.0 Scored %</t>
        </is>
      </c>
      <c r="B25" s="26">
        <f>IFERROR(COUNTIF('Vulnerability Scoring'!H6:H55,"v4.0 Scored")/COUNTA('Vulnerability Scoring'!A6:A55),0)</f>
        <v/>
      </c>
      <c r="C25" s="30" t="n"/>
      <c r="D25" s="30" t="n"/>
      <c r="E25" s="30" t="n"/>
      <c r="F25" s="30" t="n"/>
      <c r="G25" s="30" t="n"/>
    </row>
    <row r="26">
      <c r="A26" s="27" t="inlineStr">
        <is>
          <t>Asset &amp; Risk Management</t>
        </is>
      </c>
    </row>
    <row r="27">
      <c r="A27" s="24" t="inlineStr">
        <is>
          <t>Assets in Criticality Register</t>
        </is>
      </c>
      <c r="B27" s="25">
        <f>COUNTA('Asset Criticality'!A6:A55)</f>
        <v/>
      </c>
      <c r="C27" s="30" t="n"/>
      <c r="D27" s="30" t="n"/>
      <c r="E27" s="30" t="n"/>
      <c r="F27" s="30" t="n"/>
      <c r="G27" s="30" t="n"/>
    </row>
    <row r="28">
      <c r="A28" s="24" t="inlineStr">
        <is>
          <t>Risk Treatment Decisions — Pending</t>
        </is>
      </c>
      <c r="B28" s="25">
        <f>COUNTIF('Risk Treatment'!L6:L55,"Open")</f>
        <v/>
      </c>
      <c r="C28" s="30" t="n"/>
      <c r="D28" s="30" t="n"/>
      <c r="E28" s="30" t="n"/>
      <c r="F28" s="30" t="n"/>
      <c r="G28" s="30" t="n"/>
    </row>
    <row r="29">
      <c r="A29" s="24" t="inlineStr">
        <is>
          <t>Risk Treatment Decisions — Implemented</t>
        </is>
      </c>
      <c r="B29" s="25">
        <f>COUNTIF('Risk Treatment'!L6:L55,"Implemented")</f>
        <v/>
      </c>
      <c r="C29" s="30" t="n"/>
      <c r="D29" s="30" t="n"/>
      <c r="E29" s="30" t="n"/>
      <c r="F29" s="30" t="n"/>
      <c r="G29" s="30" t="n"/>
    </row>
    <row r="31">
      <c r="A31" s="31" t="inlineStr">
        <is>
          <t>TABLE 3: CRITICAL FINDINGS REQUIRING ACTION</t>
        </is>
      </c>
    </row>
    <row r="32">
      <c r="A32" s="27" t="inlineStr">
        <is>
          <t>Category</t>
        </is>
      </c>
      <c r="B32" s="28" t="inlineStr">
        <is>
          <t>Finding</t>
        </is>
      </c>
      <c r="C32" s="28" t="inlineStr">
        <is>
          <t>Count</t>
        </is>
      </c>
      <c r="D32" s="28" t="inlineStr">
        <is>
          <t>Severity</t>
        </is>
      </c>
      <c r="E32" s="28" t="inlineStr">
        <is>
          <t>Action Required</t>
        </is>
      </c>
      <c r="F32" s="28" t="inlineStr"/>
      <c r="G32" s="28" t="inlineStr"/>
    </row>
    <row r="33">
      <c r="A33" s="32" t="inlineStr">
        <is>
          <t>Emergency</t>
        </is>
      </c>
      <c r="B33" s="32" t="inlineStr">
        <is>
          <t>P0 Emergency vulnerabilities — Open</t>
        </is>
      </c>
      <c r="C33" s="33">
        <f>COUNTIFS('Vulnerability Inventory'!V6:V55,"P0",'Vulnerability Inventory'!Z6:Z55,"Open")</f>
        <v/>
      </c>
      <c r="D33" s="33" t="inlineStr">
        <is>
          <t>Critical</t>
        </is>
      </c>
      <c r="E33" s="33" t="inlineStr">
        <is>
          <t>Immediate</t>
        </is>
      </c>
      <c r="F33" s="33" t="inlineStr"/>
      <c r="G33" s="33" t="inlineStr"/>
    </row>
    <row r="34">
      <c r="A34" s="32" t="inlineStr">
        <is>
          <t>KEV Compliance</t>
        </is>
      </c>
      <c r="B34" s="32" t="inlineStr">
        <is>
          <t>KEV-listed vulnerabilities — Not Remediated</t>
        </is>
      </c>
      <c r="C34" s="33">
        <f>COUNTIFS('Vulnerability Inventory'!F6:F55,"YES",'Vulnerability Inventory'!Z6:Z55,"Open")</f>
        <v/>
      </c>
      <c r="D34" s="33" t="inlineStr">
        <is>
          <t>Critical</t>
        </is>
      </c>
      <c r="E34" s="33" t="inlineStr">
        <is>
          <t>Immediate</t>
        </is>
      </c>
      <c r="F34" s="33" t="inlineStr"/>
      <c r="G34" s="33" t="inlineStr"/>
    </row>
    <row r="35">
      <c r="A35" s="32" t="inlineStr">
        <is>
          <t>Priority</t>
        </is>
      </c>
      <c r="B35" s="32" t="inlineStr">
        <is>
          <t>P1 Critical vulnerabilities — Open</t>
        </is>
      </c>
      <c r="C35" s="33">
        <f>COUNTIFS('Vulnerability Inventory'!V6:V55,"P1",'Vulnerability Inventory'!Z6:Z55,"Open")</f>
        <v/>
      </c>
      <c r="D35" s="33" t="inlineStr">
        <is>
          <t>Critical</t>
        </is>
      </c>
      <c r="E35" s="33" t="inlineStr">
        <is>
          <t>Immediate</t>
        </is>
      </c>
      <c r="F35" s="33" t="inlineStr"/>
      <c r="G35" s="33" t="inlineStr"/>
    </row>
    <row r="36">
      <c r="A36" s="34" t="inlineStr">
        <is>
          <t>Risk Assessment</t>
        </is>
      </c>
      <c r="B36" s="34" t="inlineStr">
        <is>
          <t>Risk treatment decisions pending approval</t>
        </is>
      </c>
      <c r="C36" s="35">
        <f>COUNTIF('Risk Treatment'!L6:L55,"Open")</f>
        <v/>
      </c>
      <c r="D36" s="35" t="inlineStr">
        <is>
          <t>High</t>
        </is>
      </c>
      <c r="E36" s="35" t="inlineStr">
        <is>
          <t>Urgent</t>
        </is>
      </c>
      <c r="F36" s="35" t="inlineStr"/>
      <c r="G36" s="35" t="inlineStr"/>
    </row>
    <row r="37">
      <c r="A37" s="34" t="inlineStr">
        <is>
          <t>Risk Assessment</t>
        </is>
      </c>
      <c r="B37" s="34" t="inlineStr">
        <is>
          <t>Risk treatment decisions expired</t>
        </is>
      </c>
      <c r="C37" s="35">
        <f>COUNTIF('Risk Treatment'!L6:L55,"Expired")</f>
        <v/>
      </c>
      <c r="D37" s="35" t="inlineStr">
        <is>
          <t>High</t>
        </is>
      </c>
      <c r="E37" s="35" t="inlineStr">
        <is>
          <t>Urgent</t>
        </is>
      </c>
      <c r="F37" s="35" t="inlineStr"/>
      <c r="G37" s="35" t="inlineStr"/>
    </row>
    <row r="38">
      <c r="A38" s="34" t="inlineStr">
        <is>
          <t>Scoring</t>
        </is>
      </c>
      <c r="B38" s="34" t="inlineStr">
        <is>
          <t>Vulnerabilities with no CVSS score</t>
        </is>
      </c>
      <c r="C38" s="35">
        <f>COUNTIF('Vulnerability Scoring'!H6:H55,"Unscored")</f>
        <v/>
      </c>
      <c r="D38" s="35" t="inlineStr">
        <is>
          <t>High</t>
        </is>
      </c>
      <c r="E38" s="35" t="inlineStr">
        <is>
          <t>Urgent</t>
        </is>
      </c>
      <c r="F38" s="35" t="inlineStr"/>
      <c r="G38" s="35" t="inlineStr"/>
    </row>
    <row r="39">
      <c r="A39" s="36" t="inlineStr">
        <is>
          <t>Asset Criticality</t>
        </is>
      </c>
      <c r="B39" s="36" t="inlineStr">
        <is>
          <t>Asset criticality assessments overdue</t>
        </is>
      </c>
      <c r="C39" s="37">
        <f>COUNTIF('Asset Criticality'!H6:H55,"Overdue")</f>
        <v/>
      </c>
      <c r="D39" s="37" t="inlineStr">
        <is>
          <t>Medium</t>
        </is>
      </c>
      <c r="E39" s="37" t="inlineStr">
        <is>
          <t>Plan</t>
        </is>
      </c>
      <c r="F39" s="37" t="inlineStr"/>
      <c r="G39" s="37" t="inlineStr"/>
    </row>
    <row r="40">
      <c r="A40" s="36" t="inlineStr">
        <is>
          <t>Priority</t>
        </is>
      </c>
      <c r="B40" s="36" t="inlineStr">
        <is>
          <t>P2 High vulnerabilities — Open</t>
        </is>
      </c>
      <c r="C40" s="37">
        <f>COUNTIFS('Vulnerability Inventory'!V6:V55,"P2",'Vulnerability Inventory'!Z6:Z55,"Open")</f>
        <v/>
      </c>
      <c r="D40" s="37" t="inlineStr">
        <is>
          <t>Medium</t>
        </is>
      </c>
      <c r="E40" s="37" t="inlineStr">
        <is>
          <t>Plan</t>
        </is>
      </c>
      <c r="F40" s="37" t="inlineStr"/>
      <c r="G40" s="37" t="inlineStr"/>
    </row>
  </sheetData>
  <mergeCells count="8">
    <mergeCell ref="A13:G13"/>
    <mergeCell ref="A1:G1"/>
    <mergeCell ref="A31:G31"/>
    <mergeCell ref="A4:G4"/>
    <mergeCell ref="A26:G26"/>
    <mergeCell ref="A24:G24"/>
    <mergeCell ref="A2:G2"/>
    <mergeCell ref="A15:G1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1"/>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30" customWidth="1" min="5" max="5"/>
  </cols>
  <sheetData>
    <row r="1" ht="35" customHeight="1">
      <c r="A1" s="16" t="inlineStr">
        <is>
          <t>VULNERABILITY INVENTORY, SCORING AND RISK — ASSESSMENT APPROVAL AND SIGN-OFF</t>
        </is>
      </c>
      <c r="B1" s="6" t="n"/>
      <c r="C1" s="6" t="n"/>
      <c r="D1" s="6" t="n"/>
      <c r="E1" s="6" t="n"/>
    </row>
    <row r="2">
      <c r="A2" s="12" t="inlineStr">
        <is>
          <t>ISO/IEC 27001:2022 Annex A — Control A.8.8: Management of Technical Vulnerabilities</t>
        </is>
      </c>
      <c r="B2" s="6" t="n"/>
      <c r="C2" s="6" t="n"/>
      <c r="D2" s="6" t="n"/>
      <c r="E2" s="6" t="n"/>
    </row>
    <row r="3">
      <c r="A3" s="38" t="inlineStr">
        <is>
          <t>ASSESSMENT SUMMARY</t>
        </is>
      </c>
      <c r="B3" s="6" t="n"/>
      <c r="C3" s="6" t="n"/>
      <c r="D3" s="6" t="n"/>
      <c r="E3" s="6" t="n"/>
    </row>
    <row r="4">
      <c r="A4" s="39" t="inlineStr">
        <is>
          <t>Document:</t>
        </is>
      </c>
      <c r="B4" s="6" t="inlineStr">
        <is>
          <t>ISMS-IMP-A.8.8.2 — Vulnerability Inventory, Scoring &amp; Risk</t>
        </is>
      </c>
      <c r="C4" s="6" t="n"/>
      <c r="D4" s="6" t="n"/>
      <c r="E4" s="6" t="n"/>
    </row>
    <row r="5">
      <c r="A5" s="39" t="inlineStr">
        <is>
          <t>Assessment Period:</t>
        </is>
      </c>
      <c r="B5" s="30" t="inlineStr"/>
      <c r="C5" s="6" t="n"/>
      <c r="D5" s="6" t="n"/>
      <c r="E5" s="6" t="n"/>
    </row>
    <row r="6">
      <c r="A6" s="39" t="inlineStr">
        <is>
          <t>Overall Compliance Rating:</t>
        </is>
      </c>
      <c r="B6" s="40">
        <f>'Summary Dashboard'!G11</f>
        <v/>
      </c>
      <c r="C6" s="6" t="n"/>
      <c r="D6" s="6" t="n"/>
      <c r="E6" s="6" t="n"/>
    </row>
    <row r="7">
      <c r="A7" s="39" t="inlineStr">
        <is>
          <t>Assessment Status:</t>
        </is>
      </c>
      <c r="B7" s="30" t="inlineStr"/>
      <c r="C7" s="6" t="n"/>
      <c r="D7" s="6" t="n"/>
      <c r="E7" s="6" t="n"/>
    </row>
    <row r="8">
      <c r="A8" s="39" t="inlineStr">
        <is>
          <t>Assessed By:</t>
        </is>
      </c>
      <c r="B8" s="30" t="inlineStr"/>
      <c r="C8" s="6" t="n"/>
      <c r="D8" s="6" t="n"/>
      <c r="E8" s="6" t="n"/>
    </row>
    <row r="9">
      <c r="A9" s="6" t="n"/>
    </row>
    <row r="10">
      <c r="A10" s="38" t="inlineStr">
        <is>
          <t>ASSESSMENT REVIEW AND APPROVAL</t>
        </is>
      </c>
    </row>
    <row r="11">
      <c r="A11" s="23" t="inlineStr">
        <is>
          <t>Role / Function</t>
        </is>
      </c>
      <c r="B11" s="23" t="inlineStr">
        <is>
          <t>Name</t>
        </is>
      </c>
      <c r="C11" s="23" t="inlineStr">
        <is>
          <t>Signature / Initials</t>
        </is>
      </c>
      <c r="D11" s="23" t="inlineStr">
        <is>
          <t>Date (DD.MM.YYYY)</t>
        </is>
      </c>
      <c r="E11" s="23" t="inlineStr">
        <is>
          <t>Comments</t>
        </is>
      </c>
    </row>
    <row r="12">
      <c r="A12" s="41" t="inlineStr">
        <is>
          <t>Lead Assessor / Author</t>
        </is>
      </c>
      <c r="B12" s="30" t="n"/>
      <c r="C12" s="30" t="n"/>
      <c r="D12" s="30" t="n"/>
      <c r="E12" s="30" t="n"/>
    </row>
    <row r="13">
      <c r="A13" s="41" t="inlineStr">
        <is>
          <t>IT Security Manager</t>
        </is>
      </c>
      <c r="B13" s="30" t="n"/>
      <c r="C13" s="30" t="n"/>
      <c r="D13" s="30" t="n"/>
      <c r="E13" s="30" t="n"/>
    </row>
    <row r="14">
      <c r="A14" s="41" t="inlineStr">
        <is>
          <t>Reviewer (Technical / Compliance)</t>
        </is>
      </c>
      <c r="B14" s="30" t="n"/>
      <c r="C14" s="30" t="n"/>
      <c r="D14" s="30" t="n"/>
      <c r="E14" s="30" t="n"/>
    </row>
    <row r="15">
      <c r="A15" s="41" t="inlineStr">
        <is>
          <t>CISO / Final Approver</t>
        </is>
      </c>
      <c r="B15" s="30" t="n"/>
      <c r="C15" s="30" t="n"/>
      <c r="D15" s="30" t="n"/>
      <c r="E15" s="30" t="n"/>
    </row>
    <row r="16">
      <c r="A16" s="6" t="n"/>
    </row>
    <row r="17">
      <c r="A17" s="42" t="inlineStr">
        <is>
          <t>FINAL DECISION:</t>
        </is>
      </c>
      <c r="B17" s="43" t="inlineStr">
        <is>
          <t>☐ Approved     ☐ Approved with Conditions     ☐ Rejected     ☐ Deferred</t>
        </is>
      </c>
      <c r="C17" s="6" t="n"/>
      <c r="D17" s="6" t="n"/>
      <c r="E17" s="6" t="n"/>
    </row>
    <row r="18">
      <c r="A18" s="6" t="n"/>
    </row>
    <row r="19">
      <c r="A19" s="38" t="inlineStr">
        <is>
          <t>NEXT REVIEW DETAILS</t>
        </is>
      </c>
    </row>
    <row r="20">
      <c r="A20" s="44" t="inlineStr">
        <is>
          <t>Next Review Date (DD.MM.YYYY)</t>
        </is>
      </c>
      <c r="B20" s="30" t="n"/>
    </row>
    <row r="21">
      <c r="A21" s="44" t="inlineStr">
        <is>
          <t>Review Owner</t>
        </is>
      </c>
      <c r="B21" s="30" t="n"/>
    </row>
  </sheetData>
  <mergeCells count="16">
    <mergeCell ref="B17:E17"/>
    <mergeCell ref="B8:E8"/>
    <mergeCell ref="A18:E18"/>
    <mergeCell ref="B4:E4"/>
    <mergeCell ref="A2:E2"/>
    <mergeCell ref="A16:E16"/>
    <mergeCell ref="A10:E10"/>
    <mergeCell ref="B6:E6"/>
    <mergeCell ref="B21:E21"/>
    <mergeCell ref="A19:E19"/>
    <mergeCell ref="B7:E7"/>
    <mergeCell ref="A1:E1"/>
    <mergeCell ref="B5:E5"/>
    <mergeCell ref="B20:E20"/>
    <mergeCell ref="A9:E9"/>
    <mergeCell ref="A3:E3"/>
  </mergeCells>
  <dataValidations count="1">
    <dataValidation sqref="B7" showDropDown="0" showInputMessage="0" showErrorMessage="0" allowBlank="1" type="list">
      <formula1>"Draft,Final,Requires remediation,Re-assessment required"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ISMS-IMP-A.8.8.2 — Vulnerability Inventory, Scoring &amp; Risk</dc:title>
  <dc:description xmlns:dc="http://purl.org/dc/elements/1.1/">ISMS Implementation Workbook — ISMS-IMP-A.8.8.2</dc:description>
  <dc:subject xmlns:dc="http://purl.org/dc/elements/1.1/">ISO/IEC 27001:2022 — Control A.8.8: Management of Technical Vulnerabilities</dc:subject>
  <dcterms:created xmlns:dcterms="http://purl.org/dc/terms/" xmlns:xsi="http://www.w3.org/2001/XMLSchema-instance" xsi:type="dcterms:W3CDTF">2026-03-01T10:19:44Z</dcterms:created>
  <dcterms:modified xmlns:dcterms="http://purl.org/dc/terms/" xmlns:xsi="http://www.w3.org/2001/XMLSchema-instance" xsi:type="dcterms:W3CDTF">2026-03-01T10:19:44Z</dcterms:modified>
</cp:coreProperties>
</file>