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TI Sources Register" sheetId="2" state="visible" r:id="rId2"/>
    <sheet xmlns:r="http://schemas.openxmlformats.org/officeDocument/2006/relationships" name="CVE TI Correlation" sheetId="3" state="visible" r:id="rId3"/>
    <sheet xmlns:r="http://schemas.openxmlformats.org/officeDocument/2006/relationships" name="KEV Impact Assessment" sheetId="4" state="visible" r:id="rId4"/>
    <sheet xmlns:r="http://schemas.openxmlformats.org/officeDocument/2006/relationships" name="Active Exploitation" sheetId="5" state="visible" r:id="rId5"/>
    <sheet xmlns:r="http://schemas.openxmlformats.org/officeDocument/2006/relationships" name="Emergency Patching Queu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0" borderId="1" pivotButton="0" quotePrefix="0" xfId="0"/>
    <xf numFmtId="0" fontId="12" fillId="0" borderId="1" applyAlignment="1" pivotButton="0" quotePrefix="0" xfId="0">
      <alignment horizontal="center"/>
    </xf>
    <xf numFmtId="164" fontId="12" fillId="0" borderId="1" applyAlignment="1" pivotButton="0" quotePrefix="0" xfId="0">
      <alignment horizontal="center"/>
    </xf>
    <xf numFmtId="0" fontId="11" fillId="9" borderId="1" applyAlignment="1" pivotButton="0" quotePrefix="0" xfId="0">
      <alignment horizontal="left"/>
    </xf>
    <xf numFmtId="0" fontId="11" fillId="9" borderId="1" applyAlignment="1" pivotButton="0" quotePrefix="0" xfId="0">
      <alignment horizontal="center"/>
    </xf>
    <xf numFmtId="164" fontId="11" fillId="9" borderId="1" applyAlignment="1" pivotButton="0" quotePrefix="0" xfId="0">
      <alignment horizontal="center"/>
    </xf>
    <xf numFmtId="0" fontId="10" fillId="8" borderId="1" pivotButton="0" quotePrefix="0" xfId="0"/>
    <xf numFmtId="0" fontId="11" fillId="9" borderId="1" applyAlignment="1" pivotButton="0" quotePrefix="0" xfId="0">
      <alignment horizontal="left" vertical="center"/>
    </xf>
    <xf numFmtId="0" fontId="11" fillId="9" borderId="1" pivotButton="0" quotePrefix="0" xfId="0"/>
    <xf numFmtId="0" fontId="12" fillId="0" borderId="1" applyAlignment="1" pivotButton="0" quotePrefix="0" xfId="0">
      <alignment horizontal="left" vertical="center"/>
    </xf>
    <xf numFmtId="0" fontId="10" fillId="12" borderId="1" pivotButton="0" quotePrefix="0" xfId="0"/>
    <xf numFmtId="0" fontId="13" fillId="13" borderId="1" pivotButton="0" quotePrefix="0" xfId="0"/>
    <xf numFmtId="0" fontId="13" fillId="13" borderId="1" applyAlignment="1" pivotButton="0" quotePrefix="0" xfId="0">
      <alignment horizontal="center"/>
    </xf>
    <xf numFmtId="0" fontId="14" fillId="14" borderId="1" pivotButton="0" quotePrefix="0" xfId="0"/>
    <xf numFmtId="0" fontId="14" fillId="14" borderId="1" applyAlignment="1" pivotButton="0" quotePrefix="0" xfId="0">
      <alignment horizontal="center"/>
    </xf>
    <xf numFmtId="0" fontId="15" fillId="15" borderId="1" pivotButton="0" quotePrefix="0" xfId="0"/>
    <xf numFmtId="0" fontId="15" fillId="15" borderId="1" applyAlignment="1" pivotButton="0" quotePrefix="0" xfId="0">
      <alignment horizontal="center"/>
    </xf>
    <xf numFmtId="0" fontId="0" fillId="15" borderId="1" pivotButton="0" quotePrefix="0" xfId="0"/>
    <xf numFmtId="0" fontId="10" fillId="16" borderId="1" applyAlignment="1" pivotButton="0" quotePrefix="0" xfId="0">
      <alignment horizontal="center" vertical="center"/>
    </xf>
    <xf numFmtId="0" fontId="11" fillId="0" borderId="1" pivotButton="0" quotePrefix="0" xfId="0"/>
    <xf numFmtId="0" fontId="0" fillId="11"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ISMS-IMP-A.8.8.3  -  Threat Intelligence
ISO/IEC 27001:2022 - Control A.8.8: Management of Technical Vulnerabilities</t>
        </is>
      </c>
    </row>
    <row r="3">
      <c r="A3" s="2" t="inlineStr">
        <is>
          <t>Document Information</t>
        </is>
      </c>
    </row>
    <row r="4">
      <c r="A4" s="3" t="inlineStr">
        <is>
          <t>Document ID</t>
        </is>
      </c>
      <c r="B4" t="inlineStr">
        <is>
          <t>ISMS-IMP-A.8.8.3</t>
        </is>
      </c>
    </row>
    <row r="5">
      <c r="A5" s="3" t="inlineStr">
        <is>
          <t>Workbook Title</t>
        </is>
      </c>
      <c r="B5" t="inlineStr">
        <is>
          <t>Threat Intelligence</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TI Sources Register with all threat intelligence feeds and sources.</t>
        </is>
      </c>
    </row>
    <row r="15">
      <c r="A15" t="inlineStr">
        <is>
          <t>3. Complete CVE TI Correlation mapping CVEs to threat intelligence indicators.</t>
        </is>
      </c>
    </row>
    <row r="16">
      <c r="A16" t="inlineStr">
        <is>
          <t>4. Complete KEV Impact Assessment with CISA Known Exploited Vulnerability tracking.</t>
        </is>
      </c>
    </row>
    <row r="17">
      <c r="A17" t="inlineStr">
        <is>
          <t>5. Complete Active Exploitation with current exploitation events affecting the org.</t>
        </is>
      </c>
    </row>
    <row r="18">
      <c r="A18" t="inlineStr">
        <is>
          <t>6. Complete Emergency Patching Queue with urgent vulnerability remediation items.</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8" customWidth="1" min="3" max="3"/>
    <col width="30" customWidth="1" min="4" max="4"/>
    <col width="14" customWidth="1" min="5" max="5"/>
    <col width="22" customWidth="1" min="6" max="6"/>
    <col width="16" customWidth="1" min="7" max="7"/>
    <col width="14" customWidth="1" min="8" max="8"/>
    <col width="20" customWidth="1" min="9" max="9"/>
    <col width="16" customWidth="1" min="10" max="10"/>
    <col width="14" customWidth="1" min="11" max="11"/>
    <col width="30" customWidth="1" min="12" max="12"/>
  </cols>
  <sheetData>
    <row r="1" ht="35" customHeight="1">
      <c r="A1" s="11" t="inlineStr">
        <is>
          <t>ISMS-IMP-A.8.8.3  —  TI SOURCES REGISTER</t>
        </is>
      </c>
    </row>
    <row r="2">
      <c r="A2" s="12" t="inlineStr">
        <is>
          <t>ISO/IEC 27001:2022 — Control A.8.8: Management of Technical Vulnerabilities</t>
        </is>
      </c>
    </row>
    <row r="3">
      <c r="A3" s="6" t="n"/>
    </row>
    <row r="4">
      <c r="A4" s="13" t="inlineStr">
        <is>
          <t>Source_ID</t>
        </is>
      </c>
      <c r="B4" s="13" t="inlineStr">
        <is>
          <t>Source_Name</t>
        </is>
      </c>
      <c r="C4" s="13" t="inlineStr">
        <is>
          <t>Source_Type</t>
        </is>
      </c>
      <c r="D4" s="13" t="inlineStr">
        <is>
          <t>URL_or_Feed</t>
        </is>
      </c>
      <c r="E4" s="13" t="inlineStr">
        <is>
          <t>Source_Status</t>
        </is>
      </c>
      <c r="F4" s="13" t="inlineStr">
        <is>
          <t>Coverage_Areas</t>
        </is>
      </c>
      <c r="G4" s="13" t="inlineStr">
        <is>
          <t>Update_Frequency</t>
        </is>
      </c>
      <c r="H4" s="13" t="inlineStr">
        <is>
          <t>Last_Updated</t>
        </is>
      </c>
      <c r="I4" s="13" t="inlineStr">
        <is>
          <t>TI_Provider</t>
        </is>
      </c>
      <c r="J4" s="13" t="inlineStr">
        <is>
          <t>Authentication</t>
        </is>
      </c>
      <c r="K4" s="13" t="inlineStr">
        <is>
          <t>Format</t>
        </is>
      </c>
      <c r="L4" s="13" t="inlineStr">
        <is>
          <t>Notes</t>
        </is>
      </c>
    </row>
    <row r="5">
      <c r="A5" s="14" t="inlineStr">
        <is>
          <t>TIS-001</t>
        </is>
      </c>
      <c r="B5" s="14" t="inlineStr">
        <is>
          <t>CISA KEV Catalogue</t>
        </is>
      </c>
      <c r="C5" s="14" t="inlineStr">
        <is>
          <t>Government Advisory</t>
        </is>
      </c>
      <c r="D5" s="14" t="inlineStr">
        <is>
          <t>https://www.cisa.gov/known-exploited-vulnerabilities-catalog</t>
        </is>
      </c>
      <c r="E5" s="14" t="inlineStr">
        <is>
          <t>Active</t>
        </is>
      </c>
      <c r="F5" s="14" t="inlineStr">
        <is>
          <t>Vulnerability Exploitation</t>
        </is>
      </c>
      <c r="G5" s="14" t="inlineStr">
        <is>
          <t>Daily</t>
        </is>
      </c>
      <c r="H5" s="14" t="inlineStr">
        <is>
          <t>01.01.2026</t>
        </is>
      </c>
      <c r="I5" s="14" t="inlineStr">
        <is>
          <t>CISA</t>
        </is>
      </c>
      <c r="J5" s="14" t="inlineStr">
        <is>
          <t>Public/API Key</t>
        </is>
      </c>
      <c r="K5" s="14" t="inlineStr">
        <is>
          <t>JSON/CSV</t>
        </is>
      </c>
      <c r="L5" s="14" t="inlineStr">
        <is>
          <t>Primary KEV feed — automated daily pull via API</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3">
    <mergeCell ref="A3:L3"/>
    <mergeCell ref="A2:L2"/>
    <mergeCell ref="A1:L1"/>
  </mergeCells>
  <dataValidations count="3">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"Government Advisory,Vendor Advisory,OSINT,Commercial Feed,ISAC/ISAO,Dark Web,Internal"</formula1>
    </dataValidation>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"Active,Inactive,Under Review"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"Real-Time,Hourly,Daily,Weekly,Monthly,On-Demand"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5"/>
  <sheetViews>
    <sheetView showGridLines="0" workbookViewId="0">
      <pane ySplit="4" topLeftCell="A5" activePane="bottomLeft" state="frozen"/>
      <selection pane="bottomLeft" activeCell="A1" sqref="A1"/>
    </sheetView>
  </sheetViews>
  <sheetFormatPr baseColWidth="8" defaultRowHeight="15"/>
  <cols>
    <col width="14" customWidth="1" min="1" max="1"/>
    <col width="36" customWidth="1" min="2" max="2"/>
    <col width="12" customWidth="1" min="3" max="3"/>
    <col width="12" customWidth="1" min="4" max="4"/>
    <col width="22" customWidth="1" min="5" max="5"/>
    <col width="12" customWidth="1" min="6" max="6"/>
    <col width="14" customWidth="1" min="7" max="7"/>
    <col width="14" customWidth="1" min="8" max="8"/>
    <col width="18" customWidth="1" min="9" max="9"/>
    <col width="18" customWidth="1" min="10" max="10"/>
    <col width="18" customWidth="1" min="11" max="11"/>
    <col width="18" customWidth="1" min="12" max="12"/>
    <col width="12" customWidth="1" min="13" max="13"/>
    <col width="12" customWidth="1" min="14" max="14"/>
    <col width="16" customWidth="1" min="15" max="15"/>
    <col width="16" customWidth="1" min="16" max="16"/>
    <col width="30" customWidth="1" min="17" max="17"/>
  </cols>
  <sheetData>
    <row r="1" ht="35" customHeight="1">
      <c r="A1" s="11" t="inlineStr">
        <is>
          <t>ISMS-IMP-A.8.8.3  —  CVE TI CORRELATION</t>
        </is>
      </c>
    </row>
    <row r="2">
      <c r="A2" s="12" t="inlineStr">
        <is>
          <t>ISO/IEC 27001:2022 — Control A.8.8: Management of Technical Vulnerabilities</t>
        </is>
      </c>
    </row>
    <row r="3">
      <c r="A3" s="6" t="n"/>
    </row>
    <row r="4">
      <c r="A4" s="13" t="inlineStr">
        <is>
          <t>CVE_ID</t>
        </is>
      </c>
      <c r="B4" s="13" t="inlineStr">
        <is>
          <t>CVE_Description</t>
        </is>
      </c>
      <c r="C4" s="13" t="inlineStr">
        <is>
          <t>CVSS_Version</t>
        </is>
      </c>
      <c r="D4" s="13" t="inlineStr">
        <is>
          <t>CVSS_Score</t>
        </is>
      </c>
      <c r="E4" s="13" t="inlineStr">
        <is>
          <t>CVSS_Vector</t>
        </is>
      </c>
      <c r="F4" s="13" t="inlineStr">
        <is>
          <t>KEV_Listed</t>
        </is>
      </c>
      <c r="G4" s="13" t="inlineStr">
        <is>
          <t>Active_Exploitation</t>
        </is>
      </c>
      <c r="H4" s="13" t="inlineStr">
        <is>
          <t>Exploit_Available</t>
        </is>
      </c>
      <c r="I4" s="13" t="inlineStr">
        <is>
          <t>TI_Source_1</t>
        </is>
      </c>
      <c r="J4" s="13" t="inlineStr">
        <is>
          <t>TI_Source_2</t>
        </is>
      </c>
      <c r="K4" s="13" t="inlineStr">
        <is>
          <t>Threat_Actor</t>
        </is>
      </c>
      <c r="L4" s="13" t="inlineStr">
        <is>
          <t>Campaign</t>
        </is>
      </c>
      <c r="M4" s="13" t="inlineStr">
        <is>
          <t>First_Seen</t>
        </is>
      </c>
      <c r="N4" s="13" t="inlineStr">
        <is>
          <t>Last_Updated</t>
        </is>
      </c>
      <c r="O4" s="13" t="inlineStr">
        <is>
          <t>Weaponization_Risk</t>
        </is>
      </c>
      <c r="P4" s="13" t="inlineStr">
        <is>
          <t>Correlation_Status</t>
        </is>
      </c>
      <c r="Q4" s="13" t="inlineStr">
        <is>
          <t>Notes</t>
        </is>
      </c>
    </row>
    <row r="5">
      <c r="A5" s="14" t="inlineStr">
        <is>
          <t>CVE-2024-12345</t>
        </is>
      </c>
      <c r="B5" s="14" t="inlineStr">
        <is>
          <t>Remote code execution in Vendor X product affecting web servers</t>
        </is>
      </c>
      <c r="C5" s="14" t="inlineStr">
        <is>
          <t>v4.0</t>
        </is>
      </c>
      <c r="D5" s="14" t="inlineStr">
        <is>
          <t>9.8</t>
        </is>
      </c>
      <c r="E5" s="14" t="inlineStr">
        <is>
          <t>CVSS:4.0/AV:N/AC:L/AT:N/PR:N/UI:N/VC:H/VI:H/VA:H/SC:N/SI:N/SA:N</t>
        </is>
      </c>
      <c r="F5" s="14" t="inlineStr">
        <is>
          <t>YES</t>
        </is>
      </c>
      <c r="G5" s="14" t="inlineStr">
        <is>
          <t>YES</t>
        </is>
      </c>
      <c r="H5" s="14" t="inlineStr">
        <is>
          <t>YES</t>
        </is>
      </c>
      <c r="I5" s="14" t="inlineStr">
        <is>
          <t>CISA KEV</t>
        </is>
      </c>
      <c r="J5" s="14" t="inlineStr">
        <is>
          <t>Vendor Advisory</t>
        </is>
      </c>
      <c r="K5" s="14" t="inlineStr">
        <is>
          <t>APT29</t>
        </is>
      </c>
      <c r="L5" s="14" t="inlineStr">
        <is>
          <t>Campaign-Alpha</t>
        </is>
      </c>
      <c r="M5" s="14" t="inlineStr">
        <is>
          <t>01.01.2026</t>
        </is>
      </c>
      <c r="N5" s="14" t="inlineStr">
        <is>
          <t>01.01.2026</t>
        </is>
      </c>
      <c r="O5" s="14" t="inlineStr">
        <is>
          <t>Critical</t>
        </is>
      </c>
      <c r="P5" s="14" t="inlineStr">
        <is>
          <t>Correlated</t>
        </is>
      </c>
      <c r="Q5" s="14" t="inlineStr">
        <is>
          <t>Active exploitation confirmed via CISA KEV and Vendor Advisory</t>
        </is>
      </c>
    </row>
    <row r="6">
      <c r="A6" s="15" t="n"/>
      <c r="B6" s="15" t="n"/>
      <c r="C6" s="15" t="n"/>
      <c r="D6" s="15" t="n"/>
      <c r="E6" s="15" t="n"/>
      <c r="F6" s="15" t="n"/>
      <c r="G6" s="15" t="n"/>
      <c r="H6" s="15" t="n"/>
      <c r="I6" s="15" t="n"/>
      <c r="J6" s="15" t="n"/>
      <c r="K6" s="15" t="n"/>
      <c r="L6" s="15" t="n"/>
      <c r="M6" s="15" t="n"/>
      <c r="N6" s="15" t="n"/>
      <c r="O6" s="15" t="n"/>
      <c r="P6" s="15" t="n"/>
      <c r="Q6" s="15" t="n"/>
    </row>
    <row r="7">
      <c r="A7" s="15" t="n"/>
      <c r="B7" s="15" t="n"/>
      <c r="C7" s="15" t="n"/>
      <c r="D7" s="15" t="n"/>
      <c r="E7" s="15" t="n"/>
      <c r="F7" s="15" t="n"/>
      <c r="G7" s="15" t="n"/>
      <c r="H7" s="15" t="n"/>
      <c r="I7" s="15" t="n"/>
      <c r="J7" s="15" t="n"/>
      <c r="K7" s="15" t="n"/>
      <c r="L7" s="15" t="n"/>
      <c r="M7" s="15" t="n"/>
      <c r="N7" s="15" t="n"/>
      <c r="O7" s="15" t="n"/>
      <c r="P7" s="15" t="n"/>
      <c r="Q7" s="15" t="n"/>
    </row>
    <row r="8">
      <c r="A8" s="15" t="n"/>
      <c r="B8" s="15" t="n"/>
      <c r="C8" s="15" t="n"/>
      <c r="D8" s="15" t="n"/>
      <c r="E8" s="15" t="n"/>
      <c r="F8" s="15" t="n"/>
      <c r="G8" s="15" t="n"/>
      <c r="H8" s="15" t="n"/>
      <c r="I8" s="15" t="n"/>
      <c r="J8" s="15" t="n"/>
      <c r="K8" s="15" t="n"/>
      <c r="L8" s="15" t="n"/>
      <c r="M8" s="15" t="n"/>
      <c r="N8" s="15" t="n"/>
      <c r="O8" s="15" t="n"/>
      <c r="P8" s="15" t="n"/>
      <c r="Q8" s="15" t="n"/>
    </row>
    <row r="9">
      <c r="A9" s="15" t="n"/>
      <c r="B9" s="15" t="n"/>
      <c r="C9" s="15" t="n"/>
      <c r="D9" s="15" t="n"/>
      <c r="E9" s="15" t="n"/>
      <c r="F9" s="15" t="n"/>
      <c r="G9" s="15" t="n"/>
      <c r="H9" s="15" t="n"/>
      <c r="I9" s="15" t="n"/>
      <c r="J9" s="15" t="n"/>
      <c r="K9" s="15" t="n"/>
      <c r="L9" s="15" t="n"/>
      <c r="M9" s="15" t="n"/>
      <c r="N9" s="15" t="n"/>
      <c r="O9" s="15" t="n"/>
      <c r="P9" s="15" t="n"/>
      <c r="Q9" s="15" t="n"/>
    </row>
    <row r="10">
      <c r="A10" s="15" t="n"/>
      <c r="B10" s="15" t="n"/>
      <c r="C10" s="15" t="n"/>
      <c r="D10" s="15" t="n"/>
      <c r="E10" s="15" t="n"/>
      <c r="F10" s="15" t="n"/>
      <c r="G10" s="15" t="n"/>
      <c r="H10" s="15" t="n"/>
      <c r="I10" s="15" t="n"/>
      <c r="J10" s="15" t="n"/>
      <c r="K10" s="15" t="n"/>
      <c r="L10" s="15" t="n"/>
      <c r="M10" s="15" t="n"/>
      <c r="N10" s="15" t="n"/>
      <c r="O10" s="15" t="n"/>
      <c r="P10" s="15" t="n"/>
      <c r="Q10" s="15" t="n"/>
    </row>
    <row r="11">
      <c r="A11" s="15" t="n"/>
      <c r="B11" s="15" t="n"/>
      <c r="C11" s="15" t="n"/>
      <c r="D11" s="15" t="n"/>
      <c r="E11" s="15" t="n"/>
      <c r="F11" s="15" t="n"/>
      <c r="G11" s="15" t="n"/>
      <c r="H11" s="15" t="n"/>
      <c r="I11" s="15" t="n"/>
      <c r="J11" s="15" t="n"/>
      <c r="K11" s="15" t="n"/>
      <c r="L11" s="15" t="n"/>
      <c r="M11" s="15" t="n"/>
      <c r="N11" s="15" t="n"/>
      <c r="O11" s="15" t="n"/>
      <c r="P11" s="15" t="n"/>
      <c r="Q11" s="15" t="n"/>
    </row>
    <row r="12">
      <c r="A12" s="15" t="n"/>
      <c r="B12" s="15" t="n"/>
      <c r="C12" s="15" t="n"/>
      <c r="D12" s="15" t="n"/>
      <c r="E12" s="15" t="n"/>
      <c r="F12" s="15" t="n"/>
      <c r="G12" s="15" t="n"/>
      <c r="H12" s="15" t="n"/>
      <c r="I12" s="15" t="n"/>
      <c r="J12" s="15" t="n"/>
      <c r="K12" s="15" t="n"/>
      <c r="L12" s="15" t="n"/>
      <c r="M12" s="15" t="n"/>
      <c r="N12" s="15" t="n"/>
      <c r="O12" s="15" t="n"/>
      <c r="P12" s="15" t="n"/>
      <c r="Q12" s="15" t="n"/>
    </row>
    <row r="13">
      <c r="A13" s="15" t="n"/>
      <c r="B13" s="15" t="n"/>
      <c r="C13" s="15" t="n"/>
      <c r="D13" s="15" t="n"/>
      <c r="E13" s="15" t="n"/>
      <c r="F13" s="15" t="n"/>
      <c r="G13" s="15" t="n"/>
      <c r="H13" s="15" t="n"/>
      <c r="I13" s="15" t="n"/>
      <c r="J13" s="15" t="n"/>
      <c r="K13" s="15" t="n"/>
      <c r="L13" s="15" t="n"/>
      <c r="M13" s="15" t="n"/>
      <c r="N13" s="15" t="n"/>
      <c r="O13" s="15" t="n"/>
      <c r="P13" s="15" t="n"/>
      <c r="Q13" s="15" t="n"/>
    </row>
    <row r="14">
      <c r="A14" s="15" t="n"/>
      <c r="B14" s="15" t="n"/>
      <c r="C14" s="15" t="n"/>
      <c r="D14" s="15" t="n"/>
      <c r="E14" s="15" t="n"/>
      <c r="F14" s="15" t="n"/>
      <c r="G14" s="15" t="n"/>
      <c r="H14" s="15" t="n"/>
      <c r="I14" s="15" t="n"/>
      <c r="J14" s="15" t="n"/>
      <c r="K14" s="15" t="n"/>
      <c r="L14" s="15" t="n"/>
      <c r="M14" s="15" t="n"/>
      <c r="N14" s="15" t="n"/>
      <c r="O14" s="15" t="n"/>
      <c r="P14" s="15" t="n"/>
      <c r="Q14" s="15" t="n"/>
    </row>
    <row r="15">
      <c r="A15" s="15" t="n"/>
      <c r="B15" s="15" t="n"/>
      <c r="C15" s="15" t="n"/>
      <c r="D15" s="15" t="n"/>
      <c r="E15" s="15" t="n"/>
      <c r="F15" s="15" t="n"/>
      <c r="G15" s="15" t="n"/>
      <c r="H15" s="15" t="n"/>
      <c r="I15" s="15" t="n"/>
      <c r="J15" s="15" t="n"/>
      <c r="K15" s="15" t="n"/>
      <c r="L15" s="15" t="n"/>
      <c r="M15" s="15" t="n"/>
      <c r="N15" s="15" t="n"/>
      <c r="O15" s="15" t="n"/>
      <c r="P15" s="15" t="n"/>
      <c r="Q15" s="15" t="n"/>
    </row>
    <row r="16">
      <c r="A16" s="15" t="n"/>
      <c r="B16" s="15" t="n"/>
      <c r="C16" s="15" t="n"/>
      <c r="D16" s="15" t="n"/>
      <c r="E16" s="15" t="n"/>
      <c r="F16" s="15" t="n"/>
      <c r="G16" s="15" t="n"/>
      <c r="H16" s="15" t="n"/>
      <c r="I16" s="15" t="n"/>
      <c r="J16" s="15" t="n"/>
      <c r="K16" s="15" t="n"/>
      <c r="L16" s="15" t="n"/>
      <c r="M16" s="15" t="n"/>
      <c r="N16" s="15" t="n"/>
      <c r="O16" s="15" t="n"/>
      <c r="P16" s="15" t="n"/>
      <c r="Q16" s="15" t="n"/>
    </row>
    <row r="17">
      <c r="A17" s="15" t="n"/>
      <c r="B17" s="15" t="n"/>
      <c r="C17" s="15" t="n"/>
      <c r="D17" s="15" t="n"/>
      <c r="E17" s="15" t="n"/>
      <c r="F17" s="15" t="n"/>
      <c r="G17" s="15" t="n"/>
      <c r="H17" s="15" t="n"/>
      <c r="I17" s="15" t="n"/>
      <c r="J17" s="15" t="n"/>
      <c r="K17" s="15" t="n"/>
      <c r="L17" s="15" t="n"/>
      <c r="M17" s="15" t="n"/>
      <c r="N17" s="15" t="n"/>
      <c r="O17" s="15" t="n"/>
      <c r="P17" s="15" t="n"/>
      <c r="Q17" s="15" t="n"/>
    </row>
    <row r="18">
      <c r="A18" s="15" t="n"/>
      <c r="B18" s="15" t="n"/>
      <c r="C18" s="15" t="n"/>
      <c r="D18" s="15" t="n"/>
      <c r="E18" s="15" t="n"/>
      <c r="F18" s="15" t="n"/>
      <c r="G18" s="15" t="n"/>
      <c r="H18" s="15" t="n"/>
      <c r="I18" s="15" t="n"/>
      <c r="J18" s="15" t="n"/>
      <c r="K18" s="15" t="n"/>
      <c r="L18" s="15" t="n"/>
      <c r="M18" s="15" t="n"/>
      <c r="N18" s="15" t="n"/>
      <c r="O18" s="15" t="n"/>
      <c r="P18" s="15" t="n"/>
      <c r="Q18" s="15" t="n"/>
    </row>
    <row r="19">
      <c r="A19" s="15" t="n"/>
      <c r="B19" s="15" t="n"/>
      <c r="C19" s="15" t="n"/>
      <c r="D19" s="15" t="n"/>
      <c r="E19" s="15" t="n"/>
      <c r="F19" s="15" t="n"/>
      <c r="G19" s="15" t="n"/>
      <c r="H19" s="15" t="n"/>
      <c r="I19" s="15" t="n"/>
      <c r="J19" s="15" t="n"/>
      <c r="K19" s="15" t="n"/>
      <c r="L19" s="15" t="n"/>
      <c r="M19" s="15" t="n"/>
      <c r="N19" s="15" t="n"/>
      <c r="O19" s="15" t="n"/>
      <c r="P19" s="15" t="n"/>
      <c r="Q19" s="15" t="n"/>
    </row>
    <row r="20">
      <c r="A20" s="15" t="n"/>
      <c r="B20" s="15" t="n"/>
      <c r="C20" s="15" t="n"/>
      <c r="D20" s="15" t="n"/>
      <c r="E20" s="15" t="n"/>
      <c r="F20" s="15" t="n"/>
      <c r="G20" s="15" t="n"/>
      <c r="H20" s="15" t="n"/>
      <c r="I20" s="15" t="n"/>
      <c r="J20" s="15" t="n"/>
      <c r="K20" s="15" t="n"/>
      <c r="L20" s="15" t="n"/>
      <c r="M20" s="15" t="n"/>
      <c r="N20" s="15" t="n"/>
      <c r="O20" s="15" t="n"/>
      <c r="P20" s="15" t="n"/>
      <c r="Q20" s="15" t="n"/>
    </row>
    <row r="21">
      <c r="A21" s="15" t="n"/>
      <c r="B21" s="15" t="n"/>
      <c r="C21" s="15" t="n"/>
      <c r="D21" s="15" t="n"/>
      <c r="E21" s="15" t="n"/>
      <c r="F21" s="15" t="n"/>
      <c r="G21" s="15" t="n"/>
      <c r="H21" s="15" t="n"/>
      <c r="I21" s="15" t="n"/>
      <c r="J21" s="15" t="n"/>
      <c r="K21" s="15" t="n"/>
      <c r="L21" s="15" t="n"/>
      <c r="M21" s="15" t="n"/>
      <c r="N21" s="15" t="n"/>
      <c r="O21" s="15" t="n"/>
      <c r="P21" s="15" t="n"/>
      <c r="Q21" s="15" t="n"/>
    </row>
    <row r="22">
      <c r="A22" s="15" t="n"/>
      <c r="B22" s="15" t="n"/>
      <c r="C22" s="15" t="n"/>
      <c r="D22" s="15" t="n"/>
      <c r="E22" s="15" t="n"/>
      <c r="F22" s="15" t="n"/>
      <c r="G22" s="15" t="n"/>
      <c r="H22" s="15" t="n"/>
      <c r="I22" s="15" t="n"/>
      <c r="J22" s="15" t="n"/>
      <c r="K22" s="15" t="n"/>
      <c r="L22" s="15" t="n"/>
      <c r="M22" s="15" t="n"/>
      <c r="N22" s="15" t="n"/>
      <c r="O22" s="15" t="n"/>
      <c r="P22" s="15" t="n"/>
      <c r="Q22" s="15" t="n"/>
    </row>
    <row r="23">
      <c r="A23" s="15" t="n"/>
      <c r="B23" s="15" t="n"/>
      <c r="C23" s="15" t="n"/>
      <c r="D23" s="15" t="n"/>
      <c r="E23" s="15" t="n"/>
      <c r="F23" s="15" t="n"/>
      <c r="G23" s="15" t="n"/>
      <c r="H23" s="15" t="n"/>
      <c r="I23" s="15" t="n"/>
      <c r="J23" s="15" t="n"/>
      <c r="K23" s="15" t="n"/>
      <c r="L23" s="15" t="n"/>
      <c r="M23" s="15" t="n"/>
      <c r="N23" s="15" t="n"/>
      <c r="O23" s="15" t="n"/>
      <c r="P23" s="15" t="n"/>
      <c r="Q23" s="15" t="n"/>
    </row>
    <row r="24">
      <c r="A24" s="15" t="n"/>
      <c r="B24" s="15" t="n"/>
      <c r="C24" s="15" t="n"/>
      <c r="D24" s="15" t="n"/>
      <c r="E24" s="15" t="n"/>
      <c r="F24" s="15" t="n"/>
      <c r="G24" s="15" t="n"/>
      <c r="H24" s="15" t="n"/>
      <c r="I24" s="15" t="n"/>
      <c r="J24" s="15" t="n"/>
      <c r="K24" s="15" t="n"/>
      <c r="L24" s="15" t="n"/>
      <c r="M24" s="15" t="n"/>
      <c r="N24" s="15" t="n"/>
      <c r="O24" s="15" t="n"/>
      <c r="P24" s="15" t="n"/>
      <c r="Q24" s="15" t="n"/>
    </row>
    <row r="25">
      <c r="A25" s="15" t="n"/>
      <c r="B25" s="15" t="n"/>
      <c r="C25" s="15" t="n"/>
      <c r="D25" s="15" t="n"/>
      <c r="E25" s="15" t="n"/>
      <c r="F25" s="15" t="n"/>
      <c r="G25" s="15" t="n"/>
      <c r="H25" s="15" t="n"/>
      <c r="I25" s="15" t="n"/>
      <c r="J25" s="15" t="n"/>
      <c r="K25" s="15" t="n"/>
      <c r="L25" s="15" t="n"/>
      <c r="M25" s="15" t="n"/>
      <c r="N25" s="15" t="n"/>
      <c r="O25" s="15" t="n"/>
      <c r="P25" s="15" t="n"/>
      <c r="Q25" s="15" t="n"/>
    </row>
    <row r="26">
      <c r="A26" s="15" t="n"/>
      <c r="B26" s="15" t="n"/>
      <c r="C26" s="15" t="n"/>
      <c r="D26" s="15" t="n"/>
      <c r="E26" s="15" t="n"/>
      <c r="F26" s="15" t="n"/>
      <c r="G26" s="15" t="n"/>
      <c r="H26" s="15" t="n"/>
      <c r="I26" s="15" t="n"/>
      <c r="J26" s="15" t="n"/>
      <c r="K26" s="15" t="n"/>
      <c r="L26" s="15" t="n"/>
      <c r="M26" s="15" t="n"/>
      <c r="N26" s="15" t="n"/>
      <c r="O26" s="15" t="n"/>
      <c r="P26" s="15" t="n"/>
      <c r="Q26" s="15" t="n"/>
    </row>
    <row r="27">
      <c r="A27" s="15" t="n"/>
      <c r="B27" s="15" t="n"/>
      <c r="C27" s="15" t="n"/>
      <c r="D27" s="15" t="n"/>
      <c r="E27" s="15" t="n"/>
      <c r="F27" s="15" t="n"/>
      <c r="G27" s="15" t="n"/>
      <c r="H27" s="15" t="n"/>
      <c r="I27" s="15" t="n"/>
      <c r="J27" s="15" t="n"/>
      <c r="K27" s="15" t="n"/>
      <c r="L27" s="15" t="n"/>
      <c r="M27" s="15" t="n"/>
      <c r="N27" s="15" t="n"/>
      <c r="O27" s="15" t="n"/>
      <c r="P27" s="15" t="n"/>
      <c r="Q27" s="15" t="n"/>
    </row>
    <row r="28">
      <c r="A28" s="15" t="n"/>
      <c r="B28" s="15" t="n"/>
      <c r="C28" s="15" t="n"/>
      <c r="D28" s="15" t="n"/>
      <c r="E28" s="15" t="n"/>
      <c r="F28" s="15" t="n"/>
      <c r="G28" s="15" t="n"/>
      <c r="H28" s="15" t="n"/>
      <c r="I28" s="15" t="n"/>
      <c r="J28" s="15" t="n"/>
      <c r="K28" s="15" t="n"/>
      <c r="L28" s="15" t="n"/>
      <c r="M28" s="15" t="n"/>
      <c r="N28" s="15" t="n"/>
      <c r="O28" s="15" t="n"/>
      <c r="P28" s="15" t="n"/>
      <c r="Q28" s="15" t="n"/>
    </row>
    <row r="29">
      <c r="A29" s="15" t="n"/>
      <c r="B29" s="15" t="n"/>
      <c r="C29" s="15" t="n"/>
      <c r="D29" s="15" t="n"/>
      <c r="E29" s="15" t="n"/>
      <c r="F29" s="15" t="n"/>
      <c r="G29" s="15" t="n"/>
      <c r="H29" s="15" t="n"/>
      <c r="I29" s="15" t="n"/>
      <c r="J29" s="15" t="n"/>
      <c r="K29" s="15" t="n"/>
      <c r="L29" s="15" t="n"/>
      <c r="M29" s="15" t="n"/>
      <c r="N29" s="15" t="n"/>
      <c r="O29" s="15" t="n"/>
      <c r="P29" s="15" t="n"/>
      <c r="Q29" s="15" t="n"/>
    </row>
    <row r="30">
      <c r="A30" s="15" t="n"/>
      <c r="B30" s="15" t="n"/>
      <c r="C30" s="15" t="n"/>
      <c r="D30" s="15" t="n"/>
      <c r="E30" s="15" t="n"/>
      <c r="F30" s="15" t="n"/>
      <c r="G30" s="15" t="n"/>
      <c r="H30" s="15" t="n"/>
      <c r="I30" s="15" t="n"/>
      <c r="J30" s="15" t="n"/>
      <c r="K30" s="15" t="n"/>
      <c r="L30" s="15" t="n"/>
      <c r="M30" s="15" t="n"/>
      <c r="N30" s="15" t="n"/>
      <c r="O30" s="15" t="n"/>
      <c r="P30" s="15" t="n"/>
      <c r="Q30" s="15" t="n"/>
    </row>
    <row r="31">
      <c r="A31" s="15" t="n"/>
      <c r="B31" s="15" t="n"/>
      <c r="C31" s="15" t="n"/>
      <c r="D31" s="15" t="n"/>
      <c r="E31" s="15" t="n"/>
      <c r="F31" s="15" t="n"/>
      <c r="G31" s="15" t="n"/>
      <c r="H31" s="15" t="n"/>
      <c r="I31" s="15" t="n"/>
      <c r="J31" s="15" t="n"/>
      <c r="K31" s="15" t="n"/>
      <c r="L31" s="15" t="n"/>
      <c r="M31" s="15" t="n"/>
      <c r="N31" s="15" t="n"/>
      <c r="O31" s="15" t="n"/>
      <c r="P31" s="15" t="n"/>
      <c r="Q31" s="15" t="n"/>
    </row>
    <row r="32">
      <c r="A32" s="15" t="n"/>
      <c r="B32" s="15" t="n"/>
      <c r="C32" s="15" t="n"/>
      <c r="D32" s="15" t="n"/>
      <c r="E32" s="15" t="n"/>
      <c r="F32" s="15" t="n"/>
      <c r="G32" s="15" t="n"/>
      <c r="H32" s="15" t="n"/>
      <c r="I32" s="15" t="n"/>
      <c r="J32" s="15" t="n"/>
      <c r="K32" s="15" t="n"/>
      <c r="L32" s="15" t="n"/>
      <c r="M32" s="15" t="n"/>
      <c r="N32" s="15" t="n"/>
      <c r="O32" s="15" t="n"/>
      <c r="P32" s="15" t="n"/>
      <c r="Q32" s="15" t="n"/>
    </row>
    <row r="33">
      <c r="A33" s="15" t="n"/>
      <c r="B33" s="15" t="n"/>
      <c r="C33" s="15" t="n"/>
      <c r="D33" s="15" t="n"/>
      <c r="E33" s="15" t="n"/>
      <c r="F33" s="15" t="n"/>
      <c r="G33" s="15" t="n"/>
      <c r="H33" s="15" t="n"/>
      <c r="I33" s="15" t="n"/>
      <c r="J33" s="15" t="n"/>
      <c r="K33" s="15" t="n"/>
      <c r="L33" s="15" t="n"/>
      <c r="M33" s="15" t="n"/>
      <c r="N33" s="15" t="n"/>
      <c r="O33" s="15" t="n"/>
      <c r="P33" s="15" t="n"/>
      <c r="Q33" s="15" t="n"/>
    </row>
    <row r="34">
      <c r="A34" s="15" t="n"/>
      <c r="B34" s="15" t="n"/>
      <c r="C34" s="15" t="n"/>
      <c r="D34" s="15" t="n"/>
      <c r="E34" s="15" t="n"/>
      <c r="F34" s="15" t="n"/>
      <c r="G34" s="15" t="n"/>
      <c r="H34" s="15" t="n"/>
      <c r="I34" s="15" t="n"/>
      <c r="J34" s="15" t="n"/>
      <c r="K34" s="15" t="n"/>
      <c r="L34" s="15" t="n"/>
      <c r="M34" s="15" t="n"/>
      <c r="N34" s="15" t="n"/>
      <c r="O34" s="15" t="n"/>
      <c r="P34" s="15" t="n"/>
      <c r="Q34" s="15" t="n"/>
    </row>
    <row r="35">
      <c r="A35" s="15" t="n"/>
      <c r="B35" s="15" t="n"/>
      <c r="C35" s="15" t="n"/>
      <c r="D35" s="15" t="n"/>
      <c r="E35" s="15" t="n"/>
      <c r="F35" s="15" t="n"/>
      <c r="G35" s="15" t="n"/>
      <c r="H35" s="15" t="n"/>
      <c r="I35" s="15" t="n"/>
      <c r="J35" s="15" t="n"/>
      <c r="K35" s="15" t="n"/>
      <c r="L35" s="15" t="n"/>
      <c r="M35" s="15" t="n"/>
      <c r="N35" s="15" t="n"/>
      <c r="O35" s="15" t="n"/>
      <c r="P35" s="15" t="n"/>
      <c r="Q35" s="15" t="n"/>
    </row>
    <row r="36">
      <c r="A36" s="15" t="n"/>
      <c r="B36" s="15" t="n"/>
      <c r="C36" s="15" t="n"/>
      <c r="D36" s="15" t="n"/>
      <c r="E36" s="15" t="n"/>
      <c r="F36" s="15" t="n"/>
      <c r="G36" s="15" t="n"/>
      <c r="H36" s="15" t="n"/>
      <c r="I36" s="15" t="n"/>
      <c r="J36" s="15" t="n"/>
      <c r="K36" s="15" t="n"/>
      <c r="L36" s="15" t="n"/>
      <c r="M36" s="15" t="n"/>
      <c r="N36" s="15" t="n"/>
      <c r="O36" s="15" t="n"/>
      <c r="P36" s="15" t="n"/>
      <c r="Q36" s="15" t="n"/>
    </row>
    <row r="37">
      <c r="A37" s="15" t="n"/>
      <c r="B37" s="15" t="n"/>
      <c r="C37" s="15" t="n"/>
      <c r="D37" s="15" t="n"/>
      <c r="E37" s="15" t="n"/>
      <c r="F37" s="15" t="n"/>
      <c r="G37" s="15" t="n"/>
      <c r="H37" s="15" t="n"/>
      <c r="I37" s="15" t="n"/>
      <c r="J37" s="15" t="n"/>
      <c r="K37" s="15" t="n"/>
      <c r="L37" s="15" t="n"/>
      <c r="M37" s="15" t="n"/>
      <c r="N37" s="15" t="n"/>
      <c r="O37" s="15" t="n"/>
      <c r="P37" s="15" t="n"/>
      <c r="Q37" s="15" t="n"/>
    </row>
    <row r="38">
      <c r="A38" s="15" t="n"/>
      <c r="B38" s="15" t="n"/>
      <c r="C38" s="15" t="n"/>
      <c r="D38" s="15" t="n"/>
      <c r="E38" s="15" t="n"/>
      <c r="F38" s="15" t="n"/>
      <c r="G38" s="15" t="n"/>
      <c r="H38" s="15" t="n"/>
      <c r="I38" s="15" t="n"/>
      <c r="J38" s="15" t="n"/>
      <c r="K38" s="15" t="n"/>
      <c r="L38" s="15" t="n"/>
      <c r="M38" s="15" t="n"/>
      <c r="N38" s="15" t="n"/>
      <c r="O38" s="15" t="n"/>
      <c r="P38" s="15" t="n"/>
      <c r="Q38" s="15" t="n"/>
    </row>
    <row r="39">
      <c r="A39" s="15" t="n"/>
      <c r="B39" s="15" t="n"/>
      <c r="C39" s="15" t="n"/>
      <c r="D39" s="15" t="n"/>
      <c r="E39" s="15" t="n"/>
      <c r="F39" s="15" t="n"/>
      <c r="G39" s="15" t="n"/>
      <c r="H39" s="15" t="n"/>
      <c r="I39" s="15" t="n"/>
      <c r="J39" s="15" t="n"/>
      <c r="K39" s="15" t="n"/>
      <c r="L39" s="15" t="n"/>
      <c r="M39" s="15" t="n"/>
      <c r="N39" s="15" t="n"/>
      <c r="O39" s="15" t="n"/>
      <c r="P39" s="15" t="n"/>
      <c r="Q39" s="15" t="n"/>
    </row>
    <row r="40">
      <c r="A40" s="15" t="n"/>
      <c r="B40" s="15" t="n"/>
      <c r="C40" s="15" t="n"/>
      <c r="D40" s="15" t="n"/>
      <c r="E40" s="15" t="n"/>
      <c r="F40" s="15" t="n"/>
      <c r="G40" s="15" t="n"/>
      <c r="H40" s="15" t="n"/>
      <c r="I40" s="15" t="n"/>
      <c r="J40" s="15" t="n"/>
      <c r="K40" s="15" t="n"/>
      <c r="L40" s="15" t="n"/>
      <c r="M40" s="15" t="n"/>
      <c r="N40" s="15" t="n"/>
      <c r="O40" s="15" t="n"/>
      <c r="P40" s="15" t="n"/>
      <c r="Q40" s="15" t="n"/>
    </row>
    <row r="41">
      <c r="A41" s="15" t="n"/>
      <c r="B41" s="15" t="n"/>
      <c r="C41" s="15" t="n"/>
      <c r="D41" s="15" t="n"/>
      <c r="E41" s="15" t="n"/>
      <c r="F41" s="15" t="n"/>
      <c r="G41" s="15" t="n"/>
      <c r="H41" s="15" t="n"/>
      <c r="I41" s="15" t="n"/>
      <c r="J41" s="15" t="n"/>
      <c r="K41" s="15" t="n"/>
      <c r="L41" s="15" t="n"/>
      <c r="M41" s="15" t="n"/>
      <c r="N41" s="15" t="n"/>
      <c r="O41" s="15" t="n"/>
      <c r="P41" s="15" t="n"/>
      <c r="Q41" s="15" t="n"/>
    </row>
    <row r="42">
      <c r="A42" s="15" t="n"/>
      <c r="B42" s="15" t="n"/>
      <c r="C42" s="15" t="n"/>
      <c r="D42" s="15" t="n"/>
      <c r="E42" s="15" t="n"/>
      <c r="F42" s="15" t="n"/>
      <c r="G42" s="15" t="n"/>
      <c r="H42" s="15" t="n"/>
      <c r="I42" s="15" t="n"/>
      <c r="J42" s="15" t="n"/>
      <c r="K42" s="15" t="n"/>
      <c r="L42" s="15" t="n"/>
      <c r="M42" s="15" t="n"/>
      <c r="N42" s="15" t="n"/>
      <c r="O42" s="15" t="n"/>
      <c r="P42" s="15" t="n"/>
      <c r="Q42" s="15" t="n"/>
    </row>
    <row r="43">
      <c r="A43" s="15" t="n"/>
      <c r="B43" s="15" t="n"/>
      <c r="C43" s="15" t="n"/>
      <c r="D43" s="15" t="n"/>
      <c r="E43" s="15" t="n"/>
      <c r="F43" s="15" t="n"/>
      <c r="G43" s="15" t="n"/>
      <c r="H43" s="15" t="n"/>
      <c r="I43" s="15" t="n"/>
      <c r="J43" s="15" t="n"/>
      <c r="K43" s="15" t="n"/>
      <c r="L43" s="15" t="n"/>
      <c r="M43" s="15" t="n"/>
      <c r="N43" s="15" t="n"/>
      <c r="O43" s="15" t="n"/>
      <c r="P43" s="15" t="n"/>
      <c r="Q43" s="15" t="n"/>
    </row>
    <row r="44">
      <c r="A44" s="15" t="n"/>
      <c r="B44" s="15" t="n"/>
      <c r="C44" s="15" t="n"/>
      <c r="D44" s="15" t="n"/>
      <c r="E44" s="15" t="n"/>
      <c r="F44" s="15" t="n"/>
      <c r="G44" s="15" t="n"/>
      <c r="H44" s="15" t="n"/>
      <c r="I44" s="15" t="n"/>
      <c r="J44" s="15" t="n"/>
      <c r="K44" s="15" t="n"/>
      <c r="L44" s="15" t="n"/>
      <c r="M44" s="15" t="n"/>
      <c r="N44" s="15" t="n"/>
      <c r="O44" s="15" t="n"/>
      <c r="P44" s="15" t="n"/>
      <c r="Q44" s="15" t="n"/>
    </row>
    <row r="45">
      <c r="A45" s="15" t="n"/>
      <c r="B45" s="15" t="n"/>
      <c r="C45" s="15" t="n"/>
      <c r="D45" s="15" t="n"/>
      <c r="E45" s="15" t="n"/>
      <c r="F45" s="15" t="n"/>
      <c r="G45" s="15" t="n"/>
      <c r="H45" s="15" t="n"/>
      <c r="I45" s="15" t="n"/>
      <c r="J45" s="15" t="n"/>
      <c r="K45" s="15" t="n"/>
      <c r="L45" s="15" t="n"/>
      <c r="M45" s="15" t="n"/>
      <c r="N45" s="15" t="n"/>
      <c r="O45" s="15" t="n"/>
      <c r="P45" s="15" t="n"/>
      <c r="Q45" s="15" t="n"/>
    </row>
    <row r="46">
      <c r="A46" s="15" t="n"/>
      <c r="B46" s="15" t="n"/>
      <c r="C46" s="15" t="n"/>
      <c r="D46" s="15" t="n"/>
      <c r="E46" s="15" t="n"/>
      <c r="F46" s="15" t="n"/>
      <c r="G46" s="15" t="n"/>
      <c r="H46" s="15" t="n"/>
      <c r="I46" s="15" t="n"/>
      <c r="J46" s="15" t="n"/>
      <c r="K46" s="15" t="n"/>
      <c r="L46" s="15" t="n"/>
      <c r="M46" s="15" t="n"/>
      <c r="N46" s="15" t="n"/>
      <c r="O46" s="15" t="n"/>
      <c r="P46" s="15" t="n"/>
      <c r="Q46" s="15" t="n"/>
    </row>
    <row r="47">
      <c r="A47" s="15" t="n"/>
      <c r="B47" s="15" t="n"/>
      <c r="C47" s="15" t="n"/>
      <c r="D47" s="15" t="n"/>
      <c r="E47" s="15" t="n"/>
      <c r="F47" s="15" t="n"/>
      <c r="G47" s="15" t="n"/>
      <c r="H47" s="15" t="n"/>
      <c r="I47" s="15" t="n"/>
      <c r="J47" s="15" t="n"/>
      <c r="K47" s="15" t="n"/>
      <c r="L47" s="15" t="n"/>
      <c r="M47" s="15" t="n"/>
      <c r="N47" s="15" t="n"/>
      <c r="O47" s="15" t="n"/>
      <c r="P47" s="15" t="n"/>
      <c r="Q47" s="15" t="n"/>
    </row>
    <row r="48">
      <c r="A48" s="15" t="n"/>
      <c r="B48" s="15" t="n"/>
      <c r="C48" s="15" t="n"/>
      <c r="D48" s="15" t="n"/>
      <c r="E48" s="15" t="n"/>
      <c r="F48" s="15" t="n"/>
      <c r="G48" s="15" t="n"/>
      <c r="H48" s="15" t="n"/>
      <c r="I48" s="15" t="n"/>
      <c r="J48" s="15" t="n"/>
      <c r="K48" s="15" t="n"/>
      <c r="L48" s="15" t="n"/>
      <c r="M48" s="15" t="n"/>
      <c r="N48" s="15" t="n"/>
      <c r="O48" s="15" t="n"/>
      <c r="P48" s="15" t="n"/>
      <c r="Q48" s="15" t="n"/>
    </row>
    <row r="49">
      <c r="A49" s="15" t="n"/>
      <c r="B49" s="15" t="n"/>
      <c r="C49" s="15" t="n"/>
      <c r="D49" s="15" t="n"/>
      <c r="E49" s="15" t="n"/>
      <c r="F49" s="15" t="n"/>
      <c r="G49" s="15" t="n"/>
      <c r="H49" s="15" t="n"/>
      <c r="I49" s="15" t="n"/>
      <c r="J49" s="15" t="n"/>
      <c r="K49" s="15" t="n"/>
      <c r="L49" s="15" t="n"/>
      <c r="M49" s="15" t="n"/>
      <c r="N49" s="15" t="n"/>
      <c r="O49" s="15" t="n"/>
      <c r="P49" s="15" t="n"/>
      <c r="Q49" s="15" t="n"/>
    </row>
    <row r="50">
      <c r="A50" s="15" t="n"/>
      <c r="B50" s="15" t="n"/>
      <c r="C50" s="15" t="n"/>
      <c r="D50" s="15" t="n"/>
      <c r="E50" s="15" t="n"/>
      <c r="F50" s="15" t="n"/>
      <c r="G50" s="15" t="n"/>
      <c r="H50" s="15" t="n"/>
      <c r="I50" s="15" t="n"/>
      <c r="J50" s="15" t="n"/>
      <c r="K50" s="15" t="n"/>
      <c r="L50" s="15" t="n"/>
      <c r="M50" s="15" t="n"/>
      <c r="N50" s="15" t="n"/>
      <c r="O50" s="15" t="n"/>
      <c r="P50" s="15" t="n"/>
      <c r="Q50" s="15" t="n"/>
    </row>
    <row r="51">
      <c r="A51" s="15" t="n"/>
      <c r="B51" s="15" t="n"/>
      <c r="C51" s="15" t="n"/>
      <c r="D51" s="15" t="n"/>
      <c r="E51" s="15" t="n"/>
      <c r="F51" s="15" t="n"/>
      <c r="G51" s="15" t="n"/>
      <c r="H51" s="15" t="n"/>
      <c r="I51" s="15" t="n"/>
      <c r="J51" s="15" t="n"/>
      <c r="K51" s="15" t="n"/>
      <c r="L51" s="15" t="n"/>
      <c r="M51" s="15" t="n"/>
      <c r="N51" s="15" t="n"/>
      <c r="O51" s="15" t="n"/>
      <c r="P51" s="15" t="n"/>
      <c r="Q51" s="15" t="n"/>
    </row>
    <row r="52">
      <c r="A52" s="15" t="n"/>
      <c r="B52" s="15" t="n"/>
      <c r="C52" s="15" t="n"/>
      <c r="D52" s="15" t="n"/>
      <c r="E52" s="15" t="n"/>
      <c r="F52" s="15" t="n"/>
      <c r="G52" s="15" t="n"/>
      <c r="H52" s="15" t="n"/>
      <c r="I52" s="15" t="n"/>
      <c r="J52" s="15" t="n"/>
      <c r="K52" s="15" t="n"/>
      <c r="L52" s="15" t="n"/>
      <c r="M52" s="15" t="n"/>
      <c r="N52" s="15" t="n"/>
      <c r="O52" s="15" t="n"/>
      <c r="P52" s="15" t="n"/>
      <c r="Q52" s="15" t="n"/>
    </row>
    <row r="53">
      <c r="A53" s="15" t="n"/>
      <c r="B53" s="15" t="n"/>
      <c r="C53" s="15" t="n"/>
      <c r="D53" s="15" t="n"/>
      <c r="E53" s="15" t="n"/>
      <c r="F53" s="15" t="n"/>
      <c r="G53" s="15" t="n"/>
      <c r="H53" s="15" t="n"/>
      <c r="I53" s="15" t="n"/>
      <c r="J53" s="15" t="n"/>
      <c r="K53" s="15" t="n"/>
      <c r="L53" s="15" t="n"/>
      <c r="M53" s="15" t="n"/>
      <c r="N53" s="15" t="n"/>
      <c r="O53" s="15" t="n"/>
      <c r="P53" s="15" t="n"/>
      <c r="Q53" s="15" t="n"/>
    </row>
    <row r="54">
      <c r="A54" s="15" t="n"/>
      <c r="B54" s="15" t="n"/>
      <c r="C54" s="15" t="n"/>
      <c r="D54" s="15" t="n"/>
      <c r="E54" s="15" t="n"/>
      <c r="F54" s="15" t="n"/>
      <c r="G54" s="15" t="n"/>
      <c r="H54" s="15" t="n"/>
      <c r="I54" s="15" t="n"/>
      <c r="J54" s="15" t="n"/>
      <c r="K54" s="15" t="n"/>
      <c r="L54" s="15" t="n"/>
      <c r="M54" s="15" t="n"/>
      <c r="N54" s="15" t="n"/>
      <c r="O54" s="15" t="n"/>
      <c r="P54" s="15" t="n"/>
      <c r="Q54" s="15" t="n"/>
    </row>
    <row r="55">
      <c r="A55" s="15" t="n"/>
      <c r="B55" s="15" t="n"/>
      <c r="C55" s="15" t="n"/>
      <c r="D55" s="15" t="n"/>
      <c r="E55" s="15" t="n"/>
      <c r="F55" s="15" t="n"/>
      <c r="G55" s="15" t="n"/>
      <c r="H55" s="15" t="n"/>
      <c r="I55" s="15" t="n"/>
      <c r="J55" s="15" t="n"/>
      <c r="K55" s="15" t="n"/>
      <c r="L55" s="15" t="n"/>
      <c r="M55" s="15" t="n"/>
      <c r="N55" s="15" t="n"/>
      <c r="O55" s="15" t="n"/>
      <c r="P55" s="15" t="n"/>
      <c r="Q55" s="15" t="n"/>
    </row>
  </sheetData>
  <mergeCells count="3">
    <mergeCell ref="A3:Q3"/>
    <mergeCell ref="A2:Q2"/>
    <mergeCell ref="A1:Q1"/>
  </mergeCells>
  <dataValidations count="4">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"v4.0,v3.1,Both,Unknown"</formula1>
    </dataValidation>
    <dataValidation sqref="F6 F7 F8 F9 F10 F11 F12 F13 F14 F15 F16 F17 F18 F19 F20 F21 F22 F23 F24 F25 F26 F27 F28 F29 F30 F31 F32 F33 F34 F35 F36 F37 F38 F39 F40 F41 F42 F43 F44 F45 F46 F47 F48 F49 F50 F51 F52 F53 F54 F55 G6 G7 G8 G9 G10 G11 G12 G13 G14 G15 G16 G17 G18 G19 G20 G21 G22 G23 G24 G25 G26 G27 G28 G29 G30 G31 G32 G33 G34 G35 G36 G37 G38 G39 G40 G41 G42 G43 G44 G45 G46 G47 G48 G49 G50 G51 G52 G53 G54 G55 H6 H7 H8 H9 H10 H11 H12 H13 H14 H15 H16 H17 H18 H19 H20 H21 H22 H23 H24 H25 H26 H27 H28 H29 H30 H31 H32 H33 H34 H35 H36 H37 H38 H39 H40 H41 H42 H43 H44 H45 H46 H47 H48 H49 H50 H51 H52 H53 H54 H55" showDropDown="0" showInputMessage="0" showErrorMessage="0" allowBlank="1" type="list">
      <formula1>"YES,NO,Unknown"</formula1>
    </dataValidation>
    <dataValidation sqref="O6 O7 O8 O9 O10 O11 O12 O13 O14 O15 O16 O17 O18 O19 O20 O21 O22 O23 O24 O25 O26 O27 O28 O29 O30 O31 O32 O33 O34 O35 O36 O37 O38 O39 O40 O41 O42 O43 O44 O45 O46 O47 O48 O49 O50 O51 O52 O53 O54 O55" showDropDown="0" showInputMessage="0" showErrorMessage="0" allowBlank="1" type="list">
      <formula1>"Critical,High,Medium,Low,None"</formula1>
    </dataValidation>
    <dataValidation sqref="P6 P7 P8 P9 P10 P11 P12 P13 P14 P15 P16 P17 P18 P19 P20 P21 P22 P23 P24 P25 P26 P27 P28 P29 P30 P31 P32 P33 P34 P35 P36 P37 P38 P39 P40 P41 P42 P43 P44 P45 P46 P47 P48 P49 P50 P51 P52 P53 P54 P55" showDropDown="0" showInputMessage="0" showErrorMessage="0" allowBlank="1" type="list">
      <formula1>"Correlated,Partial,Not Correlated"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2" customWidth="1" min="1" max="1"/>
    <col width="14" customWidth="1" min="2" max="2"/>
    <col width="36" customWidth="1" min="3" max="3"/>
    <col width="16" customWidth="1" min="4" max="4"/>
    <col width="20" customWidth="1" min="5" max="5"/>
    <col width="14" customWidth="1" min="6" max="6"/>
    <col width="16" customWidth="1" min="7" max="7"/>
    <col width="24" customWidth="1" min="8" max="8"/>
    <col width="18" customWidth="1" min="9" max="9"/>
    <col width="30" customWidth="1" min="10" max="10"/>
  </cols>
  <sheetData>
    <row r="1" ht="35" customHeight="1">
      <c r="A1" s="11" t="inlineStr">
        <is>
          <t>ISMS-IMP-A.8.8.3  —  KEV IMPACT ASSESSMENT</t>
        </is>
      </c>
    </row>
    <row r="2">
      <c r="A2" s="12" t="inlineStr">
        <is>
          <t>ISO/IEC 27001:2022 — Control A.8.8: Management of Technical Vulnerabilities</t>
        </is>
      </c>
    </row>
    <row r="3">
      <c r="A3" s="6" t="n"/>
    </row>
    <row r="4">
      <c r="A4" s="13" t="inlineStr">
        <is>
          <t>KEV_ID</t>
        </is>
      </c>
      <c r="B4" s="13" t="inlineStr">
        <is>
          <t>CVE_ID</t>
        </is>
      </c>
      <c r="C4" s="13" t="inlineStr">
        <is>
          <t>Vulnerability_Name</t>
        </is>
      </c>
      <c r="D4" s="13" t="inlineStr">
        <is>
          <t>Vendor</t>
        </is>
      </c>
      <c r="E4" s="13" t="inlineStr">
        <is>
          <t>Product</t>
        </is>
      </c>
      <c r="F4" s="13" t="inlineStr">
        <is>
          <t>CISA_Due_Date</t>
        </is>
      </c>
      <c r="G4" s="13" t="inlineStr">
        <is>
          <t>Remediation_Status</t>
        </is>
      </c>
      <c r="H4" s="13" t="inlineStr">
        <is>
          <t>Affected_Systems</t>
        </is>
      </c>
      <c r="I4" s="13" t="inlineStr">
        <is>
          <t>Workaround_Available</t>
        </is>
      </c>
      <c r="J4" s="13" t="inlineStr">
        <is>
          <t>Notes</t>
        </is>
      </c>
    </row>
    <row r="5">
      <c r="A5" s="14" t="inlineStr">
        <is>
          <t>KEV-001</t>
        </is>
      </c>
      <c r="B5" s="14" t="inlineStr">
        <is>
          <t>CVE-2024-12345</t>
        </is>
      </c>
      <c r="C5" s="14" t="inlineStr">
        <is>
          <t>Vendor X Remote Code Execution via API Endpoint</t>
        </is>
      </c>
      <c r="D5" s="14" t="inlineStr">
        <is>
          <t>Vendor X</t>
        </is>
      </c>
      <c r="E5" s="14" t="inlineStr">
        <is>
          <t>Product Suite 2024</t>
        </is>
      </c>
      <c r="F5" s="14" t="inlineStr">
        <is>
          <t>15.01.2026</t>
        </is>
      </c>
      <c r="G5" s="14" t="inlineStr">
        <is>
          <t>In Progress</t>
        </is>
      </c>
      <c r="H5" s="14" t="inlineStr">
        <is>
          <t>web-prod-01, web-prod-02</t>
        </is>
      </c>
      <c r="I5" s="14" t="inlineStr">
        <is>
          <t>Yes</t>
        </is>
      </c>
      <c r="J5" s="14" t="inlineStr">
        <is>
          <t>Patch available — testing in staging environment</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3">
    <mergeCell ref="A1:J1"/>
    <mergeCell ref="A3:J3"/>
    <mergeCell ref="A2:J2"/>
  </mergeCells>
  <dataValidations count="2">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"Not Started,In Progress,Complete,Risk Accepted"</formula1>
    </dataValidation>
    <dataValidation sqref="I6 I7 I8 I9 I10 I11 I12 I13 I14 I15 I16 I17 I18 I19 I20 I21 I22 I23 I24 I25 I26 I27 I28 I29 I30 I31 I32 I33 I34 I35 I36 I37 I38 I39 I40 I41 I42 I43 I44 I45 I46 I47 I48 I49 I50 I51 I52 I53 I54 I55" showDropDown="0" showInputMessage="0" showErrorMessage="0" allowBlank="1" type="list">
      <formula1>"Yes,No,Partial"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5"/>
  <sheetViews>
    <sheetView showGridLines="0" workbookViewId="0">
      <pane ySplit="4" topLeftCell="A5" activePane="bottomLeft" state="frozen"/>
      <selection pane="bottomLeft" activeCell="A1" sqref="A1"/>
    </sheetView>
  </sheetViews>
  <sheetFormatPr baseColWidth="8" defaultRowHeight="15"/>
  <cols>
    <col width="14" customWidth="1" min="1" max="1"/>
    <col width="36" customWidth="1" min="2" max="2"/>
    <col width="18" customWidth="1" min="3" max="3"/>
    <col width="18" customWidth="1" min="4" max="4"/>
    <col width="20" customWidth="1" min="5" max="5"/>
    <col width="14" customWidth="1" min="6" max="6"/>
    <col width="14" customWidth="1" min="7" max="7"/>
    <col width="24" customWidth="1" min="8" max="8"/>
    <col width="20" customWidth="1" min="9" max="9"/>
    <col width="14" customWidth="1" min="10" max="10"/>
    <col width="24" customWidth="1" min="11" max="11"/>
    <col width="16" customWidth="1" min="12" max="12"/>
    <col width="30" customWidth="1" min="13" max="13"/>
  </cols>
  <sheetData>
    <row r="1" ht="35" customHeight="1">
      <c r="A1" s="11" t="inlineStr">
        <is>
          <t>ISMS-IMP-A.8.8.3  —  ACTIVE EXPLOITATION</t>
        </is>
      </c>
    </row>
    <row r="2">
      <c r="A2" s="12" t="inlineStr">
        <is>
          <t>ISO/IEC 27001:2022 — Control A.8.8: Management of Technical Vulnerabilities</t>
        </is>
      </c>
    </row>
    <row r="3">
      <c r="A3" s="6" t="n"/>
    </row>
    <row r="4">
      <c r="A4" s="13" t="inlineStr">
        <is>
          <t>CVE_ID</t>
        </is>
      </c>
      <c r="B4" s="13" t="inlineStr">
        <is>
          <t>CVE_Description</t>
        </is>
      </c>
      <c r="C4" s="13" t="inlineStr">
        <is>
          <t>Exploit_Type</t>
        </is>
      </c>
      <c r="D4" s="13" t="inlineStr">
        <is>
          <t>Threat_Actor</t>
        </is>
      </c>
      <c r="E4" s="13" t="inlineStr">
        <is>
          <t>Campaign_Name</t>
        </is>
      </c>
      <c r="F4" s="13" t="inlineStr">
        <is>
          <t>First_Exploited</t>
        </is>
      </c>
      <c r="G4" s="13" t="inlineStr">
        <is>
          <t>Last_Activity</t>
        </is>
      </c>
      <c r="H4" s="13" t="inlineStr">
        <is>
          <t>Affected_Systems</t>
        </is>
      </c>
      <c r="I4" s="13" t="inlineStr">
        <is>
          <t>Detection_Method</t>
        </is>
      </c>
      <c r="J4" s="13" t="inlineStr">
        <is>
          <t>Detection_Date</t>
        </is>
      </c>
      <c r="K4" s="13" t="inlineStr">
        <is>
          <t>Response_Action</t>
        </is>
      </c>
      <c r="L4" s="13" t="inlineStr">
        <is>
          <t>Org_Impact</t>
        </is>
      </c>
      <c r="M4" s="13" t="inlineStr">
        <is>
          <t>Notes</t>
        </is>
      </c>
    </row>
    <row r="5">
      <c r="A5" s="14" t="inlineStr">
        <is>
          <t>CVE-2024-12345</t>
        </is>
      </c>
      <c r="B5" s="14" t="inlineStr">
        <is>
          <t>Remote code execution via API endpoint — actively exploited in the wild</t>
        </is>
      </c>
      <c r="C5" s="14" t="inlineStr">
        <is>
          <t>RCE via HTTP POST</t>
        </is>
      </c>
      <c r="D5" s="14" t="inlineStr">
        <is>
          <t>APT29</t>
        </is>
      </c>
      <c r="E5" s="14" t="inlineStr">
        <is>
          <t>Campaign-Alpha</t>
        </is>
      </c>
      <c r="F5" s="14" t="inlineStr">
        <is>
          <t>15.12.2025</t>
        </is>
      </c>
      <c r="G5" s="14" t="inlineStr">
        <is>
          <t>01.01.2026</t>
        </is>
      </c>
      <c r="H5" s="14" t="inlineStr">
        <is>
          <t>web-prod-01</t>
        </is>
      </c>
      <c r="I5" s="14" t="inlineStr">
        <is>
          <t>SIEM Alert / CISA Advisory</t>
        </is>
      </c>
      <c r="J5" s="14" t="inlineStr">
        <is>
          <t>01.01.2026</t>
        </is>
      </c>
      <c r="K5" s="14" t="inlineStr">
        <is>
          <t>Emergency patch applied — monitoring for indicators</t>
        </is>
      </c>
      <c r="L5" s="14" t="inlineStr">
        <is>
          <t>Resolved</t>
        </is>
      </c>
      <c r="M5" s="14" t="inlineStr">
        <is>
          <t>Patch deployed 01.01.2026 — no indicators of successful exploitation</t>
        </is>
      </c>
    </row>
    <row r="6">
      <c r="A6" s="15" t="n"/>
      <c r="B6" s="15" t="n"/>
      <c r="C6" s="15" t="n"/>
      <c r="D6" s="15" t="n"/>
      <c r="E6" s="15" t="n"/>
      <c r="F6" s="15" t="n"/>
      <c r="G6" s="15" t="n"/>
      <c r="H6" s="15" t="n"/>
      <c r="I6" s="15" t="n"/>
      <c r="J6" s="15" t="n"/>
      <c r="K6" s="15" t="n"/>
      <c r="L6" s="15" t="n"/>
      <c r="M6" s="15" t="n"/>
    </row>
    <row r="7">
      <c r="A7" s="15" t="n"/>
      <c r="B7" s="15" t="n"/>
      <c r="C7" s="15" t="n"/>
      <c r="D7" s="15" t="n"/>
      <c r="E7" s="15" t="n"/>
      <c r="F7" s="15" t="n"/>
      <c r="G7" s="15" t="n"/>
      <c r="H7" s="15" t="n"/>
      <c r="I7" s="15" t="n"/>
      <c r="J7" s="15" t="n"/>
      <c r="K7" s="15" t="n"/>
      <c r="L7" s="15" t="n"/>
      <c r="M7" s="15" t="n"/>
    </row>
    <row r="8">
      <c r="A8" s="15" t="n"/>
      <c r="B8" s="15" t="n"/>
      <c r="C8" s="15" t="n"/>
      <c r="D8" s="15" t="n"/>
      <c r="E8" s="15" t="n"/>
      <c r="F8" s="15" t="n"/>
      <c r="G8" s="15" t="n"/>
      <c r="H8" s="15" t="n"/>
      <c r="I8" s="15" t="n"/>
      <c r="J8" s="15" t="n"/>
      <c r="K8" s="15" t="n"/>
      <c r="L8" s="15" t="n"/>
      <c r="M8" s="15" t="n"/>
    </row>
    <row r="9">
      <c r="A9" s="15" t="n"/>
      <c r="B9" s="15" t="n"/>
      <c r="C9" s="15" t="n"/>
      <c r="D9" s="15" t="n"/>
      <c r="E9" s="15" t="n"/>
      <c r="F9" s="15" t="n"/>
      <c r="G9" s="15" t="n"/>
      <c r="H9" s="15" t="n"/>
      <c r="I9" s="15" t="n"/>
      <c r="J9" s="15" t="n"/>
      <c r="K9" s="15" t="n"/>
      <c r="L9" s="15" t="n"/>
      <c r="M9" s="15" t="n"/>
    </row>
    <row r="10">
      <c r="A10" s="15" t="n"/>
      <c r="B10" s="15" t="n"/>
      <c r="C10" s="15" t="n"/>
      <c r="D10" s="15" t="n"/>
      <c r="E10" s="15" t="n"/>
      <c r="F10" s="15" t="n"/>
      <c r="G10" s="15" t="n"/>
      <c r="H10" s="15" t="n"/>
      <c r="I10" s="15" t="n"/>
      <c r="J10" s="15" t="n"/>
      <c r="K10" s="15" t="n"/>
      <c r="L10" s="15" t="n"/>
      <c r="M10" s="15" t="n"/>
    </row>
    <row r="11">
      <c r="A11" s="15" t="n"/>
      <c r="B11" s="15" t="n"/>
      <c r="C11" s="15" t="n"/>
      <c r="D11" s="15" t="n"/>
      <c r="E11" s="15" t="n"/>
      <c r="F11" s="15" t="n"/>
      <c r="G11" s="15" t="n"/>
      <c r="H11" s="15" t="n"/>
      <c r="I11" s="15" t="n"/>
      <c r="J11" s="15" t="n"/>
      <c r="K11" s="15" t="n"/>
      <c r="L11" s="15" t="n"/>
      <c r="M11" s="15" t="n"/>
    </row>
    <row r="12">
      <c r="A12" s="15" t="n"/>
      <c r="B12" s="15" t="n"/>
      <c r="C12" s="15" t="n"/>
      <c r="D12" s="15" t="n"/>
      <c r="E12" s="15" t="n"/>
      <c r="F12" s="15" t="n"/>
      <c r="G12" s="15" t="n"/>
      <c r="H12" s="15" t="n"/>
      <c r="I12" s="15" t="n"/>
      <c r="J12" s="15" t="n"/>
      <c r="K12" s="15" t="n"/>
      <c r="L12" s="15" t="n"/>
      <c r="M12" s="15" t="n"/>
    </row>
    <row r="13">
      <c r="A13" s="15" t="n"/>
      <c r="B13" s="15" t="n"/>
      <c r="C13" s="15" t="n"/>
      <c r="D13" s="15" t="n"/>
      <c r="E13" s="15" t="n"/>
      <c r="F13" s="15" t="n"/>
      <c r="G13" s="15" t="n"/>
      <c r="H13" s="15" t="n"/>
      <c r="I13" s="15" t="n"/>
      <c r="J13" s="15" t="n"/>
      <c r="K13" s="15" t="n"/>
      <c r="L13" s="15" t="n"/>
      <c r="M13" s="15" t="n"/>
    </row>
    <row r="14">
      <c r="A14" s="15" t="n"/>
      <c r="B14" s="15" t="n"/>
      <c r="C14" s="15" t="n"/>
      <c r="D14" s="15" t="n"/>
      <c r="E14" s="15" t="n"/>
      <c r="F14" s="15" t="n"/>
      <c r="G14" s="15" t="n"/>
      <c r="H14" s="15" t="n"/>
      <c r="I14" s="15" t="n"/>
      <c r="J14" s="15" t="n"/>
      <c r="K14" s="15" t="n"/>
      <c r="L14" s="15" t="n"/>
      <c r="M14" s="15" t="n"/>
    </row>
    <row r="15">
      <c r="A15" s="15" t="n"/>
      <c r="B15" s="15" t="n"/>
      <c r="C15" s="15" t="n"/>
      <c r="D15" s="15" t="n"/>
      <c r="E15" s="15" t="n"/>
      <c r="F15" s="15" t="n"/>
      <c r="G15" s="15" t="n"/>
      <c r="H15" s="15" t="n"/>
      <c r="I15" s="15" t="n"/>
      <c r="J15" s="15" t="n"/>
      <c r="K15" s="15" t="n"/>
      <c r="L15" s="15" t="n"/>
      <c r="M15" s="15" t="n"/>
    </row>
    <row r="16">
      <c r="A16" s="15" t="n"/>
      <c r="B16" s="15" t="n"/>
      <c r="C16" s="15" t="n"/>
      <c r="D16" s="15" t="n"/>
      <c r="E16" s="15" t="n"/>
      <c r="F16" s="15" t="n"/>
      <c r="G16" s="15" t="n"/>
      <c r="H16" s="15" t="n"/>
      <c r="I16" s="15" t="n"/>
      <c r="J16" s="15" t="n"/>
      <c r="K16" s="15" t="n"/>
      <c r="L16" s="15" t="n"/>
      <c r="M16" s="15" t="n"/>
    </row>
    <row r="17">
      <c r="A17" s="15" t="n"/>
      <c r="B17" s="15" t="n"/>
      <c r="C17" s="15" t="n"/>
      <c r="D17" s="15" t="n"/>
      <c r="E17" s="15" t="n"/>
      <c r="F17" s="15" t="n"/>
      <c r="G17" s="15" t="n"/>
      <c r="H17" s="15" t="n"/>
      <c r="I17" s="15" t="n"/>
      <c r="J17" s="15" t="n"/>
      <c r="K17" s="15" t="n"/>
      <c r="L17" s="15" t="n"/>
      <c r="M17" s="15" t="n"/>
    </row>
    <row r="18">
      <c r="A18" s="15" t="n"/>
      <c r="B18" s="15" t="n"/>
      <c r="C18" s="15" t="n"/>
      <c r="D18" s="15" t="n"/>
      <c r="E18" s="15" t="n"/>
      <c r="F18" s="15" t="n"/>
      <c r="G18" s="15" t="n"/>
      <c r="H18" s="15" t="n"/>
      <c r="I18" s="15" t="n"/>
      <c r="J18" s="15" t="n"/>
      <c r="K18" s="15" t="n"/>
      <c r="L18" s="15" t="n"/>
      <c r="M18" s="15" t="n"/>
    </row>
    <row r="19">
      <c r="A19" s="15" t="n"/>
      <c r="B19" s="15" t="n"/>
      <c r="C19" s="15" t="n"/>
      <c r="D19" s="15" t="n"/>
      <c r="E19" s="15" t="n"/>
      <c r="F19" s="15" t="n"/>
      <c r="G19" s="15" t="n"/>
      <c r="H19" s="15" t="n"/>
      <c r="I19" s="15" t="n"/>
      <c r="J19" s="15" t="n"/>
      <c r="K19" s="15" t="n"/>
      <c r="L19" s="15" t="n"/>
      <c r="M19" s="15" t="n"/>
    </row>
    <row r="20">
      <c r="A20" s="15" t="n"/>
      <c r="B20" s="15" t="n"/>
      <c r="C20" s="15" t="n"/>
      <c r="D20" s="15" t="n"/>
      <c r="E20" s="15" t="n"/>
      <c r="F20" s="15" t="n"/>
      <c r="G20" s="15" t="n"/>
      <c r="H20" s="15" t="n"/>
      <c r="I20" s="15" t="n"/>
      <c r="J20" s="15" t="n"/>
      <c r="K20" s="15" t="n"/>
      <c r="L20" s="15" t="n"/>
      <c r="M20" s="15" t="n"/>
    </row>
    <row r="21">
      <c r="A21" s="15" t="n"/>
      <c r="B21" s="15" t="n"/>
      <c r="C21" s="15" t="n"/>
      <c r="D21" s="15" t="n"/>
      <c r="E21" s="15" t="n"/>
      <c r="F21" s="15" t="n"/>
      <c r="G21" s="15" t="n"/>
      <c r="H21" s="15" t="n"/>
      <c r="I21" s="15" t="n"/>
      <c r="J21" s="15" t="n"/>
      <c r="K21" s="15" t="n"/>
      <c r="L21" s="15" t="n"/>
      <c r="M21" s="15" t="n"/>
    </row>
    <row r="22">
      <c r="A22" s="15" t="n"/>
      <c r="B22" s="15" t="n"/>
      <c r="C22" s="15" t="n"/>
      <c r="D22" s="15" t="n"/>
      <c r="E22" s="15" t="n"/>
      <c r="F22" s="15" t="n"/>
      <c r="G22" s="15" t="n"/>
      <c r="H22" s="15" t="n"/>
      <c r="I22" s="15" t="n"/>
      <c r="J22" s="15" t="n"/>
      <c r="K22" s="15" t="n"/>
      <c r="L22" s="15" t="n"/>
      <c r="M22" s="15" t="n"/>
    </row>
    <row r="23">
      <c r="A23" s="15" t="n"/>
      <c r="B23" s="15" t="n"/>
      <c r="C23" s="15" t="n"/>
      <c r="D23" s="15" t="n"/>
      <c r="E23" s="15" t="n"/>
      <c r="F23" s="15" t="n"/>
      <c r="G23" s="15" t="n"/>
      <c r="H23" s="15" t="n"/>
      <c r="I23" s="15" t="n"/>
      <c r="J23" s="15" t="n"/>
      <c r="K23" s="15" t="n"/>
      <c r="L23" s="15" t="n"/>
      <c r="M23" s="15" t="n"/>
    </row>
    <row r="24">
      <c r="A24" s="15" t="n"/>
      <c r="B24" s="15" t="n"/>
      <c r="C24" s="15" t="n"/>
      <c r="D24" s="15" t="n"/>
      <c r="E24" s="15" t="n"/>
      <c r="F24" s="15" t="n"/>
      <c r="G24" s="15" t="n"/>
      <c r="H24" s="15" t="n"/>
      <c r="I24" s="15" t="n"/>
      <c r="J24" s="15" t="n"/>
      <c r="K24" s="15" t="n"/>
      <c r="L24" s="15" t="n"/>
      <c r="M24" s="15" t="n"/>
    </row>
    <row r="25">
      <c r="A25" s="15" t="n"/>
      <c r="B25" s="15" t="n"/>
      <c r="C25" s="15" t="n"/>
      <c r="D25" s="15" t="n"/>
      <c r="E25" s="15" t="n"/>
      <c r="F25" s="15" t="n"/>
      <c r="G25" s="15" t="n"/>
      <c r="H25" s="15" t="n"/>
      <c r="I25" s="15" t="n"/>
      <c r="J25" s="15" t="n"/>
      <c r="K25" s="15" t="n"/>
      <c r="L25" s="15" t="n"/>
      <c r="M25" s="15" t="n"/>
    </row>
    <row r="26">
      <c r="A26" s="15" t="n"/>
      <c r="B26" s="15" t="n"/>
      <c r="C26" s="15" t="n"/>
      <c r="D26" s="15" t="n"/>
      <c r="E26" s="15" t="n"/>
      <c r="F26" s="15" t="n"/>
      <c r="G26" s="15" t="n"/>
      <c r="H26" s="15" t="n"/>
      <c r="I26" s="15" t="n"/>
      <c r="J26" s="15" t="n"/>
      <c r="K26" s="15" t="n"/>
      <c r="L26" s="15" t="n"/>
      <c r="M26" s="15" t="n"/>
    </row>
    <row r="27">
      <c r="A27" s="15" t="n"/>
      <c r="B27" s="15" t="n"/>
      <c r="C27" s="15" t="n"/>
      <c r="D27" s="15" t="n"/>
      <c r="E27" s="15" t="n"/>
      <c r="F27" s="15" t="n"/>
      <c r="G27" s="15" t="n"/>
      <c r="H27" s="15" t="n"/>
      <c r="I27" s="15" t="n"/>
      <c r="J27" s="15" t="n"/>
      <c r="K27" s="15" t="n"/>
      <c r="L27" s="15" t="n"/>
      <c r="M27" s="15" t="n"/>
    </row>
    <row r="28">
      <c r="A28" s="15" t="n"/>
      <c r="B28" s="15" t="n"/>
      <c r="C28" s="15" t="n"/>
      <c r="D28" s="15" t="n"/>
      <c r="E28" s="15" t="n"/>
      <c r="F28" s="15" t="n"/>
      <c r="G28" s="15" t="n"/>
      <c r="H28" s="15" t="n"/>
      <c r="I28" s="15" t="n"/>
      <c r="J28" s="15" t="n"/>
      <c r="K28" s="15" t="n"/>
      <c r="L28" s="15" t="n"/>
      <c r="M28" s="15" t="n"/>
    </row>
    <row r="29">
      <c r="A29" s="15" t="n"/>
      <c r="B29" s="15" t="n"/>
      <c r="C29" s="15" t="n"/>
      <c r="D29" s="15" t="n"/>
      <c r="E29" s="15" t="n"/>
      <c r="F29" s="15" t="n"/>
      <c r="G29" s="15" t="n"/>
      <c r="H29" s="15" t="n"/>
      <c r="I29" s="15" t="n"/>
      <c r="J29" s="15" t="n"/>
      <c r="K29" s="15" t="n"/>
      <c r="L29" s="15" t="n"/>
      <c r="M29" s="15" t="n"/>
    </row>
    <row r="30">
      <c r="A30" s="15" t="n"/>
      <c r="B30" s="15" t="n"/>
      <c r="C30" s="15" t="n"/>
      <c r="D30" s="15" t="n"/>
      <c r="E30" s="15" t="n"/>
      <c r="F30" s="15" t="n"/>
      <c r="G30" s="15" t="n"/>
      <c r="H30" s="15" t="n"/>
      <c r="I30" s="15" t="n"/>
      <c r="J30" s="15" t="n"/>
      <c r="K30" s="15" t="n"/>
      <c r="L30" s="15" t="n"/>
      <c r="M30" s="15" t="n"/>
    </row>
    <row r="31">
      <c r="A31" s="15" t="n"/>
      <c r="B31" s="15" t="n"/>
      <c r="C31" s="15" t="n"/>
      <c r="D31" s="15" t="n"/>
      <c r="E31" s="15" t="n"/>
      <c r="F31" s="15" t="n"/>
      <c r="G31" s="15" t="n"/>
      <c r="H31" s="15" t="n"/>
      <c r="I31" s="15" t="n"/>
      <c r="J31" s="15" t="n"/>
      <c r="K31" s="15" t="n"/>
      <c r="L31" s="15" t="n"/>
      <c r="M31" s="15" t="n"/>
    </row>
    <row r="32">
      <c r="A32" s="15" t="n"/>
      <c r="B32" s="15" t="n"/>
      <c r="C32" s="15" t="n"/>
      <c r="D32" s="15" t="n"/>
      <c r="E32" s="15" t="n"/>
      <c r="F32" s="15" t="n"/>
      <c r="G32" s="15" t="n"/>
      <c r="H32" s="15" t="n"/>
      <c r="I32" s="15" t="n"/>
      <c r="J32" s="15" t="n"/>
      <c r="K32" s="15" t="n"/>
      <c r="L32" s="15" t="n"/>
      <c r="M32" s="15" t="n"/>
    </row>
    <row r="33">
      <c r="A33" s="15" t="n"/>
      <c r="B33" s="15" t="n"/>
      <c r="C33" s="15" t="n"/>
      <c r="D33" s="15" t="n"/>
      <c r="E33" s="15" t="n"/>
      <c r="F33" s="15" t="n"/>
      <c r="G33" s="15" t="n"/>
      <c r="H33" s="15" t="n"/>
      <c r="I33" s="15" t="n"/>
      <c r="J33" s="15" t="n"/>
      <c r="K33" s="15" t="n"/>
      <c r="L33" s="15" t="n"/>
      <c r="M33" s="15" t="n"/>
    </row>
    <row r="34">
      <c r="A34" s="15" t="n"/>
      <c r="B34" s="15" t="n"/>
      <c r="C34" s="15" t="n"/>
      <c r="D34" s="15" t="n"/>
      <c r="E34" s="15" t="n"/>
      <c r="F34" s="15" t="n"/>
      <c r="G34" s="15" t="n"/>
      <c r="H34" s="15" t="n"/>
      <c r="I34" s="15" t="n"/>
      <c r="J34" s="15" t="n"/>
      <c r="K34" s="15" t="n"/>
      <c r="L34" s="15" t="n"/>
      <c r="M34" s="15" t="n"/>
    </row>
    <row r="35">
      <c r="A35" s="15" t="n"/>
      <c r="B35" s="15" t="n"/>
      <c r="C35" s="15" t="n"/>
      <c r="D35" s="15" t="n"/>
      <c r="E35" s="15" t="n"/>
      <c r="F35" s="15" t="n"/>
      <c r="G35" s="15" t="n"/>
      <c r="H35" s="15" t="n"/>
      <c r="I35" s="15" t="n"/>
      <c r="J35" s="15" t="n"/>
      <c r="K35" s="15" t="n"/>
      <c r="L35" s="15" t="n"/>
      <c r="M35" s="15" t="n"/>
    </row>
    <row r="36">
      <c r="A36" s="15" t="n"/>
      <c r="B36" s="15" t="n"/>
      <c r="C36" s="15" t="n"/>
      <c r="D36" s="15" t="n"/>
      <c r="E36" s="15" t="n"/>
      <c r="F36" s="15" t="n"/>
      <c r="G36" s="15" t="n"/>
      <c r="H36" s="15" t="n"/>
      <c r="I36" s="15" t="n"/>
      <c r="J36" s="15" t="n"/>
      <c r="K36" s="15" t="n"/>
      <c r="L36" s="15" t="n"/>
      <c r="M36" s="15" t="n"/>
    </row>
    <row r="37">
      <c r="A37" s="15" t="n"/>
      <c r="B37" s="15" t="n"/>
      <c r="C37" s="15" t="n"/>
      <c r="D37" s="15" t="n"/>
      <c r="E37" s="15" t="n"/>
      <c r="F37" s="15" t="n"/>
      <c r="G37" s="15" t="n"/>
      <c r="H37" s="15" t="n"/>
      <c r="I37" s="15" t="n"/>
      <c r="J37" s="15" t="n"/>
      <c r="K37" s="15" t="n"/>
      <c r="L37" s="15" t="n"/>
      <c r="M37" s="15" t="n"/>
    </row>
    <row r="38">
      <c r="A38" s="15" t="n"/>
      <c r="B38" s="15" t="n"/>
      <c r="C38" s="15" t="n"/>
      <c r="D38" s="15" t="n"/>
      <c r="E38" s="15" t="n"/>
      <c r="F38" s="15" t="n"/>
      <c r="G38" s="15" t="n"/>
      <c r="H38" s="15" t="n"/>
      <c r="I38" s="15" t="n"/>
      <c r="J38" s="15" t="n"/>
      <c r="K38" s="15" t="n"/>
      <c r="L38" s="15" t="n"/>
      <c r="M38" s="15" t="n"/>
    </row>
    <row r="39">
      <c r="A39" s="15" t="n"/>
      <c r="B39" s="15" t="n"/>
      <c r="C39" s="15" t="n"/>
      <c r="D39" s="15" t="n"/>
      <c r="E39" s="15" t="n"/>
      <c r="F39" s="15" t="n"/>
      <c r="G39" s="15" t="n"/>
      <c r="H39" s="15" t="n"/>
      <c r="I39" s="15" t="n"/>
      <c r="J39" s="15" t="n"/>
      <c r="K39" s="15" t="n"/>
      <c r="L39" s="15" t="n"/>
      <c r="M39" s="15" t="n"/>
    </row>
    <row r="40">
      <c r="A40" s="15" t="n"/>
      <c r="B40" s="15" t="n"/>
      <c r="C40" s="15" t="n"/>
      <c r="D40" s="15" t="n"/>
      <c r="E40" s="15" t="n"/>
      <c r="F40" s="15" t="n"/>
      <c r="G40" s="15" t="n"/>
      <c r="H40" s="15" t="n"/>
      <c r="I40" s="15" t="n"/>
      <c r="J40" s="15" t="n"/>
      <c r="K40" s="15" t="n"/>
      <c r="L40" s="15" t="n"/>
      <c r="M40" s="15" t="n"/>
    </row>
    <row r="41">
      <c r="A41" s="15" t="n"/>
      <c r="B41" s="15" t="n"/>
      <c r="C41" s="15" t="n"/>
      <c r="D41" s="15" t="n"/>
      <c r="E41" s="15" t="n"/>
      <c r="F41" s="15" t="n"/>
      <c r="G41" s="15" t="n"/>
      <c r="H41" s="15" t="n"/>
      <c r="I41" s="15" t="n"/>
      <c r="J41" s="15" t="n"/>
      <c r="K41" s="15" t="n"/>
      <c r="L41" s="15" t="n"/>
      <c r="M41" s="15" t="n"/>
    </row>
    <row r="42">
      <c r="A42" s="15" t="n"/>
      <c r="B42" s="15" t="n"/>
      <c r="C42" s="15" t="n"/>
      <c r="D42" s="15" t="n"/>
      <c r="E42" s="15" t="n"/>
      <c r="F42" s="15" t="n"/>
      <c r="G42" s="15" t="n"/>
      <c r="H42" s="15" t="n"/>
      <c r="I42" s="15" t="n"/>
      <c r="J42" s="15" t="n"/>
      <c r="K42" s="15" t="n"/>
      <c r="L42" s="15" t="n"/>
      <c r="M42" s="15" t="n"/>
    </row>
    <row r="43">
      <c r="A43" s="15" t="n"/>
      <c r="B43" s="15" t="n"/>
      <c r="C43" s="15" t="n"/>
      <c r="D43" s="15" t="n"/>
      <c r="E43" s="15" t="n"/>
      <c r="F43" s="15" t="n"/>
      <c r="G43" s="15" t="n"/>
      <c r="H43" s="15" t="n"/>
      <c r="I43" s="15" t="n"/>
      <c r="J43" s="15" t="n"/>
      <c r="K43" s="15" t="n"/>
      <c r="L43" s="15" t="n"/>
      <c r="M43" s="15" t="n"/>
    </row>
    <row r="44">
      <c r="A44" s="15" t="n"/>
      <c r="B44" s="15" t="n"/>
      <c r="C44" s="15" t="n"/>
      <c r="D44" s="15" t="n"/>
      <c r="E44" s="15" t="n"/>
      <c r="F44" s="15" t="n"/>
      <c r="G44" s="15" t="n"/>
      <c r="H44" s="15" t="n"/>
      <c r="I44" s="15" t="n"/>
      <c r="J44" s="15" t="n"/>
      <c r="K44" s="15" t="n"/>
      <c r="L44" s="15" t="n"/>
      <c r="M44" s="15" t="n"/>
    </row>
    <row r="45">
      <c r="A45" s="15" t="n"/>
      <c r="B45" s="15" t="n"/>
      <c r="C45" s="15" t="n"/>
      <c r="D45" s="15" t="n"/>
      <c r="E45" s="15" t="n"/>
      <c r="F45" s="15" t="n"/>
      <c r="G45" s="15" t="n"/>
      <c r="H45" s="15" t="n"/>
      <c r="I45" s="15" t="n"/>
      <c r="J45" s="15" t="n"/>
      <c r="K45" s="15" t="n"/>
      <c r="L45" s="15" t="n"/>
      <c r="M45" s="15" t="n"/>
    </row>
    <row r="46">
      <c r="A46" s="15" t="n"/>
      <c r="B46" s="15" t="n"/>
      <c r="C46" s="15" t="n"/>
      <c r="D46" s="15" t="n"/>
      <c r="E46" s="15" t="n"/>
      <c r="F46" s="15" t="n"/>
      <c r="G46" s="15" t="n"/>
      <c r="H46" s="15" t="n"/>
      <c r="I46" s="15" t="n"/>
      <c r="J46" s="15" t="n"/>
      <c r="K46" s="15" t="n"/>
      <c r="L46" s="15" t="n"/>
      <c r="M46" s="15" t="n"/>
    </row>
    <row r="47">
      <c r="A47" s="15" t="n"/>
      <c r="B47" s="15" t="n"/>
      <c r="C47" s="15" t="n"/>
      <c r="D47" s="15" t="n"/>
      <c r="E47" s="15" t="n"/>
      <c r="F47" s="15" t="n"/>
      <c r="G47" s="15" t="n"/>
      <c r="H47" s="15" t="n"/>
      <c r="I47" s="15" t="n"/>
      <c r="J47" s="15" t="n"/>
      <c r="K47" s="15" t="n"/>
      <c r="L47" s="15" t="n"/>
      <c r="M47" s="15" t="n"/>
    </row>
    <row r="48">
      <c r="A48" s="15" t="n"/>
      <c r="B48" s="15" t="n"/>
      <c r="C48" s="15" t="n"/>
      <c r="D48" s="15" t="n"/>
      <c r="E48" s="15" t="n"/>
      <c r="F48" s="15" t="n"/>
      <c r="G48" s="15" t="n"/>
      <c r="H48" s="15" t="n"/>
      <c r="I48" s="15" t="n"/>
      <c r="J48" s="15" t="n"/>
      <c r="K48" s="15" t="n"/>
      <c r="L48" s="15" t="n"/>
      <c r="M48" s="15" t="n"/>
    </row>
    <row r="49">
      <c r="A49" s="15" t="n"/>
      <c r="B49" s="15" t="n"/>
      <c r="C49" s="15" t="n"/>
      <c r="D49" s="15" t="n"/>
      <c r="E49" s="15" t="n"/>
      <c r="F49" s="15" t="n"/>
      <c r="G49" s="15" t="n"/>
      <c r="H49" s="15" t="n"/>
      <c r="I49" s="15" t="n"/>
      <c r="J49" s="15" t="n"/>
      <c r="K49" s="15" t="n"/>
      <c r="L49" s="15" t="n"/>
      <c r="M49" s="15" t="n"/>
    </row>
    <row r="50">
      <c r="A50" s="15" t="n"/>
      <c r="B50" s="15" t="n"/>
      <c r="C50" s="15" t="n"/>
      <c r="D50" s="15" t="n"/>
      <c r="E50" s="15" t="n"/>
      <c r="F50" s="15" t="n"/>
      <c r="G50" s="15" t="n"/>
      <c r="H50" s="15" t="n"/>
      <c r="I50" s="15" t="n"/>
      <c r="J50" s="15" t="n"/>
      <c r="K50" s="15" t="n"/>
      <c r="L50" s="15" t="n"/>
      <c r="M50" s="15" t="n"/>
    </row>
    <row r="51">
      <c r="A51" s="15" t="n"/>
      <c r="B51" s="15" t="n"/>
      <c r="C51" s="15" t="n"/>
      <c r="D51" s="15" t="n"/>
      <c r="E51" s="15" t="n"/>
      <c r="F51" s="15" t="n"/>
      <c r="G51" s="15" t="n"/>
      <c r="H51" s="15" t="n"/>
      <c r="I51" s="15" t="n"/>
      <c r="J51" s="15" t="n"/>
      <c r="K51" s="15" t="n"/>
      <c r="L51" s="15" t="n"/>
      <c r="M51" s="15" t="n"/>
    </row>
    <row r="52">
      <c r="A52" s="15" t="n"/>
      <c r="B52" s="15" t="n"/>
      <c r="C52" s="15" t="n"/>
      <c r="D52" s="15" t="n"/>
      <c r="E52" s="15" t="n"/>
      <c r="F52" s="15" t="n"/>
      <c r="G52" s="15" t="n"/>
      <c r="H52" s="15" t="n"/>
      <c r="I52" s="15" t="n"/>
      <c r="J52" s="15" t="n"/>
      <c r="K52" s="15" t="n"/>
      <c r="L52" s="15" t="n"/>
      <c r="M52" s="15" t="n"/>
    </row>
    <row r="53">
      <c r="A53" s="15" t="n"/>
      <c r="B53" s="15" t="n"/>
      <c r="C53" s="15" t="n"/>
      <c r="D53" s="15" t="n"/>
      <c r="E53" s="15" t="n"/>
      <c r="F53" s="15" t="n"/>
      <c r="G53" s="15" t="n"/>
      <c r="H53" s="15" t="n"/>
      <c r="I53" s="15" t="n"/>
      <c r="J53" s="15" t="n"/>
      <c r="K53" s="15" t="n"/>
      <c r="L53" s="15" t="n"/>
      <c r="M53" s="15" t="n"/>
    </row>
    <row r="54">
      <c r="A54" s="15" t="n"/>
      <c r="B54" s="15" t="n"/>
      <c r="C54" s="15" t="n"/>
      <c r="D54" s="15" t="n"/>
      <c r="E54" s="15" t="n"/>
      <c r="F54" s="15" t="n"/>
      <c r="G54" s="15" t="n"/>
      <c r="H54" s="15" t="n"/>
      <c r="I54" s="15" t="n"/>
      <c r="J54" s="15" t="n"/>
      <c r="K54" s="15" t="n"/>
      <c r="L54" s="15" t="n"/>
      <c r="M54" s="15" t="n"/>
    </row>
    <row r="55">
      <c r="A55" s="15" t="n"/>
      <c r="B55" s="15" t="n"/>
      <c r="C55" s="15" t="n"/>
      <c r="D55" s="15" t="n"/>
      <c r="E55" s="15" t="n"/>
      <c r="F55" s="15" t="n"/>
      <c r="G55" s="15" t="n"/>
      <c r="H55" s="15" t="n"/>
      <c r="I55" s="15" t="n"/>
      <c r="J55" s="15" t="n"/>
      <c r="K55" s="15" t="n"/>
      <c r="L55" s="15" t="n"/>
      <c r="M55" s="15" t="n"/>
    </row>
  </sheetData>
  <mergeCells count="3">
    <mergeCell ref="A3:M3"/>
    <mergeCell ref="A2:M2"/>
    <mergeCell ref="A1:M1"/>
  </mergeCells>
  <dataValidations count="1">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"Under Attack,At Risk,Not Vulnerable,Resolved"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36" customWidth="1" min="3" max="3"/>
    <col width="24" customWidth="1" min="4" max="4"/>
    <col width="12" customWidth="1" min="5" max="5"/>
    <col width="18" customWidth="1" min="6" max="6"/>
    <col width="14" customWidth="1" min="7" max="7"/>
    <col width="12" customWidth="1" min="8" max="8"/>
    <col width="14" customWidth="1" min="9" max="9"/>
    <col width="30" customWidth="1" min="10" max="10"/>
  </cols>
  <sheetData>
    <row r="1" ht="35" customHeight="1">
      <c r="A1" s="11" t="inlineStr">
        <is>
          <t>ISMS-IMP-A.8.8.3  —  EMERGENCY PATCHING QUEUE</t>
        </is>
      </c>
    </row>
    <row r="2">
      <c r="A2" s="12" t="inlineStr">
        <is>
          <t>ISO/IEC 27001:2022 — Control A.8.8: Management of Technical Vulnerabilities</t>
        </is>
      </c>
    </row>
    <row r="3">
      <c r="A3" s="6" t="n"/>
    </row>
    <row r="4">
      <c r="A4" s="13" t="inlineStr">
        <is>
          <t>Emergency_ID</t>
        </is>
      </c>
      <c r="B4" s="13" t="inlineStr">
        <is>
          <t>CVE_ID</t>
        </is>
      </c>
      <c r="C4" s="13" t="inlineStr">
        <is>
          <t>Vulnerability_Name</t>
        </is>
      </c>
      <c r="D4" s="13" t="inlineStr">
        <is>
          <t>Affected_Systems</t>
        </is>
      </c>
      <c r="E4" s="13" t="inlineStr">
        <is>
          <t>Priority</t>
        </is>
      </c>
      <c r="F4" s="13" t="inlineStr">
        <is>
          <t>Assigned_To</t>
        </is>
      </c>
      <c r="G4" s="13" t="inlineStr">
        <is>
          <t>Scheduled_Date</t>
        </is>
      </c>
      <c r="H4" s="13" t="inlineStr">
        <is>
          <t>Status</t>
        </is>
      </c>
      <c r="I4" s="13" t="inlineStr">
        <is>
          <t>Completion_Date</t>
        </is>
      </c>
      <c r="J4" s="13" t="inlineStr">
        <is>
          <t>Notes</t>
        </is>
      </c>
    </row>
    <row r="5">
      <c r="A5" s="14" t="inlineStr">
        <is>
          <t>EPQ-001</t>
        </is>
      </c>
      <c r="B5" s="14" t="inlineStr">
        <is>
          <t>CVE-2024-12345</t>
        </is>
      </c>
      <c r="C5" s="14" t="inlineStr">
        <is>
          <t>Vendor X Remote Code Execution — CISA KEV Priority</t>
        </is>
      </c>
      <c r="D5" s="14" t="inlineStr">
        <is>
          <t>web-prod-01, web-prod-02</t>
        </is>
      </c>
      <c r="E5" s="14" t="inlineStr">
        <is>
          <t>P0 - Emergency</t>
        </is>
      </c>
      <c r="F5" s="14" t="inlineStr">
        <is>
          <t>J.Smith</t>
        </is>
      </c>
      <c r="G5" s="14" t="inlineStr">
        <is>
          <t>02.01.2026</t>
        </is>
      </c>
      <c r="H5" s="14" t="inlineStr">
        <is>
          <t>Complete</t>
        </is>
      </c>
      <c r="I5" s="14" t="inlineStr">
        <is>
          <t>02.01.2026</t>
        </is>
      </c>
      <c r="J5" s="14" t="inlineStr">
        <is>
          <t>Emergency patch applied within 72h SLA — post-patch validation passed</t>
        </is>
      </c>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row r="55">
      <c r="A55" s="15" t="n"/>
      <c r="B55" s="15" t="n"/>
      <c r="C55" s="15" t="n"/>
      <c r="D55" s="15" t="n"/>
      <c r="E55" s="15" t="n"/>
      <c r="F55" s="15" t="n"/>
      <c r="G55" s="15" t="n"/>
      <c r="H55" s="15" t="n"/>
      <c r="I55" s="15" t="n"/>
      <c r="J55" s="15" t="n"/>
    </row>
  </sheetData>
  <mergeCells count="3">
    <mergeCell ref="A1:J1"/>
    <mergeCell ref="A3:J3"/>
    <mergeCell ref="A2:J2"/>
  </mergeCells>
  <dataValidations count="2">
    <dataValidation sqref="E6 E7 E8 E9 E10 E11 E12 E13 E14 E15 E16 E17 E18 E19 E20 E21 E22 E23 E24 E25 E26 E27 E28 E29 E30 E31 E32 E33 E34 E35 E36 E37 E38 E39 E40 E41 E42 E43 E44 E45 E46 E47 E48 E49 E50 E51 E52 E53 E54 E55" showDropDown="0" showInputMessage="0" showErrorMessage="0" allowBlank="1" type="list">
      <formula1>"P0 - Emergency,P1 - Critical,P2 - High"</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"Open,In Progress,Complete,Cancelled"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6" t="inlineStr">
        <is>
          <t>EVIDENCE REGISTER</t>
        </is>
      </c>
    </row>
    <row r="2">
      <c r="A2" s="17" t="inlineStr">
        <is>
          <t>ISO/IEC 27001:2022 Annex A — Control A.8.8: Management of Technical Vulnerabilities</t>
        </is>
      </c>
    </row>
    <row r="3">
      <c r="A3" s="6" t="n"/>
    </row>
    <row r="4">
      <c r="A4" s="18" t="inlineStr">
        <is>
          <t>Evidence ID</t>
        </is>
      </c>
      <c r="B4" s="18" t="inlineStr">
        <is>
          <t>Evidence Type</t>
        </is>
      </c>
      <c r="C4" s="18" t="inlineStr">
        <is>
          <t>Description</t>
        </is>
      </c>
      <c r="D4" s="18" t="inlineStr">
        <is>
          <t>Related Control / Section</t>
        </is>
      </c>
      <c r="E4" s="18" t="inlineStr">
        <is>
          <t>Collection Date (DD.MM.YYYY)</t>
        </is>
      </c>
      <c r="F4" s="18" t="inlineStr">
        <is>
          <t>Storage Location / Reference</t>
        </is>
      </c>
      <c r="G4" s="18" t="inlineStr">
        <is>
          <t>Collected By</t>
        </is>
      </c>
      <c r="H4" s="18" t="inlineStr">
        <is>
          <t>Status</t>
        </is>
      </c>
    </row>
    <row r="5">
      <c r="A5" s="19" t="inlineStr">
        <is>
          <t>EV-001</t>
        </is>
      </c>
      <c r="B5" s="19" t="inlineStr">
        <is>
          <t>Report</t>
        </is>
      </c>
      <c r="C5" s="19" t="inlineStr">
        <is>
          <t>Sample evidence entry — replace with actual evidence</t>
        </is>
      </c>
      <c r="D5" s="19" t="inlineStr">
        <is>
          <t>A.8.8 Threat Intelligence</t>
        </is>
      </c>
      <c r="E5" s="19" t="inlineStr">
        <is>
          <t>01.01.2026</t>
        </is>
      </c>
      <c r="F5" s="19" t="inlineStr">
        <is>
          <t>SharePoint/ISMS/A.8.8/S3/Evidence/</t>
        </is>
      </c>
      <c r="G5" s="19" t="inlineStr">
        <is>
          <t>Security Team</t>
        </is>
      </c>
      <c r="H5" s="19" t="inlineStr">
        <is>
          <t>Active</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6" t="inlineStr">
        <is>
          <t>THREAT INTELLIGENCE — SUMMARY DASHBOARD</t>
        </is>
      </c>
      <c r="B1" s="6" t="n"/>
      <c r="C1" s="6" t="n"/>
      <c r="D1" s="6" t="n"/>
      <c r="E1" s="6" t="n"/>
      <c r="F1" s="6" t="n"/>
      <c r="G1" s="6" t="n"/>
    </row>
    <row r="2">
      <c r="A2" s="21" t="inlineStr">
        <is>
          <t>ISO/IEC 27001:2022 — Control A.8.8 (Optional: A.5.7 Integration)</t>
        </is>
      </c>
    </row>
    <row r="4">
      <c r="A4" s="22" t="inlineStr">
        <is>
          <t>TABLE 1: ASSESSMENT AREA COMPLIANCE OVERVIEW</t>
        </is>
      </c>
    </row>
    <row r="5">
      <c r="A5" s="23" t="inlineStr">
        <is>
          <t>Assessment Area</t>
        </is>
      </c>
      <c r="B5" s="23" t="inlineStr">
        <is>
          <t>Total Items</t>
        </is>
      </c>
      <c r="C5" s="23" t="inlineStr">
        <is>
          <t>Compliant</t>
        </is>
      </c>
      <c r="D5" s="23" t="inlineStr">
        <is>
          <t>Partial / Warning</t>
        </is>
      </c>
      <c r="E5" s="23" t="inlineStr">
        <is>
          <t>Non-Compliant</t>
        </is>
      </c>
      <c r="F5" s="23" t="inlineStr">
        <is>
          <t>N/A</t>
        </is>
      </c>
      <c r="G5" s="23" t="inlineStr">
        <is>
          <t>Compliance %</t>
        </is>
      </c>
    </row>
    <row r="6">
      <c r="A6" s="24" t="inlineStr">
        <is>
          <t>TI Sources Register</t>
        </is>
      </c>
      <c r="B6" s="25">
        <f>COUNTA('TI Sources Register'!A6:A55)</f>
        <v/>
      </c>
      <c r="C6" s="25">
        <f>COUNTIF('TI Sources Register'!E6:E55,"Active")</f>
        <v/>
      </c>
      <c r="D6" s="25">
        <f>COUNTIF('TI Sources Register'!E6:E55,"Under Review")</f>
        <v/>
      </c>
      <c r="E6" s="25">
        <f>COUNTIF('TI Sources Register'!E6:E55,"Inactive")</f>
        <v/>
      </c>
      <c r="F6" s="25" t="n">
        <v>0</v>
      </c>
      <c r="G6" s="26">
        <f>IF((B6-F6)=0,0,C6/(B6-F6))</f>
        <v/>
      </c>
    </row>
    <row r="7">
      <c r="A7" s="24" t="inlineStr">
        <is>
          <t>CVE TI Correlation</t>
        </is>
      </c>
      <c r="B7" s="25">
        <f>COUNTA('CVE TI Correlation'!A6:A55)</f>
        <v/>
      </c>
      <c r="C7" s="25">
        <f>COUNTIF('CVE TI Correlation'!P6:P55,"Correlated")</f>
        <v/>
      </c>
      <c r="D7" s="25">
        <f>COUNTIF('CVE TI Correlation'!P6:P55,"Partial")</f>
        <v/>
      </c>
      <c r="E7" s="25">
        <f>COUNTIF('CVE TI Correlation'!P6:P55,"Not Correlated")</f>
        <v/>
      </c>
      <c r="F7" s="25" t="n">
        <v>0</v>
      </c>
      <c r="G7" s="26">
        <f>IF((B7-F7)=0,0,C7/(B7-F7))</f>
        <v/>
      </c>
    </row>
    <row r="8">
      <c r="A8" s="24" t="inlineStr">
        <is>
          <t>KEV Impact Assessment</t>
        </is>
      </c>
      <c r="B8" s="25">
        <f>COUNTA('KEV Impact Assessment'!A6:A55)</f>
        <v/>
      </c>
      <c r="C8" s="25">
        <f>COUNTIF('KEV Impact Assessment'!G6:G55,"Complete")+COUNTIF('KEV Impact Assessment'!G6:G55,"Risk Accepted")</f>
        <v/>
      </c>
      <c r="D8" s="25">
        <f>COUNTIF('KEV Impact Assessment'!G6:G55,"In Progress")</f>
        <v/>
      </c>
      <c r="E8" s="25">
        <f>COUNTIF('KEV Impact Assessment'!G6:G55,"Not Started")</f>
        <v/>
      </c>
      <c r="F8" s="25" t="n">
        <v>0</v>
      </c>
      <c r="G8" s="26">
        <f>IF((B8-F8)=0,0,C8/(B8-F8))</f>
        <v/>
      </c>
    </row>
    <row r="9">
      <c r="A9" s="24" t="inlineStr">
        <is>
          <t>Active Exploitation</t>
        </is>
      </c>
      <c r="B9" s="25">
        <f>COUNTA('Active Exploitation'!A6:A55)</f>
        <v/>
      </c>
      <c r="C9" s="25">
        <f>COUNTIF('Active Exploitation'!L6:L55,"Not Vulnerable")+COUNTIF('Active Exploitation'!L6:L55,"Resolved")</f>
        <v/>
      </c>
      <c r="D9" s="25">
        <f>COUNTIF('Active Exploitation'!L6:L55,"At Risk")</f>
        <v/>
      </c>
      <c r="E9" s="25">
        <f>COUNTIF('Active Exploitation'!L6:L55,"Under Attack")</f>
        <v/>
      </c>
      <c r="F9" s="25" t="n">
        <v>0</v>
      </c>
      <c r="G9" s="26">
        <f>IF((B9-F9)=0,0,C9/(B9-F9))</f>
        <v/>
      </c>
    </row>
    <row r="10">
      <c r="A10" s="24" t="inlineStr">
        <is>
          <t>Emergency Patching Queue</t>
        </is>
      </c>
      <c r="B10" s="25">
        <f>COUNTA('Emergency Patching Queue'!A6:A55)</f>
        <v/>
      </c>
      <c r="C10" s="25">
        <f>COUNTIF('Emergency Patching Queue'!H6:H55,"Complete")</f>
        <v/>
      </c>
      <c r="D10" s="25">
        <f>COUNTIF('Emergency Patching Queue'!H6:H55,"In Progress")</f>
        <v/>
      </c>
      <c r="E10" s="25">
        <f>COUNTIF('Emergency Patching Queue'!H6:H55,"Open")</f>
        <v/>
      </c>
      <c r="F10" s="25">
        <f>COUNTIF('Emergency Patching Queue'!H6:H55,"Cancelled")</f>
        <v/>
      </c>
      <c r="G10" s="26">
        <f>IF((B10-F10)=0,0,C10/(B10-F10))</f>
        <v/>
      </c>
    </row>
    <row r="11">
      <c r="A11" s="27" t="inlineStr">
        <is>
          <t>TOTAL</t>
        </is>
      </c>
      <c r="B11" s="28">
        <f>SUM(B6:B10)</f>
        <v/>
      </c>
      <c r="C11" s="28">
        <f>SUM(C6:C10)</f>
        <v/>
      </c>
      <c r="D11" s="28">
        <f>SUM(D6:D10)</f>
        <v/>
      </c>
      <c r="E11" s="28">
        <f>SUM(E6:E10)</f>
        <v/>
      </c>
      <c r="F11" s="28">
        <f>SUM(F6:F10)</f>
        <v/>
      </c>
      <c r="G11" s="29">
        <f>IF((B11-F11)=0,0,C11/(B11-F11))</f>
        <v/>
      </c>
    </row>
    <row r="13">
      <c r="A13" s="30" t="inlineStr">
        <is>
          <t>TABLE 2: KEY METRICS</t>
        </is>
      </c>
    </row>
    <row r="14">
      <c r="A14" s="28" t="inlineStr">
        <is>
          <t>Metric</t>
        </is>
      </c>
      <c r="B14" s="28" t="inlineStr">
        <is>
          <t>Value</t>
        </is>
      </c>
      <c r="C14" s="28" t="n"/>
      <c r="D14" s="28" t="n"/>
      <c r="E14" s="28" t="n"/>
      <c r="F14" s="28" t="n"/>
      <c r="G14" s="28" t="n"/>
    </row>
    <row r="15">
      <c r="A15" s="31" t="inlineStr">
        <is>
          <t>TI Source Management</t>
        </is>
      </c>
      <c r="B15" s="32" t="n"/>
      <c r="C15" s="32" t="n"/>
      <c r="D15" s="32" t="n"/>
      <c r="E15" s="32" t="n"/>
      <c r="F15" s="32" t="n"/>
      <c r="G15" s="32" t="n"/>
    </row>
    <row r="16">
      <c r="A16" s="33" t="inlineStr">
        <is>
          <t>TI Sources Monitored</t>
        </is>
      </c>
      <c r="B16" s="25">
        <f>COUNTA('TI Sources Register'!A6:A55)</f>
        <v/>
      </c>
      <c r="C16" s="6" t="n"/>
      <c r="D16" s="6" t="n"/>
      <c r="E16" s="6" t="n"/>
      <c r="F16" s="6" t="n"/>
      <c r="G16" s="6" t="n"/>
    </row>
    <row r="17">
      <c r="A17" s="33" t="inlineStr">
        <is>
          <t>Active TI Sources</t>
        </is>
      </c>
      <c r="B17" s="25">
        <f>COUNTIF('TI Sources Register'!E6:E55,"Active")</f>
        <v/>
      </c>
      <c r="C17" s="6" t="n"/>
      <c r="D17" s="6" t="n"/>
      <c r="E17" s="6" t="n"/>
      <c r="F17" s="6" t="n"/>
      <c r="G17" s="6" t="n"/>
    </row>
    <row r="18">
      <c r="A18" s="31" t="inlineStr">
        <is>
          <t>KEV &amp; Exploitation</t>
        </is>
      </c>
      <c r="B18" s="32" t="n"/>
      <c r="C18" s="32" t="n"/>
      <c r="D18" s="32" t="n"/>
      <c r="E18" s="32" t="n"/>
      <c r="F18" s="32" t="n"/>
      <c r="G18" s="32" t="n"/>
    </row>
    <row r="19">
      <c r="A19" s="33" t="inlineStr">
        <is>
          <t>CVEs Correlated with TI</t>
        </is>
      </c>
      <c r="B19" s="25">
        <f>COUNTIF('CVE TI Correlation'!P6:P55,"Correlated")</f>
        <v/>
      </c>
      <c r="C19" s="6" t="n"/>
      <c r="D19" s="6" t="n"/>
      <c r="E19" s="6" t="n"/>
      <c r="F19" s="6" t="n"/>
      <c r="G19" s="6" t="n"/>
    </row>
    <row r="20">
      <c r="A20" s="33" t="inlineStr">
        <is>
          <t>KEV Entries Tracked</t>
        </is>
      </c>
      <c r="B20" s="25">
        <f>COUNTA('KEV Impact Assessment'!A6:A55)</f>
        <v/>
      </c>
      <c r="C20" s="6" t="n"/>
      <c r="D20" s="6" t="n"/>
      <c r="E20" s="6" t="n"/>
      <c r="F20" s="6" t="n"/>
      <c r="G20" s="6" t="n"/>
    </row>
    <row r="21">
      <c r="A21" s="33" t="inlineStr">
        <is>
          <t>KEV Remediation Compliance %</t>
        </is>
      </c>
      <c r="B21" s="26">
        <f>IFERROR((COUNTIF('KEV Impact Assessment'!G6:G55,"Complete")+COUNTIF('KEV Impact Assessment'!G6:G55,"Risk Accepted"))/COUNTA('KEV Impact Assessment'!A6:A55),0)</f>
        <v/>
      </c>
      <c r="C21" s="6" t="n"/>
      <c r="D21" s="6" t="n"/>
      <c r="E21" s="6" t="n"/>
      <c r="F21" s="6" t="n"/>
      <c r="G21" s="6" t="n"/>
    </row>
    <row r="22">
      <c r="A22" s="33" t="inlineStr">
        <is>
          <t>KEV Entries — Not Started</t>
        </is>
      </c>
      <c r="B22" s="25">
        <f>COUNTIF('KEV Impact Assessment'!G6:G55,"Not Started")</f>
        <v/>
      </c>
      <c r="C22" s="6" t="n"/>
      <c r="D22" s="6" t="n"/>
      <c r="E22" s="6" t="n"/>
      <c r="F22" s="6" t="n"/>
      <c r="G22" s="6" t="n"/>
    </row>
    <row r="23">
      <c r="A23" s="31" t="inlineStr">
        <is>
          <t>Active Threats</t>
        </is>
      </c>
      <c r="B23" s="32" t="n"/>
      <c r="C23" s="32" t="n"/>
      <c r="D23" s="32" t="n"/>
      <c r="E23" s="32" t="n"/>
      <c r="F23" s="32" t="n"/>
      <c r="G23" s="32" t="n"/>
    </row>
    <row r="24">
      <c r="A24" s="33" t="inlineStr">
        <is>
          <t>CVEs Under Active Exploitation</t>
        </is>
      </c>
      <c r="B24" s="25">
        <f>COUNTA('Active Exploitation'!A6:A55)</f>
        <v/>
      </c>
      <c r="C24" s="6" t="n"/>
      <c r="D24" s="6" t="n"/>
      <c r="E24" s="6" t="n"/>
      <c r="F24" s="6" t="n"/>
      <c r="G24" s="6" t="n"/>
    </row>
    <row r="25">
      <c r="A25" s="33" t="inlineStr">
        <is>
          <t>Org Currently Under Attack</t>
        </is>
      </c>
      <c r="B25" s="25">
        <f>COUNTIF('Active Exploitation'!L6:L55,"Under Attack")</f>
        <v/>
      </c>
      <c r="C25" s="6" t="n"/>
      <c r="D25" s="6" t="n"/>
      <c r="E25" s="6" t="n"/>
      <c r="F25" s="6" t="n"/>
      <c r="G25" s="6" t="n"/>
    </row>
    <row r="26">
      <c r="A26" s="33" t="inlineStr">
        <is>
          <t>Org At Risk (Exploit Available)</t>
        </is>
      </c>
      <c r="B26" s="25">
        <f>COUNTIF('Active Exploitation'!L6:L55,"At Risk")</f>
        <v/>
      </c>
      <c r="C26" s="6" t="n"/>
      <c r="D26" s="6" t="n"/>
      <c r="E26" s="6" t="n"/>
      <c r="F26" s="6" t="n"/>
      <c r="G26" s="6" t="n"/>
    </row>
    <row r="27">
      <c r="A27" s="31" t="inlineStr">
        <is>
          <t>Emergency Response</t>
        </is>
      </c>
      <c r="B27" s="32" t="n"/>
      <c r="C27" s="32" t="n"/>
      <c r="D27" s="32" t="n"/>
      <c r="E27" s="32" t="n"/>
      <c r="F27" s="32" t="n"/>
      <c r="G27" s="32" t="n"/>
    </row>
    <row r="28">
      <c r="A28" s="33" t="inlineStr">
        <is>
          <t>Emergency Patching Queue — Open</t>
        </is>
      </c>
      <c r="B28" s="25">
        <f>COUNTIF('Emergency Patching Queue'!H6:H55,"Open")</f>
        <v/>
      </c>
      <c r="C28" s="6" t="n"/>
      <c r="D28" s="6" t="n"/>
      <c r="E28" s="6" t="n"/>
      <c r="F28" s="6" t="n"/>
      <c r="G28" s="6" t="n"/>
    </row>
    <row r="29">
      <c r="A29" s="33" t="inlineStr">
        <is>
          <t>Emergency Patching Queue — Complete</t>
        </is>
      </c>
      <c r="B29" s="25">
        <f>COUNTIF('Emergency Patching Queue'!H6:H55,"Complete")</f>
        <v/>
      </c>
      <c r="C29" s="6" t="n"/>
      <c r="D29" s="6" t="n"/>
      <c r="E29" s="6" t="n"/>
      <c r="F29" s="6" t="n"/>
      <c r="G29" s="6" t="n"/>
    </row>
    <row r="30">
      <c r="A30" s="33" t="inlineStr">
        <is>
          <t>TI Source Coverage Rate</t>
        </is>
      </c>
      <c r="B30" s="26">
        <f>IFERROR(COUNTIF('TI Sources Register'!E6:E55,"Active")/COUNTA('TI Sources Register'!A6:A55),0)</f>
        <v/>
      </c>
      <c r="C30" s="6" t="n"/>
      <c r="D30" s="6" t="n"/>
      <c r="E30" s="6" t="n"/>
      <c r="F30" s="6" t="n"/>
      <c r="G30" s="6" t="n"/>
    </row>
    <row r="31">
      <c r="A31" s="6" t="n"/>
      <c r="B31" s="6" t="n"/>
      <c r="C31" s="6" t="n"/>
      <c r="D31" s="6" t="n"/>
      <c r="E31" s="6" t="n"/>
      <c r="F31" s="6" t="n"/>
      <c r="G31" s="6" t="n"/>
    </row>
    <row r="32">
      <c r="A32" s="6" t="n"/>
      <c r="B32" s="6" t="n"/>
      <c r="C32" s="6" t="n"/>
      <c r="D32" s="6" t="n"/>
      <c r="E32" s="6" t="n"/>
      <c r="F32" s="6" t="n"/>
      <c r="G32" s="6" t="n"/>
    </row>
    <row r="34">
      <c r="A34" s="34" t="inlineStr">
        <is>
          <t>TABLE 3: CRITICAL FINDINGS REQUIRING IMMEDIATE ATTENTION</t>
        </is>
      </c>
    </row>
    <row r="35">
      <c r="A35" s="28" t="inlineStr">
        <is>
          <t>Category</t>
        </is>
      </c>
      <c r="B35" s="28" t="inlineStr">
        <is>
          <t>Finding</t>
        </is>
      </c>
      <c r="C35" s="28" t="inlineStr">
        <is>
          <t>Count</t>
        </is>
      </c>
      <c r="D35" s="28" t="inlineStr">
        <is>
          <t>Severity</t>
        </is>
      </c>
      <c r="E35" s="28" t="inlineStr">
        <is>
          <t>Action Required</t>
        </is>
      </c>
      <c r="F35" s="28" t="n"/>
      <c r="G35" s="28" t="n"/>
    </row>
    <row r="36">
      <c r="A36" s="35" t="inlineStr">
        <is>
          <t>Active Threats</t>
        </is>
      </c>
      <c r="B36" s="35" t="inlineStr">
        <is>
          <t>Organisation currently UNDER ATTACK</t>
        </is>
      </c>
      <c r="C36" s="36">
        <f>COUNTIF('Active Exploitation'!L6:L55,"Under Attack")</f>
        <v/>
      </c>
      <c r="D36" s="35" t="inlineStr">
        <is>
          <t>Critical</t>
        </is>
      </c>
      <c r="E36" s="35" t="inlineStr">
        <is>
          <t>Immediate</t>
        </is>
      </c>
      <c r="F36" s="35" t="n"/>
      <c r="G36" s="35" t="n"/>
    </row>
    <row r="37">
      <c r="A37" s="35" t="inlineStr">
        <is>
          <t>KEV Compliance</t>
        </is>
      </c>
      <c r="B37" s="35" t="inlineStr">
        <is>
          <t>KEV entries — remediation NOT STARTED</t>
        </is>
      </c>
      <c r="C37" s="36">
        <f>COUNTIF('KEV Impact Assessment'!G6:G55,"Not Started")</f>
        <v/>
      </c>
      <c r="D37" s="35" t="inlineStr">
        <is>
          <t>Critical</t>
        </is>
      </c>
      <c r="E37" s="35" t="inlineStr">
        <is>
          <t>Immediate</t>
        </is>
      </c>
      <c r="F37" s="35" t="n"/>
      <c r="G37" s="35" t="n"/>
    </row>
    <row r="38">
      <c r="A38" s="35" t="inlineStr">
        <is>
          <t>Emergency</t>
        </is>
      </c>
      <c r="B38" s="35" t="inlineStr">
        <is>
          <t>Emergency patching queue — OPEN items</t>
        </is>
      </c>
      <c r="C38" s="36">
        <f>COUNTIF('Emergency Patching Queue'!H6:H55,"Open")</f>
        <v/>
      </c>
      <c r="D38" s="35" t="inlineStr">
        <is>
          <t>Critical</t>
        </is>
      </c>
      <c r="E38" s="35" t="inlineStr">
        <is>
          <t>Immediate</t>
        </is>
      </c>
      <c r="F38" s="35" t="n"/>
      <c r="G38" s="35" t="n"/>
    </row>
    <row r="39">
      <c r="A39" s="35" t="inlineStr">
        <is>
          <t>TI Sources</t>
        </is>
      </c>
      <c r="B39" s="35" t="inlineStr">
        <is>
          <t>No active TI sources monitored</t>
        </is>
      </c>
      <c r="C39" s="36">
        <f>IF(COUNTIF('TI Sources Register'!E6:E55,"Active")=0,1,0)</f>
        <v/>
      </c>
      <c r="D39" s="35" t="inlineStr">
        <is>
          <t>Critical</t>
        </is>
      </c>
      <c r="E39" s="35" t="inlineStr">
        <is>
          <t>Immediate</t>
        </is>
      </c>
      <c r="F39" s="35" t="n"/>
      <c r="G39" s="35" t="n"/>
    </row>
    <row r="40">
      <c r="A40" s="37" t="inlineStr">
        <is>
          <t>TI Sources</t>
        </is>
      </c>
      <c r="B40" s="37" t="inlineStr">
        <is>
          <t>TI sources inactive (coverage gap)</t>
        </is>
      </c>
      <c r="C40" s="38">
        <f>COUNTIF('TI Sources Register'!E6:E55,"Inactive")</f>
        <v/>
      </c>
      <c r="D40" s="37" t="inlineStr">
        <is>
          <t>High</t>
        </is>
      </c>
      <c r="E40" s="37" t="inlineStr">
        <is>
          <t>Urgent</t>
        </is>
      </c>
      <c r="F40" s="37" t="n"/>
      <c r="G40" s="37" t="n"/>
    </row>
    <row r="41">
      <c r="A41" s="37" t="inlineStr">
        <is>
          <t>Active Threats</t>
        </is>
      </c>
      <c r="B41" s="37" t="inlineStr">
        <is>
          <t>Org at risk from available exploits</t>
        </is>
      </c>
      <c r="C41" s="38">
        <f>COUNTIF('Active Exploitation'!L6:L55,"At Risk")</f>
        <v/>
      </c>
      <c r="D41" s="37" t="inlineStr">
        <is>
          <t>High</t>
        </is>
      </c>
      <c r="E41" s="37" t="inlineStr">
        <is>
          <t>Urgent</t>
        </is>
      </c>
      <c r="F41" s="37" t="n"/>
      <c r="G41" s="37" t="n"/>
    </row>
    <row r="42">
      <c r="A42" s="37" t="inlineStr">
        <is>
          <t>KEV Compliance</t>
        </is>
      </c>
      <c r="B42" s="37" t="inlineStr">
        <is>
          <t>KEV entries still In Progress (potentially overdue)</t>
        </is>
      </c>
      <c r="C42" s="38">
        <f>COUNTIF('KEV Impact Assessment'!G6:G55,"In Progress")</f>
        <v/>
      </c>
      <c r="D42" s="37" t="inlineStr">
        <is>
          <t>High</t>
        </is>
      </c>
      <c r="E42" s="37" t="inlineStr">
        <is>
          <t>Urgent</t>
        </is>
      </c>
      <c r="F42" s="37" t="n"/>
      <c r="G42" s="37" t="n"/>
    </row>
    <row r="43">
      <c r="A43" s="39" t="inlineStr">
        <is>
          <t>Correlation</t>
        </is>
      </c>
      <c r="B43" s="39" t="inlineStr">
        <is>
          <t>CVEs not correlated with TI data</t>
        </is>
      </c>
      <c r="C43" s="40">
        <f>COUNTIF('CVE TI Correlation'!P6:P55,"Not Correlated")</f>
        <v/>
      </c>
      <c r="D43" s="39" t="inlineStr">
        <is>
          <t>Medium</t>
        </is>
      </c>
      <c r="E43" s="39" t="inlineStr">
        <is>
          <t>Plan</t>
        </is>
      </c>
      <c r="F43" s="39" t="n"/>
      <c r="G43" s="39" t="n"/>
    </row>
    <row r="44">
      <c r="A44" s="41" t="n"/>
      <c r="B44" s="41" t="n"/>
      <c r="C44" s="41" t="n"/>
      <c r="D44" s="41" t="n"/>
      <c r="E44" s="41" t="n"/>
      <c r="F44" s="41" t="n"/>
      <c r="G44" s="41" t="n"/>
    </row>
    <row r="45">
      <c r="A45" s="41" t="n"/>
      <c r="B45" s="41" t="n"/>
      <c r="C45" s="41" t="n"/>
      <c r="D45" s="41" t="n"/>
      <c r="E45" s="41" t="n"/>
      <c r="F45" s="41" t="n"/>
      <c r="G45" s="41" t="n"/>
    </row>
  </sheetData>
  <mergeCells count="5">
    <mergeCell ref="A13:G13"/>
    <mergeCell ref="A1:G1"/>
    <mergeCell ref="A34:G34"/>
    <mergeCell ref="A4:G4"/>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THREAT INTELLIGENCE — ASSESSMENT APPROVAL AND SIGN-OFF</t>
        </is>
      </c>
      <c r="B1" s="6" t="n"/>
      <c r="C1" s="6" t="n"/>
      <c r="D1" s="6" t="n"/>
      <c r="E1" s="6" t="n"/>
    </row>
    <row r="2">
      <c r="A2" s="12" t="inlineStr">
        <is>
          <t>ISO/IEC 27001:2022 Annex A — Control A.8.8: Management of Technical Vulnerabilities</t>
        </is>
      </c>
      <c r="B2" s="6" t="n"/>
      <c r="C2" s="6" t="n"/>
      <c r="D2" s="6" t="n"/>
      <c r="E2" s="6" t="n"/>
    </row>
    <row r="3">
      <c r="A3" s="42" t="inlineStr">
        <is>
          <t>ASSESSMENT SUMMARY</t>
        </is>
      </c>
      <c r="B3" s="6" t="n"/>
      <c r="C3" s="6" t="n"/>
      <c r="D3" s="6" t="n"/>
      <c r="E3" s="6" t="n"/>
    </row>
    <row r="4">
      <c r="A4" s="43" t="inlineStr">
        <is>
          <t>Document:</t>
        </is>
      </c>
      <c r="B4" s="6" t="inlineStr">
        <is>
          <t>ISMS-IMP-A.8.8.3 — Threat Intelligence</t>
        </is>
      </c>
      <c r="C4" s="6" t="n"/>
      <c r="D4" s="6" t="n"/>
      <c r="E4" s="6" t="n"/>
    </row>
    <row r="5">
      <c r="A5" s="43" t="inlineStr">
        <is>
          <t>Assessment Period:</t>
        </is>
      </c>
      <c r="B5" s="44" t="inlineStr"/>
      <c r="C5" s="6" t="n"/>
      <c r="D5" s="6" t="n"/>
      <c r="E5" s="6" t="n"/>
    </row>
    <row r="6">
      <c r="A6" s="43" t="inlineStr">
        <is>
          <t>Overall Compliance Rating:</t>
        </is>
      </c>
      <c r="B6" s="45">
        <f>'Summary Dashboard'!G11</f>
        <v/>
      </c>
      <c r="C6" s="6" t="n"/>
      <c r="D6" s="6" t="n"/>
      <c r="E6" s="6" t="n"/>
    </row>
    <row r="7">
      <c r="A7" s="43" t="inlineStr">
        <is>
          <t>Assessment Status:</t>
        </is>
      </c>
      <c r="B7" s="44" t="inlineStr"/>
      <c r="C7" s="6" t="n"/>
      <c r="D7" s="6" t="n"/>
      <c r="E7" s="6" t="n"/>
    </row>
    <row r="8">
      <c r="A8" s="43" t="inlineStr">
        <is>
          <t>Assessed By:</t>
        </is>
      </c>
      <c r="B8" s="44" t="inlineStr"/>
      <c r="C8" s="6" t="n"/>
      <c r="D8" s="6" t="n"/>
      <c r="E8" s="6" t="n"/>
    </row>
    <row r="9">
      <c r="A9" s="6" t="n"/>
    </row>
    <row r="10">
      <c r="A10" s="42" t="inlineStr">
        <is>
          <t>ASSESSMENT REVIEW AND APPROVAL</t>
        </is>
      </c>
    </row>
    <row r="11">
      <c r="A11" s="23" t="inlineStr">
        <is>
          <t>Role / Function</t>
        </is>
      </c>
      <c r="B11" s="23" t="inlineStr">
        <is>
          <t>Name</t>
        </is>
      </c>
      <c r="C11" s="23" t="inlineStr">
        <is>
          <t>Signature / Initials</t>
        </is>
      </c>
      <c r="D11" s="23" t="inlineStr">
        <is>
          <t>Date (DD.MM.YYYY)</t>
        </is>
      </c>
      <c r="E11" s="23" t="inlineStr">
        <is>
          <t>Comments</t>
        </is>
      </c>
    </row>
    <row r="12">
      <c r="A12" s="46" t="inlineStr">
        <is>
          <t>Lead Assessor / Author</t>
        </is>
      </c>
      <c r="B12" s="44" t="n"/>
      <c r="C12" s="44" t="n"/>
      <c r="D12" s="44" t="n"/>
      <c r="E12" s="44" t="n"/>
    </row>
    <row r="13">
      <c r="A13" s="46" t="inlineStr">
        <is>
          <t>IT Security Manager</t>
        </is>
      </c>
      <c r="B13" s="44" t="n"/>
      <c r="C13" s="44" t="n"/>
      <c r="D13" s="44" t="n"/>
      <c r="E13" s="44" t="n"/>
    </row>
    <row r="14">
      <c r="A14" s="46" t="inlineStr">
        <is>
          <t>Reviewer (Technical / Compliance)</t>
        </is>
      </c>
      <c r="B14" s="44" t="n"/>
      <c r="C14" s="44" t="n"/>
      <c r="D14" s="44" t="n"/>
      <c r="E14" s="44" t="n"/>
    </row>
    <row r="15">
      <c r="A15" s="46" t="inlineStr">
        <is>
          <t>CISO / Final Approver</t>
        </is>
      </c>
      <c r="B15" s="44" t="n"/>
      <c r="C15" s="44" t="n"/>
      <c r="D15" s="44" t="n"/>
      <c r="E15" s="44" t="n"/>
    </row>
    <row r="16">
      <c r="A16" s="6" t="n"/>
    </row>
    <row r="17">
      <c r="A17" s="47" t="inlineStr">
        <is>
          <t>FINAL DECISION:</t>
        </is>
      </c>
      <c r="B17" s="48" t="inlineStr">
        <is>
          <t>☐ Approved     ☐ Approved with Conditions     ☐ Rejected     ☐ Deferred</t>
        </is>
      </c>
      <c r="C17" s="6" t="n"/>
      <c r="D17" s="6" t="n"/>
      <c r="E17" s="6" t="n"/>
    </row>
    <row r="18">
      <c r="A18" s="6" t="n"/>
    </row>
    <row r="19">
      <c r="A19" s="42" t="inlineStr">
        <is>
          <t>NEXT REVIEW DETAILS</t>
        </is>
      </c>
    </row>
    <row r="20">
      <c r="A20" s="49" t="inlineStr">
        <is>
          <t>Next Review Date (DD.MM.YYYY)</t>
        </is>
      </c>
      <c r="B20" s="44" t="n"/>
    </row>
    <row r="21">
      <c r="A21" s="49" t="inlineStr">
        <is>
          <t>Review Owner</t>
        </is>
      </c>
      <c r="B21" s="44"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ISMS-IMP-A.8.8.3 — Threat Intelligence</dc:title>
  <dc:description xmlns:dc="http://purl.org/dc/elements/1.1/">ISMS Implementation Workbook — ISMS-IMP-A.8.8.3</dc:description>
  <dc:subject xmlns:dc="http://purl.org/dc/elements/1.1/">ISO/IEC 27001:2022 — Control A.8.8: Management of Technical Vulnerabilities</dc:subject>
  <dcterms:created xmlns:dcterms="http://purl.org/dc/terms/" xmlns:xsi="http://www.w3.org/2001/XMLSchema-instance" xsi:type="dcterms:W3CDTF">2026-03-10T18:49:48Z</dcterms:created>
  <dcterms:modified xmlns:dcterms="http://purl.org/dc/terms/" xmlns:xsi="http://www.w3.org/2001/XMLSchema-instance" xsi:type="dcterms:W3CDTF">2026-03-10T18:49:48Z</dcterms:modified>
</cp:coreProperties>
</file>