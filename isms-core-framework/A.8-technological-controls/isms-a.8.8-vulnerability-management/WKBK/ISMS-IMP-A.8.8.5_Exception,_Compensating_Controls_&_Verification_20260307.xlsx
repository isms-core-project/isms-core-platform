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Exception Requests" sheetId="2" state="visible" r:id="rId2"/>
    <sheet xmlns:r="http://schemas.openxmlformats.org/officeDocument/2006/relationships" name="Compensating Controls" sheetId="3" state="visible" r:id="rId3"/>
    <sheet xmlns:r="http://schemas.openxmlformats.org/officeDocument/2006/relationships" name="CC Effectiveness" sheetId="4" state="visible" r:id="rId4"/>
    <sheet xmlns:r="http://schemas.openxmlformats.org/officeDocument/2006/relationships" name="Verification Queue" sheetId="5" state="visible" r:id="rId5"/>
    <sheet xmlns:r="http://schemas.openxmlformats.org/officeDocument/2006/relationships" name="Re-Remediation Log" sheetId="6" state="visible" r:id="rId6"/>
    <sheet xmlns:r="http://schemas.openxmlformats.org/officeDocument/2006/relationships" name="Evidence Register" sheetId="7" state="visible" r:id="rId7"/>
    <sheet xmlns:r="http://schemas.openxmlformats.org/officeDocument/2006/relationships" name="Summary Dashboard" sheetId="8" state="visible" r:id="rId8"/>
    <sheet xmlns:r="http://schemas.openxmlformats.org/officeDocument/2006/relationships" name="Approval Sign-Off" sheetId="9" state="visible" r:id="rId9"/>
  </sheets>
  <definedNames/>
  <calcPr calcId="124519" fullCalcOnLoad="1"/>
</workbook>
</file>

<file path=xl/styles.xml><?xml version="1.0" encoding="utf-8"?>
<styleSheet xmlns="http://schemas.openxmlformats.org/spreadsheetml/2006/main">
  <numFmts count="1">
    <numFmt numFmtId="164" formatCode="0.0%"/>
  </numFmts>
  <fonts count="17">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color rgb="00003366"/>
      <sz val="10"/>
    </font>
    <font>
      <name val="Calibri"/>
      <i val="1"/>
      <color rgb="00808080"/>
      <sz val="10"/>
    </font>
    <font>
      <name val="Calibri"/>
      <sz val="10"/>
    </font>
    <font>
      <name val="Calibri"/>
      <i val="1"/>
      <sz val="10"/>
    </font>
    <font>
      <name val="Calibri"/>
      <b val="1"/>
      <color rgb="00FFFFFF"/>
      <sz val="10"/>
    </font>
    <font>
      <name val="Calibri"/>
      <b val="1"/>
      <color rgb="00FFFFFF"/>
      <sz val="11"/>
    </font>
    <font>
      <name val="Calibri"/>
      <b val="1"/>
      <color rgb="00000000"/>
      <sz val="10"/>
    </font>
    <font>
      <name val="Calibri"/>
      <color rgb="00000000"/>
      <sz val="10"/>
    </font>
    <font>
      <name val="Calibri"/>
      <color rgb="00C00000"/>
      <sz val="10"/>
    </font>
    <font>
      <name val="Calibri"/>
      <color rgb="009C5700"/>
      <sz val="10"/>
    </font>
    <font>
      <name val="Calibri"/>
      <color rgb="00276221"/>
      <sz val="10"/>
    </font>
    <font>
      <name val="Calibri"/>
      <b val="1"/>
      <color rgb="00000000"/>
      <sz val="11"/>
    </font>
  </fonts>
  <fills count="17">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C00000"/>
        <bgColor rgb="00C00000"/>
      </patternFill>
    </fill>
    <fill>
      <patternFill patternType="solid">
        <fgColor rgb="00FFC7CE"/>
        <bgColor rgb="00FFC7CE"/>
      </patternFill>
    </fill>
    <fill>
      <patternFill patternType="solid">
        <fgColor rgb="00FFEB9C"/>
        <bgColor rgb="00FFEB9C"/>
      </patternFill>
    </fill>
    <fill>
      <patternFill patternType="solid">
        <fgColor rgb="00C6EFCE"/>
        <bgColor rgb="00C6EFCE"/>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45">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xf>
    <xf numFmtId="0" fontId="5" fillId="0" borderId="1" applyAlignment="1" pivotButton="0" quotePrefix="0" xfId="0">
      <alignment horizontal="center" vertical="center"/>
    </xf>
    <xf numFmtId="0" fontId="4" fillId="9" borderId="1" applyAlignment="1" pivotButton="0" quotePrefix="0" xfId="0">
      <alignment horizontal="center" vertical="center" wrapText="1"/>
    </xf>
    <xf numFmtId="0" fontId="6" fillId="10" borderId="1" applyAlignment="1" pivotButton="0" quotePrefix="0" xfId="0">
      <alignment horizontal="left" vertical="center"/>
    </xf>
    <xf numFmtId="0" fontId="7" fillId="11" borderId="1" applyAlignment="1" pivotButton="0" quotePrefix="0" xfId="0">
      <alignment horizontal="left" vertical="center"/>
    </xf>
    <xf numFmtId="0" fontId="1" fillId="8" borderId="1" applyAlignment="1" pivotButton="0" quotePrefix="0" xfId="0">
      <alignment horizontal="center" vertical="center"/>
    </xf>
    <xf numFmtId="0" fontId="8" fillId="0" borderId="1" applyAlignment="1" pivotButton="0" quotePrefix="0" xfId="0">
      <alignment horizontal="center" vertical="center"/>
    </xf>
    <xf numFmtId="0" fontId="9" fillId="8" borderId="1" applyAlignment="1" pivotButton="0" quotePrefix="0" xfId="0">
      <alignment horizontal="center" vertical="center" wrapText="1"/>
    </xf>
    <xf numFmtId="0" fontId="6" fillId="10" borderId="1" pivotButton="0" quotePrefix="0" xfId="0"/>
    <xf numFmtId="0" fontId="0" fillId="11" borderId="1" applyAlignment="1" pivotButton="0" quotePrefix="0" xfId="0">
      <alignment vertical="center"/>
    </xf>
    <xf numFmtId="0" fontId="5" fillId="0" borderId="0" applyAlignment="1" pivotButton="0" quotePrefix="0" xfId="0">
      <alignment horizontal="left" vertical="center"/>
    </xf>
    <xf numFmtId="0" fontId="10" fillId="8" borderId="1" applyAlignment="1" pivotButton="0" quotePrefix="0" xfId="0">
      <alignment horizontal="left" vertical="center"/>
    </xf>
    <xf numFmtId="0" fontId="11" fillId="9" borderId="1" applyAlignment="1" pivotButton="0" quotePrefix="0" xfId="0">
      <alignment horizontal="center" vertical="center" wrapText="1"/>
    </xf>
    <xf numFmtId="0" fontId="12" fillId="11" borderId="1" applyAlignment="1" pivotButton="0" quotePrefix="0" xfId="0">
      <alignment horizontal="left" vertical="center"/>
    </xf>
    <xf numFmtId="0" fontId="12" fillId="11" borderId="1" applyAlignment="1" pivotButton="0" quotePrefix="0" xfId="0">
      <alignment horizontal="center" vertical="center"/>
    </xf>
    <xf numFmtId="164" fontId="12" fillId="11" borderId="1" applyAlignment="1" pivotButton="0" quotePrefix="0" xfId="0">
      <alignment horizontal="center" vertical="center"/>
    </xf>
    <xf numFmtId="0" fontId="11" fillId="9" borderId="1" applyAlignment="1" pivotButton="0" quotePrefix="0" xfId="0">
      <alignment horizontal="left" vertical="center"/>
    </xf>
    <xf numFmtId="0" fontId="11" fillId="9" borderId="1" applyAlignment="1" pivotButton="0" quotePrefix="0" xfId="0">
      <alignment horizontal="center" vertical="center"/>
    </xf>
    <xf numFmtId="164" fontId="11" fillId="9" borderId="1" applyAlignment="1" pivotButton="0" quotePrefix="0" xfId="0">
      <alignment horizontal="center" vertical="center"/>
    </xf>
    <xf numFmtId="0" fontId="0" fillId="11" borderId="1" pivotButton="0" quotePrefix="0" xfId="0"/>
    <xf numFmtId="0" fontId="10" fillId="12" borderId="1" applyAlignment="1" pivotButton="0" quotePrefix="0" xfId="0">
      <alignment horizontal="left" vertical="center"/>
    </xf>
    <xf numFmtId="0" fontId="13" fillId="13" borderId="1" applyAlignment="1" pivotButton="0" quotePrefix="0" xfId="0">
      <alignment horizontal="left" vertical="center"/>
    </xf>
    <xf numFmtId="0" fontId="13" fillId="13" borderId="1" applyAlignment="1" pivotButton="0" quotePrefix="0" xfId="0">
      <alignment horizontal="center" vertical="center"/>
    </xf>
    <xf numFmtId="0" fontId="14" fillId="14" borderId="1" applyAlignment="1" pivotButton="0" quotePrefix="0" xfId="0">
      <alignment horizontal="left" vertical="center"/>
    </xf>
    <xf numFmtId="0" fontId="14" fillId="14" borderId="1" applyAlignment="1" pivotButton="0" quotePrefix="0" xfId="0">
      <alignment horizontal="center" vertical="center"/>
    </xf>
    <xf numFmtId="0" fontId="15" fillId="15" borderId="1" applyAlignment="1" pivotButton="0" quotePrefix="0" xfId="0">
      <alignment horizontal="left" vertical="center"/>
    </xf>
    <xf numFmtId="0" fontId="15" fillId="15" borderId="1" applyAlignment="1" pivotButton="0" quotePrefix="0" xfId="0">
      <alignment horizontal="center" vertical="center"/>
    </xf>
    <xf numFmtId="0" fontId="10" fillId="16" borderId="1" applyAlignment="1" pivotButton="0" quotePrefix="0" xfId="0">
      <alignment horizontal="center" vertical="center"/>
    </xf>
    <xf numFmtId="0" fontId="11" fillId="0" borderId="1" pivotButton="0" quotePrefix="0" xfId="0"/>
    <xf numFmtId="164" fontId="0" fillId="0" borderId="1" pivotButton="0" quotePrefix="0" xfId="0"/>
    <xf numFmtId="0" fontId="7" fillId="11" borderId="1" pivotButton="0" quotePrefix="0" xfId="0"/>
    <xf numFmtId="0" fontId="16" fillId="0" borderId="1" pivotButton="0" quotePrefix="0" xfId="0"/>
    <xf numFmtId="0" fontId="7" fillId="11" borderId="1" applyAlignment="1" pivotButton="0" quotePrefix="0" xfId="0">
      <alignment horizontal="center" vertical="center"/>
    </xf>
    <xf numFmtId="0" fontId="11" fillId="11"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ISMS-IMP-A.8.8.5  -  Exception, Compensating Controls &amp; Verification
ISO/IEC 27001:2022 - Control A.8.8: Management of Technical Vulnerabilities</t>
        </is>
      </c>
    </row>
    <row r="3">
      <c r="A3" s="2" t="inlineStr">
        <is>
          <t>Document Information</t>
        </is>
      </c>
    </row>
    <row r="4">
      <c r="A4" s="3" t="inlineStr">
        <is>
          <t>Document ID</t>
        </is>
      </c>
      <c r="B4" t="inlineStr">
        <is>
          <t>ISMS-IMP-A.8.8.5</t>
        </is>
      </c>
    </row>
    <row r="5">
      <c r="A5" s="3" t="inlineStr">
        <is>
          <t>Workbook Title</t>
        </is>
      </c>
      <c r="B5" t="inlineStr">
        <is>
          <t>Exception, Compensating Controls &amp; Verification</t>
        </is>
      </c>
    </row>
    <row r="6">
      <c r="A6" s="3" t="inlineStr">
        <is>
          <t>Control Reference</t>
        </is>
      </c>
      <c r="B6" t="inlineStr">
        <is>
          <t>ISO/IEC 27001:2022 - Control A.8.8: Management of Technical Vulnerabilities</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Review this sheet to understand the assessment structure and status conventions.</t>
        </is>
      </c>
    </row>
    <row r="14">
      <c r="A14" t="inlineStr">
        <is>
          <t>2. Complete the Exception Requests sheet with all active vulnerability exceptions.</t>
        </is>
      </c>
    </row>
    <row r="15">
      <c r="A15" t="inlineStr">
        <is>
          <t>3. Complete the Compensating Controls sheet with controls applied where patching is deferred.</t>
        </is>
      </c>
    </row>
    <row r="16">
      <c r="A16" t="inlineStr">
        <is>
          <t>4. Complete the CC Effectiveness sheet with validation results for each compensating control.</t>
        </is>
      </c>
    </row>
    <row r="17">
      <c r="A17" t="inlineStr">
        <is>
          <t>5. Complete the Verification Queue sheet with post-remediation verification records.</t>
        </is>
      </c>
    </row>
    <row r="18">
      <c r="A18" t="inlineStr">
        <is>
          <t>6. Complete the Re-Remediation Log sheet with cases requiring re-remediation.</t>
        </is>
      </c>
    </row>
    <row r="19">
      <c r="A19" t="inlineStr">
        <is>
          <t>7. Record all supporting evidence in the Evidence Register.</t>
        </is>
      </c>
    </row>
    <row r="20">
      <c r="A20" t="inlineStr">
        <is>
          <t>8. Review the Summary Dashboard for TABLE 1/2/3 compliance metrics.</t>
        </is>
      </c>
    </row>
    <row r="21">
      <c r="A21" t="inlineStr">
        <is>
          <t>9. Obtain sign-off via the Approval Sign-Off sheet.</t>
        </is>
      </c>
    </row>
    <row r="23">
      <c r="A23" s="2" t="inlineStr">
        <is>
          <t>Status Legend</t>
        </is>
      </c>
    </row>
    <row r="24">
      <c r="A24" s="5" t="inlineStr">
        <is>
          <t>Symbol</t>
        </is>
      </c>
      <c r="B24" s="5" t="inlineStr">
        <is>
          <t>Status</t>
        </is>
      </c>
      <c r="C24" s="5" t="inlineStr">
        <is>
          <t>Description</t>
        </is>
      </c>
    </row>
    <row r="25">
      <c r="A25" s="6" t="inlineStr">
        <is>
          <t>✓</t>
        </is>
      </c>
      <c r="B25" s="7" t="inlineStr">
        <is>
          <t>Compliant / Complete</t>
        </is>
      </c>
      <c r="C25" s="8" t="inlineStr">
        <is>
          <t>Requirement fully met</t>
        </is>
      </c>
    </row>
    <row r="26">
      <c r="A26" s="6" t="inlineStr">
        <is>
          <t>⚠</t>
        </is>
      </c>
      <c r="B26" s="9" t="inlineStr">
        <is>
          <t>Partial / In Progress</t>
        </is>
      </c>
      <c r="C26" s="8" t="inlineStr">
        <is>
          <t>Partially met or in progress</t>
        </is>
      </c>
    </row>
    <row r="27">
      <c r="A27" s="6" t="inlineStr">
        <is>
          <t>✗</t>
        </is>
      </c>
      <c r="B27" s="10" t="inlineStr">
        <is>
          <t>Non-Compliant / Not Started</t>
        </is>
      </c>
      <c r="C27" s="8" t="inlineStr">
        <is>
          <t>Requirement not met</t>
        </is>
      </c>
    </row>
    <row r="28">
      <c r="A28" s="6" t="inlineStr">
        <is>
          <t>—</t>
        </is>
      </c>
      <c r="B28" s="8" t="inlineStr">
        <is>
          <t>Not Applicable</t>
        </is>
      </c>
      <c r="C28"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B55"/>
  <sheetViews>
    <sheetView showGridLines="0" workbookViewId="0">
      <pane ySplit="4" topLeftCell="A5" activePane="bottomLeft" state="frozen"/>
      <selection pane="bottomLeft" activeCell="A1" sqref="A1"/>
    </sheetView>
  </sheetViews>
  <sheetFormatPr baseColWidth="8" defaultRowHeight="15"/>
  <cols>
    <col width="16" customWidth="1" min="1" max="1"/>
    <col width="14" customWidth="1" min="2" max="2"/>
    <col width="18" customWidth="1" min="3" max="3"/>
    <col width="16" customWidth="1" min="4" max="4"/>
    <col width="16" customWidth="1" min="5" max="5"/>
    <col width="18" customWidth="1" min="6" max="6"/>
    <col width="40" customWidth="1" min="7" max="7"/>
    <col width="40" customWidth="1" min="8" max="8"/>
    <col width="20" customWidth="1" min="9" max="9"/>
    <col width="16" customWidth="1" min="10" max="10"/>
    <col width="20" customWidth="1" min="11" max="11"/>
    <col width="20" customWidth="1" min="12" max="12"/>
    <col width="14" customWidth="1" min="13" max="13"/>
    <col width="14" customWidth="1" min="14" max="14"/>
    <col width="14" customWidth="1" min="15" max="15"/>
    <col width="16" customWidth="1" min="16" max="16"/>
    <col width="22" customWidth="1" min="17" max="17"/>
    <col width="35" customWidth="1" min="18" max="18"/>
    <col width="18" customWidth="1" min="19" max="19"/>
    <col width="22" customWidth="1" min="20" max="20"/>
    <col width="22" customWidth="1" min="21" max="21"/>
    <col width="20" customWidth="1" min="22" max="22"/>
    <col width="16" customWidth="1" min="23" max="23"/>
    <col width="30" customWidth="1" min="24" max="24"/>
    <col width="16" customWidth="1" min="25" max="25"/>
    <col width="16" customWidth="1" min="26" max="26"/>
    <col width="14" customWidth="1" min="27" max="27"/>
    <col width="18" customWidth="1" min="28" max="28"/>
  </cols>
  <sheetData>
    <row r="1" ht="35" customHeight="1">
      <c r="A1" s="11" t="inlineStr">
        <is>
          <t>ISMS-IMP-A.8.8.5  —  EXCEPTION REQUESTS</t>
        </is>
      </c>
    </row>
    <row r="2">
      <c r="A2" s="12" t="inlineStr">
        <is>
          <t>ISO/IEC 27001:2022 — Control A.8.8: Vulnerability Exception Portfolio</t>
        </is>
      </c>
    </row>
    <row r="3">
      <c r="A3" s="6" t="n"/>
    </row>
    <row r="4">
      <c r="A4" s="13" t="inlineStr">
        <is>
          <t>Exception_ID</t>
        </is>
      </c>
      <c r="B4" s="13" t="inlineStr">
        <is>
          <t>Vuln_ID</t>
        </is>
      </c>
      <c r="C4" s="13" t="inlineStr">
        <is>
          <t>CVE_ID</t>
        </is>
      </c>
      <c r="D4" s="13" t="inlineStr">
        <is>
          <t>Asset_ID</t>
        </is>
      </c>
      <c r="E4" s="13" t="inlineStr">
        <is>
          <t>Asset_Criticality</t>
        </is>
      </c>
      <c r="F4" s="13" t="inlineStr">
        <is>
          <t>Exception_Type</t>
        </is>
      </c>
      <c r="G4" s="13" t="inlineStr">
        <is>
          <t>Risk_Description</t>
        </is>
      </c>
      <c r="H4" s="13" t="inlineStr">
        <is>
          <t>Business_Justification</t>
        </is>
      </c>
      <c r="I4" s="13" t="inlineStr">
        <is>
          <t>Requested_By</t>
        </is>
      </c>
      <c r="J4" s="13" t="inlineStr">
        <is>
          <t>Request_Date</t>
        </is>
      </c>
      <c r="K4" s="13" t="inlineStr">
        <is>
          <t>Risk_Owner</t>
        </is>
      </c>
      <c r="L4" s="13" t="inlineStr">
        <is>
          <t>IT_Security_Lead</t>
        </is>
      </c>
      <c r="M4" s="13" t="inlineStr">
        <is>
          <t>Start_Date</t>
        </is>
      </c>
      <c r="N4" s="13" t="inlineStr">
        <is>
          <t>End_Date</t>
        </is>
      </c>
      <c r="O4" s="13" t="inlineStr">
        <is>
          <t>Duration_Days</t>
        </is>
      </c>
      <c r="P4" s="13" t="inlineStr">
        <is>
          <t>Review_Frequency</t>
        </is>
      </c>
      <c r="Q4" s="13" t="inlineStr">
        <is>
          <t>Compensating_Control_ID</t>
        </is>
      </c>
      <c r="R4" s="13" t="inlineStr">
        <is>
          <t>Compensating_Control_Description</t>
        </is>
      </c>
      <c r="S4" s="13" t="inlineStr">
        <is>
          <t>Residual_Risk_Level</t>
        </is>
      </c>
      <c r="T4" s="13" t="inlineStr">
        <is>
          <t>Risk_Treatment_Reference</t>
        </is>
      </c>
      <c r="U4" s="13" t="inlineStr">
        <is>
          <t>Approval_Level_Required</t>
        </is>
      </c>
      <c r="V4" s="13" t="inlineStr">
        <is>
          <t>Approved_By</t>
        </is>
      </c>
      <c r="W4" s="13" t="inlineStr">
        <is>
          <t>Approval_Date</t>
        </is>
      </c>
      <c r="X4" s="13" t="inlineStr">
        <is>
          <t>Approval_Comments</t>
        </is>
      </c>
      <c r="Y4" s="13" t="inlineStr">
        <is>
          <t>Last_Review_Date</t>
        </is>
      </c>
      <c r="Z4" s="13" t="inlineStr">
        <is>
          <t>Next_Review_Date</t>
        </is>
      </c>
      <c r="AA4" s="13" t="inlineStr">
        <is>
          <t>Closure_Date</t>
        </is>
      </c>
      <c r="AB4" s="13" t="inlineStr">
        <is>
          <t>Status</t>
        </is>
      </c>
    </row>
    <row r="5">
      <c r="A5" s="14" t="inlineStr">
        <is>
          <t>EXC-001</t>
        </is>
      </c>
      <c r="B5" s="14" t="inlineStr">
        <is>
          <t>VULN-001</t>
        </is>
      </c>
      <c r="C5" s="14" t="inlineStr">
        <is>
          <t>CVE-2024-1234</t>
        </is>
      </c>
      <c r="D5" s="14" t="inlineStr">
        <is>
          <t>SRV-PROD-001</t>
        </is>
      </c>
      <c r="E5" s="14" t="inlineStr">
        <is>
          <t>Critical</t>
        </is>
      </c>
      <c r="F5" s="14" t="inlineStr">
        <is>
          <t>Temporary</t>
        </is>
      </c>
      <c r="G5" s="14" t="inlineStr">
        <is>
          <t>Cannot patch during trading hours; business-critical system</t>
        </is>
      </c>
      <c r="H5" s="14" t="inlineStr">
        <is>
          <t>System unavailable for 4hr maintenance window; next window in 30 days</t>
        </is>
      </c>
      <c r="I5" s="14" t="inlineStr">
        <is>
          <t>Infrastructure Lead</t>
        </is>
      </c>
      <c r="J5" s="14" t="inlineStr">
        <is>
          <t>20/01/2024</t>
        </is>
      </c>
      <c r="K5" s="14" t="inlineStr">
        <is>
          <t>Infrastructure Lead</t>
        </is>
      </c>
      <c r="L5" s="14" t="inlineStr">
        <is>
          <t>Security Manager</t>
        </is>
      </c>
      <c r="M5" s="14" t="inlineStr">
        <is>
          <t>20/01/2024</t>
        </is>
      </c>
      <c r="N5" s="14" t="inlineStr">
        <is>
          <t>20/02/2024</t>
        </is>
      </c>
      <c r="O5" s="14" t="n">
        <v>30</v>
      </c>
      <c r="P5" s="14" t="inlineStr">
        <is>
          <t>Monthly</t>
        </is>
      </c>
      <c r="Q5" s="14" t="inlineStr">
        <is>
          <t>CC-001</t>
        </is>
      </c>
      <c r="R5" s="14" t="inlineStr">
        <is>
          <t>WAF rule added to block exploitation vector</t>
        </is>
      </c>
      <c r="S5" s="14" t="inlineStr">
        <is>
          <t>Low</t>
        </is>
      </c>
      <c r="T5" s="14" t="inlineStr">
        <is>
          <t>TRT-001</t>
        </is>
      </c>
      <c r="U5" s="14" t="inlineStr">
        <is>
          <t>CISO</t>
        </is>
      </c>
      <c r="V5" s="14" t="inlineStr">
        <is>
          <t>CISO</t>
        </is>
      </c>
      <c r="W5" s="14" t="inlineStr">
        <is>
          <t>21/01/2024</t>
        </is>
      </c>
      <c r="X5" s="14" t="inlineStr">
        <is>
          <t>Approved pending monthly review</t>
        </is>
      </c>
      <c r="Y5" s="14" t="inlineStr">
        <is>
          <t>21/01/2024</t>
        </is>
      </c>
      <c r="Z5" s="14" t="inlineStr">
        <is>
          <t>20/02/2024</t>
        </is>
      </c>
      <c r="AA5" s="14" t="inlineStr"/>
      <c r="AB5" s="14" t="inlineStr">
        <is>
          <t>Active</t>
        </is>
      </c>
    </row>
    <row r="6">
      <c r="A6" s="15" t="n"/>
      <c r="B6" s="15" t="n"/>
      <c r="C6" s="15" t="n"/>
      <c r="D6" s="15" t="n"/>
      <c r="E6" s="15" t="n"/>
      <c r="F6" s="15" t="n"/>
      <c r="G6" s="15" t="n"/>
      <c r="H6" s="15" t="n"/>
      <c r="I6" s="15" t="n"/>
      <c r="J6" s="15" t="n"/>
      <c r="K6" s="15" t="n"/>
      <c r="L6" s="15" t="n"/>
      <c r="M6" s="15" t="n"/>
      <c r="N6" s="15" t="n"/>
      <c r="O6" s="15" t="n"/>
      <c r="P6" s="15" t="n"/>
      <c r="Q6" s="15" t="n"/>
      <c r="R6" s="15" t="n"/>
      <c r="S6" s="15" t="n"/>
      <c r="T6" s="15" t="n"/>
      <c r="U6" s="15" t="n"/>
      <c r="V6" s="15" t="n"/>
      <c r="W6" s="15" t="n"/>
      <c r="X6" s="15" t="n"/>
      <c r="Y6" s="15" t="n"/>
      <c r="Z6" s="15" t="n"/>
      <c r="AA6" s="15" t="n"/>
      <c r="AB6" s="15" t="n"/>
    </row>
    <row r="7">
      <c r="A7" s="15" t="n"/>
      <c r="B7" s="15" t="n"/>
      <c r="C7" s="15" t="n"/>
      <c r="D7" s="15" t="n"/>
      <c r="E7" s="15" t="n"/>
      <c r="F7" s="15" t="n"/>
      <c r="G7" s="15" t="n"/>
      <c r="H7" s="15" t="n"/>
      <c r="I7" s="15" t="n"/>
      <c r="J7" s="15" t="n"/>
      <c r="K7" s="15" t="n"/>
      <c r="L7" s="15" t="n"/>
      <c r="M7" s="15" t="n"/>
      <c r="N7" s="15" t="n"/>
      <c r="O7" s="15" t="n"/>
      <c r="P7" s="15" t="n"/>
      <c r="Q7" s="15" t="n"/>
      <c r="R7" s="15" t="n"/>
      <c r="S7" s="15" t="n"/>
      <c r="T7" s="15" t="n"/>
      <c r="U7" s="15" t="n"/>
      <c r="V7" s="15" t="n"/>
      <c r="W7" s="15" t="n"/>
      <c r="X7" s="15" t="n"/>
      <c r="Y7" s="15" t="n"/>
      <c r="Z7" s="15" t="n"/>
      <c r="AA7" s="15" t="n"/>
      <c r="AB7" s="15" t="n"/>
    </row>
    <row r="8">
      <c r="A8" s="15" t="n"/>
      <c r="B8" s="15" t="n"/>
      <c r="C8" s="15" t="n"/>
      <c r="D8" s="15" t="n"/>
      <c r="E8" s="15" t="n"/>
      <c r="F8" s="15" t="n"/>
      <c r="G8" s="15" t="n"/>
      <c r="H8" s="15" t="n"/>
      <c r="I8" s="15" t="n"/>
      <c r="J8" s="15" t="n"/>
      <c r="K8" s="15" t="n"/>
      <c r="L8" s="15" t="n"/>
      <c r="M8" s="15" t="n"/>
      <c r="N8" s="15" t="n"/>
      <c r="O8" s="15" t="n"/>
      <c r="P8" s="15" t="n"/>
      <c r="Q8" s="15" t="n"/>
      <c r="R8" s="15" t="n"/>
      <c r="S8" s="15" t="n"/>
      <c r="T8" s="15" t="n"/>
      <c r="U8" s="15" t="n"/>
      <c r="V8" s="15" t="n"/>
      <c r="W8" s="15" t="n"/>
      <c r="X8" s="15" t="n"/>
      <c r="Y8" s="15" t="n"/>
      <c r="Z8" s="15" t="n"/>
      <c r="AA8" s="15" t="n"/>
      <c r="AB8" s="15" t="n"/>
    </row>
    <row r="9">
      <c r="A9" s="15" t="n"/>
      <c r="B9" s="15" t="n"/>
      <c r="C9" s="15" t="n"/>
      <c r="D9" s="15" t="n"/>
      <c r="E9" s="15" t="n"/>
      <c r="F9" s="15" t="n"/>
      <c r="G9" s="15" t="n"/>
      <c r="H9" s="15" t="n"/>
      <c r="I9" s="15" t="n"/>
      <c r="J9" s="15" t="n"/>
      <c r="K9" s="15" t="n"/>
      <c r="L9" s="15" t="n"/>
      <c r="M9" s="15" t="n"/>
      <c r="N9" s="15" t="n"/>
      <c r="O9" s="15" t="n"/>
      <c r="P9" s="15" t="n"/>
      <c r="Q9" s="15" t="n"/>
      <c r="R9" s="15" t="n"/>
      <c r="S9" s="15" t="n"/>
      <c r="T9" s="15" t="n"/>
      <c r="U9" s="15" t="n"/>
      <c r="V9" s="15" t="n"/>
      <c r="W9" s="15" t="n"/>
      <c r="X9" s="15" t="n"/>
      <c r="Y9" s="15" t="n"/>
      <c r="Z9" s="15" t="n"/>
      <c r="AA9" s="15" t="n"/>
      <c r="AB9" s="15" t="n"/>
    </row>
    <row r="10">
      <c r="A10" s="15" t="n"/>
      <c r="B10" s="15" t="n"/>
      <c r="C10" s="15" t="n"/>
      <c r="D10" s="15" t="n"/>
      <c r="E10" s="15" t="n"/>
      <c r="F10" s="15" t="n"/>
      <c r="G10" s="15" t="n"/>
      <c r="H10" s="15" t="n"/>
      <c r="I10" s="15" t="n"/>
      <c r="J10" s="15" t="n"/>
      <c r="K10" s="15" t="n"/>
      <c r="L10" s="15" t="n"/>
      <c r="M10" s="15" t="n"/>
      <c r="N10" s="15" t="n"/>
      <c r="O10" s="15" t="n"/>
      <c r="P10" s="15" t="n"/>
      <c r="Q10" s="15" t="n"/>
      <c r="R10" s="15" t="n"/>
      <c r="S10" s="15" t="n"/>
      <c r="T10" s="15" t="n"/>
      <c r="U10" s="15" t="n"/>
      <c r="V10" s="15" t="n"/>
      <c r="W10" s="15" t="n"/>
      <c r="X10" s="15" t="n"/>
      <c r="Y10" s="15" t="n"/>
      <c r="Z10" s="15" t="n"/>
      <c r="AA10" s="15" t="n"/>
      <c r="AB10" s="15" t="n"/>
    </row>
    <row r="11">
      <c r="A11" s="15" t="n"/>
      <c r="B11" s="15" t="n"/>
      <c r="C11" s="15" t="n"/>
      <c r="D11" s="15" t="n"/>
      <c r="E11" s="15" t="n"/>
      <c r="F11" s="15" t="n"/>
      <c r="G11" s="15" t="n"/>
      <c r="H11" s="15" t="n"/>
      <c r="I11" s="15" t="n"/>
      <c r="J11" s="15" t="n"/>
      <c r="K11" s="15" t="n"/>
      <c r="L11" s="15" t="n"/>
      <c r="M11" s="15" t="n"/>
      <c r="N11" s="15" t="n"/>
      <c r="O11" s="15" t="n"/>
      <c r="P11" s="15" t="n"/>
      <c r="Q11" s="15" t="n"/>
      <c r="R11" s="15" t="n"/>
      <c r="S11" s="15" t="n"/>
      <c r="T11" s="15" t="n"/>
      <c r="U11" s="15" t="n"/>
      <c r="V11" s="15" t="n"/>
      <c r="W11" s="15" t="n"/>
      <c r="X11" s="15" t="n"/>
      <c r="Y11" s="15" t="n"/>
      <c r="Z11" s="15" t="n"/>
      <c r="AA11" s="15" t="n"/>
      <c r="AB11" s="15" t="n"/>
    </row>
    <row r="12">
      <c r="A12" s="15" t="n"/>
      <c r="B12" s="15" t="n"/>
      <c r="C12" s="15" t="n"/>
      <c r="D12" s="15" t="n"/>
      <c r="E12" s="15" t="n"/>
      <c r="F12" s="15" t="n"/>
      <c r="G12" s="15" t="n"/>
      <c r="H12" s="15" t="n"/>
      <c r="I12" s="15" t="n"/>
      <c r="J12" s="15" t="n"/>
      <c r="K12" s="15" t="n"/>
      <c r="L12" s="15" t="n"/>
      <c r="M12" s="15" t="n"/>
      <c r="N12" s="15" t="n"/>
      <c r="O12" s="15" t="n"/>
      <c r="P12" s="15" t="n"/>
      <c r="Q12" s="15" t="n"/>
      <c r="R12" s="15" t="n"/>
      <c r="S12" s="15" t="n"/>
      <c r="T12" s="15" t="n"/>
      <c r="U12" s="15" t="n"/>
      <c r="V12" s="15" t="n"/>
      <c r="W12" s="15" t="n"/>
      <c r="X12" s="15" t="n"/>
      <c r="Y12" s="15" t="n"/>
      <c r="Z12" s="15" t="n"/>
      <c r="AA12" s="15" t="n"/>
      <c r="AB12" s="15" t="n"/>
    </row>
    <row r="13">
      <c r="A13" s="15" t="n"/>
      <c r="B13" s="15" t="n"/>
      <c r="C13" s="15" t="n"/>
      <c r="D13" s="15" t="n"/>
      <c r="E13" s="15" t="n"/>
      <c r="F13" s="15" t="n"/>
      <c r="G13" s="15" t="n"/>
      <c r="H13" s="15" t="n"/>
      <c r="I13" s="15" t="n"/>
      <c r="J13" s="15" t="n"/>
      <c r="K13" s="15" t="n"/>
      <c r="L13" s="15" t="n"/>
      <c r="M13" s="15" t="n"/>
      <c r="N13" s="15" t="n"/>
      <c r="O13" s="15" t="n"/>
      <c r="P13" s="15" t="n"/>
      <c r="Q13" s="15" t="n"/>
      <c r="R13" s="15" t="n"/>
      <c r="S13" s="15" t="n"/>
      <c r="T13" s="15" t="n"/>
      <c r="U13" s="15" t="n"/>
      <c r="V13" s="15" t="n"/>
      <c r="W13" s="15" t="n"/>
      <c r="X13" s="15" t="n"/>
      <c r="Y13" s="15" t="n"/>
      <c r="Z13" s="15" t="n"/>
      <c r="AA13" s="15" t="n"/>
      <c r="AB13" s="15" t="n"/>
    </row>
    <row r="14">
      <c r="A14" s="15" t="n"/>
      <c r="B14" s="15" t="n"/>
      <c r="C14" s="15" t="n"/>
      <c r="D14" s="15" t="n"/>
      <c r="E14" s="15" t="n"/>
      <c r="F14" s="15" t="n"/>
      <c r="G14" s="15" t="n"/>
      <c r="H14" s="15" t="n"/>
      <c r="I14" s="15" t="n"/>
      <c r="J14" s="15" t="n"/>
      <c r="K14" s="15" t="n"/>
      <c r="L14" s="15" t="n"/>
      <c r="M14" s="15" t="n"/>
      <c r="N14" s="15" t="n"/>
      <c r="O14" s="15" t="n"/>
      <c r="P14" s="15" t="n"/>
      <c r="Q14" s="15" t="n"/>
      <c r="R14" s="15" t="n"/>
      <c r="S14" s="15" t="n"/>
      <c r="T14" s="15" t="n"/>
      <c r="U14" s="15" t="n"/>
      <c r="V14" s="15" t="n"/>
      <c r="W14" s="15" t="n"/>
      <c r="X14" s="15" t="n"/>
      <c r="Y14" s="15" t="n"/>
      <c r="Z14" s="15" t="n"/>
      <c r="AA14" s="15" t="n"/>
      <c r="AB14" s="15" t="n"/>
    </row>
    <row r="15">
      <c r="A15" s="15" t="n"/>
      <c r="B15" s="15" t="n"/>
      <c r="C15" s="15" t="n"/>
      <c r="D15" s="15" t="n"/>
      <c r="E15" s="15" t="n"/>
      <c r="F15" s="15" t="n"/>
      <c r="G15" s="15" t="n"/>
      <c r="H15" s="15" t="n"/>
      <c r="I15" s="15" t="n"/>
      <c r="J15" s="15" t="n"/>
      <c r="K15" s="15" t="n"/>
      <c r="L15" s="15" t="n"/>
      <c r="M15" s="15" t="n"/>
      <c r="N15" s="15" t="n"/>
      <c r="O15" s="15" t="n"/>
      <c r="P15" s="15" t="n"/>
      <c r="Q15" s="15" t="n"/>
      <c r="R15" s="15" t="n"/>
      <c r="S15" s="15" t="n"/>
      <c r="T15" s="15" t="n"/>
      <c r="U15" s="15" t="n"/>
      <c r="V15" s="15" t="n"/>
      <c r="W15" s="15" t="n"/>
      <c r="X15" s="15" t="n"/>
      <c r="Y15" s="15" t="n"/>
      <c r="Z15" s="15" t="n"/>
      <c r="AA15" s="15" t="n"/>
      <c r="AB15" s="15" t="n"/>
    </row>
    <row r="16">
      <c r="A16" s="15" t="n"/>
      <c r="B16" s="15" t="n"/>
      <c r="C16" s="15" t="n"/>
      <c r="D16" s="15" t="n"/>
      <c r="E16" s="15" t="n"/>
      <c r="F16" s="15" t="n"/>
      <c r="G16" s="15" t="n"/>
      <c r="H16" s="15" t="n"/>
      <c r="I16" s="15" t="n"/>
      <c r="J16" s="15" t="n"/>
      <c r="K16" s="15" t="n"/>
      <c r="L16" s="15" t="n"/>
      <c r="M16" s="15" t="n"/>
      <c r="N16" s="15" t="n"/>
      <c r="O16" s="15" t="n"/>
      <c r="P16" s="15" t="n"/>
      <c r="Q16" s="15" t="n"/>
      <c r="R16" s="15" t="n"/>
      <c r="S16" s="15" t="n"/>
      <c r="T16" s="15" t="n"/>
      <c r="U16" s="15" t="n"/>
      <c r="V16" s="15" t="n"/>
      <c r="W16" s="15" t="n"/>
      <c r="X16" s="15" t="n"/>
      <c r="Y16" s="15" t="n"/>
      <c r="Z16" s="15" t="n"/>
      <c r="AA16" s="15" t="n"/>
      <c r="AB16" s="15" t="n"/>
    </row>
    <row r="17">
      <c r="A17" s="15" t="n"/>
      <c r="B17" s="15" t="n"/>
      <c r="C17" s="15" t="n"/>
      <c r="D17" s="15" t="n"/>
      <c r="E17" s="15" t="n"/>
      <c r="F17" s="15" t="n"/>
      <c r="G17" s="15" t="n"/>
      <c r="H17" s="15" t="n"/>
      <c r="I17" s="15" t="n"/>
      <c r="J17" s="15" t="n"/>
      <c r="K17" s="15" t="n"/>
      <c r="L17" s="15" t="n"/>
      <c r="M17" s="15" t="n"/>
      <c r="N17" s="15" t="n"/>
      <c r="O17" s="15" t="n"/>
      <c r="P17" s="15" t="n"/>
      <c r="Q17" s="15" t="n"/>
      <c r="R17" s="15" t="n"/>
      <c r="S17" s="15" t="n"/>
      <c r="T17" s="15" t="n"/>
      <c r="U17" s="15" t="n"/>
      <c r="V17" s="15" t="n"/>
      <c r="W17" s="15" t="n"/>
      <c r="X17" s="15" t="n"/>
      <c r="Y17" s="15" t="n"/>
      <c r="Z17" s="15" t="n"/>
      <c r="AA17" s="15" t="n"/>
      <c r="AB17" s="15" t="n"/>
    </row>
    <row r="18">
      <c r="A18" s="15" t="n"/>
      <c r="B18" s="15" t="n"/>
      <c r="C18" s="15" t="n"/>
      <c r="D18" s="15" t="n"/>
      <c r="E18" s="15" t="n"/>
      <c r="F18" s="15" t="n"/>
      <c r="G18" s="15" t="n"/>
      <c r="H18" s="15" t="n"/>
      <c r="I18" s="15" t="n"/>
      <c r="J18" s="15" t="n"/>
      <c r="K18" s="15" t="n"/>
      <c r="L18" s="15" t="n"/>
      <c r="M18" s="15" t="n"/>
      <c r="N18" s="15" t="n"/>
      <c r="O18" s="15" t="n"/>
      <c r="P18" s="15" t="n"/>
      <c r="Q18" s="15" t="n"/>
      <c r="R18" s="15" t="n"/>
      <c r="S18" s="15" t="n"/>
      <c r="T18" s="15" t="n"/>
      <c r="U18" s="15" t="n"/>
      <c r="V18" s="15" t="n"/>
      <c r="W18" s="15" t="n"/>
      <c r="X18" s="15" t="n"/>
      <c r="Y18" s="15" t="n"/>
      <c r="Z18" s="15" t="n"/>
      <c r="AA18" s="15" t="n"/>
      <c r="AB18" s="15" t="n"/>
    </row>
    <row r="19">
      <c r="A19" s="15" t="n"/>
      <c r="B19" s="15" t="n"/>
      <c r="C19" s="15" t="n"/>
      <c r="D19" s="15" t="n"/>
      <c r="E19" s="15" t="n"/>
      <c r="F19" s="15" t="n"/>
      <c r="G19" s="15" t="n"/>
      <c r="H19" s="15" t="n"/>
      <c r="I19" s="15" t="n"/>
      <c r="J19" s="15" t="n"/>
      <c r="K19" s="15" t="n"/>
      <c r="L19" s="15" t="n"/>
      <c r="M19" s="15" t="n"/>
      <c r="N19" s="15" t="n"/>
      <c r="O19" s="15" t="n"/>
      <c r="P19" s="15" t="n"/>
      <c r="Q19" s="15" t="n"/>
      <c r="R19" s="15" t="n"/>
      <c r="S19" s="15" t="n"/>
      <c r="T19" s="15" t="n"/>
      <c r="U19" s="15" t="n"/>
      <c r="V19" s="15" t="n"/>
      <c r="W19" s="15" t="n"/>
      <c r="X19" s="15" t="n"/>
      <c r="Y19" s="15" t="n"/>
      <c r="Z19" s="15" t="n"/>
      <c r="AA19" s="15" t="n"/>
      <c r="AB19" s="15" t="n"/>
    </row>
    <row r="20">
      <c r="A20" s="15" t="n"/>
      <c r="B20" s="15" t="n"/>
      <c r="C20" s="15" t="n"/>
      <c r="D20" s="15" t="n"/>
      <c r="E20" s="15" t="n"/>
      <c r="F20" s="15" t="n"/>
      <c r="G20" s="15" t="n"/>
      <c r="H20" s="15" t="n"/>
      <c r="I20" s="15" t="n"/>
      <c r="J20" s="15" t="n"/>
      <c r="K20" s="15" t="n"/>
      <c r="L20" s="15" t="n"/>
      <c r="M20" s="15" t="n"/>
      <c r="N20" s="15" t="n"/>
      <c r="O20" s="15" t="n"/>
      <c r="P20" s="15" t="n"/>
      <c r="Q20" s="15" t="n"/>
      <c r="R20" s="15" t="n"/>
      <c r="S20" s="15" t="n"/>
      <c r="T20" s="15" t="n"/>
      <c r="U20" s="15" t="n"/>
      <c r="V20" s="15" t="n"/>
      <c r="W20" s="15" t="n"/>
      <c r="X20" s="15" t="n"/>
      <c r="Y20" s="15" t="n"/>
      <c r="Z20" s="15" t="n"/>
      <c r="AA20" s="15" t="n"/>
      <c r="AB20" s="15" t="n"/>
    </row>
    <row r="21">
      <c r="A21" s="15" t="n"/>
      <c r="B21" s="15" t="n"/>
      <c r="C21" s="15" t="n"/>
      <c r="D21" s="15" t="n"/>
      <c r="E21" s="15" t="n"/>
      <c r="F21" s="15" t="n"/>
      <c r="G21" s="15" t="n"/>
      <c r="H21" s="15" t="n"/>
      <c r="I21" s="15" t="n"/>
      <c r="J21" s="15" t="n"/>
      <c r="K21" s="15" t="n"/>
      <c r="L21" s="15" t="n"/>
      <c r="M21" s="15" t="n"/>
      <c r="N21" s="15" t="n"/>
      <c r="O21" s="15" t="n"/>
      <c r="P21" s="15" t="n"/>
      <c r="Q21" s="15" t="n"/>
      <c r="R21" s="15" t="n"/>
      <c r="S21" s="15" t="n"/>
      <c r="T21" s="15" t="n"/>
      <c r="U21" s="15" t="n"/>
      <c r="V21" s="15" t="n"/>
      <c r="W21" s="15" t="n"/>
      <c r="X21" s="15" t="n"/>
      <c r="Y21" s="15" t="n"/>
      <c r="Z21" s="15" t="n"/>
      <c r="AA21" s="15" t="n"/>
      <c r="AB21" s="15" t="n"/>
    </row>
    <row r="22">
      <c r="A22" s="15" t="n"/>
      <c r="B22" s="15" t="n"/>
      <c r="C22" s="15" t="n"/>
      <c r="D22" s="15" t="n"/>
      <c r="E22" s="15" t="n"/>
      <c r="F22" s="15" t="n"/>
      <c r="G22" s="15" t="n"/>
      <c r="H22" s="15" t="n"/>
      <c r="I22" s="15" t="n"/>
      <c r="J22" s="15" t="n"/>
      <c r="K22" s="15" t="n"/>
      <c r="L22" s="15" t="n"/>
      <c r="M22" s="15" t="n"/>
      <c r="N22" s="15" t="n"/>
      <c r="O22" s="15" t="n"/>
      <c r="P22" s="15" t="n"/>
      <c r="Q22" s="15" t="n"/>
      <c r="R22" s="15" t="n"/>
      <c r="S22" s="15" t="n"/>
      <c r="T22" s="15" t="n"/>
      <c r="U22" s="15" t="n"/>
      <c r="V22" s="15" t="n"/>
      <c r="W22" s="15" t="n"/>
      <c r="X22" s="15" t="n"/>
      <c r="Y22" s="15" t="n"/>
      <c r="Z22" s="15" t="n"/>
      <c r="AA22" s="15" t="n"/>
      <c r="AB22" s="15" t="n"/>
    </row>
    <row r="23">
      <c r="A23" s="15" t="n"/>
      <c r="B23" s="15" t="n"/>
      <c r="C23" s="15" t="n"/>
      <c r="D23" s="15" t="n"/>
      <c r="E23" s="15" t="n"/>
      <c r="F23" s="15" t="n"/>
      <c r="G23" s="15" t="n"/>
      <c r="H23" s="15" t="n"/>
      <c r="I23" s="15" t="n"/>
      <c r="J23" s="15" t="n"/>
      <c r="K23" s="15" t="n"/>
      <c r="L23" s="15" t="n"/>
      <c r="M23" s="15" t="n"/>
      <c r="N23" s="15" t="n"/>
      <c r="O23" s="15" t="n"/>
      <c r="P23" s="15" t="n"/>
      <c r="Q23" s="15" t="n"/>
      <c r="R23" s="15" t="n"/>
      <c r="S23" s="15" t="n"/>
      <c r="T23" s="15" t="n"/>
      <c r="U23" s="15" t="n"/>
      <c r="V23" s="15" t="n"/>
      <c r="W23" s="15" t="n"/>
      <c r="X23" s="15" t="n"/>
      <c r="Y23" s="15" t="n"/>
      <c r="Z23" s="15" t="n"/>
      <c r="AA23" s="15" t="n"/>
      <c r="AB23" s="15" t="n"/>
    </row>
    <row r="24">
      <c r="A24" s="15" t="n"/>
      <c r="B24" s="15" t="n"/>
      <c r="C24" s="15" t="n"/>
      <c r="D24" s="15" t="n"/>
      <c r="E24" s="15" t="n"/>
      <c r="F24" s="15" t="n"/>
      <c r="G24" s="15" t="n"/>
      <c r="H24" s="15" t="n"/>
      <c r="I24" s="15" t="n"/>
      <c r="J24" s="15" t="n"/>
      <c r="K24" s="15" t="n"/>
      <c r="L24" s="15" t="n"/>
      <c r="M24" s="15" t="n"/>
      <c r="N24" s="15" t="n"/>
      <c r="O24" s="15" t="n"/>
      <c r="P24" s="15" t="n"/>
      <c r="Q24" s="15" t="n"/>
      <c r="R24" s="15" t="n"/>
      <c r="S24" s="15" t="n"/>
      <c r="T24" s="15" t="n"/>
      <c r="U24" s="15" t="n"/>
      <c r="V24" s="15" t="n"/>
      <c r="W24" s="15" t="n"/>
      <c r="X24" s="15" t="n"/>
      <c r="Y24" s="15" t="n"/>
      <c r="Z24" s="15" t="n"/>
      <c r="AA24" s="15" t="n"/>
      <c r="AB24" s="15" t="n"/>
    </row>
    <row r="25">
      <c r="A25" s="15" t="n"/>
      <c r="B25" s="15" t="n"/>
      <c r="C25" s="15" t="n"/>
      <c r="D25" s="15" t="n"/>
      <c r="E25" s="15" t="n"/>
      <c r="F25" s="15" t="n"/>
      <c r="G25" s="15" t="n"/>
      <c r="H25" s="15" t="n"/>
      <c r="I25" s="15" t="n"/>
      <c r="J25" s="15" t="n"/>
      <c r="K25" s="15" t="n"/>
      <c r="L25" s="15" t="n"/>
      <c r="M25" s="15" t="n"/>
      <c r="N25" s="15" t="n"/>
      <c r="O25" s="15" t="n"/>
      <c r="P25" s="15" t="n"/>
      <c r="Q25" s="15" t="n"/>
      <c r="R25" s="15" t="n"/>
      <c r="S25" s="15" t="n"/>
      <c r="T25" s="15" t="n"/>
      <c r="U25" s="15" t="n"/>
      <c r="V25" s="15" t="n"/>
      <c r="W25" s="15" t="n"/>
      <c r="X25" s="15" t="n"/>
      <c r="Y25" s="15" t="n"/>
      <c r="Z25" s="15" t="n"/>
      <c r="AA25" s="15" t="n"/>
      <c r="AB25" s="15" t="n"/>
    </row>
    <row r="26">
      <c r="A26" s="15" t="n"/>
      <c r="B26" s="15" t="n"/>
      <c r="C26" s="15" t="n"/>
      <c r="D26" s="15" t="n"/>
      <c r="E26" s="15" t="n"/>
      <c r="F26" s="15" t="n"/>
      <c r="G26" s="15" t="n"/>
      <c r="H26" s="15" t="n"/>
      <c r="I26" s="15" t="n"/>
      <c r="J26" s="15" t="n"/>
      <c r="K26" s="15" t="n"/>
      <c r="L26" s="15" t="n"/>
      <c r="M26" s="15" t="n"/>
      <c r="N26" s="15" t="n"/>
      <c r="O26" s="15" t="n"/>
      <c r="P26" s="15" t="n"/>
      <c r="Q26" s="15" t="n"/>
      <c r="R26" s="15" t="n"/>
      <c r="S26" s="15" t="n"/>
      <c r="T26" s="15" t="n"/>
      <c r="U26" s="15" t="n"/>
      <c r="V26" s="15" t="n"/>
      <c r="W26" s="15" t="n"/>
      <c r="X26" s="15" t="n"/>
      <c r="Y26" s="15" t="n"/>
      <c r="Z26" s="15" t="n"/>
      <c r="AA26" s="15" t="n"/>
      <c r="AB26" s="15" t="n"/>
    </row>
    <row r="27">
      <c r="A27" s="15" t="n"/>
      <c r="B27" s="15" t="n"/>
      <c r="C27" s="15" t="n"/>
      <c r="D27" s="15" t="n"/>
      <c r="E27" s="15" t="n"/>
      <c r="F27" s="15" t="n"/>
      <c r="G27" s="15" t="n"/>
      <c r="H27" s="15" t="n"/>
      <c r="I27" s="15" t="n"/>
      <c r="J27" s="15" t="n"/>
      <c r="K27" s="15" t="n"/>
      <c r="L27" s="15" t="n"/>
      <c r="M27" s="15" t="n"/>
      <c r="N27" s="15" t="n"/>
      <c r="O27" s="15" t="n"/>
      <c r="P27" s="15" t="n"/>
      <c r="Q27" s="15" t="n"/>
      <c r="R27" s="15" t="n"/>
      <c r="S27" s="15" t="n"/>
      <c r="T27" s="15" t="n"/>
      <c r="U27" s="15" t="n"/>
      <c r="V27" s="15" t="n"/>
      <c r="W27" s="15" t="n"/>
      <c r="X27" s="15" t="n"/>
      <c r="Y27" s="15" t="n"/>
      <c r="Z27" s="15" t="n"/>
      <c r="AA27" s="15" t="n"/>
      <c r="AB27" s="15" t="n"/>
    </row>
    <row r="28">
      <c r="A28" s="15" t="n"/>
      <c r="B28" s="15" t="n"/>
      <c r="C28" s="15" t="n"/>
      <c r="D28" s="15" t="n"/>
      <c r="E28" s="15" t="n"/>
      <c r="F28" s="15" t="n"/>
      <c r="G28" s="15" t="n"/>
      <c r="H28" s="15" t="n"/>
      <c r="I28" s="15" t="n"/>
      <c r="J28" s="15" t="n"/>
      <c r="K28" s="15" t="n"/>
      <c r="L28" s="15" t="n"/>
      <c r="M28" s="15" t="n"/>
      <c r="N28" s="15" t="n"/>
      <c r="O28" s="15" t="n"/>
      <c r="P28" s="15" t="n"/>
      <c r="Q28" s="15" t="n"/>
      <c r="R28" s="15" t="n"/>
      <c r="S28" s="15" t="n"/>
      <c r="T28" s="15" t="n"/>
      <c r="U28" s="15" t="n"/>
      <c r="V28" s="15" t="n"/>
      <c r="W28" s="15" t="n"/>
      <c r="X28" s="15" t="n"/>
      <c r="Y28" s="15" t="n"/>
      <c r="Z28" s="15" t="n"/>
      <c r="AA28" s="15" t="n"/>
      <c r="AB28" s="15" t="n"/>
    </row>
    <row r="29">
      <c r="A29" s="15" t="n"/>
      <c r="B29" s="15" t="n"/>
      <c r="C29" s="15" t="n"/>
      <c r="D29" s="15" t="n"/>
      <c r="E29" s="15" t="n"/>
      <c r="F29" s="15" t="n"/>
      <c r="G29" s="15" t="n"/>
      <c r="H29" s="15" t="n"/>
      <c r="I29" s="15" t="n"/>
      <c r="J29" s="15" t="n"/>
      <c r="K29" s="15" t="n"/>
      <c r="L29" s="15" t="n"/>
      <c r="M29" s="15" t="n"/>
      <c r="N29" s="15" t="n"/>
      <c r="O29" s="15" t="n"/>
      <c r="P29" s="15" t="n"/>
      <c r="Q29" s="15" t="n"/>
      <c r="R29" s="15" t="n"/>
      <c r="S29" s="15" t="n"/>
      <c r="T29" s="15" t="n"/>
      <c r="U29" s="15" t="n"/>
      <c r="V29" s="15" t="n"/>
      <c r="W29" s="15" t="n"/>
      <c r="X29" s="15" t="n"/>
      <c r="Y29" s="15" t="n"/>
      <c r="Z29" s="15" t="n"/>
      <c r="AA29" s="15" t="n"/>
      <c r="AB29" s="15" t="n"/>
    </row>
    <row r="30">
      <c r="A30" s="15" t="n"/>
      <c r="B30" s="15" t="n"/>
      <c r="C30" s="15" t="n"/>
      <c r="D30" s="15" t="n"/>
      <c r="E30" s="15" t="n"/>
      <c r="F30" s="15" t="n"/>
      <c r="G30" s="15" t="n"/>
      <c r="H30" s="15" t="n"/>
      <c r="I30" s="15" t="n"/>
      <c r="J30" s="15" t="n"/>
      <c r="K30" s="15" t="n"/>
      <c r="L30" s="15" t="n"/>
      <c r="M30" s="15" t="n"/>
      <c r="N30" s="15" t="n"/>
      <c r="O30" s="15" t="n"/>
      <c r="P30" s="15" t="n"/>
      <c r="Q30" s="15" t="n"/>
      <c r="R30" s="15" t="n"/>
      <c r="S30" s="15" t="n"/>
      <c r="T30" s="15" t="n"/>
      <c r="U30" s="15" t="n"/>
      <c r="V30" s="15" t="n"/>
      <c r="W30" s="15" t="n"/>
      <c r="X30" s="15" t="n"/>
      <c r="Y30" s="15" t="n"/>
      <c r="Z30" s="15" t="n"/>
      <c r="AA30" s="15" t="n"/>
      <c r="AB30" s="15" t="n"/>
    </row>
    <row r="31">
      <c r="A31" s="15" t="n"/>
      <c r="B31" s="15" t="n"/>
      <c r="C31" s="15" t="n"/>
      <c r="D31" s="15" t="n"/>
      <c r="E31" s="15" t="n"/>
      <c r="F31" s="15" t="n"/>
      <c r="G31" s="15" t="n"/>
      <c r="H31" s="15" t="n"/>
      <c r="I31" s="15" t="n"/>
      <c r="J31" s="15" t="n"/>
      <c r="K31" s="15" t="n"/>
      <c r="L31" s="15" t="n"/>
      <c r="M31" s="15" t="n"/>
      <c r="N31" s="15" t="n"/>
      <c r="O31" s="15" t="n"/>
      <c r="P31" s="15" t="n"/>
      <c r="Q31" s="15" t="n"/>
      <c r="R31" s="15" t="n"/>
      <c r="S31" s="15" t="n"/>
      <c r="T31" s="15" t="n"/>
      <c r="U31" s="15" t="n"/>
      <c r="V31" s="15" t="n"/>
      <c r="W31" s="15" t="n"/>
      <c r="X31" s="15" t="n"/>
      <c r="Y31" s="15" t="n"/>
      <c r="Z31" s="15" t="n"/>
      <c r="AA31" s="15" t="n"/>
      <c r="AB31" s="15" t="n"/>
    </row>
    <row r="32">
      <c r="A32" s="15" t="n"/>
      <c r="B32" s="15" t="n"/>
      <c r="C32" s="15" t="n"/>
      <c r="D32" s="15" t="n"/>
      <c r="E32" s="15" t="n"/>
      <c r="F32" s="15" t="n"/>
      <c r="G32" s="15" t="n"/>
      <c r="H32" s="15" t="n"/>
      <c r="I32" s="15" t="n"/>
      <c r="J32" s="15" t="n"/>
      <c r="K32" s="15" t="n"/>
      <c r="L32" s="15" t="n"/>
      <c r="M32" s="15" t="n"/>
      <c r="N32" s="15" t="n"/>
      <c r="O32" s="15" t="n"/>
      <c r="P32" s="15" t="n"/>
      <c r="Q32" s="15" t="n"/>
      <c r="R32" s="15" t="n"/>
      <c r="S32" s="15" t="n"/>
      <c r="T32" s="15" t="n"/>
      <c r="U32" s="15" t="n"/>
      <c r="V32" s="15" t="n"/>
      <c r="W32" s="15" t="n"/>
      <c r="X32" s="15" t="n"/>
      <c r="Y32" s="15" t="n"/>
      <c r="Z32" s="15" t="n"/>
      <c r="AA32" s="15" t="n"/>
      <c r="AB32" s="15" t="n"/>
    </row>
    <row r="33">
      <c r="A33" s="15" t="n"/>
      <c r="B33" s="15" t="n"/>
      <c r="C33" s="15" t="n"/>
      <c r="D33" s="15" t="n"/>
      <c r="E33" s="15" t="n"/>
      <c r="F33" s="15" t="n"/>
      <c r="G33" s="15" t="n"/>
      <c r="H33" s="15" t="n"/>
      <c r="I33" s="15" t="n"/>
      <c r="J33" s="15" t="n"/>
      <c r="K33" s="15" t="n"/>
      <c r="L33" s="15" t="n"/>
      <c r="M33" s="15" t="n"/>
      <c r="N33" s="15" t="n"/>
      <c r="O33" s="15" t="n"/>
      <c r="P33" s="15" t="n"/>
      <c r="Q33" s="15" t="n"/>
      <c r="R33" s="15" t="n"/>
      <c r="S33" s="15" t="n"/>
      <c r="T33" s="15" t="n"/>
      <c r="U33" s="15" t="n"/>
      <c r="V33" s="15" t="n"/>
      <c r="W33" s="15" t="n"/>
      <c r="X33" s="15" t="n"/>
      <c r="Y33" s="15" t="n"/>
      <c r="Z33" s="15" t="n"/>
      <c r="AA33" s="15" t="n"/>
      <c r="AB33" s="15" t="n"/>
    </row>
    <row r="34">
      <c r="A34" s="15" t="n"/>
      <c r="B34" s="15" t="n"/>
      <c r="C34" s="15" t="n"/>
      <c r="D34" s="15" t="n"/>
      <c r="E34" s="15" t="n"/>
      <c r="F34" s="15" t="n"/>
      <c r="G34" s="15" t="n"/>
      <c r="H34" s="15" t="n"/>
      <c r="I34" s="15" t="n"/>
      <c r="J34" s="15" t="n"/>
      <c r="K34" s="15" t="n"/>
      <c r="L34" s="15" t="n"/>
      <c r="M34" s="15" t="n"/>
      <c r="N34" s="15" t="n"/>
      <c r="O34" s="15" t="n"/>
      <c r="P34" s="15" t="n"/>
      <c r="Q34" s="15" t="n"/>
      <c r="R34" s="15" t="n"/>
      <c r="S34" s="15" t="n"/>
      <c r="T34" s="15" t="n"/>
      <c r="U34" s="15" t="n"/>
      <c r="V34" s="15" t="n"/>
      <c r="W34" s="15" t="n"/>
      <c r="X34" s="15" t="n"/>
      <c r="Y34" s="15" t="n"/>
      <c r="Z34" s="15" t="n"/>
      <c r="AA34" s="15" t="n"/>
      <c r="AB34" s="15" t="n"/>
    </row>
    <row r="35">
      <c r="A35" s="15" t="n"/>
      <c r="B35" s="15" t="n"/>
      <c r="C35" s="15" t="n"/>
      <c r="D35" s="15" t="n"/>
      <c r="E35" s="15" t="n"/>
      <c r="F35" s="15" t="n"/>
      <c r="G35" s="15" t="n"/>
      <c r="H35" s="15" t="n"/>
      <c r="I35" s="15" t="n"/>
      <c r="J35" s="15" t="n"/>
      <c r="K35" s="15" t="n"/>
      <c r="L35" s="15" t="n"/>
      <c r="M35" s="15" t="n"/>
      <c r="N35" s="15" t="n"/>
      <c r="O35" s="15" t="n"/>
      <c r="P35" s="15" t="n"/>
      <c r="Q35" s="15" t="n"/>
      <c r="R35" s="15" t="n"/>
      <c r="S35" s="15" t="n"/>
      <c r="T35" s="15" t="n"/>
      <c r="U35" s="15" t="n"/>
      <c r="V35" s="15" t="n"/>
      <c r="W35" s="15" t="n"/>
      <c r="X35" s="15" t="n"/>
      <c r="Y35" s="15" t="n"/>
      <c r="Z35" s="15" t="n"/>
      <c r="AA35" s="15" t="n"/>
      <c r="AB35" s="15" t="n"/>
    </row>
    <row r="36">
      <c r="A36" s="15" t="n"/>
      <c r="B36" s="15" t="n"/>
      <c r="C36" s="15" t="n"/>
      <c r="D36" s="15" t="n"/>
      <c r="E36" s="15" t="n"/>
      <c r="F36" s="15" t="n"/>
      <c r="G36" s="15" t="n"/>
      <c r="H36" s="15" t="n"/>
      <c r="I36" s="15" t="n"/>
      <c r="J36" s="15" t="n"/>
      <c r="K36" s="15" t="n"/>
      <c r="L36" s="15" t="n"/>
      <c r="M36" s="15" t="n"/>
      <c r="N36" s="15" t="n"/>
      <c r="O36" s="15" t="n"/>
      <c r="P36" s="15" t="n"/>
      <c r="Q36" s="15" t="n"/>
      <c r="R36" s="15" t="n"/>
      <c r="S36" s="15" t="n"/>
      <c r="T36" s="15" t="n"/>
      <c r="U36" s="15" t="n"/>
      <c r="V36" s="15" t="n"/>
      <c r="W36" s="15" t="n"/>
      <c r="X36" s="15" t="n"/>
      <c r="Y36" s="15" t="n"/>
      <c r="Z36" s="15" t="n"/>
      <c r="AA36" s="15" t="n"/>
      <c r="AB36" s="15" t="n"/>
    </row>
    <row r="37">
      <c r="A37" s="15" t="n"/>
      <c r="B37" s="15" t="n"/>
      <c r="C37" s="15" t="n"/>
      <c r="D37" s="15" t="n"/>
      <c r="E37" s="15" t="n"/>
      <c r="F37" s="15" t="n"/>
      <c r="G37" s="15" t="n"/>
      <c r="H37" s="15" t="n"/>
      <c r="I37" s="15" t="n"/>
      <c r="J37" s="15" t="n"/>
      <c r="K37" s="15" t="n"/>
      <c r="L37" s="15" t="n"/>
      <c r="M37" s="15" t="n"/>
      <c r="N37" s="15" t="n"/>
      <c r="O37" s="15" t="n"/>
      <c r="P37" s="15" t="n"/>
      <c r="Q37" s="15" t="n"/>
      <c r="R37" s="15" t="n"/>
      <c r="S37" s="15" t="n"/>
      <c r="T37" s="15" t="n"/>
      <c r="U37" s="15" t="n"/>
      <c r="V37" s="15" t="n"/>
      <c r="W37" s="15" t="n"/>
      <c r="X37" s="15" t="n"/>
      <c r="Y37" s="15" t="n"/>
      <c r="Z37" s="15" t="n"/>
      <c r="AA37" s="15" t="n"/>
      <c r="AB37" s="15" t="n"/>
    </row>
    <row r="38">
      <c r="A38" s="15" t="n"/>
      <c r="B38" s="15" t="n"/>
      <c r="C38" s="15" t="n"/>
      <c r="D38" s="15" t="n"/>
      <c r="E38" s="15" t="n"/>
      <c r="F38" s="15" t="n"/>
      <c r="G38" s="15" t="n"/>
      <c r="H38" s="15" t="n"/>
      <c r="I38" s="15" t="n"/>
      <c r="J38" s="15" t="n"/>
      <c r="K38" s="15" t="n"/>
      <c r="L38" s="15" t="n"/>
      <c r="M38" s="15" t="n"/>
      <c r="N38" s="15" t="n"/>
      <c r="O38" s="15" t="n"/>
      <c r="P38" s="15" t="n"/>
      <c r="Q38" s="15" t="n"/>
      <c r="R38" s="15" t="n"/>
      <c r="S38" s="15" t="n"/>
      <c r="T38" s="15" t="n"/>
      <c r="U38" s="15" t="n"/>
      <c r="V38" s="15" t="n"/>
      <c r="W38" s="15" t="n"/>
      <c r="X38" s="15" t="n"/>
      <c r="Y38" s="15" t="n"/>
      <c r="Z38" s="15" t="n"/>
      <c r="AA38" s="15" t="n"/>
      <c r="AB38" s="15" t="n"/>
    </row>
    <row r="39">
      <c r="A39" s="15" t="n"/>
      <c r="B39" s="15" t="n"/>
      <c r="C39" s="15" t="n"/>
      <c r="D39" s="15" t="n"/>
      <c r="E39" s="15" t="n"/>
      <c r="F39" s="15" t="n"/>
      <c r="G39" s="15" t="n"/>
      <c r="H39" s="15" t="n"/>
      <c r="I39" s="15" t="n"/>
      <c r="J39" s="15" t="n"/>
      <c r="K39" s="15" t="n"/>
      <c r="L39" s="15" t="n"/>
      <c r="M39" s="15" t="n"/>
      <c r="N39" s="15" t="n"/>
      <c r="O39" s="15" t="n"/>
      <c r="P39" s="15" t="n"/>
      <c r="Q39" s="15" t="n"/>
      <c r="R39" s="15" t="n"/>
      <c r="S39" s="15" t="n"/>
      <c r="T39" s="15" t="n"/>
      <c r="U39" s="15" t="n"/>
      <c r="V39" s="15" t="n"/>
      <c r="W39" s="15" t="n"/>
      <c r="X39" s="15" t="n"/>
      <c r="Y39" s="15" t="n"/>
      <c r="Z39" s="15" t="n"/>
      <c r="AA39" s="15" t="n"/>
      <c r="AB39" s="15" t="n"/>
    </row>
    <row r="40">
      <c r="A40" s="15" t="n"/>
      <c r="B40" s="15" t="n"/>
      <c r="C40" s="15" t="n"/>
      <c r="D40" s="15" t="n"/>
      <c r="E40" s="15" t="n"/>
      <c r="F40" s="15" t="n"/>
      <c r="G40" s="15" t="n"/>
      <c r="H40" s="15" t="n"/>
      <c r="I40" s="15" t="n"/>
      <c r="J40" s="15" t="n"/>
      <c r="K40" s="15" t="n"/>
      <c r="L40" s="15" t="n"/>
      <c r="M40" s="15" t="n"/>
      <c r="N40" s="15" t="n"/>
      <c r="O40" s="15" t="n"/>
      <c r="P40" s="15" t="n"/>
      <c r="Q40" s="15" t="n"/>
      <c r="R40" s="15" t="n"/>
      <c r="S40" s="15" t="n"/>
      <c r="T40" s="15" t="n"/>
      <c r="U40" s="15" t="n"/>
      <c r="V40" s="15" t="n"/>
      <c r="W40" s="15" t="n"/>
      <c r="X40" s="15" t="n"/>
      <c r="Y40" s="15" t="n"/>
      <c r="Z40" s="15" t="n"/>
      <c r="AA40" s="15" t="n"/>
      <c r="AB40" s="15" t="n"/>
    </row>
    <row r="41">
      <c r="A41" s="15" t="n"/>
      <c r="B41" s="15" t="n"/>
      <c r="C41" s="15" t="n"/>
      <c r="D41" s="15" t="n"/>
      <c r="E41" s="15" t="n"/>
      <c r="F41" s="15" t="n"/>
      <c r="G41" s="15" t="n"/>
      <c r="H41" s="15" t="n"/>
      <c r="I41" s="15" t="n"/>
      <c r="J41" s="15" t="n"/>
      <c r="K41" s="15" t="n"/>
      <c r="L41" s="15" t="n"/>
      <c r="M41" s="15" t="n"/>
      <c r="N41" s="15" t="n"/>
      <c r="O41" s="15" t="n"/>
      <c r="P41" s="15" t="n"/>
      <c r="Q41" s="15" t="n"/>
      <c r="R41" s="15" t="n"/>
      <c r="S41" s="15" t="n"/>
      <c r="T41" s="15" t="n"/>
      <c r="U41" s="15" t="n"/>
      <c r="V41" s="15" t="n"/>
      <c r="W41" s="15" t="n"/>
      <c r="X41" s="15" t="n"/>
      <c r="Y41" s="15" t="n"/>
      <c r="Z41" s="15" t="n"/>
      <c r="AA41" s="15" t="n"/>
      <c r="AB41" s="15" t="n"/>
    </row>
    <row r="42">
      <c r="A42" s="15" t="n"/>
      <c r="B42" s="15" t="n"/>
      <c r="C42" s="15" t="n"/>
      <c r="D42" s="15" t="n"/>
      <c r="E42" s="15" t="n"/>
      <c r="F42" s="15" t="n"/>
      <c r="G42" s="15" t="n"/>
      <c r="H42" s="15" t="n"/>
      <c r="I42" s="15" t="n"/>
      <c r="J42" s="15" t="n"/>
      <c r="K42" s="15" t="n"/>
      <c r="L42" s="15" t="n"/>
      <c r="M42" s="15" t="n"/>
      <c r="N42" s="15" t="n"/>
      <c r="O42" s="15" t="n"/>
      <c r="P42" s="15" t="n"/>
      <c r="Q42" s="15" t="n"/>
      <c r="R42" s="15" t="n"/>
      <c r="S42" s="15" t="n"/>
      <c r="T42" s="15" t="n"/>
      <c r="U42" s="15" t="n"/>
      <c r="V42" s="15" t="n"/>
      <c r="W42" s="15" t="n"/>
      <c r="X42" s="15" t="n"/>
      <c r="Y42" s="15" t="n"/>
      <c r="Z42" s="15" t="n"/>
      <c r="AA42" s="15" t="n"/>
      <c r="AB42" s="15" t="n"/>
    </row>
    <row r="43">
      <c r="A43" s="15" t="n"/>
      <c r="B43" s="15" t="n"/>
      <c r="C43" s="15" t="n"/>
      <c r="D43" s="15" t="n"/>
      <c r="E43" s="15" t="n"/>
      <c r="F43" s="15" t="n"/>
      <c r="G43" s="15" t="n"/>
      <c r="H43" s="15" t="n"/>
      <c r="I43" s="15" t="n"/>
      <c r="J43" s="15" t="n"/>
      <c r="K43" s="15" t="n"/>
      <c r="L43" s="15" t="n"/>
      <c r="M43" s="15" t="n"/>
      <c r="N43" s="15" t="n"/>
      <c r="O43" s="15" t="n"/>
      <c r="P43" s="15" t="n"/>
      <c r="Q43" s="15" t="n"/>
      <c r="R43" s="15" t="n"/>
      <c r="S43" s="15" t="n"/>
      <c r="T43" s="15" t="n"/>
      <c r="U43" s="15" t="n"/>
      <c r="V43" s="15" t="n"/>
      <c r="W43" s="15" t="n"/>
      <c r="X43" s="15" t="n"/>
      <c r="Y43" s="15" t="n"/>
      <c r="Z43" s="15" t="n"/>
      <c r="AA43" s="15" t="n"/>
      <c r="AB43" s="15" t="n"/>
    </row>
    <row r="44">
      <c r="A44" s="15" t="n"/>
      <c r="B44" s="15" t="n"/>
      <c r="C44" s="15" t="n"/>
      <c r="D44" s="15" t="n"/>
      <c r="E44" s="15" t="n"/>
      <c r="F44" s="15" t="n"/>
      <c r="G44" s="15" t="n"/>
      <c r="H44" s="15" t="n"/>
      <c r="I44" s="15" t="n"/>
      <c r="J44" s="15" t="n"/>
      <c r="K44" s="15" t="n"/>
      <c r="L44" s="15" t="n"/>
      <c r="M44" s="15" t="n"/>
      <c r="N44" s="15" t="n"/>
      <c r="O44" s="15" t="n"/>
      <c r="P44" s="15" t="n"/>
      <c r="Q44" s="15" t="n"/>
      <c r="R44" s="15" t="n"/>
      <c r="S44" s="15" t="n"/>
      <c r="T44" s="15" t="n"/>
      <c r="U44" s="15" t="n"/>
      <c r="V44" s="15" t="n"/>
      <c r="W44" s="15" t="n"/>
      <c r="X44" s="15" t="n"/>
      <c r="Y44" s="15" t="n"/>
      <c r="Z44" s="15" t="n"/>
      <c r="AA44" s="15" t="n"/>
      <c r="AB44" s="15" t="n"/>
    </row>
    <row r="45">
      <c r="A45" s="15" t="n"/>
      <c r="B45" s="15" t="n"/>
      <c r="C45" s="15" t="n"/>
      <c r="D45" s="15" t="n"/>
      <c r="E45" s="15" t="n"/>
      <c r="F45" s="15" t="n"/>
      <c r="G45" s="15" t="n"/>
      <c r="H45" s="15" t="n"/>
      <c r="I45" s="15" t="n"/>
      <c r="J45" s="15" t="n"/>
      <c r="K45" s="15" t="n"/>
      <c r="L45" s="15" t="n"/>
      <c r="M45" s="15" t="n"/>
      <c r="N45" s="15" t="n"/>
      <c r="O45" s="15" t="n"/>
      <c r="P45" s="15" t="n"/>
      <c r="Q45" s="15" t="n"/>
      <c r="R45" s="15" t="n"/>
      <c r="S45" s="15" t="n"/>
      <c r="T45" s="15" t="n"/>
      <c r="U45" s="15" t="n"/>
      <c r="V45" s="15" t="n"/>
      <c r="W45" s="15" t="n"/>
      <c r="X45" s="15" t="n"/>
      <c r="Y45" s="15" t="n"/>
      <c r="Z45" s="15" t="n"/>
      <c r="AA45" s="15" t="n"/>
      <c r="AB45" s="15" t="n"/>
    </row>
    <row r="46">
      <c r="A46" s="15" t="n"/>
      <c r="B46" s="15" t="n"/>
      <c r="C46" s="15" t="n"/>
      <c r="D46" s="15" t="n"/>
      <c r="E46" s="15" t="n"/>
      <c r="F46" s="15" t="n"/>
      <c r="G46" s="15" t="n"/>
      <c r="H46" s="15" t="n"/>
      <c r="I46" s="15" t="n"/>
      <c r="J46" s="15" t="n"/>
      <c r="K46" s="15" t="n"/>
      <c r="L46" s="15" t="n"/>
      <c r="M46" s="15" t="n"/>
      <c r="N46" s="15" t="n"/>
      <c r="O46" s="15" t="n"/>
      <c r="P46" s="15" t="n"/>
      <c r="Q46" s="15" t="n"/>
      <c r="R46" s="15" t="n"/>
      <c r="S46" s="15" t="n"/>
      <c r="T46" s="15" t="n"/>
      <c r="U46" s="15" t="n"/>
      <c r="V46" s="15" t="n"/>
      <c r="W46" s="15" t="n"/>
      <c r="X46" s="15" t="n"/>
      <c r="Y46" s="15" t="n"/>
      <c r="Z46" s="15" t="n"/>
      <c r="AA46" s="15" t="n"/>
      <c r="AB46" s="15" t="n"/>
    </row>
    <row r="47">
      <c r="A47" s="15" t="n"/>
      <c r="B47" s="15" t="n"/>
      <c r="C47" s="15" t="n"/>
      <c r="D47" s="15" t="n"/>
      <c r="E47" s="15" t="n"/>
      <c r="F47" s="15" t="n"/>
      <c r="G47" s="15" t="n"/>
      <c r="H47" s="15" t="n"/>
      <c r="I47" s="15" t="n"/>
      <c r="J47" s="15" t="n"/>
      <c r="K47" s="15" t="n"/>
      <c r="L47" s="15" t="n"/>
      <c r="M47" s="15" t="n"/>
      <c r="N47" s="15" t="n"/>
      <c r="O47" s="15" t="n"/>
      <c r="P47" s="15" t="n"/>
      <c r="Q47" s="15" t="n"/>
      <c r="R47" s="15" t="n"/>
      <c r="S47" s="15" t="n"/>
      <c r="T47" s="15" t="n"/>
      <c r="U47" s="15" t="n"/>
      <c r="V47" s="15" t="n"/>
      <c r="W47" s="15" t="n"/>
      <c r="X47" s="15" t="n"/>
      <c r="Y47" s="15" t="n"/>
      <c r="Z47" s="15" t="n"/>
      <c r="AA47" s="15" t="n"/>
      <c r="AB47" s="15" t="n"/>
    </row>
    <row r="48">
      <c r="A48" s="15" t="n"/>
      <c r="B48" s="15" t="n"/>
      <c r="C48" s="15" t="n"/>
      <c r="D48" s="15" t="n"/>
      <c r="E48" s="15" t="n"/>
      <c r="F48" s="15" t="n"/>
      <c r="G48" s="15" t="n"/>
      <c r="H48" s="15" t="n"/>
      <c r="I48" s="15" t="n"/>
      <c r="J48" s="15" t="n"/>
      <c r="K48" s="15" t="n"/>
      <c r="L48" s="15" t="n"/>
      <c r="M48" s="15" t="n"/>
      <c r="N48" s="15" t="n"/>
      <c r="O48" s="15" t="n"/>
      <c r="P48" s="15" t="n"/>
      <c r="Q48" s="15" t="n"/>
      <c r="R48" s="15" t="n"/>
      <c r="S48" s="15" t="n"/>
      <c r="T48" s="15" t="n"/>
      <c r="U48" s="15" t="n"/>
      <c r="V48" s="15" t="n"/>
      <c r="W48" s="15" t="n"/>
      <c r="X48" s="15" t="n"/>
      <c r="Y48" s="15" t="n"/>
      <c r="Z48" s="15" t="n"/>
      <c r="AA48" s="15" t="n"/>
      <c r="AB48" s="15" t="n"/>
    </row>
    <row r="49">
      <c r="A49" s="15" t="n"/>
      <c r="B49" s="15" t="n"/>
      <c r="C49" s="15" t="n"/>
      <c r="D49" s="15" t="n"/>
      <c r="E49" s="15" t="n"/>
      <c r="F49" s="15" t="n"/>
      <c r="G49" s="15" t="n"/>
      <c r="H49" s="15" t="n"/>
      <c r="I49" s="15" t="n"/>
      <c r="J49" s="15" t="n"/>
      <c r="K49" s="15" t="n"/>
      <c r="L49" s="15" t="n"/>
      <c r="M49" s="15" t="n"/>
      <c r="N49" s="15" t="n"/>
      <c r="O49" s="15" t="n"/>
      <c r="P49" s="15" t="n"/>
      <c r="Q49" s="15" t="n"/>
      <c r="R49" s="15" t="n"/>
      <c r="S49" s="15" t="n"/>
      <c r="T49" s="15" t="n"/>
      <c r="U49" s="15" t="n"/>
      <c r="V49" s="15" t="n"/>
      <c r="W49" s="15" t="n"/>
      <c r="X49" s="15" t="n"/>
      <c r="Y49" s="15" t="n"/>
      <c r="Z49" s="15" t="n"/>
      <c r="AA49" s="15" t="n"/>
      <c r="AB49" s="15" t="n"/>
    </row>
    <row r="50">
      <c r="A50" s="15" t="n"/>
      <c r="B50" s="15" t="n"/>
      <c r="C50" s="15" t="n"/>
      <c r="D50" s="15" t="n"/>
      <c r="E50" s="15" t="n"/>
      <c r="F50" s="15" t="n"/>
      <c r="G50" s="15" t="n"/>
      <c r="H50" s="15" t="n"/>
      <c r="I50" s="15" t="n"/>
      <c r="J50" s="15" t="n"/>
      <c r="K50" s="15" t="n"/>
      <c r="L50" s="15" t="n"/>
      <c r="M50" s="15" t="n"/>
      <c r="N50" s="15" t="n"/>
      <c r="O50" s="15" t="n"/>
      <c r="P50" s="15" t="n"/>
      <c r="Q50" s="15" t="n"/>
      <c r="R50" s="15" t="n"/>
      <c r="S50" s="15" t="n"/>
      <c r="T50" s="15" t="n"/>
      <c r="U50" s="15" t="n"/>
      <c r="V50" s="15" t="n"/>
      <c r="W50" s="15" t="n"/>
      <c r="X50" s="15" t="n"/>
      <c r="Y50" s="15" t="n"/>
      <c r="Z50" s="15" t="n"/>
      <c r="AA50" s="15" t="n"/>
      <c r="AB50" s="15" t="n"/>
    </row>
    <row r="51">
      <c r="A51" s="15" t="n"/>
      <c r="B51" s="15" t="n"/>
      <c r="C51" s="15" t="n"/>
      <c r="D51" s="15" t="n"/>
      <c r="E51" s="15" t="n"/>
      <c r="F51" s="15" t="n"/>
      <c r="G51" s="15" t="n"/>
      <c r="H51" s="15" t="n"/>
      <c r="I51" s="15" t="n"/>
      <c r="J51" s="15" t="n"/>
      <c r="K51" s="15" t="n"/>
      <c r="L51" s="15" t="n"/>
      <c r="M51" s="15" t="n"/>
      <c r="N51" s="15" t="n"/>
      <c r="O51" s="15" t="n"/>
      <c r="P51" s="15" t="n"/>
      <c r="Q51" s="15" t="n"/>
      <c r="R51" s="15" t="n"/>
      <c r="S51" s="15" t="n"/>
      <c r="T51" s="15" t="n"/>
      <c r="U51" s="15" t="n"/>
      <c r="V51" s="15" t="n"/>
      <c r="W51" s="15" t="n"/>
      <c r="X51" s="15" t="n"/>
      <c r="Y51" s="15" t="n"/>
      <c r="Z51" s="15" t="n"/>
      <c r="AA51" s="15" t="n"/>
      <c r="AB51" s="15" t="n"/>
    </row>
    <row r="52">
      <c r="A52" s="15" t="n"/>
      <c r="B52" s="15" t="n"/>
      <c r="C52" s="15" t="n"/>
      <c r="D52" s="15" t="n"/>
      <c r="E52" s="15" t="n"/>
      <c r="F52" s="15" t="n"/>
      <c r="G52" s="15" t="n"/>
      <c r="H52" s="15" t="n"/>
      <c r="I52" s="15" t="n"/>
      <c r="J52" s="15" t="n"/>
      <c r="K52" s="15" t="n"/>
      <c r="L52" s="15" t="n"/>
      <c r="M52" s="15" t="n"/>
      <c r="N52" s="15" t="n"/>
      <c r="O52" s="15" t="n"/>
      <c r="P52" s="15" t="n"/>
      <c r="Q52" s="15" t="n"/>
      <c r="R52" s="15" t="n"/>
      <c r="S52" s="15" t="n"/>
      <c r="T52" s="15" t="n"/>
      <c r="U52" s="15" t="n"/>
      <c r="V52" s="15" t="n"/>
      <c r="W52" s="15" t="n"/>
      <c r="X52" s="15" t="n"/>
      <c r="Y52" s="15" t="n"/>
      <c r="Z52" s="15" t="n"/>
      <c r="AA52" s="15" t="n"/>
      <c r="AB52" s="15" t="n"/>
    </row>
    <row r="53">
      <c r="A53" s="15" t="n"/>
      <c r="B53" s="15" t="n"/>
      <c r="C53" s="15" t="n"/>
      <c r="D53" s="15" t="n"/>
      <c r="E53" s="15" t="n"/>
      <c r="F53" s="15" t="n"/>
      <c r="G53" s="15" t="n"/>
      <c r="H53" s="15" t="n"/>
      <c r="I53" s="15" t="n"/>
      <c r="J53" s="15" t="n"/>
      <c r="K53" s="15" t="n"/>
      <c r="L53" s="15" t="n"/>
      <c r="M53" s="15" t="n"/>
      <c r="N53" s="15" t="n"/>
      <c r="O53" s="15" t="n"/>
      <c r="P53" s="15" t="n"/>
      <c r="Q53" s="15" t="n"/>
      <c r="R53" s="15" t="n"/>
      <c r="S53" s="15" t="n"/>
      <c r="T53" s="15" t="n"/>
      <c r="U53" s="15" t="n"/>
      <c r="V53" s="15" t="n"/>
      <c r="W53" s="15" t="n"/>
      <c r="X53" s="15" t="n"/>
      <c r="Y53" s="15" t="n"/>
      <c r="Z53" s="15" t="n"/>
      <c r="AA53" s="15" t="n"/>
      <c r="AB53" s="15" t="n"/>
    </row>
    <row r="54">
      <c r="A54" s="15" t="n"/>
      <c r="B54" s="15" t="n"/>
      <c r="C54" s="15" t="n"/>
      <c r="D54" s="15" t="n"/>
      <c r="E54" s="15" t="n"/>
      <c r="F54" s="15" t="n"/>
      <c r="G54" s="15" t="n"/>
      <c r="H54" s="15" t="n"/>
      <c r="I54" s="15" t="n"/>
      <c r="J54" s="15" t="n"/>
      <c r="K54" s="15" t="n"/>
      <c r="L54" s="15" t="n"/>
      <c r="M54" s="15" t="n"/>
      <c r="N54" s="15" t="n"/>
      <c r="O54" s="15" t="n"/>
      <c r="P54" s="15" t="n"/>
      <c r="Q54" s="15" t="n"/>
      <c r="R54" s="15" t="n"/>
      <c r="S54" s="15" t="n"/>
      <c r="T54" s="15" t="n"/>
      <c r="U54" s="15" t="n"/>
      <c r="V54" s="15" t="n"/>
      <c r="W54" s="15" t="n"/>
      <c r="X54" s="15" t="n"/>
      <c r="Y54" s="15" t="n"/>
      <c r="Z54" s="15" t="n"/>
      <c r="AA54" s="15" t="n"/>
      <c r="AB54" s="15" t="n"/>
    </row>
    <row r="55">
      <c r="A55" s="15" t="n"/>
      <c r="B55" s="15" t="n"/>
      <c r="C55" s="15" t="n"/>
      <c r="D55" s="15" t="n"/>
      <c r="E55" s="15" t="n"/>
      <c r="F55" s="15" t="n"/>
      <c r="G55" s="15" t="n"/>
      <c r="H55" s="15" t="n"/>
      <c r="I55" s="15" t="n"/>
      <c r="J55" s="15" t="n"/>
      <c r="K55" s="15" t="n"/>
      <c r="L55" s="15" t="n"/>
      <c r="M55" s="15" t="n"/>
      <c r="N55" s="15" t="n"/>
      <c r="O55" s="15" t="n"/>
      <c r="P55" s="15" t="n"/>
      <c r="Q55" s="15" t="n"/>
      <c r="R55" s="15" t="n"/>
      <c r="S55" s="15" t="n"/>
      <c r="T55" s="15" t="n"/>
      <c r="U55" s="15" t="n"/>
      <c r="V55" s="15" t="n"/>
      <c r="W55" s="15" t="n"/>
      <c r="X55" s="15" t="n"/>
      <c r="Y55" s="15" t="n"/>
      <c r="Z55" s="15" t="n"/>
      <c r="AA55" s="15" t="n"/>
      <c r="AB55" s="15" t="n"/>
    </row>
  </sheetData>
  <mergeCells count="3">
    <mergeCell ref="A3:AB3"/>
    <mergeCell ref="A2:AB2"/>
    <mergeCell ref="A1:AB1"/>
  </mergeCells>
  <dataValidations count="3">
    <dataValidation sqref="F6 F7 F8 F9 F10 F11 F12 F13 F14 F15 F16 F17 F18 F19 F20 F21 F22 F23 F24 F25 F26 F27 F28 F29 F30 F31 F32 F33 F34 F35 F36 F37 F38 F39 F40 F41 F42 F43 F44 F45 F46 F47 F48 F49 F50 F51 F52 F53 F54 F55" showDropDown="0" showInputMessage="0" showErrorMessage="0" allowBlank="1" type="list">
      <formula1>"Temporary,Permanent,Emergency"</formula1>
    </dataValidation>
    <dataValidation sqref="S6 S7 S8 S9 S10 S11 S12 S13 S14 S15 S16 S17 S18 S19 S20 S21 S22 S23 S24 S25 S26 S27 S28 S29 S30 S31 S32 S33 S34 S35 S36 S37 S38 S39 S40 S41 S42 S43 S44 S45 S46 S47 S48 S49 S50 S51 S52 S53 S54 S55" showDropDown="0" showInputMessage="0" showErrorMessage="0" allowBlank="1" type="list">
      <formula1>"High,Medium,Low,Accepted"</formula1>
    </dataValidation>
    <dataValidation sqref="AB6 AB7 AB8 AB9 AB10 AB11 AB12 AB13 AB14 AB15 AB16 AB17 AB18 AB19 AB20 AB21 AB22 AB23 AB24 AB25 AB26 AB27 AB28 AB29 AB30 AB31 AB32 AB33 AB34 AB35 AB36 AB37 AB38 AB39 AB40 AB41 AB42 AB43 AB44 AB45 AB46 AB47 AB48 AB49 AB50 AB51 AB52 AB53 AB54 AB55" showDropDown="0" showInputMessage="0" showErrorMessage="0" allowBlank="1" type="list">
      <formula1>"Active,Pending Approval,Expired,Closed,Rejected"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J55"/>
  <sheetViews>
    <sheetView showGridLines="0" workbookViewId="0">
      <pane ySplit="4" topLeftCell="A5" activePane="bottomLeft" state="frozen"/>
      <selection pane="bottomLeft" activeCell="A1" sqref="A1"/>
    </sheetView>
  </sheetViews>
  <sheetFormatPr baseColWidth="8" defaultRowHeight="15"/>
  <cols>
    <col width="14" customWidth="1" min="1" max="1"/>
    <col width="16" customWidth="1" min="2" max="2"/>
    <col width="14" customWidth="1" min="3" max="3"/>
    <col width="18" customWidth="1" min="4" max="4"/>
    <col width="28" customWidth="1" min="5" max="5"/>
    <col width="18" customWidth="1" min="6" max="6"/>
    <col width="40" customWidth="1" min="7" max="7"/>
    <col width="20" customWidth="1" min="8" max="8"/>
    <col width="20" customWidth="1" min="9" max="9"/>
    <col width="20" customWidth="1" min="10" max="10"/>
    <col width="25" customWidth="1" min="11" max="11"/>
    <col width="14" customWidth="1" min="12" max="12"/>
    <col width="22" customWidth="1" min="13" max="13"/>
    <col width="22" customWidth="1" min="14" max="14"/>
    <col width="20" customWidth="1" min="15" max="15"/>
    <col width="20" customWidth="1" min="16" max="16"/>
    <col width="18" customWidth="1" min="17" max="17"/>
    <col width="18" customWidth="1" min="18" max="18"/>
    <col width="20" customWidth="1" min="19" max="19"/>
    <col width="12" customWidth="1" min="20" max="20"/>
    <col width="12" customWidth="1" min="21" max="21"/>
    <col width="20" customWidth="1" min="22" max="22"/>
    <col width="18" customWidth="1" min="23" max="23"/>
    <col width="20" customWidth="1" min="24" max="24"/>
    <col width="18" customWidth="1" min="25" max="25"/>
    <col width="16" customWidth="1" min="26" max="26"/>
    <col width="22" customWidth="1" min="27" max="27"/>
    <col width="18" customWidth="1" min="28" max="28"/>
    <col width="18" customWidth="1" min="29" max="29"/>
    <col width="14" customWidth="1" min="30" max="30"/>
    <col width="16" customWidth="1" min="31" max="31"/>
    <col width="14" customWidth="1" min="32" max="32"/>
    <col width="30" customWidth="1" min="33" max="33"/>
    <col width="18" customWidth="1" min="34" max="34"/>
    <col width="30" customWidth="1" min="35" max="35"/>
    <col width="16" customWidth="1" min="36" max="36"/>
  </cols>
  <sheetData>
    <row r="1" ht="35" customHeight="1">
      <c r="A1" s="11" t="inlineStr">
        <is>
          <t>ISMS-IMP-A.8.8.5  —  COMPENSATING CONTROLS</t>
        </is>
      </c>
    </row>
    <row r="2">
      <c r="A2" s="12" t="inlineStr">
        <is>
          <t>ISO/IEC 27001:2022 — Control A.8.8: Compensating Control Register</t>
        </is>
      </c>
    </row>
    <row r="3">
      <c r="A3" s="6" t="n"/>
    </row>
    <row r="4">
      <c r="A4" s="13" t="inlineStr">
        <is>
          <t>Control_ID</t>
        </is>
      </c>
      <c r="B4" s="13" t="inlineStr">
        <is>
          <t>Exception_ID</t>
        </is>
      </c>
      <c r="C4" s="13" t="inlineStr">
        <is>
          <t>Vuln_ID</t>
        </is>
      </c>
      <c r="D4" s="13" t="inlineStr">
        <is>
          <t>CVE_ID</t>
        </is>
      </c>
      <c r="E4" s="13" t="inlineStr">
        <is>
          <t>Control_Name</t>
        </is>
      </c>
      <c r="F4" s="13" t="inlineStr">
        <is>
          <t>Control_Category</t>
        </is>
      </c>
      <c r="G4" s="13" t="inlineStr">
        <is>
          <t>Control_Description</t>
        </is>
      </c>
      <c r="H4" s="13" t="inlineStr">
        <is>
          <t>Control_Owner</t>
        </is>
      </c>
      <c r="I4" s="13" t="inlineStr">
        <is>
          <t>Implementation_Date</t>
        </is>
      </c>
      <c r="J4" s="13" t="inlineStr">
        <is>
          <t>Control_Technology</t>
        </is>
      </c>
      <c r="K4" s="13" t="inlineStr">
        <is>
          <t>Assets_Protected</t>
        </is>
      </c>
      <c r="L4" s="13" t="inlineStr">
        <is>
          <t>Assets_Count</t>
        </is>
      </c>
      <c r="M4" s="13" t="inlineStr">
        <is>
          <t>CVSS_Risk_Reduction_Pct</t>
        </is>
      </c>
      <c r="N4" s="13" t="inlineStr">
        <is>
          <t>Effectiveness_Target_Pct</t>
        </is>
      </c>
      <c r="O4" s="13" t="inlineStr">
        <is>
          <t>Last_Validation_Date</t>
        </is>
      </c>
      <c r="P4" s="13" t="inlineStr">
        <is>
          <t>Next_Validation_Date</t>
        </is>
      </c>
      <c r="Q4" s="13" t="inlineStr">
        <is>
          <t>Validation_Frequency</t>
        </is>
      </c>
      <c r="R4" s="13" t="inlineStr">
        <is>
          <t>Validation_Method</t>
        </is>
      </c>
      <c r="S4" s="13" t="inlineStr">
        <is>
          <t>Validation_Owner</t>
        </is>
      </c>
      <c r="T4" s="13" t="inlineStr">
        <is>
          <t>Pass_Count</t>
        </is>
      </c>
      <c r="U4" s="13" t="inlineStr">
        <is>
          <t>Fail_Count</t>
        </is>
      </c>
      <c r="V4" s="13" t="inlineStr">
        <is>
          <t>Revalidation_Due_Date</t>
        </is>
      </c>
      <c r="W4" s="13" t="inlineStr">
        <is>
          <t>Escalation_Required</t>
        </is>
      </c>
      <c r="X4" s="13" t="inlineStr">
        <is>
          <t>Escalated_To</t>
        </is>
      </c>
      <c r="Y4" s="13" t="inlineStr">
        <is>
          <t>Residual_Risk_Level</t>
        </is>
      </c>
      <c r="Z4" s="13" t="inlineStr">
        <is>
          <t>Coverage_Scope</t>
        </is>
      </c>
      <c r="AA4" s="13" t="inlineStr">
        <is>
          <t>Compensating_Adequacy</t>
        </is>
      </c>
      <c r="AB4" s="13" t="inlineStr">
        <is>
          <t>ISO27001_Reference</t>
        </is>
      </c>
      <c r="AC4" s="13" t="inlineStr">
        <is>
          <t>Regulatory_Mapping</t>
        </is>
      </c>
      <c r="AD4" s="13" t="inlineStr">
        <is>
          <t>Board_Approved</t>
        </is>
      </c>
      <c r="AE4" s="13" t="inlineStr">
        <is>
          <t>CISO_Signed_Off</t>
        </is>
      </c>
      <c r="AF4" s="13" t="inlineStr">
        <is>
          <t>Removal_Date</t>
        </is>
      </c>
      <c r="AG4" s="13" t="inlineStr">
        <is>
          <t>Removal_Reason</t>
        </is>
      </c>
      <c r="AH4" s="13" t="inlineStr">
        <is>
          <t>Final_Review_Date</t>
        </is>
      </c>
      <c r="AI4" s="13" t="inlineStr">
        <is>
          <t>Notes</t>
        </is>
      </c>
      <c r="AJ4" s="13" t="inlineStr">
        <is>
          <t>Status</t>
        </is>
      </c>
    </row>
    <row r="5">
      <c r="A5" s="14" t="inlineStr">
        <is>
          <t>CC-001</t>
        </is>
      </c>
      <c r="B5" s="14" t="inlineStr">
        <is>
          <t>EXC-001</t>
        </is>
      </c>
      <c r="C5" s="14" t="inlineStr">
        <is>
          <t>VULN-001</t>
        </is>
      </c>
      <c r="D5" s="14" t="inlineStr">
        <is>
          <t>CVE-2024-1234</t>
        </is>
      </c>
      <c r="E5" s="14" t="inlineStr">
        <is>
          <t>WAF Rule — Block Apache RCE Vector</t>
        </is>
      </c>
      <c r="F5" s="14" t="inlineStr">
        <is>
          <t>Technical</t>
        </is>
      </c>
      <c r="G5" s="14" t="inlineStr">
        <is>
          <t>ModSecurity rule added to block CVE-2024-1234 exploitation pattern</t>
        </is>
      </c>
      <c r="H5" s="14" t="inlineStr">
        <is>
          <t>Security Engineer</t>
        </is>
      </c>
      <c r="I5" s="14" t="inlineStr">
        <is>
          <t>20/01/2024</t>
        </is>
      </c>
      <c r="J5" s="14" t="inlineStr">
        <is>
          <t>ModSecurity WAF</t>
        </is>
      </c>
      <c r="K5" s="14" t="inlineStr">
        <is>
          <t>All web servers behind F5</t>
        </is>
      </c>
      <c r="L5" s="14" t="n">
        <v>12</v>
      </c>
      <c r="M5" s="14" t="n">
        <v>85</v>
      </c>
      <c r="N5" s="14" t="n">
        <v>90</v>
      </c>
      <c r="O5" s="14" t="inlineStr">
        <is>
          <t>21/01/2024</t>
        </is>
      </c>
      <c r="P5" s="14" t="inlineStr">
        <is>
          <t>21/02/2024</t>
        </is>
      </c>
      <c r="Q5" s="14" t="inlineStr">
        <is>
          <t>Monthly</t>
        </is>
      </c>
      <c r="R5" s="14" t="inlineStr">
        <is>
          <t>Automated</t>
        </is>
      </c>
      <c r="S5" s="14" t="inlineStr">
        <is>
          <t>Security Engineer</t>
        </is>
      </c>
      <c r="T5" s="14" t="n">
        <v>1</v>
      </c>
      <c r="U5" s="14" t="n">
        <v>0</v>
      </c>
      <c r="V5" s="14" t="inlineStr">
        <is>
          <t>21/02/2024</t>
        </is>
      </c>
      <c r="W5" s="14" t="inlineStr">
        <is>
          <t>No</t>
        </is>
      </c>
      <c r="X5" s="14" t="inlineStr"/>
      <c r="Y5" s="14" t="inlineStr">
        <is>
          <t>Low</t>
        </is>
      </c>
      <c r="Z5" s="14" t="inlineStr">
        <is>
          <t>Full</t>
        </is>
      </c>
      <c r="AA5" s="14" t="inlineStr">
        <is>
          <t>Adequate</t>
        </is>
      </c>
      <c r="AB5" s="14" t="inlineStr">
        <is>
          <t>A.8.16</t>
        </is>
      </c>
      <c r="AC5" s="14" t="inlineStr">
        <is>
          <t>ISO27001:2022</t>
        </is>
      </c>
      <c r="AD5" s="14" t="inlineStr">
        <is>
          <t>Yes</t>
        </is>
      </c>
      <c r="AE5" s="14" t="inlineStr">
        <is>
          <t>Yes</t>
        </is>
      </c>
      <c r="AF5" s="14" t="inlineStr"/>
      <c r="AG5" s="14" t="inlineStr"/>
      <c r="AH5" s="14" t="inlineStr"/>
      <c r="AI5" s="14" t="inlineStr">
        <is>
          <t>Pending patch window</t>
        </is>
      </c>
      <c r="AJ5" s="14" t="inlineStr">
        <is>
          <t>Active</t>
        </is>
      </c>
    </row>
    <row r="6">
      <c r="A6" s="15" t="n"/>
      <c r="B6" s="15" t="n"/>
      <c r="C6" s="15" t="n"/>
      <c r="D6" s="15" t="n"/>
      <c r="E6" s="15" t="n"/>
      <c r="F6" s="15" t="n"/>
      <c r="G6" s="15" t="n"/>
      <c r="H6" s="15" t="n"/>
      <c r="I6" s="15" t="n"/>
      <c r="J6" s="15" t="n"/>
      <c r="K6" s="15" t="n"/>
      <c r="L6" s="15" t="n"/>
      <c r="M6" s="15" t="n"/>
      <c r="N6" s="15" t="n"/>
      <c r="O6" s="15" t="n"/>
      <c r="P6" s="15" t="n"/>
      <c r="Q6" s="15" t="n"/>
      <c r="R6" s="15" t="n"/>
      <c r="S6" s="15" t="n"/>
      <c r="T6" s="15" t="n"/>
      <c r="U6" s="15" t="n"/>
      <c r="V6" s="15" t="n"/>
      <c r="W6" s="15" t="n"/>
      <c r="X6" s="15" t="n"/>
      <c r="Y6" s="15" t="n"/>
      <c r="Z6" s="15" t="n"/>
      <c r="AA6" s="15" t="n"/>
      <c r="AB6" s="15" t="n"/>
      <c r="AC6" s="15" t="n"/>
      <c r="AD6" s="15" t="n"/>
      <c r="AE6" s="15" t="n"/>
      <c r="AF6" s="15" t="n"/>
      <c r="AG6" s="15" t="n"/>
      <c r="AH6" s="15" t="n"/>
      <c r="AI6" s="15" t="n"/>
      <c r="AJ6" s="15" t="n"/>
    </row>
    <row r="7">
      <c r="A7" s="15" t="n"/>
      <c r="B7" s="15" t="n"/>
      <c r="C7" s="15" t="n"/>
      <c r="D7" s="15" t="n"/>
      <c r="E7" s="15" t="n"/>
      <c r="F7" s="15" t="n"/>
      <c r="G7" s="15" t="n"/>
      <c r="H7" s="15" t="n"/>
      <c r="I7" s="15" t="n"/>
      <c r="J7" s="15" t="n"/>
      <c r="K7" s="15" t="n"/>
      <c r="L7" s="15" t="n"/>
      <c r="M7" s="15" t="n"/>
      <c r="N7" s="15" t="n"/>
      <c r="O7" s="15" t="n"/>
      <c r="P7" s="15" t="n"/>
      <c r="Q7" s="15" t="n"/>
      <c r="R7" s="15" t="n"/>
      <c r="S7" s="15" t="n"/>
      <c r="T7" s="15" t="n"/>
      <c r="U7" s="15" t="n"/>
      <c r="V7" s="15" t="n"/>
      <c r="W7" s="15" t="n"/>
      <c r="X7" s="15" t="n"/>
      <c r="Y7" s="15" t="n"/>
      <c r="Z7" s="15" t="n"/>
      <c r="AA7" s="15" t="n"/>
      <c r="AB7" s="15" t="n"/>
      <c r="AC7" s="15" t="n"/>
      <c r="AD7" s="15" t="n"/>
      <c r="AE7" s="15" t="n"/>
      <c r="AF7" s="15" t="n"/>
      <c r="AG7" s="15" t="n"/>
      <c r="AH7" s="15" t="n"/>
      <c r="AI7" s="15" t="n"/>
      <c r="AJ7" s="15" t="n"/>
    </row>
    <row r="8">
      <c r="A8" s="15" t="n"/>
      <c r="B8" s="15" t="n"/>
      <c r="C8" s="15" t="n"/>
      <c r="D8" s="15" t="n"/>
      <c r="E8" s="15" t="n"/>
      <c r="F8" s="15" t="n"/>
      <c r="G8" s="15" t="n"/>
      <c r="H8" s="15" t="n"/>
      <c r="I8" s="15" t="n"/>
      <c r="J8" s="15" t="n"/>
      <c r="K8" s="15" t="n"/>
      <c r="L8" s="15" t="n"/>
      <c r="M8" s="15" t="n"/>
      <c r="N8" s="15" t="n"/>
      <c r="O8" s="15" t="n"/>
      <c r="P8" s="15" t="n"/>
      <c r="Q8" s="15" t="n"/>
      <c r="R8" s="15" t="n"/>
      <c r="S8" s="15" t="n"/>
      <c r="T8" s="15" t="n"/>
      <c r="U8" s="15" t="n"/>
      <c r="V8" s="15" t="n"/>
      <c r="W8" s="15" t="n"/>
      <c r="X8" s="15" t="n"/>
      <c r="Y8" s="15" t="n"/>
      <c r="Z8" s="15" t="n"/>
      <c r="AA8" s="15" t="n"/>
      <c r="AB8" s="15" t="n"/>
      <c r="AC8" s="15" t="n"/>
      <c r="AD8" s="15" t="n"/>
      <c r="AE8" s="15" t="n"/>
      <c r="AF8" s="15" t="n"/>
      <c r="AG8" s="15" t="n"/>
      <c r="AH8" s="15" t="n"/>
      <c r="AI8" s="15" t="n"/>
      <c r="AJ8" s="15" t="n"/>
    </row>
    <row r="9">
      <c r="A9" s="15" t="n"/>
      <c r="B9" s="15" t="n"/>
      <c r="C9" s="15" t="n"/>
      <c r="D9" s="15" t="n"/>
      <c r="E9" s="15" t="n"/>
      <c r="F9" s="15" t="n"/>
      <c r="G9" s="15" t="n"/>
      <c r="H9" s="15" t="n"/>
      <c r="I9" s="15" t="n"/>
      <c r="J9" s="15" t="n"/>
      <c r="K9" s="15" t="n"/>
      <c r="L9" s="15" t="n"/>
      <c r="M9" s="15" t="n"/>
      <c r="N9" s="15" t="n"/>
      <c r="O9" s="15" t="n"/>
      <c r="P9" s="15" t="n"/>
      <c r="Q9" s="15" t="n"/>
      <c r="R9" s="15" t="n"/>
      <c r="S9" s="15" t="n"/>
      <c r="T9" s="15" t="n"/>
      <c r="U9" s="15" t="n"/>
      <c r="V9" s="15" t="n"/>
      <c r="W9" s="15" t="n"/>
      <c r="X9" s="15" t="n"/>
      <c r="Y9" s="15" t="n"/>
      <c r="Z9" s="15" t="n"/>
      <c r="AA9" s="15" t="n"/>
      <c r="AB9" s="15" t="n"/>
      <c r="AC9" s="15" t="n"/>
      <c r="AD9" s="15" t="n"/>
      <c r="AE9" s="15" t="n"/>
      <c r="AF9" s="15" t="n"/>
      <c r="AG9" s="15" t="n"/>
      <c r="AH9" s="15" t="n"/>
      <c r="AI9" s="15" t="n"/>
      <c r="AJ9" s="15" t="n"/>
    </row>
    <row r="10">
      <c r="A10" s="15" t="n"/>
      <c r="B10" s="15" t="n"/>
      <c r="C10" s="15" t="n"/>
      <c r="D10" s="15" t="n"/>
      <c r="E10" s="15" t="n"/>
      <c r="F10" s="15" t="n"/>
      <c r="G10" s="15" t="n"/>
      <c r="H10" s="15" t="n"/>
      <c r="I10" s="15" t="n"/>
      <c r="J10" s="15" t="n"/>
      <c r="K10" s="15" t="n"/>
      <c r="L10" s="15" t="n"/>
      <c r="M10" s="15" t="n"/>
      <c r="N10" s="15" t="n"/>
      <c r="O10" s="15" t="n"/>
      <c r="P10" s="15" t="n"/>
      <c r="Q10" s="15" t="n"/>
      <c r="R10" s="15" t="n"/>
      <c r="S10" s="15" t="n"/>
      <c r="T10" s="15" t="n"/>
      <c r="U10" s="15" t="n"/>
      <c r="V10" s="15" t="n"/>
      <c r="W10" s="15" t="n"/>
      <c r="X10" s="15" t="n"/>
      <c r="Y10" s="15" t="n"/>
      <c r="Z10" s="15" t="n"/>
      <c r="AA10" s="15" t="n"/>
      <c r="AB10" s="15" t="n"/>
      <c r="AC10" s="15" t="n"/>
      <c r="AD10" s="15" t="n"/>
      <c r="AE10" s="15" t="n"/>
      <c r="AF10" s="15" t="n"/>
      <c r="AG10" s="15" t="n"/>
      <c r="AH10" s="15" t="n"/>
      <c r="AI10" s="15" t="n"/>
      <c r="AJ10" s="15" t="n"/>
    </row>
    <row r="11">
      <c r="A11" s="15" t="n"/>
      <c r="B11" s="15" t="n"/>
      <c r="C11" s="15" t="n"/>
      <c r="D11" s="15" t="n"/>
      <c r="E11" s="15" t="n"/>
      <c r="F11" s="15" t="n"/>
      <c r="G11" s="15" t="n"/>
      <c r="H11" s="15" t="n"/>
      <c r="I11" s="15" t="n"/>
      <c r="J11" s="15" t="n"/>
      <c r="K11" s="15" t="n"/>
      <c r="L11" s="15" t="n"/>
      <c r="M11" s="15" t="n"/>
      <c r="N11" s="15" t="n"/>
      <c r="O11" s="15" t="n"/>
      <c r="P11" s="15" t="n"/>
      <c r="Q11" s="15" t="n"/>
      <c r="R11" s="15" t="n"/>
      <c r="S11" s="15" t="n"/>
      <c r="T11" s="15" t="n"/>
      <c r="U11" s="15" t="n"/>
      <c r="V11" s="15" t="n"/>
      <c r="W11" s="15" t="n"/>
      <c r="X11" s="15" t="n"/>
      <c r="Y11" s="15" t="n"/>
      <c r="Z11" s="15" t="n"/>
      <c r="AA11" s="15" t="n"/>
      <c r="AB11" s="15" t="n"/>
      <c r="AC11" s="15" t="n"/>
      <c r="AD11" s="15" t="n"/>
      <c r="AE11" s="15" t="n"/>
      <c r="AF11" s="15" t="n"/>
      <c r="AG11" s="15" t="n"/>
      <c r="AH11" s="15" t="n"/>
      <c r="AI11" s="15" t="n"/>
      <c r="AJ11" s="15" t="n"/>
    </row>
    <row r="12">
      <c r="A12" s="15" t="n"/>
      <c r="B12" s="15" t="n"/>
      <c r="C12" s="15" t="n"/>
      <c r="D12" s="15" t="n"/>
      <c r="E12" s="15" t="n"/>
      <c r="F12" s="15" t="n"/>
      <c r="G12" s="15" t="n"/>
      <c r="H12" s="15" t="n"/>
      <c r="I12" s="15" t="n"/>
      <c r="J12" s="15" t="n"/>
      <c r="K12" s="15" t="n"/>
      <c r="L12" s="15" t="n"/>
      <c r="M12" s="15" t="n"/>
      <c r="N12" s="15" t="n"/>
      <c r="O12" s="15" t="n"/>
      <c r="P12" s="15" t="n"/>
      <c r="Q12" s="15" t="n"/>
      <c r="R12" s="15" t="n"/>
      <c r="S12" s="15" t="n"/>
      <c r="T12" s="15" t="n"/>
      <c r="U12" s="15" t="n"/>
      <c r="V12" s="15" t="n"/>
      <c r="W12" s="15" t="n"/>
      <c r="X12" s="15" t="n"/>
      <c r="Y12" s="15" t="n"/>
      <c r="Z12" s="15" t="n"/>
      <c r="AA12" s="15" t="n"/>
      <c r="AB12" s="15" t="n"/>
      <c r="AC12" s="15" t="n"/>
      <c r="AD12" s="15" t="n"/>
      <c r="AE12" s="15" t="n"/>
      <c r="AF12" s="15" t="n"/>
      <c r="AG12" s="15" t="n"/>
      <c r="AH12" s="15" t="n"/>
      <c r="AI12" s="15" t="n"/>
      <c r="AJ12" s="15" t="n"/>
    </row>
    <row r="13">
      <c r="A13" s="15" t="n"/>
      <c r="B13" s="15" t="n"/>
      <c r="C13" s="15" t="n"/>
      <c r="D13" s="15" t="n"/>
      <c r="E13" s="15" t="n"/>
      <c r="F13" s="15" t="n"/>
      <c r="G13" s="15" t="n"/>
      <c r="H13" s="15" t="n"/>
      <c r="I13" s="15" t="n"/>
      <c r="J13" s="15" t="n"/>
      <c r="K13" s="15" t="n"/>
      <c r="L13" s="15" t="n"/>
      <c r="M13" s="15" t="n"/>
      <c r="N13" s="15" t="n"/>
      <c r="O13" s="15" t="n"/>
      <c r="P13" s="15" t="n"/>
      <c r="Q13" s="15" t="n"/>
      <c r="R13" s="15" t="n"/>
      <c r="S13" s="15" t="n"/>
      <c r="T13" s="15" t="n"/>
      <c r="U13" s="15" t="n"/>
      <c r="V13" s="15" t="n"/>
      <c r="W13" s="15" t="n"/>
      <c r="X13" s="15" t="n"/>
      <c r="Y13" s="15" t="n"/>
      <c r="Z13" s="15" t="n"/>
      <c r="AA13" s="15" t="n"/>
      <c r="AB13" s="15" t="n"/>
      <c r="AC13" s="15" t="n"/>
      <c r="AD13" s="15" t="n"/>
      <c r="AE13" s="15" t="n"/>
      <c r="AF13" s="15" t="n"/>
      <c r="AG13" s="15" t="n"/>
      <c r="AH13" s="15" t="n"/>
      <c r="AI13" s="15" t="n"/>
      <c r="AJ13" s="15" t="n"/>
    </row>
    <row r="14">
      <c r="A14" s="15" t="n"/>
      <c r="B14" s="15" t="n"/>
      <c r="C14" s="15" t="n"/>
      <c r="D14" s="15" t="n"/>
      <c r="E14" s="15" t="n"/>
      <c r="F14" s="15" t="n"/>
      <c r="G14" s="15" t="n"/>
      <c r="H14" s="15" t="n"/>
      <c r="I14" s="15" t="n"/>
      <c r="J14" s="15" t="n"/>
      <c r="K14" s="15" t="n"/>
      <c r="L14" s="15" t="n"/>
      <c r="M14" s="15" t="n"/>
      <c r="N14" s="15" t="n"/>
      <c r="O14" s="15" t="n"/>
      <c r="P14" s="15" t="n"/>
      <c r="Q14" s="15" t="n"/>
      <c r="R14" s="15" t="n"/>
      <c r="S14" s="15" t="n"/>
      <c r="T14" s="15" t="n"/>
      <c r="U14" s="15" t="n"/>
      <c r="V14" s="15" t="n"/>
      <c r="W14" s="15" t="n"/>
      <c r="X14" s="15" t="n"/>
      <c r="Y14" s="15" t="n"/>
      <c r="Z14" s="15" t="n"/>
      <c r="AA14" s="15" t="n"/>
      <c r="AB14" s="15" t="n"/>
      <c r="AC14" s="15" t="n"/>
      <c r="AD14" s="15" t="n"/>
      <c r="AE14" s="15" t="n"/>
      <c r="AF14" s="15" t="n"/>
      <c r="AG14" s="15" t="n"/>
      <c r="AH14" s="15" t="n"/>
      <c r="AI14" s="15" t="n"/>
      <c r="AJ14" s="15" t="n"/>
    </row>
    <row r="15">
      <c r="A15" s="15" t="n"/>
      <c r="B15" s="15" t="n"/>
      <c r="C15" s="15" t="n"/>
      <c r="D15" s="15" t="n"/>
      <c r="E15" s="15" t="n"/>
      <c r="F15" s="15" t="n"/>
      <c r="G15" s="15" t="n"/>
      <c r="H15" s="15" t="n"/>
      <c r="I15" s="15" t="n"/>
      <c r="J15" s="15" t="n"/>
      <c r="K15" s="15" t="n"/>
      <c r="L15" s="15" t="n"/>
      <c r="M15" s="15" t="n"/>
      <c r="N15" s="15" t="n"/>
      <c r="O15" s="15" t="n"/>
      <c r="P15" s="15" t="n"/>
      <c r="Q15" s="15" t="n"/>
      <c r="R15" s="15" t="n"/>
      <c r="S15" s="15" t="n"/>
      <c r="T15" s="15" t="n"/>
      <c r="U15" s="15" t="n"/>
      <c r="V15" s="15" t="n"/>
      <c r="W15" s="15" t="n"/>
      <c r="X15" s="15" t="n"/>
      <c r="Y15" s="15" t="n"/>
      <c r="Z15" s="15" t="n"/>
      <c r="AA15" s="15" t="n"/>
      <c r="AB15" s="15" t="n"/>
      <c r="AC15" s="15" t="n"/>
      <c r="AD15" s="15" t="n"/>
      <c r="AE15" s="15" t="n"/>
      <c r="AF15" s="15" t="n"/>
      <c r="AG15" s="15" t="n"/>
      <c r="AH15" s="15" t="n"/>
      <c r="AI15" s="15" t="n"/>
      <c r="AJ15" s="15" t="n"/>
    </row>
    <row r="16">
      <c r="A16" s="15" t="n"/>
      <c r="B16" s="15" t="n"/>
      <c r="C16" s="15" t="n"/>
      <c r="D16" s="15" t="n"/>
      <c r="E16" s="15" t="n"/>
      <c r="F16" s="15" t="n"/>
      <c r="G16" s="15" t="n"/>
      <c r="H16" s="15" t="n"/>
      <c r="I16" s="15" t="n"/>
      <c r="J16" s="15" t="n"/>
      <c r="K16" s="15" t="n"/>
      <c r="L16" s="15" t="n"/>
      <c r="M16" s="15" t="n"/>
      <c r="N16" s="15" t="n"/>
      <c r="O16" s="15" t="n"/>
      <c r="P16" s="15" t="n"/>
      <c r="Q16" s="15" t="n"/>
      <c r="R16" s="15" t="n"/>
      <c r="S16" s="15" t="n"/>
      <c r="T16" s="15" t="n"/>
      <c r="U16" s="15" t="n"/>
      <c r="V16" s="15" t="n"/>
      <c r="W16" s="15" t="n"/>
      <c r="X16" s="15" t="n"/>
      <c r="Y16" s="15" t="n"/>
      <c r="Z16" s="15" t="n"/>
      <c r="AA16" s="15" t="n"/>
      <c r="AB16" s="15" t="n"/>
      <c r="AC16" s="15" t="n"/>
      <c r="AD16" s="15" t="n"/>
      <c r="AE16" s="15" t="n"/>
      <c r="AF16" s="15" t="n"/>
      <c r="AG16" s="15" t="n"/>
      <c r="AH16" s="15" t="n"/>
      <c r="AI16" s="15" t="n"/>
      <c r="AJ16" s="15" t="n"/>
    </row>
    <row r="17">
      <c r="A17" s="15" t="n"/>
      <c r="B17" s="15" t="n"/>
      <c r="C17" s="15" t="n"/>
      <c r="D17" s="15" t="n"/>
      <c r="E17" s="15" t="n"/>
      <c r="F17" s="15" t="n"/>
      <c r="G17" s="15" t="n"/>
      <c r="H17" s="15" t="n"/>
      <c r="I17" s="15" t="n"/>
      <c r="J17" s="15" t="n"/>
      <c r="K17" s="15" t="n"/>
      <c r="L17" s="15" t="n"/>
      <c r="M17" s="15" t="n"/>
      <c r="N17" s="15" t="n"/>
      <c r="O17" s="15" t="n"/>
      <c r="P17" s="15" t="n"/>
      <c r="Q17" s="15" t="n"/>
      <c r="R17" s="15" t="n"/>
      <c r="S17" s="15" t="n"/>
      <c r="T17" s="15" t="n"/>
      <c r="U17" s="15" t="n"/>
      <c r="V17" s="15" t="n"/>
      <c r="W17" s="15" t="n"/>
      <c r="X17" s="15" t="n"/>
      <c r="Y17" s="15" t="n"/>
      <c r="Z17" s="15" t="n"/>
      <c r="AA17" s="15" t="n"/>
      <c r="AB17" s="15" t="n"/>
      <c r="AC17" s="15" t="n"/>
      <c r="AD17" s="15" t="n"/>
      <c r="AE17" s="15" t="n"/>
      <c r="AF17" s="15" t="n"/>
      <c r="AG17" s="15" t="n"/>
      <c r="AH17" s="15" t="n"/>
      <c r="AI17" s="15" t="n"/>
      <c r="AJ17" s="15" t="n"/>
    </row>
    <row r="18">
      <c r="A18" s="15" t="n"/>
      <c r="B18" s="15" t="n"/>
      <c r="C18" s="15" t="n"/>
      <c r="D18" s="15" t="n"/>
      <c r="E18" s="15" t="n"/>
      <c r="F18" s="15" t="n"/>
      <c r="G18" s="15" t="n"/>
      <c r="H18" s="15" t="n"/>
      <c r="I18" s="15" t="n"/>
      <c r="J18" s="15" t="n"/>
      <c r="K18" s="15" t="n"/>
      <c r="L18" s="15" t="n"/>
      <c r="M18" s="15" t="n"/>
      <c r="N18" s="15" t="n"/>
      <c r="O18" s="15" t="n"/>
      <c r="P18" s="15" t="n"/>
      <c r="Q18" s="15" t="n"/>
      <c r="R18" s="15" t="n"/>
      <c r="S18" s="15" t="n"/>
      <c r="T18" s="15" t="n"/>
      <c r="U18" s="15" t="n"/>
      <c r="V18" s="15" t="n"/>
      <c r="W18" s="15" t="n"/>
      <c r="X18" s="15" t="n"/>
      <c r="Y18" s="15" t="n"/>
      <c r="Z18" s="15" t="n"/>
      <c r="AA18" s="15" t="n"/>
      <c r="AB18" s="15" t="n"/>
      <c r="AC18" s="15" t="n"/>
      <c r="AD18" s="15" t="n"/>
      <c r="AE18" s="15" t="n"/>
      <c r="AF18" s="15" t="n"/>
      <c r="AG18" s="15" t="n"/>
      <c r="AH18" s="15" t="n"/>
      <c r="AI18" s="15" t="n"/>
      <c r="AJ18" s="15" t="n"/>
    </row>
    <row r="19">
      <c r="A19" s="15" t="n"/>
      <c r="B19" s="15" t="n"/>
      <c r="C19" s="15" t="n"/>
      <c r="D19" s="15" t="n"/>
      <c r="E19" s="15" t="n"/>
      <c r="F19" s="15" t="n"/>
      <c r="G19" s="15" t="n"/>
      <c r="H19" s="15" t="n"/>
      <c r="I19" s="15" t="n"/>
      <c r="J19" s="15" t="n"/>
      <c r="K19" s="15" t="n"/>
      <c r="L19" s="15" t="n"/>
      <c r="M19" s="15" t="n"/>
      <c r="N19" s="15" t="n"/>
      <c r="O19" s="15" t="n"/>
      <c r="P19" s="15" t="n"/>
      <c r="Q19" s="15" t="n"/>
      <c r="R19" s="15" t="n"/>
      <c r="S19" s="15" t="n"/>
      <c r="T19" s="15" t="n"/>
      <c r="U19" s="15" t="n"/>
      <c r="V19" s="15" t="n"/>
      <c r="W19" s="15" t="n"/>
      <c r="X19" s="15" t="n"/>
      <c r="Y19" s="15" t="n"/>
      <c r="Z19" s="15" t="n"/>
      <c r="AA19" s="15" t="n"/>
      <c r="AB19" s="15" t="n"/>
      <c r="AC19" s="15" t="n"/>
      <c r="AD19" s="15" t="n"/>
      <c r="AE19" s="15" t="n"/>
      <c r="AF19" s="15" t="n"/>
      <c r="AG19" s="15" t="n"/>
      <c r="AH19" s="15" t="n"/>
      <c r="AI19" s="15" t="n"/>
      <c r="AJ19" s="15" t="n"/>
    </row>
    <row r="20">
      <c r="A20" s="15" t="n"/>
      <c r="B20" s="15" t="n"/>
      <c r="C20" s="15" t="n"/>
      <c r="D20" s="15" t="n"/>
      <c r="E20" s="15" t="n"/>
      <c r="F20" s="15" t="n"/>
      <c r="G20" s="15" t="n"/>
      <c r="H20" s="15" t="n"/>
      <c r="I20" s="15" t="n"/>
      <c r="J20" s="15" t="n"/>
      <c r="K20" s="15" t="n"/>
      <c r="L20" s="15" t="n"/>
      <c r="M20" s="15" t="n"/>
      <c r="N20" s="15" t="n"/>
      <c r="O20" s="15" t="n"/>
      <c r="P20" s="15" t="n"/>
      <c r="Q20" s="15" t="n"/>
      <c r="R20" s="15" t="n"/>
      <c r="S20" s="15" t="n"/>
      <c r="T20" s="15" t="n"/>
      <c r="U20" s="15" t="n"/>
      <c r="V20" s="15" t="n"/>
      <c r="W20" s="15" t="n"/>
      <c r="X20" s="15" t="n"/>
      <c r="Y20" s="15" t="n"/>
      <c r="Z20" s="15" t="n"/>
      <c r="AA20" s="15" t="n"/>
      <c r="AB20" s="15" t="n"/>
      <c r="AC20" s="15" t="n"/>
      <c r="AD20" s="15" t="n"/>
      <c r="AE20" s="15" t="n"/>
      <c r="AF20" s="15" t="n"/>
      <c r="AG20" s="15" t="n"/>
      <c r="AH20" s="15" t="n"/>
      <c r="AI20" s="15" t="n"/>
      <c r="AJ20" s="15" t="n"/>
    </row>
    <row r="21">
      <c r="A21" s="15" t="n"/>
      <c r="B21" s="15" t="n"/>
      <c r="C21" s="15" t="n"/>
      <c r="D21" s="15" t="n"/>
      <c r="E21" s="15" t="n"/>
      <c r="F21" s="15" t="n"/>
      <c r="G21" s="15" t="n"/>
      <c r="H21" s="15" t="n"/>
      <c r="I21" s="15" t="n"/>
      <c r="J21" s="15" t="n"/>
      <c r="K21" s="15" t="n"/>
      <c r="L21" s="15" t="n"/>
      <c r="M21" s="15" t="n"/>
      <c r="N21" s="15" t="n"/>
      <c r="O21" s="15" t="n"/>
      <c r="P21" s="15" t="n"/>
      <c r="Q21" s="15" t="n"/>
      <c r="R21" s="15" t="n"/>
      <c r="S21" s="15" t="n"/>
      <c r="T21" s="15" t="n"/>
      <c r="U21" s="15" t="n"/>
      <c r="V21" s="15" t="n"/>
      <c r="W21" s="15" t="n"/>
      <c r="X21" s="15" t="n"/>
      <c r="Y21" s="15" t="n"/>
      <c r="Z21" s="15" t="n"/>
      <c r="AA21" s="15" t="n"/>
      <c r="AB21" s="15" t="n"/>
      <c r="AC21" s="15" t="n"/>
      <c r="AD21" s="15" t="n"/>
      <c r="AE21" s="15" t="n"/>
      <c r="AF21" s="15" t="n"/>
      <c r="AG21" s="15" t="n"/>
      <c r="AH21" s="15" t="n"/>
      <c r="AI21" s="15" t="n"/>
      <c r="AJ21" s="15" t="n"/>
    </row>
    <row r="22">
      <c r="A22" s="15" t="n"/>
      <c r="B22" s="15" t="n"/>
      <c r="C22" s="15" t="n"/>
      <c r="D22" s="15" t="n"/>
      <c r="E22" s="15" t="n"/>
      <c r="F22" s="15" t="n"/>
      <c r="G22" s="15" t="n"/>
      <c r="H22" s="15" t="n"/>
      <c r="I22" s="15" t="n"/>
      <c r="J22" s="15" t="n"/>
      <c r="K22" s="15" t="n"/>
      <c r="L22" s="15" t="n"/>
      <c r="M22" s="15" t="n"/>
      <c r="N22" s="15" t="n"/>
      <c r="O22" s="15" t="n"/>
      <c r="P22" s="15" t="n"/>
      <c r="Q22" s="15" t="n"/>
      <c r="R22" s="15" t="n"/>
      <c r="S22" s="15" t="n"/>
      <c r="T22" s="15" t="n"/>
      <c r="U22" s="15" t="n"/>
      <c r="V22" s="15" t="n"/>
      <c r="W22" s="15" t="n"/>
      <c r="X22" s="15" t="n"/>
      <c r="Y22" s="15" t="n"/>
      <c r="Z22" s="15" t="n"/>
      <c r="AA22" s="15" t="n"/>
      <c r="AB22" s="15" t="n"/>
      <c r="AC22" s="15" t="n"/>
      <c r="AD22" s="15" t="n"/>
      <c r="AE22" s="15" t="n"/>
      <c r="AF22" s="15" t="n"/>
      <c r="AG22" s="15" t="n"/>
      <c r="AH22" s="15" t="n"/>
      <c r="AI22" s="15" t="n"/>
      <c r="AJ22" s="15" t="n"/>
    </row>
    <row r="23">
      <c r="A23" s="15" t="n"/>
      <c r="B23" s="15" t="n"/>
      <c r="C23" s="15" t="n"/>
      <c r="D23" s="15" t="n"/>
      <c r="E23" s="15" t="n"/>
      <c r="F23" s="15" t="n"/>
      <c r="G23" s="15" t="n"/>
      <c r="H23" s="15" t="n"/>
      <c r="I23" s="15" t="n"/>
      <c r="J23" s="15" t="n"/>
      <c r="K23" s="15" t="n"/>
      <c r="L23" s="15" t="n"/>
      <c r="M23" s="15" t="n"/>
      <c r="N23" s="15" t="n"/>
      <c r="O23" s="15" t="n"/>
      <c r="P23" s="15" t="n"/>
      <c r="Q23" s="15" t="n"/>
      <c r="R23" s="15" t="n"/>
      <c r="S23" s="15" t="n"/>
      <c r="T23" s="15" t="n"/>
      <c r="U23" s="15" t="n"/>
      <c r="V23" s="15" t="n"/>
      <c r="W23" s="15" t="n"/>
      <c r="X23" s="15" t="n"/>
      <c r="Y23" s="15" t="n"/>
      <c r="Z23" s="15" t="n"/>
      <c r="AA23" s="15" t="n"/>
      <c r="AB23" s="15" t="n"/>
      <c r="AC23" s="15" t="n"/>
      <c r="AD23" s="15" t="n"/>
      <c r="AE23" s="15" t="n"/>
      <c r="AF23" s="15" t="n"/>
      <c r="AG23" s="15" t="n"/>
      <c r="AH23" s="15" t="n"/>
      <c r="AI23" s="15" t="n"/>
      <c r="AJ23" s="15" t="n"/>
    </row>
    <row r="24">
      <c r="A24" s="15" t="n"/>
      <c r="B24" s="15" t="n"/>
      <c r="C24" s="15" t="n"/>
      <c r="D24" s="15" t="n"/>
      <c r="E24" s="15" t="n"/>
      <c r="F24" s="15" t="n"/>
      <c r="G24" s="15" t="n"/>
      <c r="H24" s="15" t="n"/>
      <c r="I24" s="15" t="n"/>
      <c r="J24" s="15" t="n"/>
      <c r="K24" s="15" t="n"/>
      <c r="L24" s="15" t="n"/>
      <c r="M24" s="15" t="n"/>
      <c r="N24" s="15" t="n"/>
      <c r="O24" s="15" t="n"/>
      <c r="P24" s="15" t="n"/>
      <c r="Q24" s="15" t="n"/>
      <c r="R24" s="15" t="n"/>
      <c r="S24" s="15" t="n"/>
      <c r="T24" s="15" t="n"/>
      <c r="U24" s="15" t="n"/>
      <c r="V24" s="15" t="n"/>
      <c r="W24" s="15" t="n"/>
      <c r="X24" s="15" t="n"/>
      <c r="Y24" s="15" t="n"/>
      <c r="Z24" s="15" t="n"/>
      <c r="AA24" s="15" t="n"/>
      <c r="AB24" s="15" t="n"/>
      <c r="AC24" s="15" t="n"/>
      <c r="AD24" s="15" t="n"/>
      <c r="AE24" s="15" t="n"/>
      <c r="AF24" s="15" t="n"/>
      <c r="AG24" s="15" t="n"/>
      <c r="AH24" s="15" t="n"/>
      <c r="AI24" s="15" t="n"/>
      <c r="AJ24" s="15" t="n"/>
    </row>
    <row r="25">
      <c r="A25" s="15" t="n"/>
      <c r="B25" s="15" t="n"/>
      <c r="C25" s="15" t="n"/>
      <c r="D25" s="15" t="n"/>
      <c r="E25" s="15" t="n"/>
      <c r="F25" s="15" t="n"/>
      <c r="G25" s="15" t="n"/>
      <c r="H25" s="15" t="n"/>
      <c r="I25" s="15" t="n"/>
      <c r="J25" s="15" t="n"/>
      <c r="K25" s="15" t="n"/>
      <c r="L25" s="15" t="n"/>
      <c r="M25" s="15" t="n"/>
      <c r="N25" s="15" t="n"/>
      <c r="O25" s="15" t="n"/>
      <c r="P25" s="15" t="n"/>
      <c r="Q25" s="15" t="n"/>
      <c r="R25" s="15" t="n"/>
      <c r="S25" s="15" t="n"/>
      <c r="T25" s="15" t="n"/>
      <c r="U25" s="15" t="n"/>
      <c r="V25" s="15" t="n"/>
      <c r="W25" s="15" t="n"/>
      <c r="X25" s="15" t="n"/>
      <c r="Y25" s="15" t="n"/>
      <c r="Z25" s="15" t="n"/>
      <c r="AA25" s="15" t="n"/>
      <c r="AB25" s="15" t="n"/>
      <c r="AC25" s="15" t="n"/>
      <c r="AD25" s="15" t="n"/>
      <c r="AE25" s="15" t="n"/>
      <c r="AF25" s="15" t="n"/>
      <c r="AG25" s="15" t="n"/>
      <c r="AH25" s="15" t="n"/>
      <c r="AI25" s="15" t="n"/>
      <c r="AJ25" s="15" t="n"/>
    </row>
    <row r="26">
      <c r="A26" s="15" t="n"/>
      <c r="B26" s="15" t="n"/>
      <c r="C26" s="15" t="n"/>
      <c r="D26" s="15" t="n"/>
      <c r="E26" s="15" t="n"/>
      <c r="F26" s="15" t="n"/>
      <c r="G26" s="15" t="n"/>
      <c r="H26" s="15" t="n"/>
      <c r="I26" s="15" t="n"/>
      <c r="J26" s="15" t="n"/>
      <c r="K26" s="15" t="n"/>
      <c r="L26" s="15" t="n"/>
      <c r="M26" s="15" t="n"/>
      <c r="N26" s="15" t="n"/>
      <c r="O26" s="15" t="n"/>
      <c r="P26" s="15" t="n"/>
      <c r="Q26" s="15" t="n"/>
      <c r="R26" s="15" t="n"/>
      <c r="S26" s="15" t="n"/>
      <c r="T26" s="15" t="n"/>
      <c r="U26" s="15" t="n"/>
      <c r="V26" s="15" t="n"/>
      <c r="W26" s="15" t="n"/>
      <c r="X26" s="15" t="n"/>
      <c r="Y26" s="15" t="n"/>
      <c r="Z26" s="15" t="n"/>
      <c r="AA26" s="15" t="n"/>
      <c r="AB26" s="15" t="n"/>
      <c r="AC26" s="15" t="n"/>
      <c r="AD26" s="15" t="n"/>
      <c r="AE26" s="15" t="n"/>
      <c r="AF26" s="15" t="n"/>
      <c r="AG26" s="15" t="n"/>
      <c r="AH26" s="15" t="n"/>
      <c r="AI26" s="15" t="n"/>
      <c r="AJ26" s="15" t="n"/>
    </row>
    <row r="27">
      <c r="A27" s="15" t="n"/>
      <c r="B27" s="15" t="n"/>
      <c r="C27" s="15" t="n"/>
      <c r="D27" s="15" t="n"/>
      <c r="E27" s="15" t="n"/>
      <c r="F27" s="15" t="n"/>
      <c r="G27" s="15" t="n"/>
      <c r="H27" s="15" t="n"/>
      <c r="I27" s="15" t="n"/>
      <c r="J27" s="15" t="n"/>
      <c r="K27" s="15" t="n"/>
      <c r="L27" s="15" t="n"/>
      <c r="M27" s="15" t="n"/>
      <c r="N27" s="15" t="n"/>
      <c r="O27" s="15" t="n"/>
      <c r="P27" s="15" t="n"/>
      <c r="Q27" s="15" t="n"/>
      <c r="R27" s="15" t="n"/>
      <c r="S27" s="15" t="n"/>
      <c r="T27" s="15" t="n"/>
      <c r="U27" s="15" t="n"/>
      <c r="V27" s="15" t="n"/>
      <c r="W27" s="15" t="n"/>
      <c r="X27" s="15" t="n"/>
      <c r="Y27" s="15" t="n"/>
      <c r="Z27" s="15" t="n"/>
      <c r="AA27" s="15" t="n"/>
      <c r="AB27" s="15" t="n"/>
      <c r="AC27" s="15" t="n"/>
      <c r="AD27" s="15" t="n"/>
      <c r="AE27" s="15" t="n"/>
      <c r="AF27" s="15" t="n"/>
      <c r="AG27" s="15" t="n"/>
      <c r="AH27" s="15" t="n"/>
      <c r="AI27" s="15" t="n"/>
      <c r="AJ27" s="15" t="n"/>
    </row>
    <row r="28">
      <c r="A28" s="15" t="n"/>
      <c r="B28" s="15" t="n"/>
      <c r="C28" s="15" t="n"/>
      <c r="D28" s="15" t="n"/>
      <c r="E28" s="15" t="n"/>
      <c r="F28" s="15" t="n"/>
      <c r="G28" s="15" t="n"/>
      <c r="H28" s="15" t="n"/>
      <c r="I28" s="15" t="n"/>
      <c r="J28" s="15" t="n"/>
      <c r="K28" s="15" t="n"/>
      <c r="L28" s="15" t="n"/>
      <c r="M28" s="15" t="n"/>
      <c r="N28" s="15" t="n"/>
      <c r="O28" s="15" t="n"/>
      <c r="P28" s="15" t="n"/>
      <c r="Q28" s="15" t="n"/>
      <c r="R28" s="15" t="n"/>
      <c r="S28" s="15" t="n"/>
      <c r="T28" s="15" t="n"/>
      <c r="U28" s="15" t="n"/>
      <c r="V28" s="15" t="n"/>
      <c r="W28" s="15" t="n"/>
      <c r="X28" s="15" t="n"/>
      <c r="Y28" s="15" t="n"/>
      <c r="Z28" s="15" t="n"/>
      <c r="AA28" s="15" t="n"/>
      <c r="AB28" s="15" t="n"/>
      <c r="AC28" s="15" t="n"/>
      <c r="AD28" s="15" t="n"/>
      <c r="AE28" s="15" t="n"/>
      <c r="AF28" s="15" t="n"/>
      <c r="AG28" s="15" t="n"/>
      <c r="AH28" s="15" t="n"/>
      <c r="AI28" s="15" t="n"/>
      <c r="AJ28" s="15" t="n"/>
    </row>
    <row r="29">
      <c r="A29" s="15" t="n"/>
      <c r="B29" s="15" t="n"/>
      <c r="C29" s="15" t="n"/>
      <c r="D29" s="15" t="n"/>
      <c r="E29" s="15" t="n"/>
      <c r="F29" s="15" t="n"/>
      <c r="G29" s="15" t="n"/>
      <c r="H29" s="15" t="n"/>
      <c r="I29" s="15" t="n"/>
      <c r="J29" s="15" t="n"/>
      <c r="K29" s="15" t="n"/>
      <c r="L29" s="15" t="n"/>
      <c r="M29" s="15" t="n"/>
      <c r="N29" s="15" t="n"/>
      <c r="O29" s="15" t="n"/>
      <c r="P29" s="15" t="n"/>
      <c r="Q29" s="15" t="n"/>
      <c r="R29" s="15" t="n"/>
      <c r="S29" s="15" t="n"/>
      <c r="T29" s="15" t="n"/>
      <c r="U29" s="15" t="n"/>
      <c r="V29" s="15" t="n"/>
      <c r="W29" s="15" t="n"/>
      <c r="X29" s="15" t="n"/>
      <c r="Y29" s="15" t="n"/>
      <c r="Z29" s="15" t="n"/>
      <c r="AA29" s="15" t="n"/>
      <c r="AB29" s="15" t="n"/>
      <c r="AC29" s="15" t="n"/>
      <c r="AD29" s="15" t="n"/>
      <c r="AE29" s="15" t="n"/>
      <c r="AF29" s="15" t="n"/>
      <c r="AG29" s="15" t="n"/>
      <c r="AH29" s="15" t="n"/>
      <c r="AI29" s="15" t="n"/>
      <c r="AJ29" s="15" t="n"/>
    </row>
    <row r="30">
      <c r="A30" s="15" t="n"/>
      <c r="B30" s="15" t="n"/>
      <c r="C30" s="15" t="n"/>
      <c r="D30" s="15" t="n"/>
      <c r="E30" s="15" t="n"/>
      <c r="F30" s="15" t="n"/>
      <c r="G30" s="15" t="n"/>
      <c r="H30" s="15" t="n"/>
      <c r="I30" s="15" t="n"/>
      <c r="J30" s="15" t="n"/>
      <c r="K30" s="15" t="n"/>
      <c r="L30" s="15" t="n"/>
      <c r="M30" s="15" t="n"/>
      <c r="N30" s="15" t="n"/>
      <c r="O30" s="15" t="n"/>
      <c r="P30" s="15" t="n"/>
      <c r="Q30" s="15" t="n"/>
      <c r="R30" s="15" t="n"/>
      <c r="S30" s="15" t="n"/>
      <c r="T30" s="15" t="n"/>
      <c r="U30" s="15" t="n"/>
      <c r="V30" s="15" t="n"/>
      <c r="W30" s="15" t="n"/>
      <c r="X30" s="15" t="n"/>
      <c r="Y30" s="15" t="n"/>
      <c r="Z30" s="15" t="n"/>
      <c r="AA30" s="15" t="n"/>
      <c r="AB30" s="15" t="n"/>
      <c r="AC30" s="15" t="n"/>
      <c r="AD30" s="15" t="n"/>
      <c r="AE30" s="15" t="n"/>
      <c r="AF30" s="15" t="n"/>
      <c r="AG30" s="15" t="n"/>
      <c r="AH30" s="15" t="n"/>
      <c r="AI30" s="15" t="n"/>
      <c r="AJ30" s="15" t="n"/>
    </row>
    <row r="31">
      <c r="A31" s="15" t="n"/>
      <c r="B31" s="15" t="n"/>
      <c r="C31" s="15" t="n"/>
      <c r="D31" s="15" t="n"/>
      <c r="E31" s="15" t="n"/>
      <c r="F31" s="15" t="n"/>
      <c r="G31" s="15" t="n"/>
      <c r="H31" s="15" t="n"/>
      <c r="I31" s="15" t="n"/>
      <c r="J31" s="15" t="n"/>
      <c r="K31" s="15" t="n"/>
      <c r="L31" s="15" t="n"/>
      <c r="M31" s="15" t="n"/>
      <c r="N31" s="15" t="n"/>
      <c r="O31" s="15" t="n"/>
      <c r="P31" s="15" t="n"/>
      <c r="Q31" s="15" t="n"/>
      <c r="R31" s="15" t="n"/>
      <c r="S31" s="15" t="n"/>
      <c r="T31" s="15" t="n"/>
      <c r="U31" s="15" t="n"/>
      <c r="V31" s="15" t="n"/>
      <c r="W31" s="15" t="n"/>
      <c r="X31" s="15" t="n"/>
      <c r="Y31" s="15" t="n"/>
      <c r="Z31" s="15" t="n"/>
      <c r="AA31" s="15" t="n"/>
      <c r="AB31" s="15" t="n"/>
      <c r="AC31" s="15" t="n"/>
      <c r="AD31" s="15" t="n"/>
      <c r="AE31" s="15" t="n"/>
      <c r="AF31" s="15" t="n"/>
      <c r="AG31" s="15" t="n"/>
      <c r="AH31" s="15" t="n"/>
      <c r="AI31" s="15" t="n"/>
      <c r="AJ31" s="15" t="n"/>
    </row>
    <row r="32">
      <c r="A32" s="15" t="n"/>
      <c r="B32" s="15" t="n"/>
      <c r="C32" s="15" t="n"/>
      <c r="D32" s="15" t="n"/>
      <c r="E32" s="15" t="n"/>
      <c r="F32" s="15" t="n"/>
      <c r="G32" s="15" t="n"/>
      <c r="H32" s="15" t="n"/>
      <c r="I32" s="15" t="n"/>
      <c r="J32" s="15" t="n"/>
      <c r="K32" s="15" t="n"/>
      <c r="L32" s="15" t="n"/>
      <c r="M32" s="15" t="n"/>
      <c r="N32" s="15" t="n"/>
      <c r="O32" s="15" t="n"/>
      <c r="P32" s="15" t="n"/>
      <c r="Q32" s="15" t="n"/>
      <c r="R32" s="15" t="n"/>
      <c r="S32" s="15" t="n"/>
      <c r="T32" s="15" t="n"/>
      <c r="U32" s="15" t="n"/>
      <c r="V32" s="15" t="n"/>
      <c r="W32" s="15" t="n"/>
      <c r="X32" s="15" t="n"/>
      <c r="Y32" s="15" t="n"/>
      <c r="Z32" s="15" t="n"/>
      <c r="AA32" s="15" t="n"/>
      <c r="AB32" s="15" t="n"/>
      <c r="AC32" s="15" t="n"/>
      <c r="AD32" s="15" t="n"/>
      <c r="AE32" s="15" t="n"/>
      <c r="AF32" s="15" t="n"/>
      <c r="AG32" s="15" t="n"/>
      <c r="AH32" s="15" t="n"/>
      <c r="AI32" s="15" t="n"/>
      <c r="AJ32" s="15" t="n"/>
    </row>
    <row r="33">
      <c r="A33" s="15" t="n"/>
      <c r="B33" s="15" t="n"/>
      <c r="C33" s="15" t="n"/>
      <c r="D33" s="15" t="n"/>
      <c r="E33" s="15" t="n"/>
      <c r="F33" s="15" t="n"/>
      <c r="G33" s="15" t="n"/>
      <c r="H33" s="15" t="n"/>
      <c r="I33" s="15" t="n"/>
      <c r="J33" s="15" t="n"/>
      <c r="K33" s="15" t="n"/>
      <c r="L33" s="15" t="n"/>
      <c r="M33" s="15" t="n"/>
      <c r="N33" s="15" t="n"/>
      <c r="O33" s="15" t="n"/>
      <c r="P33" s="15" t="n"/>
      <c r="Q33" s="15" t="n"/>
      <c r="R33" s="15" t="n"/>
      <c r="S33" s="15" t="n"/>
      <c r="T33" s="15" t="n"/>
      <c r="U33" s="15" t="n"/>
      <c r="V33" s="15" t="n"/>
      <c r="W33" s="15" t="n"/>
      <c r="X33" s="15" t="n"/>
      <c r="Y33" s="15" t="n"/>
      <c r="Z33" s="15" t="n"/>
      <c r="AA33" s="15" t="n"/>
      <c r="AB33" s="15" t="n"/>
      <c r="AC33" s="15" t="n"/>
      <c r="AD33" s="15" t="n"/>
      <c r="AE33" s="15" t="n"/>
      <c r="AF33" s="15" t="n"/>
      <c r="AG33" s="15" t="n"/>
      <c r="AH33" s="15" t="n"/>
      <c r="AI33" s="15" t="n"/>
      <c r="AJ33" s="15" t="n"/>
    </row>
    <row r="34">
      <c r="A34" s="15" t="n"/>
      <c r="B34" s="15" t="n"/>
      <c r="C34" s="15" t="n"/>
      <c r="D34" s="15" t="n"/>
      <c r="E34" s="15" t="n"/>
      <c r="F34" s="15" t="n"/>
      <c r="G34" s="15" t="n"/>
      <c r="H34" s="15" t="n"/>
      <c r="I34" s="15" t="n"/>
      <c r="J34" s="15" t="n"/>
      <c r="K34" s="15" t="n"/>
      <c r="L34" s="15" t="n"/>
      <c r="M34" s="15" t="n"/>
      <c r="N34" s="15" t="n"/>
      <c r="O34" s="15" t="n"/>
      <c r="P34" s="15" t="n"/>
      <c r="Q34" s="15" t="n"/>
      <c r="R34" s="15" t="n"/>
      <c r="S34" s="15" t="n"/>
      <c r="T34" s="15" t="n"/>
      <c r="U34" s="15" t="n"/>
      <c r="V34" s="15" t="n"/>
      <c r="W34" s="15" t="n"/>
      <c r="X34" s="15" t="n"/>
      <c r="Y34" s="15" t="n"/>
      <c r="Z34" s="15" t="n"/>
      <c r="AA34" s="15" t="n"/>
      <c r="AB34" s="15" t="n"/>
      <c r="AC34" s="15" t="n"/>
      <c r="AD34" s="15" t="n"/>
      <c r="AE34" s="15" t="n"/>
      <c r="AF34" s="15" t="n"/>
      <c r="AG34" s="15" t="n"/>
      <c r="AH34" s="15" t="n"/>
      <c r="AI34" s="15" t="n"/>
      <c r="AJ34" s="15" t="n"/>
    </row>
    <row r="35">
      <c r="A35" s="15" t="n"/>
      <c r="B35" s="15" t="n"/>
      <c r="C35" s="15" t="n"/>
      <c r="D35" s="15" t="n"/>
      <c r="E35" s="15" t="n"/>
      <c r="F35" s="15" t="n"/>
      <c r="G35" s="15" t="n"/>
      <c r="H35" s="15" t="n"/>
      <c r="I35" s="15" t="n"/>
      <c r="J35" s="15" t="n"/>
      <c r="K35" s="15" t="n"/>
      <c r="L35" s="15" t="n"/>
      <c r="M35" s="15" t="n"/>
      <c r="N35" s="15" t="n"/>
      <c r="O35" s="15" t="n"/>
      <c r="P35" s="15" t="n"/>
      <c r="Q35" s="15" t="n"/>
      <c r="R35" s="15" t="n"/>
      <c r="S35" s="15" t="n"/>
      <c r="T35" s="15" t="n"/>
      <c r="U35" s="15" t="n"/>
      <c r="V35" s="15" t="n"/>
      <c r="W35" s="15" t="n"/>
      <c r="X35" s="15" t="n"/>
      <c r="Y35" s="15" t="n"/>
      <c r="Z35" s="15" t="n"/>
      <c r="AA35" s="15" t="n"/>
      <c r="AB35" s="15" t="n"/>
      <c r="AC35" s="15" t="n"/>
      <c r="AD35" s="15" t="n"/>
      <c r="AE35" s="15" t="n"/>
      <c r="AF35" s="15" t="n"/>
      <c r="AG35" s="15" t="n"/>
      <c r="AH35" s="15" t="n"/>
      <c r="AI35" s="15" t="n"/>
      <c r="AJ35" s="15" t="n"/>
    </row>
    <row r="36">
      <c r="A36" s="15" t="n"/>
      <c r="B36" s="15" t="n"/>
      <c r="C36" s="15" t="n"/>
      <c r="D36" s="15" t="n"/>
      <c r="E36" s="15" t="n"/>
      <c r="F36" s="15" t="n"/>
      <c r="G36" s="15" t="n"/>
      <c r="H36" s="15" t="n"/>
      <c r="I36" s="15" t="n"/>
      <c r="J36" s="15" t="n"/>
      <c r="K36" s="15" t="n"/>
      <c r="L36" s="15" t="n"/>
      <c r="M36" s="15" t="n"/>
      <c r="N36" s="15" t="n"/>
      <c r="O36" s="15" t="n"/>
      <c r="P36" s="15" t="n"/>
      <c r="Q36" s="15" t="n"/>
      <c r="R36" s="15" t="n"/>
      <c r="S36" s="15" t="n"/>
      <c r="T36" s="15" t="n"/>
      <c r="U36" s="15" t="n"/>
      <c r="V36" s="15" t="n"/>
      <c r="W36" s="15" t="n"/>
      <c r="X36" s="15" t="n"/>
      <c r="Y36" s="15" t="n"/>
      <c r="Z36" s="15" t="n"/>
      <c r="AA36" s="15" t="n"/>
      <c r="AB36" s="15" t="n"/>
      <c r="AC36" s="15" t="n"/>
      <c r="AD36" s="15" t="n"/>
      <c r="AE36" s="15" t="n"/>
      <c r="AF36" s="15" t="n"/>
      <c r="AG36" s="15" t="n"/>
      <c r="AH36" s="15" t="n"/>
      <c r="AI36" s="15" t="n"/>
      <c r="AJ36" s="15" t="n"/>
    </row>
    <row r="37">
      <c r="A37" s="15" t="n"/>
      <c r="B37" s="15" t="n"/>
      <c r="C37" s="15" t="n"/>
      <c r="D37" s="15" t="n"/>
      <c r="E37" s="15" t="n"/>
      <c r="F37" s="15" t="n"/>
      <c r="G37" s="15" t="n"/>
      <c r="H37" s="15" t="n"/>
      <c r="I37" s="15" t="n"/>
      <c r="J37" s="15" t="n"/>
      <c r="K37" s="15" t="n"/>
      <c r="L37" s="15" t="n"/>
      <c r="M37" s="15" t="n"/>
      <c r="N37" s="15" t="n"/>
      <c r="O37" s="15" t="n"/>
      <c r="P37" s="15" t="n"/>
      <c r="Q37" s="15" t="n"/>
      <c r="R37" s="15" t="n"/>
      <c r="S37" s="15" t="n"/>
      <c r="T37" s="15" t="n"/>
      <c r="U37" s="15" t="n"/>
      <c r="V37" s="15" t="n"/>
      <c r="W37" s="15" t="n"/>
      <c r="X37" s="15" t="n"/>
      <c r="Y37" s="15" t="n"/>
      <c r="Z37" s="15" t="n"/>
      <c r="AA37" s="15" t="n"/>
      <c r="AB37" s="15" t="n"/>
      <c r="AC37" s="15" t="n"/>
      <c r="AD37" s="15" t="n"/>
      <c r="AE37" s="15" t="n"/>
      <c r="AF37" s="15" t="n"/>
      <c r="AG37" s="15" t="n"/>
      <c r="AH37" s="15" t="n"/>
      <c r="AI37" s="15" t="n"/>
      <c r="AJ37" s="15" t="n"/>
    </row>
    <row r="38">
      <c r="A38" s="15" t="n"/>
      <c r="B38" s="15" t="n"/>
      <c r="C38" s="15" t="n"/>
      <c r="D38" s="15" t="n"/>
      <c r="E38" s="15" t="n"/>
      <c r="F38" s="15" t="n"/>
      <c r="G38" s="15" t="n"/>
      <c r="H38" s="15" t="n"/>
      <c r="I38" s="15" t="n"/>
      <c r="J38" s="15" t="n"/>
      <c r="K38" s="15" t="n"/>
      <c r="L38" s="15" t="n"/>
      <c r="M38" s="15" t="n"/>
      <c r="N38" s="15" t="n"/>
      <c r="O38" s="15" t="n"/>
      <c r="P38" s="15" t="n"/>
      <c r="Q38" s="15" t="n"/>
      <c r="R38" s="15" t="n"/>
      <c r="S38" s="15" t="n"/>
      <c r="T38" s="15" t="n"/>
      <c r="U38" s="15" t="n"/>
      <c r="V38" s="15" t="n"/>
      <c r="W38" s="15" t="n"/>
      <c r="X38" s="15" t="n"/>
      <c r="Y38" s="15" t="n"/>
      <c r="Z38" s="15" t="n"/>
      <c r="AA38" s="15" t="n"/>
      <c r="AB38" s="15" t="n"/>
      <c r="AC38" s="15" t="n"/>
      <c r="AD38" s="15" t="n"/>
      <c r="AE38" s="15" t="n"/>
      <c r="AF38" s="15" t="n"/>
      <c r="AG38" s="15" t="n"/>
      <c r="AH38" s="15" t="n"/>
      <c r="AI38" s="15" t="n"/>
      <c r="AJ38" s="15" t="n"/>
    </row>
    <row r="39">
      <c r="A39" s="15" t="n"/>
      <c r="B39" s="15" t="n"/>
      <c r="C39" s="15" t="n"/>
      <c r="D39" s="15" t="n"/>
      <c r="E39" s="15" t="n"/>
      <c r="F39" s="15" t="n"/>
      <c r="G39" s="15" t="n"/>
      <c r="H39" s="15" t="n"/>
      <c r="I39" s="15" t="n"/>
      <c r="J39" s="15" t="n"/>
      <c r="K39" s="15" t="n"/>
      <c r="L39" s="15" t="n"/>
      <c r="M39" s="15" t="n"/>
      <c r="N39" s="15" t="n"/>
      <c r="O39" s="15" t="n"/>
      <c r="P39" s="15" t="n"/>
      <c r="Q39" s="15" t="n"/>
      <c r="R39" s="15" t="n"/>
      <c r="S39" s="15" t="n"/>
      <c r="T39" s="15" t="n"/>
      <c r="U39" s="15" t="n"/>
      <c r="V39" s="15" t="n"/>
      <c r="W39" s="15" t="n"/>
      <c r="X39" s="15" t="n"/>
      <c r="Y39" s="15" t="n"/>
      <c r="Z39" s="15" t="n"/>
      <c r="AA39" s="15" t="n"/>
      <c r="AB39" s="15" t="n"/>
      <c r="AC39" s="15" t="n"/>
      <c r="AD39" s="15" t="n"/>
      <c r="AE39" s="15" t="n"/>
      <c r="AF39" s="15" t="n"/>
      <c r="AG39" s="15" t="n"/>
      <c r="AH39" s="15" t="n"/>
      <c r="AI39" s="15" t="n"/>
      <c r="AJ39" s="15" t="n"/>
    </row>
    <row r="40">
      <c r="A40" s="15" t="n"/>
      <c r="B40" s="15" t="n"/>
      <c r="C40" s="15" t="n"/>
      <c r="D40" s="15" t="n"/>
      <c r="E40" s="15" t="n"/>
      <c r="F40" s="15" t="n"/>
      <c r="G40" s="15" t="n"/>
      <c r="H40" s="15" t="n"/>
      <c r="I40" s="15" t="n"/>
      <c r="J40" s="15" t="n"/>
      <c r="K40" s="15" t="n"/>
      <c r="L40" s="15" t="n"/>
      <c r="M40" s="15" t="n"/>
      <c r="N40" s="15" t="n"/>
      <c r="O40" s="15" t="n"/>
      <c r="P40" s="15" t="n"/>
      <c r="Q40" s="15" t="n"/>
      <c r="R40" s="15" t="n"/>
      <c r="S40" s="15" t="n"/>
      <c r="T40" s="15" t="n"/>
      <c r="U40" s="15" t="n"/>
      <c r="V40" s="15" t="n"/>
      <c r="W40" s="15" t="n"/>
      <c r="X40" s="15" t="n"/>
      <c r="Y40" s="15" t="n"/>
      <c r="Z40" s="15" t="n"/>
      <c r="AA40" s="15" t="n"/>
      <c r="AB40" s="15" t="n"/>
      <c r="AC40" s="15" t="n"/>
      <c r="AD40" s="15" t="n"/>
      <c r="AE40" s="15" t="n"/>
      <c r="AF40" s="15" t="n"/>
      <c r="AG40" s="15" t="n"/>
      <c r="AH40" s="15" t="n"/>
      <c r="AI40" s="15" t="n"/>
      <c r="AJ40" s="15" t="n"/>
    </row>
    <row r="41">
      <c r="A41" s="15" t="n"/>
      <c r="B41" s="15" t="n"/>
      <c r="C41" s="15" t="n"/>
      <c r="D41" s="15" t="n"/>
      <c r="E41" s="15" t="n"/>
      <c r="F41" s="15" t="n"/>
      <c r="G41" s="15" t="n"/>
      <c r="H41" s="15" t="n"/>
      <c r="I41" s="15" t="n"/>
      <c r="J41" s="15" t="n"/>
      <c r="K41" s="15" t="n"/>
      <c r="L41" s="15" t="n"/>
      <c r="M41" s="15" t="n"/>
      <c r="N41" s="15" t="n"/>
      <c r="O41" s="15" t="n"/>
      <c r="P41" s="15" t="n"/>
      <c r="Q41" s="15" t="n"/>
      <c r="R41" s="15" t="n"/>
      <c r="S41" s="15" t="n"/>
      <c r="T41" s="15" t="n"/>
      <c r="U41" s="15" t="n"/>
      <c r="V41" s="15" t="n"/>
      <c r="W41" s="15" t="n"/>
      <c r="X41" s="15" t="n"/>
      <c r="Y41" s="15" t="n"/>
      <c r="Z41" s="15" t="n"/>
      <c r="AA41" s="15" t="n"/>
      <c r="AB41" s="15" t="n"/>
      <c r="AC41" s="15" t="n"/>
      <c r="AD41" s="15" t="n"/>
      <c r="AE41" s="15" t="n"/>
      <c r="AF41" s="15" t="n"/>
      <c r="AG41" s="15" t="n"/>
      <c r="AH41" s="15" t="n"/>
      <c r="AI41" s="15" t="n"/>
      <c r="AJ41" s="15" t="n"/>
    </row>
    <row r="42">
      <c r="A42" s="15" t="n"/>
      <c r="B42" s="15" t="n"/>
      <c r="C42" s="15" t="n"/>
      <c r="D42" s="15" t="n"/>
      <c r="E42" s="15" t="n"/>
      <c r="F42" s="15" t="n"/>
      <c r="G42" s="15" t="n"/>
      <c r="H42" s="15" t="n"/>
      <c r="I42" s="15" t="n"/>
      <c r="J42" s="15" t="n"/>
      <c r="K42" s="15" t="n"/>
      <c r="L42" s="15" t="n"/>
      <c r="M42" s="15" t="n"/>
      <c r="N42" s="15" t="n"/>
      <c r="O42" s="15" t="n"/>
      <c r="P42" s="15" t="n"/>
      <c r="Q42" s="15" t="n"/>
      <c r="R42" s="15" t="n"/>
      <c r="S42" s="15" t="n"/>
      <c r="T42" s="15" t="n"/>
      <c r="U42" s="15" t="n"/>
      <c r="V42" s="15" t="n"/>
      <c r="W42" s="15" t="n"/>
      <c r="X42" s="15" t="n"/>
      <c r="Y42" s="15" t="n"/>
      <c r="Z42" s="15" t="n"/>
      <c r="AA42" s="15" t="n"/>
      <c r="AB42" s="15" t="n"/>
      <c r="AC42" s="15" t="n"/>
      <c r="AD42" s="15" t="n"/>
      <c r="AE42" s="15" t="n"/>
      <c r="AF42" s="15" t="n"/>
      <c r="AG42" s="15" t="n"/>
      <c r="AH42" s="15" t="n"/>
      <c r="AI42" s="15" t="n"/>
      <c r="AJ42" s="15" t="n"/>
    </row>
    <row r="43">
      <c r="A43" s="15" t="n"/>
      <c r="B43" s="15" t="n"/>
      <c r="C43" s="15" t="n"/>
      <c r="D43" s="15" t="n"/>
      <c r="E43" s="15" t="n"/>
      <c r="F43" s="15" t="n"/>
      <c r="G43" s="15" t="n"/>
      <c r="H43" s="15" t="n"/>
      <c r="I43" s="15" t="n"/>
      <c r="J43" s="15" t="n"/>
      <c r="K43" s="15" t="n"/>
      <c r="L43" s="15" t="n"/>
      <c r="M43" s="15" t="n"/>
      <c r="N43" s="15" t="n"/>
      <c r="O43" s="15" t="n"/>
      <c r="P43" s="15" t="n"/>
      <c r="Q43" s="15" t="n"/>
      <c r="R43" s="15" t="n"/>
      <c r="S43" s="15" t="n"/>
      <c r="T43" s="15" t="n"/>
      <c r="U43" s="15" t="n"/>
      <c r="V43" s="15" t="n"/>
      <c r="W43" s="15" t="n"/>
      <c r="X43" s="15" t="n"/>
      <c r="Y43" s="15" t="n"/>
      <c r="Z43" s="15" t="n"/>
      <c r="AA43" s="15" t="n"/>
      <c r="AB43" s="15" t="n"/>
      <c r="AC43" s="15" t="n"/>
      <c r="AD43" s="15" t="n"/>
      <c r="AE43" s="15" t="n"/>
      <c r="AF43" s="15" t="n"/>
      <c r="AG43" s="15" t="n"/>
      <c r="AH43" s="15" t="n"/>
      <c r="AI43" s="15" t="n"/>
      <c r="AJ43" s="15" t="n"/>
    </row>
    <row r="44">
      <c r="A44" s="15" t="n"/>
      <c r="B44" s="15" t="n"/>
      <c r="C44" s="15" t="n"/>
      <c r="D44" s="15" t="n"/>
      <c r="E44" s="15" t="n"/>
      <c r="F44" s="15" t="n"/>
      <c r="G44" s="15" t="n"/>
      <c r="H44" s="15" t="n"/>
      <c r="I44" s="15" t="n"/>
      <c r="J44" s="15" t="n"/>
      <c r="K44" s="15" t="n"/>
      <c r="L44" s="15" t="n"/>
      <c r="M44" s="15" t="n"/>
      <c r="N44" s="15" t="n"/>
      <c r="O44" s="15" t="n"/>
      <c r="P44" s="15" t="n"/>
      <c r="Q44" s="15" t="n"/>
      <c r="R44" s="15" t="n"/>
      <c r="S44" s="15" t="n"/>
      <c r="T44" s="15" t="n"/>
      <c r="U44" s="15" t="n"/>
      <c r="V44" s="15" t="n"/>
      <c r="W44" s="15" t="n"/>
      <c r="X44" s="15" t="n"/>
      <c r="Y44" s="15" t="n"/>
      <c r="Z44" s="15" t="n"/>
      <c r="AA44" s="15" t="n"/>
      <c r="AB44" s="15" t="n"/>
      <c r="AC44" s="15" t="n"/>
      <c r="AD44" s="15" t="n"/>
      <c r="AE44" s="15" t="n"/>
      <c r="AF44" s="15" t="n"/>
      <c r="AG44" s="15" t="n"/>
      <c r="AH44" s="15" t="n"/>
      <c r="AI44" s="15" t="n"/>
      <c r="AJ44" s="15" t="n"/>
    </row>
    <row r="45">
      <c r="A45" s="15" t="n"/>
      <c r="B45" s="15" t="n"/>
      <c r="C45" s="15" t="n"/>
      <c r="D45" s="15" t="n"/>
      <c r="E45" s="15" t="n"/>
      <c r="F45" s="15" t="n"/>
      <c r="G45" s="15" t="n"/>
      <c r="H45" s="15" t="n"/>
      <c r="I45" s="15" t="n"/>
      <c r="J45" s="15" t="n"/>
      <c r="K45" s="15" t="n"/>
      <c r="L45" s="15" t="n"/>
      <c r="M45" s="15" t="n"/>
      <c r="N45" s="15" t="n"/>
      <c r="O45" s="15" t="n"/>
      <c r="P45" s="15" t="n"/>
      <c r="Q45" s="15" t="n"/>
      <c r="R45" s="15" t="n"/>
      <c r="S45" s="15" t="n"/>
      <c r="T45" s="15" t="n"/>
      <c r="U45" s="15" t="n"/>
      <c r="V45" s="15" t="n"/>
      <c r="W45" s="15" t="n"/>
      <c r="X45" s="15" t="n"/>
      <c r="Y45" s="15" t="n"/>
      <c r="Z45" s="15" t="n"/>
      <c r="AA45" s="15" t="n"/>
      <c r="AB45" s="15" t="n"/>
      <c r="AC45" s="15" t="n"/>
      <c r="AD45" s="15" t="n"/>
      <c r="AE45" s="15" t="n"/>
      <c r="AF45" s="15" t="n"/>
      <c r="AG45" s="15" t="n"/>
      <c r="AH45" s="15" t="n"/>
      <c r="AI45" s="15" t="n"/>
      <c r="AJ45" s="15" t="n"/>
    </row>
    <row r="46">
      <c r="A46" s="15" t="n"/>
      <c r="B46" s="15" t="n"/>
      <c r="C46" s="15" t="n"/>
      <c r="D46" s="15" t="n"/>
      <c r="E46" s="15" t="n"/>
      <c r="F46" s="15" t="n"/>
      <c r="G46" s="15" t="n"/>
      <c r="H46" s="15" t="n"/>
      <c r="I46" s="15" t="n"/>
      <c r="J46" s="15" t="n"/>
      <c r="K46" s="15" t="n"/>
      <c r="L46" s="15" t="n"/>
      <c r="M46" s="15" t="n"/>
      <c r="N46" s="15" t="n"/>
      <c r="O46" s="15" t="n"/>
      <c r="P46" s="15" t="n"/>
      <c r="Q46" s="15" t="n"/>
      <c r="R46" s="15" t="n"/>
      <c r="S46" s="15" t="n"/>
      <c r="T46" s="15" t="n"/>
      <c r="U46" s="15" t="n"/>
      <c r="V46" s="15" t="n"/>
      <c r="W46" s="15" t="n"/>
      <c r="X46" s="15" t="n"/>
      <c r="Y46" s="15" t="n"/>
      <c r="Z46" s="15" t="n"/>
      <c r="AA46" s="15" t="n"/>
      <c r="AB46" s="15" t="n"/>
      <c r="AC46" s="15" t="n"/>
      <c r="AD46" s="15" t="n"/>
      <c r="AE46" s="15" t="n"/>
      <c r="AF46" s="15" t="n"/>
      <c r="AG46" s="15" t="n"/>
      <c r="AH46" s="15" t="n"/>
      <c r="AI46" s="15" t="n"/>
      <c r="AJ46" s="15" t="n"/>
    </row>
    <row r="47">
      <c r="A47" s="15" t="n"/>
      <c r="B47" s="15" t="n"/>
      <c r="C47" s="15" t="n"/>
      <c r="D47" s="15" t="n"/>
      <c r="E47" s="15" t="n"/>
      <c r="F47" s="15" t="n"/>
      <c r="G47" s="15" t="n"/>
      <c r="H47" s="15" t="n"/>
      <c r="I47" s="15" t="n"/>
      <c r="J47" s="15" t="n"/>
      <c r="K47" s="15" t="n"/>
      <c r="L47" s="15" t="n"/>
      <c r="M47" s="15" t="n"/>
      <c r="N47" s="15" t="n"/>
      <c r="O47" s="15" t="n"/>
      <c r="P47" s="15" t="n"/>
      <c r="Q47" s="15" t="n"/>
      <c r="R47" s="15" t="n"/>
      <c r="S47" s="15" t="n"/>
      <c r="T47" s="15" t="n"/>
      <c r="U47" s="15" t="n"/>
      <c r="V47" s="15" t="n"/>
      <c r="W47" s="15" t="n"/>
      <c r="X47" s="15" t="n"/>
      <c r="Y47" s="15" t="n"/>
      <c r="Z47" s="15" t="n"/>
      <c r="AA47" s="15" t="n"/>
      <c r="AB47" s="15" t="n"/>
      <c r="AC47" s="15" t="n"/>
      <c r="AD47" s="15" t="n"/>
      <c r="AE47" s="15" t="n"/>
      <c r="AF47" s="15" t="n"/>
      <c r="AG47" s="15" t="n"/>
      <c r="AH47" s="15" t="n"/>
      <c r="AI47" s="15" t="n"/>
      <c r="AJ47" s="15" t="n"/>
    </row>
    <row r="48">
      <c r="A48" s="15" t="n"/>
      <c r="B48" s="15" t="n"/>
      <c r="C48" s="15" t="n"/>
      <c r="D48" s="15" t="n"/>
      <c r="E48" s="15" t="n"/>
      <c r="F48" s="15" t="n"/>
      <c r="G48" s="15" t="n"/>
      <c r="H48" s="15" t="n"/>
      <c r="I48" s="15" t="n"/>
      <c r="J48" s="15" t="n"/>
      <c r="K48" s="15" t="n"/>
      <c r="L48" s="15" t="n"/>
      <c r="M48" s="15" t="n"/>
      <c r="N48" s="15" t="n"/>
      <c r="O48" s="15" t="n"/>
      <c r="P48" s="15" t="n"/>
      <c r="Q48" s="15" t="n"/>
      <c r="R48" s="15" t="n"/>
      <c r="S48" s="15" t="n"/>
      <c r="T48" s="15" t="n"/>
      <c r="U48" s="15" t="n"/>
      <c r="V48" s="15" t="n"/>
      <c r="W48" s="15" t="n"/>
      <c r="X48" s="15" t="n"/>
      <c r="Y48" s="15" t="n"/>
      <c r="Z48" s="15" t="n"/>
      <c r="AA48" s="15" t="n"/>
      <c r="AB48" s="15" t="n"/>
      <c r="AC48" s="15" t="n"/>
      <c r="AD48" s="15" t="n"/>
      <c r="AE48" s="15" t="n"/>
      <c r="AF48" s="15" t="n"/>
      <c r="AG48" s="15" t="n"/>
      <c r="AH48" s="15" t="n"/>
      <c r="AI48" s="15" t="n"/>
      <c r="AJ48" s="15" t="n"/>
    </row>
    <row r="49">
      <c r="A49" s="15" t="n"/>
      <c r="B49" s="15" t="n"/>
      <c r="C49" s="15" t="n"/>
      <c r="D49" s="15" t="n"/>
      <c r="E49" s="15" t="n"/>
      <c r="F49" s="15" t="n"/>
      <c r="G49" s="15" t="n"/>
      <c r="H49" s="15" t="n"/>
      <c r="I49" s="15" t="n"/>
      <c r="J49" s="15" t="n"/>
      <c r="K49" s="15" t="n"/>
      <c r="L49" s="15" t="n"/>
      <c r="M49" s="15" t="n"/>
      <c r="N49" s="15" t="n"/>
      <c r="O49" s="15" t="n"/>
      <c r="P49" s="15" t="n"/>
      <c r="Q49" s="15" t="n"/>
      <c r="R49" s="15" t="n"/>
      <c r="S49" s="15" t="n"/>
      <c r="T49" s="15" t="n"/>
      <c r="U49" s="15" t="n"/>
      <c r="V49" s="15" t="n"/>
      <c r="W49" s="15" t="n"/>
      <c r="X49" s="15" t="n"/>
      <c r="Y49" s="15" t="n"/>
      <c r="Z49" s="15" t="n"/>
      <c r="AA49" s="15" t="n"/>
      <c r="AB49" s="15" t="n"/>
      <c r="AC49" s="15" t="n"/>
      <c r="AD49" s="15" t="n"/>
      <c r="AE49" s="15" t="n"/>
      <c r="AF49" s="15" t="n"/>
      <c r="AG49" s="15" t="n"/>
      <c r="AH49" s="15" t="n"/>
      <c r="AI49" s="15" t="n"/>
      <c r="AJ49" s="15" t="n"/>
    </row>
    <row r="50">
      <c r="A50" s="15" t="n"/>
      <c r="B50" s="15" t="n"/>
      <c r="C50" s="15" t="n"/>
      <c r="D50" s="15" t="n"/>
      <c r="E50" s="15" t="n"/>
      <c r="F50" s="15" t="n"/>
      <c r="G50" s="15" t="n"/>
      <c r="H50" s="15" t="n"/>
      <c r="I50" s="15" t="n"/>
      <c r="J50" s="15" t="n"/>
      <c r="K50" s="15" t="n"/>
      <c r="L50" s="15" t="n"/>
      <c r="M50" s="15" t="n"/>
      <c r="N50" s="15" t="n"/>
      <c r="O50" s="15" t="n"/>
      <c r="P50" s="15" t="n"/>
      <c r="Q50" s="15" t="n"/>
      <c r="R50" s="15" t="n"/>
      <c r="S50" s="15" t="n"/>
      <c r="T50" s="15" t="n"/>
      <c r="U50" s="15" t="n"/>
      <c r="V50" s="15" t="n"/>
      <c r="W50" s="15" t="n"/>
      <c r="X50" s="15" t="n"/>
      <c r="Y50" s="15" t="n"/>
      <c r="Z50" s="15" t="n"/>
      <c r="AA50" s="15" t="n"/>
      <c r="AB50" s="15" t="n"/>
      <c r="AC50" s="15" t="n"/>
      <c r="AD50" s="15" t="n"/>
      <c r="AE50" s="15" t="n"/>
      <c r="AF50" s="15" t="n"/>
      <c r="AG50" s="15" t="n"/>
      <c r="AH50" s="15" t="n"/>
      <c r="AI50" s="15" t="n"/>
      <c r="AJ50" s="15" t="n"/>
    </row>
    <row r="51">
      <c r="A51" s="15" t="n"/>
      <c r="B51" s="15" t="n"/>
      <c r="C51" s="15" t="n"/>
      <c r="D51" s="15" t="n"/>
      <c r="E51" s="15" t="n"/>
      <c r="F51" s="15" t="n"/>
      <c r="G51" s="15" t="n"/>
      <c r="H51" s="15" t="n"/>
      <c r="I51" s="15" t="n"/>
      <c r="J51" s="15" t="n"/>
      <c r="K51" s="15" t="n"/>
      <c r="L51" s="15" t="n"/>
      <c r="M51" s="15" t="n"/>
      <c r="N51" s="15" t="n"/>
      <c r="O51" s="15" t="n"/>
      <c r="P51" s="15" t="n"/>
      <c r="Q51" s="15" t="n"/>
      <c r="R51" s="15" t="n"/>
      <c r="S51" s="15" t="n"/>
      <c r="T51" s="15" t="n"/>
      <c r="U51" s="15" t="n"/>
      <c r="V51" s="15" t="n"/>
      <c r="W51" s="15" t="n"/>
      <c r="X51" s="15" t="n"/>
      <c r="Y51" s="15" t="n"/>
      <c r="Z51" s="15" t="n"/>
      <c r="AA51" s="15" t="n"/>
      <c r="AB51" s="15" t="n"/>
      <c r="AC51" s="15" t="n"/>
      <c r="AD51" s="15" t="n"/>
      <c r="AE51" s="15" t="n"/>
      <c r="AF51" s="15" t="n"/>
      <c r="AG51" s="15" t="n"/>
      <c r="AH51" s="15" t="n"/>
      <c r="AI51" s="15" t="n"/>
      <c r="AJ51" s="15" t="n"/>
    </row>
    <row r="52">
      <c r="A52" s="15" t="n"/>
      <c r="B52" s="15" t="n"/>
      <c r="C52" s="15" t="n"/>
      <c r="D52" s="15" t="n"/>
      <c r="E52" s="15" t="n"/>
      <c r="F52" s="15" t="n"/>
      <c r="G52" s="15" t="n"/>
      <c r="H52" s="15" t="n"/>
      <c r="I52" s="15" t="n"/>
      <c r="J52" s="15" t="n"/>
      <c r="K52" s="15" t="n"/>
      <c r="L52" s="15" t="n"/>
      <c r="M52" s="15" t="n"/>
      <c r="N52" s="15" t="n"/>
      <c r="O52" s="15" t="n"/>
      <c r="P52" s="15" t="n"/>
      <c r="Q52" s="15" t="n"/>
      <c r="R52" s="15" t="n"/>
      <c r="S52" s="15" t="n"/>
      <c r="T52" s="15" t="n"/>
      <c r="U52" s="15" t="n"/>
      <c r="V52" s="15" t="n"/>
      <c r="W52" s="15" t="n"/>
      <c r="X52" s="15" t="n"/>
      <c r="Y52" s="15" t="n"/>
      <c r="Z52" s="15" t="n"/>
      <c r="AA52" s="15" t="n"/>
      <c r="AB52" s="15" t="n"/>
      <c r="AC52" s="15" t="n"/>
      <c r="AD52" s="15" t="n"/>
      <c r="AE52" s="15" t="n"/>
      <c r="AF52" s="15" t="n"/>
      <c r="AG52" s="15" t="n"/>
      <c r="AH52" s="15" t="n"/>
      <c r="AI52" s="15" t="n"/>
      <c r="AJ52" s="15" t="n"/>
    </row>
    <row r="53">
      <c r="A53" s="15" t="n"/>
      <c r="B53" s="15" t="n"/>
      <c r="C53" s="15" t="n"/>
      <c r="D53" s="15" t="n"/>
      <c r="E53" s="15" t="n"/>
      <c r="F53" s="15" t="n"/>
      <c r="G53" s="15" t="n"/>
      <c r="H53" s="15" t="n"/>
      <c r="I53" s="15" t="n"/>
      <c r="J53" s="15" t="n"/>
      <c r="K53" s="15" t="n"/>
      <c r="L53" s="15" t="n"/>
      <c r="M53" s="15" t="n"/>
      <c r="N53" s="15" t="n"/>
      <c r="O53" s="15" t="n"/>
      <c r="P53" s="15" t="n"/>
      <c r="Q53" s="15" t="n"/>
      <c r="R53" s="15" t="n"/>
      <c r="S53" s="15" t="n"/>
      <c r="T53" s="15" t="n"/>
      <c r="U53" s="15" t="n"/>
      <c r="V53" s="15" t="n"/>
      <c r="W53" s="15" t="n"/>
      <c r="X53" s="15" t="n"/>
      <c r="Y53" s="15" t="n"/>
      <c r="Z53" s="15" t="n"/>
      <c r="AA53" s="15" t="n"/>
      <c r="AB53" s="15" t="n"/>
      <c r="AC53" s="15" t="n"/>
      <c r="AD53" s="15" t="n"/>
      <c r="AE53" s="15" t="n"/>
      <c r="AF53" s="15" t="n"/>
      <c r="AG53" s="15" t="n"/>
      <c r="AH53" s="15" t="n"/>
      <c r="AI53" s="15" t="n"/>
      <c r="AJ53" s="15" t="n"/>
    </row>
    <row r="54">
      <c r="A54" s="15" t="n"/>
      <c r="B54" s="15" t="n"/>
      <c r="C54" s="15" t="n"/>
      <c r="D54" s="15" t="n"/>
      <c r="E54" s="15" t="n"/>
      <c r="F54" s="15" t="n"/>
      <c r="G54" s="15" t="n"/>
      <c r="H54" s="15" t="n"/>
      <c r="I54" s="15" t="n"/>
      <c r="J54" s="15" t="n"/>
      <c r="K54" s="15" t="n"/>
      <c r="L54" s="15" t="n"/>
      <c r="M54" s="15" t="n"/>
      <c r="N54" s="15" t="n"/>
      <c r="O54" s="15" t="n"/>
      <c r="P54" s="15" t="n"/>
      <c r="Q54" s="15" t="n"/>
      <c r="R54" s="15" t="n"/>
      <c r="S54" s="15" t="n"/>
      <c r="T54" s="15" t="n"/>
      <c r="U54" s="15" t="n"/>
      <c r="V54" s="15" t="n"/>
      <c r="W54" s="15" t="n"/>
      <c r="X54" s="15" t="n"/>
      <c r="Y54" s="15" t="n"/>
      <c r="Z54" s="15" t="n"/>
      <c r="AA54" s="15" t="n"/>
      <c r="AB54" s="15" t="n"/>
      <c r="AC54" s="15" t="n"/>
      <c r="AD54" s="15" t="n"/>
      <c r="AE54" s="15" t="n"/>
      <c r="AF54" s="15" t="n"/>
      <c r="AG54" s="15" t="n"/>
      <c r="AH54" s="15" t="n"/>
      <c r="AI54" s="15" t="n"/>
      <c r="AJ54" s="15" t="n"/>
    </row>
    <row r="55">
      <c r="A55" s="15" t="n"/>
      <c r="B55" s="15" t="n"/>
      <c r="C55" s="15" t="n"/>
      <c r="D55" s="15" t="n"/>
      <c r="E55" s="15" t="n"/>
      <c r="F55" s="15" t="n"/>
      <c r="G55" s="15" t="n"/>
      <c r="H55" s="15" t="n"/>
      <c r="I55" s="15" t="n"/>
      <c r="J55" s="15" t="n"/>
      <c r="K55" s="15" t="n"/>
      <c r="L55" s="15" t="n"/>
      <c r="M55" s="15" t="n"/>
      <c r="N55" s="15" t="n"/>
      <c r="O55" s="15" t="n"/>
      <c r="P55" s="15" t="n"/>
      <c r="Q55" s="15" t="n"/>
      <c r="R55" s="15" t="n"/>
      <c r="S55" s="15" t="n"/>
      <c r="T55" s="15" t="n"/>
      <c r="U55" s="15" t="n"/>
      <c r="V55" s="15" t="n"/>
      <c r="W55" s="15" t="n"/>
      <c r="X55" s="15" t="n"/>
      <c r="Y55" s="15" t="n"/>
      <c r="Z55" s="15" t="n"/>
      <c r="AA55" s="15" t="n"/>
      <c r="AB55" s="15" t="n"/>
      <c r="AC55" s="15" t="n"/>
      <c r="AD55" s="15" t="n"/>
      <c r="AE55" s="15" t="n"/>
      <c r="AF55" s="15" t="n"/>
      <c r="AG55" s="15" t="n"/>
      <c r="AH55" s="15" t="n"/>
      <c r="AI55" s="15" t="n"/>
      <c r="AJ55" s="15" t="n"/>
    </row>
  </sheetData>
  <mergeCells count="3">
    <mergeCell ref="A3:AJ3"/>
    <mergeCell ref="A2:AJ2"/>
    <mergeCell ref="A1:AJ1"/>
  </mergeCells>
  <dataValidations count="6">
    <dataValidation sqref="F6 F7 F8 F9 F10 F11 F12 F13 F14 F15 F16 F17 F18 F19 F20 F21 F22 F23 F24 F25 F26 F27 F28 F29 F30 F31 F32 F33 F34 F35 F36 F37 F38 F39 F40 F41 F42 F43 F44 F45 F46 F47 F48 F49 F50 F51 F52 F53 F54 F55" showDropDown="0" showInputMessage="0" showErrorMessage="0" allowBlank="1" type="list">
      <formula1>"Technical,Administrative,Physical"</formula1>
    </dataValidation>
    <dataValidation sqref="R6 R7 R8 R9 R10 R11 R12 R13 R14 R15 R16 R17 R18 R19 R20 R21 R22 R23 R24 R25 R26 R27 R28 R29 R30 R31 R32 R33 R34 R35 R36 R37 R38 R39 R40 R41 R42 R43 R44 R45 R46 R47 R48 R49 R50 R51 R52 R53 R54 R55" showDropDown="0" showInputMessage="0" showErrorMessage="0" allowBlank="1" type="list">
      <formula1>"Manual,Automated,Penetration Test,Audit"</formula1>
    </dataValidation>
    <dataValidation sqref="Y6 Y7 Y8 Y9 Y10 Y11 Y12 Y13 Y14 Y15 Y16 Y17 Y18 Y19 Y20 Y21 Y22 Y23 Y24 Y25 Y26 Y27 Y28 Y29 Y30 Y31 Y32 Y33 Y34 Y35 Y36 Y37 Y38 Y39 Y40 Y41 Y42 Y43 Y44 Y45 Y46 Y47 Y48 Y49 Y50 Y51 Y52 Y53 Y54 Y55" showDropDown="0" showInputMessage="0" showErrorMessage="0" allowBlank="1" type="list">
      <formula1>"High,Medium,Low,Negligible"</formula1>
    </dataValidation>
    <dataValidation sqref="Z6 Z7 Z8 Z9 Z10 Z11 Z12 Z13 Z14 Z15 Z16 Z17 Z18 Z19 Z20 Z21 Z22 Z23 Z24 Z25 Z26 Z27 Z28 Z29 Z30 Z31 Z32 Z33 Z34 Z35 Z36 Z37 Z38 Z39 Z40 Z41 Z42 Z43 Z44 Z45 Z46 Z47 Z48 Z49 Z50 Z51 Z52 Z53 Z54 Z55" showDropDown="0" showInputMessage="0" showErrorMessage="0" allowBlank="1" type="list">
      <formula1>"Full,Partial,Limited"</formula1>
    </dataValidation>
    <dataValidation sqref="AA6 AA7 AA8 AA9 AA10 AA11 AA12 AA13 AA14 AA15 AA16 AA17 AA18 AA19 AA20 AA21 AA22 AA23 AA24 AA25 AA26 AA27 AA28 AA29 AA30 AA31 AA32 AA33 AA34 AA35 AA36 AA37 AA38 AA39 AA40 AA41 AA42 AA43 AA44 AA45 AA46 AA47 AA48 AA49 AA50 AA51 AA52 AA53 AA54 AA55" showDropDown="0" showInputMessage="0" showErrorMessage="0" allowBlank="1" type="list">
      <formula1>"Adequate,Partial,Inadequate"</formula1>
    </dataValidation>
    <dataValidation sqref="AJ6 AJ7 AJ8 AJ9 AJ10 AJ11 AJ12 AJ13 AJ14 AJ15 AJ16 AJ17 AJ18 AJ19 AJ20 AJ21 AJ22 AJ23 AJ24 AJ25 AJ26 AJ27 AJ28 AJ29 AJ30 AJ31 AJ32 AJ33 AJ34 AJ35 AJ36 AJ37 AJ38 AJ39 AJ40 AJ41 AJ42 AJ43 AJ44 AJ45 AJ46 AJ47 AJ48 AJ49 AJ50 AJ51 AJ52 AJ53 AJ54 AJ55" showDropDown="0" showInputMessage="0" showErrorMessage="0" allowBlank="1" type="list">
      <formula1>"Active,Pending Removal,Removed,Failed"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55"/>
  <sheetViews>
    <sheetView showGridLines="0" workbookViewId="0">
      <pane ySplit="4" topLeftCell="A5" activePane="bottomLeft" state="frozen"/>
      <selection pane="bottomLeft" activeCell="A1" sqref="A1"/>
    </sheetView>
  </sheetViews>
  <sheetFormatPr baseColWidth="8" defaultRowHeight="15"/>
  <cols>
    <col width="16" customWidth="1" min="1" max="1"/>
    <col width="14" customWidth="1" min="2" max="2"/>
    <col width="16" customWidth="1" min="3" max="3"/>
    <col width="16" customWidth="1" min="4" max="4"/>
    <col width="18" customWidth="1" min="5" max="5"/>
    <col width="20" customWidth="1" min="6" max="6"/>
    <col width="20" customWidth="1" min="7" max="7"/>
    <col width="35" customWidth="1" min="8" max="8"/>
    <col width="30" customWidth="1" min="9" max="9"/>
    <col width="14" customWidth="1" min="10" max="10"/>
    <col width="40" customWidth="1" min="11" max="11"/>
    <col width="16" customWidth="1" min="12" max="12"/>
    <col width="18" customWidth="1" min="13" max="13"/>
    <col width="18" customWidth="1" min="14" max="14"/>
  </cols>
  <sheetData>
    <row r="1" ht="35" customHeight="1">
      <c r="A1" s="11" t="inlineStr">
        <is>
          <t>ISMS-IMP-A.8.8.5  —  CC EFFECTIVENESS</t>
        </is>
      </c>
    </row>
    <row r="2">
      <c r="A2" s="12" t="inlineStr">
        <is>
          <t>ISO/IEC 27001:2022 — Control A.8.8: Compensating Control Validation Results</t>
        </is>
      </c>
    </row>
    <row r="3">
      <c r="A3" s="6" t="n"/>
    </row>
    <row r="4">
      <c r="A4" s="13" t="inlineStr">
        <is>
          <t>Validation_ID</t>
        </is>
      </c>
      <c r="B4" s="13" t="inlineStr">
        <is>
          <t>Control_ID</t>
        </is>
      </c>
      <c r="C4" s="13" t="inlineStr">
        <is>
          <t>Exception_ID</t>
        </is>
      </c>
      <c r="D4" s="13" t="inlineStr">
        <is>
          <t>Validation_Date</t>
        </is>
      </c>
      <c r="E4" s="13" t="inlineStr">
        <is>
          <t>Validation_Type</t>
        </is>
      </c>
      <c r="F4" s="13" t="inlineStr">
        <is>
          <t>Validation_Owner</t>
        </is>
      </c>
      <c r="G4" s="13" t="inlineStr">
        <is>
          <t>Validated_By</t>
        </is>
      </c>
      <c r="H4" s="13" t="inlineStr">
        <is>
          <t>Method_Details</t>
        </is>
      </c>
      <c r="I4" s="13" t="inlineStr">
        <is>
          <t>Test_Scope</t>
        </is>
      </c>
      <c r="J4" s="13" t="inlineStr">
        <is>
          <t>Findings_Count</t>
        </is>
      </c>
      <c r="K4" s="13" t="inlineStr">
        <is>
          <t>Findings_Description</t>
        </is>
      </c>
      <c r="L4" s="13" t="inlineStr">
        <is>
          <t>Risk_Remaining</t>
        </is>
      </c>
      <c r="M4" s="13" t="inlineStr">
        <is>
          <t>Revalidation_Date</t>
        </is>
      </c>
      <c r="N4" s="13" t="inlineStr">
        <is>
          <t>Validation_Result</t>
        </is>
      </c>
    </row>
    <row r="5">
      <c r="A5" s="14" t="inlineStr">
        <is>
          <t>VAL-001</t>
        </is>
      </c>
      <c r="B5" s="14" t="inlineStr">
        <is>
          <t>CC-001</t>
        </is>
      </c>
      <c r="C5" s="14" t="inlineStr">
        <is>
          <t>EXC-001</t>
        </is>
      </c>
      <c r="D5" s="14" t="inlineStr">
        <is>
          <t>21/01/2024</t>
        </is>
      </c>
      <c r="E5" s="14" t="inlineStr">
        <is>
          <t>Automated</t>
        </is>
      </c>
      <c r="F5" s="14" t="inlineStr">
        <is>
          <t>Security Engineer</t>
        </is>
      </c>
      <c r="G5" s="14" t="inlineStr">
        <is>
          <t>Security Engineer</t>
        </is>
      </c>
      <c r="H5" s="14" t="inlineStr">
        <is>
          <t>ModSecurity WAF log analysis + penetration test attempt</t>
        </is>
      </c>
      <c r="I5" s="14" t="inlineStr">
        <is>
          <t>CVE-2024-1234 attack vector simulation</t>
        </is>
      </c>
      <c r="J5" s="14" t="n">
        <v>0</v>
      </c>
      <c r="K5" s="14" t="inlineStr">
        <is>
          <t>No findings — WAF rule blocked all test payloads</t>
        </is>
      </c>
      <c r="L5" s="14" t="inlineStr">
        <is>
          <t>None</t>
        </is>
      </c>
      <c r="M5" s="14" t="inlineStr">
        <is>
          <t>21/02/2024</t>
        </is>
      </c>
      <c r="N5" s="14" t="inlineStr">
        <is>
          <t>Pass</t>
        </is>
      </c>
    </row>
    <row r="6">
      <c r="A6" s="15" t="n"/>
      <c r="B6" s="15" t="n"/>
      <c r="C6" s="15" t="n"/>
      <c r="D6" s="15" t="n"/>
      <c r="E6" s="15" t="n"/>
      <c r="F6" s="15" t="n"/>
      <c r="G6" s="15" t="n"/>
      <c r="H6" s="15" t="n"/>
      <c r="I6" s="15" t="n"/>
      <c r="J6" s="15" t="n"/>
      <c r="K6" s="15" t="n"/>
      <c r="L6" s="15" t="n"/>
      <c r="M6" s="15" t="n"/>
      <c r="N6" s="15" t="n"/>
    </row>
    <row r="7">
      <c r="A7" s="15" t="n"/>
      <c r="B7" s="15" t="n"/>
      <c r="C7" s="15" t="n"/>
      <c r="D7" s="15" t="n"/>
      <c r="E7" s="15" t="n"/>
      <c r="F7" s="15" t="n"/>
      <c r="G7" s="15" t="n"/>
      <c r="H7" s="15" t="n"/>
      <c r="I7" s="15" t="n"/>
      <c r="J7" s="15" t="n"/>
      <c r="K7" s="15" t="n"/>
      <c r="L7" s="15" t="n"/>
      <c r="M7" s="15" t="n"/>
      <c r="N7" s="15" t="n"/>
    </row>
    <row r="8">
      <c r="A8" s="15" t="n"/>
      <c r="B8" s="15" t="n"/>
      <c r="C8" s="15" t="n"/>
      <c r="D8" s="15" t="n"/>
      <c r="E8" s="15" t="n"/>
      <c r="F8" s="15" t="n"/>
      <c r="G8" s="15" t="n"/>
      <c r="H8" s="15" t="n"/>
      <c r="I8" s="15" t="n"/>
      <c r="J8" s="15" t="n"/>
      <c r="K8" s="15" t="n"/>
      <c r="L8" s="15" t="n"/>
      <c r="M8" s="15" t="n"/>
      <c r="N8" s="15" t="n"/>
    </row>
    <row r="9">
      <c r="A9" s="15" t="n"/>
      <c r="B9" s="15" t="n"/>
      <c r="C9" s="15" t="n"/>
      <c r="D9" s="15" t="n"/>
      <c r="E9" s="15" t="n"/>
      <c r="F9" s="15" t="n"/>
      <c r="G9" s="15" t="n"/>
      <c r="H9" s="15" t="n"/>
      <c r="I9" s="15" t="n"/>
      <c r="J9" s="15" t="n"/>
      <c r="K9" s="15" t="n"/>
      <c r="L9" s="15" t="n"/>
      <c r="M9" s="15" t="n"/>
      <c r="N9" s="15" t="n"/>
    </row>
    <row r="10">
      <c r="A10" s="15" t="n"/>
      <c r="B10" s="15" t="n"/>
      <c r="C10" s="15" t="n"/>
      <c r="D10" s="15" t="n"/>
      <c r="E10" s="15" t="n"/>
      <c r="F10" s="15" t="n"/>
      <c r="G10" s="15" t="n"/>
      <c r="H10" s="15" t="n"/>
      <c r="I10" s="15" t="n"/>
      <c r="J10" s="15" t="n"/>
      <c r="K10" s="15" t="n"/>
      <c r="L10" s="15" t="n"/>
      <c r="M10" s="15" t="n"/>
      <c r="N10" s="15" t="n"/>
    </row>
    <row r="11">
      <c r="A11" s="15" t="n"/>
      <c r="B11" s="15" t="n"/>
      <c r="C11" s="15" t="n"/>
      <c r="D11" s="15" t="n"/>
      <c r="E11" s="15" t="n"/>
      <c r="F11" s="15" t="n"/>
      <c r="G11" s="15" t="n"/>
      <c r="H11" s="15" t="n"/>
      <c r="I11" s="15" t="n"/>
      <c r="J11" s="15" t="n"/>
      <c r="K11" s="15" t="n"/>
      <c r="L11" s="15" t="n"/>
      <c r="M11" s="15" t="n"/>
      <c r="N11" s="15" t="n"/>
    </row>
    <row r="12">
      <c r="A12" s="15" t="n"/>
      <c r="B12" s="15" t="n"/>
      <c r="C12" s="15" t="n"/>
      <c r="D12" s="15" t="n"/>
      <c r="E12" s="15" t="n"/>
      <c r="F12" s="15" t="n"/>
      <c r="G12" s="15" t="n"/>
      <c r="H12" s="15" t="n"/>
      <c r="I12" s="15" t="n"/>
      <c r="J12" s="15" t="n"/>
      <c r="K12" s="15" t="n"/>
      <c r="L12" s="15" t="n"/>
      <c r="M12" s="15" t="n"/>
      <c r="N12" s="15" t="n"/>
    </row>
    <row r="13">
      <c r="A13" s="15" t="n"/>
      <c r="B13" s="15" t="n"/>
      <c r="C13" s="15" t="n"/>
      <c r="D13" s="15" t="n"/>
      <c r="E13" s="15" t="n"/>
      <c r="F13" s="15" t="n"/>
      <c r="G13" s="15" t="n"/>
      <c r="H13" s="15" t="n"/>
      <c r="I13" s="15" t="n"/>
      <c r="J13" s="15" t="n"/>
      <c r="K13" s="15" t="n"/>
      <c r="L13" s="15" t="n"/>
      <c r="M13" s="15" t="n"/>
      <c r="N13" s="15" t="n"/>
    </row>
    <row r="14">
      <c r="A14" s="15" t="n"/>
      <c r="B14" s="15" t="n"/>
      <c r="C14" s="15" t="n"/>
      <c r="D14" s="15" t="n"/>
      <c r="E14" s="15" t="n"/>
      <c r="F14" s="15" t="n"/>
      <c r="G14" s="15" t="n"/>
      <c r="H14" s="15" t="n"/>
      <c r="I14" s="15" t="n"/>
      <c r="J14" s="15" t="n"/>
      <c r="K14" s="15" t="n"/>
      <c r="L14" s="15" t="n"/>
      <c r="M14" s="15" t="n"/>
      <c r="N14" s="15" t="n"/>
    </row>
    <row r="15">
      <c r="A15" s="15" t="n"/>
      <c r="B15" s="15" t="n"/>
      <c r="C15" s="15" t="n"/>
      <c r="D15" s="15" t="n"/>
      <c r="E15" s="15" t="n"/>
      <c r="F15" s="15" t="n"/>
      <c r="G15" s="15" t="n"/>
      <c r="H15" s="15" t="n"/>
      <c r="I15" s="15" t="n"/>
      <c r="J15" s="15" t="n"/>
      <c r="K15" s="15" t="n"/>
      <c r="L15" s="15" t="n"/>
      <c r="M15" s="15" t="n"/>
      <c r="N15" s="15" t="n"/>
    </row>
    <row r="16">
      <c r="A16" s="15" t="n"/>
      <c r="B16" s="15" t="n"/>
      <c r="C16" s="15" t="n"/>
      <c r="D16" s="15" t="n"/>
      <c r="E16" s="15" t="n"/>
      <c r="F16" s="15" t="n"/>
      <c r="G16" s="15" t="n"/>
      <c r="H16" s="15" t="n"/>
      <c r="I16" s="15" t="n"/>
      <c r="J16" s="15" t="n"/>
      <c r="K16" s="15" t="n"/>
      <c r="L16" s="15" t="n"/>
      <c r="M16" s="15" t="n"/>
      <c r="N16" s="15" t="n"/>
    </row>
    <row r="17">
      <c r="A17" s="15" t="n"/>
      <c r="B17" s="15" t="n"/>
      <c r="C17" s="15" t="n"/>
      <c r="D17" s="15" t="n"/>
      <c r="E17" s="15" t="n"/>
      <c r="F17" s="15" t="n"/>
      <c r="G17" s="15" t="n"/>
      <c r="H17" s="15" t="n"/>
      <c r="I17" s="15" t="n"/>
      <c r="J17" s="15" t="n"/>
      <c r="K17" s="15" t="n"/>
      <c r="L17" s="15" t="n"/>
      <c r="M17" s="15" t="n"/>
      <c r="N17" s="15" t="n"/>
    </row>
    <row r="18">
      <c r="A18" s="15" t="n"/>
      <c r="B18" s="15" t="n"/>
      <c r="C18" s="15" t="n"/>
      <c r="D18" s="15" t="n"/>
      <c r="E18" s="15" t="n"/>
      <c r="F18" s="15" t="n"/>
      <c r="G18" s="15" t="n"/>
      <c r="H18" s="15" t="n"/>
      <c r="I18" s="15" t="n"/>
      <c r="J18" s="15" t="n"/>
      <c r="K18" s="15" t="n"/>
      <c r="L18" s="15" t="n"/>
      <c r="M18" s="15" t="n"/>
      <c r="N18" s="15" t="n"/>
    </row>
    <row r="19">
      <c r="A19" s="15" t="n"/>
      <c r="B19" s="15" t="n"/>
      <c r="C19" s="15" t="n"/>
      <c r="D19" s="15" t="n"/>
      <c r="E19" s="15" t="n"/>
      <c r="F19" s="15" t="n"/>
      <c r="G19" s="15" t="n"/>
      <c r="H19" s="15" t="n"/>
      <c r="I19" s="15" t="n"/>
      <c r="J19" s="15" t="n"/>
      <c r="K19" s="15" t="n"/>
      <c r="L19" s="15" t="n"/>
      <c r="M19" s="15" t="n"/>
      <c r="N19" s="15" t="n"/>
    </row>
    <row r="20">
      <c r="A20" s="15" t="n"/>
      <c r="B20" s="15" t="n"/>
      <c r="C20" s="15" t="n"/>
      <c r="D20" s="15" t="n"/>
      <c r="E20" s="15" t="n"/>
      <c r="F20" s="15" t="n"/>
      <c r="G20" s="15" t="n"/>
      <c r="H20" s="15" t="n"/>
      <c r="I20" s="15" t="n"/>
      <c r="J20" s="15" t="n"/>
      <c r="K20" s="15" t="n"/>
      <c r="L20" s="15" t="n"/>
      <c r="M20" s="15" t="n"/>
      <c r="N20" s="15" t="n"/>
    </row>
    <row r="21">
      <c r="A21" s="15" t="n"/>
      <c r="B21" s="15" t="n"/>
      <c r="C21" s="15" t="n"/>
      <c r="D21" s="15" t="n"/>
      <c r="E21" s="15" t="n"/>
      <c r="F21" s="15" t="n"/>
      <c r="G21" s="15" t="n"/>
      <c r="H21" s="15" t="n"/>
      <c r="I21" s="15" t="n"/>
      <c r="J21" s="15" t="n"/>
      <c r="K21" s="15" t="n"/>
      <c r="L21" s="15" t="n"/>
      <c r="M21" s="15" t="n"/>
      <c r="N21" s="15" t="n"/>
    </row>
    <row r="22">
      <c r="A22" s="15" t="n"/>
      <c r="B22" s="15" t="n"/>
      <c r="C22" s="15" t="n"/>
      <c r="D22" s="15" t="n"/>
      <c r="E22" s="15" t="n"/>
      <c r="F22" s="15" t="n"/>
      <c r="G22" s="15" t="n"/>
      <c r="H22" s="15" t="n"/>
      <c r="I22" s="15" t="n"/>
      <c r="J22" s="15" t="n"/>
      <c r="K22" s="15" t="n"/>
      <c r="L22" s="15" t="n"/>
      <c r="M22" s="15" t="n"/>
      <c r="N22" s="15" t="n"/>
    </row>
    <row r="23">
      <c r="A23" s="15" t="n"/>
      <c r="B23" s="15" t="n"/>
      <c r="C23" s="15" t="n"/>
      <c r="D23" s="15" t="n"/>
      <c r="E23" s="15" t="n"/>
      <c r="F23" s="15" t="n"/>
      <c r="G23" s="15" t="n"/>
      <c r="H23" s="15" t="n"/>
      <c r="I23" s="15" t="n"/>
      <c r="J23" s="15" t="n"/>
      <c r="K23" s="15" t="n"/>
      <c r="L23" s="15" t="n"/>
      <c r="M23" s="15" t="n"/>
      <c r="N23" s="15" t="n"/>
    </row>
    <row r="24">
      <c r="A24" s="15" t="n"/>
      <c r="B24" s="15" t="n"/>
      <c r="C24" s="15" t="n"/>
      <c r="D24" s="15" t="n"/>
      <c r="E24" s="15" t="n"/>
      <c r="F24" s="15" t="n"/>
      <c r="G24" s="15" t="n"/>
      <c r="H24" s="15" t="n"/>
      <c r="I24" s="15" t="n"/>
      <c r="J24" s="15" t="n"/>
      <c r="K24" s="15" t="n"/>
      <c r="L24" s="15" t="n"/>
      <c r="M24" s="15" t="n"/>
      <c r="N24" s="15" t="n"/>
    </row>
    <row r="25">
      <c r="A25" s="15" t="n"/>
      <c r="B25" s="15" t="n"/>
      <c r="C25" s="15" t="n"/>
      <c r="D25" s="15" t="n"/>
      <c r="E25" s="15" t="n"/>
      <c r="F25" s="15" t="n"/>
      <c r="G25" s="15" t="n"/>
      <c r="H25" s="15" t="n"/>
      <c r="I25" s="15" t="n"/>
      <c r="J25" s="15" t="n"/>
      <c r="K25" s="15" t="n"/>
      <c r="L25" s="15" t="n"/>
      <c r="M25" s="15" t="n"/>
      <c r="N25" s="15" t="n"/>
    </row>
    <row r="26">
      <c r="A26" s="15" t="n"/>
      <c r="B26" s="15" t="n"/>
      <c r="C26" s="15" t="n"/>
      <c r="D26" s="15" t="n"/>
      <c r="E26" s="15" t="n"/>
      <c r="F26" s="15" t="n"/>
      <c r="G26" s="15" t="n"/>
      <c r="H26" s="15" t="n"/>
      <c r="I26" s="15" t="n"/>
      <c r="J26" s="15" t="n"/>
      <c r="K26" s="15" t="n"/>
      <c r="L26" s="15" t="n"/>
      <c r="M26" s="15" t="n"/>
      <c r="N26" s="15" t="n"/>
    </row>
    <row r="27">
      <c r="A27" s="15" t="n"/>
      <c r="B27" s="15" t="n"/>
      <c r="C27" s="15" t="n"/>
      <c r="D27" s="15" t="n"/>
      <c r="E27" s="15" t="n"/>
      <c r="F27" s="15" t="n"/>
      <c r="G27" s="15" t="n"/>
      <c r="H27" s="15" t="n"/>
      <c r="I27" s="15" t="n"/>
      <c r="J27" s="15" t="n"/>
      <c r="K27" s="15" t="n"/>
      <c r="L27" s="15" t="n"/>
      <c r="M27" s="15" t="n"/>
      <c r="N27" s="15" t="n"/>
    </row>
    <row r="28">
      <c r="A28" s="15" t="n"/>
      <c r="B28" s="15" t="n"/>
      <c r="C28" s="15" t="n"/>
      <c r="D28" s="15" t="n"/>
      <c r="E28" s="15" t="n"/>
      <c r="F28" s="15" t="n"/>
      <c r="G28" s="15" t="n"/>
      <c r="H28" s="15" t="n"/>
      <c r="I28" s="15" t="n"/>
      <c r="J28" s="15" t="n"/>
      <c r="K28" s="15" t="n"/>
      <c r="L28" s="15" t="n"/>
      <c r="M28" s="15" t="n"/>
      <c r="N28" s="15" t="n"/>
    </row>
    <row r="29">
      <c r="A29" s="15" t="n"/>
      <c r="B29" s="15" t="n"/>
      <c r="C29" s="15" t="n"/>
      <c r="D29" s="15" t="n"/>
      <c r="E29" s="15" t="n"/>
      <c r="F29" s="15" t="n"/>
      <c r="G29" s="15" t="n"/>
      <c r="H29" s="15" t="n"/>
      <c r="I29" s="15" t="n"/>
      <c r="J29" s="15" t="n"/>
      <c r="K29" s="15" t="n"/>
      <c r="L29" s="15" t="n"/>
      <c r="M29" s="15" t="n"/>
      <c r="N29" s="15" t="n"/>
    </row>
    <row r="30">
      <c r="A30" s="15" t="n"/>
      <c r="B30" s="15" t="n"/>
      <c r="C30" s="15" t="n"/>
      <c r="D30" s="15" t="n"/>
      <c r="E30" s="15" t="n"/>
      <c r="F30" s="15" t="n"/>
      <c r="G30" s="15" t="n"/>
      <c r="H30" s="15" t="n"/>
      <c r="I30" s="15" t="n"/>
      <c r="J30" s="15" t="n"/>
      <c r="K30" s="15" t="n"/>
      <c r="L30" s="15" t="n"/>
      <c r="M30" s="15" t="n"/>
      <c r="N30" s="15" t="n"/>
    </row>
    <row r="31">
      <c r="A31" s="15" t="n"/>
      <c r="B31" s="15" t="n"/>
      <c r="C31" s="15" t="n"/>
      <c r="D31" s="15" t="n"/>
      <c r="E31" s="15" t="n"/>
      <c r="F31" s="15" t="n"/>
      <c r="G31" s="15" t="n"/>
      <c r="H31" s="15" t="n"/>
      <c r="I31" s="15" t="n"/>
      <c r="J31" s="15" t="n"/>
      <c r="K31" s="15" t="n"/>
      <c r="L31" s="15" t="n"/>
      <c r="M31" s="15" t="n"/>
      <c r="N31" s="15" t="n"/>
    </row>
    <row r="32">
      <c r="A32" s="15" t="n"/>
      <c r="B32" s="15" t="n"/>
      <c r="C32" s="15" t="n"/>
      <c r="D32" s="15" t="n"/>
      <c r="E32" s="15" t="n"/>
      <c r="F32" s="15" t="n"/>
      <c r="G32" s="15" t="n"/>
      <c r="H32" s="15" t="n"/>
      <c r="I32" s="15" t="n"/>
      <c r="J32" s="15" t="n"/>
      <c r="K32" s="15" t="n"/>
      <c r="L32" s="15" t="n"/>
      <c r="M32" s="15" t="n"/>
      <c r="N32" s="15" t="n"/>
    </row>
    <row r="33">
      <c r="A33" s="15" t="n"/>
      <c r="B33" s="15" t="n"/>
      <c r="C33" s="15" t="n"/>
      <c r="D33" s="15" t="n"/>
      <c r="E33" s="15" t="n"/>
      <c r="F33" s="15" t="n"/>
      <c r="G33" s="15" t="n"/>
      <c r="H33" s="15" t="n"/>
      <c r="I33" s="15" t="n"/>
      <c r="J33" s="15" t="n"/>
      <c r="K33" s="15" t="n"/>
      <c r="L33" s="15" t="n"/>
      <c r="M33" s="15" t="n"/>
      <c r="N33" s="15" t="n"/>
    </row>
    <row r="34">
      <c r="A34" s="15" t="n"/>
      <c r="B34" s="15" t="n"/>
      <c r="C34" s="15" t="n"/>
      <c r="D34" s="15" t="n"/>
      <c r="E34" s="15" t="n"/>
      <c r="F34" s="15" t="n"/>
      <c r="G34" s="15" t="n"/>
      <c r="H34" s="15" t="n"/>
      <c r="I34" s="15" t="n"/>
      <c r="J34" s="15" t="n"/>
      <c r="K34" s="15" t="n"/>
      <c r="L34" s="15" t="n"/>
      <c r="M34" s="15" t="n"/>
      <c r="N34" s="15" t="n"/>
    </row>
    <row r="35">
      <c r="A35" s="15" t="n"/>
      <c r="B35" s="15" t="n"/>
      <c r="C35" s="15" t="n"/>
      <c r="D35" s="15" t="n"/>
      <c r="E35" s="15" t="n"/>
      <c r="F35" s="15" t="n"/>
      <c r="G35" s="15" t="n"/>
      <c r="H35" s="15" t="n"/>
      <c r="I35" s="15" t="n"/>
      <c r="J35" s="15" t="n"/>
      <c r="K35" s="15" t="n"/>
      <c r="L35" s="15" t="n"/>
      <c r="M35" s="15" t="n"/>
      <c r="N35" s="15" t="n"/>
    </row>
    <row r="36">
      <c r="A36" s="15" t="n"/>
      <c r="B36" s="15" t="n"/>
      <c r="C36" s="15" t="n"/>
      <c r="D36" s="15" t="n"/>
      <c r="E36" s="15" t="n"/>
      <c r="F36" s="15" t="n"/>
      <c r="G36" s="15" t="n"/>
      <c r="H36" s="15" t="n"/>
      <c r="I36" s="15" t="n"/>
      <c r="J36" s="15" t="n"/>
      <c r="K36" s="15" t="n"/>
      <c r="L36" s="15" t="n"/>
      <c r="M36" s="15" t="n"/>
      <c r="N36" s="15" t="n"/>
    </row>
    <row r="37">
      <c r="A37" s="15" t="n"/>
      <c r="B37" s="15" t="n"/>
      <c r="C37" s="15" t="n"/>
      <c r="D37" s="15" t="n"/>
      <c r="E37" s="15" t="n"/>
      <c r="F37" s="15" t="n"/>
      <c r="G37" s="15" t="n"/>
      <c r="H37" s="15" t="n"/>
      <c r="I37" s="15" t="n"/>
      <c r="J37" s="15" t="n"/>
      <c r="K37" s="15" t="n"/>
      <c r="L37" s="15" t="n"/>
      <c r="M37" s="15" t="n"/>
      <c r="N37" s="15" t="n"/>
    </row>
    <row r="38">
      <c r="A38" s="15" t="n"/>
      <c r="B38" s="15" t="n"/>
      <c r="C38" s="15" t="n"/>
      <c r="D38" s="15" t="n"/>
      <c r="E38" s="15" t="n"/>
      <c r="F38" s="15" t="n"/>
      <c r="G38" s="15" t="n"/>
      <c r="H38" s="15" t="n"/>
      <c r="I38" s="15" t="n"/>
      <c r="J38" s="15" t="n"/>
      <c r="K38" s="15" t="n"/>
      <c r="L38" s="15" t="n"/>
      <c r="M38" s="15" t="n"/>
      <c r="N38" s="15" t="n"/>
    </row>
    <row r="39">
      <c r="A39" s="15" t="n"/>
      <c r="B39" s="15" t="n"/>
      <c r="C39" s="15" t="n"/>
      <c r="D39" s="15" t="n"/>
      <c r="E39" s="15" t="n"/>
      <c r="F39" s="15" t="n"/>
      <c r="G39" s="15" t="n"/>
      <c r="H39" s="15" t="n"/>
      <c r="I39" s="15" t="n"/>
      <c r="J39" s="15" t="n"/>
      <c r="K39" s="15" t="n"/>
      <c r="L39" s="15" t="n"/>
      <c r="M39" s="15" t="n"/>
      <c r="N39" s="15" t="n"/>
    </row>
    <row r="40">
      <c r="A40" s="15" t="n"/>
      <c r="B40" s="15" t="n"/>
      <c r="C40" s="15" t="n"/>
      <c r="D40" s="15" t="n"/>
      <c r="E40" s="15" t="n"/>
      <c r="F40" s="15" t="n"/>
      <c r="G40" s="15" t="n"/>
      <c r="H40" s="15" t="n"/>
      <c r="I40" s="15" t="n"/>
      <c r="J40" s="15" t="n"/>
      <c r="K40" s="15" t="n"/>
      <c r="L40" s="15" t="n"/>
      <c r="M40" s="15" t="n"/>
      <c r="N40" s="15" t="n"/>
    </row>
    <row r="41">
      <c r="A41" s="15" t="n"/>
      <c r="B41" s="15" t="n"/>
      <c r="C41" s="15" t="n"/>
      <c r="D41" s="15" t="n"/>
      <c r="E41" s="15" t="n"/>
      <c r="F41" s="15" t="n"/>
      <c r="G41" s="15" t="n"/>
      <c r="H41" s="15" t="n"/>
      <c r="I41" s="15" t="n"/>
      <c r="J41" s="15" t="n"/>
      <c r="K41" s="15" t="n"/>
      <c r="L41" s="15" t="n"/>
      <c r="M41" s="15" t="n"/>
      <c r="N41" s="15" t="n"/>
    </row>
    <row r="42">
      <c r="A42" s="15" t="n"/>
      <c r="B42" s="15" t="n"/>
      <c r="C42" s="15" t="n"/>
      <c r="D42" s="15" t="n"/>
      <c r="E42" s="15" t="n"/>
      <c r="F42" s="15" t="n"/>
      <c r="G42" s="15" t="n"/>
      <c r="H42" s="15" t="n"/>
      <c r="I42" s="15" t="n"/>
      <c r="J42" s="15" t="n"/>
      <c r="K42" s="15" t="n"/>
      <c r="L42" s="15" t="n"/>
      <c r="M42" s="15" t="n"/>
      <c r="N42" s="15" t="n"/>
    </row>
    <row r="43">
      <c r="A43" s="15" t="n"/>
      <c r="B43" s="15" t="n"/>
      <c r="C43" s="15" t="n"/>
      <c r="D43" s="15" t="n"/>
      <c r="E43" s="15" t="n"/>
      <c r="F43" s="15" t="n"/>
      <c r="G43" s="15" t="n"/>
      <c r="H43" s="15" t="n"/>
      <c r="I43" s="15" t="n"/>
      <c r="J43" s="15" t="n"/>
      <c r="K43" s="15" t="n"/>
      <c r="L43" s="15" t="n"/>
      <c r="M43" s="15" t="n"/>
      <c r="N43" s="15" t="n"/>
    </row>
    <row r="44">
      <c r="A44" s="15" t="n"/>
      <c r="B44" s="15" t="n"/>
      <c r="C44" s="15" t="n"/>
      <c r="D44" s="15" t="n"/>
      <c r="E44" s="15" t="n"/>
      <c r="F44" s="15" t="n"/>
      <c r="G44" s="15" t="n"/>
      <c r="H44" s="15" t="n"/>
      <c r="I44" s="15" t="n"/>
      <c r="J44" s="15" t="n"/>
      <c r="K44" s="15" t="n"/>
      <c r="L44" s="15" t="n"/>
      <c r="M44" s="15" t="n"/>
      <c r="N44" s="15" t="n"/>
    </row>
    <row r="45">
      <c r="A45" s="15" t="n"/>
      <c r="B45" s="15" t="n"/>
      <c r="C45" s="15" t="n"/>
      <c r="D45" s="15" t="n"/>
      <c r="E45" s="15" t="n"/>
      <c r="F45" s="15" t="n"/>
      <c r="G45" s="15" t="n"/>
      <c r="H45" s="15" t="n"/>
      <c r="I45" s="15" t="n"/>
      <c r="J45" s="15" t="n"/>
      <c r="K45" s="15" t="n"/>
      <c r="L45" s="15" t="n"/>
      <c r="M45" s="15" t="n"/>
      <c r="N45" s="15" t="n"/>
    </row>
    <row r="46">
      <c r="A46" s="15" t="n"/>
      <c r="B46" s="15" t="n"/>
      <c r="C46" s="15" t="n"/>
      <c r="D46" s="15" t="n"/>
      <c r="E46" s="15" t="n"/>
      <c r="F46" s="15" t="n"/>
      <c r="G46" s="15" t="n"/>
      <c r="H46" s="15" t="n"/>
      <c r="I46" s="15" t="n"/>
      <c r="J46" s="15" t="n"/>
      <c r="K46" s="15" t="n"/>
      <c r="L46" s="15" t="n"/>
      <c r="M46" s="15" t="n"/>
      <c r="N46" s="15" t="n"/>
    </row>
    <row r="47">
      <c r="A47" s="15" t="n"/>
      <c r="B47" s="15" t="n"/>
      <c r="C47" s="15" t="n"/>
      <c r="D47" s="15" t="n"/>
      <c r="E47" s="15" t="n"/>
      <c r="F47" s="15" t="n"/>
      <c r="G47" s="15" t="n"/>
      <c r="H47" s="15" t="n"/>
      <c r="I47" s="15" t="n"/>
      <c r="J47" s="15" t="n"/>
      <c r="K47" s="15" t="n"/>
      <c r="L47" s="15" t="n"/>
      <c r="M47" s="15" t="n"/>
      <c r="N47" s="15" t="n"/>
    </row>
    <row r="48">
      <c r="A48" s="15" t="n"/>
      <c r="B48" s="15" t="n"/>
      <c r="C48" s="15" t="n"/>
      <c r="D48" s="15" t="n"/>
      <c r="E48" s="15" t="n"/>
      <c r="F48" s="15" t="n"/>
      <c r="G48" s="15" t="n"/>
      <c r="H48" s="15" t="n"/>
      <c r="I48" s="15" t="n"/>
      <c r="J48" s="15" t="n"/>
      <c r="K48" s="15" t="n"/>
      <c r="L48" s="15" t="n"/>
      <c r="M48" s="15" t="n"/>
      <c r="N48" s="15" t="n"/>
    </row>
    <row r="49">
      <c r="A49" s="15" t="n"/>
      <c r="B49" s="15" t="n"/>
      <c r="C49" s="15" t="n"/>
      <c r="D49" s="15" t="n"/>
      <c r="E49" s="15" t="n"/>
      <c r="F49" s="15" t="n"/>
      <c r="G49" s="15" t="n"/>
      <c r="H49" s="15" t="n"/>
      <c r="I49" s="15" t="n"/>
      <c r="J49" s="15" t="n"/>
      <c r="K49" s="15" t="n"/>
      <c r="L49" s="15" t="n"/>
      <c r="M49" s="15" t="n"/>
      <c r="N49" s="15" t="n"/>
    </row>
    <row r="50">
      <c r="A50" s="15" t="n"/>
      <c r="B50" s="15" t="n"/>
      <c r="C50" s="15" t="n"/>
      <c r="D50" s="15" t="n"/>
      <c r="E50" s="15" t="n"/>
      <c r="F50" s="15" t="n"/>
      <c r="G50" s="15" t="n"/>
      <c r="H50" s="15" t="n"/>
      <c r="I50" s="15" t="n"/>
      <c r="J50" s="15" t="n"/>
      <c r="K50" s="15" t="n"/>
      <c r="L50" s="15" t="n"/>
      <c r="M50" s="15" t="n"/>
      <c r="N50" s="15" t="n"/>
    </row>
    <row r="51">
      <c r="A51" s="15" t="n"/>
      <c r="B51" s="15" t="n"/>
      <c r="C51" s="15" t="n"/>
      <c r="D51" s="15" t="n"/>
      <c r="E51" s="15" t="n"/>
      <c r="F51" s="15" t="n"/>
      <c r="G51" s="15" t="n"/>
      <c r="H51" s="15" t="n"/>
      <c r="I51" s="15" t="n"/>
      <c r="J51" s="15" t="n"/>
      <c r="K51" s="15" t="n"/>
      <c r="L51" s="15" t="n"/>
      <c r="M51" s="15" t="n"/>
      <c r="N51" s="15" t="n"/>
    </row>
    <row r="52">
      <c r="A52" s="15" t="n"/>
      <c r="B52" s="15" t="n"/>
      <c r="C52" s="15" t="n"/>
      <c r="D52" s="15" t="n"/>
      <c r="E52" s="15" t="n"/>
      <c r="F52" s="15" t="n"/>
      <c r="G52" s="15" t="n"/>
      <c r="H52" s="15" t="n"/>
      <c r="I52" s="15" t="n"/>
      <c r="J52" s="15" t="n"/>
      <c r="K52" s="15" t="n"/>
      <c r="L52" s="15" t="n"/>
      <c r="M52" s="15" t="n"/>
      <c r="N52" s="15" t="n"/>
    </row>
    <row r="53">
      <c r="A53" s="15" t="n"/>
      <c r="B53" s="15" t="n"/>
      <c r="C53" s="15" t="n"/>
      <c r="D53" s="15" t="n"/>
      <c r="E53" s="15" t="n"/>
      <c r="F53" s="15" t="n"/>
      <c r="G53" s="15" t="n"/>
      <c r="H53" s="15" t="n"/>
      <c r="I53" s="15" t="n"/>
      <c r="J53" s="15" t="n"/>
      <c r="K53" s="15" t="n"/>
      <c r="L53" s="15" t="n"/>
      <c r="M53" s="15" t="n"/>
      <c r="N53" s="15" t="n"/>
    </row>
    <row r="54">
      <c r="A54" s="15" t="n"/>
      <c r="B54" s="15" t="n"/>
      <c r="C54" s="15" t="n"/>
      <c r="D54" s="15" t="n"/>
      <c r="E54" s="15" t="n"/>
      <c r="F54" s="15" t="n"/>
      <c r="G54" s="15" t="n"/>
      <c r="H54" s="15" t="n"/>
      <c r="I54" s="15" t="n"/>
      <c r="J54" s="15" t="n"/>
      <c r="K54" s="15" t="n"/>
      <c r="L54" s="15" t="n"/>
      <c r="M54" s="15" t="n"/>
      <c r="N54" s="15" t="n"/>
    </row>
    <row r="55">
      <c r="A55" s="15" t="n"/>
      <c r="B55" s="15" t="n"/>
      <c r="C55" s="15" t="n"/>
      <c r="D55" s="15" t="n"/>
      <c r="E55" s="15" t="n"/>
      <c r="F55" s="15" t="n"/>
      <c r="G55" s="15" t="n"/>
      <c r="H55" s="15" t="n"/>
      <c r="I55" s="15" t="n"/>
      <c r="J55" s="15" t="n"/>
      <c r="K55" s="15" t="n"/>
      <c r="L55" s="15" t="n"/>
      <c r="M55" s="15" t="n"/>
      <c r="N55" s="15" t="n"/>
    </row>
  </sheetData>
  <mergeCells count="3">
    <mergeCell ref="A3:N3"/>
    <mergeCell ref="A2:N2"/>
    <mergeCell ref="A1:N1"/>
  </mergeCells>
  <dataValidations count="3">
    <dataValidation sqref="E6 E7 E8 E9 E10 E11 E12 E13 E14 E15 E16 E17 E18 E19 E20 E21 E22 E23 E24 E25 E26 E27 E28 E29 E30 E31 E32 E33 E34 E35 E36 E37 E38 E39 E40 E41 E42 E43 E44 E45 E46 E47 E48 E49 E50 E51 E52 E53 E54 E55" showDropDown="0" showInputMessage="0" showErrorMessage="0" allowBlank="1" type="list">
      <formula1>"Manual,Automated,Penetration Test,Audit"</formula1>
    </dataValidation>
    <dataValidation sqref="L6 L7 L8 L9 L10 L11 L12 L13 L14 L15 L16 L17 L18 L19 L20 L21 L22 L23 L24 L25 L26 L27 L28 L29 L30 L31 L32 L33 L34 L35 L36 L37 L38 L39 L40 L41 L42 L43 L44 L45 L46 L47 L48 L49 L50 L51 L52 L53 L54 L55" showDropDown="0" showInputMessage="0" showErrorMessage="0" allowBlank="1" type="list">
      <formula1>"High,Medium,Low,None"</formula1>
    </dataValidation>
    <dataValidation sqref="N6 N7 N8 N9 N10 N11 N12 N13 N14 N15 N16 N17 N18 N19 N20 N21 N22 N23 N24 N25 N26 N27 N28 N29 N30 N31 N32 N33 N34 N35 N36 N37 N38 N39 N40 N41 N42 N43 N44 N45 N46 N47 N48 N49 N50 N51 N52 N53 N54 N55" showDropDown="0" showInputMessage="0" showErrorMessage="0" allowBlank="1" type="list">
      <formula1>"Pass,Fail,Pending,Revalidating"</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E55"/>
  <sheetViews>
    <sheetView showGridLines="0" workbookViewId="0">
      <pane ySplit="4" topLeftCell="A5" activePane="bottomLeft" state="frozen"/>
      <selection pane="bottomLeft" activeCell="A1" sqref="A1"/>
    </sheetView>
  </sheetViews>
  <sheetFormatPr baseColWidth="8" defaultRowHeight="15"/>
  <cols>
    <col width="16" customWidth="1" min="1" max="1"/>
    <col width="14" customWidth="1" min="2" max="2"/>
    <col width="18" customWidth="1" min="3" max="3"/>
    <col width="16" customWidth="1" min="4" max="4"/>
    <col width="10" customWidth="1" min="5" max="5"/>
    <col width="18" customWidth="1" min="6" max="6"/>
    <col width="14" customWidth="1" min="7" max="7"/>
    <col width="18" customWidth="1" min="8" max="8"/>
    <col width="18" customWidth="1" min="9" max="9"/>
    <col width="20" customWidth="1" min="10" max="10"/>
    <col width="20" customWidth="1" min="11" max="11"/>
    <col width="18" customWidth="1" min="12" max="12"/>
    <col width="18" customWidth="1" min="13" max="13"/>
    <col width="25" customWidth="1" min="14" max="14"/>
    <col width="22" customWidth="1" min="15" max="15"/>
    <col width="30" customWidth="1" min="16" max="16"/>
    <col width="18" customWidth="1" min="17" max="17"/>
    <col width="22" customWidth="1" min="18" max="18"/>
    <col width="24" customWidth="1" min="19" max="19"/>
    <col width="22" customWidth="1" min="20" max="20"/>
    <col width="16" customWidth="1" min="21" max="21"/>
    <col width="14" customWidth="1" min="22" max="22"/>
    <col width="22" customWidth="1" min="23" max="23"/>
    <col width="18" customWidth="1" min="24" max="24"/>
    <col width="20" customWidth="1" min="25" max="25"/>
    <col width="16" customWidth="1" min="26" max="26"/>
    <col width="30" customWidth="1" min="27" max="27"/>
    <col width="30" customWidth="1" min="28" max="28"/>
    <col width="20" customWidth="1" min="29" max="29"/>
    <col width="18" customWidth="1" min="30" max="30"/>
    <col width="14" customWidth="1" min="31" max="31"/>
  </cols>
  <sheetData>
    <row r="1" ht="35" customHeight="1">
      <c r="A1" s="11" t="inlineStr">
        <is>
          <t>ISMS-IMP-A.8.8.5  —  VERIFICATION QUEUE</t>
        </is>
      </c>
    </row>
    <row r="2">
      <c r="A2" s="12" t="inlineStr">
        <is>
          <t>ISO/IEC 27001:2022 — Control A.8.8: Post-Remediation Verification</t>
        </is>
      </c>
    </row>
    <row r="3">
      <c r="A3" s="6" t="n"/>
    </row>
    <row r="4">
      <c r="A4" s="13" t="inlineStr">
        <is>
          <t>Verification_ID</t>
        </is>
      </c>
      <c r="B4" s="13" t="inlineStr">
        <is>
          <t>Vuln_ID</t>
        </is>
      </c>
      <c r="C4" s="13" t="inlineStr">
        <is>
          <t>CVE_ID</t>
        </is>
      </c>
      <c r="D4" s="13" t="inlineStr">
        <is>
          <t>Asset_ID</t>
        </is>
      </c>
      <c r="E4" s="13" t="inlineStr">
        <is>
          <t>Priority</t>
        </is>
      </c>
      <c r="F4" s="13" t="inlineStr">
        <is>
          <t>Remediation_ID</t>
        </is>
      </c>
      <c r="G4" s="13" t="inlineStr">
        <is>
          <t>Patch_ID</t>
        </is>
      </c>
      <c r="H4" s="13" t="inlineStr">
        <is>
          <t>Remediation_Type</t>
        </is>
      </c>
      <c r="I4" s="13" t="inlineStr">
        <is>
          <t>Verification_Type</t>
        </is>
      </c>
      <c r="J4" s="13" t="inlineStr">
        <is>
          <t>Verifier</t>
        </is>
      </c>
      <c r="K4" s="13" t="inlineStr">
        <is>
          <t>Verification_Team</t>
        </is>
      </c>
      <c r="L4" s="13" t="inlineStr">
        <is>
          <t>Scan_Tool</t>
        </is>
      </c>
      <c r="M4" s="13" t="inlineStr">
        <is>
          <t>Scan_Profile</t>
        </is>
      </c>
      <c r="N4" s="13" t="inlineStr">
        <is>
          <t>Verification_Scope</t>
        </is>
      </c>
      <c r="O4" s="13" t="inlineStr">
        <is>
          <t>Pre_Verification_Status</t>
        </is>
      </c>
      <c r="P4" s="13" t="inlineStr">
        <is>
          <t>Verification_Method_Details</t>
        </is>
      </c>
      <c r="Q4" s="13" t="inlineStr">
        <is>
          <t>Test_Environment</t>
        </is>
      </c>
      <c r="R4" s="13" t="inlineStr">
        <is>
          <t>Verification_Start_Date</t>
        </is>
      </c>
      <c r="S4" s="13" t="inlineStr">
        <is>
          <t>Verification_Completed_Date</t>
        </is>
      </c>
      <c r="T4" s="13" t="inlineStr">
        <is>
          <t>Scanner_Findings_Count</t>
        </is>
      </c>
      <c r="U4" s="13" t="inlineStr">
        <is>
          <t>CVE_Still_Present</t>
        </is>
      </c>
      <c r="V4" s="13" t="inlineStr">
        <is>
          <t>False_Positive</t>
        </is>
      </c>
      <c r="W4" s="13" t="inlineStr">
        <is>
          <t>Re_Remediation_Required</t>
        </is>
      </c>
      <c r="X4" s="13" t="inlineStr">
        <is>
          <t>Re_Remediation_ID</t>
        </is>
      </c>
      <c r="Y4" s="13" t="inlineStr">
        <is>
          <t>Re_Remediation_Owner</t>
        </is>
      </c>
      <c r="Z4" s="13" t="inlineStr">
        <is>
          <t>Escalation_Status</t>
        </is>
      </c>
      <c r="AA4" s="13" t="inlineStr">
        <is>
          <t>Escalation_Reason</t>
        </is>
      </c>
      <c r="AB4" s="13" t="inlineStr">
        <is>
          <t>Verification_Notes</t>
        </is>
      </c>
      <c r="AC4" s="13" t="inlineStr">
        <is>
          <t>Verification_Due_Date</t>
        </is>
      </c>
      <c r="AD4" s="13" t="inlineStr">
        <is>
          <t>SLA_Remaining_Days</t>
        </is>
      </c>
      <c r="AE4" s="13" t="inlineStr">
        <is>
          <t>Status</t>
        </is>
      </c>
    </row>
    <row r="5">
      <c r="A5" s="14" t="inlineStr">
        <is>
          <t>VER-001</t>
        </is>
      </c>
      <c r="B5" s="14" t="inlineStr">
        <is>
          <t>VULN-001</t>
        </is>
      </c>
      <c r="C5" s="14" t="inlineStr">
        <is>
          <t>CVE-2024-1234</t>
        </is>
      </c>
      <c r="D5" s="14" t="inlineStr">
        <is>
          <t>SRV-PROD-001</t>
        </is>
      </c>
      <c r="E5" s="14" t="inlineStr">
        <is>
          <t>P0</t>
        </is>
      </c>
      <c r="F5" s="14" t="inlineStr">
        <is>
          <t>REM-001</t>
        </is>
      </c>
      <c r="G5" s="14" t="inlineStr">
        <is>
          <t>PATCH-001</t>
        </is>
      </c>
      <c r="H5" s="14" t="inlineStr">
        <is>
          <t>Patch</t>
        </is>
      </c>
      <c r="I5" s="14" t="inlineStr">
        <is>
          <t>Scanner</t>
        </is>
      </c>
      <c r="J5" s="14" t="inlineStr">
        <is>
          <t>Security Engineer</t>
        </is>
      </c>
      <c r="K5" s="14" t="inlineStr">
        <is>
          <t>Security Team</t>
        </is>
      </c>
      <c r="L5" s="14" t="inlineStr">
        <is>
          <t>Tenable Nessus</t>
        </is>
      </c>
      <c r="M5" s="14" t="inlineStr">
        <is>
          <t>Full System Scan</t>
        </is>
      </c>
      <c r="N5" s="14" t="inlineStr">
        <is>
          <t>All production web servers</t>
        </is>
      </c>
      <c r="O5" s="14" t="inlineStr">
        <is>
          <t>In Progress (patched)</t>
        </is>
      </c>
      <c r="P5" s="14" t="inlineStr">
        <is>
          <t>Authenticated scan — full vulnerability assessment</t>
        </is>
      </c>
      <c r="Q5" s="14" t="inlineStr">
        <is>
          <t>Production</t>
        </is>
      </c>
      <c r="R5" s="14" t="inlineStr">
        <is>
          <t>23/01/2024</t>
        </is>
      </c>
      <c r="S5" s="14" t="inlineStr">
        <is>
          <t>23/01/2024</t>
        </is>
      </c>
      <c r="T5" s="14" t="n">
        <v>0</v>
      </c>
      <c r="U5" s="14" t="inlineStr">
        <is>
          <t>No</t>
        </is>
      </c>
      <c r="V5" s="14" t="inlineStr">
        <is>
          <t>No</t>
        </is>
      </c>
      <c r="W5" s="14" t="inlineStr">
        <is>
          <t>No</t>
        </is>
      </c>
      <c r="X5" s="14" t="inlineStr"/>
      <c r="Y5" s="14" t="inlineStr"/>
      <c r="Z5" s="14" t="inlineStr">
        <is>
          <t>Normal</t>
        </is>
      </c>
      <c r="AA5" s="14" t="inlineStr"/>
      <c r="AB5" s="14" t="inlineStr">
        <is>
          <t>All findings cleared</t>
        </is>
      </c>
      <c r="AC5" s="14" t="inlineStr">
        <is>
          <t>24/01/2024</t>
        </is>
      </c>
      <c r="AD5" s="14" t="n">
        <v>1</v>
      </c>
      <c r="AE5" s="14" t="inlineStr">
        <is>
          <t>Complete</t>
        </is>
      </c>
    </row>
    <row r="6">
      <c r="A6" s="15" t="n"/>
      <c r="B6" s="15" t="n"/>
      <c r="C6" s="15" t="n"/>
      <c r="D6" s="15" t="n"/>
      <c r="E6" s="15" t="n"/>
      <c r="F6" s="15" t="n"/>
      <c r="G6" s="15" t="n"/>
      <c r="H6" s="15" t="n"/>
      <c r="I6" s="15" t="n"/>
      <c r="J6" s="15" t="n"/>
      <c r="K6" s="15" t="n"/>
      <c r="L6" s="15" t="n"/>
      <c r="M6" s="15" t="n"/>
      <c r="N6" s="15" t="n"/>
      <c r="O6" s="15" t="n"/>
      <c r="P6" s="15" t="n"/>
      <c r="Q6" s="15" t="n"/>
      <c r="R6" s="15" t="n"/>
      <c r="S6" s="15" t="n"/>
      <c r="T6" s="15" t="n"/>
      <c r="U6" s="15" t="n"/>
      <c r="V6" s="15" t="n"/>
      <c r="W6" s="15" t="n"/>
      <c r="X6" s="15" t="n"/>
      <c r="Y6" s="15" t="n"/>
      <c r="Z6" s="15" t="n"/>
      <c r="AA6" s="15" t="n"/>
      <c r="AB6" s="15" t="n"/>
      <c r="AC6" s="15" t="n"/>
      <c r="AD6" s="15" t="n"/>
      <c r="AE6" s="15" t="n"/>
    </row>
    <row r="7">
      <c r="A7" s="15" t="n"/>
      <c r="B7" s="15" t="n"/>
      <c r="C7" s="15" t="n"/>
      <c r="D7" s="15" t="n"/>
      <c r="E7" s="15" t="n"/>
      <c r="F7" s="15" t="n"/>
      <c r="G7" s="15" t="n"/>
      <c r="H7" s="15" t="n"/>
      <c r="I7" s="15" t="n"/>
      <c r="J7" s="15" t="n"/>
      <c r="K7" s="15" t="n"/>
      <c r="L7" s="15" t="n"/>
      <c r="M7" s="15" t="n"/>
      <c r="N7" s="15" t="n"/>
      <c r="O7" s="15" t="n"/>
      <c r="P7" s="15" t="n"/>
      <c r="Q7" s="15" t="n"/>
      <c r="R7" s="15" t="n"/>
      <c r="S7" s="15" t="n"/>
      <c r="T7" s="15" t="n"/>
      <c r="U7" s="15" t="n"/>
      <c r="V7" s="15" t="n"/>
      <c r="W7" s="15" t="n"/>
      <c r="X7" s="15" t="n"/>
      <c r="Y7" s="15" t="n"/>
      <c r="Z7" s="15" t="n"/>
      <c r="AA7" s="15" t="n"/>
      <c r="AB7" s="15" t="n"/>
      <c r="AC7" s="15" t="n"/>
      <c r="AD7" s="15" t="n"/>
      <c r="AE7" s="15" t="n"/>
    </row>
    <row r="8">
      <c r="A8" s="15" t="n"/>
      <c r="B8" s="15" t="n"/>
      <c r="C8" s="15" t="n"/>
      <c r="D8" s="15" t="n"/>
      <c r="E8" s="15" t="n"/>
      <c r="F8" s="15" t="n"/>
      <c r="G8" s="15" t="n"/>
      <c r="H8" s="15" t="n"/>
      <c r="I8" s="15" t="n"/>
      <c r="J8" s="15" t="n"/>
      <c r="K8" s="15" t="n"/>
      <c r="L8" s="15" t="n"/>
      <c r="M8" s="15" t="n"/>
      <c r="N8" s="15" t="n"/>
      <c r="O8" s="15" t="n"/>
      <c r="P8" s="15" t="n"/>
      <c r="Q8" s="15" t="n"/>
      <c r="R8" s="15" t="n"/>
      <c r="S8" s="15" t="n"/>
      <c r="T8" s="15" t="n"/>
      <c r="U8" s="15" t="n"/>
      <c r="V8" s="15" t="n"/>
      <c r="W8" s="15" t="n"/>
      <c r="X8" s="15" t="n"/>
      <c r="Y8" s="15" t="n"/>
      <c r="Z8" s="15" t="n"/>
      <c r="AA8" s="15" t="n"/>
      <c r="AB8" s="15" t="n"/>
      <c r="AC8" s="15" t="n"/>
      <c r="AD8" s="15" t="n"/>
      <c r="AE8" s="15" t="n"/>
    </row>
    <row r="9">
      <c r="A9" s="15" t="n"/>
      <c r="B9" s="15" t="n"/>
      <c r="C9" s="15" t="n"/>
      <c r="D9" s="15" t="n"/>
      <c r="E9" s="15" t="n"/>
      <c r="F9" s="15" t="n"/>
      <c r="G9" s="15" t="n"/>
      <c r="H9" s="15" t="n"/>
      <c r="I9" s="15" t="n"/>
      <c r="J9" s="15" t="n"/>
      <c r="K9" s="15" t="n"/>
      <c r="L9" s="15" t="n"/>
      <c r="M9" s="15" t="n"/>
      <c r="N9" s="15" t="n"/>
      <c r="O9" s="15" t="n"/>
      <c r="P9" s="15" t="n"/>
      <c r="Q9" s="15" t="n"/>
      <c r="R9" s="15" t="n"/>
      <c r="S9" s="15" t="n"/>
      <c r="T9" s="15" t="n"/>
      <c r="U9" s="15" t="n"/>
      <c r="V9" s="15" t="n"/>
      <c r="W9" s="15" t="n"/>
      <c r="X9" s="15" t="n"/>
      <c r="Y9" s="15" t="n"/>
      <c r="Z9" s="15" t="n"/>
      <c r="AA9" s="15" t="n"/>
      <c r="AB9" s="15" t="n"/>
      <c r="AC9" s="15" t="n"/>
      <c r="AD9" s="15" t="n"/>
      <c r="AE9" s="15" t="n"/>
    </row>
    <row r="10">
      <c r="A10" s="15" t="n"/>
      <c r="B10" s="15" t="n"/>
      <c r="C10" s="15" t="n"/>
      <c r="D10" s="15" t="n"/>
      <c r="E10" s="15" t="n"/>
      <c r="F10" s="15" t="n"/>
      <c r="G10" s="15" t="n"/>
      <c r="H10" s="15" t="n"/>
      <c r="I10" s="15" t="n"/>
      <c r="J10" s="15" t="n"/>
      <c r="K10" s="15" t="n"/>
      <c r="L10" s="15" t="n"/>
      <c r="M10" s="15" t="n"/>
      <c r="N10" s="15" t="n"/>
      <c r="O10" s="15" t="n"/>
      <c r="P10" s="15" t="n"/>
      <c r="Q10" s="15" t="n"/>
      <c r="R10" s="15" t="n"/>
      <c r="S10" s="15" t="n"/>
      <c r="T10" s="15" t="n"/>
      <c r="U10" s="15" t="n"/>
      <c r="V10" s="15" t="n"/>
      <c r="W10" s="15" t="n"/>
      <c r="X10" s="15" t="n"/>
      <c r="Y10" s="15" t="n"/>
      <c r="Z10" s="15" t="n"/>
      <c r="AA10" s="15" t="n"/>
      <c r="AB10" s="15" t="n"/>
      <c r="AC10" s="15" t="n"/>
      <c r="AD10" s="15" t="n"/>
      <c r="AE10" s="15" t="n"/>
    </row>
    <row r="11">
      <c r="A11" s="15" t="n"/>
      <c r="B11" s="15" t="n"/>
      <c r="C11" s="15" t="n"/>
      <c r="D11" s="15" t="n"/>
      <c r="E11" s="15" t="n"/>
      <c r="F11" s="15" t="n"/>
      <c r="G11" s="15" t="n"/>
      <c r="H11" s="15" t="n"/>
      <c r="I11" s="15" t="n"/>
      <c r="J11" s="15" t="n"/>
      <c r="K11" s="15" t="n"/>
      <c r="L11" s="15" t="n"/>
      <c r="M11" s="15" t="n"/>
      <c r="N11" s="15" t="n"/>
      <c r="O11" s="15" t="n"/>
      <c r="P11" s="15" t="n"/>
      <c r="Q11" s="15" t="n"/>
      <c r="R11" s="15" t="n"/>
      <c r="S11" s="15" t="n"/>
      <c r="T11" s="15" t="n"/>
      <c r="U11" s="15" t="n"/>
      <c r="V11" s="15" t="n"/>
      <c r="W11" s="15" t="n"/>
      <c r="X11" s="15" t="n"/>
      <c r="Y11" s="15" t="n"/>
      <c r="Z11" s="15" t="n"/>
      <c r="AA11" s="15" t="n"/>
      <c r="AB11" s="15" t="n"/>
      <c r="AC11" s="15" t="n"/>
      <c r="AD11" s="15" t="n"/>
      <c r="AE11" s="15" t="n"/>
    </row>
    <row r="12">
      <c r="A12" s="15" t="n"/>
      <c r="B12" s="15" t="n"/>
      <c r="C12" s="15" t="n"/>
      <c r="D12" s="15" t="n"/>
      <c r="E12" s="15" t="n"/>
      <c r="F12" s="15" t="n"/>
      <c r="G12" s="15" t="n"/>
      <c r="H12" s="15" t="n"/>
      <c r="I12" s="15" t="n"/>
      <c r="J12" s="15" t="n"/>
      <c r="K12" s="15" t="n"/>
      <c r="L12" s="15" t="n"/>
      <c r="M12" s="15" t="n"/>
      <c r="N12" s="15" t="n"/>
      <c r="O12" s="15" t="n"/>
      <c r="P12" s="15" t="n"/>
      <c r="Q12" s="15" t="n"/>
      <c r="R12" s="15" t="n"/>
      <c r="S12" s="15" t="n"/>
      <c r="T12" s="15" t="n"/>
      <c r="U12" s="15" t="n"/>
      <c r="V12" s="15" t="n"/>
      <c r="W12" s="15" t="n"/>
      <c r="X12" s="15" t="n"/>
      <c r="Y12" s="15" t="n"/>
      <c r="Z12" s="15" t="n"/>
      <c r="AA12" s="15" t="n"/>
      <c r="AB12" s="15" t="n"/>
      <c r="AC12" s="15" t="n"/>
      <c r="AD12" s="15" t="n"/>
      <c r="AE12" s="15" t="n"/>
    </row>
    <row r="13">
      <c r="A13" s="15" t="n"/>
      <c r="B13" s="15" t="n"/>
      <c r="C13" s="15" t="n"/>
      <c r="D13" s="15" t="n"/>
      <c r="E13" s="15" t="n"/>
      <c r="F13" s="15" t="n"/>
      <c r="G13" s="15" t="n"/>
      <c r="H13" s="15" t="n"/>
      <c r="I13" s="15" t="n"/>
      <c r="J13" s="15" t="n"/>
      <c r="K13" s="15" t="n"/>
      <c r="L13" s="15" t="n"/>
      <c r="M13" s="15" t="n"/>
      <c r="N13" s="15" t="n"/>
      <c r="O13" s="15" t="n"/>
      <c r="P13" s="15" t="n"/>
      <c r="Q13" s="15" t="n"/>
      <c r="R13" s="15" t="n"/>
      <c r="S13" s="15" t="n"/>
      <c r="T13" s="15" t="n"/>
      <c r="U13" s="15" t="n"/>
      <c r="V13" s="15" t="n"/>
      <c r="W13" s="15" t="n"/>
      <c r="X13" s="15" t="n"/>
      <c r="Y13" s="15" t="n"/>
      <c r="Z13" s="15" t="n"/>
      <c r="AA13" s="15" t="n"/>
      <c r="AB13" s="15" t="n"/>
      <c r="AC13" s="15" t="n"/>
      <c r="AD13" s="15" t="n"/>
      <c r="AE13" s="15" t="n"/>
    </row>
    <row r="14">
      <c r="A14" s="15" t="n"/>
      <c r="B14" s="15" t="n"/>
      <c r="C14" s="15" t="n"/>
      <c r="D14" s="15" t="n"/>
      <c r="E14" s="15" t="n"/>
      <c r="F14" s="15" t="n"/>
      <c r="G14" s="15" t="n"/>
      <c r="H14" s="15" t="n"/>
      <c r="I14" s="15" t="n"/>
      <c r="J14" s="15" t="n"/>
      <c r="K14" s="15" t="n"/>
      <c r="L14" s="15" t="n"/>
      <c r="M14" s="15" t="n"/>
      <c r="N14" s="15" t="n"/>
      <c r="O14" s="15" t="n"/>
      <c r="P14" s="15" t="n"/>
      <c r="Q14" s="15" t="n"/>
      <c r="R14" s="15" t="n"/>
      <c r="S14" s="15" t="n"/>
      <c r="T14" s="15" t="n"/>
      <c r="U14" s="15" t="n"/>
      <c r="V14" s="15" t="n"/>
      <c r="W14" s="15" t="n"/>
      <c r="X14" s="15" t="n"/>
      <c r="Y14" s="15" t="n"/>
      <c r="Z14" s="15" t="n"/>
      <c r="AA14" s="15" t="n"/>
      <c r="AB14" s="15" t="n"/>
      <c r="AC14" s="15" t="n"/>
      <c r="AD14" s="15" t="n"/>
      <c r="AE14" s="15" t="n"/>
    </row>
    <row r="15">
      <c r="A15" s="15" t="n"/>
      <c r="B15" s="15" t="n"/>
      <c r="C15" s="15" t="n"/>
      <c r="D15" s="15" t="n"/>
      <c r="E15" s="15" t="n"/>
      <c r="F15" s="15" t="n"/>
      <c r="G15" s="15" t="n"/>
      <c r="H15" s="15" t="n"/>
      <c r="I15" s="15" t="n"/>
      <c r="J15" s="15" t="n"/>
      <c r="K15" s="15" t="n"/>
      <c r="L15" s="15" t="n"/>
      <c r="M15" s="15" t="n"/>
      <c r="N15" s="15" t="n"/>
      <c r="O15" s="15" t="n"/>
      <c r="P15" s="15" t="n"/>
      <c r="Q15" s="15" t="n"/>
      <c r="R15" s="15" t="n"/>
      <c r="S15" s="15" t="n"/>
      <c r="T15" s="15" t="n"/>
      <c r="U15" s="15" t="n"/>
      <c r="V15" s="15" t="n"/>
      <c r="W15" s="15" t="n"/>
      <c r="X15" s="15" t="n"/>
      <c r="Y15" s="15" t="n"/>
      <c r="Z15" s="15" t="n"/>
      <c r="AA15" s="15" t="n"/>
      <c r="AB15" s="15" t="n"/>
      <c r="AC15" s="15" t="n"/>
      <c r="AD15" s="15" t="n"/>
      <c r="AE15" s="15" t="n"/>
    </row>
    <row r="16">
      <c r="A16" s="15" t="n"/>
      <c r="B16" s="15" t="n"/>
      <c r="C16" s="15" t="n"/>
      <c r="D16" s="15" t="n"/>
      <c r="E16" s="15" t="n"/>
      <c r="F16" s="15" t="n"/>
      <c r="G16" s="15" t="n"/>
      <c r="H16" s="15" t="n"/>
      <c r="I16" s="15" t="n"/>
      <c r="J16" s="15" t="n"/>
      <c r="K16" s="15" t="n"/>
      <c r="L16" s="15" t="n"/>
      <c r="M16" s="15" t="n"/>
      <c r="N16" s="15" t="n"/>
      <c r="O16" s="15" t="n"/>
      <c r="P16" s="15" t="n"/>
      <c r="Q16" s="15" t="n"/>
      <c r="R16" s="15" t="n"/>
      <c r="S16" s="15" t="n"/>
      <c r="T16" s="15" t="n"/>
      <c r="U16" s="15" t="n"/>
      <c r="V16" s="15" t="n"/>
      <c r="W16" s="15" t="n"/>
      <c r="X16" s="15" t="n"/>
      <c r="Y16" s="15" t="n"/>
      <c r="Z16" s="15" t="n"/>
      <c r="AA16" s="15" t="n"/>
      <c r="AB16" s="15" t="n"/>
      <c r="AC16" s="15" t="n"/>
      <c r="AD16" s="15" t="n"/>
      <c r="AE16" s="15" t="n"/>
    </row>
    <row r="17">
      <c r="A17" s="15" t="n"/>
      <c r="B17" s="15" t="n"/>
      <c r="C17" s="15" t="n"/>
      <c r="D17" s="15" t="n"/>
      <c r="E17" s="15" t="n"/>
      <c r="F17" s="15" t="n"/>
      <c r="G17" s="15" t="n"/>
      <c r="H17" s="15" t="n"/>
      <c r="I17" s="15" t="n"/>
      <c r="J17" s="15" t="n"/>
      <c r="K17" s="15" t="n"/>
      <c r="L17" s="15" t="n"/>
      <c r="M17" s="15" t="n"/>
      <c r="N17" s="15" t="n"/>
      <c r="O17" s="15" t="n"/>
      <c r="P17" s="15" t="n"/>
      <c r="Q17" s="15" t="n"/>
      <c r="R17" s="15" t="n"/>
      <c r="S17" s="15" t="n"/>
      <c r="T17" s="15" t="n"/>
      <c r="U17" s="15" t="n"/>
      <c r="V17" s="15" t="n"/>
      <c r="W17" s="15" t="n"/>
      <c r="X17" s="15" t="n"/>
      <c r="Y17" s="15" t="n"/>
      <c r="Z17" s="15" t="n"/>
      <c r="AA17" s="15" t="n"/>
      <c r="AB17" s="15" t="n"/>
      <c r="AC17" s="15" t="n"/>
      <c r="AD17" s="15" t="n"/>
      <c r="AE17" s="15" t="n"/>
    </row>
    <row r="18">
      <c r="A18" s="15" t="n"/>
      <c r="B18" s="15" t="n"/>
      <c r="C18" s="15" t="n"/>
      <c r="D18" s="15" t="n"/>
      <c r="E18" s="15" t="n"/>
      <c r="F18" s="15" t="n"/>
      <c r="G18" s="15" t="n"/>
      <c r="H18" s="15" t="n"/>
      <c r="I18" s="15" t="n"/>
      <c r="J18" s="15" t="n"/>
      <c r="K18" s="15" t="n"/>
      <c r="L18" s="15" t="n"/>
      <c r="M18" s="15" t="n"/>
      <c r="N18" s="15" t="n"/>
      <c r="O18" s="15" t="n"/>
      <c r="P18" s="15" t="n"/>
      <c r="Q18" s="15" t="n"/>
      <c r="R18" s="15" t="n"/>
      <c r="S18" s="15" t="n"/>
      <c r="T18" s="15" t="n"/>
      <c r="U18" s="15" t="n"/>
      <c r="V18" s="15" t="n"/>
      <c r="W18" s="15" t="n"/>
      <c r="X18" s="15" t="n"/>
      <c r="Y18" s="15" t="n"/>
      <c r="Z18" s="15" t="n"/>
      <c r="AA18" s="15" t="n"/>
      <c r="AB18" s="15" t="n"/>
      <c r="AC18" s="15" t="n"/>
      <c r="AD18" s="15" t="n"/>
      <c r="AE18" s="15" t="n"/>
    </row>
    <row r="19">
      <c r="A19" s="15" t="n"/>
      <c r="B19" s="15" t="n"/>
      <c r="C19" s="15" t="n"/>
      <c r="D19" s="15" t="n"/>
      <c r="E19" s="15" t="n"/>
      <c r="F19" s="15" t="n"/>
      <c r="G19" s="15" t="n"/>
      <c r="H19" s="15" t="n"/>
      <c r="I19" s="15" t="n"/>
      <c r="J19" s="15" t="n"/>
      <c r="K19" s="15" t="n"/>
      <c r="L19" s="15" t="n"/>
      <c r="M19" s="15" t="n"/>
      <c r="N19" s="15" t="n"/>
      <c r="O19" s="15" t="n"/>
      <c r="P19" s="15" t="n"/>
      <c r="Q19" s="15" t="n"/>
      <c r="R19" s="15" t="n"/>
      <c r="S19" s="15" t="n"/>
      <c r="T19" s="15" t="n"/>
      <c r="U19" s="15" t="n"/>
      <c r="V19" s="15" t="n"/>
      <c r="W19" s="15" t="n"/>
      <c r="X19" s="15" t="n"/>
      <c r="Y19" s="15" t="n"/>
      <c r="Z19" s="15" t="n"/>
      <c r="AA19" s="15" t="n"/>
      <c r="AB19" s="15" t="n"/>
      <c r="AC19" s="15" t="n"/>
      <c r="AD19" s="15" t="n"/>
      <c r="AE19" s="15" t="n"/>
    </row>
    <row r="20">
      <c r="A20" s="15" t="n"/>
      <c r="B20" s="15" t="n"/>
      <c r="C20" s="15" t="n"/>
      <c r="D20" s="15" t="n"/>
      <c r="E20" s="15" t="n"/>
      <c r="F20" s="15" t="n"/>
      <c r="G20" s="15" t="n"/>
      <c r="H20" s="15" t="n"/>
      <c r="I20" s="15" t="n"/>
      <c r="J20" s="15" t="n"/>
      <c r="K20" s="15" t="n"/>
      <c r="L20" s="15" t="n"/>
      <c r="M20" s="15" t="n"/>
      <c r="N20" s="15" t="n"/>
      <c r="O20" s="15" t="n"/>
      <c r="P20" s="15" t="n"/>
      <c r="Q20" s="15" t="n"/>
      <c r="R20" s="15" t="n"/>
      <c r="S20" s="15" t="n"/>
      <c r="T20" s="15" t="n"/>
      <c r="U20" s="15" t="n"/>
      <c r="V20" s="15" t="n"/>
      <c r="W20" s="15" t="n"/>
      <c r="X20" s="15" t="n"/>
      <c r="Y20" s="15" t="n"/>
      <c r="Z20" s="15" t="n"/>
      <c r="AA20" s="15" t="n"/>
      <c r="AB20" s="15" t="n"/>
      <c r="AC20" s="15" t="n"/>
      <c r="AD20" s="15" t="n"/>
      <c r="AE20" s="15" t="n"/>
    </row>
    <row r="21">
      <c r="A21" s="15" t="n"/>
      <c r="B21" s="15" t="n"/>
      <c r="C21" s="15" t="n"/>
      <c r="D21" s="15" t="n"/>
      <c r="E21" s="15" t="n"/>
      <c r="F21" s="15" t="n"/>
      <c r="G21" s="15" t="n"/>
      <c r="H21" s="15" t="n"/>
      <c r="I21" s="15" t="n"/>
      <c r="J21" s="15" t="n"/>
      <c r="K21" s="15" t="n"/>
      <c r="L21" s="15" t="n"/>
      <c r="M21" s="15" t="n"/>
      <c r="N21" s="15" t="n"/>
      <c r="O21" s="15" t="n"/>
      <c r="P21" s="15" t="n"/>
      <c r="Q21" s="15" t="n"/>
      <c r="R21" s="15" t="n"/>
      <c r="S21" s="15" t="n"/>
      <c r="T21" s="15" t="n"/>
      <c r="U21" s="15" t="n"/>
      <c r="V21" s="15" t="n"/>
      <c r="W21" s="15" t="n"/>
      <c r="X21" s="15" t="n"/>
      <c r="Y21" s="15" t="n"/>
      <c r="Z21" s="15" t="n"/>
      <c r="AA21" s="15" t="n"/>
      <c r="AB21" s="15" t="n"/>
      <c r="AC21" s="15" t="n"/>
      <c r="AD21" s="15" t="n"/>
      <c r="AE21" s="15" t="n"/>
    </row>
    <row r="22">
      <c r="A22" s="15" t="n"/>
      <c r="B22" s="15" t="n"/>
      <c r="C22" s="15" t="n"/>
      <c r="D22" s="15" t="n"/>
      <c r="E22" s="15" t="n"/>
      <c r="F22" s="15" t="n"/>
      <c r="G22" s="15" t="n"/>
      <c r="H22" s="15" t="n"/>
      <c r="I22" s="15" t="n"/>
      <c r="J22" s="15" t="n"/>
      <c r="K22" s="15" t="n"/>
      <c r="L22" s="15" t="n"/>
      <c r="M22" s="15" t="n"/>
      <c r="N22" s="15" t="n"/>
      <c r="O22" s="15" t="n"/>
      <c r="P22" s="15" t="n"/>
      <c r="Q22" s="15" t="n"/>
      <c r="R22" s="15" t="n"/>
      <c r="S22" s="15" t="n"/>
      <c r="T22" s="15" t="n"/>
      <c r="U22" s="15" t="n"/>
      <c r="V22" s="15" t="n"/>
      <c r="W22" s="15" t="n"/>
      <c r="X22" s="15" t="n"/>
      <c r="Y22" s="15" t="n"/>
      <c r="Z22" s="15" t="n"/>
      <c r="AA22" s="15" t="n"/>
      <c r="AB22" s="15" t="n"/>
      <c r="AC22" s="15" t="n"/>
      <c r="AD22" s="15" t="n"/>
      <c r="AE22" s="15" t="n"/>
    </row>
    <row r="23">
      <c r="A23" s="15" t="n"/>
      <c r="B23" s="15" t="n"/>
      <c r="C23" s="15" t="n"/>
      <c r="D23" s="15" t="n"/>
      <c r="E23" s="15" t="n"/>
      <c r="F23" s="15" t="n"/>
      <c r="G23" s="15" t="n"/>
      <c r="H23" s="15" t="n"/>
      <c r="I23" s="15" t="n"/>
      <c r="J23" s="15" t="n"/>
      <c r="K23" s="15" t="n"/>
      <c r="L23" s="15" t="n"/>
      <c r="M23" s="15" t="n"/>
      <c r="N23" s="15" t="n"/>
      <c r="O23" s="15" t="n"/>
      <c r="P23" s="15" t="n"/>
      <c r="Q23" s="15" t="n"/>
      <c r="R23" s="15" t="n"/>
      <c r="S23" s="15" t="n"/>
      <c r="T23" s="15" t="n"/>
      <c r="U23" s="15" t="n"/>
      <c r="V23" s="15" t="n"/>
      <c r="W23" s="15" t="n"/>
      <c r="X23" s="15" t="n"/>
      <c r="Y23" s="15" t="n"/>
      <c r="Z23" s="15" t="n"/>
      <c r="AA23" s="15" t="n"/>
      <c r="AB23" s="15" t="n"/>
      <c r="AC23" s="15" t="n"/>
      <c r="AD23" s="15" t="n"/>
      <c r="AE23" s="15" t="n"/>
    </row>
    <row r="24">
      <c r="A24" s="15" t="n"/>
      <c r="B24" s="15" t="n"/>
      <c r="C24" s="15" t="n"/>
      <c r="D24" s="15" t="n"/>
      <c r="E24" s="15" t="n"/>
      <c r="F24" s="15" t="n"/>
      <c r="G24" s="15" t="n"/>
      <c r="H24" s="15" t="n"/>
      <c r="I24" s="15" t="n"/>
      <c r="J24" s="15" t="n"/>
      <c r="K24" s="15" t="n"/>
      <c r="L24" s="15" t="n"/>
      <c r="M24" s="15" t="n"/>
      <c r="N24" s="15" t="n"/>
      <c r="O24" s="15" t="n"/>
      <c r="P24" s="15" t="n"/>
      <c r="Q24" s="15" t="n"/>
      <c r="R24" s="15" t="n"/>
      <c r="S24" s="15" t="n"/>
      <c r="T24" s="15" t="n"/>
      <c r="U24" s="15" t="n"/>
      <c r="V24" s="15" t="n"/>
      <c r="W24" s="15" t="n"/>
      <c r="X24" s="15" t="n"/>
      <c r="Y24" s="15" t="n"/>
      <c r="Z24" s="15" t="n"/>
      <c r="AA24" s="15" t="n"/>
      <c r="AB24" s="15" t="n"/>
      <c r="AC24" s="15" t="n"/>
      <c r="AD24" s="15" t="n"/>
      <c r="AE24" s="15" t="n"/>
    </row>
    <row r="25">
      <c r="A25" s="15" t="n"/>
      <c r="B25" s="15" t="n"/>
      <c r="C25" s="15" t="n"/>
      <c r="D25" s="15" t="n"/>
      <c r="E25" s="15" t="n"/>
      <c r="F25" s="15" t="n"/>
      <c r="G25" s="15" t="n"/>
      <c r="H25" s="15" t="n"/>
      <c r="I25" s="15" t="n"/>
      <c r="J25" s="15" t="n"/>
      <c r="K25" s="15" t="n"/>
      <c r="L25" s="15" t="n"/>
      <c r="M25" s="15" t="n"/>
      <c r="N25" s="15" t="n"/>
      <c r="O25" s="15" t="n"/>
      <c r="P25" s="15" t="n"/>
      <c r="Q25" s="15" t="n"/>
      <c r="R25" s="15" t="n"/>
      <c r="S25" s="15" t="n"/>
      <c r="T25" s="15" t="n"/>
      <c r="U25" s="15" t="n"/>
      <c r="V25" s="15" t="n"/>
      <c r="W25" s="15" t="n"/>
      <c r="X25" s="15" t="n"/>
      <c r="Y25" s="15" t="n"/>
      <c r="Z25" s="15" t="n"/>
      <c r="AA25" s="15" t="n"/>
      <c r="AB25" s="15" t="n"/>
      <c r="AC25" s="15" t="n"/>
      <c r="AD25" s="15" t="n"/>
      <c r="AE25" s="15" t="n"/>
    </row>
    <row r="26">
      <c r="A26" s="15" t="n"/>
      <c r="B26" s="15" t="n"/>
      <c r="C26" s="15" t="n"/>
      <c r="D26" s="15" t="n"/>
      <c r="E26" s="15" t="n"/>
      <c r="F26" s="15" t="n"/>
      <c r="G26" s="15" t="n"/>
      <c r="H26" s="15" t="n"/>
      <c r="I26" s="15" t="n"/>
      <c r="J26" s="15" t="n"/>
      <c r="K26" s="15" t="n"/>
      <c r="L26" s="15" t="n"/>
      <c r="M26" s="15" t="n"/>
      <c r="N26" s="15" t="n"/>
      <c r="O26" s="15" t="n"/>
      <c r="P26" s="15" t="n"/>
      <c r="Q26" s="15" t="n"/>
      <c r="R26" s="15" t="n"/>
      <c r="S26" s="15" t="n"/>
      <c r="T26" s="15" t="n"/>
      <c r="U26" s="15" t="n"/>
      <c r="V26" s="15" t="n"/>
      <c r="W26" s="15" t="n"/>
      <c r="X26" s="15" t="n"/>
      <c r="Y26" s="15" t="n"/>
      <c r="Z26" s="15" t="n"/>
      <c r="AA26" s="15" t="n"/>
      <c r="AB26" s="15" t="n"/>
      <c r="AC26" s="15" t="n"/>
      <c r="AD26" s="15" t="n"/>
      <c r="AE26" s="15" t="n"/>
    </row>
    <row r="27">
      <c r="A27" s="15" t="n"/>
      <c r="B27" s="15" t="n"/>
      <c r="C27" s="15" t="n"/>
      <c r="D27" s="15" t="n"/>
      <c r="E27" s="15" t="n"/>
      <c r="F27" s="15" t="n"/>
      <c r="G27" s="15" t="n"/>
      <c r="H27" s="15" t="n"/>
      <c r="I27" s="15" t="n"/>
      <c r="J27" s="15" t="n"/>
      <c r="K27" s="15" t="n"/>
      <c r="L27" s="15" t="n"/>
      <c r="M27" s="15" t="n"/>
      <c r="N27" s="15" t="n"/>
      <c r="O27" s="15" t="n"/>
      <c r="P27" s="15" t="n"/>
      <c r="Q27" s="15" t="n"/>
      <c r="R27" s="15" t="n"/>
      <c r="S27" s="15" t="n"/>
      <c r="T27" s="15" t="n"/>
      <c r="U27" s="15" t="n"/>
      <c r="V27" s="15" t="n"/>
      <c r="W27" s="15" t="n"/>
      <c r="X27" s="15" t="n"/>
      <c r="Y27" s="15" t="n"/>
      <c r="Z27" s="15" t="n"/>
      <c r="AA27" s="15" t="n"/>
      <c r="AB27" s="15" t="n"/>
      <c r="AC27" s="15" t="n"/>
      <c r="AD27" s="15" t="n"/>
      <c r="AE27" s="15" t="n"/>
    </row>
    <row r="28">
      <c r="A28" s="15" t="n"/>
      <c r="B28" s="15" t="n"/>
      <c r="C28" s="15" t="n"/>
      <c r="D28" s="15" t="n"/>
      <c r="E28" s="15" t="n"/>
      <c r="F28" s="15" t="n"/>
      <c r="G28" s="15" t="n"/>
      <c r="H28" s="15" t="n"/>
      <c r="I28" s="15" t="n"/>
      <c r="J28" s="15" t="n"/>
      <c r="K28" s="15" t="n"/>
      <c r="L28" s="15" t="n"/>
      <c r="M28" s="15" t="n"/>
      <c r="N28" s="15" t="n"/>
      <c r="O28" s="15" t="n"/>
      <c r="P28" s="15" t="n"/>
      <c r="Q28" s="15" t="n"/>
      <c r="R28" s="15" t="n"/>
      <c r="S28" s="15" t="n"/>
      <c r="T28" s="15" t="n"/>
      <c r="U28" s="15" t="n"/>
      <c r="V28" s="15" t="n"/>
      <c r="W28" s="15" t="n"/>
      <c r="X28" s="15" t="n"/>
      <c r="Y28" s="15" t="n"/>
      <c r="Z28" s="15" t="n"/>
      <c r="AA28" s="15" t="n"/>
      <c r="AB28" s="15" t="n"/>
      <c r="AC28" s="15" t="n"/>
      <c r="AD28" s="15" t="n"/>
      <c r="AE28" s="15" t="n"/>
    </row>
    <row r="29">
      <c r="A29" s="15" t="n"/>
      <c r="B29" s="15" t="n"/>
      <c r="C29" s="15" t="n"/>
      <c r="D29" s="15" t="n"/>
      <c r="E29" s="15" t="n"/>
      <c r="F29" s="15" t="n"/>
      <c r="G29" s="15" t="n"/>
      <c r="H29" s="15" t="n"/>
      <c r="I29" s="15" t="n"/>
      <c r="J29" s="15" t="n"/>
      <c r="K29" s="15" t="n"/>
      <c r="L29" s="15" t="n"/>
      <c r="M29" s="15" t="n"/>
      <c r="N29" s="15" t="n"/>
      <c r="O29" s="15" t="n"/>
      <c r="P29" s="15" t="n"/>
      <c r="Q29" s="15" t="n"/>
      <c r="R29" s="15" t="n"/>
      <c r="S29" s="15" t="n"/>
      <c r="T29" s="15" t="n"/>
      <c r="U29" s="15" t="n"/>
      <c r="V29" s="15" t="n"/>
      <c r="W29" s="15" t="n"/>
      <c r="X29" s="15" t="n"/>
      <c r="Y29" s="15" t="n"/>
      <c r="Z29" s="15" t="n"/>
      <c r="AA29" s="15" t="n"/>
      <c r="AB29" s="15" t="n"/>
      <c r="AC29" s="15" t="n"/>
      <c r="AD29" s="15" t="n"/>
      <c r="AE29" s="15" t="n"/>
    </row>
    <row r="30">
      <c r="A30" s="15" t="n"/>
      <c r="B30" s="15" t="n"/>
      <c r="C30" s="15" t="n"/>
      <c r="D30" s="15" t="n"/>
      <c r="E30" s="15" t="n"/>
      <c r="F30" s="15" t="n"/>
      <c r="G30" s="15" t="n"/>
      <c r="H30" s="15" t="n"/>
      <c r="I30" s="15" t="n"/>
      <c r="J30" s="15" t="n"/>
      <c r="K30" s="15" t="n"/>
      <c r="L30" s="15" t="n"/>
      <c r="M30" s="15" t="n"/>
      <c r="N30" s="15" t="n"/>
      <c r="O30" s="15" t="n"/>
      <c r="P30" s="15" t="n"/>
      <c r="Q30" s="15" t="n"/>
      <c r="R30" s="15" t="n"/>
      <c r="S30" s="15" t="n"/>
      <c r="T30" s="15" t="n"/>
      <c r="U30" s="15" t="n"/>
      <c r="V30" s="15" t="n"/>
      <c r="W30" s="15" t="n"/>
      <c r="X30" s="15" t="n"/>
      <c r="Y30" s="15" t="n"/>
      <c r="Z30" s="15" t="n"/>
      <c r="AA30" s="15" t="n"/>
      <c r="AB30" s="15" t="n"/>
      <c r="AC30" s="15" t="n"/>
      <c r="AD30" s="15" t="n"/>
      <c r="AE30" s="15" t="n"/>
    </row>
    <row r="31">
      <c r="A31" s="15" t="n"/>
      <c r="B31" s="15" t="n"/>
      <c r="C31" s="15" t="n"/>
      <c r="D31" s="15" t="n"/>
      <c r="E31" s="15" t="n"/>
      <c r="F31" s="15" t="n"/>
      <c r="G31" s="15" t="n"/>
      <c r="H31" s="15" t="n"/>
      <c r="I31" s="15" t="n"/>
      <c r="J31" s="15" t="n"/>
      <c r="K31" s="15" t="n"/>
      <c r="L31" s="15" t="n"/>
      <c r="M31" s="15" t="n"/>
      <c r="N31" s="15" t="n"/>
      <c r="O31" s="15" t="n"/>
      <c r="P31" s="15" t="n"/>
      <c r="Q31" s="15" t="n"/>
      <c r="R31" s="15" t="n"/>
      <c r="S31" s="15" t="n"/>
      <c r="T31" s="15" t="n"/>
      <c r="U31" s="15" t="n"/>
      <c r="V31" s="15" t="n"/>
      <c r="W31" s="15" t="n"/>
      <c r="X31" s="15" t="n"/>
      <c r="Y31" s="15" t="n"/>
      <c r="Z31" s="15" t="n"/>
      <c r="AA31" s="15" t="n"/>
      <c r="AB31" s="15" t="n"/>
      <c r="AC31" s="15" t="n"/>
      <c r="AD31" s="15" t="n"/>
      <c r="AE31" s="15" t="n"/>
    </row>
    <row r="32">
      <c r="A32" s="15" t="n"/>
      <c r="B32" s="15" t="n"/>
      <c r="C32" s="15" t="n"/>
      <c r="D32" s="15" t="n"/>
      <c r="E32" s="15" t="n"/>
      <c r="F32" s="15" t="n"/>
      <c r="G32" s="15" t="n"/>
      <c r="H32" s="15" t="n"/>
      <c r="I32" s="15" t="n"/>
      <c r="J32" s="15" t="n"/>
      <c r="K32" s="15" t="n"/>
      <c r="L32" s="15" t="n"/>
      <c r="M32" s="15" t="n"/>
      <c r="N32" s="15" t="n"/>
      <c r="O32" s="15" t="n"/>
      <c r="P32" s="15" t="n"/>
      <c r="Q32" s="15" t="n"/>
      <c r="R32" s="15" t="n"/>
      <c r="S32" s="15" t="n"/>
      <c r="T32" s="15" t="n"/>
      <c r="U32" s="15" t="n"/>
      <c r="V32" s="15" t="n"/>
      <c r="W32" s="15" t="n"/>
      <c r="X32" s="15" t="n"/>
      <c r="Y32" s="15" t="n"/>
      <c r="Z32" s="15" t="n"/>
      <c r="AA32" s="15" t="n"/>
      <c r="AB32" s="15" t="n"/>
      <c r="AC32" s="15" t="n"/>
      <c r="AD32" s="15" t="n"/>
      <c r="AE32" s="15" t="n"/>
    </row>
    <row r="33">
      <c r="A33" s="15" t="n"/>
      <c r="B33" s="15" t="n"/>
      <c r="C33" s="15" t="n"/>
      <c r="D33" s="15" t="n"/>
      <c r="E33" s="15" t="n"/>
      <c r="F33" s="15" t="n"/>
      <c r="G33" s="15" t="n"/>
      <c r="H33" s="15" t="n"/>
      <c r="I33" s="15" t="n"/>
      <c r="J33" s="15" t="n"/>
      <c r="K33" s="15" t="n"/>
      <c r="L33" s="15" t="n"/>
      <c r="M33" s="15" t="n"/>
      <c r="N33" s="15" t="n"/>
      <c r="O33" s="15" t="n"/>
      <c r="P33" s="15" t="n"/>
      <c r="Q33" s="15" t="n"/>
      <c r="R33" s="15" t="n"/>
      <c r="S33" s="15" t="n"/>
      <c r="T33" s="15" t="n"/>
      <c r="U33" s="15" t="n"/>
      <c r="V33" s="15" t="n"/>
      <c r="W33" s="15" t="n"/>
      <c r="X33" s="15" t="n"/>
      <c r="Y33" s="15" t="n"/>
      <c r="Z33" s="15" t="n"/>
      <c r="AA33" s="15" t="n"/>
      <c r="AB33" s="15" t="n"/>
      <c r="AC33" s="15" t="n"/>
      <c r="AD33" s="15" t="n"/>
      <c r="AE33" s="15" t="n"/>
    </row>
    <row r="34">
      <c r="A34" s="15" t="n"/>
      <c r="B34" s="15" t="n"/>
      <c r="C34" s="15" t="n"/>
      <c r="D34" s="15" t="n"/>
      <c r="E34" s="15" t="n"/>
      <c r="F34" s="15" t="n"/>
      <c r="G34" s="15" t="n"/>
      <c r="H34" s="15" t="n"/>
      <c r="I34" s="15" t="n"/>
      <c r="J34" s="15" t="n"/>
      <c r="K34" s="15" t="n"/>
      <c r="L34" s="15" t="n"/>
      <c r="M34" s="15" t="n"/>
      <c r="N34" s="15" t="n"/>
      <c r="O34" s="15" t="n"/>
      <c r="P34" s="15" t="n"/>
      <c r="Q34" s="15" t="n"/>
      <c r="R34" s="15" t="n"/>
      <c r="S34" s="15" t="n"/>
      <c r="T34" s="15" t="n"/>
      <c r="U34" s="15" t="n"/>
      <c r="V34" s="15" t="n"/>
      <c r="W34" s="15" t="n"/>
      <c r="X34" s="15" t="n"/>
      <c r="Y34" s="15" t="n"/>
      <c r="Z34" s="15" t="n"/>
      <c r="AA34" s="15" t="n"/>
      <c r="AB34" s="15" t="n"/>
      <c r="AC34" s="15" t="n"/>
      <c r="AD34" s="15" t="n"/>
      <c r="AE34" s="15" t="n"/>
    </row>
    <row r="35">
      <c r="A35" s="15" t="n"/>
      <c r="B35" s="15" t="n"/>
      <c r="C35" s="15" t="n"/>
      <c r="D35" s="15" t="n"/>
      <c r="E35" s="15" t="n"/>
      <c r="F35" s="15" t="n"/>
      <c r="G35" s="15" t="n"/>
      <c r="H35" s="15" t="n"/>
      <c r="I35" s="15" t="n"/>
      <c r="J35" s="15" t="n"/>
      <c r="K35" s="15" t="n"/>
      <c r="L35" s="15" t="n"/>
      <c r="M35" s="15" t="n"/>
      <c r="N35" s="15" t="n"/>
      <c r="O35" s="15" t="n"/>
      <c r="P35" s="15" t="n"/>
      <c r="Q35" s="15" t="n"/>
      <c r="R35" s="15" t="n"/>
      <c r="S35" s="15" t="n"/>
      <c r="T35" s="15" t="n"/>
      <c r="U35" s="15" t="n"/>
      <c r="V35" s="15" t="n"/>
      <c r="W35" s="15" t="n"/>
      <c r="X35" s="15" t="n"/>
      <c r="Y35" s="15" t="n"/>
      <c r="Z35" s="15" t="n"/>
      <c r="AA35" s="15" t="n"/>
      <c r="AB35" s="15" t="n"/>
      <c r="AC35" s="15" t="n"/>
      <c r="AD35" s="15" t="n"/>
      <c r="AE35" s="15" t="n"/>
    </row>
    <row r="36">
      <c r="A36" s="15" t="n"/>
      <c r="B36" s="15" t="n"/>
      <c r="C36" s="15" t="n"/>
      <c r="D36" s="15" t="n"/>
      <c r="E36" s="15" t="n"/>
      <c r="F36" s="15" t="n"/>
      <c r="G36" s="15" t="n"/>
      <c r="H36" s="15" t="n"/>
      <c r="I36" s="15" t="n"/>
      <c r="J36" s="15" t="n"/>
      <c r="K36" s="15" t="n"/>
      <c r="L36" s="15" t="n"/>
      <c r="M36" s="15" t="n"/>
      <c r="N36" s="15" t="n"/>
      <c r="O36" s="15" t="n"/>
      <c r="P36" s="15" t="n"/>
      <c r="Q36" s="15" t="n"/>
      <c r="R36" s="15" t="n"/>
      <c r="S36" s="15" t="n"/>
      <c r="T36" s="15" t="n"/>
      <c r="U36" s="15" t="n"/>
      <c r="V36" s="15" t="n"/>
      <c r="W36" s="15" t="n"/>
      <c r="X36" s="15" t="n"/>
      <c r="Y36" s="15" t="n"/>
      <c r="Z36" s="15" t="n"/>
      <c r="AA36" s="15" t="n"/>
      <c r="AB36" s="15" t="n"/>
      <c r="AC36" s="15" t="n"/>
      <c r="AD36" s="15" t="n"/>
      <c r="AE36" s="15" t="n"/>
    </row>
    <row r="37">
      <c r="A37" s="15" t="n"/>
      <c r="B37" s="15" t="n"/>
      <c r="C37" s="15" t="n"/>
      <c r="D37" s="15" t="n"/>
      <c r="E37" s="15" t="n"/>
      <c r="F37" s="15" t="n"/>
      <c r="G37" s="15" t="n"/>
      <c r="H37" s="15" t="n"/>
      <c r="I37" s="15" t="n"/>
      <c r="J37" s="15" t="n"/>
      <c r="K37" s="15" t="n"/>
      <c r="L37" s="15" t="n"/>
      <c r="M37" s="15" t="n"/>
      <c r="N37" s="15" t="n"/>
      <c r="O37" s="15" t="n"/>
      <c r="P37" s="15" t="n"/>
      <c r="Q37" s="15" t="n"/>
      <c r="R37" s="15" t="n"/>
      <c r="S37" s="15" t="n"/>
      <c r="T37" s="15" t="n"/>
      <c r="U37" s="15" t="n"/>
      <c r="V37" s="15" t="n"/>
      <c r="W37" s="15" t="n"/>
      <c r="X37" s="15" t="n"/>
      <c r="Y37" s="15" t="n"/>
      <c r="Z37" s="15" t="n"/>
      <c r="AA37" s="15" t="n"/>
      <c r="AB37" s="15" t="n"/>
      <c r="AC37" s="15" t="n"/>
      <c r="AD37" s="15" t="n"/>
      <c r="AE37" s="15" t="n"/>
    </row>
    <row r="38">
      <c r="A38" s="15" t="n"/>
      <c r="B38" s="15" t="n"/>
      <c r="C38" s="15" t="n"/>
      <c r="D38" s="15" t="n"/>
      <c r="E38" s="15" t="n"/>
      <c r="F38" s="15" t="n"/>
      <c r="G38" s="15" t="n"/>
      <c r="H38" s="15" t="n"/>
      <c r="I38" s="15" t="n"/>
      <c r="J38" s="15" t="n"/>
      <c r="K38" s="15" t="n"/>
      <c r="L38" s="15" t="n"/>
      <c r="M38" s="15" t="n"/>
      <c r="N38" s="15" t="n"/>
      <c r="O38" s="15" t="n"/>
      <c r="P38" s="15" t="n"/>
      <c r="Q38" s="15" t="n"/>
      <c r="R38" s="15" t="n"/>
      <c r="S38" s="15" t="n"/>
      <c r="T38" s="15" t="n"/>
      <c r="U38" s="15" t="n"/>
      <c r="V38" s="15" t="n"/>
      <c r="W38" s="15" t="n"/>
      <c r="X38" s="15" t="n"/>
      <c r="Y38" s="15" t="n"/>
      <c r="Z38" s="15" t="n"/>
      <c r="AA38" s="15" t="n"/>
      <c r="AB38" s="15" t="n"/>
      <c r="AC38" s="15" t="n"/>
      <c r="AD38" s="15" t="n"/>
      <c r="AE38" s="15" t="n"/>
    </row>
    <row r="39">
      <c r="A39" s="15" t="n"/>
      <c r="B39" s="15" t="n"/>
      <c r="C39" s="15" t="n"/>
      <c r="D39" s="15" t="n"/>
      <c r="E39" s="15" t="n"/>
      <c r="F39" s="15" t="n"/>
      <c r="G39" s="15" t="n"/>
      <c r="H39" s="15" t="n"/>
      <c r="I39" s="15" t="n"/>
      <c r="J39" s="15" t="n"/>
      <c r="K39" s="15" t="n"/>
      <c r="L39" s="15" t="n"/>
      <c r="M39" s="15" t="n"/>
      <c r="N39" s="15" t="n"/>
      <c r="O39" s="15" t="n"/>
      <c r="P39" s="15" t="n"/>
      <c r="Q39" s="15" t="n"/>
      <c r="R39" s="15" t="n"/>
      <c r="S39" s="15" t="n"/>
      <c r="T39" s="15" t="n"/>
      <c r="U39" s="15" t="n"/>
      <c r="V39" s="15" t="n"/>
      <c r="W39" s="15" t="n"/>
      <c r="X39" s="15" t="n"/>
      <c r="Y39" s="15" t="n"/>
      <c r="Z39" s="15" t="n"/>
      <c r="AA39" s="15" t="n"/>
      <c r="AB39" s="15" t="n"/>
      <c r="AC39" s="15" t="n"/>
      <c r="AD39" s="15" t="n"/>
      <c r="AE39" s="15" t="n"/>
    </row>
    <row r="40">
      <c r="A40" s="15" t="n"/>
      <c r="B40" s="15" t="n"/>
      <c r="C40" s="15" t="n"/>
      <c r="D40" s="15" t="n"/>
      <c r="E40" s="15" t="n"/>
      <c r="F40" s="15" t="n"/>
      <c r="G40" s="15" t="n"/>
      <c r="H40" s="15" t="n"/>
      <c r="I40" s="15" t="n"/>
      <c r="J40" s="15" t="n"/>
      <c r="K40" s="15" t="n"/>
      <c r="L40" s="15" t="n"/>
      <c r="M40" s="15" t="n"/>
      <c r="N40" s="15" t="n"/>
      <c r="O40" s="15" t="n"/>
      <c r="P40" s="15" t="n"/>
      <c r="Q40" s="15" t="n"/>
      <c r="R40" s="15" t="n"/>
      <c r="S40" s="15" t="n"/>
      <c r="T40" s="15" t="n"/>
      <c r="U40" s="15" t="n"/>
      <c r="V40" s="15" t="n"/>
      <c r="W40" s="15" t="n"/>
      <c r="X40" s="15" t="n"/>
      <c r="Y40" s="15" t="n"/>
      <c r="Z40" s="15" t="n"/>
      <c r="AA40" s="15" t="n"/>
      <c r="AB40" s="15" t="n"/>
      <c r="AC40" s="15" t="n"/>
      <c r="AD40" s="15" t="n"/>
      <c r="AE40" s="15" t="n"/>
    </row>
    <row r="41">
      <c r="A41" s="15" t="n"/>
      <c r="B41" s="15" t="n"/>
      <c r="C41" s="15" t="n"/>
      <c r="D41" s="15" t="n"/>
      <c r="E41" s="15" t="n"/>
      <c r="F41" s="15" t="n"/>
      <c r="G41" s="15" t="n"/>
      <c r="H41" s="15" t="n"/>
      <c r="I41" s="15" t="n"/>
      <c r="J41" s="15" t="n"/>
      <c r="K41" s="15" t="n"/>
      <c r="L41" s="15" t="n"/>
      <c r="M41" s="15" t="n"/>
      <c r="N41" s="15" t="n"/>
      <c r="O41" s="15" t="n"/>
      <c r="P41" s="15" t="n"/>
      <c r="Q41" s="15" t="n"/>
      <c r="R41" s="15" t="n"/>
      <c r="S41" s="15" t="n"/>
      <c r="T41" s="15" t="n"/>
      <c r="U41" s="15" t="n"/>
      <c r="V41" s="15" t="n"/>
      <c r="W41" s="15" t="n"/>
      <c r="X41" s="15" t="n"/>
      <c r="Y41" s="15" t="n"/>
      <c r="Z41" s="15" t="n"/>
      <c r="AA41" s="15" t="n"/>
      <c r="AB41" s="15" t="n"/>
      <c r="AC41" s="15" t="n"/>
      <c r="AD41" s="15" t="n"/>
      <c r="AE41" s="15" t="n"/>
    </row>
    <row r="42">
      <c r="A42" s="15" t="n"/>
      <c r="B42" s="15" t="n"/>
      <c r="C42" s="15" t="n"/>
      <c r="D42" s="15" t="n"/>
      <c r="E42" s="15" t="n"/>
      <c r="F42" s="15" t="n"/>
      <c r="G42" s="15" t="n"/>
      <c r="H42" s="15" t="n"/>
      <c r="I42" s="15" t="n"/>
      <c r="J42" s="15" t="n"/>
      <c r="K42" s="15" t="n"/>
      <c r="L42" s="15" t="n"/>
      <c r="M42" s="15" t="n"/>
      <c r="N42" s="15" t="n"/>
      <c r="O42" s="15" t="n"/>
      <c r="P42" s="15" t="n"/>
      <c r="Q42" s="15" t="n"/>
      <c r="R42" s="15" t="n"/>
      <c r="S42" s="15" t="n"/>
      <c r="T42" s="15" t="n"/>
      <c r="U42" s="15" t="n"/>
      <c r="V42" s="15" t="n"/>
      <c r="W42" s="15" t="n"/>
      <c r="X42" s="15" t="n"/>
      <c r="Y42" s="15" t="n"/>
      <c r="Z42" s="15" t="n"/>
      <c r="AA42" s="15" t="n"/>
      <c r="AB42" s="15" t="n"/>
      <c r="AC42" s="15" t="n"/>
      <c r="AD42" s="15" t="n"/>
      <c r="AE42" s="15" t="n"/>
    </row>
    <row r="43">
      <c r="A43" s="15" t="n"/>
      <c r="B43" s="15" t="n"/>
      <c r="C43" s="15" t="n"/>
      <c r="D43" s="15" t="n"/>
      <c r="E43" s="15" t="n"/>
      <c r="F43" s="15" t="n"/>
      <c r="G43" s="15" t="n"/>
      <c r="H43" s="15" t="n"/>
      <c r="I43" s="15" t="n"/>
      <c r="J43" s="15" t="n"/>
      <c r="K43" s="15" t="n"/>
      <c r="L43" s="15" t="n"/>
      <c r="M43" s="15" t="n"/>
      <c r="N43" s="15" t="n"/>
      <c r="O43" s="15" t="n"/>
      <c r="P43" s="15" t="n"/>
      <c r="Q43" s="15" t="n"/>
      <c r="R43" s="15" t="n"/>
      <c r="S43" s="15" t="n"/>
      <c r="T43" s="15" t="n"/>
      <c r="U43" s="15" t="n"/>
      <c r="V43" s="15" t="n"/>
      <c r="W43" s="15" t="n"/>
      <c r="X43" s="15" t="n"/>
      <c r="Y43" s="15" t="n"/>
      <c r="Z43" s="15" t="n"/>
      <c r="AA43" s="15" t="n"/>
      <c r="AB43" s="15" t="n"/>
      <c r="AC43" s="15" t="n"/>
      <c r="AD43" s="15" t="n"/>
      <c r="AE43" s="15" t="n"/>
    </row>
    <row r="44">
      <c r="A44" s="15" t="n"/>
      <c r="B44" s="15" t="n"/>
      <c r="C44" s="15" t="n"/>
      <c r="D44" s="15" t="n"/>
      <c r="E44" s="15" t="n"/>
      <c r="F44" s="15" t="n"/>
      <c r="G44" s="15" t="n"/>
      <c r="H44" s="15" t="n"/>
      <c r="I44" s="15" t="n"/>
      <c r="J44" s="15" t="n"/>
      <c r="K44" s="15" t="n"/>
      <c r="L44" s="15" t="n"/>
      <c r="M44" s="15" t="n"/>
      <c r="N44" s="15" t="n"/>
      <c r="O44" s="15" t="n"/>
      <c r="P44" s="15" t="n"/>
      <c r="Q44" s="15" t="n"/>
      <c r="R44" s="15" t="n"/>
      <c r="S44" s="15" t="n"/>
      <c r="T44" s="15" t="n"/>
      <c r="U44" s="15" t="n"/>
      <c r="V44" s="15" t="n"/>
      <c r="W44" s="15" t="n"/>
      <c r="X44" s="15" t="n"/>
      <c r="Y44" s="15" t="n"/>
      <c r="Z44" s="15" t="n"/>
      <c r="AA44" s="15" t="n"/>
      <c r="AB44" s="15" t="n"/>
      <c r="AC44" s="15" t="n"/>
      <c r="AD44" s="15" t="n"/>
      <c r="AE44" s="15" t="n"/>
    </row>
    <row r="45">
      <c r="A45" s="15" t="n"/>
      <c r="B45" s="15" t="n"/>
      <c r="C45" s="15" t="n"/>
      <c r="D45" s="15" t="n"/>
      <c r="E45" s="15" t="n"/>
      <c r="F45" s="15" t="n"/>
      <c r="G45" s="15" t="n"/>
      <c r="H45" s="15" t="n"/>
      <c r="I45" s="15" t="n"/>
      <c r="J45" s="15" t="n"/>
      <c r="K45" s="15" t="n"/>
      <c r="L45" s="15" t="n"/>
      <c r="M45" s="15" t="n"/>
      <c r="N45" s="15" t="n"/>
      <c r="O45" s="15" t="n"/>
      <c r="P45" s="15" t="n"/>
      <c r="Q45" s="15" t="n"/>
      <c r="R45" s="15" t="n"/>
      <c r="S45" s="15" t="n"/>
      <c r="T45" s="15" t="n"/>
      <c r="U45" s="15" t="n"/>
      <c r="V45" s="15" t="n"/>
      <c r="W45" s="15" t="n"/>
      <c r="X45" s="15" t="n"/>
      <c r="Y45" s="15" t="n"/>
      <c r="Z45" s="15" t="n"/>
      <c r="AA45" s="15" t="n"/>
      <c r="AB45" s="15" t="n"/>
      <c r="AC45" s="15" t="n"/>
      <c r="AD45" s="15" t="n"/>
      <c r="AE45" s="15" t="n"/>
    </row>
    <row r="46">
      <c r="A46" s="15" t="n"/>
      <c r="B46" s="15" t="n"/>
      <c r="C46" s="15" t="n"/>
      <c r="D46" s="15" t="n"/>
      <c r="E46" s="15" t="n"/>
      <c r="F46" s="15" t="n"/>
      <c r="G46" s="15" t="n"/>
      <c r="H46" s="15" t="n"/>
      <c r="I46" s="15" t="n"/>
      <c r="J46" s="15" t="n"/>
      <c r="K46" s="15" t="n"/>
      <c r="L46" s="15" t="n"/>
      <c r="M46" s="15" t="n"/>
      <c r="N46" s="15" t="n"/>
      <c r="O46" s="15" t="n"/>
      <c r="P46" s="15" t="n"/>
      <c r="Q46" s="15" t="n"/>
      <c r="R46" s="15" t="n"/>
      <c r="S46" s="15" t="n"/>
      <c r="T46" s="15" t="n"/>
      <c r="U46" s="15" t="n"/>
      <c r="V46" s="15" t="n"/>
      <c r="W46" s="15" t="n"/>
      <c r="X46" s="15" t="n"/>
      <c r="Y46" s="15" t="n"/>
      <c r="Z46" s="15" t="n"/>
      <c r="AA46" s="15" t="n"/>
      <c r="AB46" s="15" t="n"/>
      <c r="AC46" s="15" t="n"/>
      <c r="AD46" s="15" t="n"/>
      <c r="AE46" s="15" t="n"/>
    </row>
    <row r="47">
      <c r="A47" s="15" t="n"/>
      <c r="B47" s="15" t="n"/>
      <c r="C47" s="15" t="n"/>
      <c r="D47" s="15" t="n"/>
      <c r="E47" s="15" t="n"/>
      <c r="F47" s="15" t="n"/>
      <c r="G47" s="15" t="n"/>
      <c r="H47" s="15" t="n"/>
      <c r="I47" s="15" t="n"/>
      <c r="J47" s="15" t="n"/>
      <c r="K47" s="15" t="n"/>
      <c r="L47" s="15" t="n"/>
      <c r="M47" s="15" t="n"/>
      <c r="N47" s="15" t="n"/>
      <c r="O47" s="15" t="n"/>
      <c r="P47" s="15" t="n"/>
      <c r="Q47" s="15" t="n"/>
      <c r="R47" s="15" t="n"/>
      <c r="S47" s="15" t="n"/>
      <c r="T47" s="15" t="n"/>
      <c r="U47" s="15" t="n"/>
      <c r="V47" s="15" t="n"/>
      <c r="W47" s="15" t="n"/>
      <c r="X47" s="15" t="n"/>
      <c r="Y47" s="15" t="n"/>
      <c r="Z47" s="15" t="n"/>
      <c r="AA47" s="15" t="n"/>
      <c r="AB47" s="15" t="n"/>
      <c r="AC47" s="15" t="n"/>
      <c r="AD47" s="15" t="n"/>
      <c r="AE47" s="15" t="n"/>
    </row>
    <row r="48">
      <c r="A48" s="15" t="n"/>
      <c r="B48" s="15" t="n"/>
      <c r="C48" s="15" t="n"/>
      <c r="D48" s="15" t="n"/>
      <c r="E48" s="15" t="n"/>
      <c r="F48" s="15" t="n"/>
      <c r="G48" s="15" t="n"/>
      <c r="H48" s="15" t="n"/>
      <c r="I48" s="15" t="n"/>
      <c r="J48" s="15" t="n"/>
      <c r="K48" s="15" t="n"/>
      <c r="L48" s="15" t="n"/>
      <c r="M48" s="15" t="n"/>
      <c r="N48" s="15" t="n"/>
      <c r="O48" s="15" t="n"/>
      <c r="P48" s="15" t="n"/>
      <c r="Q48" s="15" t="n"/>
      <c r="R48" s="15" t="n"/>
      <c r="S48" s="15" t="n"/>
      <c r="T48" s="15" t="n"/>
      <c r="U48" s="15" t="n"/>
      <c r="V48" s="15" t="n"/>
      <c r="W48" s="15" t="n"/>
      <c r="X48" s="15" t="n"/>
      <c r="Y48" s="15" t="n"/>
      <c r="Z48" s="15" t="n"/>
      <c r="AA48" s="15" t="n"/>
      <c r="AB48" s="15" t="n"/>
      <c r="AC48" s="15" t="n"/>
      <c r="AD48" s="15" t="n"/>
      <c r="AE48" s="15" t="n"/>
    </row>
    <row r="49">
      <c r="A49" s="15" t="n"/>
      <c r="B49" s="15" t="n"/>
      <c r="C49" s="15" t="n"/>
      <c r="D49" s="15" t="n"/>
      <c r="E49" s="15" t="n"/>
      <c r="F49" s="15" t="n"/>
      <c r="G49" s="15" t="n"/>
      <c r="H49" s="15" t="n"/>
      <c r="I49" s="15" t="n"/>
      <c r="J49" s="15" t="n"/>
      <c r="K49" s="15" t="n"/>
      <c r="L49" s="15" t="n"/>
      <c r="M49" s="15" t="n"/>
      <c r="N49" s="15" t="n"/>
      <c r="O49" s="15" t="n"/>
      <c r="P49" s="15" t="n"/>
      <c r="Q49" s="15" t="n"/>
      <c r="R49" s="15" t="n"/>
      <c r="S49" s="15" t="n"/>
      <c r="T49" s="15" t="n"/>
      <c r="U49" s="15" t="n"/>
      <c r="V49" s="15" t="n"/>
      <c r="W49" s="15" t="n"/>
      <c r="X49" s="15" t="n"/>
      <c r="Y49" s="15" t="n"/>
      <c r="Z49" s="15" t="n"/>
      <c r="AA49" s="15" t="n"/>
      <c r="AB49" s="15" t="n"/>
      <c r="AC49" s="15" t="n"/>
      <c r="AD49" s="15" t="n"/>
      <c r="AE49" s="15" t="n"/>
    </row>
    <row r="50">
      <c r="A50" s="15" t="n"/>
      <c r="B50" s="15" t="n"/>
      <c r="C50" s="15" t="n"/>
      <c r="D50" s="15" t="n"/>
      <c r="E50" s="15" t="n"/>
      <c r="F50" s="15" t="n"/>
      <c r="G50" s="15" t="n"/>
      <c r="H50" s="15" t="n"/>
      <c r="I50" s="15" t="n"/>
      <c r="J50" s="15" t="n"/>
      <c r="K50" s="15" t="n"/>
      <c r="L50" s="15" t="n"/>
      <c r="M50" s="15" t="n"/>
      <c r="N50" s="15" t="n"/>
      <c r="O50" s="15" t="n"/>
      <c r="P50" s="15" t="n"/>
      <c r="Q50" s="15" t="n"/>
      <c r="R50" s="15" t="n"/>
      <c r="S50" s="15" t="n"/>
      <c r="T50" s="15" t="n"/>
      <c r="U50" s="15" t="n"/>
      <c r="V50" s="15" t="n"/>
      <c r="W50" s="15" t="n"/>
      <c r="X50" s="15" t="n"/>
      <c r="Y50" s="15" t="n"/>
      <c r="Z50" s="15" t="n"/>
      <c r="AA50" s="15" t="n"/>
      <c r="AB50" s="15" t="n"/>
      <c r="AC50" s="15" t="n"/>
      <c r="AD50" s="15" t="n"/>
      <c r="AE50" s="15" t="n"/>
    </row>
    <row r="51">
      <c r="A51" s="15" t="n"/>
      <c r="B51" s="15" t="n"/>
      <c r="C51" s="15" t="n"/>
      <c r="D51" s="15" t="n"/>
      <c r="E51" s="15" t="n"/>
      <c r="F51" s="15" t="n"/>
      <c r="G51" s="15" t="n"/>
      <c r="H51" s="15" t="n"/>
      <c r="I51" s="15" t="n"/>
      <c r="J51" s="15" t="n"/>
      <c r="K51" s="15" t="n"/>
      <c r="L51" s="15" t="n"/>
      <c r="M51" s="15" t="n"/>
      <c r="N51" s="15" t="n"/>
      <c r="O51" s="15" t="n"/>
      <c r="P51" s="15" t="n"/>
      <c r="Q51" s="15" t="n"/>
      <c r="R51" s="15" t="n"/>
      <c r="S51" s="15" t="n"/>
      <c r="T51" s="15" t="n"/>
      <c r="U51" s="15" t="n"/>
      <c r="V51" s="15" t="n"/>
      <c r="W51" s="15" t="n"/>
      <c r="X51" s="15" t="n"/>
      <c r="Y51" s="15" t="n"/>
      <c r="Z51" s="15" t="n"/>
      <c r="AA51" s="15" t="n"/>
      <c r="AB51" s="15" t="n"/>
      <c r="AC51" s="15" t="n"/>
      <c r="AD51" s="15" t="n"/>
      <c r="AE51" s="15" t="n"/>
    </row>
    <row r="52">
      <c r="A52" s="15" t="n"/>
      <c r="B52" s="15" t="n"/>
      <c r="C52" s="15" t="n"/>
      <c r="D52" s="15" t="n"/>
      <c r="E52" s="15" t="n"/>
      <c r="F52" s="15" t="n"/>
      <c r="G52" s="15" t="n"/>
      <c r="H52" s="15" t="n"/>
      <c r="I52" s="15" t="n"/>
      <c r="J52" s="15" t="n"/>
      <c r="K52" s="15" t="n"/>
      <c r="L52" s="15" t="n"/>
      <c r="M52" s="15" t="n"/>
      <c r="N52" s="15" t="n"/>
      <c r="O52" s="15" t="n"/>
      <c r="P52" s="15" t="n"/>
      <c r="Q52" s="15" t="n"/>
      <c r="R52" s="15" t="n"/>
      <c r="S52" s="15" t="n"/>
      <c r="T52" s="15" t="n"/>
      <c r="U52" s="15" t="n"/>
      <c r="V52" s="15" t="n"/>
      <c r="W52" s="15" t="n"/>
      <c r="X52" s="15" t="n"/>
      <c r="Y52" s="15" t="n"/>
      <c r="Z52" s="15" t="n"/>
      <c r="AA52" s="15" t="n"/>
      <c r="AB52" s="15" t="n"/>
      <c r="AC52" s="15" t="n"/>
      <c r="AD52" s="15" t="n"/>
      <c r="AE52" s="15" t="n"/>
    </row>
    <row r="53">
      <c r="A53" s="15" t="n"/>
      <c r="B53" s="15" t="n"/>
      <c r="C53" s="15" t="n"/>
      <c r="D53" s="15" t="n"/>
      <c r="E53" s="15" t="n"/>
      <c r="F53" s="15" t="n"/>
      <c r="G53" s="15" t="n"/>
      <c r="H53" s="15" t="n"/>
      <c r="I53" s="15" t="n"/>
      <c r="J53" s="15" t="n"/>
      <c r="K53" s="15" t="n"/>
      <c r="L53" s="15" t="n"/>
      <c r="M53" s="15" t="n"/>
      <c r="N53" s="15" t="n"/>
      <c r="O53" s="15" t="n"/>
      <c r="P53" s="15" t="n"/>
      <c r="Q53" s="15" t="n"/>
      <c r="R53" s="15" t="n"/>
      <c r="S53" s="15" t="n"/>
      <c r="T53" s="15" t="n"/>
      <c r="U53" s="15" t="n"/>
      <c r="V53" s="15" t="n"/>
      <c r="W53" s="15" t="n"/>
      <c r="X53" s="15" t="n"/>
      <c r="Y53" s="15" t="n"/>
      <c r="Z53" s="15" t="n"/>
      <c r="AA53" s="15" t="n"/>
      <c r="AB53" s="15" t="n"/>
      <c r="AC53" s="15" t="n"/>
      <c r="AD53" s="15" t="n"/>
      <c r="AE53" s="15" t="n"/>
    </row>
    <row r="54">
      <c r="A54" s="15" t="n"/>
      <c r="B54" s="15" t="n"/>
      <c r="C54" s="15" t="n"/>
      <c r="D54" s="15" t="n"/>
      <c r="E54" s="15" t="n"/>
      <c r="F54" s="15" t="n"/>
      <c r="G54" s="15" t="n"/>
      <c r="H54" s="15" t="n"/>
      <c r="I54" s="15" t="n"/>
      <c r="J54" s="15" t="n"/>
      <c r="K54" s="15" t="n"/>
      <c r="L54" s="15" t="n"/>
      <c r="M54" s="15" t="n"/>
      <c r="N54" s="15" t="n"/>
      <c r="O54" s="15" t="n"/>
      <c r="P54" s="15" t="n"/>
      <c r="Q54" s="15" t="n"/>
      <c r="R54" s="15" t="n"/>
      <c r="S54" s="15" t="n"/>
      <c r="T54" s="15" t="n"/>
      <c r="U54" s="15" t="n"/>
      <c r="V54" s="15" t="n"/>
      <c r="W54" s="15" t="n"/>
      <c r="X54" s="15" t="n"/>
      <c r="Y54" s="15" t="n"/>
      <c r="Z54" s="15" t="n"/>
      <c r="AA54" s="15" t="n"/>
      <c r="AB54" s="15" t="n"/>
      <c r="AC54" s="15" t="n"/>
      <c r="AD54" s="15" t="n"/>
      <c r="AE54" s="15" t="n"/>
    </row>
    <row r="55">
      <c r="A55" s="15" t="n"/>
      <c r="B55" s="15" t="n"/>
      <c r="C55" s="15" t="n"/>
      <c r="D55" s="15" t="n"/>
      <c r="E55" s="15" t="n"/>
      <c r="F55" s="15" t="n"/>
      <c r="G55" s="15" t="n"/>
      <c r="H55" s="15" t="n"/>
      <c r="I55" s="15" t="n"/>
      <c r="J55" s="15" t="n"/>
      <c r="K55" s="15" t="n"/>
      <c r="L55" s="15" t="n"/>
      <c r="M55" s="15" t="n"/>
      <c r="N55" s="15" t="n"/>
      <c r="O55" s="15" t="n"/>
      <c r="P55" s="15" t="n"/>
      <c r="Q55" s="15" t="n"/>
      <c r="R55" s="15" t="n"/>
      <c r="S55" s="15" t="n"/>
      <c r="T55" s="15" t="n"/>
      <c r="U55" s="15" t="n"/>
      <c r="V55" s="15" t="n"/>
      <c r="W55" s="15" t="n"/>
      <c r="X55" s="15" t="n"/>
      <c r="Y55" s="15" t="n"/>
      <c r="Z55" s="15" t="n"/>
      <c r="AA55" s="15" t="n"/>
      <c r="AB55" s="15" t="n"/>
      <c r="AC55" s="15" t="n"/>
      <c r="AD55" s="15" t="n"/>
      <c r="AE55" s="15" t="n"/>
    </row>
  </sheetData>
  <mergeCells count="3">
    <mergeCell ref="A1:AE1"/>
    <mergeCell ref="A3:AE3"/>
    <mergeCell ref="A2:AE2"/>
  </mergeCells>
  <dataValidations count="3">
    <dataValidation sqref="I6 I7 I8 I9 I10 I11 I12 I13 I14 I15 I16 I17 I18 I19 I20 I21 I22 I23 I24 I25 I26 I27 I28 I29 I30 I31 I32 I33 I34 I35 I36 I37 I38 I39 I40 I41 I42 I43 I44 I45 I46 I47 I48 I49 I50 I51 I52 I53 I54 I55" showDropDown="0" showInputMessage="0" showErrorMessage="0" allowBlank="1" type="list">
      <formula1>"Scanner,Manual,Penetration Test,Code Review"</formula1>
    </dataValidation>
    <dataValidation sqref="Z6 Z7 Z8 Z9 Z10 Z11 Z12 Z13 Z14 Z15 Z16 Z17 Z18 Z19 Z20 Z21 Z22 Z23 Z24 Z25 Z26 Z27 Z28 Z29 Z30 Z31 Z32 Z33 Z34 Z35 Z36 Z37 Z38 Z39 Z40 Z41 Z42 Z43 Z44 Z45 Z46 Z47 Z48 Z49 Z50 Z51 Z52 Z53 Z54 Z55" showDropDown="0" showInputMessage="0" showErrorMessage="0" allowBlank="1" type="list">
      <formula1>"Normal,Escalated"</formula1>
    </dataValidation>
    <dataValidation sqref="AE6 AE7 AE8 AE9 AE10 AE11 AE12 AE13 AE14 AE15 AE16 AE17 AE18 AE19 AE20 AE21 AE22 AE23 AE24 AE25 AE26 AE27 AE28 AE29 AE30 AE31 AE32 AE33 AE34 AE35 AE36 AE37 AE38 AE39 AE40 AE41 AE42 AE43 AE44 AE45 AE46 AE47 AE48 AE49 AE50 AE51 AE52 AE53 AE54 AE55" showDropDown="0" showInputMessage="0" showErrorMessage="0" allowBlank="1" type="list">
      <formula1>"Pending,In Progress,Complete,Failed,Cancelled"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55"/>
  <sheetViews>
    <sheetView showGridLines="0" workbookViewId="0">
      <pane ySplit="4" topLeftCell="A5" activePane="bottomLeft" state="frozen"/>
      <selection pane="bottomLeft" activeCell="A1" sqref="A1"/>
    </sheetView>
  </sheetViews>
  <sheetFormatPr baseColWidth="8" defaultRowHeight="15"/>
  <cols>
    <col width="14" customWidth="1" min="1" max="1"/>
    <col width="18" customWidth="1" min="2" max="2"/>
    <col width="14" customWidth="1" min="3" max="3"/>
    <col width="18" customWidth="1" min="4" max="4"/>
    <col width="16" customWidth="1" min="5" max="5"/>
    <col width="22" customWidth="1" min="6" max="6"/>
    <col width="40" customWidth="1" min="7" max="7"/>
    <col width="20" customWidth="1" min="8" max="8"/>
    <col width="22" customWidth="1" min="9" max="9"/>
    <col width="24" customWidth="1" min="10" max="10"/>
    <col width="22" customWidth="1" min="11" max="11"/>
    <col width="24" customWidth="1" min="12" max="12"/>
    <col width="40" customWidth="1" min="13" max="13"/>
    <col width="40" customWidth="1" min="14" max="14"/>
    <col width="16" customWidth="1" min="15" max="15"/>
  </cols>
  <sheetData>
    <row r="1" ht="35" customHeight="1">
      <c r="A1" s="11" t="inlineStr">
        <is>
          <t>ISMS-IMP-A.8.8.5  —  RE-REMEDIATION LOG</t>
        </is>
      </c>
    </row>
    <row r="2">
      <c r="A2" s="12" t="inlineStr">
        <is>
          <t>ISO/IEC 27001:2022 — Control A.8.8: Failed Verification Re-Remediation Cases</t>
        </is>
      </c>
    </row>
    <row r="3">
      <c r="A3" s="6" t="n"/>
    </row>
    <row r="4">
      <c r="A4" s="13" t="inlineStr">
        <is>
          <t>Re_Rem_ID</t>
        </is>
      </c>
      <c r="B4" s="13" t="inlineStr">
        <is>
          <t>Verification_ID</t>
        </is>
      </c>
      <c r="C4" s="13" t="inlineStr">
        <is>
          <t>Vuln_ID</t>
        </is>
      </c>
      <c r="D4" s="13" t="inlineStr">
        <is>
          <t>CVE_ID</t>
        </is>
      </c>
      <c r="E4" s="13" t="inlineStr">
        <is>
          <t>Asset_ID</t>
        </is>
      </c>
      <c r="F4" s="13" t="inlineStr">
        <is>
          <t>Failed_Verification_Date</t>
        </is>
      </c>
      <c r="G4" s="13" t="inlineStr">
        <is>
          <t>Failure_Reason</t>
        </is>
      </c>
      <c r="H4" s="13" t="inlineStr">
        <is>
          <t>Re_Remediation_Type</t>
        </is>
      </c>
      <c r="I4" s="13" t="inlineStr">
        <is>
          <t>Re_Remediation_Owner</t>
        </is>
      </c>
      <c r="J4" s="13" t="inlineStr">
        <is>
          <t>Re_Remediation_Target_Date</t>
        </is>
      </c>
      <c r="K4" s="13" t="inlineStr">
        <is>
          <t>Actual_Completion_Date</t>
        </is>
      </c>
      <c r="L4" s="13" t="inlineStr">
        <is>
          <t>Post_Rerem_Verification_ID</t>
        </is>
      </c>
      <c r="M4" s="13" t="inlineStr">
        <is>
          <t>Root_Cause_Analysis</t>
        </is>
      </c>
      <c r="N4" s="13" t="inlineStr">
        <is>
          <t>Lessons_Learned</t>
        </is>
      </c>
      <c r="O4" s="13" t="inlineStr">
        <is>
          <t>Closure_Status</t>
        </is>
      </c>
    </row>
    <row r="5">
      <c r="A5" s="14" t="inlineStr">
        <is>
          <t>RREM-001</t>
        </is>
      </c>
      <c r="B5" s="14" t="inlineStr">
        <is>
          <t>VER-001</t>
        </is>
      </c>
      <c r="C5" s="14" t="inlineStr">
        <is>
          <t>VULN-001</t>
        </is>
      </c>
      <c r="D5" s="14" t="inlineStr">
        <is>
          <t>CVE-2024-1234</t>
        </is>
      </c>
      <c r="E5" s="14" t="inlineStr">
        <is>
          <t>SRV-PROD-001</t>
        </is>
      </c>
      <c r="F5" s="14" t="inlineStr">
        <is>
          <t>23/01/2024</t>
        </is>
      </c>
      <c r="G5" s="14" t="inlineStr">
        <is>
          <t>Patch applied but wrong version — vulnerability still present after v2.4.51 installation</t>
        </is>
      </c>
      <c r="H5" s="14" t="inlineStr">
        <is>
          <t>Patch</t>
        </is>
      </c>
      <c r="I5" s="14" t="inlineStr">
        <is>
          <t>Infrastructure Lead</t>
        </is>
      </c>
      <c r="J5" s="14" t="inlineStr">
        <is>
          <t>25/01/2024</t>
        </is>
      </c>
      <c r="K5" s="14" t="inlineStr"/>
      <c r="L5" s="14" t="inlineStr"/>
      <c r="M5" s="14" t="inlineStr">
        <is>
          <t>Package manager cached old version; manual download required</t>
        </is>
      </c>
      <c r="N5" s="14" t="inlineStr">
        <is>
          <t>Always verify patch version against CVE fix confirmation advisory</t>
        </is>
      </c>
      <c r="O5" s="14" t="inlineStr">
        <is>
          <t>In Progress</t>
        </is>
      </c>
    </row>
    <row r="6">
      <c r="A6" s="15" t="n"/>
      <c r="B6" s="15" t="n"/>
      <c r="C6" s="15" t="n"/>
      <c r="D6" s="15" t="n"/>
      <c r="E6" s="15" t="n"/>
      <c r="F6" s="15" t="n"/>
      <c r="G6" s="15" t="n"/>
      <c r="H6" s="15" t="n"/>
      <c r="I6" s="15" t="n"/>
      <c r="J6" s="15" t="n"/>
      <c r="K6" s="15" t="n"/>
      <c r="L6" s="15" t="n"/>
      <c r="M6" s="15" t="n"/>
      <c r="N6" s="15" t="n"/>
      <c r="O6" s="15" t="n"/>
    </row>
    <row r="7">
      <c r="A7" s="15" t="n"/>
      <c r="B7" s="15" t="n"/>
      <c r="C7" s="15" t="n"/>
      <c r="D7" s="15" t="n"/>
      <c r="E7" s="15" t="n"/>
      <c r="F7" s="15" t="n"/>
      <c r="G7" s="15" t="n"/>
      <c r="H7" s="15" t="n"/>
      <c r="I7" s="15" t="n"/>
      <c r="J7" s="15" t="n"/>
      <c r="K7" s="15" t="n"/>
      <c r="L7" s="15" t="n"/>
      <c r="M7" s="15" t="n"/>
      <c r="N7" s="15" t="n"/>
      <c r="O7" s="15" t="n"/>
    </row>
    <row r="8">
      <c r="A8" s="15" t="n"/>
      <c r="B8" s="15" t="n"/>
      <c r="C8" s="15" t="n"/>
      <c r="D8" s="15" t="n"/>
      <c r="E8" s="15" t="n"/>
      <c r="F8" s="15" t="n"/>
      <c r="G8" s="15" t="n"/>
      <c r="H8" s="15" t="n"/>
      <c r="I8" s="15" t="n"/>
      <c r="J8" s="15" t="n"/>
      <c r="K8" s="15" t="n"/>
      <c r="L8" s="15" t="n"/>
      <c r="M8" s="15" t="n"/>
      <c r="N8" s="15" t="n"/>
      <c r="O8" s="15" t="n"/>
    </row>
    <row r="9">
      <c r="A9" s="15" t="n"/>
      <c r="B9" s="15" t="n"/>
      <c r="C9" s="15" t="n"/>
      <c r="D9" s="15" t="n"/>
      <c r="E9" s="15" t="n"/>
      <c r="F9" s="15" t="n"/>
      <c r="G9" s="15" t="n"/>
      <c r="H9" s="15" t="n"/>
      <c r="I9" s="15" t="n"/>
      <c r="J9" s="15" t="n"/>
      <c r="K9" s="15" t="n"/>
      <c r="L9" s="15" t="n"/>
      <c r="M9" s="15" t="n"/>
      <c r="N9" s="15" t="n"/>
      <c r="O9" s="15" t="n"/>
    </row>
    <row r="10">
      <c r="A10" s="15" t="n"/>
      <c r="B10" s="15" t="n"/>
      <c r="C10" s="15" t="n"/>
      <c r="D10" s="15" t="n"/>
      <c r="E10" s="15" t="n"/>
      <c r="F10" s="15" t="n"/>
      <c r="G10" s="15" t="n"/>
      <c r="H10" s="15" t="n"/>
      <c r="I10" s="15" t="n"/>
      <c r="J10" s="15" t="n"/>
      <c r="K10" s="15" t="n"/>
      <c r="L10" s="15" t="n"/>
      <c r="M10" s="15" t="n"/>
      <c r="N10" s="15" t="n"/>
      <c r="O10" s="15" t="n"/>
    </row>
    <row r="11">
      <c r="A11" s="15" t="n"/>
      <c r="B11" s="15" t="n"/>
      <c r="C11" s="15" t="n"/>
      <c r="D11" s="15" t="n"/>
      <c r="E11" s="15" t="n"/>
      <c r="F11" s="15" t="n"/>
      <c r="G11" s="15" t="n"/>
      <c r="H11" s="15" t="n"/>
      <c r="I11" s="15" t="n"/>
      <c r="J11" s="15" t="n"/>
      <c r="K11" s="15" t="n"/>
      <c r="L11" s="15" t="n"/>
      <c r="M11" s="15" t="n"/>
      <c r="N11" s="15" t="n"/>
      <c r="O11" s="15" t="n"/>
    </row>
    <row r="12">
      <c r="A12" s="15" t="n"/>
      <c r="B12" s="15" t="n"/>
      <c r="C12" s="15" t="n"/>
      <c r="D12" s="15" t="n"/>
      <c r="E12" s="15" t="n"/>
      <c r="F12" s="15" t="n"/>
      <c r="G12" s="15" t="n"/>
      <c r="H12" s="15" t="n"/>
      <c r="I12" s="15" t="n"/>
      <c r="J12" s="15" t="n"/>
      <c r="K12" s="15" t="n"/>
      <c r="L12" s="15" t="n"/>
      <c r="M12" s="15" t="n"/>
      <c r="N12" s="15" t="n"/>
      <c r="O12" s="15" t="n"/>
    </row>
    <row r="13">
      <c r="A13" s="15" t="n"/>
      <c r="B13" s="15" t="n"/>
      <c r="C13" s="15" t="n"/>
      <c r="D13" s="15" t="n"/>
      <c r="E13" s="15" t="n"/>
      <c r="F13" s="15" t="n"/>
      <c r="G13" s="15" t="n"/>
      <c r="H13" s="15" t="n"/>
      <c r="I13" s="15" t="n"/>
      <c r="J13" s="15" t="n"/>
      <c r="K13" s="15" t="n"/>
      <c r="L13" s="15" t="n"/>
      <c r="M13" s="15" t="n"/>
      <c r="N13" s="15" t="n"/>
      <c r="O13" s="15" t="n"/>
    </row>
    <row r="14">
      <c r="A14" s="15" t="n"/>
      <c r="B14" s="15" t="n"/>
      <c r="C14" s="15" t="n"/>
      <c r="D14" s="15" t="n"/>
      <c r="E14" s="15" t="n"/>
      <c r="F14" s="15" t="n"/>
      <c r="G14" s="15" t="n"/>
      <c r="H14" s="15" t="n"/>
      <c r="I14" s="15" t="n"/>
      <c r="J14" s="15" t="n"/>
      <c r="K14" s="15" t="n"/>
      <c r="L14" s="15" t="n"/>
      <c r="M14" s="15" t="n"/>
      <c r="N14" s="15" t="n"/>
      <c r="O14" s="15" t="n"/>
    </row>
    <row r="15">
      <c r="A15" s="15" t="n"/>
      <c r="B15" s="15" t="n"/>
      <c r="C15" s="15" t="n"/>
      <c r="D15" s="15" t="n"/>
      <c r="E15" s="15" t="n"/>
      <c r="F15" s="15" t="n"/>
      <c r="G15" s="15" t="n"/>
      <c r="H15" s="15" t="n"/>
      <c r="I15" s="15" t="n"/>
      <c r="J15" s="15" t="n"/>
      <c r="K15" s="15" t="n"/>
      <c r="L15" s="15" t="n"/>
      <c r="M15" s="15" t="n"/>
      <c r="N15" s="15" t="n"/>
      <c r="O15" s="15" t="n"/>
    </row>
    <row r="16">
      <c r="A16" s="15" t="n"/>
      <c r="B16" s="15" t="n"/>
      <c r="C16" s="15" t="n"/>
      <c r="D16" s="15" t="n"/>
      <c r="E16" s="15" t="n"/>
      <c r="F16" s="15" t="n"/>
      <c r="G16" s="15" t="n"/>
      <c r="H16" s="15" t="n"/>
      <c r="I16" s="15" t="n"/>
      <c r="J16" s="15" t="n"/>
      <c r="K16" s="15" t="n"/>
      <c r="L16" s="15" t="n"/>
      <c r="M16" s="15" t="n"/>
      <c r="N16" s="15" t="n"/>
      <c r="O16" s="15" t="n"/>
    </row>
    <row r="17">
      <c r="A17" s="15" t="n"/>
      <c r="B17" s="15" t="n"/>
      <c r="C17" s="15" t="n"/>
      <c r="D17" s="15" t="n"/>
      <c r="E17" s="15" t="n"/>
      <c r="F17" s="15" t="n"/>
      <c r="G17" s="15" t="n"/>
      <c r="H17" s="15" t="n"/>
      <c r="I17" s="15" t="n"/>
      <c r="J17" s="15" t="n"/>
      <c r="K17" s="15" t="n"/>
      <c r="L17" s="15" t="n"/>
      <c r="M17" s="15" t="n"/>
      <c r="N17" s="15" t="n"/>
      <c r="O17" s="15" t="n"/>
    </row>
    <row r="18">
      <c r="A18" s="15" t="n"/>
      <c r="B18" s="15" t="n"/>
      <c r="C18" s="15" t="n"/>
      <c r="D18" s="15" t="n"/>
      <c r="E18" s="15" t="n"/>
      <c r="F18" s="15" t="n"/>
      <c r="G18" s="15" t="n"/>
      <c r="H18" s="15" t="n"/>
      <c r="I18" s="15" t="n"/>
      <c r="J18" s="15" t="n"/>
      <c r="K18" s="15" t="n"/>
      <c r="L18" s="15" t="n"/>
      <c r="M18" s="15" t="n"/>
      <c r="N18" s="15" t="n"/>
      <c r="O18" s="15" t="n"/>
    </row>
    <row r="19">
      <c r="A19" s="15" t="n"/>
      <c r="B19" s="15" t="n"/>
      <c r="C19" s="15" t="n"/>
      <c r="D19" s="15" t="n"/>
      <c r="E19" s="15" t="n"/>
      <c r="F19" s="15" t="n"/>
      <c r="G19" s="15" t="n"/>
      <c r="H19" s="15" t="n"/>
      <c r="I19" s="15" t="n"/>
      <c r="J19" s="15" t="n"/>
      <c r="K19" s="15" t="n"/>
      <c r="L19" s="15" t="n"/>
      <c r="M19" s="15" t="n"/>
      <c r="N19" s="15" t="n"/>
      <c r="O19" s="15" t="n"/>
    </row>
    <row r="20">
      <c r="A20" s="15" t="n"/>
      <c r="B20" s="15" t="n"/>
      <c r="C20" s="15" t="n"/>
      <c r="D20" s="15" t="n"/>
      <c r="E20" s="15" t="n"/>
      <c r="F20" s="15" t="n"/>
      <c r="G20" s="15" t="n"/>
      <c r="H20" s="15" t="n"/>
      <c r="I20" s="15" t="n"/>
      <c r="J20" s="15" t="n"/>
      <c r="K20" s="15" t="n"/>
      <c r="L20" s="15" t="n"/>
      <c r="M20" s="15" t="n"/>
      <c r="N20" s="15" t="n"/>
      <c r="O20" s="15" t="n"/>
    </row>
    <row r="21">
      <c r="A21" s="15" t="n"/>
      <c r="B21" s="15" t="n"/>
      <c r="C21" s="15" t="n"/>
      <c r="D21" s="15" t="n"/>
      <c r="E21" s="15" t="n"/>
      <c r="F21" s="15" t="n"/>
      <c r="G21" s="15" t="n"/>
      <c r="H21" s="15" t="n"/>
      <c r="I21" s="15" t="n"/>
      <c r="J21" s="15" t="n"/>
      <c r="K21" s="15" t="n"/>
      <c r="L21" s="15" t="n"/>
      <c r="M21" s="15" t="n"/>
      <c r="N21" s="15" t="n"/>
      <c r="O21" s="15" t="n"/>
    </row>
    <row r="22">
      <c r="A22" s="15" t="n"/>
      <c r="B22" s="15" t="n"/>
      <c r="C22" s="15" t="n"/>
      <c r="D22" s="15" t="n"/>
      <c r="E22" s="15" t="n"/>
      <c r="F22" s="15" t="n"/>
      <c r="G22" s="15" t="n"/>
      <c r="H22" s="15" t="n"/>
      <c r="I22" s="15" t="n"/>
      <c r="J22" s="15" t="n"/>
      <c r="K22" s="15" t="n"/>
      <c r="L22" s="15" t="n"/>
      <c r="M22" s="15" t="n"/>
      <c r="N22" s="15" t="n"/>
      <c r="O22" s="15" t="n"/>
    </row>
    <row r="23">
      <c r="A23" s="15" t="n"/>
      <c r="B23" s="15" t="n"/>
      <c r="C23" s="15" t="n"/>
      <c r="D23" s="15" t="n"/>
      <c r="E23" s="15" t="n"/>
      <c r="F23" s="15" t="n"/>
      <c r="G23" s="15" t="n"/>
      <c r="H23" s="15" t="n"/>
      <c r="I23" s="15" t="n"/>
      <c r="J23" s="15" t="n"/>
      <c r="K23" s="15" t="n"/>
      <c r="L23" s="15" t="n"/>
      <c r="M23" s="15" t="n"/>
      <c r="N23" s="15" t="n"/>
      <c r="O23" s="15" t="n"/>
    </row>
    <row r="24">
      <c r="A24" s="15" t="n"/>
      <c r="B24" s="15" t="n"/>
      <c r="C24" s="15" t="n"/>
      <c r="D24" s="15" t="n"/>
      <c r="E24" s="15" t="n"/>
      <c r="F24" s="15" t="n"/>
      <c r="G24" s="15" t="n"/>
      <c r="H24" s="15" t="n"/>
      <c r="I24" s="15" t="n"/>
      <c r="J24" s="15" t="n"/>
      <c r="K24" s="15" t="n"/>
      <c r="L24" s="15" t="n"/>
      <c r="M24" s="15" t="n"/>
      <c r="N24" s="15" t="n"/>
      <c r="O24" s="15" t="n"/>
    </row>
    <row r="25">
      <c r="A25" s="15" t="n"/>
      <c r="B25" s="15" t="n"/>
      <c r="C25" s="15" t="n"/>
      <c r="D25" s="15" t="n"/>
      <c r="E25" s="15" t="n"/>
      <c r="F25" s="15" t="n"/>
      <c r="G25" s="15" t="n"/>
      <c r="H25" s="15" t="n"/>
      <c r="I25" s="15" t="n"/>
      <c r="J25" s="15" t="n"/>
      <c r="K25" s="15" t="n"/>
      <c r="L25" s="15" t="n"/>
      <c r="M25" s="15" t="n"/>
      <c r="N25" s="15" t="n"/>
      <c r="O25" s="15" t="n"/>
    </row>
    <row r="26">
      <c r="A26" s="15" t="n"/>
      <c r="B26" s="15" t="n"/>
      <c r="C26" s="15" t="n"/>
      <c r="D26" s="15" t="n"/>
      <c r="E26" s="15" t="n"/>
      <c r="F26" s="15" t="n"/>
      <c r="G26" s="15" t="n"/>
      <c r="H26" s="15" t="n"/>
      <c r="I26" s="15" t="n"/>
      <c r="J26" s="15" t="n"/>
      <c r="K26" s="15" t="n"/>
      <c r="L26" s="15" t="n"/>
      <c r="M26" s="15" t="n"/>
      <c r="N26" s="15" t="n"/>
      <c r="O26" s="15" t="n"/>
    </row>
    <row r="27">
      <c r="A27" s="15" t="n"/>
      <c r="B27" s="15" t="n"/>
      <c r="C27" s="15" t="n"/>
      <c r="D27" s="15" t="n"/>
      <c r="E27" s="15" t="n"/>
      <c r="F27" s="15" t="n"/>
      <c r="G27" s="15" t="n"/>
      <c r="H27" s="15" t="n"/>
      <c r="I27" s="15" t="n"/>
      <c r="J27" s="15" t="n"/>
      <c r="K27" s="15" t="n"/>
      <c r="L27" s="15" t="n"/>
      <c r="M27" s="15" t="n"/>
      <c r="N27" s="15" t="n"/>
      <c r="O27" s="15" t="n"/>
    </row>
    <row r="28">
      <c r="A28" s="15" t="n"/>
      <c r="B28" s="15" t="n"/>
      <c r="C28" s="15" t="n"/>
      <c r="D28" s="15" t="n"/>
      <c r="E28" s="15" t="n"/>
      <c r="F28" s="15" t="n"/>
      <c r="G28" s="15" t="n"/>
      <c r="H28" s="15" t="n"/>
      <c r="I28" s="15" t="n"/>
      <c r="J28" s="15" t="n"/>
      <c r="K28" s="15" t="n"/>
      <c r="L28" s="15" t="n"/>
      <c r="M28" s="15" t="n"/>
      <c r="N28" s="15" t="n"/>
      <c r="O28" s="15" t="n"/>
    </row>
    <row r="29">
      <c r="A29" s="15" t="n"/>
      <c r="B29" s="15" t="n"/>
      <c r="C29" s="15" t="n"/>
      <c r="D29" s="15" t="n"/>
      <c r="E29" s="15" t="n"/>
      <c r="F29" s="15" t="n"/>
      <c r="G29" s="15" t="n"/>
      <c r="H29" s="15" t="n"/>
      <c r="I29" s="15" t="n"/>
      <c r="J29" s="15" t="n"/>
      <c r="K29" s="15" t="n"/>
      <c r="L29" s="15" t="n"/>
      <c r="M29" s="15" t="n"/>
      <c r="N29" s="15" t="n"/>
      <c r="O29" s="15" t="n"/>
    </row>
    <row r="30">
      <c r="A30" s="15" t="n"/>
      <c r="B30" s="15" t="n"/>
      <c r="C30" s="15" t="n"/>
      <c r="D30" s="15" t="n"/>
      <c r="E30" s="15" t="n"/>
      <c r="F30" s="15" t="n"/>
      <c r="G30" s="15" t="n"/>
      <c r="H30" s="15" t="n"/>
      <c r="I30" s="15" t="n"/>
      <c r="J30" s="15" t="n"/>
      <c r="K30" s="15" t="n"/>
      <c r="L30" s="15" t="n"/>
      <c r="M30" s="15" t="n"/>
      <c r="N30" s="15" t="n"/>
      <c r="O30" s="15" t="n"/>
    </row>
    <row r="31">
      <c r="A31" s="15" t="n"/>
      <c r="B31" s="15" t="n"/>
      <c r="C31" s="15" t="n"/>
      <c r="D31" s="15" t="n"/>
      <c r="E31" s="15" t="n"/>
      <c r="F31" s="15" t="n"/>
      <c r="G31" s="15" t="n"/>
      <c r="H31" s="15" t="n"/>
      <c r="I31" s="15" t="n"/>
      <c r="J31" s="15" t="n"/>
      <c r="K31" s="15" t="n"/>
      <c r="L31" s="15" t="n"/>
      <c r="M31" s="15" t="n"/>
      <c r="N31" s="15" t="n"/>
      <c r="O31" s="15" t="n"/>
    </row>
    <row r="32">
      <c r="A32" s="15" t="n"/>
      <c r="B32" s="15" t="n"/>
      <c r="C32" s="15" t="n"/>
      <c r="D32" s="15" t="n"/>
      <c r="E32" s="15" t="n"/>
      <c r="F32" s="15" t="n"/>
      <c r="G32" s="15" t="n"/>
      <c r="H32" s="15" t="n"/>
      <c r="I32" s="15" t="n"/>
      <c r="J32" s="15" t="n"/>
      <c r="K32" s="15" t="n"/>
      <c r="L32" s="15" t="n"/>
      <c r="M32" s="15" t="n"/>
      <c r="N32" s="15" t="n"/>
      <c r="O32" s="15" t="n"/>
    </row>
    <row r="33">
      <c r="A33" s="15" t="n"/>
      <c r="B33" s="15" t="n"/>
      <c r="C33" s="15" t="n"/>
      <c r="D33" s="15" t="n"/>
      <c r="E33" s="15" t="n"/>
      <c r="F33" s="15" t="n"/>
      <c r="G33" s="15" t="n"/>
      <c r="H33" s="15" t="n"/>
      <c r="I33" s="15" t="n"/>
      <c r="J33" s="15" t="n"/>
      <c r="K33" s="15" t="n"/>
      <c r="L33" s="15" t="n"/>
      <c r="M33" s="15" t="n"/>
      <c r="N33" s="15" t="n"/>
      <c r="O33" s="15" t="n"/>
    </row>
    <row r="34">
      <c r="A34" s="15" t="n"/>
      <c r="B34" s="15" t="n"/>
      <c r="C34" s="15" t="n"/>
      <c r="D34" s="15" t="n"/>
      <c r="E34" s="15" t="n"/>
      <c r="F34" s="15" t="n"/>
      <c r="G34" s="15" t="n"/>
      <c r="H34" s="15" t="n"/>
      <c r="I34" s="15" t="n"/>
      <c r="J34" s="15" t="n"/>
      <c r="K34" s="15" t="n"/>
      <c r="L34" s="15" t="n"/>
      <c r="M34" s="15" t="n"/>
      <c r="N34" s="15" t="n"/>
      <c r="O34" s="15" t="n"/>
    </row>
    <row r="35">
      <c r="A35" s="15" t="n"/>
      <c r="B35" s="15" t="n"/>
      <c r="C35" s="15" t="n"/>
      <c r="D35" s="15" t="n"/>
      <c r="E35" s="15" t="n"/>
      <c r="F35" s="15" t="n"/>
      <c r="G35" s="15" t="n"/>
      <c r="H35" s="15" t="n"/>
      <c r="I35" s="15" t="n"/>
      <c r="J35" s="15" t="n"/>
      <c r="K35" s="15" t="n"/>
      <c r="L35" s="15" t="n"/>
      <c r="M35" s="15" t="n"/>
      <c r="N35" s="15" t="n"/>
      <c r="O35" s="15" t="n"/>
    </row>
    <row r="36">
      <c r="A36" s="15" t="n"/>
      <c r="B36" s="15" t="n"/>
      <c r="C36" s="15" t="n"/>
      <c r="D36" s="15" t="n"/>
      <c r="E36" s="15" t="n"/>
      <c r="F36" s="15" t="n"/>
      <c r="G36" s="15" t="n"/>
      <c r="H36" s="15" t="n"/>
      <c r="I36" s="15" t="n"/>
      <c r="J36" s="15" t="n"/>
      <c r="K36" s="15" t="n"/>
      <c r="L36" s="15" t="n"/>
      <c r="M36" s="15" t="n"/>
      <c r="N36" s="15" t="n"/>
      <c r="O36" s="15" t="n"/>
    </row>
    <row r="37">
      <c r="A37" s="15" t="n"/>
      <c r="B37" s="15" t="n"/>
      <c r="C37" s="15" t="n"/>
      <c r="D37" s="15" t="n"/>
      <c r="E37" s="15" t="n"/>
      <c r="F37" s="15" t="n"/>
      <c r="G37" s="15" t="n"/>
      <c r="H37" s="15" t="n"/>
      <c r="I37" s="15" t="n"/>
      <c r="J37" s="15" t="n"/>
      <c r="K37" s="15" t="n"/>
      <c r="L37" s="15" t="n"/>
      <c r="M37" s="15" t="n"/>
      <c r="N37" s="15" t="n"/>
      <c r="O37" s="15" t="n"/>
    </row>
    <row r="38">
      <c r="A38" s="15" t="n"/>
      <c r="B38" s="15" t="n"/>
      <c r="C38" s="15" t="n"/>
      <c r="D38" s="15" t="n"/>
      <c r="E38" s="15" t="n"/>
      <c r="F38" s="15" t="n"/>
      <c r="G38" s="15" t="n"/>
      <c r="H38" s="15" t="n"/>
      <c r="I38" s="15" t="n"/>
      <c r="J38" s="15" t="n"/>
      <c r="K38" s="15" t="n"/>
      <c r="L38" s="15" t="n"/>
      <c r="M38" s="15" t="n"/>
      <c r="N38" s="15" t="n"/>
      <c r="O38" s="15" t="n"/>
    </row>
    <row r="39">
      <c r="A39" s="15" t="n"/>
      <c r="B39" s="15" t="n"/>
      <c r="C39" s="15" t="n"/>
      <c r="D39" s="15" t="n"/>
      <c r="E39" s="15" t="n"/>
      <c r="F39" s="15" t="n"/>
      <c r="G39" s="15" t="n"/>
      <c r="H39" s="15" t="n"/>
      <c r="I39" s="15" t="n"/>
      <c r="J39" s="15" t="n"/>
      <c r="K39" s="15" t="n"/>
      <c r="L39" s="15" t="n"/>
      <c r="M39" s="15" t="n"/>
      <c r="N39" s="15" t="n"/>
      <c r="O39" s="15" t="n"/>
    </row>
    <row r="40">
      <c r="A40" s="15" t="n"/>
      <c r="B40" s="15" t="n"/>
      <c r="C40" s="15" t="n"/>
      <c r="D40" s="15" t="n"/>
      <c r="E40" s="15" t="n"/>
      <c r="F40" s="15" t="n"/>
      <c r="G40" s="15" t="n"/>
      <c r="H40" s="15" t="n"/>
      <c r="I40" s="15" t="n"/>
      <c r="J40" s="15" t="n"/>
      <c r="K40" s="15" t="n"/>
      <c r="L40" s="15" t="n"/>
      <c r="M40" s="15" t="n"/>
      <c r="N40" s="15" t="n"/>
      <c r="O40" s="15" t="n"/>
    </row>
    <row r="41">
      <c r="A41" s="15" t="n"/>
      <c r="B41" s="15" t="n"/>
      <c r="C41" s="15" t="n"/>
      <c r="D41" s="15" t="n"/>
      <c r="E41" s="15" t="n"/>
      <c r="F41" s="15" t="n"/>
      <c r="G41" s="15" t="n"/>
      <c r="H41" s="15" t="n"/>
      <c r="I41" s="15" t="n"/>
      <c r="J41" s="15" t="n"/>
      <c r="K41" s="15" t="n"/>
      <c r="L41" s="15" t="n"/>
      <c r="M41" s="15" t="n"/>
      <c r="N41" s="15" t="n"/>
      <c r="O41" s="15" t="n"/>
    </row>
    <row r="42">
      <c r="A42" s="15" t="n"/>
      <c r="B42" s="15" t="n"/>
      <c r="C42" s="15" t="n"/>
      <c r="D42" s="15" t="n"/>
      <c r="E42" s="15" t="n"/>
      <c r="F42" s="15" t="n"/>
      <c r="G42" s="15" t="n"/>
      <c r="H42" s="15" t="n"/>
      <c r="I42" s="15" t="n"/>
      <c r="J42" s="15" t="n"/>
      <c r="K42" s="15" t="n"/>
      <c r="L42" s="15" t="n"/>
      <c r="M42" s="15" t="n"/>
      <c r="N42" s="15" t="n"/>
      <c r="O42" s="15" t="n"/>
    </row>
    <row r="43">
      <c r="A43" s="15" t="n"/>
      <c r="B43" s="15" t="n"/>
      <c r="C43" s="15" t="n"/>
      <c r="D43" s="15" t="n"/>
      <c r="E43" s="15" t="n"/>
      <c r="F43" s="15" t="n"/>
      <c r="G43" s="15" t="n"/>
      <c r="H43" s="15" t="n"/>
      <c r="I43" s="15" t="n"/>
      <c r="J43" s="15" t="n"/>
      <c r="K43" s="15" t="n"/>
      <c r="L43" s="15" t="n"/>
      <c r="M43" s="15" t="n"/>
      <c r="N43" s="15" t="n"/>
      <c r="O43" s="15" t="n"/>
    </row>
    <row r="44">
      <c r="A44" s="15" t="n"/>
      <c r="B44" s="15" t="n"/>
      <c r="C44" s="15" t="n"/>
      <c r="D44" s="15" t="n"/>
      <c r="E44" s="15" t="n"/>
      <c r="F44" s="15" t="n"/>
      <c r="G44" s="15" t="n"/>
      <c r="H44" s="15" t="n"/>
      <c r="I44" s="15" t="n"/>
      <c r="J44" s="15" t="n"/>
      <c r="K44" s="15" t="n"/>
      <c r="L44" s="15" t="n"/>
      <c r="M44" s="15" t="n"/>
      <c r="N44" s="15" t="n"/>
      <c r="O44" s="15" t="n"/>
    </row>
    <row r="45">
      <c r="A45" s="15" t="n"/>
      <c r="B45" s="15" t="n"/>
      <c r="C45" s="15" t="n"/>
      <c r="D45" s="15" t="n"/>
      <c r="E45" s="15" t="n"/>
      <c r="F45" s="15" t="n"/>
      <c r="G45" s="15" t="n"/>
      <c r="H45" s="15" t="n"/>
      <c r="I45" s="15" t="n"/>
      <c r="J45" s="15" t="n"/>
      <c r="K45" s="15" t="n"/>
      <c r="L45" s="15" t="n"/>
      <c r="M45" s="15" t="n"/>
      <c r="N45" s="15" t="n"/>
      <c r="O45" s="15" t="n"/>
    </row>
    <row r="46">
      <c r="A46" s="15" t="n"/>
      <c r="B46" s="15" t="n"/>
      <c r="C46" s="15" t="n"/>
      <c r="D46" s="15" t="n"/>
      <c r="E46" s="15" t="n"/>
      <c r="F46" s="15" t="n"/>
      <c r="G46" s="15" t="n"/>
      <c r="H46" s="15" t="n"/>
      <c r="I46" s="15" t="n"/>
      <c r="J46" s="15" t="n"/>
      <c r="K46" s="15" t="n"/>
      <c r="L46" s="15" t="n"/>
      <c r="M46" s="15" t="n"/>
      <c r="N46" s="15" t="n"/>
      <c r="O46" s="15" t="n"/>
    </row>
    <row r="47">
      <c r="A47" s="15" t="n"/>
      <c r="B47" s="15" t="n"/>
      <c r="C47" s="15" t="n"/>
      <c r="D47" s="15" t="n"/>
      <c r="E47" s="15" t="n"/>
      <c r="F47" s="15" t="n"/>
      <c r="G47" s="15" t="n"/>
      <c r="H47" s="15" t="n"/>
      <c r="I47" s="15" t="n"/>
      <c r="J47" s="15" t="n"/>
      <c r="K47" s="15" t="n"/>
      <c r="L47" s="15" t="n"/>
      <c r="M47" s="15" t="n"/>
      <c r="N47" s="15" t="n"/>
      <c r="O47" s="15" t="n"/>
    </row>
    <row r="48">
      <c r="A48" s="15" t="n"/>
      <c r="B48" s="15" t="n"/>
      <c r="C48" s="15" t="n"/>
      <c r="D48" s="15" t="n"/>
      <c r="E48" s="15" t="n"/>
      <c r="F48" s="15" t="n"/>
      <c r="G48" s="15" t="n"/>
      <c r="H48" s="15" t="n"/>
      <c r="I48" s="15" t="n"/>
      <c r="J48" s="15" t="n"/>
      <c r="K48" s="15" t="n"/>
      <c r="L48" s="15" t="n"/>
      <c r="M48" s="15" t="n"/>
      <c r="N48" s="15" t="n"/>
      <c r="O48" s="15" t="n"/>
    </row>
    <row r="49">
      <c r="A49" s="15" t="n"/>
      <c r="B49" s="15" t="n"/>
      <c r="C49" s="15" t="n"/>
      <c r="D49" s="15" t="n"/>
      <c r="E49" s="15" t="n"/>
      <c r="F49" s="15" t="n"/>
      <c r="G49" s="15" t="n"/>
      <c r="H49" s="15" t="n"/>
      <c r="I49" s="15" t="n"/>
      <c r="J49" s="15" t="n"/>
      <c r="K49" s="15" t="n"/>
      <c r="L49" s="15" t="n"/>
      <c r="M49" s="15" t="n"/>
      <c r="N49" s="15" t="n"/>
      <c r="O49" s="15" t="n"/>
    </row>
    <row r="50">
      <c r="A50" s="15" t="n"/>
      <c r="B50" s="15" t="n"/>
      <c r="C50" s="15" t="n"/>
      <c r="D50" s="15" t="n"/>
      <c r="E50" s="15" t="n"/>
      <c r="F50" s="15" t="n"/>
      <c r="G50" s="15" t="n"/>
      <c r="H50" s="15" t="n"/>
      <c r="I50" s="15" t="n"/>
      <c r="J50" s="15" t="n"/>
      <c r="K50" s="15" t="n"/>
      <c r="L50" s="15" t="n"/>
      <c r="M50" s="15" t="n"/>
      <c r="N50" s="15" t="n"/>
      <c r="O50" s="15" t="n"/>
    </row>
    <row r="51">
      <c r="A51" s="15" t="n"/>
      <c r="B51" s="15" t="n"/>
      <c r="C51" s="15" t="n"/>
      <c r="D51" s="15" t="n"/>
      <c r="E51" s="15" t="n"/>
      <c r="F51" s="15" t="n"/>
      <c r="G51" s="15" t="n"/>
      <c r="H51" s="15" t="n"/>
      <c r="I51" s="15" t="n"/>
      <c r="J51" s="15" t="n"/>
      <c r="K51" s="15" t="n"/>
      <c r="L51" s="15" t="n"/>
      <c r="M51" s="15" t="n"/>
      <c r="N51" s="15" t="n"/>
      <c r="O51" s="15" t="n"/>
    </row>
    <row r="52">
      <c r="A52" s="15" t="n"/>
      <c r="B52" s="15" t="n"/>
      <c r="C52" s="15" t="n"/>
      <c r="D52" s="15" t="n"/>
      <c r="E52" s="15" t="n"/>
      <c r="F52" s="15" t="n"/>
      <c r="G52" s="15" t="n"/>
      <c r="H52" s="15" t="n"/>
      <c r="I52" s="15" t="n"/>
      <c r="J52" s="15" t="n"/>
      <c r="K52" s="15" t="n"/>
      <c r="L52" s="15" t="n"/>
      <c r="M52" s="15" t="n"/>
      <c r="N52" s="15" t="n"/>
      <c r="O52" s="15" t="n"/>
    </row>
    <row r="53">
      <c r="A53" s="15" t="n"/>
      <c r="B53" s="15" t="n"/>
      <c r="C53" s="15" t="n"/>
      <c r="D53" s="15" t="n"/>
      <c r="E53" s="15" t="n"/>
      <c r="F53" s="15" t="n"/>
      <c r="G53" s="15" t="n"/>
      <c r="H53" s="15" t="n"/>
      <c r="I53" s="15" t="n"/>
      <c r="J53" s="15" t="n"/>
      <c r="K53" s="15" t="n"/>
      <c r="L53" s="15" t="n"/>
      <c r="M53" s="15" t="n"/>
      <c r="N53" s="15" t="n"/>
      <c r="O53" s="15" t="n"/>
    </row>
    <row r="54">
      <c r="A54" s="15" t="n"/>
      <c r="B54" s="15" t="n"/>
      <c r="C54" s="15" t="n"/>
      <c r="D54" s="15" t="n"/>
      <c r="E54" s="15" t="n"/>
      <c r="F54" s="15" t="n"/>
      <c r="G54" s="15" t="n"/>
      <c r="H54" s="15" t="n"/>
      <c r="I54" s="15" t="n"/>
      <c r="J54" s="15" t="n"/>
      <c r="K54" s="15" t="n"/>
      <c r="L54" s="15" t="n"/>
      <c r="M54" s="15" t="n"/>
      <c r="N54" s="15" t="n"/>
      <c r="O54" s="15" t="n"/>
    </row>
    <row r="55">
      <c r="A55" s="15" t="n"/>
      <c r="B55" s="15" t="n"/>
      <c r="C55" s="15" t="n"/>
      <c r="D55" s="15" t="n"/>
      <c r="E55" s="15" t="n"/>
      <c r="F55" s="15" t="n"/>
      <c r="G55" s="15" t="n"/>
      <c r="H55" s="15" t="n"/>
      <c r="I55" s="15" t="n"/>
      <c r="J55" s="15" t="n"/>
      <c r="K55" s="15" t="n"/>
      <c r="L55" s="15" t="n"/>
      <c r="M55" s="15" t="n"/>
      <c r="N55" s="15" t="n"/>
      <c r="O55" s="15" t="n"/>
    </row>
  </sheetData>
  <mergeCells count="3">
    <mergeCell ref="A1:O1"/>
    <mergeCell ref="A3:O3"/>
    <mergeCell ref="A2:O2"/>
  </mergeCells>
  <dataValidations count="2">
    <dataValidation sqref="H6 H7 H8 H9 H10 H11 H12 H13 H14 H15 H16 H17 H18 H19 H20 H21 H22 H23 H24 H25 H26 H27 H28 H29 H30 H31 H32 H33 H34 H35 H36 H37 H38 H39 H40 H41 H42 H43 H44 H45 H46 H47 H48 H49 H50 H51 H52 H53 H54 H55" showDropDown="0" showInputMessage="0" showErrorMessage="0" allowBlank="1" type="list">
      <formula1>"Patch,Configuration,Workaround,Upgrade"</formula1>
    </dataValidation>
    <dataValidation sqref="O6 O7 O8 O9 O10 O11 O12 O13 O14 O15 O16 O17 O18 O19 O20 O21 O22 O23 O24 O25 O26 O27 O28 O29 O30 O31 O32 O33 O34 O35 O36 O37 O38 O39 O40 O41 O42 O43 O44 O45 O46 O47 O48 O49 O50 O51 O52 O53 O54 O55" showDropDown="0" showInputMessage="0" showErrorMessage="0" allowBlank="1" type="list">
      <formula1>"Open,In Progress,Closed,Escalated"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4" customWidth="1" min="1" max="1"/>
    <col width="20" customWidth="1" min="2" max="2"/>
    <col width="45" customWidth="1" min="3" max="3"/>
    <col width="28" customWidth="1" min="4" max="4"/>
    <col width="22" customWidth="1" min="5" max="5"/>
    <col width="38" customWidth="1" min="6" max="6"/>
    <col width="22" customWidth="1" min="7" max="7"/>
    <col width="14" customWidth="1" min="8" max="8"/>
  </cols>
  <sheetData>
    <row r="1" ht="35" customHeight="1">
      <c r="A1" s="16" t="inlineStr">
        <is>
          <t>EVIDENCE REGISTER</t>
        </is>
      </c>
    </row>
    <row r="2">
      <c r="A2" s="17" t="inlineStr">
        <is>
          <t>ISO/IEC 27001:2022 Annex A — Control A.8.8: Management of Technical Vulnerabilities</t>
        </is>
      </c>
    </row>
    <row r="3">
      <c r="A3" s="6" t="n"/>
    </row>
    <row r="4">
      <c r="A4" s="18" t="inlineStr">
        <is>
          <t>Evidence ID</t>
        </is>
      </c>
      <c r="B4" s="18" t="inlineStr">
        <is>
          <t>Evidence Type</t>
        </is>
      </c>
      <c r="C4" s="18" t="inlineStr">
        <is>
          <t>Description</t>
        </is>
      </c>
      <c r="D4" s="18" t="inlineStr">
        <is>
          <t>Related Control / Section</t>
        </is>
      </c>
      <c r="E4" s="18" t="inlineStr">
        <is>
          <t>Collection Date (DD.MM.YYYY)</t>
        </is>
      </c>
      <c r="F4" s="18" t="inlineStr">
        <is>
          <t>Storage Location / Reference</t>
        </is>
      </c>
      <c r="G4" s="18" t="inlineStr">
        <is>
          <t>Collected By</t>
        </is>
      </c>
      <c r="H4" s="18" t="inlineStr">
        <is>
          <t>Status</t>
        </is>
      </c>
    </row>
    <row r="5">
      <c r="A5" s="19" t="inlineStr">
        <is>
          <t>EV-001</t>
        </is>
      </c>
      <c r="B5" s="19" t="inlineStr">
        <is>
          <t>Exception Record</t>
        </is>
      </c>
      <c r="C5" s="19" t="inlineStr">
        <is>
          <t>Sample evidence entry — replace with actual evidence</t>
        </is>
      </c>
      <c r="D5" s="19" t="inlineStr">
        <is>
          <t>A.8.8 Exceptions &amp; Compensating Controls</t>
        </is>
      </c>
      <c r="E5" s="19" t="inlineStr">
        <is>
          <t>01.01.2026</t>
        </is>
      </c>
      <c r="F5" s="19" t="inlineStr">
        <is>
          <t>SharePoint/ISMS/A.8.8/S5/Evidence/</t>
        </is>
      </c>
      <c r="G5" s="19" t="inlineStr">
        <is>
          <t>Security Team</t>
        </is>
      </c>
      <c r="H5" s="19" t="inlineStr">
        <is>
          <t>Active</t>
        </is>
      </c>
    </row>
    <row r="6">
      <c r="A6" s="20" t="n"/>
      <c r="B6" s="20" t="n"/>
      <c r="C6" s="20" t="n"/>
      <c r="D6" s="20" t="n"/>
      <c r="E6" s="20" t="n"/>
      <c r="F6" s="20" t="n"/>
      <c r="G6" s="20" t="n"/>
      <c r="H6" s="20" t="n"/>
    </row>
    <row r="7">
      <c r="A7" s="20" t="n"/>
      <c r="B7" s="20" t="n"/>
      <c r="C7" s="20" t="n"/>
      <c r="D7" s="20" t="n"/>
      <c r="E7" s="20" t="n"/>
      <c r="F7" s="20" t="n"/>
      <c r="G7" s="20" t="n"/>
      <c r="H7" s="20" t="n"/>
    </row>
    <row r="8">
      <c r="A8" s="20" t="n"/>
      <c r="B8" s="20" t="n"/>
      <c r="C8" s="20" t="n"/>
      <c r="D8" s="20" t="n"/>
      <c r="E8" s="20" t="n"/>
      <c r="F8" s="20" t="n"/>
      <c r="G8" s="20" t="n"/>
      <c r="H8" s="20" t="n"/>
    </row>
    <row r="9">
      <c r="A9" s="20" t="n"/>
      <c r="B9" s="20" t="n"/>
      <c r="C9" s="20" t="n"/>
      <c r="D9" s="20" t="n"/>
      <c r="E9" s="20" t="n"/>
      <c r="F9" s="20" t="n"/>
      <c r="G9" s="20" t="n"/>
      <c r="H9" s="20" t="n"/>
    </row>
    <row r="10">
      <c r="A10" s="20" t="n"/>
      <c r="B10" s="20" t="n"/>
      <c r="C10" s="20" t="n"/>
      <c r="D10" s="20" t="n"/>
      <c r="E10" s="20" t="n"/>
      <c r="F10" s="20" t="n"/>
      <c r="G10" s="20" t="n"/>
      <c r="H10" s="20" t="n"/>
    </row>
    <row r="11">
      <c r="A11" s="20" t="n"/>
      <c r="B11" s="20" t="n"/>
      <c r="C11" s="20" t="n"/>
      <c r="D11" s="20" t="n"/>
      <c r="E11" s="20" t="n"/>
      <c r="F11" s="20" t="n"/>
      <c r="G11" s="20" t="n"/>
      <c r="H11" s="20" t="n"/>
    </row>
    <row r="12">
      <c r="A12" s="20" t="n"/>
      <c r="B12" s="20" t="n"/>
      <c r="C12" s="20" t="n"/>
      <c r="D12" s="20" t="n"/>
      <c r="E12" s="20" t="n"/>
      <c r="F12" s="20" t="n"/>
      <c r="G12" s="20" t="n"/>
      <c r="H12" s="20" t="n"/>
    </row>
    <row r="13">
      <c r="A13" s="20" t="n"/>
      <c r="B13" s="20" t="n"/>
      <c r="C13" s="20" t="n"/>
      <c r="D13" s="20" t="n"/>
      <c r="E13" s="20" t="n"/>
      <c r="F13" s="20" t="n"/>
      <c r="G13" s="20" t="n"/>
      <c r="H13" s="20" t="n"/>
    </row>
    <row r="14">
      <c r="A14" s="20" t="n"/>
      <c r="B14" s="20" t="n"/>
      <c r="C14" s="20" t="n"/>
      <c r="D14" s="20" t="n"/>
      <c r="E14" s="20" t="n"/>
      <c r="F14" s="20" t="n"/>
      <c r="G14" s="20" t="n"/>
      <c r="H14" s="20" t="n"/>
    </row>
    <row r="15">
      <c r="A15" s="20" t="n"/>
      <c r="B15" s="20" t="n"/>
      <c r="C15" s="20" t="n"/>
      <c r="D15" s="20" t="n"/>
      <c r="E15" s="20" t="n"/>
      <c r="F15" s="20" t="n"/>
      <c r="G15" s="20" t="n"/>
      <c r="H15" s="20" t="n"/>
    </row>
    <row r="16">
      <c r="A16" s="20" t="n"/>
      <c r="B16" s="20" t="n"/>
      <c r="C16" s="20" t="n"/>
      <c r="D16" s="20" t="n"/>
      <c r="E16" s="20" t="n"/>
      <c r="F16" s="20" t="n"/>
      <c r="G16" s="20" t="n"/>
      <c r="H16" s="20" t="n"/>
    </row>
    <row r="17">
      <c r="A17" s="20" t="n"/>
      <c r="B17" s="20" t="n"/>
      <c r="C17" s="20" t="n"/>
      <c r="D17" s="20" t="n"/>
      <c r="E17" s="20" t="n"/>
      <c r="F17" s="20" t="n"/>
      <c r="G17" s="20" t="n"/>
      <c r="H17" s="20" t="n"/>
    </row>
    <row r="18">
      <c r="A18" s="20" t="n"/>
      <c r="B18" s="20" t="n"/>
      <c r="C18" s="20" t="n"/>
      <c r="D18" s="20" t="n"/>
      <c r="E18" s="20" t="n"/>
      <c r="F18" s="20" t="n"/>
      <c r="G18" s="20" t="n"/>
      <c r="H18" s="20" t="n"/>
    </row>
    <row r="19">
      <c r="A19" s="20" t="n"/>
      <c r="B19" s="20" t="n"/>
      <c r="C19" s="20" t="n"/>
      <c r="D19" s="20" t="n"/>
      <c r="E19" s="20" t="n"/>
      <c r="F19" s="20" t="n"/>
      <c r="G19" s="20" t="n"/>
      <c r="H19" s="20" t="n"/>
    </row>
    <row r="20">
      <c r="A20" s="20" t="n"/>
      <c r="B20" s="20" t="n"/>
      <c r="C20" s="20" t="n"/>
      <c r="D20" s="20" t="n"/>
      <c r="E20" s="20" t="n"/>
      <c r="F20" s="20" t="n"/>
      <c r="G20" s="20" t="n"/>
      <c r="H20" s="20" t="n"/>
    </row>
    <row r="21">
      <c r="A21" s="20" t="n"/>
      <c r="B21" s="20" t="n"/>
      <c r="C21" s="20" t="n"/>
      <c r="D21" s="20" t="n"/>
      <c r="E21" s="20" t="n"/>
      <c r="F21" s="20" t="n"/>
      <c r="G21" s="20" t="n"/>
      <c r="H21" s="20" t="n"/>
    </row>
    <row r="22">
      <c r="A22" s="20" t="n"/>
      <c r="B22" s="20" t="n"/>
      <c r="C22" s="20" t="n"/>
      <c r="D22" s="20" t="n"/>
      <c r="E22" s="20" t="n"/>
      <c r="F22" s="20" t="n"/>
      <c r="G22" s="20" t="n"/>
      <c r="H22" s="20" t="n"/>
    </row>
    <row r="23">
      <c r="A23" s="20" t="n"/>
      <c r="B23" s="20" t="n"/>
      <c r="C23" s="20" t="n"/>
      <c r="D23" s="20" t="n"/>
      <c r="E23" s="20" t="n"/>
      <c r="F23" s="20" t="n"/>
      <c r="G23" s="20" t="n"/>
      <c r="H23" s="20" t="n"/>
    </row>
    <row r="24">
      <c r="A24" s="20" t="n"/>
      <c r="B24" s="20" t="n"/>
      <c r="C24" s="20" t="n"/>
      <c r="D24" s="20" t="n"/>
      <c r="E24" s="20" t="n"/>
      <c r="F24" s="20" t="n"/>
      <c r="G24" s="20" t="n"/>
      <c r="H24" s="20" t="n"/>
    </row>
    <row r="25">
      <c r="A25" s="20" t="n"/>
      <c r="B25" s="20" t="n"/>
      <c r="C25" s="20" t="n"/>
      <c r="D25" s="20" t="n"/>
      <c r="E25" s="20" t="n"/>
      <c r="F25" s="20" t="n"/>
      <c r="G25" s="20" t="n"/>
      <c r="H25" s="20" t="n"/>
    </row>
    <row r="26">
      <c r="A26" s="20" t="n"/>
      <c r="B26" s="20" t="n"/>
      <c r="C26" s="20" t="n"/>
      <c r="D26" s="20" t="n"/>
      <c r="E26" s="20" t="n"/>
      <c r="F26" s="20" t="n"/>
      <c r="G26" s="20" t="n"/>
      <c r="H26" s="20" t="n"/>
    </row>
    <row r="27">
      <c r="A27" s="20" t="n"/>
      <c r="B27" s="20" t="n"/>
      <c r="C27" s="20" t="n"/>
      <c r="D27" s="20" t="n"/>
      <c r="E27" s="20" t="n"/>
      <c r="F27" s="20" t="n"/>
      <c r="G27" s="20" t="n"/>
      <c r="H27" s="20" t="n"/>
    </row>
    <row r="28">
      <c r="A28" s="20" t="n"/>
      <c r="B28" s="20" t="n"/>
      <c r="C28" s="20" t="n"/>
      <c r="D28" s="20" t="n"/>
      <c r="E28" s="20" t="n"/>
      <c r="F28" s="20" t="n"/>
      <c r="G28" s="20" t="n"/>
      <c r="H28" s="20" t="n"/>
    </row>
    <row r="29">
      <c r="A29" s="20" t="n"/>
      <c r="B29" s="20" t="n"/>
      <c r="C29" s="20" t="n"/>
      <c r="D29" s="20" t="n"/>
      <c r="E29" s="20" t="n"/>
      <c r="F29" s="20" t="n"/>
      <c r="G29" s="20" t="n"/>
      <c r="H29" s="20" t="n"/>
    </row>
    <row r="30">
      <c r="A30" s="20" t="n"/>
      <c r="B30" s="20" t="n"/>
      <c r="C30" s="20" t="n"/>
      <c r="D30" s="20" t="n"/>
      <c r="E30" s="20" t="n"/>
      <c r="F30" s="20" t="n"/>
      <c r="G30" s="20" t="n"/>
      <c r="H30" s="20" t="n"/>
    </row>
    <row r="31">
      <c r="A31" s="20" t="n"/>
      <c r="B31" s="20" t="n"/>
      <c r="C31" s="20" t="n"/>
      <c r="D31" s="20" t="n"/>
      <c r="E31" s="20" t="n"/>
      <c r="F31" s="20" t="n"/>
      <c r="G31" s="20" t="n"/>
      <c r="H31" s="20" t="n"/>
    </row>
    <row r="32">
      <c r="A32" s="20" t="n"/>
      <c r="B32" s="20" t="n"/>
      <c r="C32" s="20" t="n"/>
      <c r="D32" s="20" t="n"/>
      <c r="E32" s="20" t="n"/>
      <c r="F32" s="20" t="n"/>
      <c r="G32" s="20" t="n"/>
      <c r="H32" s="20" t="n"/>
    </row>
    <row r="33">
      <c r="A33" s="20" t="n"/>
      <c r="B33" s="20" t="n"/>
      <c r="C33" s="20" t="n"/>
      <c r="D33" s="20" t="n"/>
      <c r="E33" s="20" t="n"/>
      <c r="F33" s="20" t="n"/>
      <c r="G33" s="20" t="n"/>
      <c r="H33" s="20" t="n"/>
    </row>
    <row r="34">
      <c r="A34" s="20" t="n"/>
      <c r="B34" s="20" t="n"/>
      <c r="C34" s="20" t="n"/>
      <c r="D34" s="20" t="n"/>
      <c r="E34" s="20" t="n"/>
      <c r="F34" s="20" t="n"/>
      <c r="G34" s="20" t="n"/>
      <c r="H34" s="20" t="n"/>
    </row>
    <row r="35">
      <c r="A35" s="20" t="n"/>
      <c r="B35" s="20" t="n"/>
      <c r="C35" s="20" t="n"/>
      <c r="D35" s="20" t="n"/>
      <c r="E35" s="20" t="n"/>
      <c r="F35" s="20" t="n"/>
      <c r="G35" s="20" t="n"/>
      <c r="H35" s="20" t="n"/>
    </row>
    <row r="36">
      <c r="A36" s="20" t="n"/>
      <c r="B36" s="20" t="n"/>
      <c r="C36" s="20" t="n"/>
      <c r="D36" s="20" t="n"/>
      <c r="E36" s="20" t="n"/>
      <c r="F36" s="20" t="n"/>
      <c r="G36" s="20" t="n"/>
      <c r="H36" s="20" t="n"/>
    </row>
    <row r="37">
      <c r="A37" s="20" t="n"/>
      <c r="B37" s="20" t="n"/>
      <c r="C37" s="20" t="n"/>
      <c r="D37" s="20" t="n"/>
      <c r="E37" s="20" t="n"/>
      <c r="F37" s="20" t="n"/>
      <c r="G37" s="20" t="n"/>
      <c r="H37" s="20" t="n"/>
    </row>
    <row r="38">
      <c r="A38" s="20" t="n"/>
      <c r="B38" s="20" t="n"/>
      <c r="C38" s="20" t="n"/>
      <c r="D38" s="20" t="n"/>
      <c r="E38" s="20" t="n"/>
      <c r="F38" s="20" t="n"/>
      <c r="G38" s="20" t="n"/>
      <c r="H38" s="20" t="n"/>
    </row>
    <row r="39">
      <c r="A39" s="20" t="n"/>
      <c r="B39" s="20" t="n"/>
      <c r="C39" s="20" t="n"/>
      <c r="D39" s="20" t="n"/>
      <c r="E39" s="20" t="n"/>
      <c r="F39" s="20" t="n"/>
      <c r="G39" s="20" t="n"/>
      <c r="H39" s="20" t="n"/>
    </row>
    <row r="40">
      <c r="A40" s="20" t="n"/>
      <c r="B40" s="20" t="n"/>
      <c r="C40" s="20" t="n"/>
      <c r="D40" s="20" t="n"/>
      <c r="E40" s="20" t="n"/>
      <c r="F40" s="20" t="n"/>
      <c r="G40" s="20" t="n"/>
      <c r="H40" s="20" t="n"/>
    </row>
    <row r="41">
      <c r="A41" s="20" t="n"/>
      <c r="B41" s="20" t="n"/>
      <c r="C41" s="20" t="n"/>
      <c r="D41" s="20" t="n"/>
      <c r="E41" s="20" t="n"/>
      <c r="F41" s="20" t="n"/>
      <c r="G41" s="20" t="n"/>
      <c r="H41" s="20" t="n"/>
    </row>
    <row r="42">
      <c r="A42" s="20" t="n"/>
      <c r="B42" s="20" t="n"/>
      <c r="C42" s="20" t="n"/>
      <c r="D42" s="20" t="n"/>
      <c r="E42" s="20" t="n"/>
      <c r="F42" s="20" t="n"/>
      <c r="G42" s="20" t="n"/>
      <c r="H42" s="20" t="n"/>
    </row>
    <row r="43">
      <c r="A43" s="20" t="n"/>
      <c r="B43" s="20" t="n"/>
      <c r="C43" s="20" t="n"/>
      <c r="D43" s="20" t="n"/>
      <c r="E43" s="20" t="n"/>
      <c r="F43" s="20" t="n"/>
      <c r="G43" s="20" t="n"/>
      <c r="H43" s="20" t="n"/>
    </row>
    <row r="44">
      <c r="A44" s="20" t="n"/>
      <c r="B44" s="20" t="n"/>
      <c r="C44" s="20" t="n"/>
      <c r="D44" s="20" t="n"/>
      <c r="E44" s="20" t="n"/>
      <c r="F44" s="20" t="n"/>
      <c r="G44" s="20" t="n"/>
      <c r="H44" s="20" t="n"/>
    </row>
    <row r="45">
      <c r="A45" s="20" t="n"/>
      <c r="B45" s="20" t="n"/>
      <c r="C45" s="20" t="n"/>
      <c r="D45" s="20" t="n"/>
      <c r="E45" s="20" t="n"/>
      <c r="F45" s="20" t="n"/>
      <c r="G45" s="20" t="n"/>
      <c r="H45" s="20" t="n"/>
    </row>
    <row r="46">
      <c r="A46" s="20" t="n"/>
      <c r="B46" s="20" t="n"/>
      <c r="C46" s="20" t="n"/>
      <c r="D46" s="20" t="n"/>
      <c r="E46" s="20" t="n"/>
      <c r="F46" s="20" t="n"/>
      <c r="G46" s="20" t="n"/>
      <c r="H46" s="20" t="n"/>
    </row>
    <row r="47">
      <c r="A47" s="20" t="n"/>
      <c r="B47" s="20" t="n"/>
      <c r="C47" s="20" t="n"/>
      <c r="D47" s="20" t="n"/>
      <c r="E47" s="20" t="n"/>
      <c r="F47" s="20" t="n"/>
      <c r="G47" s="20" t="n"/>
      <c r="H47" s="20" t="n"/>
    </row>
    <row r="48">
      <c r="A48" s="20" t="n"/>
      <c r="B48" s="20" t="n"/>
      <c r="C48" s="20" t="n"/>
      <c r="D48" s="20" t="n"/>
      <c r="E48" s="20" t="n"/>
      <c r="F48" s="20" t="n"/>
      <c r="G48" s="20" t="n"/>
      <c r="H48" s="20" t="n"/>
    </row>
    <row r="49">
      <c r="A49" s="20" t="n"/>
      <c r="B49" s="20" t="n"/>
      <c r="C49" s="20" t="n"/>
      <c r="D49" s="20" t="n"/>
      <c r="E49" s="20" t="n"/>
      <c r="F49" s="20" t="n"/>
      <c r="G49" s="20" t="n"/>
      <c r="H49" s="20" t="n"/>
    </row>
    <row r="50">
      <c r="A50" s="20" t="n"/>
      <c r="B50" s="20" t="n"/>
      <c r="C50" s="20" t="n"/>
      <c r="D50" s="20" t="n"/>
      <c r="E50" s="20" t="n"/>
      <c r="F50" s="20" t="n"/>
      <c r="G50" s="20" t="n"/>
      <c r="H50" s="20" t="n"/>
    </row>
    <row r="51">
      <c r="A51" s="20" t="n"/>
      <c r="B51" s="20" t="n"/>
      <c r="C51" s="20" t="n"/>
      <c r="D51" s="20" t="n"/>
      <c r="E51" s="20" t="n"/>
      <c r="F51" s="20" t="n"/>
      <c r="G51" s="20" t="n"/>
      <c r="H51" s="20" t="n"/>
    </row>
    <row r="52">
      <c r="A52" s="20" t="n"/>
      <c r="B52" s="20" t="n"/>
      <c r="C52" s="20" t="n"/>
      <c r="D52" s="20" t="n"/>
      <c r="E52" s="20" t="n"/>
      <c r="F52" s="20" t="n"/>
      <c r="G52" s="20" t="n"/>
      <c r="H52" s="20" t="n"/>
    </row>
    <row r="53">
      <c r="A53" s="20" t="n"/>
      <c r="B53" s="20" t="n"/>
      <c r="C53" s="20" t="n"/>
      <c r="D53" s="20" t="n"/>
      <c r="E53" s="20" t="n"/>
      <c r="F53" s="20" t="n"/>
      <c r="G53" s="20" t="n"/>
      <c r="H53" s="20" t="n"/>
    </row>
    <row r="54">
      <c r="A54" s="20" t="n"/>
      <c r="B54" s="20" t="n"/>
      <c r="C54" s="20" t="n"/>
      <c r="D54" s="20" t="n"/>
      <c r="E54" s="20" t="n"/>
      <c r="F54" s="20" t="n"/>
      <c r="G54" s="20" t="n"/>
      <c r="H54" s="20" t="n"/>
    </row>
    <row r="55">
      <c r="A55" s="20" t="n"/>
      <c r="B55" s="20" t="n"/>
      <c r="C55" s="20" t="n"/>
      <c r="D55" s="20" t="n"/>
      <c r="E55" s="20" t="n"/>
      <c r="F55" s="20" t="n"/>
      <c r="G55" s="20" t="n"/>
      <c r="H55" s="20" t="n"/>
    </row>
    <row r="56">
      <c r="A56" s="20" t="n"/>
      <c r="B56" s="20" t="n"/>
      <c r="C56" s="20" t="n"/>
      <c r="D56" s="20" t="n"/>
      <c r="E56" s="20" t="n"/>
      <c r="F56" s="20" t="n"/>
      <c r="G56" s="20" t="n"/>
      <c r="H56" s="20" t="n"/>
    </row>
    <row r="57">
      <c r="A57" s="20" t="n"/>
      <c r="B57" s="20" t="n"/>
      <c r="C57" s="20" t="n"/>
      <c r="D57" s="20" t="n"/>
      <c r="E57" s="20" t="n"/>
      <c r="F57" s="20" t="n"/>
      <c r="G57" s="20" t="n"/>
      <c r="H57" s="20" t="n"/>
    </row>
    <row r="58">
      <c r="A58" s="20" t="n"/>
      <c r="B58" s="20" t="n"/>
      <c r="C58" s="20" t="n"/>
      <c r="D58" s="20" t="n"/>
      <c r="E58" s="20" t="n"/>
      <c r="F58" s="20" t="n"/>
      <c r="G58" s="20" t="n"/>
      <c r="H58" s="20" t="n"/>
    </row>
    <row r="59">
      <c r="A59" s="20" t="n"/>
      <c r="B59" s="20" t="n"/>
      <c r="C59" s="20" t="n"/>
      <c r="D59" s="20" t="n"/>
      <c r="E59" s="20" t="n"/>
      <c r="F59" s="20" t="n"/>
      <c r="G59" s="20" t="n"/>
      <c r="H59" s="20" t="n"/>
    </row>
    <row r="60">
      <c r="A60" s="20" t="n"/>
      <c r="B60" s="20" t="n"/>
      <c r="C60" s="20" t="n"/>
      <c r="D60" s="20" t="n"/>
      <c r="E60" s="20" t="n"/>
      <c r="F60" s="20" t="n"/>
      <c r="G60" s="20" t="n"/>
      <c r="H60" s="20" t="n"/>
    </row>
    <row r="61">
      <c r="A61" s="20" t="n"/>
      <c r="B61" s="20" t="n"/>
      <c r="C61" s="20" t="n"/>
      <c r="D61" s="20" t="n"/>
      <c r="E61" s="20" t="n"/>
      <c r="F61" s="20" t="n"/>
      <c r="G61" s="20" t="n"/>
      <c r="H61" s="20" t="n"/>
    </row>
    <row r="62">
      <c r="A62" s="20" t="n"/>
      <c r="B62" s="20" t="n"/>
      <c r="C62" s="20" t="n"/>
      <c r="D62" s="20" t="n"/>
      <c r="E62" s="20" t="n"/>
      <c r="F62" s="20" t="n"/>
      <c r="G62" s="20" t="n"/>
      <c r="H62" s="20" t="n"/>
    </row>
    <row r="63">
      <c r="A63" s="20" t="n"/>
      <c r="B63" s="20" t="n"/>
      <c r="C63" s="20" t="n"/>
      <c r="D63" s="20" t="n"/>
      <c r="E63" s="20" t="n"/>
      <c r="F63" s="20" t="n"/>
      <c r="G63" s="20" t="n"/>
      <c r="H63" s="20" t="n"/>
    </row>
    <row r="64">
      <c r="A64" s="20" t="n"/>
      <c r="B64" s="20" t="n"/>
      <c r="C64" s="20" t="n"/>
      <c r="D64" s="20" t="n"/>
      <c r="E64" s="20" t="n"/>
      <c r="F64" s="20" t="n"/>
      <c r="G64" s="20" t="n"/>
      <c r="H64" s="20" t="n"/>
    </row>
    <row r="65">
      <c r="A65" s="20" t="n"/>
      <c r="B65" s="20" t="n"/>
      <c r="C65" s="20" t="n"/>
      <c r="D65" s="20" t="n"/>
      <c r="E65" s="20" t="n"/>
      <c r="F65" s="20" t="n"/>
      <c r="G65" s="20" t="n"/>
      <c r="H65" s="20" t="n"/>
    </row>
    <row r="66">
      <c r="A66" s="20" t="n"/>
      <c r="B66" s="20" t="n"/>
      <c r="C66" s="20" t="n"/>
      <c r="D66" s="20" t="n"/>
      <c r="E66" s="20" t="n"/>
      <c r="F66" s="20" t="n"/>
      <c r="G66" s="20" t="n"/>
      <c r="H66" s="20" t="n"/>
    </row>
    <row r="67">
      <c r="A67" s="20" t="n"/>
      <c r="B67" s="20" t="n"/>
      <c r="C67" s="20" t="n"/>
      <c r="D67" s="20" t="n"/>
      <c r="E67" s="20" t="n"/>
      <c r="F67" s="20" t="n"/>
      <c r="G67" s="20" t="n"/>
      <c r="H67" s="20" t="n"/>
    </row>
    <row r="68">
      <c r="A68" s="20" t="n"/>
      <c r="B68" s="20" t="n"/>
      <c r="C68" s="20" t="n"/>
      <c r="D68" s="20" t="n"/>
      <c r="E68" s="20" t="n"/>
      <c r="F68" s="20" t="n"/>
      <c r="G68" s="20" t="n"/>
      <c r="H68" s="20" t="n"/>
    </row>
    <row r="69">
      <c r="A69" s="20" t="n"/>
      <c r="B69" s="20" t="n"/>
      <c r="C69" s="20" t="n"/>
      <c r="D69" s="20" t="n"/>
      <c r="E69" s="20" t="n"/>
      <c r="F69" s="20" t="n"/>
      <c r="G69" s="20" t="n"/>
      <c r="H69" s="20" t="n"/>
    </row>
    <row r="70">
      <c r="A70" s="20" t="n"/>
      <c r="B70" s="20" t="n"/>
      <c r="C70" s="20" t="n"/>
      <c r="D70" s="20" t="n"/>
      <c r="E70" s="20" t="n"/>
      <c r="F70" s="20" t="n"/>
      <c r="G70" s="20" t="n"/>
      <c r="H70" s="20" t="n"/>
    </row>
    <row r="71">
      <c r="A71" s="20" t="n"/>
      <c r="B71" s="20" t="n"/>
      <c r="C71" s="20" t="n"/>
      <c r="D71" s="20" t="n"/>
      <c r="E71" s="20" t="n"/>
      <c r="F71" s="20" t="n"/>
      <c r="G71" s="20" t="n"/>
      <c r="H71" s="20" t="n"/>
    </row>
    <row r="72">
      <c r="A72" s="20" t="n"/>
      <c r="B72" s="20" t="n"/>
      <c r="C72" s="20" t="n"/>
      <c r="D72" s="20" t="n"/>
      <c r="E72" s="20" t="n"/>
      <c r="F72" s="20" t="n"/>
      <c r="G72" s="20" t="n"/>
      <c r="H72" s="20" t="n"/>
    </row>
    <row r="73">
      <c r="A73" s="20" t="n"/>
      <c r="B73" s="20" t="n"/>
      <c r="C73" s="20" t="n"/>
      <c r="D73" s="20" t="n"/>
      <c r="E73" s="20" t="n"/>
      <c r="F73" s="20" t="n"/>
      <c r="G73" s="20" t="n"/>
      <c r="H73" s="20" t="n"/>
    </row>
    <row r="74">
      <c r="A74" s="20" t="n"/>
      <c r="B74" s="20" t="n"/>
      <c r="C74" s="20" t="n"/>
      <c r="D74" s="20" t="n"/>
      <c r="E74" s="20" t="n"/>
      <c r="F74" s="20" t="n"/>
      <c r="G74" s="20" t="n"/>
      <c r="H74" s="20" t="n"/>
    </row>
    <row r="75">
      <c r="A75" s="20" t="n"/>
      <c r="B75" s="20" t="n"/>
      <c r="C75" s="20" t="n"/>
      <c r="D75" s="20" t="n"/>
      <c r="E75" s="20" t="n"/>
      <c r="F75" s="20" t="n"/>
      <c r="G75" s="20" t="n"/>
      <c r="H75" s="20" t="n"/>
    </row>
    <row r="76">
      <c r="A76" s="20" t="n"/>
      <c r="B76" s="20" t="n"/>
      <c r="C76" s="20" t="n"/>
      <c r="D76" s="20" t="n"/>
      <c r="E76" s="20" t="n"/>
      <c r="F76" s="20" t="n"/>
      <c r="G76" s="20" t="n"/>
      <c r="H76" s="20" t="n"/>
    </row>
    <row r="77">
      <c r="A77" s="20" t="n"/>
      <c r="B77" s="20" t="n"/>
      <c r="C77" s="20" t="n"/>
      <c r="D77" s="20" t="n"/>
      <c r="E77" s="20" t="n"/>
      <c r="F77" s="20" t="n"/>
      <c r="G77" s="20" t="n"/>
      <c r="H77" s="20" t="n"/>
    </row>
    <row r="78">
      <c r="A78" s="20" t="n"/>
      <c r="B78" s="20" t="n"/>
      <c r="C78" s="20" t="n"/>
      <c r="D78" s="20" t="n"/>
      <c r="E78" s="20" t="n"/>
      <c r="F78" s="20" t="n"/>
      <c r="G78" s="20" t="n"/>
      <c r="H78" s="20" t="n"/>
    </row>
    <row r="79">
      <c r="A79" s="20" t="n"/>
      <c r="B79" s="20" t="n"/>
      <c r="C79" s="20" t="n"/>
      <c r="D79" s="20" t="n"/>
      <c r="E79" s="20" t="n"/>
      <c r="F79" s="20" t="n"/>
      <c r="G79" s="20" t="n"/>
      <c r="H79" s="20" t="n"/>
    </row>
    <row r="80">
      <c r="A80" s="20" t="n"/>
      <c r="B80" s="20" t="n"/>
      <c r="C80" s="20" t="n"/>
      <c r="D80" s="20" t="n"/>
      <c r="E80" s="20" t="n"/>
      <c r="F80" s="20" t="n"/>
      <c r="G80" s="20" t="n"/>
      <c r="H80" s="20" t="n"/>
    </row>
    <row r="81">
      <c r="A81" s="20" t="n"/>
      <c r="B81" s="20" t="n"/>
      <c r="C81" s="20" t="n"/>
      <c r="D81" s="20" t="n"/>
      <c r="E81" s="20" t="n"/>
      <c r="F81" s="20" t="n"/>
      <c r="G81" s="20" t="n"/>
      <c r="H81" s="20" t="n"/>
    </row>
    <row r="82">
      <c r="A82" s="20" t="n"/>
      <c r="B82" s="20" t="n"/>
      <c r="C82" s="20" t="n"/>
      <c r="D82" s="20" t="n"/>
      <c r="E82" s="20" t="n"/>
      <c r="F82" s="20" t="n"/>
      <c r="G82" s="20" t="n"/>
      <c r="H82" s="20" t="n"/>
    </row>
    <row r="83">
      <c r="A83" s="20" t="n"/>
      <c r="B83" s="20" t="n"/>
      <c r="C83" s="20" t="n"/>
      <c r="D83" s="20" t="n"/>
      <c r="E83" s="20" t="n"/>
      <c r="F83" s="20" t="n"/>
      <c r="G83" s="20" t="n"/>
      <c r="H83" s="20" t="n"/>
    </row>
    <row r="84">
      <c r="A84" s="20" t="n"/>
      <c r="B84" s="20" t="n"/>
      <c r="C84" s="20" t="n"/>
      <c r="D84" s="20" t="n"/>
      <c r="E84" s="20" t="n"/>
      <c r="F84" s="20" t="n"/>
      <c r="G84" s="20" t="n"/>
      <c r="H84" s="20" t="n"/>
    </row>
    <row r="85">
      <c r="A85" s="20" t="n"/>
      <c r="B85" s="20" t="n"/>
      <c r="C85" s="20" t="n"/>
      <c r="D85" s="20" t="n"/>
      <c r="E85" s="20" t="n"/>
      <c r="F85" s="20" t="n"/>
      <c r="G85" s="20" t="n"/>
      <c r="H85" s="20" t="n"/>
    </row>
    <row r="86">
      <c r="A86" s="20" t="n"/>
      <c r="B86" s="20" t="n"/>
      <c r="C86" s="20" t="n"/>
      <c r="D86" s="20" t="n"/>
      <c r="E86" s="20" t="n"/>
      <c r="F86" s="20" t="n"/>
      <c r="G86" s="20" t="n"/>
      <c r="H86" s="20" t="n"/>
    </row>
    <row r="87">
      <c r="A87" s="20" t="n"/>
      <c r="B87" s="20" t="n"/>
      <c r="C87" s="20" t="n"/>
      <c r="D87" s="20" t="n"/>
      <c r="E87" s="20" t="n"/>
      <c r="F87" s="20" t="n"/>
      <c r="G87" s="20" t="n"/>
      <c r="H87" s="20" t="n"/>
    </row>
    <row r="88">
      <c r="A88" s="20" t="n"/>
      <c r="B88" s="20" t="n"/>
      <c r="C88" s="20" t="n"/>
      <c r="D88" s="20" t="n"/>
      <c r="E88" s="20" t="n"/>
      <c r="F88" s="20" t="n"/>
      <c r="G88" s="20" t="n"/>
      <c r="H88" s="20" t="n"/>
    </row>
    <row r="89">
      <c r="A89" s="20" t="n"/>
      <c r="B89" s="20" t="n"/>
      <c r="C89" s="20" t="n"/>
      <c r="D89" s="20" t="n"/>
      <c r="E89" s="20" t="n"/>
      <c r="F89" s="20" t="n"/>
      <c r="G89" s="20" t="n"/>
      <c r="H89" s="20" t="n"/>
    </row>
    <row r="90">
      <c r="A90" s="20" t="n"/>
      <c r="B90" s="20" t="n"/>
      <c r="C90" s="20" t="n"/>
      <c r="D90" s="20" t="n"/>
      <c r="E90" s="20" t="n"/>
      <c r="F90" s="20" t="n"/>
      <c r="G90" s="20" t="n"/>
      <c r="H90" s="20" t="n"/>
    </row>
    <row r="91">
      <c r="A91" s="20" t="n"/>
      <c r="B91" s="20" t="n"/>
      <c r="C91" s="20" t="n"/>
      <c r="D91" s="20" t="n"/>
      <c r="E91" s="20" t="n"/>
      <c r="F91" s="20" t="n"/>
      <c r="G91" s="20" t="n"/>
      <c r="H91" s="20" t="n"/>
    </row>
    <row r="92">
      <c r="A92" s="20" t="n"/>
      <c r="B92" s="20" t="n"/>
      <c r="C92" s="20" t="n"/>
      <c r="D92" s="20" t="n"/>
      <c r="E92" s="20" t="n"/>
      <c r="F92" s="20" t="n"/>
      <c r="G92" s="20" t="n"/>
      <c r="H92" s="20" t="n"/>
    </row>
    <row r="93">
      <c r="A93" s="20" t="n"/>
      <c r="B93" s="20" t="n"/>
      <c r="C93" s="20" t="n"/>
      <c r="D93" s="20" t="n"/>
      <c r="E93" s="20" t="n"/>
      <c r="F93" s="20" t="n"/>
      <c r="G93" s="20" t="n"/>
      <c r="H93" s="20" t="n"/>
    </row>
    <row r="94">
      <c r="A94" s="20" t="n"/>
      <c r="B94" s="20" t="n"/>
      <c r="C94" s="20" t="n"/>
      <c r="D94" s="20" t="n"/>
      <c r="E94" s="20" t="n"/>
      <c r="F94" s="20" t="n"/>
      <c r="G94" s="20" t="n"/>
      <c r="H94" s="20" t="n"/>
    </row>
    <row r="95">
      <c r="A95" s="20" t="n"/>
      <c r="B95" s="20" t="n"/>
      <c r="C95" s="20" t="n"/>
      <c r="D95" s="20" t="n"/>
      <c r="E95" s="20" t="n"/>
      <c r="F95" s="20" t="n"/>
      <c r="G95" s="20" t="n"/>
      <c r="H95" s="20" t="n"/>
    </row>
    <row r="96">
      <c r="A96" s="20" t="n"/>
      <c r="B96" s="20" t="n"/>
      <c r="C96" s="20" t="n"/>
      <c r="D96" s="20" t="n"/>
      <c r="E96" s="20" t="n"/>
      <c r="F96" s="20" t="n"/>
      <c r="G96" s="20" t="n"/>
      <c r="H96" s="20" t="n"/>
    </row>
    <row r="97">
      <c r="A97" s="20" t="n"/>
      <c r="B97" s="20" t="n"/>
      <c r="C97" s="20" t="n"/>
      <c r="D97" s="20" t="n"/>
      <c r="E97" s="20" t="n"/>
      <c r="F97" s="20" t="n"/>
      <c r="G97" s="20" t="n"/>
      <c r="H97" s="20" t="n"/>
    </row>
    <row r="98">
      <c r="A98" s="20" t="n"/>
      <c r="B98" s="20" t="n"/>
      <c r="C98" s="20" t="n"/>
      <c r="D98" s="20" t="n"/>
      <c r="E98" s="20" t="n"/>
      <c r="F98" s="20" t="n"/>
      <c r="G98" s="20" t="n"/>
      <c r="H98" s="20" t="n"/>
    </row>
    <row r="99">
      <c r="A99" s="20" t="n"/>
      <c r="B99" s="20" t="n"/>
      <c r="C99" s="20" t="n"/>
      <c r="D99" s="20" t="n"/>
      <c r="E99" s="20" t="n"/>
      <c r="F99" s="20" t="n"/>
      <c r="G99" s="20" t="n"/>
      <c r="H99" s="20" t="n"/>
    </row>
    <row r="100">
      <c r="A100" s="20" t="n"/>
      <c r="B100" s="20" t="n"/>
      <c r="C100" s="20" t="n"/>
      <c r="D100" s="20" t="n"/>
      <c r="E100" s="20" t="n"/>
      <c r="F100" s="20" t="n"/>
      <c r="G100" s="20" t="n"/>
      <c r="H100" s="20" t="n"/>
    </row>
    <row r="101">
      <c r="A101" s="20" t="n"/>
      <c r="B101" s="20" t="n"/>
      <c r="C101" s="20" t="n"/>
      <c r="D101" s="20" t="n"/>
      <c r="E101" s="20" t="n"/>
      <c r="F101" s="20" t="n"/>
      <c r="G101" s="20" t="n"/>
      <c r="H101" s="20" t="n"/>
    </row>
    <row r="102">
      <c r="A102" s="20" t="n"/>
      <c r="B102" s="20" t="n"/>
      <c r="C102" s="20" t="n"/>
      <c r="D102" s="20" t="n"/>
      <c r="E102" s="20" t="n"/>
      <c r="F102" s="20" t="n"/>
      <c r="G102" s="20" t="n"/>
      <c r="H102" s="20" t="n"/>
    </row>
    <row r="103">
      <c r="A103" s="20" t="n"/>
      <c r="B103" s="20" t="n"/>
      <c r="C103" s="20" t="n"/>
      <c r="D103" s="20" t="n"/>
      <c r="E103" s="20" t="n"/>
      <c r="F103" s="20" t="n"/>
      <c r="G103" s="20" t="n"/>
      <c r="H103" s="20" t="n"/>
    </row>
    <row r="104">
      <c r="A104" s="20" t="n"/>
      <c r="B104" s="20" t="n"/>
      <c r="C104" s="20" t="n"/>
      <c r="D104" s="20" t="n"/>
      <c r="E104" s="20" t="n"/>
      <c r="F104" s="20" t="n"/>
      <c r="G104" s="20" t="n"/>
      <c r="H104" s="20" t="n"/>
    </row>
    <row r="105">
      <c r="A105" s="20" t="n"/>
      <c r="B105" s="20" t="n"/>
      <c r="C105" s="20" t="n"/>
      <c r="D105" s="20" t="n"/>
      <c r="E105" s="20" t="n"/>
      <c r="F105" s="20" t="n"/>
      <c r="G105" s="20" t="n"/>
      <c r="H105" s="20" t="n"/>
    </row>
  </sheetData>
  <mergeCells count="3">
    <mergeCell ref="A3:H3"/>
    <mergeCell ref="A2:H2"/>
    <mergeCell ref="A1:H1"/>
  </mergeCells>
  <dataValidations count="1">
    <dataValidation sqref="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"Active,Archived,Superseded,Pending Review"</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40"/>
  <sheetViews>
    <sheetView showGridLines="0" workbookViewId="0">
      <pane ySplit="3" topLeftCell="A4" activePane="bottomLeft" state="frozen"/>
      <selection pane="bottomLeft" activeCell="A1" sqref="A1"/>
    </sheetView>
  </sheetViews>
  <sheetFormatPr baseColWidth="8" defaultRowHeight="15"/>
  <cols>
    <col width="30" customWidth="1" min="1" max="1"/>
    <col width="52" customWidth="1" min="2" max="2"/>
    <col width="12" customWidth="1" min="3" max="3"/>
    <col width="14" customWidth="1" min="4" max="4"/>
    <col width="16" customWidth="1" min="5" max="5"/>
    <col width="10" customWidth="1" min="6" max="6"/>
    <col width="12" customWidth="1" min="7" max="7"/>
  </cols>
  <sheetData>
    <row r="1" ht="35" customHeight="1">
      <c r="A1" s="16" t="inlineStr">
        <is>
          <t>EXCEPTION, COMPENSATING CONTROLS &amp; VERIFICATION — SUMMARY DASHBOARD</t>
        </is>
      </c>
      <c r="B1" s="6" t="n"/>
      <c r="C1" s="6" t="n"/>
      <c r="D1" s="6" t="n"/>
      <c r="E1" s="6" t="n"/>
      <c r="F1" s="6" t="n"/>
      <c r="G1" s="6" t="n"/>
    </row>
    <row r="2">
      <c r="A2" s="21" t="inlineStr">
        <is>
          <t>ISO/IEC 27001:2022 — Control A.8.8: Management of Technical Vulnerabilities</t>
        </is>
      </c>
    </row>
    <row r="4">
      <c r="A4" s="22" t="inlineStr">
        <is>
          <t>TABLE 1: ASSESSMENT AREA COMPLIANCE OVERVIEW</t>
        </is>
      </c>
    </row>
    <row r="5">
      <c r="A5" s="23" t="inlineStr">
        <is>
          <t>Assessment Area</t>
        </is>
      </c>
      <c r="B5" s="23" t="inlineStr">
        <is>
          <t>Total Items</t>
        </is>
      </c>
      <c r="C5" s="23" t="inlineStr">
        <is>
          <t>Compliant</t>
        </is>
      </c>
      <c r="D5" s="23" t="inlineStr">
        <is>
          <t>Partial / Warning</t>
        </is>
      </c>
      <c r="E5" s="23" t="inlineStr">
        <is>
          <t>Non-Compliant</t>
        </is>
      </c>
      <c r="F5" s="23" t="inlineStr">
        <is>
          <t>N/A</t>
        </is>
      </c>
      <c r="G5" s="23" t="inlineStr">
        <is>
          <t>Compliance %</t>
        </is>
      </c>
    </row>
    <row r="6">
      <c r="A6" s="24" t="inlineStr">
        <is>
          <t>Exception Requests</t>
        </is>
      </c>
      <c r="B6" s="25">
        <f>COUNTA('Exception Requests'!A6:A55)</f>
        <v/>
      </c>
      <c r="C6" s="25">
        <f>COUNTIF('Exception Requests'!AB6:AB55,"Closed")</f>
        <v/>
      </c>
      <c r="D6" s="25">
        <f>COUNTIF('Exception Requests'!AB6:AB55,"Active")+COUNTIF('Exception Requests'!AB6:AB55,"Pending Approval")</f>
        <v/>
      </c>
      <c r="E6" s="25">
        <f>COUNTIF('Exception Requests'!AB6:AB55,"Expired")</f>
        <v/>
      </c>
      <c r="F6" s="25">
        <f>COUNTIF('Exception Requests'!AB6:AB55,"Rejected")</f>
        <v/>
      </c>
      <c r="G6" s="26">
        <f>IF((B6-F6)=0,0,C6/(B6-F6))</f>
        <v/>
      </c>
    </row>
    <row r="7">
      <c r="A7" s="24" t="inlineStr">
        <is>
          <t>Compensating Controls</t>
        </is>
      </c>
      <c r="B7" s="25">
        <f>COUNTA('Compensating Controls'!A6:A55)</f>
        <v/>
      </c>
      <c r="C7" s="25">
        <f>COUNTIF('Compensating Controls'!AJ6:AJ55,"Active")+COUNTIF('Compensating Controls'!AJ6:AJ55,"Removed")</f>
        <v/>
      </c>
      <c r="D7" s="25">
        <f>COUNTIF('Compensating Controls'!AJ6:AJ55,"Pending Removal")</f>
        <v/>
      </c>
      <c r="E7" s="25">
        <f>COUNTIF('Compensating Controls'!AJ6:AJ55,"Failed")</f>
        <v/>
      </c>
      <c r="F7" s="25" t="inlineStr">
        <is>
          <t>0</t>
        </is>
      </c>
      <c r="G7" s="26">
        <f>IF((B7-F7)=0,0,C7/(B7-F7))</f>
        <v/>
      </c>
    </row>
    <row r="8">
      <c r="A8" s="24" t="inlineStr">
        <is>
          <t>CC Effectiveness</t>
        </is>
      </c>
      <c r="B8" s="25">
        <f>COUNTA('CC Effectiveness'!A6:A55)</f>
        <v/>
      </c>
      <c r="C8" s="25">
        <f>COUNTIF('CC Effectiveness'!N6:N55,"Pass")</f>
        <v/>
      </c>
      <c r="D8" s="25">
        <f>COUNTIF('CC Effectiveness'!N6:N55,"Pending")+COUNTIF('CC Effectiveness'!N6:N55,"Revalidating")</f>
        <v/>
      </c>
      <c r="E8" s="25">
        <f>COUNTIF('CC Effectiveness'!N6:N55,"Fail")</f>
        <v/>
      </c>
      <c r="F8" s="25" t="inlineStr">
        <is>
          <t>0</t>
        </is>
      </c>
      <c r="G8" s="26">
        <f>IF((B8-F8)=0,0,C8/(B8-F8))</f>
        <v/>
      </c>
    </row>
    <row r="9">
      <c r="A9" s="24" t="inlineStr">
        <is>
          <t>Verification Queue</t>
        </is>
      </c>
      <c r="B9" s="25">
        <f>COUNTA('Verification Queue'!A6:A55)</f>
        <v/>
      </c>
      <c r="C9" s="25">
        <f>COUNTIF('Verification Queue'!AE6:AE55,"Complete")</f>
        <v/>
      </c>
      <c r="D9" s="25">
        <f>COUNTIF('Verification Queue'!AE6:AE55,"In Progress")</f>
        <v/>
      </c>
      <c r="E9" s="25">
        <f>COUNTIF('Verification Queue'!AE6:AE55,"Failed")+COUNTIF('Verification Queue'!AE6:AE55,"Pending")</f>
        <v/>
      </c>
      <c r="F9" s="25">
        <f>COUNTIF('Verification Queue'!AE6:AE55,"Cancelled")</f>
        <v/>
      </c>
      <c r="G9" s="26">
        <f>IF((B9-F9)=0,0,C9/(B9-F9))</f>
        <v/>
      </c>
    </row>
    <row r="10">
      <c r="A10" s="24" t="inlineStr">
        <is>
          <t>Re-Remediation Log</t>
        </is>
      </c>
      <c r="B10" s="25">
        <f>COUNTA('Re-Remediation Log'!A6:A55)</f>
        <v/>
      </c>
      <c r="C10" s="25">
        <f>COUNTIF('Re-Remediation Log'!O6:O55,"Closed")</f>
        <v/>
      </c>
      <c r="D10" s="25">
        <f>COUNTIF('Re-Remediation Log'!O6:O55,"In Progress")</f>
        <v/>
      </c>
      <c r="E10" s="25">
        <f>COUNTIF('Re-Remediation Log'!O6:O55,"Open")+COUNTIF('Re-Remediation Log'!O6:O55,"Escalated")</f>
        <v/>
      </c>
      <c r="F10" s="25" t="inlineStr">
        <is>
          <t>0</t>
        </is>
      </c>
      <c r="G10" s="26">
        <f>IF((B10-F10)=0,0,C10/(B10-F10))</f>
        <v/>
      </c>
    </row>
    <row r="11">
      <c r="A11" s="27" t="inlineStr">
        <is>
          <t>TOTAL</t>
        </is>
      </c>
      <c r="B11" s="28">
        <f>SUM(B6:B10)</f>
        <v/>
      </c>
      <c r="C11" s="28">
        <f>SUM(C6:C10)</f>
        <v/>
      </c>
      <c r="D11" s="28">
        <f>SUM(D6:D10)</f>
        <v/>
      </c>
      <c r="E11" s="28">
        <f>SUM(E6:E10)</f>
        <v/>
      </c>
      <c r="F11" s="28">
        <f>SUM(F6:F10)</f>
        <v/>
      </c>
      <c r="G11" s="29">
        <f>IF((B11-F11)=0,0,C11/(B11-F11))</f>
        <v/>
      </c>
    </row>
    <row r="13">
      <c r="A13" s="22" t="inlineStr">
        <is>
          <t>TABLE 2: KEY METRICS</t>
        </is>
      </c>
    </row>
    <row r="14">
      <c r="A14" s="27" t="inlineStr">
        <is>
          <t>Metric</t>
        </is>
      </c>
      <c r="B14" s="28" t="inlineStr">
        <is>
          <t>Value</t>
        </is>
      </c>
      <c r="C14" s="28" t="inlineStr"/>
      <c r="D14" s="28" t="inlineStr"/>
      <c r="E14" s="28" t="inlineStr"/>
      <c r="F14" s="28" t="inlineStr"/>
      <c r="G14" s="28" t="inlineStr"/>
    </row>
    <row r="15">
      <c r="A15" s="27" t="inlineStr">
        <is>
          <t>Exception Portfolio</t>
        </is>
      </c>
    </row>
    <row r="16">
      <c r="A16" s="24" t="inlineStr">
        <is>
          <t>Active Exceptions</t>
        </is>
      </c>
      <c r="B16" s="25">
        <f>COUNTIF('Exception Requests'!AB6:AB55,"Active")</f>
        <v/>
      </c>
      <c r="C16" s="30" t="n"/>
      <c r="D16" s="30" t="n"/>
      <c r="E16" s="30" t="n"/>
      <c r="F16" s="30" t="n"/>
      <c r="G16" s="30" t="n"/>
    </row>
    <row r="17">
      <c r="A17" s="24" t="inlineStr">
        <is>
          <t>Expired Exceptions</t>
        </is>
      </c>
      <c r="B17" s="25">
        <f>COUNTIF('Exception Requests'!AB6:AB55,"Expired")</f>
        <v/>
      </c>
      <c r="C17" s="30" t="n"/>
      <c r="D17" s="30" t="n"/>
      <c r="E17" s="30" t="n"/>
      <c r="F17" s="30" t="n"/>
      <c r="G17" s="30" t="n"/>
    </row>
    <row r="18">
      <c r="A18" s="24" t="inlineStr">
        <is>
          <t>Pending Exception Approvals</t>
        </is>
      </c>
      <c r="B18" s="25">
        <f>COUNTIF('Exception Requests'!AB6:AB55,"Pending Approval")</f>
        <v/>
      </c>
      <c r="C18" s="30" t="n"/>
      <c r="D18" s="30" t="n"/>
      <c r="E18" s="30" t="n"/>
      <c r="F18" s="30" t="n"/>
      <c r="G18" s="30" t="n"/>
    </row>
    <row r="19">
      <c r="A19" s="24" t="inlineStr">
        <is>
          <t>Exceptions — Closed (Remediated)</t>
        </is>
      </c>
      <c r="B19" s="25">
        <f>COUNTIF('Exception Requests'!AB6:AB55,"Closed")</f>
        <v/>
      </c>
      <c r="C19" s="30" t="n"/>
      <c r="D19" s="30" t="n"/>
      <c r="E19" s="30" t="n"/>
      <c r="F19" s="30" t="n"/>
      <c r="G19" s="30" t="n"/>
    </row>
    <row r="20">
      <c r="A20" s="27" t="inlineStr">
        <is>
          <t>Compensating Controls</t>
        </is>
      </c>
    </row>
    <row r="21">
      <c r="A21" s="24" t="inlineStr">
        <is>
          <t>Active Compensating Controls</t>
        </is>
      </c>
      <c r="B21" s="25">
        <f>COUNTIF('Compensating Controls'!AJ6:AJ55,"Active")</f>
        <v/>
      </c>
      <c r="C21" s="30" t="n"/>
      <c r="D21" s="30" t="n"/>
      <c r="E21" s="30" t="n"/>
      <c r="F21" s="30" t="n"/>
      <c r="G21" s="30" t="n"/>
    </row>
    <row r="22">
      <c r="A22" s="24" t="inlineStr">
        <is>
          <t>Controls Validated (Passing)</t>
        </is>
      </c>
      <c r="B22" s="25">
        <f>COUNTIF('CC Effectiveness'!N6:N55,"Pass")</f>
        <v/>
      </c>
      <c r="C22" s="30" t="n"/>
      <c r="D22" s="30" t="n"/>
      <c r="E22" s="30" t="n"/>
      <c r="F22" s="30" t="n"/>
      <c r="G22" s="30" t="n"/>
    </row>
    <row r="23">
      <c r="A23" s="24" t="inlineStr">
        <is>
          <t>Controls Validation Failed</t>
        </is>
      </c>
      <c r="B23" s="25">
        <f>COUNTIF('CC Effectiveness'!N6:N55,"Fail")</f>
        <v/>
      </c>
      <c r="C23" s="30" t="n"/>
      <c r="D23" s="30" t="n"/>
      <c r="E23" s="30" t="n"/>
      <c r="F23" s="30" t="n"/>
      <c r="G23" s="30" t="n"/>
    </row>
    <row r="24">
      <c r="A24" s="24" t="inlineStr">
        <is>
          <t>CC Validation Compliance %</t>
        </is>
      </c>
      <c r="B24" s="26">
        <f>IFERROR(COUNTIF('CC Effectiveness'!N6:N55,"Pass")/COUNTA('CC Effectiveness'!A6:A55),0)</f>
        <v/>
      </c>
      <c r="C24" s="30" t="n"/>
      <c r="D24" s="30" t="n"/>
      <c r="E24" s="30" t="n"/>
      <c r="F24" s="30" t="n"/>
      <c r="G24" s="30" t="n"/>
    </row>
    <row r="25">
      <c r="A25" s="27" t="inlineStr">
        <is>
          <t>Verification</t>
        </is>
      </c>
    </row>
    <row r="26">
      <c r="A26" s="24" t="inlineStr">
        <is>
          <t>Verifications Pending</t>
        </is>
      </c>
      <c r="B26" s="25">
        <f>COUNTIF('Verification Queue'!AE6:AE55,"Pending")</f>
        <v/>
      </c>
      <c r="C26" s="30" t="n"/>
      <c r="D26" s="30" t="n"/>
      <c r="E26" s="30" t="n"/>
      <c r="F26" s="30" t="n"/>
      <c r="G26" s="30" t="n"/>
    </row>
    <row r="27">
      <c r="A27" s="24" t="inlineStr">
        <is>
          <t>Verifications Passed</t>
        </is>
      </c>
      <c r="B27" s="25">
        <f>COUNTIF('Verification Queue'!AE6:AE55,"Complete")</f>
        <v/>
      </c>
      <c r="C27" s="30" t="n"/>
      <c r="D27" s="30" t="n"/>
      <c r="E27" s="30" t="n"/>
      <c r="F27" s="30" t="n"/>
      <c r="G27" s="30" t="n"/>
    </row>
    <row r="28">
      <c r="A28" s="24" t="inlineStr">
        <is>
          <t>Verifications Failed (Re-Remediation)</t>
        </is>
      </c>
      <c r="B28" s="25">
        <f>COUNTIF('Verification Queue'!AE6:AE55,"Failed")</f>
        <v/>
      </c>
      <c r="C28" s="30" t="n"/>
      <c r="D28" s="30" t="n"/>
      <c r="E28" s="30" t="n"/>
      <c r="F28" s="30" t="n"/>
      <c r="G28" s="30" t="n"/>
    </row>
    <row r="29">
      <c r="A29" s="24" t="inlineStr">
        <is>
          <t>Verification Pass Rate %</t>
        </is>
      </c>
      <c r="B29" s="26">
        <f>IFERROR(COUNTIF('Verification Queue'!AE6:AE55,"Complete")/COUNTA('Verification Queue'!A6:A55),0)</f>
        <v/>
      </c>
      <c r="C29" s="30" t="n"/>
      <c r="D29" s="30" t="n"/>
      <c r="E29" s="30" t="n"/>
      <c r="F29" s="30" t="n"/>
      <c r="G29" s="30" t="n"/>
    </row>
    <row r="31">
      <c r="A31" s="31" t="inlineStr">
        <is>
          <t>TABLE 3: CRITICAL FINDINGS REQUIRING ACTION</t>
        </is>
      </c>
    </row>
    <row r="32">
      <c r="A32" s="27" t="inlineStr">
        <is>
          <t>Category</t>
        </is>
      </c>
      <c r="B32" s="28" t="inlineStr">
        <is>
          <t>Finding</t>
        </is>
      </c>
      <c r="C32" s="28" t="inlineStr">
        <is>
          <t>Count</t>
        </is>
      </c>
      <c r="D32" s="28" t="inlineStr">
        <is>
          <t>Severity</t>
        </is>
      </c>
      <c r="E32" s="28" t="inlineStr">
        <is>
          <t>Action Required</t>
        </is>
      </c>
      <c r="F32" s="28" t="inlineStr"/>
      <c r="G32" s="28" t="inlineStr"/>
    </row>
    <row r="33">
      <c r="A33" s="32" t="inlineStr">
        <is>
          <t>Exceptions</t>
        </is>
      </c>
      <c r="B33" s="32" t="inlineStr">
        <is>
          <t>Exceptions in EXPIRED status</t>
        </is>
      </c>
      <c r="C33" s="33">
        <f>COUNTIF('Exception Requests'!AB6:AB55,"Expired")</f>
        <v/>
      </c>
      <c r="D33" s="33" t="inlineStr">
        <is>
          <t>Critical</t>
        </is>
      </c>
      <c r="E33" s="33" t="inlineStr">
        <is>
          <t>Immediate</t>
        </is>
      </c>
      <c r="F33" s="33" t="inlineStr"/>
      <c r="G33" s="33" t="inlineStr"/>
    </row>
    <row r="34">
      <c r="A34" s="32" t="inlineStr">
        <is>
          <t>Compensating Controls</t>
        </is>
      </c>
      <c r="B34" s="32" t="inlineStr">
        <is>
          <t>Compensating controls FAILED validation</t>
        </is>
      </c>
      <c r="C34" s="33">
        <f>COUNTIF('CC Effectiveness'!N6:N55,"Fail")</f>
        <v/>
      </c>
      <c r="D34" s="33" t="inlineStr">
        <is>
          <t>Critical</t>
        </is>
      </c>
      <c r="E34" s="33" t="inlineStr">
        <is>
          <t>Immediate</t>
        </is>
      </c>
      <c r="F34" s="33" t="inlineStr"/>
      <c r="G34" s="33" t="inlineStr"/>
    </row>
    <row r="35">
      <c r="A35" s="32" t="inlineStr">
        <is>
          <t>Verification</t>
        </is>
      </c>
      <c r="B35" s="32" t="inlineStr">
        <is>
          <t>Verification FAILED — re-remediation required</t>
        </is>
      </c>
      <c r="C35" s="33">
        <f>COUNTIF('Verification Queue'!AE6:AE55,"Failed")</f>
        <v/>
      </c>
      <c r="D35" s="33" t="inlineStr">
        <is>
          <t>Critical</t>
        </is>
      </c>
      <c r="E35" s="33" t="inlineStr">
        <is>
          <t>Immediate</t>
        </is>
      </c>
      <c r="F35" s="33" t="inlineStr"/>
      <c r="G35" s="33" t="inlineStr"/>
    </row>
    <row r="36">
      <c r="A36" s="34" t="inlineStr">
        <is>
          <t>Exceptions</t>
        </is>
      </c>
      <c r="B36" s="34" t="inlineStr">
        <is>
          <t>Exceptions pending approval &gt; threshold</t>
        </is>
      </c>
      <c r="C36" s="35">
        <f>COUNTIF('Exception Requests'!AB6:AB55,"Pending Approval")</f>
        <v/>
      </c>
      <c r="D36" s="35" t="inlineStr">
        <is>
          <t>High</t>
        </is>
      </c>
      <c r="E36" s="35" t="inlineStr">
        <is>
          <t>Urgent</t>
        </is>
      </c>
      <c r="F36" s="35" t="inlineStr"/>
      <c r="G36" s="35" t="inlineStr"/>
    </row>
    <row r="37">
      <c r="A37" s="34" t="inlineStr">
        <is>
          <t>Compensating Controls</t>
        </is>
      </c>
      <c r="B37" s="34" t="inlineStr">
        <is>
          <t>Controls with failed status</t>
        </is>
      </c>
      <c r="C37" s="35">
        <f>COUNTIF('Compensating Controls'!AJ6:AJ55,"Failed")</f>
        <v/>
      </c>
      <c r="D37" s="35" t="inlineStr">
        <is>
          <t>High</t>
        </is>
      </c>
      <c r="E37" s="35" t="inlineStr">
        <is>
          <t>Urgent</t>
        </is>
      </c>
      <c r="F37" s="35" t="inlineStr"/>
      <c r="G37" s="35" t="inlineStr"/>
    </row>
    <row r="38">
      <c r="A38" s="34" t="inlineStr">
        <is>
          <t>Verification</t>
        </is>
      </c>
      <c r="B38" s="34" t="inlineStr">
        <is>
          <t>Verifications overdue SLA</t>
        </is>
      </c>
      <c r="C38" s="35">
        <f>COUNTIFS('Verification Queue'!AE6:AE55,"Pending",'Verification Queue'!AC6:AC55,"&lt;"&amp;TODAY())</f>
        <v/>
      </c>
      <c r="D38" s="35" t="inlineStr">
        <is>
          <t>High</t>
        </is>
      </c>
      <c r="E38" s="35" t="inlineStr">
        <is>
          <t>Urgent</t>
        </is>
      </c>
      <c r="F38" s="35" t="inlineStr"/>
      <c r="G38" s="35" t="inlineStr"/>
    </row>
    <row r="39">
      <c r="A39" s="34" t="inlineStr">
        <is>
          <t>Re-Remediation</t>
        </is>
      </c>
      <c r="B39" s="34" t="inlineStr">
        <is>
          <t>Re-remediation cases escalated</t>
        </is>
      </c>
      <c r="C39" s="35">
        <f>COUNTIF('Re-Remediation Log'!O6:O55,"Escalated")</f>
        <v/>
      </c>
      <c r="D39" s="35" t="inlineStr">
        <is>
          <t>High</t>
        </is>
      </c>
      <c r="E39" s="35" t="inlineStr">
        <is>
          <t>Urgent</t>
        </is>
      </c>
      <c r="F39" s="35" t="inlineStr"/>
      <c r="G39" s="35" t="inlineStr"/>
    </row>
    <row r="40">
      <c r="A40" s="36" t="inlineStr">
        <is>
          <t>Compensating Controls</t>
        </is>
      </c>
      <c r="B40" s="36" t="inlineStr">
        <is>
          <t>Controls due for validation (overdue)</t>
        </is>
      </c>
      <c r="C40" s="37">
        <f>COUNTIF('CC Effectiveness'!N6:N55,"Revalidating")</f>
        <v/>
      </c>
      <c r="D40" s="37" t="inlineStr">
        <is>
          <t>Medium</t>
        </is>
      </c>
      <c r="E40" s="37" t="inlineStr">
        <is>
          <t>Plan</t>
        </is>
      </c>
      <c r="F40" s="37" t="inlineStr"/>
      <c r="G40" s="37" t="inlineStr"/>
    </row>
  </sheetData>
  <mergeCells count="8">
    <mergeCell ref="A13:G13"/>
    <mergeCell ref="A1:G1"/>
    <mergeCell ref="A31:G31"/>
    <mergeCell ref="A4:G4"/>
    <mergeCell ref="A20:G20"/>
    <mergeCell ref="A2:G2"/>
    <mergeCell ref="A15:G15"/>
    <mergeCell ref="A25:G25"/>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21"/>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30" customWidth="1" min="5" max="5"/>
  </cols>
  <sheetData>
    <row r="1" ht="35" customHeight="1">
      <c r="A1" s="16" t="inlineStr">
        <is>
          <t>EXCEPTION, COMPENSATING CONTROLS AND VERIFICATION — ASSESSMENT APPROVAL AND SIGN-OFF</t>
        </is>
      </c>
      <c r="B1" s="6" t="n"/>
      <c r="C1" s="6" t="n"/>
      <c r="D1" s="6" t="n"/>
      <c r="E1" s="6" t="n"/>
    </row>
    <row r="2">
      <c r="A2" s="12" t="inlineStr">
        <is>
          <t>ISO/IEC 27001:2022 Annex A — Control A.8.8: Management of Technical Vulnerabilities</t>
        </is>
      </c>
      <c r="B2" s="6" t="n"/>
      <c r="C2" s="6" t="n"/>
      <c r="D2" s="6" t="n"/>
      <c r="E2" s="6" t="n"/>
    </row>
    <row r="3">
      <c r="A3" s="38" t="inlineStr">
        <is>
          <t>ASSESSMENT SUMMARY</t>
        </is>
      </c>
      <c r="B3" s="6" t="n"/>
      <c r="C3" s="6" t="n"/>
      <c r="D3" s="6" t="n"/>
      <c r="E3" s="6" t="n"/>
    </row>
    <row r="4">
      <c r="A4" s="39" t="inlineStr">
        <is>
          <t>Document:</t>
        </is>
      </c>
      <c r="B4" s="6" t="inlineStr">
        <is>
          <t>ISMS-IMP-A.8.8.5 — Exception, Compensating Controls &amp; Verification</t>
        </is>
      </c>
      <c r="C4" s="6" t="n"/>
      <c r="D4" s="6" t="n"/>
      <c r="E4" s="6" t="n"/>
    </row>
    <row r="5">
      <c r="A5" s="39" t="inlineStr">
        <is>
          <t>Assessment Period:</t>
        </is>
      </c>
      <c r="B5" s="30" t="inlineStr"/>
      <c r="C5" s="6" t="n"/>
      <c r="D5" s="6" t="n"/>
      <c r="E5" s="6" t="n"/>
    </row>
    <row r="6">
      <c r="A6" s="39" t="inlineStr">
        <is>
          <t>Overall Compliance Rating:</t>
        </is>
      </c>
      <c r="B6" s="40">
        <f>'Summary Dashboard'!G11</f>
        <v/>
      </c>
      <c r="C6" s="6" t="n"/>
      <c r="D6" s="6" t="n"/>
      <c r="E6" s="6" t="n"/>
    </row>
    <row r="7">
      <c r="A7" s="39" t="inlineStr">
        <is>
          <t>Assessment Status:</t>
        </is>
      </c>
      <c r="B7" s="30" t="inlineStr"/>
      <c r="C7" s="6" t="n"/>
      <c r="D7" s="6" t="n"/>
      <c r="E7" s="6" t="n"/>
    </row>
    <row r="8">
      <c r="A8" s="39" t="inlineStr">
        <is>
          <t>Assessed By:</t>
        </is>
      </c>
      <c r="B8" s="30" t="inlineStr"/>
      <c r="C8" s="6" t="n"/>
      <c r="D8" s="6" t="n"/>
      <c r="E8" s="6" t="n"/>
    </row>
    <row r="9">
      <c r="A9" s="6" t="n"/>
    </row>
    <row r="10">
      <c r="A10" s="38" t="inlineStr">
        <is>
          <t>ASSESSMENT REVIEW AND APPROVAL</t>
        </is>
      </c>
    </row>
    <row r="11">
      <c r="A11" s="23" t="inlineStr">
        <is>
          <t>Role / Function</t>
        </is>
      </c>
      <c r="B11" s="23" t="inlineStr">
        <is>
          <t>Name</t>
        </is>
      </c>
      <c r="C11" s="23" t="inlineStr">
        <is>
          <t>Signature / Initials</t>
        </is>
      </c>
      <c r="D11" s="23" t="inlineStr">
        <is>
          <t>Date (DD.MM.YYYY)</t>
        </is>
      </c>
      <c r="E11" s="23" t="inlineStr">
        <is>
          <t>Comments</t>
        </is>
      </c>
    </row>
    <row r="12">
      <c r="A12" s="41" t="inlineStr">
        <is>
          <t>Lead Assessor / Author</t>
        </is>
      </c>
      <c r="B12" s="30" t="n"/>
      <c r="C12" s="30" t="n"/>
      <c r="D12" s="30" t="n"/>
      <c r="E12" s="30" t="n"/>
    </row>
    <row r="13">
      <c r="A13" s="41" t="inlineStr">
        <is>
          <t>IT Security Manager</t>
        </is>
      </c>
      <c r="B13" s="30" t="n"/>
      <c r="C13" s="30" t="n"/>
      <c r="D13" s="30" t="n"/>
      <c r="E13" s="30" t="n"/>
    </row>
    <row r="14">
      <c r="A14" s="41" t="inlineStr">
        <is>
          <t>Reviewer (Technical / Compliance)</t>
        </is>
      </c>
      <c r="B14" s="30" t="n"/>
      <c r="C14" s="30" t="n"/>
      <c r="D14" s="30" t="n"/>
      <c r="E14" s="30" t="n"/>
    </row>
    <row r="15">
      <c r="A15" s="41" t="inlineStr">
        <is>
          <t>CISO / Final Approver</t>
        </is>
      </c>
      <c r="B15" s="30" t="n"/>
      <c r="C15" s="30" t="n"/>
      <c r="D15" s="30" t="n"/>
      <c r="E15" s="30" t="n"/>
    </row>
    <row r="16">
      <c r="A16" s="6" t="n"/>
    </row>
    <row r="17">
      <c r="A17" s="42" t="inlineStr">
        <is>
          <t>FINAL DECISION:</t>
        </is>
      </c>
      <c r="B17" s="43" t="inlineStr">
        <is>
          <t>☐ Approved     ☐ Approved with Conditions     ☐ Rejected     ☐ Deferred</t>
        </is>
      </c>
      <c r="C17" s="6" t="n"/>
      <c r="D17" s="6" t="n"/>
      <c r="E17" s="6" t="n"/>
    </row>
    <row r="18">
      <c r="A18" s="6" t="n"/>
    </row>
    <row r="19">
      <c r="A19" s="38" t="inlineStr">
        <is>
          <t>NEXT REVIEW DETAILS</t>
        </is>
      </c>
    </row>
    <row r="20">
      <c r="A20" s="44" t="inlineStr">
        <is>
          <t>Next Review Date (DD.MM.YYYY)</t>
        </is>
      </c>
      <c r="B20" s="30" t="n"/>
    </row>
    <row r="21">
      <c r="A21" s="44" t="inlineStr">
        <is>
          <t>Review Owner</t>
        </is>
      </c>
      <c r="B21" s="30" t="n"/>
    </row>
  </sheetData>
  <mergeCells count="16">
    <mergeCell ref="B17:E17"/>
    <mergeCell ref="B8:E8"/>
    <mergeCell ref="A18:E18"/>
    <mergeCell ref="B4:E4"/>
    <mergeCell ref="A2:E2"/>
    <mergeCell ref="A16:E16"/>
    <mergeCell ref="A10:E10"/>
    <mergeCell ref="B6:E6"/>
    <mergeCell ref="B21:E21"/>
    <mergeCell ref="A19:E19"/>
    <mergeCell ref="B7:E7"/>
    <mergeCell ref="A1:E1"/>
    <mergeCell ref="B5:E5"/>
    <mergeCell ref="B20:E20"/>
    <mergeCell ref="A9:E9"/>
    <mergeCell ref="A3:E3"/>
  </mergeCells>
  <dataValidations count="1">
    <dataValidation sqref="B7" showDropDown="0" showInputMessage="0" showErrorMessage="0" allowBlank="1" type="list">
      <formula1>"Draft,Final,Requires remediation,Re-assessment required"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ISMS-IMP-A.8.8.5 — Exception, Compensating Controls &amp; Verification</dc:title>
  <dc:description xmlns:dc="http://purl.org/dc/elements/1.1/">ISMS Implementation Workbook — ISMS-IMP-A.8.8.5</dc:description>
  <dc:subject xmlns:dc="http://purl.org/dc/elements/1.1/">ISO/IEC 27001:2022 — Control A.8.8: Management of Technical Vulnerabilities</dc:subject>
  <dcterms:created xmlns:dcterms="http://purl.org/dc/terms/" xmlns:xsi="http://www.w3.org/2001/XMLSchema-instance" xsi:type="dcterms:W3CDTF">2026-03-07T11:28:35Z</dcterms:created>
  <dcterms:modified xmlns:dcterms="http://purl.org/dc/terms/" xmlns:xsi="http://www.w3.org/2001/XMLSchema-instance" xsi:type="dcterms:W3CDTF">2026-03-07T11:28:36Z</dcterms:modified>
</cp:coreProperties>
</file>