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canner Inventory" sheetId="2" state="visible" r:id="rId2"/>
    <sheet xmlns:r="http://schemas.openxmlformats.org/officeDocument/2006/relationships" name="Asset Scanner Mapping" sheetId="3" state="visible" r:id="rId3"/>
    <sheet xmlns:r="http://schemas.openxmlformats.org/officeDocument/2006/relationships" name="Scan Schedule" sheetId="4" state="visible" r:id="rId4"/>
    <sheet xmlns:r="http://schemas.openxmlformats.org/officeDocument/2006/relationships" name="Scan Execution Log" sheetId="5" state="visible" r:id="rId5"/>
    <sheet xmlns:r="http://schemas.openxmlformats.org/officeDocument/2006/relationships" name="Coverage Gap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color rgb="00808080"/>
      <sz val="10"/>
    </font>
    <font>
      <name val="Calibri"/>
      <sz val="10"/>
    </font>
    <font>
      <name val="Calibri"/>
      <i val="1"/>
      <sz val="10"/>
    </font>
    <font>
      <name val="Calibri"/>
      <b val="1"/>
      <color rgb="00FFFFFF"/>
      <sz val="10"/>
    </font>
    <font>
      <name val="Calibri"/>
      <b val="1"/>
      <color rgb="00FFFFFF"/>
      <sz val="11"/>
    </font>
    <font>
      <name val="Calibri"/>
      <b val="1"/>
      <color rgb="00000000"/>
      <sz val="10"/>
    </font>
    <font>
      <name val="Calibri"/>
      <color rgb="00000000"/>
      <sz val="10"/>
    </font>
    <font>
      <name val="Calibri"/>
      <color rgb="00C00000"/>
      <sz val="10"/>
    </font>
    <font>
      <name val="Calibri"/>
      <color rgb="009C5700"/>
      <sz val="10"/>
    </font>
    <font>
      <name val="Calibri"/>
      <color rgb="00276221"/>
      <sz val="10"/>
    </font>
    <font>
      <name val="Calibri"/>
      <b val="1"/>
      <color rgb="00000000"/>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0" borderId="1" applyAlignment="1" pivotButton="0" quotePrefix="0" xfId="0">
      <alignment horizontal="center"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xf>
    <xf numFmtId="0" fontId="7" fillId="11" borderId="1" applyAlignment="1" pivotButton="0" quotePrefix="0" xfId="0">
      <alignment horizontal="left" vertical="center"/>
    </xf>
    <xf numFmtId="0" fontId="1" fillId="8" borderId="1" applyAlignment="1" pivotButton="0" quotePrefix="0" xfId="0">
      <alignment horizontal="center" vertical="center"/>
    </xf>
    <xf numFmtId="0" fontId="8" fillId="0" borderId="1" applyAlignment="1" pivotButton="0" quotePrefix="0" xfId="0">
      <alignment horizontal="center" vertical="center"/>
    </xf>
    <xf numFmtId="0" fontId="9" fillId="8" borderId="1" applyAlignment="1" pivotButton="0" quotePrefix="0" xfId="0">
      <alignment horizontal="center" vertical="center" wrapText="1"/>
    </xf>
    <xf numFmtId="0" fontId="6" fillId="10" borderId="1" pivotButton="0" quotePrefix="0" xfId="0"/>
    <xf numFmtId="0" fontId="0" fillId="11" borderId="1" applyAlignment="1" pivotButton="0" quotePrefix="0" xfId="0">
      <alignment vertical="center"/>
    </xf>
    <xf numFmtId="0" fontId="5" fillId="0" borderId="0" applyAlignment="1" pivotButton="0" quotePrefix="0" xfId="0">
      <alignment horizontal="left" vertical="center"/>
    </xf>
    <xf numFmtId="0" fontId="10" fillId="8" borderId="1" applyAlignment="1" pivotButton="0" quotePrefix="0" xfId="0">
      <alignment horizontal="left" vertical="center"/>
    </xf>
    <xf numFmtId="0" fontId="11" fillId="9" borderId="1" applyAlignment="1" pivotButton="0" quotePrefix="0" xfId="0">
      <alignment horizontal="center" vertical="center" wrapText="1"/>
    </xf>
    <xf numFmtId="0" fontId="12" fillId="0" borderId="1" pivotButton="0" quotePrefix="0" xfId="0"/>
    <xf numFmtId="0" fontId="12" fillId="0" borderId="1" applyAlignment="1" pivotButton="0" quotePrefix="0" xfId="0">
      <alignment horizontal="center"/>
    </xf>
    <xf numFmtId="164" fontId="12" fillId="0" borderId="1" applyAlignment="1" pivotButton="0" quotePrefix="0" xfId="0">
      <alignment horizontal="center"/>
    </xf>
    <xf numFmtId="0" fontId="11" fillId="9" borderId="1" applyAlignment="1" pivotButton="0" quotePrefix="0" xfId="0">
      <alignment horizontal="left"/>
    </xf>
    <xf numFmtId="0" fontId="11" fillId="9" borderId="1" applyAlignment="1" pivotButton="0" quotePrefix="0" xfId="0">
      <alignment horizontal="center"/>
    </xf>
    <xf numFmtId="164" fontId="11" fillId="9" borderId="1" applyAlignment="1" pivotButton="0" quotePrefix="0" xfId="0">
      <alignment horizontal="center"/>
    </xf>
    <xf numFmtId="0" fontId="10" fillId="8" borderId="1" pivotButton="0" quotePrefix="0" xfId="0"/>
    <xf numFmtId="0" fontId="11" fillId="9" borderId="1" applyAlignment="1" pivotButton="0" quotePrefix="0" xfId="0">
      <alignment horizontal="left" vertical="center"/>
    </xf>
    <xf numFmtId="0" fontId="11" fillId="9" borderId="1" pivotButton="0" quotePrefix="0" xfId="0"/>
    <xf numFmtId="0" fontId="12" fillId="0" borderId="1" applyAlignment="1" pivotButton="0" quotePrefix="0" xfId="0">
      <alignment horizontal="left" vertical="center"/>
    </xf>
    <xf numFmtId="0" fontId="10" fillId="12" borderId="1" pivotButton="0" quotePrefix="0" xfId="0"/>
    <xf numFmtId="0" fontId="13" fillId="13" borderId="1" pivotButton="0" quotePrefix="0" xfId="0"/>
    <xf numFmtId="0" fontId="13" fillId="13" borderId="1" applyAlignment="1" pivotButton="0" quotePrefix="0" xfId="0">
      <alignment horizontal="center"/>
    </xf>
    <xf numFmtId="0" fontId="14" fillId="14" borderId="1" pivotButton="0" quotePrefix="0" xfId="0"/>
    <xf numFmtId="0" fontId="14" fillId="14" borderId="1" applyAlignment="1" pivotButton="0" quotePrefix="0" xfId="0">
      <alignment horizontal="center"/>
    </xf>
    <xf numFmtId="0" fontId="15" fillId="15" borderId="1" pivotButton="0" quotePrefix="0" xfId="0"/>
    <xf numFmtId="0" fontId="15" fillId="15" borderId="1" applyAlignment="1" pivotButton="0" quotePrefix="0" xfId="0">
      <alignment horizontal="center"/>
    </xf>
    <xf numFmtId="0" fontId="0" fillId="15" borderId="1" pivotButton="0" quotePrefix="0" xfId="0"/>
    <xf numFmtId="0" fontId="10" fillId="16" borderId="1" applyAlignment="1" pivotButton="0" quotePrefix="0" xfId="0">
      <alignment horizontal="center" vertical="center"/>
    </xf>
    <xf numFmtId="0" fontId="11" fillId="0" borderId="1" pivotButton="0" quotePrefix="0" xfId="0"/>
    <xf numFmtId="0" fontId="0" fillId="11" borderId="1" pivotButton="0" quotePrefix="0" xfId="0"/>
    <xf numFmtId="164" fontId="0" fillId="0" borderId="1" pivotButton="0" quotePrefix="0" xfId="0"/>
    <xf numFmtId="0" fontId="7" fillId="11" borderId="1" pivotButton="0" quotePrefix="0" xfId="0"/>
    <xf numFmtId="0" fontId="16" fillId="0" borderId="1" pivotButton="0" quotePrefix="0" xfId="0"/>
    <xf numFmtId="0" fontId="7" fillId="11" borderId="1" applyAlignment="1" pivotButton="0" quotePrefix="0" xfId="0">
      <alignment horizontal="center" vertical="center"/>
    </xf>
    <xf numFmtId="0" fontId="11"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ISMS-IMP-A.8.8.1  -  Scanning &amp; Coverage Assessment
ISO/IEC 27001:2022 - Control A.8.8: Management of Technical Vulnerabilities</t>
        </is>
      </c>
    </row>
    <row r="3">
      <c r="A3" s="2" t="inlineStr">
        <is>
          <t>Document Information</t>
        </is>
      </c>
    </row>
    <row r="4">
      <c r="A4" s="3" t="inlineStr">
        <is>
          <t>Document ID</t>
        </is>
      </c>
      <c r="B4" t="inlineStr">
        <is>
          <t>ISMS-IMP-A.8.8.1</t>
        </is>
      </c>
    </row>
    <row r="5">
      <c r="A5" s="3" t="inlineStr">
        <is>
          <t>Workbook Title</t>
        </is>
      </c>
      <c r="B5" t="inlineStr">
        <is>
          <t>Scanning &amp; Coverage Assessment</t>
        </is>
      </c>
    </row>
    <row r="6">
      <c r="A6" s="3" t="inlineStr">
        <is>
          <t>Control Reference</t>
        </is>
      </c>
      <c r="B6" t="inlineStr">
        <is>
          <t>ISO/IEC 27001:2022 - Control A.8.8: Management of Technical Vulnerabilities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sheet to understand the assessment structure and status conventions.</t>
        </is>
      </c>
    </row>
    <row r="14">
      <c r="A14" t="inlineStr">
        <is>
          <t>2. Complete the Scanner Inventory sheet with all vulnerability scanners in scope.</t>
        </is>
      </c>
    </row>
    <row r="15">
      <c r="A15" t="inlineStr">
        <is>
          <t>3. Complete the Asset Scanner Mapping sheet with per-asset scanner coverage status.</t>
        </is>
      </c>
    </row>
    <row r="16">
      <c r="A16" t="inlineStr">
        <is>
          <t>4. Complete the Scan Schedule sheet with all scheduled scan configurations.</t>
        </is>
      </c>
    </row>
    <row r="17">
      <c r="A17" t="inlineStr">
        <is>
          <t>5. Complete the Scan Execution Log sheet with scan execution history and outcomes.</t>
        </is>
      </c>
    </row>
    <row r="18">
      <c r="A18" t="inlineStr">
        <is>
          <t>6. Complete the Coverage Gaps sheet with all identified scanning coverage gaps.</t>
        </is>
      </c>
    </row>
    <row r="19">
      <c r="A19" t="inlineStr">
        <is>
          <t>7. Record all supporting evidence in the Evidence Register.</t>
        </is>
      </c>
    </row>
    <row r="20">
      <c r="A20" t="inlineStr">
        <is>
          <t>8. Review the Summary Dashboard for TABLE 1/2/3 compliance metrics.</t>
        </is>
      </c>
    </row>
    <row r="21">
      <c r="A21" t="inlineStr">
        <is>
          <t>9. Obtain sign-off via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5"/>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16" customWidth="1" min="3" max="3"/>
    <col width="14" customWidth="1" min="4" max="4"/>
    <col width="14" customWidth="1" min="5" max="5"/>
    <col width="14" customWidth="1" min="6" max="6"/>
    <col width="16" customWidth="1" min="7" max="7"/>
    <col width="16" customWidth="1" min="8" max="8"/>
    <col width="16" customWidth="1" min="9" max="9"/>
    <col width="16" customWidth="1" min="10" max="10"/>
    <col width="16" customWidth="1" min="11" max="11"/>
    <col width="16" customWidth="1" min="12" max="12"/>
    <col width="14" customWidth="1" min="13" max="13"/>
    <col width="14" customWidth="1" min="14" max="14"/>
    <col width="16" customWidth="1" min="15" max="15"/>
    <col width="16" customWidth="1" min="16" max="16"/>
    <col width="12" customWidth="1" min="17" max="17"/>
    <col width="14" customWidth="1" min="18" max="18"/>
    <col width="14" customWidth="1" min="19" max="19"/>
    <col width="14" customWidth="1" min="20" max="20"/>
    <col width="14" customWidth="1" min="21" max="21"/>
  </cols>
  <sheetData>
    <row r="1" ht="35" customHeight="1">
      <c r="A1" s="11" t="inlineStr">
        <is>
          <t>ISMS-IMP-A.8.8.1  —  SCANNER INVENTORY</t>
        </is>
      </c>
    </row>
    <row r="2">
      <c r="A2" s="12" t="inlineStr">
        <is>
          <t>ISO/IEC 27001:2022 — Control A.8.8: Management of Technical Vulnerabilities</t>
        </is>
      </c>
    </row>
    <row r="3">
      <c r="A3" s="6" t="n"/>
    </row>
    <row r="4">
      <c r="A4" s="13" t="inlineStr">
        <is>
          <t>Scanner_ID</t>
        </is>
      </c>
      <c r="B4" s="13" t="inlineStr">
        <is>
          <t>Scanner_Name</t>
        </is>
      </c>
      <c r="C4" s="13" t="inlineStr">
        <is>
          <t>Vendor</t>
        </is>
      </c>
      <c r="D4" s="13" t="inlineStr">
        <is>
          <t>Product_Version</t>
        </is>
      </c>
      <c r="E4" s="13" t="inlineStr">
        <is>
          <t>Scan_Type</t>
        </is>
      </c>
      <c r="F4" s="13" t="inlineStr">
        <is>
          <t>Status</t>
        </is>
      </c>
      <c r="G4" s="13" t="inlineStr">
        <is>
          <t>IP_Address</t>
        </is>
      </c>
      <c r="H4" s="13" t="inlineStr">
        <is>
          <t>Deployment_Type</t>
        </is>
      </c>
      <c r="I4" s="13" t="inlineStr">
        <is>
          <t>Managed_By</t>
        </is>
      </c>
      <c r="J4" s="13" t="inlineStr">
        <is>
          <t>Scan_Protocols</t>
        </is>
      </c>
      <c r="K4" s="13" t="inlineStr">
        <is>
          <t>Auth_Method</t>
        </is>
      </c>
      <c r="L4" s="13" t="inlineStr">
        <is>
          <t>Network_Segment</t>
        </is>
      </c>
      <c r="M4" s="13" t="inlineStr">
        <is>
          <t>Scan_Frequency</t>
        </is>
      </c>
      <c r="N4" s="13" t="inlineStr">
        <is>
          <t>Last_Scan_Date</t>
        </is>
      </c>
      <c r="O4" s="13" t="inlineStr">
        <is>
          <t>Next_Scheduled_Scan</t>
        </is>
      </c>
      <c r="P4" s="13" t="inlineStr">
        <is>
          <t>Plugin_Feed</t>
        </is>
      </c>
      <c r="Q4" s="13" t="inlineStr">
        <is>
          <t>Agent_Based</t>
        </is>
      </c>
      <c r="R4" s="13" t="inlineStr">
        <is>
          <t>Agentless_Supported</t>
        </is>
      </c>
      <c r="S4" s="13" t="inlineStr">
        <is>
          <t>API_Integration</t>
        </is>
      </c>
      <c r="T4" s="13" t="inlineStr">
        <is>
          <t>Deployment_Date</t>
        </is>
      </c>
      <c r="U4" s="13" t="inlineStr">
        <is>
          <t>CVSS_v40_Support</t>
        </is>
      </c>
    </row>
    <row r="5">
      <c r="A5" s="14" t="inlineStr">
        <is>
          <t>SCN-001</t>
        </is>
      </c>
      <c r="B5" s="14" t="inlineStr">
        <is>
          <t>Tenable Nessus</t>
        </is>
      </c>
      <c r="C5" s="14" t="inlineStr">
        <is>
          <t>Tenable</t>
        </is>
      </c>
      <c r="D5" s="14" t="inlineStr">
        <is>
          <t>10.7.0</t>
        </is>
      </c>
      <c r="E5" s="14" t="inlineStr">
        <is>
          <t>Network</t>
        </is>
      </c>
      <c r="F5" s="14" t="inlineStr">
        <is>
          <t>Active</t>
        </is>
      </c>
      <c r="G5" s="14" t="inlineStr">
        <is>
          <t>192.168.1.100</t>
        </is>
      </c>
      <c r="H5" s="14" t="inlineStr">
        <is>
          <t>On-Premises</t>
        </is>
      </c>
      <c r="I5" s="14" t="inlineStr">
        <is>
          <t>Security Team</t>
        </is>
      </c>
      <c r="J5" s="14" t="inlineStr">
        <is>
          <t>TCP/UDP</t>
        </is>
      </c>
      <c r="K5" s="14" t="inlineStr">
        <is>
          <t>Credential</t>
        </is>
      </c>
      <c r="L5" s="14" t="inlineStr">
        <is>
          <t>10.0.0.0/8</t>
        </is>
      </c>
      <c r="M5" s="14" t="inlineStr">
        <is>
          <t>Daily</t>
        </is>
      </c>
      <c r="N5" s="14" t="inlineStr">
        <is>
          <t>01.01.2026</t>
        </is>
      </c>
      <c r="O5" s="14" t="inlineStr">
        <is>
          <t>02.01.2026</t>
        </is>
      </c>
      <c r="P5" s="14" t="inlineStr">
        <is>
          <t>Tenable Plugins</t>
        </is>
      </c>
      <c r="Q5" s="14" t="inlineStr">
        <is>
          <t>Yes</t>
        </is>
      </c>
      <c r="R5" s="14" t="inlineStr">
        <is>
          <t>Yes</t>
        </is>
      </c>
      <c r="S5" s="14" t="inlineStr">
        <is>
          <t>Yes</t>
        </is>
      </c>
      <c r="T5" s="14" t="inlineStr">
        <is>
          <t>01.06.2025</t>
        </is>
      </c>
      <c r="U5" s="14" t="inlineStr">
        <is>
          <t>Yes</t>
        </is>
      </c>
    </row>
    <row r="6">
      <c r="A6" s="15" t="n"/>
      <c r="B6" s="15" t="n"/>
      <c r="C6" s="15" t="n"/>
      <c r="D6" s="15" t="n"/>
      <c r="E6" s="15" t="n"/>
      <c r="F6" s="15" t="n"/>
      <c r="G6" s="15" t="n"/>
      <c r="H6" s="15" t="n"/>
      <c r="I6" s="15" t="n"/>
      <c r="J6" s="15" t="n"/>
      <c r="K6" s="15" t="n"/>
      <c r="L6" s="15" t="n"/>
      <c r="M6" s="15" t="n"/>
      <c r="N6" s="15" t="n"/>
      <c r="O6" s="15" t="n"/>
      <c r="P6" s="15" t="n"/>
      <c r="Q6" s="15" t="n"/>
      <c r="R6" s="15" t="n"/>
      <c r="S6" s="15" t="n"/>
      <c r="T6" s="15" t="n"/>
      <c r="U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c r="U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c r="U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c r="U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row>
  </sheetData>
  <mergeCells count="3">
    <mergeCell ref="A1:U1"/>
    <mergeCell ref="A3:U3"/>
    <mergeCell ref="A2:U2"/>
  </mergeCells>
  <dataValidations count="7">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"Network,Web,Database,Cloud,Container,Endpoint,SAST/DAST"</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"Active,Inactive,Maintenance,Decommissioned"</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"On-Premises,Cloud,Hybrid,SaaS"</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"Credential,Certificate,API Key,Agentless,Unauthenticated"</formula1>
    </dataValidation>
    <dataValidation sqref="M6 M7 M8 M9 M10 M11 M12 M13 M14 M15 M16 M17 M18 M19 M20 M21 M22 M23 M24 M25 M26 M27 M28 M29 M30 M31 M32 M33 M34 M35 M36 M37 M38 M39 M40 M41 M42 M43 M44 M45 M46 M47 M48 M49 M50 M51 M52 M53 M54 M55" showDropDown="0" showInputMessage="0" showErrorMessage="0" allowBlank="1" type="list">
      <formula1>"Daily,Weekly,Biweekly,Monthly,Quarterly,On-Demand"</formula1>
    </dataValidation>
    <dataValidation sqref="Q6 Q7 Q8 Q9 Q10 Q11 Q12 Q13 Q14 Q15 Q16 Q17 Q18 Q19 Q20 Q21 Q22 Q23 Q24 Q25 Q26 Q27 Q28 Q29 Q30 Q31 Q32 Q33 Q34 Q35 Q36 Q37 Q38 Q39 Q40 Q41 Q42 Q43 Q44 Q45 Q46 Q47 Q48 Q49 Q50 Q51 Q52 Q53 Q54 Q55 R6 R7 R8 R9 R10 R11 R12 R13 R14 R15 R16 R17 R18 R19 R20 R21 R22 R23 R24 R25 R26 R27 R28 R29 R30 R31 R32 R33 R34 R35 R36 R37 R38 R39 R40 R41 R42 R43 R44 R45 R46 R47 R48 R49 R50 R51 R52 R53 R54 R55" showDropDown="0" showInputMessage="0" showErrorMessage="0" allowBlank="1" type="list">
      <formula1>"Yes,No"</formula1>
    </dataValidation>
    <dataValidation sqref="U6 U7 U8 U9 U10 U11 U12 U13 U14 U15 U16 U17 U18 U19 U20 U21 U22 U23 U24 U25 U26 U27 U28 U29 U30 U31 U32 U33 U34 U35 U36 U37 U38 U39 U40 U41 U42 U43 U44 U45 U46 U47 U48 U49 U50 U51 U52 U53 U54 U55" showDropDown="0" showInputMessage="0" showErrorMessage="0" allowBlank="1" type="list">
      <formula1>"Yes,No,Roadmap,Unknown"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5"/>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16" customWidth="1" min="3" max="3"/>
    <col width="14" customWidth="1" min="4" max="4"/>
    <col width="14" customWidth="1" min="5" max="5"/>
    <col width="16" customWidth="1" min="6" max="6"/>
    <col width="14" customWidth="1" min="7" max="7"/>
    <col width="14" customWidth="1" min="8" max="8"/>
    <col width="20" customWidth="1" min="9" max="9"/>
    <col width="14" customWidth="1" min="10" max="10"/>
    <col width="14" customWidth="1" min="11" max="11"/>
    <col width="18" customWidth="1" min="12" max="12"/>
    <col width="30" customWidth="1" min="13" max="13"/>
  </cols>
  <sheetData>
    <row r="1" ht="35" customHeight="1">
      <c r="A1" s="11" t="inlineStr">
        <is>
          <t>ISMS-IMP-A.8.8.1  —  ASSET SCANNER MAPPING</t>
        </is>
      </c>
    </row>
    <row r="2">
      <c r="A2" s="12" t="inlineStr">
        <is>
          <t>ISO/IEC 27001:2022 — Control A.8.8: Management of Technical Vulnerabilities</t>
        </is>
      </c>
    </row>
    <row r="3">
      <c r="A3" s="6" t="n"/>
    </row>
    <row r="4">
      <c r="A4" s="13" t="inlineStr">
        <is>
          <t>Asset_ID</t>
        </is>
      </c>
      <c r="B4" s="13" t="inlineStr">
        <is>
          <t>Asset_Name</t>
        </is>
      </c>
      <c r="C4" s="13" t="inlineStr">
        <is>
          <t>Asset_Type</t>
        </is>
      </c>
      <c r="D4" s="13" t="inlineStr">
        <is>
          <t>IP_Address</t>
        </is>
      </c>
      <c r="E4" s="13" t="inlineStr">
        <is>
          <t>Environment</t>
        </is>
      </c>
      <c r="F4" s="13" t="inlineStr">
        <is>
          <t>Owner</t>
        </is>
      </c>
      <c r="G4" s="13" t="inlineStr">
        <is>
          <t>Department</t>
        </is>
      </c>
      <c r="H4" s="13" t="inlineStr">
        <is>
          <t>Scan_Frequency</t>
        </is>
      </c>
      <c r="I4" s="13" t="inlineStr">
        <is>
          <t>Scanner_Name</t>
        </is>
      </c>
      <c r="J4" s="13" t="inlineStr">
        <is>
          <t>Asset_Criticality</t>
        </is>
      </c>
      <c r="K4" s="13" t="inlineStr">
        <is>
          <t>Last_Scan_Date</t>
        </is>
      </c>
      <c r="L4" s="13" t="inlineStr">
        <is>
          <t>Scan_Coverage_Status</t>
        </is>
      </c>
      <c r="M4" s="13" t="inlineStr">
        <is>
          <t>Notes</t>
        </is>
      </c>
    </row>
    <row r="5">
      <c r="A5" s="14" t="inlineStr">
        <is>
          <t>AST-001</t>
        </is>
      </c>
      <c r="B5" s="14" t="inlineStr">
        <is>
          <t>web-prod-01</t>
        </is>
      </c>
      <c r="C5" s="14" t="inlineStr">
        <is>
          <t>Server</t>
        </is>
      </c>
      <c r="D5" s="14" t="inlineStr">
        <is>
          <t>10.0.1.50</t>
        </is>
      </c>
      <c r="E5" s="14" t="inlineStr">
        <is>
          <t>Production</t>
        </is>
      </c>
      <c r="F5" s="14" t="inlineStr">
        <is>
          <t>J.Smith</t>
        </is>
      </c>
      <c r="G5" s="14" t="inlineStr">
        <is>
          <t>IT Operations</t>
        </is>
      </c>
      <c r="H5" s="14" t="inlineStr">
        <is>
          <t>Daily</t>
        </is>
      </c>
      <c r="I5" s="14" t="inlineStr">
        <is>
          <t>Tenable Nessus</t>
        </is>
      </c>
      <c r="J5" s="14" t="inlineStr">
        <is>
          <t>Critical</t>
        </is>
      </c>
      <c r="K5" s="14" t="inlineStr">
        <is>
          <t>01.01.2026</t>
        </is>
      </c>
      <c r="L5" s="14" t="inlineStr">
        <is>
          <t>Covered</t>
        </is>
      </c>
      <c r="M5" s="14" t="inlineStr">
        <is>
          <t>Primary web server</t>
        </is>
      </c>
    </row>
    <row r="6">
      <c r="A6" s="15" t="n"/>
      <c r="B6" s="15" t="n"/>
      <c r="C6" s="15" t="n"/>
      <c r="D6" s="15" t="n"/>
      <c r="E6" s="15" t="n"/>
      <c r="F6" s="15" t="n"/>
      <c r="G6" s="15" t="n"/>
      <c r="H6" s="15" t="n"/>
      <c r="I6" s="15" t="n"/>
      <c r="J6" s="15" t="n"/>
      <c r="K6" s="15" t="n"/>
      <c r="L6" s="15" t="n"/>
      <c r="M6" s="15" t="n"/>
    </row>
    <row r="7">
      <c r="A7" s="15" t="n"/>
      <c r="B7" s="15" t="n"/>
      <c r="C7" s="15" t="n"/>
      <c r="D7" s="15" t="n"/>
      <c r="E7" s="15" t="n"/>
      <c r="F7" s="15" t="n"/>
      <c r="G7" s="15" t="n"/>
      <c r="H7" s="15" t="n"/>
      <c r="I7" s="15" t="n"/>
      <c r="J7" s="15" t="n"/>
      <c r="K7" s="15" t="n"/>
      <c r="L7" s="15" t="n"/>
      <c r="M7" s="15" t="n"/>
    </row>
    <row r="8">
      <c r="A8" s="15" t="n"/>
      <c r="B8" s="15" t="n"/>
      <c r="C8" s="15" t="n"/>
      <c r="D8" s="15" t="n"/>
      <c r="E8" s="15" t="n"/>
      <c r="F8" s="15" t="n"/>
      <c r="G8" s="15" t="n"/>
      <c r="H8" s="15" t="n"/>
      <c r="I8" s="15" t="n"/>
      <c r="J8" s="15" t="n"/>
      <c r="K8" s="15" t="n"/>
      <c r="L8" s="15" t="n"/>
      <c r="M8" s="15" t="n"/>
    </row>
    <row r="9">
      <c r="A9" s="15" t="n"/>
      <c r="B9" s="15" t="n"/>
      <c r="C9" s="15" t="n"/>
      <c r="D9" s="15" t="n"/>
      <c r="E9" s="15" t="n"/>
      <c r="F9" s="15" t="n"/>
      <c r="G9" s="15" t="n"/>
      <c r="H9" s="15" t="n"/>
      <c r="I9" s="15" t="n"/>
      <c r="J9" s="15" t="n"/>
      <c r="K9" s="15" t="n"/>
      <c r="L9" s="15" t="n"/>
      <c r="M9" s="15" t="n"/>
    </row>
    <row r="10">
      <c r="A10" s="15" t="n"/>
      <c r="B10" s="15" t="n"/>
      <c r="C10" s="15" t="n"/>
      <c r="D10" s="15" t="n"/>
      <c r="E10" s="15" t="n"/>
      <c r="F10" s="15" t="n"/>
      <c r="G10" s="15" t="n"/>
      <c r="H10" s="15" t="n"/>
      <c r="I10" s="15" t="n"/>
      <c r="J10" s="15" t="n"/>
      <c r="K10" s="15" t="n"/>
      <c r="L10" s="15" t="n"/>
      <c r="M10" s="15" t="n"/>
    </row>
    <row r="11">
      <c r="A11" s="15" t="n"/>
      <c r="B11" s="15" t="n"/>
      <c r="C11" s="15" t="n"/>
      <c r="D11" s="15" t="n"/>
      <c r="E11" s="15" t="n"/>
      <c r="F11" s="15" t="n"/>
      <c r="G11" s="15" t="n"/>
      <c r="H11" s="15" t="n"/>
      <c r="I11" s="15" t="n"/>
      <c r="J11" s="15" t="n"/>
      <c r="K11" s="15" t="n"/>
      <c r="L11" s="15" t="n"/>
      <c r="M11" s="15" t="n"/>
    </row>
    <row r="12">
      <c r="A12" s="15" t="n"/>
      <c r="B12" s="15" t="n"/>
      <c r="C12" s="15" t="n"/>
      <c r="D12" s="15" t="n"/>
      <c r="E12" s="15" t="n"/>
      <c r="F12" s="15" t="n"/>
      <c r="G12" s="15" t="n"/>
      <c r="H12" s="15" t="n"/>
      <c r="I12" s="15" t="n"/>
      <c r="J12" s="15" t="n"/>
      <c r="K12" s="15" t="n"/>
      <c r="L12" s="15" t="n"/>
      <c r="M12" s="15" t="n"/>
    </row>
    <row r="13">
      <c r="A13" s="15" t="n"/>
      <c r="B13" s="15" t="n"/>
      <c r="C13" s="15" t="n"/>
      <c r="D13" s="15" t="n"/>
      <c r="E13" s="15" t="n"/>
      <c r="F13" s="15" t="n"/>
      <c r="G13" s="15" t="n"/>
      <c r="H13" s="15" t="n"/>
      <c r="I13" s="15" t="n"/>
      <c r="J13" s="15" t="n"/>
      <c r="K13" s="15" t="n"/>
      <c r="L13" s="15" t="n"/>
      <c r="M13" s="15" t="n"/>
    </row>
    <row r="14">
      <c r="A14" s="15" t="n"/>
      <c r="B14" s="15" t="n"/>
      <c r="C14" s="15" t="n"/>
      <c r="D14" s="15" t="n"/>
      <c r="E14" s="15" t="n"/>
      <c r="F14" s="15" t="n"/>
      <c r="G14" s="15" t="n"/>
      <c r="H14" s="15" t="n"/>
      <c r="I14" s="15" t="n"/>
      <c r="J14" s="15" t="n"/>
      <c r="K14" s="15" t="n"/>
      <c r="L14" s="15" t="n"/>
      <c r="M14" s="15" t="n"/>
    </row>
    <row r="15">
      <c r="A15" s="15" t="n"/>
      <c r="B15" s="15" t="n"/>
      <c r="C15" s="15" t="n"/>
      <c r="D15" s="15" t="n"/>
      <c r="E15" s="15" t="n"/>
      <c r="F15" s="15" t="n"/>
      <c r="G15" s="15" t="n"/>
      <c r="H15" s="15" t="n"/>
      <c r="I15" s="15" t="n"/>
      <c r="J15" s="15" t="n"/>
      <c r="K15" s="15" t="n"/>
      <c r="L15" s="15" t="n"/>
      <c r="M15" s="15" t="n"/>
    </row>
    <row r="16">
      <c r="A16" s="15" t="n"/>
      <c r="B16" s="15" t="n"/>
      <c r="C16" s="15" t="n"/>
      <c r="D16" s="15" t="n"/>
      <c r="E16" s="15" t="n"/>
      <c r="F16" s="15" t="n"/>
      <c r="G16" s="15" t="n"/>
      <c r="H16" s="15" t="n"/>
      <c r="I16" s="15" t="n"/>
      <c r="J16" s="15" t="n"/>
      <c r="K16" s="15" t="n"/>
      <c r="L16" s="15" t="n"/>
      <c r="M16" s="15" t="n"/>
    </row>
    <row r="17">
      <c r="A17" s="15" t="n"/>
      <c r="B17" s="15" t="n"/>
      <c r="C17" s="15" t="n"/>
      <c r="D17" s="15" t="n"/>
      <c r="E17" s="15" t="n"/>
      <c r="F17" s="15" t="n"/>
      <c r="G17" s="15" t="n"/>
      <c r="H17" s="15" t="n"/>
      <c r="I17" s="15" t="n"/>
      <c r="J17" s="15" t="n"/>
      <c r="K17" s="15" t="n"/>
      <c r="L17" s="15" t="n"/>
      <c r="M17" s="15" t="n"/>
    </row>
    <row r="18">
      <c r="A18" s="15" t="n"/>
      <c r="B18" s="15" t="n"/>
      <c r="C18" s="15" t="n"/>
      <c r="D18" s="15" t="n"/>
      <c r="E18" s="15" t="n"/>
      <c r="F18" s="15" t="n"/>
      <c r="G18" s="15" t="n"/>
      <c r="H18" s="15" t="n"/>
      <c r="I18" s="15" t="n"/>
      <c r="J18" s="15" t="n"/>
      <c r="K18" s="15" t="n"/>
      <c r="L18" s="15" t="n"/>
      <c r="M18" s="15" t="n"/>
    </row>
    <row r="19">
      <c r="A19" s="15" t="n"/>
      <c r="B19" s="15" t="n"/>
      <c r="C19" s="15" t="n"/>
      <c r="D19" s="15" t="n"/>
      <c r="E19" s="15" t="n"/>
      <c r="F19" s="15" t="n"/>
      <c r="G19" s="15" t="n"/>
      <c r="H19" s="15" t="n"/>
      <c r="I19" s="15" t="n"/>
      <c r="J19" s="15" t="n"/>
      <c r="K19" s="15" t="n"/>
      <c r="L19" s="15" t="n"/>
      <c r="M19" s="15" t="n"/>
    </row>
    <row r="20">
      <c r="A20" s="15" t="n"/>
      <c r="B20" s="15" t="n"/>
      <c r="C20" s="15" t="n"/>
      <c r="D20" s="15" t="n"/>
      <c r="E20" s="15" t="n"/>
      <c r="F20" s="15" t="n"/>
      <c r="G20" s="15" t="n"/>
      <c r="H20" s="15" t="n"/>
      <c r="I20" s="15" t="n"/>
      <c r="J20" s="15" t="n"/>
      <c r="K20" s="15" t="n"/>
      <c r="L20" s="15" t="n"/>
      <c r="M20" s="15" t="n"/>
    </row>
    <row r="21">
      <c r="A21" s="15" t="n"/>
      <c r="B21" s="15" t="n"/>
      <c r="C21" s="15" t="n"/>
      <c r="D21" s="15" t="n"/>
      <c r="E21" s="15" t="n"/>
      <c r="F21" s="15" t="n"/>
      <c r="G21" s="15" t="n"/>
      <c r="H21" s="15" t="n"/>
      <c r="I21" s="15" t="n"/>
      <c r="J21" s="15" t="n"/>
      <c r="K21" s="15" t="n"/>
      <c r="L21" s="15" t="n"/>
      <c r="M21" s="15" t="n"/>
    </row>
    <row r="22">
      <c r="A22" s="15" t="n"/>
      <c r="B22" s="15" t="n"/>
      <c r="C22" s="15" t="n"/>
      <c r="D22" s="15" t="n"/>
      <c r="E22" s="15" t="n"/>
      <c r="F22" s="15" t="n"/>
      <c r="G22" s="15" t="n"/>
      <c r="H22" s="15" t="n"/>
      <c r="I22" s="15" t="n"/>
      <c r="J22" s="15" t="n"/>
      <c r="K22" s="15" t="n"/>
      <c r="L22" s="15" t="n"/>
      <c r="M22" s="15" t="n"/>
    </row>
    <row r="23">
      <c r="A23" s="15" t="n"/>
      <c r="B23" s="15" t="n"/>
      <c r="C23" s="15" t="n"/>
      <c r="D23" s="15" t="n"/>
      <c r="E23" s="15" t="n"/>
      <c r="F23" s="15" t="n"/>
      <c r="G23" s="15" t="n"/>
      <c r="H23" s="15" t="n"/>
      <c r="I23" s="15" t="n"/>
      <c r="J23" s="15" t="n"/>
      <c r="K23" s="15" t="n"/>
      <c r="L23" s="15" t="n"/>
      <c r="M23" s="15" t="n"/>
    </row>
    <row r="24">
      <c r="A24" s="15" t="n"/>
      <c r="B24" s="15" t="n"/>
      <c r="C24" s="15" t="n"/>
      <c r="D24" s="15" t="n"/>
      <c r="E24" s="15" t="n"/>
      <c r="F24" s="15" t="n"/>
      <c r="G24" s="15" t="n"/>
      <c r="H24" s="15" t="n"/>
      <c r="I24" s="15" t="n"/>
      <c r="J24" s="15" t="n"/>
      <c r="K24" s="15" t="n"/>
      <c r="L24" s="15" t="n"/>
      <c r="M24" s="15" t="n"/>
    </row>
    <row r="25">
      <c r="A25" s="15" t="n"/>
      <c r="B25" s="15" t="n"/>
      <c r="C25" s="15" t="n"/>
      <c r="D25" s="15" t="n"/>
      <c r="E25" s="15" t="n"/>
      <c r="F25" s="15" t="n"/>
      <c r="G25" s="15" t="n"/>
      <c r="H25" s="15" t="n"/>
      <c r="I25" s="15" t="n"/>
      <c r="J25" s="15" t="n"/>
      <c r="K25" s="15" t="n"/>
      <c r="L25" s="15" t="n"/>
      <c r="M25" s="15" t="n"/>
    </row>
    <row r="26">
      <c r="A26" s="15" t="n"/>
      <c r="B26" s="15" t="n"/>
      <c r="C26" s="15" t="n"/>
      <c r="D26" s="15" t="n"/>
      <c r="E26" s="15" t="n"/>
      <c r="F26" s="15" t="n"/>
      <c r="G26" s="15" t="n"/>
      <c r="H26" s="15" t="n"/>
      <c r="I26" s="15" t="n"/>
      <c r="J26" s="15" t="n"/>
      <c r="K26" s="15" t="n"/>
      <c r="L26" s="15" t="n"/>
      <c r="M26" s="15" t="n"/>
    </row>
    <row r="27">
      <c r="A27" s="15" t="n"/>
      <c r="B27" s="15" t="n"/>
      <c r="C27" s="15" t="n"/>
      <c r="D27" s="15" t="n"/>
      <c r="E27" s="15" t="n"/>
      <c r="F27" s="15" t="n"/>
      <c r="G27" s="15" t="n"/>
      <c r="H27" s="15" t="n"/>
      <c r="I27" s="15" t="n"/>
      <c r="J27" s="15" t="n"/>
      <c r="K27" s="15" t="n"/>
      <c r="L27" s="15" t="n"/>
      <c r="M27" s="15" t="n"/>
    </row>
    <row r="28">
      <c r="A28" s="15" t="n"/>
      <c r="B28" s="15" t="n"/>
      <c r="C28" s="15" t="n"/>
      <c r="D28" s="15" t="n"/>
      <c r="E28" s="15" t="n"/>
      <c r="F28" s="15" t="n"/>
      <c r="G28" s="15" t="n"/>
      <c r="H28" s="15" t="n"/>
      <c r="I28" s="15" t="n"/>
      <c r="J28" s="15" t="n"/>
      <c r="K28" s="15" t="n"/>
      <c r="L28" s="15" t="n"/>
      <c r="M28" s="15" t="n"/>
    </row>
    <row r="29">
      <c r="A29" s="15" t="n"/>
      <c r="B29" s="15" t="n"/>
      <c r="C29" s="15" t="n"/>
      <c r="D29" s="15" t="n"/>
      <c r="E29" s="15" t="n"/>
      <c r="F29" s="15" t="n"/>
      <c r="G29" s="15" t="n"/>
      <c r="H29" s="15" t="n"/>
      <c r="I29" s="15" t="n"/>
      <c r="J29" s="15" t="n"/>
      <c r="K29" s="15" t="n"/>
      <c r="L29" s="15" t="n"/>
      <c r="M29" s="15" t="n"/>
    </row>
    <row r="30">
      <c r="A30" s="15" t="n"/>
      <c r="B30" s="15" t="n"/>
      <c r="C30" s="15" t="n"/>
      <c r="D30" s="15" t="n"/>
      <c r="E30" s="15" t="n"/>
      <c r="F30" s="15" t="n"/>
      <c r="G30" s="15" t="n"/>
      <c r="H30" s="15" t="n"/>
      <c r="I30" s="15" t="n"/>
      <c r="J30" s="15" t="n"/>
      <c r="K30" s="15" t="n"/>
      <c r="L30" s="15" t="n"/>
      <c r="M30" s="15" t="n"/>
    </row>
    <row r="31">
      <c r="A31" s="15" t="n"/>
      <c r="B31" s="15" t="n"/>
      <c r="C31" s="15" t="n"/>
      <c r="D31" s="15" t="n"/>
      <c r="E31" s="15" t="n"/>
      <c r="F31" s="15" t="n"/>
      <c r="G31" s="15" t="n"/>
      <c r="H31" s="15" t="n"/>
      <c r="I31" s="15" t="n"/>
      <c r="J31" s="15" t="n"/>
      <c r="K31" s="15" t="n"/>
      <c r="L31" s="15" t="n"/>
      <c r="M31" s="15" t="n"/>
    </row>
    <row r="32">
      <c r="A32" s="15" t="n"/>
      <c r="B32" s="15" t="n"/>
      <c r="C32" s="15" t="n"/>
      <c r="D32" s="15" t="n"/>
      <c r="E32" s="15" t="n"/>
      <c r="F32" s="15" t="n"/>
      <c r="G32" s="15" t="n"/>
      <c r="H32" s="15" t="n"/>
      <c r="I32" s="15" t="n"/>
      <c r="J32" s="15" t="n"/>
      <c r="K32" s="15" t="n"/>
      <c r="L32" s="15" t="n"/>
      <c r="M32" s="15" t="n"/>
    </row>
    <row r="33">
      <c r="A33" s="15" t="n"/>
      <c r="B33" s="15" t="n"/>
      <c r="C33" s="15" t="n"/>
      <c r="D33" s="15" t="n"/>
      <c r="E33" s="15" t="n"/>
      <c r="F33" s="15" t="n"/>
      <c r="G33" s="15" t="n"/>
      <c r="H33" s="15" t="n"/>
      <c r="I33" s="15" t="n"/>
      <c r="J33" s="15" t="n"/>
      <c r="K33" s="15" t="n"/>
      <c r="L33" s="15" t="n"/>
      <c r="M33" s="15" t="n"/>
    </row>
    <row r="34">
      <c r="A34" s="15" t="n"/>
      <c r="B34" s="15" t="n"/>
      <c r="C34" s="15" t="n"/>
      <c r="D34" s="15" t="n"/>
      <c r="E34" s="15" t="n"/>
      <c r="F34" s="15" t="n"/>
      <c r="G34" s="15" t="n"/>
      <c r="H34" s="15" t="n"/>
      <c r="I34" s="15" t="n"/>
      <c r="J34" s="15" t="n"/>
      <c r="K34" s="15" t="n"/>
      <c r="L34" s="15" t="n"/>
      <c r="M34" s="15" t="n"/>
    </row>
    <row r="35">
      <c r="A35" s="15" t="n"/>
      <c r="B35" s="15" t="n"/>
      <c r="C35" s="15" t="n"/>
      <c r="D35" s="15" t="n"/>
      <c r="E35" s="15" t="n"/>
      <c r="F35" s="15" t="n"/>
      <c r="G35" s="15" t="n"/>
      <c r="H35" s="15" t="n"/>
      <c r="I35" s="15" t="n"/>
      <c r="J35" s="15" t="n"/>
      <c r="K35" s="15" t="n"/>
      <c r="L35" s="15" t="n"/>
      <c r="M35" s="15" t="n"/>
    </row>
    <row r="36">
      <c r="A36" s="15" t="n"/>
      <c r="B36" s="15" t="n"/>
      <c r="C36" s="15" t="n"/>
      <c r="D36" s="15" t="n"/>
      <c r="E36" s="15" t="n"/>
      <c r="F36" s="15" t="n"/>
      <c r="G36" s="15" t="n"/>
      <c r="H36" s="15" t="n"/>
      <c r="I36" s="15" t="n"/>
      <c r="J36" s="15" t="n"/>
      <c r="K36" s="15" t="n"/>
      <c r="L36" s="15" t="n"/>
      <c r="M36" s="15" t="n"/>
    </row>
    <row r="37">
      <c r="A37" s="15" t="n"/>
      <c r="B37" s="15" t="n"/>
      <c r="C37" s="15" t="n"/>
      <c r="D37" s="15" t="n"/>
      <c r="E37" s="15" t="n"/>
      <c r="F37" s="15" t="n"/>
      <c r="G37" s="15" t="n"/>
      <c r="H37" s="15" t="n"/>
      <c r="I37" s="15" t="n"/>
      <c r="J37" s="15" t="n"/>
      <c r="K37" s="15" t="n"/>
      <c r="L37" s="15" t="n"/>
      <c r="M37" s="15" t="n"/>
    </row>
    <row r="38">
      <c r="A38" s="15" t="n"/>
      <c r="B38" s="15" t="n"/>
      <c r="C38" s="15" t="n"/>
      <c r="D38" s="15" t="n"/>
      <c r="E38" s="15" t="n"/>
      <c r="F38" s="15" t="n"/>
      <c r="G38" s="15" t="n"/>
      <c r="H38" s="15" t="n"/>
      <c r="I38" s="15" t="n"/>
      <c r="J38" s="15" t="n"/>
      <c r="K38" s="15" t="n"/>
      <c r="L38" s="15" t="n"/>
      <c r="M38" s="15" t="n"/>
    </row>
    <row r="39">
      <c r="A39" s="15" t="n"/>
      <c r="B39" s="15" t="n"/>
      <c r="C39" s="15" t="n"/>
      <c r="D39" s="15" t="n"/>
      <c r="E39" s="15" t="n"/>
      <c r="F39" s="15" t="n"/>
      <c r="G39" s="15" t="n"/>
      <c r="H39" s="15" t="n"/>
      <c r="I39" s="15" t="n"/>
      <c r="J39" s="15" t="n"/>
      <c r="K39" s="15" t="n"/>
      <c r="L39" s="15" t="n"/>
      <c r="M39" s="15" t="n"/>
    </row>
    <row r="40">
      <c r="A40" s="15" t="n"/>
      <c r="B40" s="15" t="n"/>
      <c r="C40" s="15" t="n"/>
      <c r="D40" s="15" t="n"/>
      <c r="E40" s="15" t="n"/>
      <c r="F40" s="15" t="n"/>
      <c r="G40" s="15" t="n"/>
      <c r="H40" s="15" t="n"/>
      <c r="I40" s="15" t="n"/>
      <c r="J40" s="15" t="n"/>
      <c r="K40" s="15" t="n"/>
      <c r="L40" s="15" t="n"/>
      <c r="M40" s="15" t="n"/>
    </row>
    <row r="41">
      <c r="A41" s="15" t="n"/>
      <c r="B41" s="15" t="n"/>
      <c r="C41" s="15" t="n"/>
      <c r="D41" s="15" t="n"/>
      <c r="E41" s="15" t="n"/>
      <c r="F41" s="15" t="n"/>
      <c r="G41" s="15" t="n"/>
      <c r="H41" s="15" t="n"/>
      <c r="I41" s="15" t="n"/>
      <c r="J41" s="15" t="n"/>
      <c r="K41" s="15" t="n"/>
      <c r="L41" s="15" t="n"/>
      <c r="M41" s="15" t="n"/>
    </row>
    <row r="42">
      <c r="A42" s="15" t="n"/>
      <c r="B42" s="15" t="n"/>
      <c r="C42" s="15" t="n"/>
      <c r="D42" s="15" t="n"/>
      <c r="E42" s="15" t="n"/>
      <c r="F42" s="15" t="n"/>
      <c r="G42" s="15" t="n"/>
      <c r="H42" s="15" t="n"/>
      <c r="I42" s="15" t="n"/>
      <c r="J42" s="15" t="n"/>
      <c r="K42" s="15" t="n"/>
      <c r="L42" s="15" t="n"/>
      <c r="M42" s="15" t="n"/>
    </row>
    <row r="43">
      <c r="A43" s="15" t="n"/>
      <c r="B43" s="15" t="n"/>
      <c r="C43" s="15" t="n"/>
      <c r="D43" s="15" t="n"/>
      <c r="E43" s="15" t="n"/>
      <c r="F43" s="15" t="n"/>
      <c r="G43" s="15" t="n"/>
      <c r="H43" s="15" t="n"/>
      <c r="I43" s="15" t="n"/>
      <c r="J43" s="15" t="n"/>
      <c r="K43" s="15" t="n"/>
      <c r="L43" s="15" t="n"/>
      <c r="M43" s="15" t="n"/>
    </row>
    <row r="44">
      <c r="A44" s="15" t="n"/>
      <c r="B44" s="15" t="n"/>
      <c r="C44" s="15" t="n"/>
      <c r="D44" s="15" t="n"/>
      <c r="E44" s="15" t="n"/>
      <c r="F44" s="15" t="n"/>
      <c r="G44" s="15" t="n"/>
      <c r="H44" s="15" t="n"/>
      <c r="I44" s="15" t="n"/>
      <c r="J44" s="15" t="n"/>
      <c r="K44" s="15" t="n"/>
      <c r="L44" s="15" t="n"/>
      <c r="M44" s="15" t="n"/>
    </row>
    <row r="45">
      <c r="A45" s="15" t="n"/>
      <c r="B45" s="15" t="n"/>
      <c r="C45" s="15" t="n"/>
      <c r="D45" s="15" t="n"/>
      <c r="E45" s="15" t="n"/>
      <c r="F45" s="15" t="n"/>
      <c r="G45" s="15" t="n"/>
      <c r="H45" s="15" t="n"/>
      <c r="I45" s="15" t="n"/>
      <c r="J45" s="15" t="n"/>
      <c r="K45" s="15" t="n"/>
      <c r="L45" s="15" t="n"/>
      <c r="M45" s="15" t="n"/>
    </row>
    <row r="46">
      <c r="A46" s="15" t="n"/>
      <c r="B46" s="15" t="n"/>
      <c r="C46" s="15" t="n"/>
      <c r="D46" s="15" t="n"/>
      <c r="E46" s="15" t="n"/>
      <c r="F46" s="15" t="n"/>
      <c r="G46" s="15" t="n"/>
      <c r="H46" s="15" t="n"/>
      <c r="I46" s="15" t="n"/>
      <c r="J46" s="15" t="n"/>
      <c r="K46" s="15" t="n"/>
      <c r="L46" s="15" t="n"/>
      <c r="M46" s="15" t="n"/>
    </row>
    <row r="47">
      <c r="A47" s="15" t="n"/>
      <c r="B47" s="15" t="n"/>
      <c r="C47" s="15" t="n"/>
      <c r="D47" s="15" t="n"/>
      <c r="E47" s="15" t="n"/>
      <c r="F47" s="15" t="n"/>
      <c r="G47" s="15" t="n"/>
      <c r="H47" s="15" t="n"/>
      <c r="I47" s="15" t="n"/>
      <c r="J47" s="15" t="n"/>
      <c r="K47" s="15" t="n"/>
      <c r="L47" s="15" t="n"/>
      <c r="M47" s="15" t="n"/>
    </row>
    <row r="48">
      <c r="A48" s="15" t="n"/>
      <c r="B48" s="15" t="n"/>
      <c r="C48" s="15" t="n"/>
      <c r="D48" s="15" t="n"/>
      <c r="E48" s="15" t="n"/>
      <c r="F48" s="15" t="n"/>
      <c r="G48" s="15" t="n"/>
      <c r="H48" s="15" t="n"/>
      <c r="I48" s="15" t="n"/>
      <c r="J48" s="15" t="n"/>
      <c r="K48" s="15" t="n"/>
      <c r="L48" s="15" t="n"/>
      <c r="M48" s="15" t="n"/>
    </row>
    <row r="49">
      <c r="A49" s="15" t="n"/>
      <c r="B49" s="15" t="n"/>
      <c r="C49" s="15" t="n"/>
      <c r="D49" s="15" t="n"/>
      <c r="E49" s="15" t="n"/>
      <c r="F49" s="15" t="n"/>
      <c r="G49" s="15" t="n"/>
      <c r="H49" s="15" t="n"/>
      <c r="I49" s="15" t="n"/>
      <c r="J49" s="15" t="n"/>
      <c r="K49" s="15" t="n"/>
      <c r="L49" s="15" t="n"/>
      <c r="M49" s="15" t="n"/>
    </row>
    <row r="50">
      <c r="A50" s="15" t="n"/>
      <c r="B50" s="15" t="n"/>
      <c r="C50" s="15" t="n"/>
      <c r="D50" s="15" t="n"/>
      <c r="E50" s="15" t="n"/>
      <c r="F50" s="15" t="n"/>
      <c r="G50" s="15" t="n"/>
      <c r="H50" s="15" t="n"/>
      <c r="I50" s="15" t="n"/>
      <c r="J50" s="15" t="n"/>
      <c r="K50" s="15" t="n"/>
      <c r="L50" s="15" t="n"/>
      <c r="M50" s="15" t="n"/>
    </row>
    <row r="51">
      <c r="A51" s="15" t="n"/>
      <c r="B51" s="15" t="n"/>
      <c r="C51" s="15" t="n"/>
      <c r="D51" s="15" t="n"/>
      <c r="E51" s="15" t="n"/>
      <c r="F51" s="15" t="n"/>
      <c r="G51" s="15" t="n"/>
      <c r="H51" s="15" t="n"/>
      <c r="I51" s="15" t="n"/>
      <c r="J51" s="15" t="n"/>
      <c r="K51" s="15" t="n"/>
      <c r="L51" s="15" t="n"/>
      <c r="M51" s="15" t="n"/>
    </row>
    <row r="52">
      <c r="A52" s="15" t="n"/>
      <c r="B52" s="15" t="n"/>
      <c r="C52" s="15" t="n"/>
      <c r="D52" s="15" t="n"/>
      <c r="E52" s="15" t="n"/>
      <c r="F52" s="15" t="n"/>
      <c r="G52" s="15" t="n"/>
      <c r="H52" s="15" t="n"/>
      <c r="I52" s="15" t="n"/>
      <c r="J52" s="15" t="n"/>
      <c r="K52" s="15" t="n"/>
      <c r="L52" s="15" t="n"/>
      <c r="M52" s="15" t="n"/>
    </row>
    <row r="53">
      <c r="A53" s="15" t="n"/>
      <c r="B53" s="15" t="n"/>
      <c r="C53" s="15" t="n"/>
      <c r="D53" s="15" t="n"/>
      <c r="E53" s="15" t="n"/>
      <c r="F53" s="15" t="n"/>
      <c r="G53" s="15" t="n"/>
      <c r="H53" s="15" t="n"/>
      <c r="I53" s="15" t="n"/>
      <c r="J53" s="15" t="n"/>
      <c r="K53" s="15" t="n"/>
      <c r="L53" s="15" t="n"/>
      <c r="M53" s="15" t="n"/>
    </row>
    <row r="54">
      <c r="A54" s="15" t="n"/>
      <c r="B54" s="15" t="n"/>
      <c r="C54" s="15" t="n"/>
      <c r="D54" s="15" t="n"/>
      <c r="E54" s="15" t="n"/>
      <c r="F54" s="15" t="n"/>
      <c r="G54" s="15" t="n"/>
      <c r="H54" s="15" t="n"/>
      <c r="I54" s="15" t="n"/>
      <c r="J54" s="15" t="n"/>
      <c r="K54" s="15" t="n"/>
      <c r="L54" s="15" t="n"/>
      <c r="M54" s="15" t="n"/>
    </row>
    <row r="55">
      <c r="A55" s="15" t="n"/>
      <c r="B55" s="15" t="n"/>
      <c r="C55" s="15" t="n"/>
      <c r="D55" s="15" t="n"/>
      <c r="E55" s="15" t="n"/>
      <c r="F55" s="15" t="n"/>
      <c r="G55" s="15" t="n"/>
      <c r="H55" s="15" t="n"/>
      <c r="I55" s="15" t="n"/>
      <c r="J55" s="15" t="n"/>
      <c r="K55" s="15" t="n"/>
      <c r="L55" s="15" t="n"/>
      <c r="M55" s="15" t="n"/>
    </row>
  </sheetData>
  <mergeCells count="3">
    <mergeCell ref="A3:M3"/>
    <mergeCell ref="A2:M2"/>
    <mergeCell ref="A1:M1"/>
  </mergeCells>
  <dataValidations count="5">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"Server,Workstation,Network Device,Cloud Resource,Container,IoT,Other"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"Production,Staging,Development,Management"</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"Daily,Weekly,Biweekly,Monthly,Quarterly"</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1" type="list">
      <formula1>"Critical,High,Medium,Low"</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"Covered,Partial,Not Covered"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5"/>
  <sheetViews>
    <sheetView showGridLines="0" workbookViewId="0">
      <pane ySplit="4" topLeftCell="A5" activePane="bottomLeft" state="frozen"/>
      <selection pane="bottomLeft" activeCell="A1" sqref="A1"/>
    </sheetView>
  </sheetViews>
  <sheetFormatPr baseColWidth="8" defaultRowHeight="15"/>
  <cols>
    <col width="12" customWidth="1" min="1" max="1"/>
    <col width="26" customWidth="1" min="2" max="2"/>
    <col width="20" customWidth="1" min="3" max="3"/>
    <col width="20" customWidth="1" min="4" max="4"/>
    <col width="14" customWidth="1" min="5" max="5"/>
    <col width="12" customWidth="1" min="6" max="6"/>
    <col width="14" customWidth="1" min="7" max="7"/>
    <col width="14" customWidth="1" min="8" max="8"/>
    <col width="14" customWidth="1" min="9" max="9"/>
    <col width="20" customWidth="1" min="10" max="10"/>
    <col width="24" customWidth="1" min="11" max="11"/>
    <col width="30" customWidth="1" min="12" max="12"/>
  </cols>
  <sheetData>
    <row r="1" ht="35" customHeight="1">
      <c r="A1" s="11" t="inlineStr">
        <is>
          <t>ISMS-IMP-A.8.8.1  —  SCAN SCHEDULE</t>
        </is>
      </c>
    </row>
    <row r="2">
      <c r="A2" s="12" t="inlineStr">
        <is>
          <t>ISO/IEC 27001:2022 — Control A.8.8: Management of Technical Vulnerabilities</t>
        </is>
      </c>
    </row>
    <row r="3">
      <c r="A3" s="6" t="n"/>
    </row>
    <row r="4">
      <c r="A4" s="13" t="inlineStr">
        <is>
          <t>Schedule_ID</t>
        </is>
      </c>
      <c r="B4" s="13" t="inlineStr">
        <is>
          <t>Schedule_Name</t>
        </is>
      </c>
      <c r="C4" s="13" t="inlineStr">
        <is>
          <t>Scanner_Name</t>
        </is>
      </c>
      <c r="D4" s="13" t="inlineStr">
        <is>
          <t>Target_Assets</t>
        </is>
      </c>
      <c r="E4" s="13" t="inlineStr">
        <is>
          <t>Scan_Type</t>
        </is>
      </c>
      <c r="F4" s="13" t="inlineStr">
        <is>
          <t>Frequency</t>
        </is>
      </c>
      <c r="G4" s="13" t="inlineStr">
        <is>
          <t>Next_Scan_Date</t>
        </is>
      </c>
      <c r="H4" s="13" t="inlineStr">
        <is>
          <t>Schedule_Status</t>
        </is>
      </c>
      <c r="I4" s="13" t="inlineStr">
        <is>
          <t>Last_Executed</t>
        </is>
      </c>
      <c r="J4" s="13" t="inlineStr">
        <is>
          <t>Auth_Profile</t>
        </is>
      </c>
      <c r="K4" s="13" t="inlineStr">
        <is>
          <t>Notification_Email</t>
        </is>
      </c>
      <c r="L4" s="13" t="inlineStr">
        <is>
          <t>Notes</t>
        </is>
      </c>
    </row>
    <row r="5">
      <c r="A5" s="14" t="inlineStr">
        <is>
          <t>SCH-001</t>
        </is>
      </c>
      <c r="B5" s="14" t="inlineStr">
        <is>
          <t>Daily Production Scan</t>
        </is>
      </c>
      <c r="C5" s="14" t="inlineStr">
        <is>
          <t>Tenable Nessus</t>
        </is>
      </c>
      <c r="D5" s="14" t="inlineStr">
        <is>
          <t>Production Servers</t>
        </is>
      </c>
      <c r="E5" s="14" t="inlineStr">
        <is>
          <t>Network</t>
        </is>
      </c>
      <c r="F5" s="14" t="inlineStr">
        <is>
          <t>Daily</t>
        </is>
      </c>
      <c r="G5" s="14" t="inlineStr">
        <is>
          <t>02.01.2026</t>
        </is>
      </c>
      <c r="H5" s="14" t="inlineStr">
        <is>
          <t>Active</t>
        </is>
      </c>
      <c r="I5" s="14" t="inlineStr">
        <is>
          <t>01.01.2026</t>
        </is>
      </c>
      <c r="J5" s="14" t="inlineStr">
        <is>
          <t>Prod-Credentials</t>
        </is>
      </c>
      <c r="K5" s="14" t="inlineStr">
        <is>
          <t>security@company.com</t>
        </is>
      </c>
      <c r="L5" s="14" t="inlineStr">
        <is>
          <t>Daily full scan of production network</t>
        </is>
      </c>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row r="55">
      <c r="A55" s="15" t="n"/>
      <c r="B55" s="15" t="n"/>
      <c r="C55" s="15" t="n"/>
      <c r="D55" s="15" t="n"/>
      <c r="E55" s="15" t="n"/>
      <c r="F55" s="15" t="n"/>
      <c r="G55" s="15" t="n"/>
      <c r="H55" s="15" t="n"/>
      <c r="I55" s="15" t="n"/>
      <c r="J55" s="15" t="n"/>
      <c r="K55" s="15" t="n"/>
      <c r="L55" s="15" t="n"/>
    </row>
  </sheetData>
  <mergeCells count="3">
    <mergeCell ref="A3:L3"/>
    <mergeCell ref="A2:L2"/>
    <mergeCell ref="A1:L1"/>
  </mergeCells>
  <dataValidations count="3">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"Network,Web,Database,Cloud,Container,Endpoint"</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"Daily,Weekly,Biweekly,Monthly,Quarterly,On-Demand"</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"Active,Paused,Overdue,Inactive"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5"/>
  <sheetViews>
    <sheetView showGridLines="0" workbookViewId="0">
      <pane ySplit="4" topLeftCell="A5" activePane="bottomLeft" state="frozen"/>
      <selection pane="bottomLeft" activeCell="A1" sqref="A1"/>
    </sheetView>
  </sheetViews>
  <sheetFormatPr baseColWidth="8" defaultRowHeight="15"/>
  <cols>
    <col width="12" customWidth="1" min="1" max="1"/>
    <col width="24" customWidth="1" min="2" max="2"/>
    <col width="14" customWidth="1" min="3" max="3"/>
    <col width="14" customWidth="1" min="4" max="4"/>
    <col width="20" customWidth="1" min="5" max="5"/>
    <col width="12" customWidth="1" min="6" max="6"/>
    <col width="14" customWidth="1" min="7" max="7"/>
    <col width="14" customWidth="1" min="8" max="8"/>
    <col width="12" customWidth="1" min="9" max="9"/>
    <col width="12" customWidth="1" min="10" max="10"/>
    <col width="12" customWidth="1" min="11" max="11"/>
    <col width="16" customWidth="1" min="12" max="12"/>
    <col width="30" customWidth="1" min="13" max="13"/>
  </cols>
  <sheetData>
    <row r="1" ht="35" customHeight="1">
      <c r="A1" s="11" t="inlineStr">
        <is>
          <t>ISMS-IMP-A.8.8.1  —  SCAN EXECUTION LOG</t>
        </is>
      </c>
    </row>
    <row r="2">
      <c r="A2" s="12" t="inlineStr">
        <is>
          <t>ISO/IEC 27001:2022 — Control A.8.8: Management of Technical Vulnerabilities</t>
        </is>
      </c>
    </row>
    <row r="3">
      <c r="A3" s="6" t="n"/>
    </row>
    <row r="4">
      <c r="A4" s="13" t="inlineStr">
        <is>
          <t>Scan_ID</t>
        </is>
      </c>
      <c r="B4" s="13" t="inlineStr">
        <is>
          <t>Schedule_Name</t>
        </is>
      </c>
      <c r="C4" s="13" t="inlineStr">
        <is>
          <t>Start_Date</t>
        </is>
      </c>
      <c r="D4" s="13" t="inlineStr">
        <is>
          <t>End_Date</t>
        </is>
      </c>
      <c r="E4" s="13" t="inlineStr">
        <is>
          <t>Scanner_Name</t>
        </is>
      </c>
      <c r="F4" s="13" t="inlineStr">
        <is>
          <t>Status</t>
        </is>
      </c>
      <c r="G4" s="13" t="inlineStr">
        <is>
          <t>Duration_Minutes</t>
        </is>
      </c>
      <c r="H4" s="13" t="inlineStr">
        <is>
          <t>Assets_Scanned</t>
        </is>
      </c>
      <c r="I4" s="13" t="inlineStr">
        <is>
          <t>Vulns_Found</t>
        </is>
      </c>
      <c r="J4" s="13" t="inlineStr">
        <is>
          <t>Critical_Vulns</t>
        </is>
      </c>
      <c r="K4" s="13" t="inlineStr">
        <is>
          <t>High_Vulns</t>
        </is>
      </c>
      <c r="L4" s="13" t="inlineStr">
        <is>
          <t>Errors</t>
        </is>
      </c>
      <c r="M4" s="13" t="inlineStr">
        <is>
          <t>Notes</t>
        </is>
      </c>
    </row>
    <row r="5">
      <c r="A5" s="14" t="inlineStr">
        <is>
          <t>EXC-001</t>
        </is>
      </c>
      <c r="B5" s="14" t="inlineStr">
        <is>
          <t>Daily Production Scan</t>
        </is>
      </c>
      <c r="C5" s="14" t="inlineStr">
        <is>
          <t>01.01.2026</t>
        </is>
      </c>
      <c r="D5" s="14" t="inlineStr">
        <is>
          <t>01.01.2026</t>
        </is>
      </c>
      <c r="E5" s="14" t="inlineStr">
        <is>
          <t>Tenable Nessus</t>
        </is>
      </c>
      <c r="F5" s="14" t="inlineStr">
        <is>
          <t>Complete</t>
        </is>
      </c>
      <c r="G5" s="14" t="inlineStr">
        <is>
          <t>45</t>
        </is>
      </c>
      <c r="H5" s="14" t="inlineStr">
        <is>
          <t>50</t>
        </is>
      </c>
      <c r="I5" s="14" t="inlineStr">
        <is>
          <t>23</t>
        </is>
      </c>
      <c r="J5" s="14" t="inlineStr">
        <is>
          <t>2</t>
        </is>
      </c>
      <c r="K5" s="14" t="inlineStr">
        <is>
          <t>8</t>
        </is>
      </c>
      <c r="L5" s="14" t="inlineStr">
        <is>
          <t>None</t>
        </is>
      </c>
      <c r="M5" s="14" t="inlineStr">
        <is>
          <t>Completed successfully — all targets responsive</t>
        </is>
      </c>
    </row>
    <row r="6">
      <c r="A6" s="15" t="n"/>
      <c r="B6" s="15" t="n"/>
      <c r="C6" s="15" t="n"/>
      <c r="D6" s="15" t="n"/>
      <c r="E6" s="15" t="n"/>
      <c r="F6" s="15" t="n"/>
      <c r="G6" s="15" t="n"/>
      <c r="H6" s="15" t="n"/>
      <c r="I6" s="15" t="n"/>
      <c r="J6" s="15" t="n"/>
      <c r="K6" s="15" t="n"/>
      <c r="L6" s="15" t="n"/>
      <c r="M6" s="15" t="n"/>
    </row>
    <row r="7">
      <c r="A7" s="15" t="n"/>
      <c r="B7" s="15" t="n"/>
      <c r="C7" s="15" t="n"/>
      <c r="D7" s="15" t="n"/>
      <c r="E7" s="15" t="n"/>
      <c r="F7" s="15" t="n"/>
      <c r="G7" s="15" t="n"/>
      <c r="H7" s="15" t="n"/>
      <c r="I7" s="15" t="n"/>
      <c r="J7" s="15" t="n"/>
      <c r="K7" s="15" t="n"/>
      <c r="L7" s="15" t="n"/>
      <c r="M7" s="15" t="n"/>
    </row>
    <row r="8">
      <c r="A8" s="15" t="n"/>
      <c r="B8" s="15" t="n"/>
      <c r="C8" s="15" t="n"/>
      <c r="D8" s="15" t="n"/>
      <c r="E8" s="15" t="n"/>
      <c r="F8" s="15" t="n"/>
      <c r="G8" s="15" t="n"/>
      <c r="H8" s="15" t="n"/>
      <c r="I8" s="15" t="n"/>
      <c r="J8" s="15" t="n"/>
      <c r="K8" s="15" t="n"/>
      <c r="L8" s="15" t="n"/>
      <c r="M8" s="15" t="n"/>
    </row>
    <row r="9">
      <c r="A9" s="15" t="n"/>
      <c r="B9" s="15" t="n"/>
      <c r="C9" s="15" t="n"/>
      <c r="D9" s="15" t="n"/>
      <c r="E9" s="15" t="n"/>
      <c r="F9" s="15" t="n"/>
      <c r="G9" s="15" t="n"/>
      <c r="H9" s="15" t="n"/>
      <c r="I9" s="15" t="n"/>
      <c r="J9" s="15" t="n"/>
      <c r="K9" s="15" t="n"/>
      <c r="L9" s="15" t="n"/>
      <c r="M9" s="15" t="n"/>
    </row>
    <row r="10">
      <c r="A10" s="15" t="n"/>
      <c r="B10" s="15" t="n"/>
      <c r="C10" s="15" t="n"/>
      <c r="D10" s="15" t="n"/>
      <c r="E10" s="15" t="n"/>
      <c r="F10" s="15" t="n"/>
      <c r="G10" s="15" t="n"/>
      <c r="H10" s="15" t="n"/>
      <c r="I10" s="15" t="n"/>
      <c r="J10" s="15" t="n"/>
      <c r="K10" s="15" t="n"/>
      <c r="L10" s="15" t="n"/>
      <c r="M10" s="15" t="n"/>
    </row>
    <row r="11">
      <c r="A11" s="15" t="n"/>
      <c r="B11" s="15" t="n"/>
      <c r="C11" s="15" t="n"/>
      <c r="D11" s="15" t="n"/>
      <c r="E11" s="15" t="n"/>
      <c r="F11" s="15" t="n"/>
      <c r="G11" s="15" t="n"/>
      <c r="H11" s="15" t="n"/>
      <c r="I11" s="15" t="n"/>
      <c r="J11" s="15" t="n"/>
      <c r="K11" s="15" t="n"/>
      <c r="L11" s="15" t="n"/>
      <c r="M11" s="15" t="n"/>
    </row>
    <row r="12">
      <c r="A12" s="15" t="n"/>
      <c r="B12" s="15" t="n"/>
      <c r="C12" s="15" t="n"/>
      <c r="D12" s="15" t="n"/>
      <c r="E12" s="15" t="n"/>
      <c r="F12" s="15" t="n"/>
      <c r="G12" s="15" t="n"/>
      <c r="H12" s="15" t="n"/>
      <c r="I12" s="15" t="n"/>
      <c r="J12" s="15" t="n"/>
      <c r="K12" s="15" t="n"/>
      <c r="L12" s="15" t="n"/>
      <c r="M12" s="15" t="n"/>
    </row>
    <row r="13">
      <c r="A13" s="15" t="n"/>
      <c r="B13" s="15" t="n"/>
      <c r="C13" s="15" t="n"/>
      <c r="D13" s="15" t="n"/>
      <c r="E13" s="15" t="n"/>
      <c r="F13" s="15" t="n"/>
      <c r="G13" s="15" t="n"/>
      <c r="H13" s="15" t="n"/>
      <c r="I13" s="15" t="n"/>
      <c r="J13" s="15" t="n"/>
      <c r="K13" s="15" t="n"/>
      <c r="L13" s="15" t="n"/>
      <c r="M13" s="15" t="n"/>
    </row>
    <row r="14">
      <c r="A14" s="15" t="n"/>
      <c r="B14" s="15" t="n"/>
      <c r="C14" s="15" t="n"/>
      <c r="D14" s="15" t="n"/>
      <c r="E14" s="15" t="n"/>
      <c r="F14" s="15" t="n"/>
      <c r="G14" s="15" t="n"/>
      <c r="H14" s="15" t="n"/>
      <c r="I14" s="15" t="n"/>
      <c r="J14" s="15" t="n"/>
      <c r="K14" s="15" t="n"/>
      <c r="L14" s="15" t="n"/>
      <c r="M14" s="15" t="n"/>
    </row>
    <row r="15">
      <c r="A15" s="15" t="n"/>
      <c r="B15" s="15" t="n"/>
      <c r="C15" s="15" t="n"/>
      <c r="D15" s="15" t="n"/>
      <c r="E15" s="15" t="n"/>
      <c r="F15" s="15" t="n"/>
      <c r="G15" s="15" t="n"/>
      <c r="H15" s="15" t="n"/>
      <c r="I15" s="15" t="n"/>
      <c r="J15" s="15" t="n"/>
      <c r="K15" s="15" t="n"/>
      <c r="L15" s="15" t="n"/>
      <c r="M15" s="15" t="n"/>
    </row>
    <row r="16">
      <c r="A16" s="15" t="n"/>
      <c r="B16" s="15" t="n"/>
      <c r="C16" s="15" t="n"/>
      <c r="D16" s="15" t="n"/>
      <c r="E16" s="15" t="n"/>
      <c r="F16" s="15" t="n"/>
      <c r="G16" s="15" t="n"/>
      <c r="H16" s="15" t="n"/>
      <c r="I16" s="15" t="n"/>
      <c r="J16" s="15" t="n"/>
      <c r="K16" s="15" t="n"/>
      <c r="L16" s="15" t="n"/>
      <c r="M16" s="15" t="n"/>
    </row>
    <row r="17">
      <c r="A17" s="15" t="n"/>
      <c r="B17" s="15" t="n"/>
      <c r="C17" s="15" t="n"/>
      <c r="D17" s="15" t="n"/>
      <c r="E17" s="15" t="n"/>
      <c r="F17" s="15" t="n"/>
      <c r="G17" s="15" t="n"/>
      <c r="H17" s="15" t="n"/>
      <c r="I17" s="15" t="n"/>
      <c r="J17" s="15" t="n"/>
      <c r="K17" s="15" t="n"/>
      <c r="L17" s="15" t="n"/>
      <c r="M17" s="15" t="n"/>
    </row>
    <row r="18">
      <c r="A18" s="15" t="n"/>
      <c r="B18" s="15" t="n"/>
      <c r="C18" s="15" t="n"/>
      <c r="D18" s="15" t="n"/>
      <c r="E18" s="15" t="n"/>
      <c r="F18" s="15" t="n"/>
      <c r="G18" s="15" t="n"/>
      <c r="H18" s="15" t="n"/>
      <c r="I18" s="15" t="n"/>
      <c r="J18" s="15" t="n"/>
      <c r="K18" s="15" t="n"/>
      <c r="L18" s="15" t="n"/>
      <c r="M18" s="15" t="n"/>
    </row>
    <row r="19">
      <c r="A19" s="15" t="n"/>
      <c r="B19" s="15" t="n"/>
      <c r="C19" s="15" t="n"/>
      <c r="D19" s="15" t="n"/>
      <c r="E19" s="15" t="n"/>
      <c r="F19" s="15" t="n"/>
      <c r="G19" s="15" t="n"/>
      <c r="H19" s="15" t="n"/>
      <c r="I19" s="15" t="n"/>
      <c r="J19" s="15" t="n"/>
      <c r="K19" s="15" t="n"/>
      <c r="L19" s="15" t="n"/>
      <c r="M19" s="15" t="n"/>
    </row>
    <row r="20">
      <c r="A20" s="15" t="n"/>
      <c r="B20" s="15" t="n"/>
      <c r="C20" s="15" t="n"/>
      <c r="D20" s="15" t="n"/>
      <c r="E20" s="15" t="n"/>
      <c r="F20" s="15" t="n"/>
      <c r="G20" s="15" t="n"/>
      <c r="H20" s="15" t="n"/>
      <c r="I20" s="15" t="n"/>
      <c r="J20" s="15" t="n"/>
      <c r="K20" s="15" t="n"/>
      <c r="L20" s="15" t="n"/>
      <c r="M20" s="15" t="n"/>
    </row>
    <row r="21">
      <c r="A21" s="15" t="n"/>
      <c r="B21" s="15" t="n"/>
      <c r="C21" s="15" t="n"/>
      <c r="D21" s="15" t="n"/>
      <c r="E21" s="15" t="n"/>
      <c r="F21" s="15" t="n"/>
      <c r="G21" s="15" t="n"/>
      <c r="H21" s="15" t="n"/>
      <c r="I21" s="15" t="n"/>
      <c r="J21" s="15" t="n"/>
      <c r="K21" s="15" t="n"/>
      <c r="L21" s="15" t="n"/>
      <c r="M21" s="15" t="n"/>
    </row>
    <row r="22">
      <c r="A22" s="15" t="n"/>
      <c r="B22" s="15" t="n"/>
      <c r="C22" s="15" t="n"/>
      <c r="D22" s="15" t="n"/>
      <c r="E22" s="15" t="n"/>
      <c r="F22" s="15" t="n"/>
      <c r="G22" s="15" t="n"/>
      <c r="H22" s="15" t="n"/>
      <c r="I22" s="15" t="n"/>
      <c r="J22" s="15" t="n"/>
      <c r="K22" s="15" t="n"/>
      <c r="L22" s="15" t="n"/>
      <c r="M22" s="15" t="n"/>
    </row>
    <row r="23">
      <c r="A23" s="15" t="n"/>
      <c r="B23" s="15" t="n"/>
      <c r="C23" s="15" t="n"/>
      <c r="D23" s="15" t="n"/>
      <c r="E23" s="15" t="n"/>
      <c r="F23" s="15" t="n"/>
      <c r="G23" s="15" t="n"/>
      <c r="H23" s="15" t="n"/>
      <c r="I23" s="15" t="n"/>
      <c r="J23" s="15" t="n"/>
      <c r="K23" s="15" t="n"/>
      <c r="L23" s="15" t="n"/>
      <c r="M23" s="15" t="n"/>
    </row>
    <row r="24">
      <c r="A24" s="15" t="n"/>
      <c r="B24" s="15" t="n"/>
      <c r="C24" s="15" t="n"/>
      <c r="D24" s="15" t="n"/>
      <c r="E24" s="15" t="n"/>
      <c r="F24" s="15" t="n"/>
      <c r="G24" s="15" t="n"/>
      <c r="H24" s="15" t="n"/>
      <c r="I24" s="15" t="n"/>
      <c r="J24" s="15" t="n"/>
      <c r="K24" s="15" t="n"/>
      <c r="L24" s="15" t="n"/>
      <c r="M24" s="15" t="n"/>
    </row>
    <row r="25">
      <c r="A25" s="15" t="n"/>
      <c r="B25" s="15" t="n"/>
      <c r="C25" s="15" t="n"/>
      <c r="D25" s="15" t="n"/>
      <c r="E25" s="15" t="n"/>
      <c r="F25" s="15" t="n"/>
      <c r="G25" s="15" t="n"/>
      <c r="H25" s="15" t="n"/>
      <c r="I25" s="15" t="n"/>
      <c r="J25" s="15" t="n"/>
      <c r="K25" s="15" t="n"/>
      <c r="L25" s="15" t="n"/>
      <c r="M25" s="15" t="n"/>
    </row>
    <row r="26">
      <c r="A26" s="15" t="n"/>
      <c r="B26" s="15" t="n"/>
      <c r="C26" s="15" t="n"/>
      <c r="D26" s="15" t="n"/>
      <c r="E26" s="15" t="n"/>
      <c r="F26" s="15" t="n"/>
      <c r="G26" s="15" t="n"/>
      <c r="H26" s="15" t="n"/>
      <c r="I26" s="15" t="n"/>
      <c r="J26" s="15" t="n"/>
      <c r="K26" s="15" t="n"/>
      <c r="L26" s="15" t="n"/>
      <c r="M26" s="15" t="n"/>
    </row>
    <row r="27">
      <c r="A27" s="15" t="n"/>
      <c r="B27" s="15" t="n"/>
      <c r="C27" s="15" t="n"/>
      <c r="D27" s="15" t="n"/>
      <c r="E27" s="15" t="n"/>
      <c r="F27" s="15" t="n"/>
      <c r="G27" s="15" t="n"/>
      <c r="H27" s="15" t="n"/>
      <c r="I27" s="15" t="n"/>
      <c r="J27" s="15" t="n"/>
      <c r="K27" s="15" t="n"/>
      <c r="L27" s="15" t="n"/>
      <c r="M27" s="15" t="n"/>
    </row>
    <row r="28">
      <c r="A28" s="15" t="n"/>
      <c r="B28" s="15" t="n"/>
      <c r="C28" s="15" t="n"/>
      <c r="D28" s="15" t="n"/>
      <c r="E28" s="15" t="n"/>
      <c r="F28" s="15" t="n"/>
      <c r="G28" s="15" t="n"/>
      <c r="H28" s="15" t="n"/>
      <c r="I28" s="15" t="n"/>
      <c r="J28" s="15" t="n"/>
      <c r="K28" s="15" t="n"/>
      <c r="L28" s="15" t="n"/>
      <c r="M28" s="15" t="n"/>
    </row>
    <row r="29">
      <c r="A29" s="15" t="n"/>
      <c r="B29" s="15" t="n"/>
      <c r="C29" s="15" t="n"/>
      <c r="D29" s="15" t="n"/>
      <c r="E29" s="15" t="n"/>
      <c r="F29" s="15" t="n"/>
      <c r="G29" s="15" t="n"/>
      <c r="H29" s="15" t="n"/>
      <c r="I29" s="15" t="n"/>
      <c r="J29" s="15" t="n"/>
      <c r="K29" s="15" t="n"/>
      <c r="L29" s="15" t="n"/>
      <c r="M29" s="15" t="n"/>
    </row>
    <row r="30">
      <c r="A30" s="15" t="n"/>
      <c r="B30" s="15" t="n"/>
      <c r="C30" s="15" t="n"/>
      <c r="D30" s="15" t="n"/>
      <c r="E30" s="15" t="n"/>
      <c r="F30" s="15" t="n"/>
      <c r="G30" s="15" t="n"/>
      <c r="H30" s="15" t="n"/>
      <c r="I30" s="15" t="n"/>
      <c r="J30" s="15" t="n"/>
      <c r="K30" s="15" t="n"/>
      <c r="L30" s="15" t="n"/>
      <c r="M30" s="15" t="n"/>
    </row>
    <row r="31">
      <c r="A31" s="15" t="n"/>
      <c r="B31" s="15" t="n"/>
      <c r="C31" s="15" t="n"/>
      <c r="D31" s="15" t="n"/>
      <c r="E31" s="15" t="n"/>
      <c r="F31" s="15" t="n"/>
      <c r="G31" s="15" t="n"/>
      <c r="H31" s="15" t="n"/>
      <c r="I31" s="15" t="n"/>
      <c r="J31" s="15" t="n"/>
      <c r="K31" s="15" t="n"/>
      <c r="L31" s="15" t="n"/>
      <c r="M31" s="15" t="n"/>
    </row>
    <row r="32">
      <c r="A32" s="15" t="n"/>
      <c r="B32" s="15" t="n"/>
      <c r="C32" s="15" t="n"/>
      <c r="D32" s="15" t="n"/>
      <c r="E32" s="15" t="n"/>
      <c r="F32" s="15" t="n"/>
      <c r="G32" s="15" t="n"/>
      <c r="H32" s="15" t="n"/>
      <c r="I32" s="15" t="n"/>
      <c r="J32" s="15" t="n"/>
      <c r="K32" s="15" t="n"/>
      <c r="L32" s="15" t="n"/>
      <c r="M32" s="15" t="n"/>
    </row>
    <row r="33">
      <c r="A33" s="15" t="n"/>
      <c r="B33" s="15" t="n"/>
      <c r="C33" s="15" t="n"/>
      <c r="D33" s="15" t="n"/>
      <c r="E33" s="15" t="n"/>
      <c r="F33" s="15" t="n"/>
      <c r="G33" s="15" t="n"/>
      <c r="H33" s="15" t="n"/>
      <c r="I33" s="15" t="n"/>
      <c r="J33" s="15" t="n"/>
      <c r="K33" s="15" t="n"/>
      <c r="L33" s="15" t="n"/>
      <c r="M33" s="15" t="n"/>
    </row>
    <row r="34">
      <c r="A34" s="15" t="n"/>
      <c r="B34" s="15" t="n"/>
      <c r="C34" s="15" t="n"/>
      <c r="D34" s="15" t="n"/>
      <c r="E34" s="15" t="n"/>
      <c r="F34" s="15" t="n"/>
      <c r="G34" s="15" t="n"/>
      <c r="H34" s="15" t="n"/>
      <c r="I34" s="15" t="n"/>
      <c r="J34" s="15" t="n"/>
      <c r="K34" s="15" t="n"/>
      <c r="L34" s="15" t="n"/>
      <c r="M34" s="15" t="n"/>
    </row>
    <row r="35">
      <c r="A35" s="15" t="n"/>
      <c r="B35" s="15" t="n"/>
      <c r="C35" s="15" t="n"/>
      <c r="D35" s="15" t="n"/>
      <c r="E35" s="15" t="n"/>
      <c r="F35" s="15" t="n"/>
      <c r="G35" s="15" t="n"/>
      <c r="H35" s="15" t="n"/>
      <c r="I35" s="15" t="n"/>
      <c r="J35" s="15" t="n"/>
      <c r="K35" s="15" t="n"/>
      <c r="L35" s="15" t="n"/>
      <c r="M35" s="15" t="n"/>
    </row>
    <row r="36">
      <c r="A36" s="15" t="n"/>
      <c r="B36" s="15" t="n"/>
      <c r="C36" s="15" t="n"/>
      <c r="D36" s="15" t="n"/>
      <c r="E36" s="15" t="n"/>
      <c r="F36" s="15" t="n"/>
      <c r="G36" s="15" t="n"/>
      <c r="H36" s="15" t="n"/>
      <c r="I36" s="15" t="n"/>
      <c r="J36" s="15" t="n"/>
      <c r="K36" s="15" t="n"/>
      <c r="L36" s="15" t="n"/>
      <c r="M36" s="15" t="n"/>
    </row>
    <row r="37">
      <c r="A37" s="15" t="n"/>
      <c r="B37" s="15" t="n"/>
      <c r="C37" s="15" t="n"/>
      <c r="D37" s="15" t="n"/>
      <c r="E37" s="15" t="n"/>
      <c r="F37" s="15" t="n"/>
      <c r="G37" s="15" t="n"/>
      <c r="H37" s="15" t="n"/>
      <c r="I37" s="15" t="n"/>
      <c r="J37" s="15" t="n"/>
      <c r="K37" s="15" t="n"/>
      <c r="L37" s="15" t="n"/>
      <c r="M37" s="15" t="n"/>
    </row>
    <row r="38">
      <c r="A38" s="15" t="n"/>
      <c r="B38" s="15" t="n"/>
      <c r="C38" s="15" t="n"/>
      <c r="D38" s="15" t="n"/>
      <c r="E38" s="15" t="n"/>
      <c r="F38" s="15" t="n"/>
      <c r="G38" s="15" t="n"/>
      <c r="H38" s="15" t="n"/>
      <c r="I38" s="15" t="n"/>
      <c r="J38" s="15" t="n"/>
      <c r="K38" s="15" t="n"/>
      <c r="L38" s="15" t="n"/>
      <c r="M38" s="15" t="n"/>
    </row>
    <row r="39">
      <c r="A39" s="15" t="n"/>
      <c r="B39" s="15" t="n"/>
      <c r="C39" s="15" t="n"/>
      <c r="D39" s="15" t="n"/>
      <c r="E39" s="15" t="n"/>
      <c r="F39" s="15" t="n"/>
      <c r="G39" s="15" t="n"/>
      <c r="H39" s="15" t="n"/>
      <c r="I39" s="15" t="n"/>
      <c r="J39" s="15" t="n"/>
      <c r="K39" s="15" t="n"/>
      <c r="L39" s="15" t="n"/>
      <c r="M39" s="15" t="n"/>
    </row>
    <row r="40">
      <c r="A40" s="15" t="n"/>
      <c r="B40" s="15" t="n"/>
      <c r="C40" s="15" t="n"/>
      <c r="D40" s="15" t="n"/>
      <c r="E40" s="15" t="n"/>
      <c r="F40" s="15" t="n"/>
      <c r="G40" s="15" t="n"/>
      <c r="H40" s="15" t="n"/>
      <c r="I40" s="15" t="n"/>
      <c r="J40" s="15" t="n"/>
      <c r="K40" s="15" t="n"/>
      <c r="L40" s="15" t="n"/>
      <c r="M40" s="15" t="n"/>
    </row>
    <row r="41">
      <c r="A41" s="15" t="n"/>
      <c r="B41" s="15" t="n"/>
      <c r="C41" s="15" t="n"/>
      <c r="D41" s="15" t="n"/>
      <c r="E41" s="15" t="n"/>
      <c r="F41" s="15" t="n"/>
      <c r="G41" s="15" t="n"/>
      <c r="H41" s="15" t="n"/>
      <c r="I41" s="15" t="n"/>
      <c r="J41" s="15" t="n"/>
      <c r="K41" s="15" t="n"/>
      <c r="L41" s="15" t="n"/>
      <c r="M41" s="15" t="n"/>
    </row>
    <row r="42">
      <c r="A42" s="15" t="n"/>
      <c r="B42" s="15" t="n"/>
      <c r="C42" s="15" t="n"/>
      <c r="D42" s="15" t="n"/>
      <c r="E42" s="15" t="n"/>
      <c r="F42" s="15" t="n"/>
      <c r="G42" s="15" t="n"/>
      <c r="H42" s="15" t="n"/>
      <c r="I42" s="15" t="n"/>
      <c r="J42" s="15" t="n"/>
      <c r="K42" s="15" t="n"/>
      <c r="L42" s="15" t="n"/>
      <c r="M42" s="15" t="n"/>
    </row>
    <row r="43">
      <c r="A43" s="15" t="n"/>
      <c r="B43" s="15" t="n"/>
      <c r="C43" s="15" t="n"/>
      <c r="D43" s="15" t="n"/>
      <c r="E43" s="15" t="n"/>
      <c r="F43" s="15" t="n"/>
      <c r="G43" s="15" t="n"/>
      <c r="H43" s="15" t="n"/>
      <c r="I43" s="15" t="n"/>
      <c r="J43" s="15" t="n"/>
      <c r="K43" s="15" t="n"/>
      <c r="L43" s="15" t="n"/>
      <c r="M43" s="15" t="n"/>
    </row>
    <row r="44">
      <c r="A44" s="15" t="n"/>
      <c r="B44" s="15" t="n"/>
      <c r="C44" s="15" t="n"/>
      <c r="D44" s="15" t="n"/>
      <c r="E44" s="15" t="n"/>
      <c r="F44" s="15" t="n"/>
      <c r="G44" s="15" t="n"/>
      <c r="H44" s="15" t="n"/>
      <c r="I44" s="15" t="n"/>
      <c r="J44" s="15" t="n"/>
      <c r="K44" s="15" t="n"/>
      <c r="L44" s="15" t="n"/>
      <c r="M44" s="15" t="n"/>
    </row>
    <row r="45">
      <c r="A45" s="15" t="n"/>
      <c r="B45" s="15" t="n"/>
      <c r="C45" s="15" t="n"/>
      <c r="D45" s="15" t="n"/>
      <c r="E45" s="15" t="n"/>
      <c r="F45" s="15" t="n"/>
      <c r="G45" s="15" t="n"/>
      <c r="H45" s="15" t="n"/>
      <c r="I45" s="15" t="n"/>
      <c r="J45" s="15" t="n"/>
      <c r="K45" s="15" t="n"/>
      <c r="L45" s="15" t="n"/>
      <c r="M45" s="15" t="n"/>
    </row>
    <row r="46">
      <c r="A46" s="15" t="n"/>
      <c r="B46" s="15" t="n"/>
      <c r="C46" s="15" t="n"/>
      <c r="D46" s="15" t="n"/>
      <c r="E46" s="15" t="n"/>
      <c r="F46" s="15" t="n"/>
      <c r="G46" s="15" t="n"/>
      <c r="H46" s="15" t="n"/>
      <c r="I46" s="15" t="n"/>
      <c r="J46" s="15" t="n"/>
      <c r="K46" s="15" t="n"/>
      <c r="L46" s="15" t="n"/>
      <c r="M46" s="15" t="n"/>
    </row>
    <row r="47">
      <c r="A47" s="15" t="n"/>
      <c r="B47" s="15" t="n"/>
      <c r="C47" s="15" t="n"/>
      <c r="D47" s="15" t="n"/>
      <c r="E47" s="15" t="n"/>
      <c r="F47" s="15" t="n"/>
      <c r="G47" s="15" t="n"/>
      <c r="H47" s="15" t="n"/>
      <c r="I47" s="15" t="n"/>
      <c r="J47" s="15" t="n"/>
      <c r="K47" s="15" t="n"/>
      <c r="L47" s="15" t="n"/>
      <c r="M47" s="15" t="n"/>
    </row>
    <row r="48">
      <c r="A48" s="15" t="n"/>
      <c r="B48" s="15" t="n"/>
      <c r="C48" s="15" t="n"/>
      <c r="D48" s="15" t="n"/>
      <c r="E48" s="15" t="n"/>
      <c r="F48" s="15" t="n"/>
      <c r="G48" s="15" t="n"/>
      <c r="H48" s="15" t="n"/>
      <c r="I48" s="15" t="n"/>
      <c r="J48" s="15" t="n"/>
      <c r="K48" s="15" t="n"/>
      <c r="L48" s="15" t="n"/>
      <c r="M48" s="15" t="n"/>
    </row>
    <row r="49">
      <c r="A49" s="15" t="n"/>
      <c r="B49" s="15" t="n"/>
      <c r="C49" s="15" t="n"/>
      <c r="D49" s="15" t="n"/>
      <c r="E49" s="15" t="n"/>
      <c r="F49" s="15" t="n"/>
      <c r="G49" s="15" t="n"/>
      <c r="H49" s="15" t="n"/>
      <c r="I49" s="15" t="n"/>
      <c r="J49" s="15" t="n"/>
      <c r="K49" s="15" t="n"/>
      <c r="L49" s="15" t="n"/>
      <c r="M49" s="15" t="n"/>
    </row>
    <row r="50">
      <c r="A50" s="15" t="n"/>
      <c r="B50" s="15" t="n"/>
      <c r="C50" s="15" t="n"/>
      <c r="D50" s="15" t="n"/>
      <c r="E50" s="15" t="n"/>
      <c r="F50" s="15" t="n"/>
      <c r="G50" s="15" t="n"/>
      <c r="H50" s="15" t="n"/>
      <c r="I50" s="15" t="n"/>
      <c r="J50" s="15" t="n"/>
      <c r="K50" s="15" t="n"/>
      <c r="L50" s="15" t="n"/>
      <c r="M50" s="15" t="n"/>
    </row>
    <row r="51">
      <c r="A51" s="15" t="n"/>
      <c r="B51" s="15" t="n"/>
      <c r="C51" s="15" t="n"/>
      <c r="D51" s="15" t="n"/>
      <c r="E51" s="15" t="n"/>
      <c r="F51" s="15" t="n"/>
      <c r="G51" s="15" t="n"/>
      <c r="H51" s="15" t="n"/>
      <c r="I51" s="15" t="n"/>
      <c r="J51" s="15" t="n"/>
      <c r="K51" s="15" t="n"/>
      <c r="L51" s="15" t="n"/>
      <c r="M51" s="15" t="n"/>
    </row>
    <row r="52">
      <c r="A52" s="15" t="n"/>
      <c r="B52" s="15" t="n"/>
      <c r="C52" s="15" t="n"/>
      <c r="D52" s="15" t="n"/>
      <c r="E52" s="15" t="n"/>
      <c r="F52" s="15" t="n"/>
      <c r="G52" s="15" t="n"/>
      <c r="H52" s="15" t="n"/>
      <c r="I52" s="15" t="n"/>
      <c r="J52" s="15" t="n"/>
      <c r="K52" s="15" t="n"/>
      <c r="L52" s="15" t="n"/>
      <c r="M52" s="15" t="n"/>
    </row>
    <row r="53">
      <c r="A53" s="15" t="n"/>
      <c r="B53" s="15" t="n"/>
      <c r="C53" s="15" t="n"/>
      <c r="D53" s="15" t="n"/>
      <c r="E53" s="15" t="n"/>
      <c r="F53" s="15" t="n"/>
      <c r="G53" s="15" t="n"/>
      <c r="H53" s="15" t="n"/>
      <c r="I53" s="15" t="n"/>
      <c r="J53" s="15" t="n"/>
      <c r="K53" s="15" t="n"/>
      <c r="L53" s="15" t="n"/>
      <c r="M53" s="15" t="n"/>
    </row>
    <row r="54">
      <c r="A54" s="15" t="n"/>
      <c r="B54" s="15" t="n"/>
      <c r="C54" s="15" t="n"/>
      <c r="D54" s="15" t="n"/>
      <c r="E54" s="15" t="n"/>
      <c r="F54" s="15" t="n"/>
      <c r="G54" s="15" t="n"/>
      <c r="H54" s="15" t="n"/>
      <c r="I54" s="15" t="n"/>
      <c r="J54" s="15" t="n"/>
      <c r="K54" s="15" t="n"/>
      <c r="L54" s="15" t="n"/>
      <c r="M54" s="15" t="n"/>
    </row>
    <row r="55">
      <c r="A55" s="15" t="n"/>
      <c r="B55" s="15" t="n"/>
      <c r="C55" s="15" t="n"/>
      <c r="D55" s="15" t="n"/>
      <c r="E55" s="15" t="n"/>
      <c r="F55" s="15" t="n"/>
      <c r="G55" s="15" t="n"/>
      <c r="H55" s="15" t="n"/>
      <c r="I55" s="15" t="n"/>
      <c r="J55" s="15" t="n"/>
      <c r="K55" s="15" t="n"/>
      <c r="L55" s="15" t="n"/>
      <c r="M55" s="15" t="n"/>
    </row>
  </sheetData>
  <mergeCells count="3">
    <mergeCell ref="A3:M3"/>
    <mergeCell ref="A2:M2"/>
    <mergeCell ref="A1:M1"/>
  </mergeCells>
  <dataValidations count="1">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"Complete,Partial,Failed,Running"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5"/>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20" customWidth="1" min="3" max="3"/>
    <col width="16" customWidth="1" min="4" max="4"/>
    <col width="12" customWidth="1" min="5" max="5"/>
    <col width="16" customWidth="1" min="6" max="6"/>
    <col width="14" customWidth="1" min="7" max="7"/>
    <col width="16" customWidth="1" min="8" max="8"/>
    <col width="24" customWidth="1" min="9" max="9"/>
    <col width="36" customWidth="1" min="10" max="10"/>
    <col width="14" customWidth="1" min="11" max="11"/>
    <col width="30" customWidth="1" min="12" max="12"/>
  </cols>
  <sheetData>
    <row r="1" ht="35" customHeight="1">
      <c r="A1" s="11" t="inlineStr">
        <is>
          <t>ISMS-IMP-A.8.8.1  —  COVERAGE GAPS</t>
        </is>
      </c>
    </row>
    <row r="2">
      <c r="A2" s="12" t="inlineStr">
        <is>
          <t>ISO/IEC 27001:2022 — Control A.8.8: Management of Technical Vulnerabilities</t>
        </is>
      </c>
    </row>
    <row r="3">
      <c r="A3" s="6" t="n"/>
    </row>
    <row r="4">
      <c r="A4" s="13" t="inlineStr">
        <is>
          <t>Gap_ID</t>
        </is>
      </c>
      <c r="B4" s="13" t="inlineStr">
        <is>
          <t>Gap_Description</t>
        </is>
      </c>
      <c r="C4" s="13" t="inlineStr">
        <is>
          <t>Asset_Name</t>
        </is>
      </c>
      <c r="D4" s="13" t="inlineStr">
        <is>
          <t>Asset_Type</t>
        </is>
      </c>
      <c r="E4" s="13" t="inlineStr">
        <is>
          <t>Priority</t>
        </is>
      </c>
      <c r="F4" s="13" t="inlineStr">
        <is>
          <t>Gap_Owner</t>
        </is>
      </c>
      <c r="G4" s="13" t="inlineStr">
        <is>
          <t>Date_Identified</t>
        </is>
      </c>
      <c r="H4" s="13" t="inlineStr">
        <is>
          <t>Target_Resolution</t>
        </is>
      </c>
      <c r="I4" s="13" t="inlineStr">
        <is>
          <t>Root_Cause</t>
        </is>
      </c>
      <c r="J4" s="13" t="inlineStr">
        <is>
          <t>Remediation_Action</t>
        </is>
      </c>
      <c r="K4" s="13" t="inlineStr">
        <is>
          <t>Status</t>
        </is>
      </c>
      <c r="L4" s="13" t="inlineStr">
        <is>
          <t>Notes</t>
        </is>
      </c>
    </row>
    <row r="5">
      <c r="A5" s="14" t="inlineStr">
        <is>
          <t>GAP-001</t>
        </is>
      </c>
      <c r="B5" s="14" t="inlineStr">
        <is>
          <t>Production database server not scanned — no credentials configured</t>
        </is>
      </c>
      <c r="C5" s="14" t="inlineStr">
        <is>
          <t>db-prod-01</t>
        </is>
      </c>
      <c r="D5" s="14" t="inlineStr">
        <is>
          <t>Server</t>
        </is>
      </c>
      <c r="E5" s="14" t="inlineStr">
        <is>
          <t>Critical</t>
        </is>
      </c>
      <c r="F5" s="14" t="inlineStr">
        <is>
          <t>J.Smith</t>
        </is>
      </c>
      <c r="G5" s="14" t="inlineStr">
        <is>
          <t>01.01.2026</t>
        </is>
      </c>
      <c r="H5" s="14" t="inlineStr">
        <is>
          <t>08.01.2026</t>
        </is>
      </c>
      <c r="I5" s="14" t="inlineStr">
        <is>
          <t>Scanner credentials not configured for DB subnet</t>
        </is>
      </c>
      <c r="J5" s="14" t="inlineStr">
        <is>
          <t>Configure scanner credentials; validate scan reaches DB-01</t>
        </is>
      </c>
      <c r="K5" s="14" t="inlineStr">
        <is>
          <t>In Progress</t>
        </is>
      </c>
      <c r="L5" s="14" t="inlineStr">
        <is>
          <t>Escalated to DBA team for credential provisioning</t>
        </is>
      </c>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row r="55">
      <c r="A55" s="15" t="n"/>
      <c r="B55" s="15" t="n"/>
      <c r="C55" s="15" t="n"/>
      <c r="D55" s="15" t="n"/>
      <c r="E55" s="15" t="n"/>
      <c r="F55" s="15" t="n"/>
      <c r="G55" s="15" t="n"/>
      <c r="H55" s="15" t="n"/>
      <c r="I55" s="15" t="n"/>
      <c r="J55" s="15" t="n"/>
      <c r="K55" s="15" t="n"/>
      <c r="L55" s="15" t="n"/>
    </row>
  </sheetData>
  <mergeCells count="3">
    <mergeCell ref="A3:L3"/>
    <mergeCell ref="A2:L2"/>
    <mergeCell ref="A1:L1"/>
  </mergeCells>
  <dataValidations count="3">
    <dataValidation sqref="D6 D7 D8 D9 D10 D11 D12 D13 D14 D15 D16 D17 D18 D19 D20 D21 D22 D23 D24 D25 D26 D27 D28 D29 D30 D31 D32 D33 D34 D35 D36 D37 D38 D39 D40 D41 D42 D43 D44 D45 D46 D47 D48 D49 D50 D51 D52 D53 D54 D55" showDropDown="0" showInputMessage="0" showErrorMessage="0" allowBlank="1" type="list">
      <formula1>"Server,Workstation,Network Device,Cloud Resource,Container,IoT,Other"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"Critical,High,Medium,Low"</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"Open,In Progress,Resolved,Accepted"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6" t="inlineStr">
        <is>
          <t>EVIDENCE REGISTER</t>
        </is>
      </c>
    </row>
    <row r="2">
      <c r="A2" s="17" t="inlineStr">
        <is>
          <t>ISO/IEC 27001:2022 Annex A — Control A.8.8: Management of Technical Vulnerabilities</t>
        </is>
      </c>
    </row>
    <row r="3">
      <c r="A3" s="6" t="n"/>
    </row>
    <row r="4">
      <c r="A4" s="18" t="inlineStr">
        <is>
          <t>Evidence ID</t>
        </is>
      </c>
      <c r="B4" s="18" t="inlineStr">
        <is>
          <t>Evidence Type</t>
        </is>
      </c>
      <c r="C4" s="18" t="inlineStr">
        <is>
          <t>Description</t>
        </is>
      </c>
      <c r="D4" s="18" t="inlineStr">
        <is>
          <t>Related Control / Section</t>
        </is>
      </c>
      <c r="E4" s="18" t="inlineStr">
        <is>
          <t>Collection Date (DD.MM.YYYY)</t>
        </is>
      </c>
      <c r="F4" s="18" t="inlineStr">
        <is>
          <t>Storage Location / Reference</t>
        </is>
      </c>
      <c r="G4" s="18" t="inlineStr">
        <is>
          <t>Collected By</t>
        </is>
      </c>
      <c r="H4" s="18" t="inlineStr">
        <is>
          <t>Status</t>
        </is>
      </c>
    </row>
    <row r="5">
      <c r="A5" s="19" t="inlineStr">
        <is>
          <t>EV-001</t>
        </is>
      </c>
      <c r="B5" s="19" t="inlineStr">
        <is>
          <t>Report</t>
        </is>
      </c>
      <c r="C5" s="19" t="inlineStr">
        <is>
          <t>Sample evidence entry — replace with actual evidence</t>
        </is>
      </c>
      <c r="D5" s="19" t="inlineStr">
        <is>
          <t>A.8.8 Scanning &amp; Coverage</t>
        </is>
      </c>
      <c r="E5" s="19" t="inlineStr">
        <is>
          <t>01.01.2026</t>
        </is>
      </c>
      <c r="F5" s="19" t="inlineStr">
        <is>
          <t>SharePoint/ISMS/A.8.8/S1/Evidence/</t>
        </is>
      </c>
      <c r="G5" s="19" t="inlineStr">
        <is>
          <t>Security Team</t>
        </is>
      </c>
      <c r="H5" s="19" t="inlineStr">
        <is>
          <t>Active</t>
        </is>
      </c>
    </row>
    <row r="6">
      <c r="A6" s="20" t="n"/>
      <c r="B6" s="20" t="n"/>
      <c r="C6" s="20" t="n"/>
      <c r="D6" s="20" t="n"/>
      <c r="E6" s="20" t="n"/>
      <c r="F6" s="20" t="n"/>
      <c r="G6" s="20" t="n"/>
      <c r="H6" s="20" t="n"/>
    </row>
    <row r="7">
      <c r="A7" s="20" t="n"/>
      <c r="B7" s="20" t="n"/>
      <c r="C7" s="20" t="n"/>
      <c r="D7" s="20" t="n"/>
      <c r="E7" s="20" t="n"/>
      <c r="F7" s="20" t="n"/>
      <c r="G7" s="20" t="n"/>
      <c r="H7" s="20" t="n"/>
    </row>
    <row r="8">
      <c r="A8" s="20" t="n"/>
      <c r="B8" s="20" t="n"/>
      <c r="C8" s="20" t="n"/>
      <c r="D8" s="20" t="n"/>
      <c r="E8" s="20" t="n"/>
      <c r="F8" s="20" t="n"/>
      <c r="G8" s="20" t="n"/>
      <c r="H8" s="20" t="n"/>
    </row>
    <row r="9">
      <c r="A9" s="20" t="n"/>
      <c r="B9" s="20" t="n"/>
      <c r="C9" s="20" t="n"/>
      <c r="D9" s="20" t="n"/>
      <c r="E9" s="20" t="n"/>
      <c r="F9" s="20" t="n"/>
      <c r="G9" s="20" t="n"/>
      <c r="H9" s="20" t="n"/>
    </row>
    <row r="10">
      <c r="A10" s="20" t="n"/>
      <c r="B10" s="20" t="n"/>
      <c r="C10" s="20" t="n"/>
      <c r="D10" s="20" t="n"/>
      <c r="E10" s="20" t="n"/>
      <c r="F10" s="20" t="n"/>
      <c r="G10" s="20" t="n"/>
      <c r="H10" s="20" t="n"/>
    </row>
    <row r="11">
      <c r="A11" s="20" t="n"/>
      <c r="B11" s="20" t="n"/>
      <c r="C11" s="20" t="n"/>
      <c r="D11" s="20" t="n"/>
      <c r="E11" s="20" t="n"/>
      <c r="F11" s="20" t="n"/>
      <c r="G11" s="20" t="n"/>
      <c r="H11" s="20" t="n"/>
    </row>
    <row r="12">
      <c r="A12" s="20" t="n"/>
      <c r="B12" s="20" t="n"/>
      <c r="C12" s="20" t="n"/>
      <c r="D12" s="20" t="n"/>
      <c r="E12" s="20" t="n"/>
      <c r="F12" s="20" t="n"/>
      <c r="G12" s="20" t="n"/>
      <c r="H12" s="20" t="n"/>
    </row>
    <row r="13">
      <c r="A13" s="20" t="n"/>
      <c r="B13" s="20" t="n"/>
      <c r="C13" s="20" t="n"/>
      <c r="D13" s="20" t="n"/>
      <c r="E13" s="20" t="n"/>
      <c r="F13" s="20" t="n"/>
      <c r="G13" s="20" t="n"/>
      <c r="H13" s="20" t="n"/>
    </row>
    <row r="14">
      <c r="A14" s="20" t="n"/>
      <c r="B14" s="20" t="n"/>
      <c r="C14" s="20" t="n"/>
      <c r="D14" s="20" t="n"/>
      <c r="E14" s="20" t="n"/>
      <c r="F14" s="20" t="n"/>
      <c r="G14" s="20" t="n"/>
      <c r="H14" s="20" t="n"/>
    </row>
    <row r="15">
      <c r="A15" s="20" t="n"/>
      <c r="B15" s="20" t="n"/>
      <c r="C15" s="20" t="n"/>
      <c r="D15" s="20" t="n"/>
      <c r="E15" s="20" t="n"/>
      <c r="F15" s="20" t="n"/>
      <c r="G15" s="20" t="n"/>
      <c r="H15" s="20" t="n"/>
    </row>
    <row r="16">
      <c r="A16" s="20" t="n"/>
      <c r="B16" s="20" t="n"/>
      <c r="C16" s="20" t="n"/>
      <c r="D16" s="20" t="n"/>
      <c r="E16" s="20" t="n"/>
      <c r="F16" s="20" t="n"/>
      <c r="G16" s="20" t="n"/>
      <c r="H16" s="20" t="n"/>
    </row>
    <row r="17">
      <c r="A17" s="20" t="n"/>
      <c r="B17" s="20" t="n"/>
      <c r="C17" s="20" t="n"/>
      <c r="D17" s="20" t="n"/>
      <c r="E17" s="20" t="n"/>
      <c r="F17" s="20" t="n"/>
      <c r="G17" s="20" t="n"/>
      <c r="H17" s="20" t="n"/>
    </row>
    <row r="18">
      <c r="A18" s="20" t="n"/>
      <c r="B18" s="20" t="n"/>
      <c r="C18" s="20" t="n"/>
      <c r="D18" s="20" t="n"/>
      <c r="E18" s="20" t="n"/>
      <c r="F18" s="20" t="n"/>
      <c r="G18" s="20" t="n"/>
      <c r="H18" s="20" t="n"/>
    </row>
    <row r="19">
      <c r="A19" s="20" t="n"/>
      <c r="B19" s="20" t="n"/>
      <c r="C19" s="20" t="n"/>
      <c r="D19" s="20" t="n"/>
      <c r="E19" s="20" t="n"/>
      <c r="F19" s="20" t="n"/>
      <c r="G19" s="20" t="n"/>
      <c r="H19" s="20" t="n"/>
    </row>
    <row r="20">
      <c r="A20" s="20" t="n"/>
      <c r="B20" s="20" t="n"/>
      <c r="C20" s="20" t="n"/>
      <c r="D20" s="20" t="n"/>
      <c r="E20" s="20" t="n"/>
      <c r="F20" s="20" t="n"/>
      <c r="G20" s="20" t="n"/>
      <c r="H20" s="20" t="n"/>
    </row>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showGridLines="0" workbookViewId="0">
      <pane ySplit="3" topLeftCell="A4" activePane="bottomLeft" state="frozen"/>
      <selection pane="bottomLeft" activeCell="A1" sqref="A1"/>
    </sheetView>
  </sheetViews>
  <sheetFormatPr baseColWidth="8" defaultRowHeight="15"/>
  <cols>
    <col width="30" customWidth="1" min="1" max="1"/>
    <col width="52" customWidth="1" min="2" max="2"/>
    <col width="12" customWidth="1" min="3" max="3"/>
    <col width="14" customWidth="1" min="4" max="4"/>
    <col width="16" customWidth="1" min="5" max="5"/>
    <col width="10" customWidth="1" min="6" max="6"/>
    <col width="12" customWidth="1" min="7" max="7"/>
  </cols>
  <sheetData>
    <row r="1" ht="35" customHeight="1">
      <c r="A1" s="16" t="inlineStr">
        <is>
          <t>SCANNING &amp; COVERAGE ASSESSMENT — SUMMARY DASHBOARD</t>
        </is>
      </c>
      <c r="B1" s="6" t="n"/>
      <c r="C1" s="6" t="n"/>
      <c r="D1" s="6" t="n"/>
      <c r="E1" s="6" t="n"/>
      <c r="F1" s="6" t="n"/>
      <c r="G1" s="6" t="n"/>
    </row>
    <row r="2">
      <c r="A2" s="21" t="inlineStr">
        <is>
          <t>ISO/IEC 27001:2022 — Control A.8.8: Management of Technical Vulnerabilities</t>
        </is>
      </c>
    </row>
    <row r="4">
      <c r="A4" s="22" t="inlineStr">
        <is>
          <t>TABLE 1: ASSESSMENT AREA COMPLIANCE OVERVIEW</t>
        </is>
      </c>
    </row>
    <row r="5">
      <c r="A5" s="23" t="inlineStr">
        <is>
          <t>Assessment Area</t>
        </is>
      </c>
      <c r="B5" s="23" t="inlineStr">
        <is>
          <t>Total Items</t>
        </is>
      </c>
      <c r="C5" s="23" t="inlineStr">
        <is>
          <t>Compliant</t>
        </is>
      </c>
      <c r="D5" s="23" t="inlineStr">
        <is>
          <t>Partial / Warning</t>
        </is>
      </c>
      <c r="E5" s="23" t="inlineStr">
        <is>
          <t>Non-Compliant</t>
        </is>
      </c>
      <c r="F5" s="23" t="inlineStr">
        <is>
          <t>N/A</t>
        </is>
      </c>
      <c r="G5" s="23" t="inlineStr">
        <is>
          <t>Compliance %</t>
        </is>
      </c>
    </row>
    <row r="6">
      <c r="A6" s="24" t="inlineStr">
        <is>
          <t>Scanner Inventory</t>
        </is>
      </c>
      <c r="B6" s="25">
        <f>COUNTA('Scanner Inventory'!A6:A55)</f>
        <v/>
      </c>
      <c r="C6" s="25">
        <f>COUNTIF('Scanner Inventory'!F6:F55,"Active")</f>
        <v/>
      </c>
      <c r="D6" s="25">
        <f>COUNTIF('Scanner Inventory'!F6:F55,"Maintenance")</f>
        <v/>
      </c>
      <c r="E6" s="25">
        <f>COUNTIF('Scanner Inventory'!F6:F55,"Inactive")+COUNTIF('Scanner Inventory'!F6:F55,"Decommissioned")</f>
        <v/>
      </c>
      <c r="F6" s="25" t="n">
        <v>0</v>
      </c>
      <c r="G6" s="26">
        <f>IF((B6-F6)=0,0,C6/(B6-F6))</f>
        <v/>
      </c>
    </row>
    <row r="7">
      <c r="A7" s="24" t="inlineStr">
        <is>
          <t>Asset Scanner Mapping</t>
        </is>
      </c>
      <c r="B7" s="25">
        <f>COUNTA('Asset Scanner Mapping'!A6:A55)</f>
        <v/>
      </c>
      <c r="C7" s="25">
        <f>COUNTIF('Asset Scanner Mapping'!L6:L55,"Covered")</f>
        <v/>
      </c>
      <c r="D7" s="25">
        <f>COUNTIF('Asset Scanner Mapping'!L6:L55,"Partial")</f>
        <v/>
      </c>
      <c r="E7" s="25">
        <f>COUNTIF('Asset Scanner Mapping'!L6:L55,"Not Covered")</f>
        <v/>
      </c>
      <c r="F7" s="25" t="n">
        <v>0</v>
      </c>
      <c r="G7" s="26">
        <f>IF((B7-F7)=0,0,C7/(B7-F7))</f>
        <v/>
      </c>
    </row>
    <row r="8">
      <c r="A8" s="24" t="inlineStr">
        <is>
          <t>Scan Schedule</t>
        </is>
      </c>
      <c r="B8" s="25">
        <f>COUNTA('Scan Schedule'!A6:A55)</f>
        <v/>
      </c>
      <c r="C8" s="25">
        <f>COUNTIF('Scan Schedule'!H6:H55,"Active")</f>
        <v/>
      </c>
      <c r="D8" s="25">
        <f>COUNTIF('Scan Schedule'!H6:H55,"Paused")</f>
        <v/>
      </c>
      <c r="E8" s="25">
        <f>COUNTIF('Scan Schedule'!H6:H55,"Overdue")+COUNTIF('Scan Schedule'!H6:H55,"Inactive")</f>
        <v/>
      </c>
      <c r="F8" s="25" t="n">
        <v>0</v>
      </c>
      <c r="G8" s="26">
        <f>IF((B8-F8)=0,0,C8/(B8-F8))</f>
        <v/>
      </c>
    </row>
    <row r="9">
      <c r="A9" s="24" t="inlineStr">
        <is>
          <t>Scan Execution Log</t>
        </is>
      </c>
      <c r="B9" s="25">
        <f>COUNTA('Scan Execution Log'!A6:A55)</f>
        <v/>
      </c>
      <c r="C9" s="25">
        <f>COUNTIF('Scan Execution Log'!F6:F55,"Complete")</f>
        <v/>
      </c>
      <c r="D9" s="25">
        <f>COUNTIF('Scan Execution Log'!F6:F55,"Partial")</f>
        <v/>
      </c>
      <c r="E9" s="25">
        <f>COUNTIF('Scan Execution Log'!F6:F55,"Failed")</f>
        <v/>
      </c>
      <c r="F9" s="25" t="n">
        <v>0</v>
      </c>
      <c r="G9" s="26">
        <f>IF((B9-F9)=0,0,C9/(B9-F9))</f>
        <v/>
      </c>
    </row>
    <row r="10">
      <c r="A10" s="24" t="inlineStr">
        <is>
          <t>Coverage Gaps</t>
        </is>
      </c>
      <c r="B10" s="25">
        <f>COUNTA('Coverage Gaps'!A6:A55)</f>
        <v/>
      </c>
      <c r="C10" s="25">
        <f>COUNTIF('Coverage Gaps'!K6:K55,"Resolved")+COUNTIF('Coverage Gaps'!K6:K55,"Accepted")</f>
        <v/>
      </c>
      <c r="D10" s="25">
        <f>COUNTIF('Coverage Gaps'!K6:K55,"In Progress")</f>
        <v/>
      </c>
      <c r="E10" s="25">
        <f>COUNTIF('Coverage Gaps'!K6:K55,"Open")</f>
        <v/>
      </c>
      <c r="F10" s="25" t="n">
        <v>0</v>
      </c>
      <c r="G10" s="26">
        <f>IF((B10-F10)=0,0,C10/(B10-F10))</f>
        <v/>
      </c>
    </row>
    <row r="11">
      <c r="A11" s="27" t="inlineStr">
        <is>
          <t>TOTAL</t>
        </is>
      </c>
      <c r="B11" s="28">
        <f>SUM(B6:B10)</f>
        <v/>
      </c>
      <c r="C11" s="28">
        <f>SUM(C6:C10)</f>
        <v/>
      </c>
      <c r="D11" s="28">
        <f>SUM(D6:D10)</f>
        <v/>
      </c>
      <c r="E11" s="28">
        <f>SUM(E6:E10)</f>
        <v/>
      </c>
      <c r="F11" s="28">
        <f>SUM(F6:F10)</f>
        <v/>
      </c>
      <c r="G11" s="29">
        <f>IF((B11-F11)=0,0,C11/(B11-F11))</f>
        <v/>
      </c>
    </row>
    <row r="13">
      <c r="A13" s="30" t="inlineStr">
        <is>
          <t>TABLE 2: KEY METRICS</t>
        </is>
      </c>
    </row>
    <row r="14">
      <c r="A14" s="28" t="inlineStr">
        <is>
          <t>Metric</t>
        </is>
      </c>
      <c r="B14" s="28" t="inlineStr">
        <is>
          <t>Value</t>
        </is>
      </c>
      <c r="C14" s="28" t="n"/>
      <c r="D14" s="28" t="n"/>
      <c r="E14" s="28" t="n"/>
      <c r="F14" s="28" t="n"/>
      <c r="G14" s="28" t="n"/>
    </row>
    <row r="15">
      <c r="A15" s="31" t="inlineStr">
        <is>
          <t>Asset Coverage</t>
        </is>
      </c>
      <c r="B15" s="32" t="n"/>
      <c r="C15" s="32" t="n"/>
      <c r="D15" s="32" t="n"/>
      <c r="E15" s="32" t="n"/>
      <c r="F15" s="32" t="n"/>
      <c r="G15" s="32" t="n"/>
    </row>
    <row r="16">
      <c r="A16" s="33" t="inlineStr">
        <is>
          <t>Total Assets in Scope</t>
        </is>
      </c>
      <c r="B16" s="25">
        <f>COUNTA('Asset Scanner Mapping'!A6:A55)</f>
        <v/>
      </c>
      <c r="C16" s="6" t="n"/>
      <c r="D16" s="6" t="n"/>
      <c r="E16" s="6" t="n"/>
      <c r="F16" s="6" t="n"/>
      <c r="G16" s="6" t="n"/>
    </row>
    <row r="17">
      <c r="A17" s="33" t="inlineStr">
        <is>
          <t>Assets with Scanner Coverage</t>
        </is>
      </c>
      <c r="B17" s="25">
        <f>COUNTIF('Asset Scanner Mapping'!L6:L55,"Covered")</f>
        <v/>
      </c>
      <c r="C17" s="6" t="n"/>
      <c r="D17" s="6" t="n"/>
      <c r="E17" s="6" t="n"/>
      <c r="F17" s="6" t="n"/>
      <c r="G17" s="6" t="n"/>
    </row>
    <row r="18">
      <c r="A18" s="33" t="inlineStr">
        <is>
          <t>Scanning Coverage %</t>
        </is>
      </c>
      <c r="B18" s="26">
        <f>IFERROR(COUNTIF('Asset Scanner Mapping'!L6:L55,"Covered")/COUNTA('Asset Scanner Mapping'!A6:A55),0)</f>
        <v/>
      </c>
      <c r="C18" s="6" t="n"/>
      <c r="D18" s="6" t="n"/>
      <c r="E18" s="6" t="n"/>
      <c r="F18" s="6" t="n"/>
      <c r="G18" s="6" t="n"/>
    </row>
    <row r="19">
      <c r="A19" s="33" t="inlineStr">
        <is>
          <t>Critical Assets Covered</t>
        </is>
      </c>
      <c r="B19" s="25">
        <f>COUNTIFS('Asset Scanner Mapping'!J6:J55,"Critical",'Asset Scanner Mapping'!L6:L55,"Covered")</f>
        <v/>
      </c>
      <c r="C19" s="6" t="n"/>
      <c r="D19" s="6" t="n"/>
      <c r="E19" s="6" t="n"/>
      <c r="F19" s="6" t="n"/>
      <c r="G19" s="6" t="n"/>
    </row>
    <row r="20">
      <c r="A20" s="33" t="inlineStr">
        <is>
          <t>Critical Assets NOT Covered</t>
        </is>
      </c>
      <c r="B20" s="25">
        <f>COUNTIFS('Asset Scanner Mapping'!J6:J55,"Critical",'Asset Scanner Mapping'!L6:L55,"Not Covered")</f>
        <v/>
      </c>
      <c r="C20" s="6" t="n"/>
      <c r="D20" s="6" t="n"/>
      <c r="E20" s="6" t="n"/>
      <c r="F20" s="6" t="n"/>
      <c r="G20" s="6" t="n"/>
    </row>
    <row r="21">
      <c r="A21" s="31" t="inlineStr">
        <is>
          <t>Scanner Health</t>
        </is>
      </c>
      <c r="B21" s="32" t="n"/>
      <c r="C21" s="32" t="n"/>
      <c r="D21" s="32" t="n"/>
      <c r="E21" s="32" t="n"/>
      <c r="F21" s="32" t="n"/>
      <c r="G21" s="32" t="n"/>
    </row>
    <row r="22">
      <c r="A22" s="33" t="inlineStr">
        <is>
          <t>Active Scanners</t>
        </is>
      </c>
      <c r="B22" s="25">
        <f>COUNTIF('Scanner Inventory'!F6:F55,"Active")</f>
        <v/>
      </c>
      <c r="C22" s="6" t="n"/>
      <c r="D22" s="6" t="n"/>
      <c r="E22" s="6" t="n"/>
      <c r="F22" s="6" t="n"/>
      <c r="G22" s="6" t="n"/>
    </row>
    <row r="23">
      <c r="A23" s="33" t="inlineStr">
        <is>
          <t>Scanners with CVSS v4.0 Support</t>
        </is>
      </c>
      <c r="B23" s="25">
        <f>COUNTIF('Scanner Inventory'!U6:U55,"Yes")</f>
        <v/>
      </c>
      <c r="C23" s="6" t="n"/>
      <c r="D23" s="6" t="n"/>
      <c r="E23" s="6" t="n"/>
      <c r="F23" s="6" t="n"/>
      <c r="G23" s="6" t="n"/>
    </row>
    <row r="24">
      <c r="A24" s="31" t="inlineStr">
        <is>
          <t>Coverage Gaps</t>
        </is>
      </c>
      <c r="B24" s="32" t="n"/>
      <c r="C24" s="32" t="n"/>
      <c r="D24" s="32" t="n"/>
      <c r="E24" s="32" t="n"/>
      <c r="F24" s="32" t="n"/>
      <c r="G24" s="32" t="n"/>
    </row>
    <row r="25">
      <c r="A25" s="33" t="inlineStr">
        <is>
          <t>Coverage Gaps — Open (Critical/High)</t>
        </is>
      </c>
      <c r="B25" s="25">
        <f>COUNTIF('Coverage Gaps'!E6:E55,"Critical")+COUNTIF('Coverage Gaps'!E6:E55,"High")</f>
        <v/>
      </c>
      <c r="C25" s="6" t="n"/>
      <c r="D25" s="6" t="n"/>
      <c r="E25" s="6" t="n"/>
      <c r="F25" s="6" t="n"/>
      <c r="G25" s="6" t="n"/>
    </row>
    <row r="26">
      <c r="A26" s="33" t="inlineStr">
        <is>
          <t>Coverage Gaps — Resolved</t>
        </is>
      </c>
      <c r="B26" s="25">
        <f>COUNTIF('Coverage Gaps'!K6:K55,"Resolved")</f>
        <v/>
      </c>
      <c r="C26" s="6" t="n"/>
      <c r="D26" s="6" t="n"/>
      <c r="E26" s="6" t="n"/>
      <c r="F26" s="6" t="n"/>
      <c r="G26" s="6" t="n"/>
    </row>
    <row r="27">
      <c r="A27" s="31" t="inlineStr">
        <is>
          <t>Scan Execution</t>
        </is>
      </c>
      <c r="B27" s="32" t="n"/>
      <c r="C27" s="32" t="n"/>
      <c r="D27" s="32" t="n"/>
      <c r="E27" s="32" t="n"/>
      <c r="F27" s="32" t="n"/>
      <c r="G27" s="32" t="n"/>
    </row>
    <row r="28">
      <c r="A28" s="33" t="inlineStr">
        <is>
          <t>Scans Completed (Last 30 Days)</t>
        </is>
      </c>
      <c r="B28" s="25">
        <f>COUNTIFS('Scan Execution Log'!C6:C55,"&gt;="&amp;TODAY()-30,'Scan Execution Log'!F6:F55,"Complete")</f>
        <v/>
      </c>
      <c r="C28" s="6" t="n"/>
      <c r="D28" s="6" t="n"/>
      <c r="E28" s="6" t="n"/>
      <c r="F28" s="6" t="n"/>
      <c r="G28" s="6" t="n"/>
    </row>
    <row r="29">
      <c r="A29" s="33" t="inlineStr">
        <is>
          <t>Failed Scans (Last 30 Days)</t>
        </is>
      </c>
      <c r="B29" s="25">
        <f>COUNTIFS('Scan Execution Log'!C6:C55,"&gt;="&amp;TODAY()-30,'Scan Execution Log'!F6:F55,"Failed")</f>
        <v/>
      </c>
      <c r="C29" s="6" t="n"/>
      <c r="D29" s="6" t="n"/>
      <c r="E29" s="6" t="n"/>
      <c r="F29" s="6" t="n"/>
      <c r="G29" s="6" t="n"/>
    </row>
    <row r="30">
      <c r="A30" s="33" t="inlineStr">
        <is>
          <t>Scan Success Rate</t>
        </is>
      </c>
      <c r="B30" s="26">
        <f>IFERROR(COUNTIF('Scan Execution Log'!F6:F55,"Complete")/COUNTA('Scan Execution Log'!A6:A55),0)</f>
        <v/>
      </c>
      <c r="C30" s="6" t="n"/>
      <c r="D30" s="6" t="n"/>
      <c r="E30" s="6" t="n"/>
      <c r="F30" s="6" t="n"/>
      <c r="G30" s="6" t="n"/>
    </row>
    <row r="31">
      <c r="A31" s="6" t="n"/>
      <c r="B31" s="6" t="n"/>
      <c r="C31" s="6" t="n"/>
      <c r="D31" s="6" t="n"/>
      <c r="E31" s="6" t="n"/>
      <c r="F31" s="6" t="n"/>
      <c r="G31" s="6" t="n"/>
    </row>
    <row r="32">
      <c r="A32" s="6" t="n"/>
      <c r="B32" s="6" t="n"/>
      <c r="C32" s="6" t="n"/>
      <c r="D32" s="6" t="n"/>
      <c r="E32" s="6" t="n"/>
      <c r="F32" s="6" t="n"/>
      <c r="G32" s="6" t="n"/>
    </row>
    <row r="34">
      <c r="A34" s="34" t="inlineStr">
        <is>
          <t>TABLE 3: CRITICAL FINDINGS REQUIRING IMMEDIATE ATTENTION</t>
        </is>
      </c>
    </row>
    <row r="35">
      <c r="A35" s="28" t="inlineStr">
        <is>
          <t>Category</t>
        </is>
      </c>
      <c r="B35" s="28" t="inlineStr">
        <is>
          <t>Finding</t>
        </is>
      </c>
      <c r="C35" s="28" t="inlineStr">
        <is>
          <t>Count</t>
        </is>
      </c>
      <c r="D35" s="28" t="inlineStr">
        <is>
          <t>Severity</t>
        </is>
      </c>
      <c r="E35" s="28" t="inlineStr">
        <is>
          <t>Action Required</t>
        </is>
      </c>
      <c r="F35" s="28" t="n"/>
      <c r="G35" s="28" t="n"/>
    </row>
    <row r="36">
      <c r="A36" s="35" t="inlineStr">
        <is>
          <t>Coverage</t>
        </is>
      </c>
      <c r="B36" s="35" t="inlineStr">
        <is>
          <t>Critical assets with NO scanner coverage</t>
        </is>
      </c>
      <c r="C36" s="36">
        <f>COUNTIFS('Asset Scanner Mapping'!J6:J55,"Critical",'Asset Scanner Mapping'!L6:L55,"Not Covered")</f>
        <v/>
      </c>
      <c r="D36" s="35" t="inlineStr">
        <is>
          <t>Critical</t>
        </is>
      </c>
      <c r="E36" s="35" t="inlineStr">
        <is>
          <t>Immediate</t>
        </is>
      </c>
      <c r="F36" s="35" t="n"/>
      <c r="G36" s="35" t="n"/>
    </row>
    <row r="37">
      <c r="A37" s="35" t="inlineStr">
        <is>
          <t>Coverage</t>
        </is>
      </c>
      <c r="B37" s="35" t="inlineStr">
        <is>
          <t>High-criticality assets with NO scanner coverage</t>
        </is>
      </c>
      <c r="C37" s="36">
        <f>COUNTIFS('Asset Scanner Mapping'!J6:J55,"High",'Asset Scanner Mapping'!L6:L55,"Not Covered")</f>
        <v/>
      </c>
      <c r="D37" s="35" t="inlineStr">
        <is>
          <t>Critical</t>
        </is>
      </c>
      <c r="E37" s="35" t="inlineStr">
        <is>
          <t>Immediate</t>
        </is>
      </c>
      <c r="F37" s="35" t="n"/>
      <c r="G37" s="35" t="n"/>
    </row>
    <row r="38">
      <c r="A38" s="35" t="inlineStr">
        <is>
          <t>Coverage</t>
        </is>
      </c>
      <c r="B38" s="35" t="inlineStr">
        <is>
          <t>Overall scanning coverage below 95% threshold</t>
        </is>
      </c>
      <c r="C38" s="36">
        <f>IF(IFERROR(COUNTIF('Asset Scanner Mapping'!L6:L55,"Covered")/COUNTA('Asset Scanner Mapping'!A6:A55),0)&lt;0.95,1,0)</f>
        <v/>
      </c>
      <c r="D38" s="35" t="inlineStr">
        <is>
          <t>Critical</t>
        </is>
      </c>
      <c r="E38" s="35" t="inlineStr">
        <is>
          <t>Immediate</t>
        </is>
      </c>
      <c r="F38" s="35" t="n"/>
      <c r="G38" s="35" t="n"/>
    </row>
    <row r="39">
      <c r="A39" s="37" t="inlineStr">
        <is>
          <t>Scanner Health</t>
        </is>
      </c>
      <c r="B39" s="37" t="inlineStr">
        <is>
          <t>Inactive or decommissioned scanners</t>
        </is>
      </c>
      <c r="C39" s="38">
        <f>COUNTIF('Scanner Inventory'!F6:F55,"Inactive")+COUNTIF('Scanner Inventory'!F6:F55,"Decommissioned")</f>
        <v/>
      </c>
      <c r="D39" s="37" t="inlineStr">
        <is>
          <t>High</t>
        </is>
      </c>
      <c r="E39" s="37" t="inlineStr">
        <is>
          <t>Urgent</t>
        </is>
      </c>
      <c r="F39" s="37" t="n"/>
      <c r="G39" s="37" t="n"/>
    </row>
    <row r="40">
      <c r="A40" s="39" t="inlineStr">
        <is>
          <t>Scanner Health</t>
        </is>
      </c>
      <c r="B40" s="39" t="inlineStr">
        <is>
          <t>Scanners without CVSS v4.0 support</t>
        </is>
      </c>
      <c r="C40" s="40">
        <f>COUNTIF('Scanner Inventory'!U6:U55,"No")+COUNTIF('Scanner Inventory'!U6:U55,"Unknown")</f>
        <v/>
      </c>
      <c r="D40" s="39" t="inlineStr">
        <is>
          <t>Medium</t>
        </is>
      </c>
      <c r="E40" s="39" t="inlineStr">
        <is>
          <t>Plan</t>
        </is>
      </c>
      <c r="F40" s="39" t="n"/>
      <c r="G40" s="39" t="n"/>
    </row>
    <row r="41">
      <c r="A41" s="37" t="inlineStr">
        <is>
          <t>Scan Execution</t>
        </is>
      </c>
      <c r="B41" s="37" t="inlineStr">
        <is>
          <t>Failed scans in last 30 days</t>
        </is>
      </c>
      <c r="C41" s="38">
        <f>COUNTIFS('Scan Execution Log'!C6:C55,"&gt;="&amp;TODAY()-30,'Scan Execution Log'!F6:F55,"Failed")</f>
        <v/>
      </c>
      <c r="D41" s="37" t="inlineStr">
        <is>
          <t>High</t>
        </is>
      </c>
      <c r="E41" s="37" t="inlineStr">
        <is>
          <t>Urgent</t>
        </is>
      </c>
      <c r="F41" s="37" t="n"/>
      <c r="G41" s="37" t="n"/>
    </row>
    <row r="42">
      <c r="A42" s="37" t="inlineStr">
        <is>
          <t>Coverage Gaps</t>
        </is>
      </c>
      <c r="B42" s="37" t="inlineStr">
        <is>
          <t>Open critical/high severity coverage gaps</t>
        </is>
      </c>
      <c r="C42" s="38">
        <f>COUNTIF('Coverage Gaps'!E6:E55,"Critical")+COUNTIF('Coverage Gaps'!E6:E55,"High")</f>
        <v/>
      </c>
      <c r="D42" s="37" t="inlineStr">
        <is>
          <t>High</t>
        </is>
      </c>
      <c r="E42" s="37" t="inlineStr">
        <is>
          <t>Urgent</t>
        </is>
      </c>
      <c r="F42" s="37" t="n"/>
      <c r="G42" s="37" t="n"/>
    </row>
    <row r="43">
      <c r="A43" s="37" t="inlineStr">
        <is>
          <t>Scan Schedule</t>
        </is>
      </c>
      <c r="B43" s="37" t="inlineStr">
        <is>
          <t>Overdue or inactive scan schedules</t>
        </is>
      </c>
      <c r="C43" s="38">
        <f>COUNTIF('Scan Schedule'!H6:H55,"Overdue")+COUNTIF('Scan Schedule'!H6:H55,"Inactive")</f>
        <v/>
      </c>
      <c r="D43" s="37" t="inlineStr">
        <is>
          <t>High</t>
        </is>
      </c>
      <c r="E43" s="37" t="inlineStr">
        <is>
          <t>Urgent</t>
        </is>
      </c>
      <c r="F43" s="37" t="n"/>
      <c r="G43" s="37" t="n"/>
    </row>
    <row r="44">
      <c r="A44" s="41" t="n"/>
      <c r="B44" s="41" t="n"/>
      <c r="C44" s="41" t="n"/>
      <c r="D44" s="41" t="n"/>
      <c r="E44" s="41" t="n"/>
      <c r="F44" s="41" t="n"/>
      <c r="G44" s="41" t="n"/>
    </row>
    <row r="45">
      <c r="A45" s="41" t="n"/>
      <c r="B45" s="41" t="n"/>
      <c r="C45" s="41" t="n"/>
      <c r="D45" s="41" t="n"/>
      <c r="E45" s="41" t="n"/>
      <c r="F45" s="41" t="n"/>
      <c r="G45" s="41" t="n"/>
    </row>
  </sheetData>
  <mergeCells count="5">
    <mergeCell ref="A13:G13"/>
    <mergeCell ref="A1:G1"/>
    <mergeCell ref="A34:G34"/>
    <mergeCell ref="A4:G4"/>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6" t="inlineStr">
        <is>
          <t>SCANNING AND COVERAGE ASSESSMENT — ASSESSMENT APPROVAL AND SIGN-OFF</t>
        </is>
      </c>
      <c r="B1" s="6" t="n"/>
      <c r="C1" s="6" t="n"/>
      <c r="D1" s="6" t="n"/>
      <c r="E1" s="6" t="n"/>
    </row>
    <row r="2">
      <c r="A2" s="12" t="inlineStr">
        <is>
          <t>ISO/IEC 27001:2022 Annex A — Control A.8.8: Management of Technical Vulnerabilities</t>
        </is>
      </c>
      <c r="B2" s="6" t="n"/>
      <c r="C2" s="6" t="n"/>
      <c r="D2" s="6" t="n"/>
      <c r="E2" s="6" t="n"/>
    </row>
    <row r="3">
      <c r="A3" s="42" t="inlineStr">
        <is>
          <t>ASSESSMENT SUMMARY</t>
        </is>
      </c>
      <c r="B3" s="6" t="n"/>
      <c r="C3" s="6" t="n"/>
      <c r="D3" s="6" t="n"/>
      <c r="E3" s="6" t="n"/>
    </row>
    <row r="4">
      <c r="A4" s="43" t="inlineStr">
        <is>
          <t>Document:</t>
        </is>
      </c>
      <c r="B4" s="6" t="inlineStr">
        <is>
          <t>ISMS-IMP-A.8.8.1 — Scanning &amp; Coverage Assessment</t>
        </is>
      </c>
      <c r="C4" s="6" t="n"/>
      <c r="D4" s="6" t="n"/>
      <c r="E4" s="6" t="n"/>
    </row>
    <row r="5">
      <c r="A5" s="43" t="inlineStr">
        <is>
          <t>Assessment Period:</t>
        </is>
      </c>
      <c r="B5" s="44" t="inlineStr"/>
      <c r="C5" s="6" t="n"/>
      <c r="D5" s="6" t="n"/>
      <c r="E5" s="6" t="n"/>
    </row>
    <row r="6">
      <c r="A6" s="43" t="inlineStr">
        <is>
          <t>Overall Compliance Rating:</t>
        </is>
      </c>
      <c r="B6" s="45">
        <f>'Summary Dashboard'!G11</f>
        <v/>
      </c>
      <c r="C6" s="6" t="n"/>
      <c r="D6" s="6" t="n"/>
      <c r="E6" s="6" t="n"/>
    </row>
    <row r="7">
      <c r="A7" s="43" t="inlineStr">
        <is>
          <t>Assessment Status:</t>
        </is>
      </c>
      <c r="B7" s="44" t="inlineStr"/>
      <c r="C7" s="6" t="n"/>
      <c r="D7" s="6" t="n"/>
      <c r="E7" s="6" t="n"/>
    </row>
    <row r="8">
      <c r="A8" s="43" t="inlineStr">
        <is>
          <t>Assessed By:</t>
        </is>
      </c>
      <c r="B8" s="44" t="inlineStr"/>
      <c r="C8" s="6" t="n"/>
      <c r="D8" s="6" t="n"/>
      <c r="E8" s="6" t="n"/>
    </row>
    <row r="9">
      <c r="A9" s="6" t="n"/>
    </row>
    <row r="10">
      <c r="A10" s="42" t="inlineStr">
        <is>
          <t>ASSESSMENT REVIEW AND APPROVAL</t>
        </is>
      </c>
    </row>
    <row r="11">
      <c r="A11" s="23" t="inlineStr">
        <is>
          <t>Role / Function</t>
        </is>
      </c>
      <c r="B11" s="23" t="inlineStr">
        <is>
          <t>Name</t>
        </is>
      </c>
      <c r="C11" s="23" t="inlineStr">
        <is>
          <t>Signature / Initials</t>
        </is>
      </c>
      <c r="D11" s="23" t="inlineStr">
        <is>
          <t>Date (DD.MM.YYYY)</t>
        </is>
      </c>
      <c r="E11" s="23" t="inlineStr">
        <is>
          <t>Comments</t>
        </is>
      </c>
    </row>
    <row r="12">
      <c r="A12" s="46" t="inlineStr">
        <is>
          <t>Lead Assessor / Author</t>
        </is>
      </c>
      <c r="B12" s="44" t="n"/>
      <c r="C12" s="44" t="n"/>
      <c r="D12" s="44" t="n"/>
      <c r="E12" s="44" t="n"/>
    </row>
    <row r="13">
      <c r="A13" s="46" t="inlineStr">
        <is>
          <t>IT Security Manager</t>
        </is>
      </c>
      <c r="B13" s="44" t="n"/>
      <c r="C13" s="44" t="n"/>
      <c r="D13" s="44" t="n"/>
      <c r="E13" s="44" t="n"/>
    </row>
    <row r="14">
      <c r="A14" s="46" t="inlineStr">
        <is>
          <t>Reviewer (Technical / Compliance)</t>
        </is>
      </c>
      <c r="B14" s="44" t="n"/>
      <c r="C14" s="44" t="n"/>
      <c r="D14" s="44" t="n"/>
      <c r="E14" s="44" t="n"/>
    </row>
    <row r="15">
      <c r="A15" s="46" t="inlineStr">
        <is>
          <t>CISO / Final Approver</t>
        </is>
      </c>
      <c r="B15" s="44" t="n"/>
      <c r="C15" s="44" t="n"/>
      <c r="D15" s="44" t="n"/>
      <c r="E15" s="44" t="n"/>
    </row>
    <row r="16">
      <c r="A16" s="6" t="n"/>
    </row>
    <row r="17">
      <c r="A17" s="47" t="inlineStr">
        <is>
          <t>FINAL DECISION:</t>
        </is>
      </c>
      <c r="B17" s="48" t="inlineStr">
        <is>
          <t>☐ Approved     ☐ Approved with Conditions     ☐ Rejected     ☐ Deferred</t>
        </is>
      </c>
      <c r="C17" s="6" t="n"/>
      <c r="D17" s="6" t="n"/>
      <c r="E17" s="6" t="n"/>
    </row>
    <row r="18">
      <c r="A18" s="6" t="n"/>
    </row>
    <row r="19">
      <c r="A19" s="42" t="inlineStr">
        <is>
          <t>NEXT REVIEW DETAILS</t>
        </is>
      </c>
    </row>
    <row r="20">
      <c r="A20" s="49" t="inlineStr">
        <is>
          <t>Next Review Date (DD.MM.YYYY)</t>
        </is>
      </c>
      <c r="B20" s="44" t="n"/>
    </row>
    <row r="21">
      <c r="A21" s="49" t="inlineStr">
        <is>
          <t>Review Owner</t>
        </is>
      </c>
      <c r="B21" s="44"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ISMS-IMP-A.8.8.1 — Scanning &amp; Coverage Assessment</dc:title>
  <dc:description xmlns:dc="http://purl.org/dc/elements/1.1/">ISMS Implementation Workbook — ISMS-IMP-A.8.8.1</dc:description>
  <dc:subject xmlns:dc="http://purl.org/dc/elements/1.1/">ISO/IEC 27001:2022 — Control A.8.8: Management of Technical Vulnerabilities</dc:subject>
  <dcterms:created xmlns:dcterms="http://purl.org/dc/terms/" xmlns:xsi="http://www.w3.org/2001/XMLSchema-instance" xsi:type="dcterms:W3CDTF">2026-03-01T10:19:43Z</dcterms:created>
  <dcterms:modified xmlns:dcterms="http://purl.org/dc/terms/" xmlns:xsi="http://www.w3.org/2001/XMLSchema-instance" xsi:type="dcterms:W3CDTF">2026-03-01T10:19:44Z</dcterms:modified>
</cp:coreProperties>
</file>