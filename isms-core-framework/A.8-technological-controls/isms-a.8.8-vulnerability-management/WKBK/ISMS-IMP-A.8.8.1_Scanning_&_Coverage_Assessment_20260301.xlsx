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canner Inventory" sheetId="2" state="visible" r:id="rId2"/>
    <sheet xmlns:r="http://schemas.openxmlformats.org/officeDocument/2006/relationships" name="Asset Scanner Mapping" sheetId="3" state="visible" r:id="rId3"/>
    <sheet xmlns:r="http://schemas.openxmlformats.org/officeDocument/2006/relationships" name="Scan Schedule" sheetId="4" state="visible" r:id="rId4"/>
    <sheet xmlns:r="http://schemas.openxmlformats.org/officeDocument/2006/relationships" name="Scan Execution Log" sheetId="5" state="visible" r:id="rId5"/>
    <sheet xmlns:r="http://schemas.openxmlformats.org/officeDocument/2006/relationships" name="Coverage Gap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i val="1"/>
      <sz val="10"/>
    </font>
    <font>
      <name val="Calibri"/>
      <b val="1"/>
      <color rgb="00FFFFFF"/>
      <sz val="10"/>
    </font>
    <font>
      <name val="Calibri"/>
      <b val="1"/>
      <color rgb="00FFFFFF"/>
      <sz val="11"/>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1" fillId="8" borderId="1" applyAlignment="1" pivotButton="0" quotePrefix="0" xfId="0">
      <alignment horizontal="center"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6" fillId="10" borderId="1" pivotButton="0" quotePrefix="0" xfId="0"/>
    <xf numFmtId="0" fontId="0" fillId="11" borderId="1" applyAlignment="1" pivotButton="0" quotePrefix="0" xfId="0">
      <alignment vertical="center"/>
    </xf>
    <xf numFmtId="0" fontId="5" fillId="0" borderId="0" applyAlignment="1" pivotButton="0" quotePrefix="0" xfId="0">
      <alignment horizontal="left" vertical="center"/>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applyAlignment="1" pivotButton="0" quotePrefix="0" xfId="0">
      <alignment horizontal="left"/>
    </xf>
    <xf numFmtId="0" fontId="11" fillId="9" borderId="1" applyAlignment="1" pivotButton="0" quotePrefix="0" xfId="0">
      <alignment horizontal="center"/>
    </xf>
    <xf numFmtId="164" fontId="11" fillId="9" borderId="1" applyAlignment="1" pivotButton="0" quotePrefix="0" xfId="0">
      <alignment horizontal="center"/>
    </xf>
    <xf numFmtId="0" fontId="10" fillId="8" borderId="1" pivotButton="0" quotePrefix="0" xfId="0"/>
    <xf numFmtId="0" fontId="11" fillId="9" borderId="1" applyAlignment="1" pivotButton="0" quotePrefix="0" xfId="0">
      <alignment horizontal="left" vertical="center"/>
    </xf>
    <xf numFmtId="0" fontId="11" fillId="9" borderId="1" pivotButton="0" quotePrefix="0" xfId="0"/>
    <xf numFmtId="0" fontId="12" fillId="0" borderId="1" applyAlignment="1" pivotButton="0" quotePrefix="0" xfId="0">
      <alignment horizontal="left" vertical="center"/>
    </xf>
    <xf numFmtId="0" fontId="10" fillId="12" borderId="1" pivotButton="0" quotePrefix="0" xfId="0"/>
    <xf numFmtId="0" fontId="13" fillId="13" borderId="1" pivotButton="0" quotePrefix="0" xfId="0"/>
    <xf numFmtId="0" fontId="13" fillId="13" borderId="1" applyAlignment="1" pivotButton="0" quotePrefix="0" xfId="0">
      <alignment horizontal="center"/>
    </xf>
    <xf numFmtId="0" fontId="14" fillId="14" borderId="1" pivotButton="0" quotePrefix="0" xfId="0"/>
    <xf numFmtId="0" fontId="14" fillId="14" borderId="1" applyAlignment="1" pivotButton="0" quotePrefix="0" xfId="0">
      <alignment horizontal="center"/>
    </xf>
    <xf numFmtId="0" fontId="15" fillId="15" borderId="1" pivotButton="0" quotePrefix="0" xfId="0"/>
    <xf numFmtId="0" fontId="15" fillId="15" borderId="1" applyAlignment="1" pivotButton="0" quotePrefix="0" xfId="0">
      <alignment horizontal="center"/>
    </xf>
    <xf numFmtId="0" fontId="0" fillId="15" borderId="1" pivotButton="0" quotePrefix="0" xfId="0"/>
    <xf numFmtId="0" fontId="10" fillId="16" borderId="1" applyAlignment="1" pivotButton="0" quotePrefix="0" xfId="0">
      <alignment horizontal="center" vertical="center"/>
    </xf>
    <xf numFmtId="0" fontId="11" fillId="0" borderId="1" pivotButton="0" quotePrefix="0" xfId="0"/>
    <xf numFmtId="0" fontId="0" fillId="11" borderId="1" pivotButton="0" quotePrefix="0" xfId="0"/>
    <xf numFmtId="164" fontId="0" fillId="0" borderId="1" pivotButton="0" quotePrefix="0" xfId="0"/>
    <xf numFmtId="0" fontId="7" fillId="11" borderId="1" pivotButton="0" quotePrefix="0" xfId="0"/>
    <xf numFmtId="0" fontId="16" fillId="0" borderId="1" pivotButton="0" quotePrefix="0" xfId="0"/>
    <xf numFmtId="0" fontId="7" fillId="11" borderId="1" applyAlignment="1" pivotButton="0" quotePrefix="0" xfId="0">
      <alignment horizontal="center" vertical="center"/>
    </xf>
    <xf numFmtId="0" fontId="11"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ISMS-IMP-A.8.8.1  -  Scanning &amp; Coverage Assessment
ISO/IEC 27001:2022 - Control A.8.8: Management of Technical Vulnerabilities</t>
        </is>
      </c>
    </row>
    <row r="3">
      <c r="A3" s="2" t="inlineStr">
        <is>
          <t>Document Information</t>
        </is>
      </c>
    </row>
    <row r="4">
      <c r="A4" s="3" t="inlineStr">
        <is>
          <t>Document ID</t>
        </is>
      </c>
      <c r="B4" t="inlineStr">
        <is>
          <t>ISMS-IMP-A.8.8.1</t>
        </is>
      </c>
    </row>
    <row r="5">
      <c r="A5" s="3" t="inlineStr">
        <is>
          <t>Workbook Title</t>
        </is>
      </c>
      <c r="B5" t="inlineStr">
        <is>
          <t>Scanning &amp; Coverage Assessment</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Scanner Inventory sheet with all vulnerability scanners in scope.</t>
        </is>
      </c>
    </row>
    <row r="15">
      <c r="A15" t="inlineStr">
        <is>
          <t>3. Complete the Asset Scanner Mapping sheet with per-asset scanner coverage status.</t>
        </is>
      </c>
    </row>
    <row r="16">
      <c r="A16" t="inlineStr">
        <is>
          <t>4. Complete the Scan Schedule sheet with all scheduled scan configurations.</t>
        </is>
      </c>
    </row>
    <row r="17">
      <c r="A17" t="inlineStr">
        <is>
          <t>5. Complete the Scan Execution Log sheet with scan execution history and outcomes.</t>
        </is>
      </c>
    </row>
    <row r="18">
      <c r="A18" t="inlineStr">
        <is>
          <t>6. Complete the Coverage Gaps sheet with all identified scanning coverage gaps.</t>
        </is>
      </c>
    </row>
    <row r="19">
      <c r="A19" t="inlineStr">
        <is>
          <t>7. Record all supporting evidence in the Evidence Register.</t>
        </is>
      </c>
    </row>
    <row r="20">
      <c r="A20" t="inlineStr">
        <is>
          <t>8. Review the Summary Dashboard for TABLE 1/2/3 compliance metrics.</t>
        </is>
      </c>
    </row>
    <row r="21">
      <c r="A21" t="inlineStr">
        <is>
          <t>9. Obtain sign-off via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5"/>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16" customWidth="1" min="3" max="3"/>
    <col width="14" customWidth="1" min="4" max="4"/>
    <col width="14" customWidth="1" min="5" max="5"/>
    <col width="14" customWidth="1" min="6" max="6"/>
    <col width="16" customWidth="1" min="7" max="7"/>
    <col width="16" customWidth="1" min="8" max="8"/>
    <col width="16" customWidth="1" min="9" max="9"/>
    <col width="16" customWidth="1" min="10" max="10"/>
    <col width="16" customWidth="1" min="11" max="11"/>
    <col width="16" customWidth="1" min="12" max="12"/>
    <col width="14" customWidth="1" min="13" max="13"/>
    <col width="14" customWidth="1" min="14" max="14"/>
    <col width="16" customWidth="1" min="15" max="15"/>
    <col width="16" customWidth="1" min="16" max="16"/>
    <col width="12" customWidth="1" min="17" max="17"/>
    <col width="14" customWidth="1" min="18" max="18"/>
    <col width="14" customWidth="1" min="19" max="19"/>
    <col width="14" customWidth="1" min="20" max="20"/>
    <col width="14" customWidth="1" min="21" max="21"/>
  </cols>
  <sheetData>
    <row r="1" ht="35" customHeight="1">
      <c r="A1" s="11" t="inlineStr">
        <is>
          <t>ISMS-IMP-A.8.8.1  —  SCANNER INVENTORY</t>
        </is>
      </c>
    </row>
    <row r="2">
      <c r="A2" s="12" t="inlineStr">
        <is>
          <t>ISO/IEC 27001:2022 — Control A.8.8: Management of Technical Vulnerabilities</t>
        </is>
      </c>
    </row>
    <row r="3">
      <c r="A3" s="6" t="n"/>
    </row>
    <row r="4">
      <c r="A4" s="13" t="inlineStr">
        <is>
          <t>Scanner_ID</t>
        </is>
      </c>
      <c r="B4" s="13" t="inlineStr">
        <is>
          <t>Scanner_Name</t>
        </is>
      </c>
      <c r="C4" s="13" t="inlineStr">
        <is>
          <t>Vendor</t>
        </is>
      </c>
      <c r="D4" s="13" t="inlineStr">
        <is>
          <t>Product_Version</t>
        </is>
      </c>
      <c r="E4" s="13" t="inlineStr">
        <is>
          <t>Scan_Type</t>
        </is>
      </c>
      <c r="F4" s="13" t="inlineStr">
        <is>
          <t>Status</t>
        </is>
      </c>
      <c r="G4" s="13" t="inlineStr">
        <is>
          <t>IP_Address</t>
        </is>
      </c>
      <c r="H4" s="13" t="inlineStr">
        <is>
          <t>Deployment_Type</t>
        </is>
      </c>
      <c r="I4" s="13" t="inlineStr">
        <is>
          <t>Managed_By</t>
        </is>
      </c>
      <c r="J4" s="13" t="inlineStr">
        <is>
          <t>Scan_Protocols</t>
        </is>
      </c>
      <c r="K4" s="13" t="inlineStr">
        <is>
          <t>Auth_Method</t>
        </is>
      </c>
      <c r="L4" s="13" t="inlineStr">
        <is>
          <t>Network_Segment</t>
        </is>
      </c>
      <c r="M4" s="13" t="inlineStr">
        <is>
          <t>Scan_Frequency</t>
        </is>
      </c>
      <c r="N4" s="13" t="inlineStr">
        <is>
          <t>Last_Scan_Date</t>
        </is>
      </c>
      <c r="O4" s="13" t="inlineStr">
        <is>
          <t>Next_Scheduled_Scan</t>
        </is>
      </c>
      <c r="P4" s="13" t="inlineStr">
        <is>
          <t>Plugin_Feed</t>
        </is>
      </c>
      <c r="Q4" s="13" t="inlineStr">
        <is>
          <t>Agent_Based</t>
        </is>
      </c>
      <c r="R4" s="13" t="inlineStr">
        <is>
          <t>Agentless_Supported</t>
        </is>
      </c>
      <c r="S4" s="13" t="inlineStr">
        <is>
          <t>API_Integration</t>
        </is>
      </c>
      <c r="T4" s="13" t="inlineStr">
        <is>
          <t>Deployment_Date</t>
        </is>
      </c>
      <c r="U4" s="13" t="inlineStr">
        <is>
          <t>CVSS_v40_Support</t>
        </is>
      </c>
    </row>
    <row r="5">
      <c r="A5" s="14" t="inlineStr">
        <is>
          <t>SCN-001</t>
        </is>
      </c>
      <c r="B5" s="14" t="inlineStr">
        <is>
          <t>Tenable Nessus</t>
        </is>
      </c>
      <c r="C5" s="14" t="inlineStr">
        <is>
          <t>Tenable</t>
        </is>
      </c>
      <c r="D5" s="14" t="inlineStr">
        <is>
          <t>10.7.0</t>
        </is>
      </c>
      <c r="E5" s="14" t="inlineStr">
        <is>
          <t>Network</t>
        </is>
      </c>
      <c r="F5" s="14" t="inlineStr">
        <is>
          <t>Active</t>
        </is>
      </c>
      <c r="G5" s="14" t="inlineStr">
        <is>
          <t>192.168.1.100</t>
        </is>
      </c>
      <c r="H5" s="14" t="inlineStr">
        <is>
          <t>On-Premises</t>
        </is>
      </c>
      <c r="I5" s="14" t="inlineStr">
        <is>
          <t>Security Team</t>
        </is>
      </c>
      <c r="J5" s="14" t="inlineStr">
        <is>
          <t>TCP/UDP</t>
        </is>
      </c>
      <c r="K5" s="14" t="inlineStr">
        <is>
          <t>Credential</t>
        </is>
      </c>
      <c r="L5" s="14" t="inlineStr">
        <is>
          <t>10.0.0.0/8</t>
        </is>
      </c>
      <c r="M5" s="14" t="inlineStr">
        <is>
          <t>Daily</t>
        </is>
      </c>
      <c r="N5" s="14" t="inlineStr">
        <is>
          <t>01.01.2026</t>
        </is>
      </c>
      <c r="O5" s="14" t="inlineStr">
        <is>
          <t>02.01.2026</t>
        </is>
      </c>
      <c r="P5" s="14" t="inlineStr">
        <is>
          <t>Tenable Plugins</t>
        </is>
      </c>
      <c r="Q5" s="14" t="inlineStr">
        <is>
          <t>Yes</t>
        </is>
      </c>
      <c r="R5" s="14" t="inlineStr">
        <is>
          <t>Yes</t>
        </is>
      </c>
      <c r="S5" s="14" t="inlineStr">
        <is>
          <t>Yes</t>
        </is>
      </c>
      <c r="T5" s="14" t="inlineStr">
        <is>
          <t>01.06.2025</t>
        </is>
      </c>
      <c r="U5" s="14" t="inlineStr">
        <is>
          <t>Yes</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row>
  </sheetData>
  <mergeCells count="3">
    <mergeCell ref="A1:U1"/>
    <mergeCell ref="A3:U3"/>
    <mergeCell ref="A2:U2"/>
  </mergeCells>
  <dataValidations count="7">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"Network,Web,Database,Cloud,Container,Endpoint,SAST/DAST"</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"Active,Inactive,Maintenance,Decommissioned"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"On-Premises,Cloud,Hybrid,SaaS"</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"Credential,Certificate,API Key,Agentless,Unauthenticated"</formula1>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1" type="list">
      <formula1>"Daily,Weekly,Biweekly,Monthly,Quarterly,On-Demand"</formula1>
    </dataValidation>
    <dataValidation sqref="Q6 Q7 Q8 Q9 Q10 Q11 Q12 Q13 Q14 Q15 Q16 Q17 Q18 Q19 Q20 Q21 Q22 Q23 Q24 Q25 Q26 Q27 Q28 Q29 Q30 Q31 Q32 Q33 Q34 Q35 Q36 Q37 Q38 Q39 Q40 Q41 Q42 Q43 Q44 Q45 Q46 Q47 Q48 Q49 Q50 Q51 Q52 Q53 Q54 Q55 R6 R7 R8 R9 R10 R11 R12 R13 R14 R15 R16 R17 R18 R19 R20 R21 R22 R23 R24 R25 R26 R27 R28 R29 R30 R31 R32 R33 R34 R35 R36 R37 R38 R39 R40 R41 R42 R43 R44 R45 R46 R47 R48 R49 R50 R51 R52 R53 R54 R55" showDropDown="0" showInputMessage="0" showErrorMessage="0" allowBlank="1" type="list">
      <formula1>"Yes,No"</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"Yes,No,Roadmap,Unknown"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16" customWidth="1" min="3" max="3"/>
    <col width="14" customWidth="1" min="4" max="4"/>
    <col width="14" customWidth="1" min="5" max="5"/>
    <col width="16" customWidth="1" min="6" max="6"/>
    <col width="14" customWidth="1" min="7" max="7"/>
    <col width="14" customWidth="1" min="8" max="8"/>
    <col width="20" customWidth="1" min="9" max="9"/>
    <col width="14" customWidth="1" min="10" max="10"/>
    <col width="14" customWidth="1" min="11" max="11"/>
    <col width="18" customWidth="1" min="12" max="12"/>
    <col width="30" customWidth="1" min="13" max="13"/>
  </cols>
  <sheetData>
    <row r="1" ht="35" customHeight="1">
      <c r="A1" s="11" t="inlineStr">
        <is>
          <t>ISMS-IMP-A.8.8.1  —  ASSET SCANNER MAPPING</t>
        </is>
      </c>
    </row>
    <row r="2">
      <c r="A2" s="12" t="inlineStr">
        <is>
          <t>ISO/IEC 27001:2022 — Control A.8.8: Management of Technical Vulnerabilities</t>
        </is>
      </c>
    </row>
    <row r="3">
      <c r="A3" s="6" t="n"/>
    </row>
    <row r="4">
      <c r="A4" s="13" t="inlineStr">
        <is>
          <t>Asset_ID</t>
        </is>
      </c>
      <c r="B4" s="13" t="inlineStr">
        <is>
          <t>Asset_Name</t>
        </is>
      </c>
      <c r="C4" s="13" t="inlineStr">
        <is>
          <t>Asset_Type</t>
        </is>
      </c>
      <c r="D4" s="13" t="inlineStr">
        <is>
          <t>IP_Address</t>
        </is>
      </c>
      <c r="E4" s="13" t="inlineStr">
        <is>
          <t>Environment</t>
        </is>
      </c>
      <c r="F4" s="13" t="inlineStr">
        <is>
          <t>Owner</t>
        </is>
      </c>
      <c r="G4" s="13" t="inlineStr">
        <is>
          <t>Department</t>
        </is>
      </c>
      <c r="H4" s="13" t="inlineStr">
        <is>
          <t>Scan_Frequency</t>
        </is>
      </c>
      <c r="I4" s="13" t="inlineStr">
        <is>
          <t>Scanner_Name</t>
        </is>
      </c>
      <c r="J4" s="13" t="inlineStr">
        <is>
          <t>Asset_Criticality</t>
        </is>
      </c>
      <c r="K4" s="13" t="inlineStr">
        <is>
          <t>Last_Scan_Date</t>
        </is>
      </c>
      <c r="L4" s="13" t="inlineStr">
        <is>
          <t>Scan_Coverage_Status</t>
        </is>
      </c>
      <c r="M4" s="13" t="inlineStr">
        <is>
          <t>Notes</t>
        </is>
      </c>
    </row>
    <row r="5">
      <c r="A5" s="14" t="inlineStr">
        <is>
          <t>AST-001</t>
        </is>
      </c>
      <c r="B5" s="14" t="inlineStr">
        <is>
          <t>web-prod-01</t>
        </is>
      </c>
      <c r="C5" s="14" t="inlineStr">
        <is>
          <t>Server</t>
        </is>
      </c>
      <c r="D5" s="14" t="inlineStr">
        <is>
          <t>10.0.1.50</t>
        </is>
      </c>
      <c r="E5" s="14" t="inlineStr">
        <is>
          <t>Production</t>
        </is>
      </c>
      <c r="F5" s="14" t="inlineStr">
        <is>
          <t>J.Smith</t>
        </is>
      </c>
      <c r="G5" s="14" t="inlineStr">
        <is>
          <t>IT Operations</t>
        </is>
      </c>
      <c r="H5" s="14" t="inlineStr">
        <is>
          <t>Daily</t>
        </is>
      </c>
      <c r="I5" s="14" t="inlineStr">
        <is>
          <t>Tenable Nessus</t>
        </is>
      </c>
      <c r="J5" s="14" t="inlineStr">
        <is>
          <t>Critical</t>
        </is>
      </c>
      <c r="K5" s="14" t="inlineStr">
        <is>
          <t>01.01.2026</t>
        </is>
      </c>
      <c r="L5" s="14" t="inlineStr">
        <is>
          <t>Covered</t>
        </is>
      </c>
      <c r="M5" s="14" t="inlineStr">
        <is>
          <t>Primary web server</t>
        </is>
      </c>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row r="55">
      <c r="A55" s="15" t="n"/>
      <c r="B55" s="15" t="n"/>
      <c r="C55" s="15" t="n"/>
      <c r="D55" s="15" t="n"/>
      <c r="E55" s="15" t="n"/>
      <c r="F55" s="15" t="n"/>
      <c r="G55" s="15" t="n"/>
      <c r="H55" s="15" t="n"/>
      <c r="I55" s="15" t="n"/>
      <c r="J55" s="15" t="n"/>
      <c r="K55" s="15" t="n"/>
      <c r="L55" s="15" t="n"/>
      <c r="M55" s="15" t="n"/>
    </row>
  </sheetData>
  <mergeCells count="3">
    <mergeCell ref="A3:M3"/>
    <mergeCell ref="A2:M2"/>
    <mergeCell ref="A1:M1"/>
  </mergeCells>
  <dataValidations count="5">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"Server,Workstation,Network Device,Cloud Resource,Container,IoT,Other"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"Production,Staging,Development,Management"</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"Daily,Weekly,Biweekly,Monthly,Quarterly"</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"Critical,High,Medium,Low"</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"Covered,Partial,Not Covered"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12" customWidth="1" min="1" max="1"/>
    <col width="26" customWidth="1" min="2" max="2"/>
    <col width="20" customWidth="1" min="3" max="3"/>
    <col width="20" customWidth="1" min="4" max="4"/>
    <col width="14" customWidth="1" min="5" max="5"/>
    <col width="12" customWidth="1" min="6" max="6"/>
    <col width="14" customWidth="1" min="7" max="7"/>
    <col width="14" customWidth="1" min="8" max="8"/>
    <col width="14" customWidth="1" min="9" max="9"/>
    <col width="20" customWidth="1" min="10" max="10"/>
    <col width="24" customWidth="1" min="11" max="11"/>
    <col width="30" customWidth="1" min="12" max="12"/>
  </cols>
  <sheetData>
    <row r="1" ht="35" customHeight="1">
      <c r="A1" s="11" t="inlineStr">
        <is>
          <t>ISMS-IMP-A.8.8.1  —  SCAN SCHEDULE</t>
        </is>
      </c>
    </row>
    <row r="2">
      <c r="A2" s="12" t="inlineStr">
        <is>
          <t>ISO/IEC 27001:2022 — Control A.8.8: Management of Technical Vulnerabilities</t>
        </is>
      </c>
    </row>
    <row r="3">
      <c r="A3" s="6" t="n"/>
    </row>
    <row r="4">
      <c r="A4" s="13" t="inlineStr">
        <is>
          <t>Schedule_ID</t>
        </is>
      </c>
      <c r="B4" s="13" t="inlineStr">
        <is>
          <t>Schedule_Name</t>
        </is>
      </c>
      <c r="C4" s="13" t="inlineStr">
        <is>
          <t>Scanner_Name</t>
        </is>
      </c>
      <c r="D4" s="13" t="inlineStr">
        <is>
          <t>Target_Assets</t>
        </is>
      </c>
      <c r="E4" s="13" t="inlineStr">
        <is>
          <t>Scan_Type</t>
        </is>
      </c>
      <c r="F4" s="13" t="inlineStr">
        <is>
          <t>Frequency</t>
        </is>
      </c>
      <c r="G4" s="13" t="inlineStr">
        <is>
          <t>Next_Scan_Date</t>
        </is>
      </c>
      <c r="H4" s="13" t="inlineStr">
        <is>
          <t>Schedule_Status</t>
        </is>
      </c>
      <c r="I4" s="13" t="inlineStr">
        <is>
          <t>Last_Executed</t>
        </is>
      </c>
      <c r="J4" s="13" t="inlineStr">
        <is>
          <t>Auth_Profile</t>
        </is>
      </c>
      <c r="K4" s="13" t="inlineStr">
        <is>
          <t>Notification_Email</t>
        </is>
      </c>
      <c r="L4" s="13" t="inlineStr">
        <is>
          <t>Notes</t>
        </is>
      </c>
    </row>
    <row r="5">
      <c r="A5" s="14" t="inlineStr">
        <is>
          <t>SCH-001</t>
        </is>
      </c>
      <c r="B5" s="14" t="inlineStr">
        <is>
          <t>Daily Production Scan</t>
        </is>
      </c>
      <c r="C5" s="14" t="inlineStr">
        <is>
          <t>Tenable Nessus</t>
        </is>
      </c>
      <c r="D5" s="14" t="inlineStr">
        <is>
          <t>Production Servers</t>
        </is>
      </c>
      <c r="E5" s="14" t="inlineStr">
        <is>
          <t>Network</t>
        </is>
      </c>
      <c r="F5" s="14" t="inlineStr">
        <is>
          <t>Daily</t>
        </is>
      </c>
      <c r="G5" s="14" t="inlineStr">
        <is>
          <t>02.01.2026</t>
        </is>
      </c>
      <c r="H5" s="14" t="inlineStr">
        <is>
          <t>Active</t>
        </is>
      </c>
      <c r="I5" s="14" t="inlineStr">
        <is>
          <t>01.01.2026</t>
        </is>
      </c>
      <c r="J5" s="14" t="inlineStr">
        <is>
          <t>Prod-Credentials</t>
        </is>
      </c>
      <c r="K5" s="14" t="inlineStr">
        <is>
          <t>security@company.com</t>
        </is>
      </c>
      <c r="L5" s="14" t="inlineStr">
        <is>
          <t>Daily full scan of production network</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3">
    <mergeCell ref="A3:L3"/>
    <mergeCell ref="A2:L2"/>
    <mergeCell ref="A1:L1"/>
  </mergeCells>
  <dataValidations count="3">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"Network,Web,Database,Cloud,Container,Endpoint"</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"Daily,Weekly,Biweekly,Monthly,Quarterly,On-Demand"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"Active,Paused,Overdue,Inactive"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14" customWidth="1" min="3" max="3"/>
    <col width="14" customWidth="1" min="4" max="4"/>
    <col width="20" customWidth="1" min="5" max="5"/>
    <col width="12" customWidth="1" min="6" max="6"/>
    <col width="14" customWidth="1" min="7" max="7"/>
    <col width="14" customWidth="1" min="8" max="8"/>
    <col width="12" customWidth="1" min="9" max="9"/>
    <col width="12" customWidth="1" min="10" max="10"/>
    <col width="12" customWidth="1" min="11" max="11"/>
    <col width="16" customWidth="1" min="12" max="12"/>
    <col width="30" customWidth="1" min="13" max="13"/>
  </cols>
  <sheetData>
    <row r="1" ht="35" customHeight="1">
      <c r="A1" s="11" t="inlineStr">
        <is>
          <t>ISMS-IMP-A.8.8.1  —  SCAN EXECUTION LOG</t>
        </is>
      </c>
    </row>
    <row r="2">
      <c r="A2" s="12" t="inlineStr">
        <is>
          <t>ISO/IEC 27001:2022 — Control A.8.8: Management of Technical Vulnerabilities</t>
        </is>
      </c>
    </row>
    <row r="3">
      <c r="A3" s="6" t="n"/>
    </row>
    <row r="4">
      <c r="A4" s="13" t="inlineStr">
        <is>
          <t>Scan_ID</t>
        </is>
      </c>
      <c r="B4" s="13" t="inlineStr">
        <is>
          <t>Schedule_Name</t>
        </is>
      </c>
      <c r="C4" s="13" t="inlineStr">
        <is>
          <t>Start_Date</t>
        </is>
      </c>
      <c r="D4" s="13" t="inlineStr">
        <is>
          <t>End_Date</t>
        </is>
      </c>
      <c r="E4" s="13" t="inlineStr">
        <is>
          <t>Scanner_Name</t>
        </is>
      </c>
      <c r="F4" s="13" t="inlineStr">
        <is>
          <t>Status</t>
        </is>
      </c>
      <c r="G4" s="13" t="inlineStr">
        <is>
          <t>Duration_Minutes</t>
        </is>
      </c>
      <c r="H4" s="13" t="inlineStr">
        <is>
          <t>Assets_Scanned</t>
        </is>
      </c>
      <c r="I4" s="13" t="inlineStr">
        <is>
          <t>Vulns_Found</t>
        </is>
      </c>
      <c r="J4" s="13" t="inlineStr">
        <is>
          <t>Critical_Vulns</t>
        </is>
      </c>
      <c r="K4" s="13" t="inlineStr">
        <is>
          <t>High_Vulns</t>
        </is>
      </c>
      <c r="L4" s="13" t="inlineStr">
        <is>
          <t>Errors</t>
        </is>
      </c>
      <c r="M4" s="13" t="inlineStr">
        <is>
          <t>Notes</t>
        </is>
      </c>
    </row>
    <row r="5">
      <c r="A5" s="14" t="inlineStr">
        <is>
          <t>EXC-001</t>
        </is>
      </c>
      <c r="B5" s="14" t="inlineStr">
        <is>
          <t>Daily Production Scan</t>
        </is>
      </c>
      <c r="C5" s="14" t="inlineStr">
        <is>
          <t>01.01.2026</t>
        </is>
      </c>
      <c r="D5" s="14" t="inlineStr">
        <is>
          <t>01.01.2026</t>
        </is>
      </c>
      <c r="E5" s="14" t="inlineStr">
        <is>
          <t>Tenable Nessus</t>
        </is>
      </c>
      <c r="F5" s="14" t="inlineStr">
        <is>
          <t>Complete</t>
        </is>
      </c>
      <c r="G5" s="14" t="inlineStr">
        <is>
          <t>45</t>
        </is>
      </c>
      <c r="H5" s="14" t="inlineStr">
        <is>
          <t>50</t>
        </is>
      </c>
      <c r="I5" s="14" t="inlineStr">
        <is>
          <t>23</t>
        </is>
      </c>
      <c r="J5" s="14" t="inlineStr">
        <is>
          <t>2</t>
        </is>
      </c>
      <c r="K5" s="14" t="inlineStr">
        <is>
          <t>8</t>
        </is>
      </c>
      <c r="L5" s="14" t="inlineStr">
        <is>
          <t>None</t>
        </is>
      </c>
      <c r="M5" s="14" t="inlineStr">
        <is>
          <t>Completed successfully — all targets responsive</t>
        </is>
      </c>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row r="55">
      <c r="A55" s="15" t="n"/>
      <c r="B55" s="15" t="n"/>
      <c r="C55" s="15" t="n"/>
      <c r="D55" s="15" t="n"/>
      <c r="E55" s="15" t="n"/>
      <c r="F55" s="15" t="n"/>
      <c r="G55" s="15" t="n"/>
      <c r="H55" s="15" t="n"/>
      <c r="I55" s="15" t="n"/>
      <c r="J55" s="15" t="n"/>
      <c r="K55" s="15" t="n"/>
      <c r="L55" s="15" t="n"/>
      <c r="M55" s="15" t="n"/>
    </row>
  </sheetData>
  <mergeCells count="3">
    <mergeCell ref="A3:M3"/>
    <mergeCell ref="A2:M2"/>
    <mergeCell ref="A1:M1"/>
  </mergeCells>
  <dataValidations count="1">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"Complete,Partial,Failed,Running"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16" customWidth="1" min="4" max="4"/>
    <col width="12" customWidth="1" min="5" max="5"/>
    <col width="16" customWidth="1" min="6" max="6"/>
    <col width="14" customWidth="1" min="7" max="7"/>
    <col width="16" customWidth="1" min="8" max="8"/>
    <col width="24" customWidth="1" min="9" max="9"/>
    <col width="36" customWidth="1" min="10" max="10"/>
    <col width="14" customWidth="1" min="11" max="11"/>
    <col width="30" customWidth="1" min="12" max="12"/>
  </cols>
  <sheetData>
    <row r="1" ht="35" customHeight="1">
      <c r="A1" s="11" t="inlineStr">
        <is>
          <t>ISMS-IMP-A.8.8.1  —  COVERAGE GAPS</t>
        </is>
      </c>
    </row>
    <row r="2">
      <c r="A2" s="12" t="inlineStr">
        <is>
          <t>ISO/IEC 27001:2022 — Control A.8.8: Management of Technical Vulnerabilities</t>
        </is>
      </c>
    </row>
    <row r="3">
      <c r="A3" s="6" t="n"/>
    </row>
    <row r="4">
      <c r="A4" s="13" t="inlineStr">
        <is>
          <t>Gap_ID</t>
        </is>
      </c>
      <c r="B4" s="13" t="inlineStr">
        <is>
          <t>Gap_Description</t>
        </is>
      </c>
      <c r="C4" s="13" t="inlineStr">
        <is>
          <t>Asset_Name</t>
        </is>
      </c>
      <c r="D4" s="13" t="inlineStr">
        <is>
          <t>Asset_Type</t>
        </is>
      </c>
      <c r="E4" s="13" t="inlineStr">
        <is>
          <t>Priority</t>
        </is>
      </c>
      <c r="F4" s="13" t="inlineStr">
        <is>
          <t>Gap_Owner</t>
        </is>
      </c>
      <c r="G4" s="13" t="inlineStr">
        <is>
          <t>Date_Identified</t>
        </is>
      </c>
      <c r="H4" s="13" t="inlineStr">
        <is>
          <t>Target_Resolution</t>
        </is>
      </c>
      <c r="I4" s="13" t="inlineStr">
        <is>
          <t>Root_Cause</t>
        </is>
      </c>
      <c r="J4" s="13" t="inlineStr">
        <is>
          <t>Remediation_Action</t>
        </is>
      </c>
      <c r="K4" s="13" t="inlineStr">
        <is>
          <t>Status</t>
        </is>
      </c>
      <c r="L4" s="13" t="inlineStr">
        <is>
          <t>Notes</t>
        </is>
      </c>
    </row>
    <row r="5">
      <c r="A5" s="14" t="inlineStr">
        <is>
          <t>GAP-001</t>
        </is>
      </c>
      <c r="B5" s="14" t="inlineStr">
        <is>
          <t>Production database server not scanned — no credentials configured</t>
        </is>
      </c>
      <c r="C5" s="14" t="inlineStr">
        <is>
          <t>db-prod-01</t>
        </is>
      </c>
      <c r="D5" s="14" t="inlineStr">
        <is>
          <t>Server</t>
        </is>
      </c>
      <c r="E5" s="14" t="inlineStr">
        <is>
          <t>Critical</t>
        </is>
      </c>
      <c r="F5" s="14" t="inlineStr">
        <is>
          <t>J.Smith</t>
        </is>
      </c>
      <c r="G5" s="14" t="inlineStr">
        <is>
          <t>01.01.2026</t>
        </is>
      </c>
      <c r="H5" s="14" t="inlineStr">
        <is>
          <t>08.01.2026</t>
        </is>
      </c>
      <c r="I5" s="14" t="inlineStr">
        <is>
          <t>Scanner credentials not configured for DB subnet</t>
        </is>
      </c>
      <c r="J5" s="14" t="inlineStr">
        <is>
          <t>Configure scanner credentials; validate scan reaches DB-01</t>
        </is>
      </c>
      <c r="K5" s="14" t="inlineStr">
        <is>
          <t>In Progress</t>
        </is>
      </c>
      <c r="L5" s="14" t="inlineStr">
        <is>
          <t>Escalated to DBA team for credential provisioning</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3">
    <mergeCell ref="A3:L3"/>
    <mergeCell ref="A2:L2"/>
    <mergeCell ref="A1:L1"/>
  </mergeCells>
  <dataValidations count="3">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"Server,Workstation,Network Device,Cloud Resource,Container,IoT,Other"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"Open,In Progress,Resolved,Accepted"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6" t="inlineStr">
        <is>
          <t>EVIDENCE REGISTER</t>
        </is>
      </c>
    </row>
    <row r="2">
      <c r="A2" s="17" t="inlineStr">
        <is>
          <t>ISO/IEC 27001:2022 Annex A — Control A.8.8: Management of Technical Vulnerabilities</t>
        </is>
      </c>
    </row>
    <row r="3">
      <c r="A3" s="6" t="n"/>
    </row>
    <row r="4">
      <c r="A4" s="18" t="inlineStr">
        <is>
          <t>Evidence ID</t>
        </is>
      </c>
      <c r="B4" s="18" t="inlineStr">
        <is>
          <t>Evidence Type</t>
        </is>
      </c>
      <c r="C4" s="18" t="inlineStr">
        <is>
          <t>Description</t>
        </is>
      </c>
      <c r="D4" s="18" t="inlineStr">
        <is>
          <t>Related Control / Section</t>
        </is>
      </c>
      <c r="E4" s="18" t="inlineStr">
        <is>
          <t>Collection Date (DD.MM.YYYY)</t>
        </is>
      </c>
      <c r="F4" s="18" t="inlineStr">
        <is>
          <t>Storage Location / Reference</t>
        </is>
      </c>
      <c r="G4" s="18" t="inlineStr">
        <is>
          <t>Collected By</t>
        </is>
      </c>
      <c r="H4" s="18" t="inlineStr">
        <is>
          <t>Status</t>
        </is>
      </c>
    </row>
    <row r="5">
      <c r="A5" s="19" t="inlineStr">
        <is>
          <t>EV-001</t>
        </is>
      </c>
      <c r="B5" s="19" t="inlineStr">
        <is>
          <t>Report</t>
        </is>
      </c>
      <c r="C5" s="19" t="inlineStr">
        <is>
          <t>Sample evidence entry — replace with actual evidence</t>
        </is>
      </c>
      <c r="D5" s="19" t="inlineStr">
        <is>
          <t>A.8.8 Scanning &amp; Coverage</t>
        </is>
      </c>
      <c r="E5" s="19" t="inlineStr">
        <is>
          <t>01.01.2026</t>
        </is>
      </c>
      <c r="F5" s="19" t="inlineStr">
        <is>
          <t>SharePoint/ISMS/A.8.8/S1/Evidence/</t>
        </is>
      </c>
      <c r="G5" s="19" t="inlineStr">
        <is>
          <t>Security Team</t>
        </is>
      </c>
      <c r="H5" s="19" t="inlineStr">
        <is>
          <t>Active</t>
        </is>
      </c>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5"/>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6" t="inlineStr">
        <is>
          <t>SCANNING &amp; COVERAGE ASSESSMENT — SUMMARY DASHBOARD</t>
        </is>
      </c>
      <c r="B1" s="6" t="n"/>
      <c r="C1" s="6" t="n"/>
      <c r="D1" s="6" t="n"/>
      <c r="E1" s="6" t="n"/>
      <c r="F1" s="6" t="n"/>
      <c r="G1" s="6" t="n"/>
    </row>
    <row r="2">
      <c r="A2" s="21" t="inlineStr">
        <is>
          <t>ISO/IEC 27001:2022 — Control A.8.8: Management of Technical Vulnerabilities</t>
        </is>
      </c>
    </row>
    <row r="4">
      <c r="A4" s="22" t="inlineStr">
        <is>
          <t>TABLE 1: ASSESSMENT AREA COMPLIANCE OVERVIEW</t>
        </is>
      </c>
    </row>
    <row r="5">
      <c r="A5" s="23" t="inlineStr">
        <is>
          <t>Assessment Area</t>
        </is>
      </c>
      <c r="B5" s="23" t="inlineStr">
        <is>
          <t>Total Items</t>
        </is>
      </c>
      <c r="C5" s="23" t="inlineStr">
        <is>
          <t>Compliant</t>
        </is>
      </c>
      <c r="D5" s="23" t="inlineStr">
        <is>
          <t>Partial / Warning</t>
        </is>
      </c>
      <c r="E5" s="23" t="inlineStr">
        <is>
          <t>Non-Compliant</t>
        </is>
      </c>
      <c r="F5" s="23" t="inlineStr">
        <is>
          <t>N/A</t>
        </is>
      </c>
      <c r="G5" s="23" t="inlineStr">
        <is>
          <t>Compliance %</t>
        </is>
      </c>
    </row>
    <row r="6">
      <c r="A6" s="24" t="inlineStr">
        <is>
          <t>Scanner Inventory</t>
        </is>
      </c>
      <c r="B6" s="25">
        <f>COUNTA('Scanner Inventory'!A6:A55)</f>
        <v/>
      </c>
      <c r="C6" s="25">
        <f>COUNTIF('Scanner Inventory'!F6:F55,"Active")</f>
        <v/>
      </c>
      <c r="D6" s="25">
        <f>COUNTIF('Scanner Inventory'!F6:F55,"Maintenance")</f>
        <v/>
      </c>
      <c r="E6" s="25">
        <f>COUNTIF('Scanner Inventory'!F6:F55,"Inactive")+COUNTIF('Scanner Inventory'!F6:F55,"Decommissioned")</f>
        <v/>
      </c>
      <c r="F6" s="25" t="n">
        <v>0</v>
      </c>
      <c r="G6" s="26">
        <f>IF((B6-F6)=0,0,C6/(B6-F6))</f>
        <v/>
      </c>
    </row>
    <row r="7">
      <c r="A7" s="24" t="inlineStr">
        <is>
          <t>Asset Scanner Mapping</t>
        </is>
      </c>
      <c r="B7" s="25">
        <f>COUNTA('Asset Scanner Mapping'!A6:A55)</f>
        <v/>
      </c>
      <c r="C7" s="25">
        <f>COUNTIF('Asset Scanner Mapping'!L6:L55,"Covered")</f>
        <v/>
      </c>
      <c r="D7" s="25">
        <f>COUNTIF('Asset Scanner Mapping'!L6:L55,"Partial")</f>
        <v/>
      </c>
      <c r="E7" s="25">
        <f>COUNTIF('Asset Scanner Mapping'!L6:L55,"Not Covered")</f>
        <v/>
      </c>
      <c r="F7" s="25" t="n">
        <v>0</v>
      </c>
      <c r="G7" s="26">
        <f>IF((B7-F7)=0,0,C7/(B7-F7))</f>
        <v/>
      </c>
    </row>
    <row r="8">
      <c r="A8" s="24" t="inlineStr">
        <is>
          <t>Scan Schedule</t>
        </is>
      </c>
      <c r="B8" s="25">
        <f>COUNTA('Scan Schedule'!A6:A55)</f>
        <v/>
      </c>
      <c r="C8" s="25">
        <f>COUNTIF('Scan Schedule'!H6:H55,"Active")</f>
        <v/>
      </c>
      <c r="D8" s="25">
        <f>COUNTIF('Scan Schedule'!H6:H55,"Paused")</f>
        <v/>
      </c>
      <c r="E8" s="25">
        <f>COUNTIF('Scan Schedule'!H6:H55,"Overdue")+COUNTIF('Scan Schedule'!H6:H55,"Inactive")</f>
        <v/>
      </c>
      <c r="F8" s="25" t="n">
        <v>0</v>
      </c>
      <c r="G8" s="26">
        <f>IF((B8-F8)=0,0,C8/(B8-F8))</f>
        <v/>
      </c>
    </row>
    <row r="9">
      <c r="A9" s="24" t="inlineStr">
        <is>
          <t>Scan Execution Log</t>
        </is>
      </c>
      <c r="B9" s="25">
        <f>COUNTA('Scan Execution Log'!A6:A55)</f>
        <v/>
      </c>
      <c r="C9" s="25">
        <f>COUNTIF('Scan Execution Log'!F6:F55,"Complete")</f>
        <v/>
      </c>
      <c r="D9" s="25">
        <f>COUNTIF('Scan Execution Log'!F6:F55,"Partial")</f>
        <v/>
      </c>
      <c r="E9" s="25">
        <f>COUNTIF('Scan Execution Log'!F6:F55,"Failed")</f>
        <v/>
      </c>
      <c r="F9" s="25" t="n">
        <v>0</v>
      </c>
      <c r="G9" s="26">
        <f>IF((B9-F9)=0,0,C9/(B9-F9))</f>
        <v/>
      </c>
    </row>
    <row r="10">
      <c r="A10" s="24" t="inlineStr">
        <is>
          <t>Coverage Gaps</t>
        </is>
      </c>
      <c r="B10" s="25">
        <f>COUNTA('Coverage Gaps'!A6:A55)</f>
        <v/>
      </c>
      <c r="C10" s="25">
        <f>COUNTIF('Coverage Gaps'!K6:K55,"Resolved")+COUNTIF('Coverage Gaps'!K6:K55,"Accepted")</f>
        <v/>
      </c>
      <c r="D10" s="25">
        <f>COUNTIF('Coverage Gaps'!K6:K55,"In Progress")</f>
        <v/>
      </c>
      <c r="E10" s="25">
        <f>COUNTIF('Coverage Gaps'!K6:K55,"Open")</f>
        <v/>
      </c>
      <c r="F10" s="25" t="n">
        <v>0</v>
      </c>
      <c r="G10" s="26">
        <f>IF((B10-F10)=0,0,C10/(B10-F10))</f>
        <v/>
      </c>
    </row>
    <row r="11">
      <c r="A11" s="27" t="inlineStr">
        <is>
          <t>TOTAL</t>
        </is>
      </c>
      <c r="B11" s="28">
        <f>SUM(B6:B10)</f>
        <v/>
      </c>
      <c r="C11" s="28">
        <f>SUM(C6:C10)</f>
        <v/>
      </c>
      <c r="D11" s="28">
        <f>SUM(D6:D10)</f>
        <v/>
      </c>
      <c r="E11" s="28">
        <f>SUM(E6:E10)</f>
        <v/>
      </c>
      <c r="F11" s="28">
        <f>SUM(F6:F10)</f>
        <v/>
      </c>
      <c r="G11" s="29">
        <f>IF((B11-F11)=0,0,C11/(B11-F11))</f>
        <v/>
      </c>
    </row>
    <row r="13">
      <c r="A13" s="30" t="inlineStr">
        <is>
          <t>TABLE 2: KEY METRICS</t>
        </is>
      </c>
    </row>
    <row r="14">
      <c r="A14" s="28" t="inlineStr">
        <is>
          <t>Metric</t>
        </is>
      </c>
      <c r="B14" s="28" t="inlineStr">
        <is>
          <t>Value</t>
        </is>
      </c>
      <c r="C14" s="28" t="n"/>
      <c r="D14" s="28" t="n"/>
      <c r="E14" s="28" t="n"/>
      <c r="F14" s="28" t="n"/>
      <c r="G14" s="28" t="n"/>
    </row>
    <row r="15">
      <c r="A15" s="31" t="inlineStr">
        <is>
          <t>Asset Coverage</t>
        </is>
      </c>
      <c r="B15" s="32" t="n"/>
      <c r="C15" s="32" t="n"/>
      <c r="D15" s="32" t="n"/>
      <c r="E15" s="32" t="n"/>
      <c r="F15" s="32" t="n"/>
      <c r="G15" s="32" t="n"/>
    </row>
    <row r="16">
      <c r="A16" s="33" t="inlineStr">
        <is>
          <t>Total Assets in Scope</t>
        </is>
      </c>
      <c r="B16" s="25">
        <f>COUNTA('Asset Scanner Mapping'!A6:A55)</f>
        <v/>
      </c>
      <c r="C16" s="6" t="n"/>
      <c r="D16" s="6" t="n"/>
      <c r="E16" s="6" t="n"/>
      <c r="F16" s="6" t="n"/>
      <c r="G16" s="6" t="n"/>
    </row>
    <row r="17">
      <c r="A17" s="33" t="inlineStr">
        <is>
          <t>Assets with Scanner Coverage</t>
        </is>
      </c>
      <c r="B17" s="25">
        <f>COUNTIF('Asset Scanner Mapping'!L6:L55,"Covered")</f>
        <v/>
      </c>
      <c r="C17" s="6" t="n"/>
      <c r="D17" s="6" t="n"/>
      <c r="E17" s="6" t="n"/>
      <c r="F17" s="6" t="n"/>
      <c r="G17" s="6" t="n"/>
    </row>
    <row r="18">
      <c r="A18" s="33" t="inlineStr">
        <is>
          <t>Scanning Coverage %</t>
        </is>
      </c>
      <c r="B18" s="26">
        <f>IFERROR(COUNTIF('Asset Scanner Mapping'!L6:L55,"Covered")/COUNTA('Asset Scanner Mapping'!A6:A55),0)</f>
        <v/>
      </c>
      <c r="C18" s="6" t="n"/>
      <c r="D18" s="6" t="n"/>
      <c r="E18" s="6" t="n"/>
      <c r="F18" s="6" t="n"/>
      <c r="G18" s="6" t="n"/>
    </row>
    <row r="19">
      <c r="A19" s="33" t="inlineStr">
        <is>
          <t>Critical Assets Covered</t>
        </is>
      </c>
      <c r="B19" s="25">
        <f>COUNTIFS('Asset Scanner Mapping'!J6:J55,"Critical",'Asset Scanner Mapping'!L6:L55,"Covered")</f>
        <v/>
      </c>
      <c r="C19" s="6" t="n"/>
      <c r="D19" s="6" t="n"/>
      <c r="E19" s="6" t="n"/>
      <c r="F19" s="6" t="n"/>
      <c r="G19" s="6" t="n"/>
    </row>
    <row r="20">
      <c r="A20" s="33" t="inlineStr">
        <is>
          <t>Critical Assets NOT Covered</t>
        </is>
      </c>
      <c r="B20" s="25">
        <f>COUNTIFS('Asset Scanner Mapping'!J6:J55,"Critical",'Asset Scanner Mapping'!L6:L55,"Not Covered")</f>
        <v/>
      </c>
      <c r="C20" s="6" t="n"/>
      <c r="D20" s="6" t="n"/>
      <c r="E20" s="6" t="n"/>
      <c r="F20" s="6" t="n"/>
      <c r="G20" s="6" t="n"/>
    </row>
    <row r="21">
      <c r="A21" s="31" t="inlineStr">
        <is>
          <t>Scanner Health</t>
        </is>
      </c>
      <c r="B21" s="32" t="n"/>
      <c r="C21" s="32" t="n"/>
      <c r="D21" s="32" t="n"/>
      <c r="E21" s="32" t="n"/>
      <c r="F21" s="32" t="n"/>
      <c r="G21" s="32" t="n"/>
    </row>
    <row r="22">
      <c r="A22" s="33" t="inlineStr">
        <is>
          <t>Active Scanners</t>
        </is>
      </c>
      <c r="B22" s="25">
        <f>COUNTIF('Scanner Inventory'!F6:F55,"Active")</f>
        <v/>
      </c>
      <c r="C22" s="6" t="n"/>
      <c r="D22" s="6" t="n"/>
      <c r="E22" s="6" t="n"/>
      <c r="F22" s="6" t="n"/>
      <c r="G22" s="6" t="n"/>
    </row>
    <row r="23">
      <c r="A23" s="33" t="inlineStr">
        <is>
          <t>Scanners with CVSS v4.0 Support</t>
        </is>
      </c>
      <c r="B23" s="25">
        <f>COUNTIF('Scanner Inventory'!U6:U55,"Yes")</f>
        <v/>
      </c>
      <c r="C23" s="6" t="n"/>
      <c r="D23" s="6" t="n"/>
      <c r="E23" s="6" t="n"/>
      <c r="F23" s="6" t="n"/>
      <c r="G23" s="6" t="n"/>
    </row>
    <row r="24">
      <c r="A24" s="31" t="inlineStr">
        <is>
          <t>Coverage Gaps</t>
        </is>
      </c>
      <c r="B24" s="32" t="n"/>
      <c r="C24" s="32" t="n"/>
      <c r="D24" s="32" t="n"/>
      <c r="E24" s="32" t="n"/>
      <c r="F24" s="32" t="n"/>
      <c r="G24" s="32" t="n"/>
    </row>
    <row r="25">
      <c r="A25" s="33" t="inlineStr">
        <is>
          <t>Coverage Gaps — Open (Critical/High)</t>
        </is>
      </c>
      <c r="B25" s="25">
        <f>COUNTIF('Coverage Gaps'!E6:E55,"Critical")+COUNTIF('Coverage Gaps'!E6:E55,"High")</f>
        <v/>
      </c>
      <c r="C25" s="6" t="n"/>
      <c r="D25" s="6" t="n"/>
      <c r="E25" s="6" t="n"/>
      <c r="F25" s="6" t="n"/>
      <c r="G25" s="6" t="n"/>
    </row>
    <row r="26">
      <c r="A26" s="33" t="inlineStr">
        <is>
          <t>Coverage Gaps — Resolved</t>
        </is>
      </c>
      <c r="B26" s="25">
        <f>COUNTIF('Coverage Gaps'!K6:K55,"Resolved")</f>
        <v/>
      </c>
      <c r="C26" s="6" t="n"/>
      <c r="D26" s="6" t="n"/>
      <c r="E26" s="6" t="n"/>
      <c r="F26" s="6" t="n"/>
      <c r="G26" s="6" t="n"/>
    </row>
    <row r="27">
      <c r="A27" s="31" t="inlineStr">
        <is>
          <t>Scan Execution</t>
        </is>
      </c>
      <c r="B27" s="32" t="n"/>
      <c r="C27" s="32" t="n"/>
      <c r="D27" s="32" t="n"/>
      <c r="E27" s="32" t="n"/>
      <c r="F27" s="32" t="n"/>
      <c r="G27" s="32" t="n"/>
    </row>
    <row r="28">
      <c r="A28" s="33" t="inlineStr">
        <is>
          <t>Scans Completed (Last 30 Days)</t>
        </is>
      </c>
      <c r="B28" s="25">
        <f>COUNTIFS('Scan Execution Log'!C6:C55,"&gt;="&amp;TODAY()-30,'Scan Execution Log'!F6:F55,"Complete")</f>
        <v/>
      </c>
      <c r="C28" s="6" t="n"/>
      <c r="D28" s="6" t="n"/>
      <c r="E28" s="6" t="n"/>
      <c r="F28" s="6" t="n"/>
      <c r="G28" s="6" t="n"/>
    </row>
    <row r="29">
      <c r="A29" s="33" t="inlineStr">
        <is>
          <t>Failed Scans (Last 30 Days)</t>
        </is>
      </c>
      <c r="B29" s="25">
        <f>COUNTIFS('Scan Execution Log'!C6:C55,"&gt;="&amp;TODAY()-30,'Scan Execution Log'!F6:F55,"Failed")</f>
        <v/>
      </c>
      <c r="C29" s="6" t="n"/>
      <c r="D29" s="6" t="n"/>
      <c r="E29" s="6" t="n"/>
      <c r="F29" s="6" t="n"/>
      <c r="G29" s="6" t="n"/>
    </row>
    <row r="30">
      <c r="A30" s="33" t="inlineStr">
        <is>
          <t>Scan Success Rate</t>
        </is>
      </c>
      <c r="B30" s="26">
        <f>IFERROR(COUNTIF('Scan Execution Log'!F6:F55,"Complete")/COUNTA('Scan Execution Log'!A6:A55),0)</f>
        <v/>
      </c>
      <c r="C30" s="6" t="n"/>
      <c r="D30" s="6" t="n"/>
      <c r="E30" s="6" t="n"/>
      <c r="F30" s="6" t="n"/>
      <c r="G30" s="6" t="n"/>
    </row>
    <row r="31">
      <c r="A31" s="6" t="n"/>
      <c r="B31" s="6" t="n"/>
      <c r="C31" s="6" t="n"/>
      <c r="D31" s="6" t="n"/>
      <c r="E31" s="6" t="n"/>
      <c r="F31" s="6" t="n"/>
      <c r="G31" s="6" t="n"/>
    </row>
    <row r="32">
      <c r="A32" s="6" t="n"/>
      <c r="B32" s="6" t="n"/>
      <c r="C32" s="6" t="n"/>
      <c r="D32" s="6" t="n"/>
      <c r="E32" s="6" t="n"/>
      <c r="F32" s="6" t="n"/>
      <c r="G32" s="6" t="n"/>
    </row>
    <row r="34">
      <c r="A34" s="34" t="inlineStr">
        <is>
          <t>TABLE 3: CRITICAL FINDINGS REQUIRING IMMEDIATE ATTENTION</t>
        </is>
      </c>
    </row>
    <row r="35">
      <c r="A35" s="28" t="inlineStr">
        <is>
          <t>Category</t>
        </is>
      </c>
      <c r="B35" s="28" t="inlineStr">
        <is>
          <t>Finding</t>
        </is>
      </c>
      <c r="C35" s="28" t="inlineStr">
        <is>
          <t>Count</t>
        </is>
      </c>
      <c r="D35" s="28" t="inlineStr">
        <is>
          <t>Severity</t>
        </is>
      </c>
      <c r="E35" s="28" t="inlineStr">
        <is>
          <t>Action Required</t>
        </is>
      </c>
      <c r="F35" s="28" t="n"/>
      <c r="G35" s="28" t="n"/>
    </row>
    <row r="36">
      <c r="A36" s="35" t="inlineStr">
        <is>
          <t>Coverage</t>
        </is>
      </c>
      <c r="B36" s="35" t="inlineStr">
        <is>
          <t>Critical assets with NO scanner coverage</t>
        </is>
      </c>
      <c r="C36" s="36">
        <f>COUNTIFS('Asset Scanner Mapping'!J6:J55,"Critical",'Asset Scanner Mapping'!L6:L55,"Not Covered")</f>
        <v/>
      </c>
      <c r="D36" s="35" t="inlineStr">
        <is>
          <t>Critical</t>
        </is>
      </c>
      <c r="E36" s="35" t="inlineStr">
        <is>
          <t>Immediate</t>
        </is>
      </c>
      <c r="F36" s="35" t="n"/>
      <c r="G36" s="35" t="n"/>
    </row>
    <row r="37">
      <c r="A37" s="35" t="inlineStr">
        <is>
          <t>Coverage</t>
        </is>
      </c>
      <c r="B37" s="35" t="inlineStr">
        <is>
          <t>High-criticality assets with NO scanner coverage</t>
        </is>
      </c>
      <c r="C37" s="36">
        <f>COUNTIFS('Asset Scanner Mapping'!J6:J55,"High",'Asset Scanner Mapping'!L6:L55,"Not Covered")</f>
        <v/>
      </c>
      <c r="D37" s="35" t="inlineStr">
        <is>
          <t>Critical</t>
        </is>
      </c>
      <c r="E37" s="35" t="inlineStr">
        <is>
          <t>Immediate</t>
        </is>
      </c>
      <c r="F37" s="35" t="n"/>
      <c r="G37" s="35" t="n"/>
    </row>
    <row r="38">
      <c r="A38" s="35" t="inlineStr">
        <is>
          <t>Coverage</t>
        </is>
      </c>
      <c r="B38" s="35" t="inlineStr">
        <is>
          <t>Overall scanning coverage below 95% threshold</t>
        </is>
      </c>
      <c r="C38" s="36">
        <f>IF(IFERROR(COUNTIF('Asset Scanner Mapping'!L6:L55,"Covered")/COUNTA('Asset Scanner Mapping'!A6:A55),0)&lt;0.95,1,0)</f>
        <v/>
      </c>
      <c r="D38" s="35" t="inlineStr">
        <is>
          <t>Critical</t>
        </is>
      </c>
      <c r="E38" s="35" t="inlineStr">
        <is>
          <t>Immediate</t>
        </is>
      </c>
      <c r="F38" s="35" t="n"/>
      <c r="G38" s="35" t="n"/>
    </row>
    <row r="39">
      <c r="A39" s="37" t="inlineStr">
        <is>
          <t>Scanner Health</t>
        </is>
      </c>
      <c r="B39" s="37" t="inlineStr">
        <is>
          <t>Inactive or decommissioned scanners</t>
        </is>
      </c>
      <c r="C39" s="38">
        <f>COUNTIF('Scanner Inventory'!F6:F55,"Inactive")+COUNTIF('Scanner Inventory'!F6:F55,"Decommissioned")</f>
        <v/>
      </c>
      <c r="D39" s="37" t="inlineStr">
        <is>
          <t>High</t>
        </is>
      </c>
      <c r="E39" s="37" t="inlineStr">
        <is>
          <t>Urgent</t>
        </is>
      </c>
      <c r="F39" s="37" t="n"/>
      <c r="G39" s="37" t="n"/>
    </row>
    <row r="40">
      <c r="A40" s="39" t="inlineStr">
        <is>
          <t>Scanner Health</t>
        </is>
      </c>
      <c r="B40" s="39" t="inlineStr">
        <is>
          <t>Scanners without CVSS v4.0 support</t>
        </is>
      </c>
      <c r="C40" s="40">
        <f>COUNTIF('Scanner Inventory'!U6:U55,"No")+COUNTIF('Scanner Inventory'!U6:U55,"Unknown")</f>
        <v/>
      </c>
      <c r="D40" s="39" t="inlineStr">
        <is>
          <t>Medium</t>
        </is>
      </c>
      <c r="E40" s="39" t="inlineStr">
        <is>
          <t>Plan</t>
        </is>
      </c>
      <c r="F40" s="39" t="n"/>
      <c r="G40" s="39" t="n"/>
    </row>
    <row r="41">
      <c r="A41" s="37" t="inlineStr">
        <is>
          <t>Scan Execution</t>
        </is>
      </c>
      <c r="B41" s="37" t="inlineStr">
        <is>
          <t>Failed scans in last 30 days</t>
        </is>
      </c>
      <c r="C41" s="38">
        <f>COUNTIFS('Scan Execution Log'!C6:C55,"&gt;="&amp;TODAY()-30,'Scan Execution Log'!F6:F55,"Failed")</f>
        <v/>
      </c>
      <c r="D41" s="37" t="inlineStr">
        <is>
          <t>High</t>
        </is>
      </c>
      <c r="E41" s="37" t="inlineStr">
        <is>
          <t>Urgent</t>
        </is>
      </c>
      <c r="F41" s="37" t="n"/>
      <c r="G41" s="37" t="n"/>
    </row>
    <row r="42">
      <c r="A42" s="37" t="inlineStr">
        <is>
          <t>Coverage Gaps</t>
        </is>
      </c>
      <c r="B42" s="37" t="inlineStr">
        <is>
          <t>Open critical/high severity coverage gaps</t>
        </is>
      </c>
      <c r="C42" s="38">
        <f>COUNTIF('Coverage Gaps'!E6:E55,"Critical")+COUNTIF('Coverage Gaps'!E6:E55,"High")</f>
        <v/>
      </c>
      <c r="D42" s="37" t="inlineStr">
        <is>
          <t>High</t>
        </is>
      </c>
      <c r="E42" s="37" t="inlineStr">
        <is>
          <t>Urgent</t>
        </is>
      </c>
      <c r="F42" s="37" t="n"/>
      <c r="G42" s="37" t="n"/>
    </row>
    <row r="43">
      <c r="A43" s="37" t="inlineStr">
        <is>
          <t>Scan Schedule</t>
        </is>
      </c>
      <c r="B43" s="37" t="inlineStr">
        <is>
          <t>Overdue or inactive scan schedules</t>
        </is>
      </c>
      <c r="C43" s="38">
        <f>COUNTIF('Scan Schedule'!H6:H55,"Overdue")+COUNTIF('Scan Schedule'!H6:H55,"Inactive")</f>
        <v/>
      </c>
      <c r="D43" s="37" t="inlineStr">
        <is>
          <t>High</t>
        </is>
      </c>
      <c r="E43" s="37" t="inlineStr">
        <is>
          <t>Urgent</t>
        </is>
      </c>
      <c r="F43" s="37" t="n"/>
      <c r="G43" s="37" t="n"/>
    </row>
    <row r="44">
      <c r="A44" s="41" t="n"/>
      <c r="B44" s="41" t="n"/>
      <c r="C44" s="41" t="n"/>
      <c r="D44" s="41" t="n"/>
      <c r="E44" s="41" t="n"/>
      <c r="F44" s="41" t="n"/>
      <c r="G44" s="41" t="n"/>
    </row>
    <row r="45">
      <c r="A45" s="41" t="n"/>
      <c r="B45" s="41" t="n"/>
      <c r="C45" s="41" t="n"/>
      <c r="D45" s="41" t="n"/>
      <c r="E45" s="41" t="n"/>
      <c r="F45" s="41" t="n"/>
      <c r="G45" s="41" t="n"/>
    </row>
  </sheetData>
  <mergeCells count="5">
    <mergeCell ref="A13:G13"/>
    <mergeCell ref="A1:G1"/>
    <mergeCell ref="A34:G34"/>
    <mergeCell ref="A4:G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SCANNING AND COVERAGE ASSESSMENT — ASSESSMENT APPROVAL AND SIGN-OFF</t>
        </is>
      </c>
      <c r="B1" s="6" t="n"/>
      <c r="C1" s="6" t="n"/>
      <c r="D1" s="6" t="n"/>
      <c r="E1" s="6" t="n"/>
    </row>
    <row r="2">
      <c r="A2" s="12" t="inlineStr">
        <is>
          <t>ISO/IEC 27001:2022 Annex A — Control A.8.8: Management of Technical Vulnerabilities</t>
        </is>
      </c>
      <c r="B2" s="6" t="n"/>
      <c r="C2" s="6" t="n"/>
      <c r="D2" s="6" t="n"/>
      <c r="E2" s="6" t="n"/>
    </row>
    <row r="3">
      <c r="A3" s="42" t="inlineStr">
        <is>
          <t>ASSESSMENT SUMMARY</t>
        </is>
      </c>
      <c r="B3" s="6" t="n"/>
      <c r="C3" s="6" t="n"/>
      <c r="D3" s="6" t="n"/>
      <c r="E3" s="6" t="n"/>
    </row>
    <row r="4">
      <c r="A4" s="43" t="inlineStr">
        <is>
          <t>Document:</t>
        </is>
      </c>
      <c r="B4" s="6" t="inlineStr">
        <is>
          <t>ISMS-IMP-A.8.8.1 — Scanning &amp; Coverage Assessment</t>
        </is>
      </c>
      <c r="C4" s="6" t="n"/>
      <c r="D4" s="6" t="n"/>
      <c r="E4" s="6" t="n"/>
    </row>
    <row r="5">
      <c r="A5" s="43" t="inlineStr">
        <is>
          <t>Assessment Period:</t>
        </is>
      </c>
      <c r="B5" s="44" t="inlineStr"/>
      <c r="C5" s="6" t="n"/>
      <c r="D5" s="6" t="n"/>
      <c r="E5" s="6" t="n"/>
    </row>
    <row r="6">
      <c r="A6" s="43" t="inlineStr">
        <is>
          <t>Overall Compliance Rating:</t>
        </is>
      </c>
      <c r="B6" s="45">
        <f>'Summary Dashboard'!G11</f>
        <v/>
      </c>
      <c r="C6" s="6" t="n"/>
      <c r="D6" s="6" t="n"/>
      <c r="E6" s="6" t="n"/>
    </row>
    <row r="7">
      <c r="A7" s="43" t="inlineStr">
        <is>
          <t>Assessment Status:</t>
        </is>
      </c>
      <c r="B7" s="44" t="inlineStr"/>
      <c r="C7" s="6" t="n"/>
      <c r="D7" s="6" t="n"/>
      <c r="E7" s="6" t="n"/>
    </row>
    <row r="8">
      <c r="A8" s="43" t="inlineStr">
        <is>
          <t>Assessed By:</t>
        </is>
      </c>
      <c r="B8" s="44" t="inlineStr"/>
      <c r="C8" s="6" t="n"/>
      <c r="D8" s="6" t="n"/>
      <c r="E8" s="6" t="n"/>
    </row>
    <row r="9">
      <c r="A9" s="6" t="n"/>
    </row>
    <row r="10">
      <c r="A10" s="42" t="inlineStr">
        <is>
          <t>ASSESSMENT REVIEW AND APPROVAL</t>
        </is>
      </c>
    </row>
    <row r="11">
      <c r="A11" s="23" t="inlineStr">
        <is>
          <t>Role / Function</t>
        </is>
      </c>
      <c r="B11" s="23" t="inlineStr">
        <is>
          <t>Name</t>
        </is>
      </c>
      <c r="C11" s="23" t="inlineStr">
        <is>
          <t>Signature / Initials</t>
        </is>
      </c>
      <c r="D11" s="23" t="inlineStr">
        <is>
          <t>Date (DD.MM.YYYY)</t>
        </is>
      </c>
      <c r="E11" s="23" t="inlineStr">
        <is>
          <t>Comments</t>
        </is>
      </c>
    </row>
    <row r="12">
      <c r="A12" s="46" t="inlineStr">
        <is>
          <t>Lead Assessor / Author</t>
        </is>
      </c>
      <c r="B12" s="44" t="n"/>
      <c r="C12" s="44" t="n"/>
      <c r="D12" s="44" t="n"/>
      <c r="E12" s="44" t="n"/>
    </row>
    <row r="13">
      <c r="A13" s="46" t="inlineStr">
        <is>
          <t>IT Security Manager</t>
        </is>
      </c>
      <c r="B13" s="44" t="n"/>
      <c r="C13" s="44" t="n"/>
      <c r="D13" s="44" t="n"/>
      <c r="E13" s="44" t="n"/>
    </row>
    <row r="14">
      <c r="A14" s="46" t="inlineStr">
        <is>
          <t>Reviewer (Technical / Compliance)</t>
        </is>
      </c>
      <c r="B14" s="44" t="n"/>
      <c r="C14" s="44" t="n"/>
      <c r="D14" s="44" t="n"/>
      <c r="E14" s="44" t="n"/>
    </row>
    <row r="15">
      <c r="A15" s="46" t="inlineStr">
        <is>
          <t>CISO / Final Approver</t>
        </is>
      </c>
      <c r="B15" s="44" t="n"/>
      <c r="C15" s="44" t="n"/>
      <c r="D15" s="44" t="n"/>
      <c r="E15" s="44" t="n"/>
    </row>
    <row r="16">
      <c r="A16" s="6" t="n"/>
    </row>
    <row r="17">
      <c r="A17" s="47" t="inlineStr">
        <is>
          <t>FINAL DECISION:</t>
        </is>
      </c>
      <c r="B17" s="48" t="inlineStr">
        <is>
          <t>☐ Approved     ☐ Approved with Conditions     ☐ Rejected     ☐ Deferred</t>
        </is>
      </c>
      <c r="C17" s="6" t="n"/>
      <c r="D17" s="6" t="n"/>
      <c r="E17" s="6" t="n"/>
    </row>
    <row r="18">
      <c r="A18" s="6" t="n"/>
    </row>
    <row r="19">
      <c r="A19" s="42" t="inlineStr">
        <is>
          <t>NEXT REVIEW DETAILS</t>
        </is>
      </c>
    </row>
    <row r="20">
      <c r="A20" s="49" t="inlineStr">
        <is>
          <t>Next Review Date (DD.MM.YYYY)</t>
        </is>
      </c>
      <c r="B20" s="44" t="n"/>
    </row>
    <row r="21">
      <c r="A21" s="49" t="inlineStr">
        <is>
          <t>Review Owner</t>
        </is>
      </c>
      <c r="B21" s="44"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ISMS-IMP-A.8.8.1 — Scanning &amp; Coverage Assessment</dc:title>
  <dc:description xmlns:dc="http://purl.org/dc/elements/1.1/">ISMS Implementation Workbook — ISMS-IMP-A.8.8.1</dc:description>
  <dc:subject xmlns:dc="http://purl.org/dc/elements/1.1/">ISO/IEC 27001:2022 — Control A.8.8: Management of Technical Vulnerabilities</dc:subject>
  <dcterms:created xmlns:dcterms="http://purl.org/dc/terms/" xmlns:xsi="http://www.w3.org/2001/XMLSchema-instance" xsi:type="dcterms:W3CDTF">2026-03-01T16:58:27Z</dcterms:created>
  <dcterms:modified xmlns:dcterms="http://purl.org/dc/terms/" xmlns:xsi="http://www.w3.org/2001/XMLSchema-instance" xsi:type="dcterms:W3CDTF">2026-03-01T16:58:27Z</dcterms:modified>
</cp:coreProperties>
</file>