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iority Matrix" sheetId="2" state="visible" r:id="rId2"/>
    <sheet xmlns:r="http://schemas.openxmlformats.org/officeDocument/2006/relationships" name="Remediation Queue" sheetId="3" state="visible" r:id="rId3"/>
    <sheet xmlns:r="http://schemas.openxmlformats.org/officeDocument/2006/relationships" name="Change Control" sheetId="4" state="visible" r:id="rId4"/>
    <sheet xmlns:r="http://schemas.openxmlformats.org/officeDocument/2006/relationships" name="Testing and Validation" sheetId="5" state="visible" r:id="rId5"/>
    <sheet xmlns:r="http://schemas.openxmlformats.org/officeDocument/2006/relationships" name="SLA Complianc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ISMS-IMP-A.8.8.4  -  Remediation &amp; Prioritization
ISO/IEC 27001:2022 - Control A.8.8: Management of Technical Vulnerabilities</t>
        </is>
      </c>
    </row>
    <row r="3">
      <c r="A3" s="2" t="inlineStr">
        <is>
          <t>Document Information</t>
        </is>
      </c>
    </row>
    <row r="4">
      <c r="A4" s="3" t="inlineStr">
        <is>
          <t>Document ID</t>
        </is>
      </c>
      <c r="B4" t="inlineStr">
        <is>
          <t>ISMS-IMP-A.8.8.4</t>
        </is>
      </c>
    </row>
    <row r="5">
      <c r="A5" s="3" t="inlineStr">
        <is>
          <t>Workbook Title</t>
        </is>
      </c>
      <c r="B5" t="inlineStr">
        <is>
          <t>Remediation &amp; Prioritization</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Priority Matrix sheet with SLA assignments for all prioritised vulnerabilities.</t>
        </is>
      </c>
    </row>
    <row r="15">
      <c r="A15" t="inlineStr">
        <is>
          <t>3. Complete the Remediation Queue sheet with deployment tracking for each patch/fix.</t>
        </is>
      </c>
    </row>
    <row r="16">
      <c r="A16" t="inlineStr">
        <is>
          <t>4. Complete the Change Control sheet with all change requests for vulnerability remediation.</t>
        </is>
      </c>
    </row>
    <row r="17">
      <c r="A17" t="inlineStr">
        <is>
          <t>5. Complete the Testing and Validation sheet with patch testing outcomes.</t>
        </is>
      </c>
    </row>
    <row r="18">
      <c r="A18" t="inlineStr">
        <is>
          <t>6. Complete the SLA Compliance sheet with SLA status for each tracked vulnerability.</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6" customWidth="1" min="3" max="3"/>
    <col width="16" customWidth="1" min="4" max="4"/>
    <col width="14" customWidth="1" min="5" max="5"/>
    <col width="14" customWidth="1" min="6" max="6"/>
    <col width="12" customWidth="1" min="7" max="7"/>
    <col width="12" customWidth="1" min="8" max="8"/>
    <col width="14" customWidth="1" min="9" max="9"/>
    <col width="16" customWidth="1" min="10" max="10"/>
    <col width="14" customWidth="1" min="11" max="11"/>
    <col width="14" customWidth="1" min="12" max="12"/>
    <col width="18" customWidth="1" min="13" max="13"/>
    <col width="18" customWidth="1" min="14" max="14"/>
    <col width="18" customWidth="1" min="15" max="15"/>
    <col width="14" customWidth="1" min="16" max="16"/>
    <col width="20" customWidth="1" min="17" max="17"/>
    <col width="14" customWidth="1" min="18" max="18"/>
    <col width="14" customWidth="1" min="19" max="19"/>
    <col width="18" customWidth="1" min="20" max="20"/>
    <col width="14" customWidth="1" min="21" max="21"/>
    <col width="12" customWidth="1" min="22" max="22"/>
    <col width="16" customWidth="1" min="23" max="23"/>
    <col width="16" customWidth="1" min="24" max="24"/>
    <col width="20" customWidth="1" min="25" max="25"/>
    <col width="16" customWidth="1" min="26" max="26"/>
    <col width="16" customWidth="1" min="27" max="27"/>
    <col width="16" customWidth="1" min="28" max="28"/>
    <col width="18" customWidth="1" min="29" max="29"/>
    <col width="14" customWidth="1" min="30" max="30"/>
    <col width="16" customWidth="1" min="31" max="31"/>
    <col width="18" customWidth="1" min="32" max="32"/>
    <col width="16" customWidth="1" min="33" max="33"/>
    <col width="14" customWidth="1" min="34" max="34"/>
  </cols>
  <sheetData>
    <row r="1" ht="35" customHeight="1">
      <c r="A1" s="11" t="inlineStr">
        <is>
          <t>ISMS-IMP-A.8.8.4  —  PRIORITY MATRIX</t>
        </is>
      </c>
    </row>
    <row r="2">
      <c r="A2" s="12" t="inlineStr">
        <is>
          <t>ISO/IEC 27001:2022 — Control A.8.8: SLA-Based Vulnerability Prioritisation</t>
        </is>
      </c>
    </row>
    <row r="3">
      <c r="A3" s="6" t="n"/>
    </row>
    <row r="4">
      <c r="A4" s="13" t="inlineStr">
        <is>
          <t>Vuln_ID</t>
        </is>
      </c>
      <c r="B4" s="13" t="inlineStr">
        <is>
          <t>CVE_ID</t>
        </is>
      </c>
      <c r="C4" s="13" t="inlineStr">
        <is>
          <t>Asset_ID</t>
        </is>
      </c>
      <c r="D4" s="13" t="inlineStr">
        <is>
          <t>Asset_Criticality</t>
        </is>
      </c>
      <c r="E4" s="13" t="inlineStr">
        <is>
          <t>CVSS_v4.0_Score</t>
        </is>
      </c>
      <c r="F4" s="13" t="inlineStr">
        <is>
          <t>CVSS_v3.1_Score</t>
        </is>
      </c>
      <c r="G4" s="13" t="inlineStr">
        <is>
          <t>EPSS_Score</t>
        </is>
      </c>
      <c r="H4" s="13" t="inlineStr">
        <is>
          <t>KEV_Listed</t>
        </is>
      </c>
      <c r="I4" s="13" t="inlineStr">
        <is>
          <t>Exploit_Available</t>
        </is>
      </c>
      <c r="J4" s="13" t="inlineStr">
        <is>
          <t>Asset_Exposure</t>
        </is>
      </c>
      <c r="K4" s="13" t="inlineStr">
        <is>
          <t>Business_Impact</t>
        </is>
      </c>
      <c r="L4" s="13" t="inlineStr">
        <is>
          <t>Data_Sensitivity</t>
        </is>
      </c>
      <c r="M4" s="13" t="inlineStr">
        <is>
          <t>Regulatory_Requirement</t>
        </is>
      </c>
      <c r="N4" s="13" t="inlineStr">
        <is>
          <t>Compensating_Control</t>
        </is>
      </c>
      <c r="O4" s="13" t="inlineStr">
        <is>
          <t>Base_CVSS_Priority</t>
        </is>
      </c>
      <c r="P4" s="13" t="inlineStr">
        <is>
          <t>KEV_Adjustment</t>
        </is>
      </c>
      <c r="Q4" s="13" t="inlineStr">
        <is>
          <t>Asset_Criticality_Weight</t>
        </is>
      </c>
      <c r="R4" s="13" t="inlineStr">
        <is>
          <t>Exploit_Weight</t>
        </is>
      </c>
      <c r="S4" s="13" t="inlineStr">
        <is>
          <t>Exposure_Weight</t>
        </is>
      </c>
      <c r="T4" s="13" t="inlineStr">
        <is>
          <t>Business_Impact_Weight</t>
        </is>
      </c>
      <c r="U4" s="13" t="inlineStr">
        <is>
          <t>Regulatory_Weight</t>
        </is>
      </c>
      <c r="V4" s="13" t="inlineStr">
        <is>
          <t>EPSS_Weight</t>
        </is>
      </c>
      <c r="W4" s="13" t="inlineStr">
        <is>
          <t>Composite_Score</t>
        </is>
      </c>
      <c r="X4" s="13" t="inlineStr">
        <is>
          <t>Initial_Priority</t>
        </is>
      </c>
      <c r="Y4" s="13" t="inlineStr">
        <is>
          <t>Risk_Owner</t>
        </is>
      </c>
      <c r="Z4" s="13" t="inlineStr">
        <is>
          <t>Last_Review_Date</t>
        </is>
      </c>
      <c r="AA4" s="13" t="inlineStr">
        <is>
          <t>Next_Review_Date</t>
        </is>
      </c>
      <c r="AB4" s="13" t="inlineStr">
        <is>
          <t>Escalation_Status</t>
        </is>
      </c>
      <c r="AC4" s="13" t="inlineStr">
        <is>
          <t>Change_Control_ID</t>
        </is>
      </c>
      <c r="AD4" s="13" t="inlineStr">
        <is>
          <t>Final_Priority</t>
        </is>
      </c>
      <c r="AE4" s="13" t="inlineStr">
        <is>
          <t>SLA_Target_Date</t>
        </is>
      </c>
      <c r="AF4" s="13" t="inlineStr">
        <is>
          <t>SLA_Days_Remaining</t>
        </is>
      </c>
      <c r="AG4" s="13" t="inlineStr">
        <is>
          <t>SLA_Status_Calc</t>
        </is>
      </c>
      <c r="AH4" s="13" t="inlineStr">
        <is>
          <t>SLA_Status</t>
        </is>
      </c>
    </row>
    <row r="5">
      <c r="A5" s="14" t="inlineStr">
        <is>
          <t>VULN-001</t>
        </is>
      </c>
      <c r="B5" s="14" t="inlineStr">
        <is>
          <t>CVE-2024-1234</t>
        </is>
      </c>
      <c r="C5" s="14" t="inlineStr">
        <is>
          <t>SRV-PROD-001</t>
        </is>
      </c>
      <c r="D5" s="14" t="inlineStr">
        <is>
          <t>Critical</t>
        </is>
      </c>
      <c r="E5" s="14" t="n">
        <v>9.199999999999999</v>
      </c>
      <c r="F5" s="14" t="n">
        <v>9.800000000000001</v>
      </c>
      <c r="G5" s="14" t="n">
        <v>0.9742</v>
      </c>
      <c r="H5" s="14" t="inlineStr">
        <is>
          <t>YES</t>
        </is>
      </c>
      <c r="I5" s="14" t="inlineStr">
        <is>
          <t>Yes</t>
        </is>
      </c>
      <c r="J5" s="14" t="inlineStr">
        <is>
          <t>Internet</t>
        </is>
      </c>
      <c r="K5" s="14" t="inlineStr">
        <is>
          <t>Critical</t>
        </is>
      </c>
      <c r="L5" s="14" t="inlineStr">
        <is>
          <t>High</t>
        </is>
      </c>
      <c r="M5" s="14" t="inlineStr">
        <is>
          <t>Yes</t>
        </is>
      </c>
      <c r="N5" s="14" t="inlineStr">
        <is>
          <t>No</t>
        </is>
      </c>
      <c r="O5" s="14" t="inlineStr">
        <is>
          <t>P0</t>
        </is>
      </c>
      <c r="P5" s="14" t="inlineStr">
        <is>
          <t>+1</t>
        </is>
      </c>
      <c r="Q5" s="14" t="n">
        <v>25</v>
      </c>
      <c r="R5" s="14" t="n">
        <v>20</v>
      </c>
      <c r="S5" s="14" t="n">
        <v>20</v>
      </c>
      <c r="T5" s="14" t="n">
        <v>15</v>
      </c>
      <c r="U5" s="14" t="n">
        <v>10</v>
      </c>
      <c r="V5" s="14" t="n">
        <v>5</v>
      </c>
      <c r="W5" s="14" t="n">
        <v>95</v>
      </c>
      <c r="X5" s="14" t="inlineStr">
        <is>
          <t>P0</t>
        </is>
      </c>
      <c r="Y5" s="14" t="inlineStr">
        <is>
          <t>Infrastructure Lead</t>
        </is>
      </c>
      <c r="Z5" s="14" t="inlineStr">
        <is>
          <t>20/01/2024</t>
        </is>
      </c>
      <c r="AA5" s="14" t="inlineStr">
        <is>
          <t>27/01/2024</t>
        </is>
      </c>
      <c r="AB5" s="14" t="inlineStr">
        <is>
          <t>Escalated</t>
        </is>
      </c>
      <c r="AC5" s="14" t="inlineStr">
        <is>
          <t>CHG-001</t>
        </is>
      </c>
      <c r="AD5" s="14" t="inlineStr">
        <is>
          <t>P0</t>
        </is>
      </c>
      <c r="AE5" s="14" t="inlineStr">
        <is>
          <t>24/01/2024</t>
        </is>
      </c>
      <c r="AF5" s="14" t="n">
        <v>3</v>
      </c>
      <c r="AG5" s="14" t="inlineStr">
        <is>
          <t>Calculated</t>
        </is>
      </c>
      <c r="AH5" s="14" t="inlineStr">
        <is>
          <t>On Track</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row>
  </sheetData>
  <mergeCells count="3">
    <mergeCell ref="A3:AH3"/>
    <mergeCell ref="A2:AH2"/>
    <mergeCell ref="A1:AH1"/>
  </mergeCells>
  <dataValidations count="4">
    <dataValidation sqref="X6 X7 X8 X9 X10 X11 X12 X13 X14 X15 X16 X17 X18 X19 X20 X21 X22 X23 X24 X25 X26 X27 X28 X29 X30 X31 X32 X33 X34 X35 X36 X37 X38 X39 X40 X41 X42 X43 X44 X45 X46 X47 X48 X49 X50 X51 X52 X53 X54 X55 AD6 AD7 AD8 AD9 AD10 AD11 AD12 AD13 AD14 AD15 AD16 AD17 AD18 AD19 AD20 AD21 AD22 AD23 AD24 AD25 AD26 AD27 AD28 AD29 AD30 AD31 AD32 AD33 AD34 AD35 AD36 AD37 AD38 AD39 AD40 AD41 AD42 AD43 AD44 AD45 AD46 AD47 AD48 AD49 AD50 AD51 AD52 AD53 AD54 AD55" showDropDown="0" showInputMessage="0" showErrorMessage="0" allowBlank="1" type="list">
      <formula1>"P0,P1,P2,P3,P4"</formula1>
    </dataValidation>
    <dataValidation sqref="AH6 AH7 AH8 AH9 AH10 AH11 AH12 AH13 AH14 AH15 AH16 AH17 AH18 AH19 AH20 AH21 AH22 AH23 AH24 AH25 AH26 AH27 AH28 AH29 AH30 AH31 AH32 AH33 AH34 AH35 AH36 AH37 AH38 AH39 AH40 AH41 AH42 AH43 AH44 AH45 AH46 AH47 AH48 AH49 AH50 AH51 AH52 AH53 AH54 AH55" showDropDown="0" showInputMessage="0" showErrorMessage="0" allowBlank="1" type="list">
      <formula1>"On Track,At Risk,Overdue,Complete"</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"YES,NO"</formula1>
    </dataValidation>
    <dataValidation sqref="AB6 AB7 AB8 AB9 AB10 AB11 AB12 AB13 AB14 AB15 AB16 AB17 AB18 AB19 AB20 AB21 AB22 AB23 AB24 AB25 AB26 AB27 AB28 AB29 AB30 AB31 AB32 AB33 AB34 AB35 AB36 AB37 AB38 AB39 AB40 AB41 AB42 AB43 AB44 AB45 AB46 AB47 AB48 AB49 AB50 AB51 AB52 AB53 AB54 AB55" showDropDown="0" showInputMessage="0" showErrorMessage="0" allowBlank="1" type="list">
      <formula1>"Normal,Escalated"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6" customWidth="1" min="3" max="3"/>
    <col width="10" customWidth="1" min="4" max="4"/>
    <col width="18" customWidth="1" min="5" max="5"/>
    <col width="18" customWidth="1" min="6" max="6"/>
    <col width="14" customWidth="1" min="7" max="7"/>
    <col width="14" customWidth="1" min="8" max="8"/>
    <col width="22" customWidth="1" min="9" max="9"/>
    <col width="18" customWidth="1" min="10" max="10"/>
    <col width="18" customWidth="1" min="11" max="11"/>
    <col width="14" customWidth="1" min="12" max="12"/>
    <col width="14" customWidth="1" min="13" max="13"/>
    <col width="14" customWidth="1" min="14" max="14"/>
    <col width="14" customWidth="1" min="15" max="15"/>
    <col width="14" customWidth="1" min="16" max="16"/>
    <col width="18" customWidth="1" min="17" max="17"/>
    <col width="22" customWidth="1" min="18" max="18"/>
    <col width="18" customWidth="1" min="19" max="19"/>
    <col width="25" customWidth="1" min="20" max="20"/>
    <col width="12" customWidth="1" min="21" max="21"/>
    <col width="20" customWidth="1" min="22" max="22"/>
    <col width="20" customWidth="1" min="23" max="23"/>
    <col width="16" customWidth="1" min="24" max="24"/>
    <col width="16" customWidth="1" min="25" max="25"/>
    <col width="16" customWidth="1" min="26" max="26"/>
    <col width="14" customWidth="1" min="27" max="27"/>
    <col width="18" customWidth="1" min="28" max="28"/>
    <col width="30" customWidth="1" min="29" max="29"/>
    <col width="18" customWidth="1" min="30" max="30"/>
    <col width="18" customWidth="1" min="31" max="31"/>
    <col width="16" customWidth="1" min="32" max="32"/>
    <col width="30" customWidth="1" min="33" max="33"/>
    <col width="14" customWidth="1" min="34" max="34"/>
    <col width="16" customWidth="1" min="35" max="35"/>
    <col width="30" customWidth="1" min="36" max="36"/>
    <col width="30" customWidth="1" min="37" max="37"/>
    <col width="30" customWidth="1" min="38" max="38"/>
    <col width="30" customWidth="1" min="39" max="39"/>
    <col width="18" customWidth="1" min="40" max="40"/>
  </cols>
  <sheetData>
    <row r="1" ht="35" customHeight="1">
      <c r="A1" s="11" t="inlineStr">
        <is>
          <t>ISMS-IMP-A.8.8.4  —  REMEDIATION QUEUE</t>
        </is>
      </c>
    </row>
    <row r="2">
      <c r="A2" s="12" t="inlineStr">
        <is>
          <t>ISO/IEC 27001:2022 — Control A.8.8: Patch Deployment Tracking</t>
        </is>
      </c>
    </row>
    <row r="3">
      <c r="A3" s="6" t="n"/>
    </row>
    <row r="4">
      <c r="A4" s="13" t="inlineStr">
        <is>
          <t>Vuln_ID</t>
        </is>
      </c>
      <c r="B4" s="13" t="inlineStr">
        <is>
          <t>CVE_ID</t>
        </is>
      </c>
      <c r="C4" s="13" t="inlineStr">
        <is>
          <t>Asset_ID</t>
        </is>
      </c>
      <c r="D4" s="13" t="inlineStr">
        <is>
          <t>Priority</t>
        </is>
      </c>
      <c r="E4" s="13" t="inlineStr">
        <is>
          <t>Change_Control_ID</t>
        </is>
      </c>
      <c r="F4" s="13" t="inlineStr">
        <is>
          <t>Remediation_Type</t>
        </is>
      </c>
      <c r="G4" s="13" t="inlineStr">
        <is>
          <t>Patch_ID</t>
        </is>
      </c>
      <c r="H4" s="13" t="inlineStr">
        <is>
          <t>Patch_Version</t>
        </is>
      </c>
      <c r="I4" s="13" t="inlineStr">
        <is>
          <t>Patch_Source</t>
        </is>
      </c>
      <c r="J4" s="13" t="inlineStr">
        <is>
          <t>Test_Environment</t>
        </is>
      </c>
      <c r="K4" s="13" t="inlineStr">
        <is>
          <t>Tested_By</t>
        </is>
      </c>
      <c r="L4" s="13" t="inlineStr">
        <is>
          <t>Test_Date</t>
        </is>
      </c>
      <c r="M4" s="13" t="inlineStr">
        <is>
          <t>Test_Result</t>
        </is>
      </c>
      <c r="N4" s="13" t="inlineStr">
        <is>
          <t>Rollback_Plan</t>
        </is>
      </c>
      <c r="O4" s="13" t="inlineStr">
        <is>
          <t>Rollback_Tested</t>
        </is>
      </c>
      <c r="P4" s="13" t="inlineStr">
        <is>
          <t>CAB_Approval</t>
        </is>
      </c>
      <c r="Q4" s="13" t="inlineStr">
        <is>
          <t>Change_Request_ID</t>
        </is>
      </c>
      <c r="R4" s="13" t="inlineStr">
        <is>
          <t>Deployment_Window</t>
        </is>
      </c>
      <c r="S4" s="13" t="inlineStr">
        <is>
          <t>Deployment_Method</t>
        </is>
      </c>
      <c r="T4" s="13" t="inlineStr">
        <is>
          <t>Target_Assets</t>
        </is>
      </c>
      <c r="U4" s="13" t="inlineStr">
        <is>
          <t>Assets_Count</t>
        </is>
      </c>
      <c r="V4" s="13" t="inlineStr">
        <is>
          <t>Deployment_Owner</t>
        </is>
      </c>
      <c r="W4" s="13" t="inlineStr">
        <is>
          <t>Deployment_Team</t>
        </is>
      </c>
      <c r="X4" s="13" t="inlineStr">
        <is>
          <t>Scheduled_Date</t>
        </is>
      </c>
      <c r="Y4" s="13" t="inlineStr">
        <is>
          <t>Actual_Start</t>
        </is>
      </c>
      <c r="Z4" s="13" t="inlineStr">
        <is>
          <t>Actual_End</t>
        </is>
      </c>
      <c r="AA4" s="13" t="inlineStr">
        <is>
          <t>Duration_Hours</t>
        </is>
      </c>
      <c r="AB4" s="13" t="inlineStr">
        <is>
          <t>Pre_Check_Complete</t>
        </is>
      </c>
      <c r="AC4" s="13" t="inlineStr">
        <is>
          <t>Deployment_Detail</t>
        </is>
      </c>
      <c r="AD4" s="13" t="inlineStr">
        <is>
          <t>Post_Deployment_Test</t>
        </is>
      </c>
      <c r="AE4" s="13" t="inlineStr">
        <is>
          <t>Verification_Status</t>
        </is>
      </c>
      <c r="AF4" s="13" t="inlineStr">
        <is>
          <t>Verification_Date</t>
        </is>
      </c>
      <c r="AG4" s="13" t="inlineStr">
        <is>
          <t>Issues_Encountered</t>
        </is>
      </c>
      <c r="AH4" s="13" t="inlineStr">
        <is>
          <t>Issues_Resolved</t>
        </is>
      </c>
      <c r="AI4" s="13" t="inlineStr">
        <is>
          <t>Rollback_Triggered</t>
        </is>
      </c>
      <c r="AJ4" s="13" t="inlineStr">
        <is>
          <t>Rollback_Reason</t>
        </is>
      </c>
      <c r="AK4" s="13" t="inlineStr">
        <is>
          <t>Lessons_Learned</t>
        </is>
      </c>
      <c r="AL4" s="13" t="inlineStr">
        <is>
          <t>Next_Steps</t>
        </is>
      </c>
      <c r="AM4" s="13" t="inlineStr">
        <is>
          <t>Notes</t>
        </is>
      </c>
      <c r="AN4" s="13" t="inlineStr">
        <is>
          <t>Deployment_Status</t>
        </is>
      </c>
    </row>
    <row r="5">
      <c r="A5" s="14" t="inlineStr">
        <is>
          <t>VULN-001</t>
        </is>
      </c>
      <c r="B5" s="14" t="inlineStr">
        <is>
          <t>CVE-2024-1234</t>
        </is>
      </c>
      <c r="C5" s="14" t="inlineStr">
        <is>
          <t>SRV-PROD-001</t>
        </is>
      </c>
      <c r="D5" s="14" t="inlineStr">
        <is>
          <t>P0</t>
        </is>
      </c>
      <c r="E5" s="14" t="inlineStr">
        <is>
          <t>CHG-001</t>
        </is>
      </c>
      <c r="F5" s="14" t="inlineStr">
        <is>
          <t>Patch</t>
        </is>
      </c>
      <c r="G5" s="14" t="inlineStr">
        <is>
          <t>PATCH-001</t>
        </is>
      </c>
      <c r="H5" s="14" t="inlineStr">
        <is>
          <t>2.4.51</t>
        </is>
      </c>
      <c r="I5" s="14" t="inlineStr">
        <is>
          <t>Apache.org</t>
        </is>
      </c>
      <c r="J5" s="14" t="inlineStr">
        <is>
          <t>Staging</t>
        </is>
      </c>
      <c r="K5" s="14" t="inlineStr">
        <is>
          <t>Security Engineer</t>
        </is>
      </c>
      <c r="L5" s="14" t="inlineStr">
        <is>
          <t>22/01/2024</t>
        </is>
      </c>
      <c r="M5" s="14" t="inlineStr">
        <is>
          <t>Pass</t>
        </is>
      </c>
      <c r="N5" s="14" t="inlineStr">
        <is>
          <t>Yes</t>
        </is>
      </c>
      <c r="O5" s="14" t="inlineStr">
        <is>
          <t>Yes</t>
        </is>
      </c>
      <c r="P5" s="14" t="inlineStr">
        <is>
          <t>Emergency</t>
        </is>
      </c>
      <c r="Q5" s="14" t="inlineStr">
        <is>
          <t>REQ-001</t>
        </is>
      </c>
      <c r="R5" s="14" t="inlineStr">
        <is>
          <t>22/01/2024 02:00-04:00</t>
        </is>
      </c>
      <c r="S5" s="14" t="inlineStr">
        <is>
          <t>Automated</t>
        </is>
      </c>
      <c r="T5" s="14" t="inlineStr">
        <is>
          <t>All web servers</t>
        </is>
      </c>
      <c r="U5" s="14" t="n">
        <v>12</v>
      </c>
      <c r="V5" s="14" t="inlineStr">
        <is>
          <t>Infrastructure Lead</t>
        </is>
      </c>
      <c r="W5" s="14" t="inlineStr">
        <is>
          <t>Ops Team</t>
        </is>
      </c>
      <c r="X5" s="14" t="inlineStr">
        <is>
          <t>22/01/2024</t>
        </is>
      </c>
      <c r="Y5" s="14" t="inlineStr">
        <is>
          <t>22/01/2024 02:05</t>
        </is>
      </c>
      <c r="Z5" s="14" t="inlineStr">
        <is>
          <t>22/01/2024 03:45</t>
        </is>
      </c>
      <c r="AA5" s="14" t="n">
        <v>1.67</v>
      </c>
      <c r="AB5" s="14" t="inlineStr">
        <is>
          <t>Yes</t>
        </is>
      </c>
      <c r="AC5" s="14" t="inlineStr">
        <is>
          <t>Automated patch manager</t>
        </is>
      </c>
      <c r="AD5" s="14" t="inlineStr">
        <is>
          <t>Yes</t>
        </is>
      </c>
      <c r="AE5" s="14" t="inlineStr">
        <is>
          <t>Pass</t>
        </is>
      </c>
      <c r="AF5" s="14" t="inlineStr">
        <is>
          <t>23/01/2024</t>
        </is>
      </c>
      <c r="AG5" s="14" t="inlineStr"/>
      <c r="AH5" s="14" t="inlineStr">
        <is>
          <t>No</t>
        </is>
      </c>
      <c r="AI5" s="14" t="inlineStr">
        <is>
          <t>No</t>
        </is>
      </c>
      <c r="AJ5" s="14" t="inlineStr"/>
      <c r="AK5" s="14" t="inlineStr">
        <is>
          <t>Document rollback procedure</t>
        </is>
      </c>
      <c r="AL5" s="14" t="inlineStr">
        <is>
          <t>Monitor for 48hrs</t>
        </is>
      </c>
      <c r="AM5" s="14" t="inlineStr">
        <is>
          <t>Emergency patch successful</t>
        </is>
      </c>
      <c r="AN5" s="14" t="inlineStr">
        <is>
          <t>Complete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c r="AK6" s="15" t="n"/>
      <c r="AL6" s="15" t="n"/>
      <c r="AM6" s="15" t="n"/>
      <c r="AN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c r="AK10" s="15" t="n"/>
      <c r="AL10" s="15" t="n"/>
      <c r="AM10" s="15" t="n"/>
      <c r="AN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c r="AK14" s="15" t="n"/>
      <c r="AL14" s="15" t="n"/>
      <c r="AM14" s="15" t="n"/>
      <c r="AN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c r="AL15" s="15" t="n"/>
      <c r="AM15" s="15" t="n"/>
      <c r="AN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row>
  </sheetData>
  <mergeCells count="3">
    <mergeCell ref="A3:AN3"/>
    <mergeCell ref="A2:AN2"/>
    <mergeCell ref="A1:AN1"/>
  </mergeCells>
  <dataValidations count="6">
    <dataValidation sqref="AN6 AN7 AN8 AN9 AN10 AN11 AN12 AN13 AN14 AN15 AN16 AN17 AN18 AN19 AN20 AN21 AN22 AN23 AN24 AN25 AN26 AN27 AN28 AN29 AN30 AN31 AN32 AN33 AN34 AN35 AN36 AN37 AN38 AN39 AN40 AN41 AN42 AN43 AN44 AN45 AN46 AN47 AN48 AN49 AN50 AN51 AN52 AN53 AN54 AN55" showDropDown="0" showInputMessage="0" showErrorMessage="0" allowBlank="1" type="list">
      <formula1>"Scheduled,In Progress,Complete,Failed,Rolled Back"</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"P0,P1,P2,P3,P4"</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"Patch,Workaround,Configuration,Upgrade,Replacement"</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"Pass,Fail,Pending"</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"Yes,No,Emergency"</formula1>
    </dataValidation>
    <dataValidation sqref="AE6 AE7 AE8 AE9 AE10 AE11 AE12 AE13 AE14 AE15 AE16 AE17 AE18 AE19 AE20 AE21 AE22 AE23 AE24 AE25 AE26 AE27 AE28 AE29 AE30 AE31 AE32 AE33 AE34 AE35 AE36 AE37 AE38 AE39 AE40 AE41 AE42 AE43 AE44 AE45 AE46 AE47 AE48 AE49 AE50 AE51 AE52 AE53 AE54 AE55" showDropDown="0" showInputMessage="0" showErrorMessage="0" allowBlank="1" type="list">
      <formula1>"Pending,Pass,Fail"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40" customWidth="1" min="3" max="3"/>
    <col width="50" customWidth="1" min="4" max="4"/>
    <col width="22" customWidth="1" min="5" max="5"/>
    <col width="16" customWidth="1" min="6" max="6"/>
    <col width="16" customWidth="1" min="7" max="7"/>
    <col width="18" customWidth="1" min="8" max="8"/>
  </cols>
  <sheetData>
    <row r="1" ht="35" customHeight="1">
      <c r="A1" s="11" t="inlineStr">
        <is>
          <t>ISMS-IMP-A.8.8.4  —  CHANGE CONTROL</t>
        </is>
      </c>
    </row>
    <row r="2">
      <c r="A2" s="12" t="inlineStr">
        <is>
          <t>ISO/IEC 27001:2022 — Control A.8.8: Change Request Management</t>
        </is>
      </c>
    </row>
    <row r="3">
      <c r="A3" s="6" t="n"/>
    </row>
    <row r="4">
      <c r="A4" s="13" t="inlineStr">
        <is>
          <t>Change_ID</t>
        </is>
      </c>
      <c r="B4" s="13" t="inlineStr">
        <is>
          <t>Vuln_ID</t>
        </is>
      </c>
      <c r="C4" s="13" t="inlineStr">
        <is>
          <t>Change_Title</t>
        </is>
      </c>
      <c r="D4" s="13" t="inlineStr">
        <is>
          <t>Change_Description</t>
        </is>
      </c>
      <c r="E4" s="13" t="inlineStr">
        <is>
          <t>Change_Owner</t>
        </is>
      </c>
      <c r="F4" s="13" t="inlineStr">
        <is>
          <t>Change_Type</t>
        </is>
      </c>
      <c r="G4" s="13" t="inlineStr">
        <is>
          <t>Submission_Date</t>
        </is>
      </c>
      <c r="H4" s="13" t="inlineStr">
        <is>
          <t>Approval_Status</t>
        </is>
      </c>
    </row>
    <row r="5">
      <c r="A5" s="14" t="inlineStr">
        <is>
          <t>CHG-001</t>
        </is>
      </c>
      <c r="B5" s="14" t="inlineStr">
        <is>
          <t>VULN-001</t>
        </is>
      </c>
      <c r="C5" s="14" t="inlineStr">
        <is>
          <t>Emergency Apache HTTP Server Patch — CVE-2024-1234</t>
        </is>
      </c>
      <c r="D5" s="14" t="inlineStr">
        <is>
          <t>Apply Apache HTTP Server 2.4.51 patch to all production web servers</t>
        </is>
      </c>
      <c r="E5" s="14" t="inlineStr">
        <is>
          <t>Infrastructure Lead</t>
        </is>
      </c>
      <c r="F5" s="14" t="inlineStr">
        <is>
          <t>Emergency</t>
        </is>
      </c>
      <c r="G5" s="14" t="inlineStr">
        <is>
          <t>20/01/2024</t>
        </is>
      </c>
      <c r="H5" s="14" t="inlineStr">
        <is>
          <t>Approved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"Standard,Normal,Emergency"</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"Draft,Submitted,Approved,Rejected,Implemented,Closed"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18" customWidth="1" min="4" max="4"/>
    <col width="18" customWidth="1" min="5" max="5"/>
    <col width="18" customWidth="1" min="6" max="6"/>
    <col width="20" customWidth="1" min="7" max="7"/>
    <col width="14" customWidth="1" min="8" max="8"/>
    <col width="30" customWidth="1" min="9" max="9"/>
    <col width="30" customWidth="1" min="10" max="10"/>
    <col width="20" customWidth="1" min="11" max="11"/>
    <col width="16" customWidth="1" min="12" max="12"/>
    <col width="35" customWidth="1" min="13" max="13"/>
    <col width="14" customWidth="1" min="14" max="14"/>
  </cols>
  <sheetData>
    <row r="1" ht="35" customHeight="1">
      <c r="A1" s="11" t="inlineStr">
        <is>
          <t>ISMS-IMP-A.8.8.4  —  TESTING AND VALIDATION</t>
        </is>
      </c>
    </row>
    <row r="2">
      <c r="A2" s="12" t="inlineStr">
        <is>
          <t>ISO/IEC 27001:2022 — Control A.8.8: Patch Testing &amp; Verification</t>
        </is>
      </c>
    </row>
    <row r="3">
      <c r="A3" s="6" t="n"/>
    </row>
    <row r="4">
      <c r="A4" s="13" t="inlineStr">
        <is>
          <t>Test_ID</t>
        </is>
      </c>
      <c r="B4" s="13" t="inlineStr">
        <is>
          <t>Vuln_ID</t>
        </is>
      </c>
      <c r="C4" s="13" t="inlineStr">
        <is>
          <t>Asset_ID</t>
        </is>
      </c>
      <c r="D4" s="13" t="inlineStr">
        <is>
          <t>Remediation_Type</t>
        </is>
      </c>
      <c r="E4" s="13" t="inlineStr">
        <is>
          <t>Test_Type</t>
        </is>
      </c>
      <c r="F4" s="13" t="inlineStr">
        <is>
          <t>Test_Environment</t>
        </is>
      </c>
      <c r="G4" s="13" t="inlineStr">
        <is>
          <t>Test_Owner</t>
        </is>
      </c>
      <c r="H4" s="13" t="inlineStr">
        <is>
          <t>Test_Date</t>
        </is>
      </c>
      <c r="I4" s="13" t="inlineStr">
        <is>
          <t>Expected_Result</t>
        </is>
      </c>
      <c r="J4" s="13" t="inlineStr">
        <is>
          <t>Actual_Result</t>
        </is>
      </c>
      <c r="K4" s="13" t="inlineStr">
        <is>
          <t>CVE_Resolved_Confirmed</t>
        </is>
      </c>
      <c r="L4" s="13" t="inlineStr">
        <is>
          <t>CVE_Verified_Fixed</t>
        </is>
      </c>
      <c r="M4" s="13" t="inlineStr">
        <is>
          <t>Test_Notes</t>
        </is>
      </c>
      <c r="N4" s="13" t="inlineStr">
        <is>
          <t>Test_Result</t>
        </is>
      </c>
    </row>
    <row r="5">
      <c r="A5" s="14" t="inlineStr">
        <is>
          <t>TST-001</t>
        </is>
      </c>
      <c r="B5" s="14" t="inlineStr">
        <is>
          <t>VULN-001</t>
        </is>
      </c>
      <c r="C5" s="14" t="inlineStr">
        <is>
          <t>SRV-PROD-001</t>
        </is>
      </c>
      <c r="D5" s="14" t="inlineStr">
        <is>
          <t>Patch</t>
        </is>
      </c>
      <c r="E5" s="14" t="inlineStr">
        <is>
          <t>Automated</t>
        </is>
      </c>
      <c r="F5" s="14" t="inlineStr">
        <is>
          <t>Staging</t>
        </is>
      </c>
      <c r="G5" s="14" t="inlineStr">
        <is>
          <t>Security Engineer</t>
        </is>
      </c>
      <c r="H5" s="14" t="inlineStr">
        <is>
          <t>22/01/2024</t>
        </is>
      </c>
      <c r="I5" s="14" t="inlineStr">
        <is>
          <t>Vulnerability no longer present post-patch</t>
        </is>
      </c>
      <c r="J5" s="14" t="inlineStr">
        <is>
          <t>CVE-2024-1234 confirmed remediated by scanner</t>
        </is>
      </c>
      <c r="K5" s="14" t="inlineStr">
        <is>
          <t>Yes</t>
        </is>
      </c>
      <c r="L5" s="14" t="inlineStr">
        <is>
          <t>Yes</t>
        </is>
      </c>
      <c r="M5" s="14" t="inlineStr">
        <is>
          <t>Tenable scan confirmed 0 findings for CVE-2024-1234</t>
        </is>
      </c>
      <c r="N5" s="14" t="inlineStr">
        <is>
          <t>Pass</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3">
    <mergeCell ref="A3:N3"/>
    <mergeCell ref="A2:N2"/>
    <mergeCell ref="A1:N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"Automated,Manual,Penetration,Code Review,Configuration"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"Production,Staging,Development"</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"Pass,Fail,Pending,Not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6" customWidth="1" min="3" max="3"/>
    <col width="20" customWidth="1" min="4" max="4"/>
    <col width="16" customWidth="1" min="5" max="5"/>
    <col width="22" customWidth="1" min="6" max="6"/>
    <col width="16" customWidth="1" min="7" max="7"/>
    <col width="14" customWidth="1" min="8" max="8"/>
  </cols>
  <sheetData>
    <row r="1" ht="35" customHeight="1">
      <c r="A1" s="11" t="inlineStr">
        <is>
          <t>ISMS-IMP-A.8.8.4  —  SLA COMPLIANCE</t>
        </is>
      </c>
    </row>
    <row r="2">
      <c r="A2" s="12" t="inlineStr">
        <is>
          <t>ISO/IEC 27001:2022 — Control A.8.8: SLA Monitoring Per Vulnerability</t>
        </is>
      </c>
    </row>
    <row r="3">
      <c r="A3" s="6" t="n"/>
    </row>
    <row r="4">
      <c r="A4" s="13" t="inlineStr">
        <is>
          <t>Vuln_ID</t>
        </is>
      </c>
      <c r="B4" s="13" t="inlineStr">
        <is>
          <t>Priority</t>
        </is>
      </c>
      <c r="C4" s="13" t="inlineStr">
        <is>
          <t>SLA_Target_Days</t>
        </is>
      </c>
      <c r="D4" s="13" t="inlineStr">
        <is>
          <t>Days_Since_Discovery</t>
        </is>
      </c>
      <c r="E4" s="13" t="inlineStr">
        <is>
          <t>SLA_Deadline</t>
        </is>
      </c>
      <c r="F4" s="13" t="inlineStr">
        <is>
          <t>Actual_Completion_Date</t>
        </is>
      </c>
      <c r="G4" s="13" t="inlineStr">
        <is>
          <t>SLA_Variance_Days</t>
        </is>
      </c>
      <c r="H4" s="13" t="inlineStr">
        <is>
          <t>SLA_Status</t>
        </is>
      </c>
    </row>
    <row r="5">
      <c r="A5" s="14" t="inlineStr">
        <is>
          <t>VULN-001</t>
        </is>
      </c>
      <c r="B5" s="14" t="inlineStr">
        <is>
          <t>P0</t>
        </is>
      </c>
      <c r="C5" s="14" t="n">
        <v>3</v>
      </c>
      <c r="D5" s="14" t="n">
        <v>1</v>
      </c>
      <c r="E5" s="14" t="inlineStr">
        <is>
          <t>24/01/2024</t>
        </is>
      </c>
      <c r="F5" s="14" t="inlineStr">
        <is>
          <t>23/01/2024</t>
        </is>
      </c>
      <c r="G5" s="14" t="n">
        <v>1</v>
      </c>
      <c r="H5" s="14" t="inlineStr">
        <is>
          <t>Complete</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B6 B7 B8 B9 B10 B11 B12 B13 B14 B15 B16 B17 B18 B19 B20 B21 B22 B23 B24 B25 B26 B27 B28 B29 B30 B31 B32 B33 B34 B35 B36 B37 B38 B39 B40 B41 B42 B43 B44 B45 B46 B47 B48 B49 B50 B51 B52 B53 B54 B55" showDropDown="0" showInputMessage="0" showErrorMessage="0" allowBlank="1" type="list">
      <formula1>"P0,P1,P2,P3,P4"</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"On Track,At Risk,Overdue,Complete"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1" t="inlineStr">
        <is>
          <t>EVIDENCE REGISTER</t>
        </is>
      </c>
    </row>
    <row r="2">
      <c r="A2" s="16" t="inlineStr">
        <is>
          <t>ISO/IEC 27001:2022 Annex A — Control A.8.8: Management of Technical Vulnerabilities</t>
        </is>
      </c>
    </row>
    <row r="3">
      <c r="A3" s="6" t="n"/>
    </row>
    <row r="4">
      <c r="A4" s="17" t="inlineStr">
        <is>
          <t>Evidence ID</t>
        </is>
      </c>
      <c r="B4" s="17" t="inlineStr">
        <is>
          <t>Evidence Type</t>
        </is>
      </c>
      <c r="C4" s="17" t="inlineStr">
        <is>
          <t>Description</t>
        </is>
      </c>
      <c r="D4" s="17" t="inlineStr">
        <is>
          <t>Related Control / Section</t>
        </is>
      </c>
      <c r="E4" s="17" t="inlineStr">
        <is>
          <t>Collection Date (DD.MM.YYYY)</t>
        </is>
      </c>
      <c r="F4" s="17" t="inlineStr">
        <is>
          <t>Storage Location / Reference</t>
        </is>
      </c>
      <c r="G4" s="17" t="inlineStr">
        <is>
          <t>Collected By</t>
        </is>
      </c>
      <c r="H4" s="17" t="inlineStr">
        <is>
          <t>Status</t>
        </is>
      </c>
    </row>
    <row r="5">
      <c r="A5" s="18" t="inlineStr">
        <is>
          <t>EV-001</t>
        </is>
      </c>
      <c r="B5" s="18" t="inlineStr">
        <is>
          <t>Remediation Report</t>
        </is>
      </c>
      <c r="C5" s="18" t="inlineStr">
        <is>
          <t>Sample evidence entry — replace with actual evidence</t>
        </is>
      </c>
      <c r="D5" s="18" t="inlineStr">
        <is>
          <t>A.8.8 Remediation &amp; Prioritization</t>
        </is>
      </c>
      <c r="E5" s="18" t="inlineStr">
        <is>
          <t>01.01.2026</t>
        </is>
      </c>
      <c r="F5" s="18" t="inlineStr">
        <is>
          <t>SharePoint/ISMS/A.8.8/S4/Evidence/</t>
        </is>
      </c>
      <c r="G5" s="18" t="inlineStr">
        <is>
          <t>Security Team</t>
        </is>
      </c>
      <c r="H5" s="18" t="inlineStr">
        <is>
          <t>Active</t>
        </is>
      </c>
    </row>
    <row r="6">
      <c r="A6" s="19" t="n"/>
      <c r="B6" s="19" t="n"/>
      <c r="C6" s="19" t="n"/>
      <c r="D6" s="19" t="n"/>
      <c r="E6" s="19" t="n"/>
      <c r="F6" s="19" t="n"/>
      <c r="G6" s="19" t="n"/>
      <c r="H6" s="19" t="n"/>
    </row>
    <row r="7">
      <c r="A7" s="19" t="n"/>
      <c r="B7" s="19" t="n"/>
      <c r="C7" s="19" t="n"/>
      <c r="D7" s="19" t="n"/>
      <c r="E7" s="19" t="n"/>
      <c r="F7" s="19" t="n"/>
      <c r="G7" s="19" t="n"/>
      <c r="H7" s="19" t="n"/>
    </row>
    <row r="8">
      <c r="A8" s="19" t="n"/>
      <c r="B8" s="19" t="n"/>
      <c r="C8" s="19" t="n"/>
      <c r="D8" s="19" t="n"/>
      <c r="E8" s="19" t="n"/>
      <c r="F8" s="19" t="n"/>
      <c r="G8" s="19" t="n"/>
      <c r="H8" s="19" t="n"/>
    </row>
    <row r="9">
      <c r="A9" s="19" t="n"/>
      <c r="B9" s="19" t="n"/>
      <c r="C9" s="19" t="n"/>
      <c r="D9" s="19" t="n"/>
      <c r="E9" s="19" t="n"/>
      <c r="F9" s="19" t="n"/>
      <c r="G9" s="19" t="n"/>
      <c r="H9" s="19" t="n"/>
    </row>
    <row r="10">
      <c r="A10" s="19" t="n"/>
      <c r="B10" s="19" t="n"/>
      <c r="C10" s="19" t="n"/>
      <c r="D10" s="19" t="n"/>
      <c r="E10" s="19" t="n"/>
      <c r="F10" s="19" t="n"/>
      <c r="G10" s="19" t="n"/>
      <c r="H10" s="19" t="n"/>
    </row>
    <row r="11">
      <c r="A11" s="19" t="n"/>
      <c r="B11" s="19" t="n"/>
      <c r="C11" s="19" t="n"/>
      <c r="D11" s="19" t="n"/>
      <c r="E11" s="19" t="n"/>
      <c r="F11" s="19" t="n"/>
      <c r="G11" s="19" t="n"/>
      <c r="H11" s="19" t="n"/>
    </row>
    <row r="12">
      <c r="A12" s="19" t="n"/>
      <c r="B12" s="19" t="n"/>
      <c r="C12" s="19" t="n"/>
      <c r="D12" s="19" t="n"/>
      <c r="E12" s="19" t="n"/>
      <c r="F12" s="19" t="n"/>
      <c r="G12" s="19" t="n"/>
      <c r="H12" s="19" t="n"/>
    </row>
    <row r="13">
      <c r="A13" s="19" t="n"/>
      <c r="B13" s="19" t="n"/>
      <c r="C13" s="19" t="n"/>
      <c r="D13" s="19" t="n"/>
      <c r="E13" s="19" t="n"/>
      <c r="F13" s="19" t="n"/>
      <c r="G13" s="19" t="n"/>
      <c r="H13" s="19" t="n"/>
    </row>
    <row r="14">
      <c r="A14" s="19" t="n"/>
      <c r="B14" s="19" t="n"/>
      <c r="C14" s="19" t="n"/>
      <c r="D14" s="19" t="n"/>
      <c r="E14" s="19" t="n"/>
      <c r="F14" s="19" t="n"/>
      <c r="G14" s="19" t="n"/>
      <c r="H14" s="19" t="n"/>
    </row>
    <row r="15">
      <c r="A15" s="19" t="n"/>
      <c r="B15" s="19" t="n"/>
      <c r="C15" s="19" t="n"/>
      <c r="D15" s="19" t="n"/>
      <c r="E15" s="19" t="n"/>
      <c r="F15" s="19" t="n"/>
      <c r="G15" s="19" t="n"/>
      <c r="H15" s="19" t="n"/>
    </row>
    <row r="16">
      <c r="A16" s="19" t="n"/>
      <c r="B16" s="19" t="n"/>
      <c r="C16" s="19" t="n"/>
      <c r="D16" s="19" t="n"/>
      <c r="E16" s="19" t="n"/>
      <c r="F16" s="19" t="n"/>
      <c r="G16" s="19" t="n"/>
      <c r="H16" s="19" t="n"/>
    </row>
    <row r="17">
      <c r="A17" s="19" t="n"/>
      <c r="B17" s="19" t="n"/>
      <c r="C17" s="19" t="n"/>
      <c r="D17" s="19" t="n"/>
      <c r="E17" s="19" t="n"/>
      <c r="F17" s="19" t="n"/>
      <c r="G17" s="19" t="n"/>
      <c r="H17" s="19" t="n"/>
    </row>
    <row r="18">
      <c r="A18" s="19" t="n"/>
      <c r="B18" s="19" t="n"/>
      <c r="C18" s="19" t="n"/>
      <c r="D18" s="19" t="n"/>
      <c r="E18" s="19" t="n"/>
      <c r="F18" s="19" t="n"/>
      <c r="G18" s="19" t="n"/>
      <c r="H18" s="19" t="n"/>
    </row>
    <row r="19">
      <c r="A19" s="19" t="n"/>
      <c r="B19" s="19" t="n"/>
      <c r="C19" s="19" t="n"/>
      <c r="D19" s="19" t="n"/>
      <c r="E19" s="19" t="n"/>
      <c r="F19" s="19" t="n"/>
      <c r="G19" s="19" t="n"/>
      <c r="H19" s="19" t="n"/>
    </row>
    <row r="20">
      <c r="A20" s="19" t="n"/>
      <c r="B20" s="19" t="n"/>
      <c r="C20" s="19" t="n"/>
      <c r="D20" s="19" t="n"/>
      <c r="E20" s="19" t="n"/>
      <c r="F20" s="19" t="n"/>
      <c r="G20" s="19" t="n"/>
      <c r="H20" s="19" t="n"/>
    </row>
    <row r="21">
      <c r="A21" s="19" t="n"/>
      <c r="B21" s="19" t="n"/>
      <c r="C21" s="19" t="n"/>
      <c r="D21" s="19" t="n"/>
      <c r="E21" s="19" t="n"/>
      <c r="F21" s="19" t="n"/>
      <c r="G21" s="19" t="n"/>
      <c r="H21" s="19" t="n"/>
    </row>
    <row r="22">
      <c r="A22" s="19" t="n"/>
      <c r="B22" s="19" t="n"/>
      <c r="C22" s="19" t="n"/>
      <c r="D22" s="19" t="n"/>
      <c r="E22" s="19" t="n"/>
      <c r="F22" s="19" t="n"/>
      <c r="G22" s="19" t="n"/>
      <c r="H22" s="19" t="n"/>
    </row>
    <row r="23">
      <c r="A23" s="19" t="n"/>
      <c r="B23" s="19" t="n"/>
      <c r="C23" s="19" t="n"/>
      <c r="D23" s="19" t="n"/>
      <c r="E23" s="19" t="n"/>
      <c r="F23" s="19" t="n"/>
      <c r="G23" s="19" t="n"/>
      <c r="H23" s="19" t="n"/>
    </row>
    <row r="24">
      <c r="A24" s="19" t="n"/>
      <c r="B24" s="19" t="n"/>
      <c r="C24" s="19" t="n"/>
      <c r="D24" s="19" t="n"/>
      <c r="E24" s="19" t="n"/>
      <c r="F24" s="19" t="n"/>
      <c r="G24" s="19" t="n"/>
      <c r="H24" s="19" t="n"/>
    </row>
    <row r="25">
      <c r="A25" s="19" t="n"/>
      <c r="B25" s="19" t="n"/>
      <c r="C25" s="19" t="n"/>
      <c r="D25" s="19" t="n"/>
      <c r="E25" s="19" t="n"/>
      <c r="F25" s="19" t="n"/>
      <c r="G25" s="19" t="n"/>
      <c r="H25" s="19" t="n"/>
    </row>
    <row r="26">
      <c r="A26" s="19" t="n"/>
      <c r="B26" s="19" t="n"/>
      <c r="C26" s="19" t="n"/>
      <c r="D26" s="19" t="n"/>
      <c r="E26" s="19" t="n"/>
      <c r="F26" s="19" t="n"/>
      <c r="G26" s="19" t="n"/>
      <c r="H26" s="19" t="n"/>
    </row>
    <row r="27">
      <c r="A27" s="19" t="n"/>
      <c r="B27" s="19" t="n"/>
      <c r="C27" s="19" t="n"/>
      <c r="D27" s="19" t="n"/>
      <c r="E27" s="19" t="n"/>
      <c r="F27" s="19" t="n"/>
      <c r="G27" s="19" t="n"/>
      <c r="H27" s="19" t="n"/>
    </row>
    <row r="28">
      <c r="A28" s="19" t="n"/>
      <c r="B28" s="19" t="n"/>
      <c r="C28" s="19" t="n"/>
      <c r="D28" s="19" t="n"/>
      <c r="E28" s="19" t="n"/>
      <c r="F28" s="19" t="n"/>
      <c r="G28" s="19" t="n"/>
      <c r="H28" s="19" t="n"/>
    </row>
    <row r="29">
      <c r="A29" s="19" t="n"/>
      <c r="B29" s="19" t="n"/>
      <c r="C29" s="19" t="n"/>
      <c r="D29" s="19" t="n"/>
      <c r="E29" s="19" t="n"/>
      <c r="F29" s="19" t="n"/>
      <c r="G29" s="19" t="n"/>
      <c r="H29" s="19" t="n"/>
    </row>
    <row r="30">
      <c r="A30" s="19" t="n"/>
      <c r="B30" s="19" t="n"/>
      <c r="C30" s="19" t="n"/>
      <c r="D30" s="19" t="n"/>
      <c r="E30" s="19" t="n"/>
      <c r="F30" s="19" t="n"/>
      <c r="G30" s="19" t="n"/>
      <c r="H30" s="19" t="n"/>
    </row>
    <row r="31">
      <c r="A31" s="19" t="n"/>
      <c r="B31" s="19" t="n"/>
      <c r="C31" s="19" t="n"/>
      <c r="D31" s="19" t="n"/>
      <c r="E31" s="19" t="n"/>
      <c r="F31" s="19" t="n"/>
      <c r="G31" s="19" t="n"/>
      <c r="H31" s="19" t="n"/>
    </row>
    <row r="32">
      <c r="A32" s="19" t="n"/>
      <c r="B32" s="19" t="n"/>
      <c r="C32" s="19" t="n"/>
      <c r="D32" s="19" t="n"/>
      <c r="E32" s="19" t="n"/>
      <c r="F32" s="19" t="n"/>
      <c r="G32" s="19" t="n"/>
      <c r="H32" s="19" t="n"/>
    </row>
    <row r="33">
      <c r="A33" s="19" t="n"/>
      <c r="B33" s="19" t="n"/>
      <c r="C33" s="19" t="n"/>
      <c r="D33" s="19" t="n"/>
      <c r="E33" s="19" t="n"/>
      <c r="F33" s="19" t="n"/>
      <c r="G33" s="19" t="n"/>
      <c r="H33" s="19" t="n"/>
    </row>
    <row r="34">
      <c r="A34" s="19" t="n"/>
      <c r="B34" s="19" t="n"/>
      <c r="C34" s="19" t="n"/>
      <c r="D34" s="19" t="n"/>
      <c r="E34" s="19" t="n"/>
      <c r="F34" s="19" t="n"/>
      <c r="G34" s="19" t="n"/>
      <c r="H34" s="19" t="n"/>
    </row>
    <row r="35">
      <c r="A35" s="19" t="n"/>
      <c r="B35" s="19" t="n"/>
      <c r="C35" s="19" t="n"/>
      <c r="D35" s="19" t="n"/>
      <c r="E35" s="19" t="n"/>
      <c r="F35" s="19" t="n"/>
      <c r="G35" s="19" t="n"/>
      <c r="H35" s="19" t="n"/>
    </row>
    <row r="36">
      <c r="A36" s="19" t="n"/>
      <c r="B36" s="19" t="n"/>
      <c r="C36" s="19" t="n"/>
      <c r="D36" s="19" t="n"/>
      <c r="E36" s="19" t="n"/>
      <c r="F36" s="19" t="n"/>
      <c r="G36" s="19" t="n"/>
      <c r="H36" s="19" t="n"/>
    </row>
    <row r="37">
      <c r="A37" s="19" t="n"/>
      <c r="B37" s="19" t="n"/>
      <c r="C37" s="19" t="n"/>
      <c r="D37" s="19" t="n"/>
      <c r="E37" s="19" t="n"/>
      <c r="F37" s="19" t="n"/>
      <c r="G37" s="19" t="n"/>
      <c r="H37" s="19" t="n"/>
    </row>
    <row r="38">
      <c r="A38" s="19" t="n"/>
      <c r="B38" s="19" t="n"/>
      <c r="C38" s="19" t="n"/>
      <c r="D38" s="19" t="n"/>
      <c r="E38" s="19" t="n"/>
      <c r="F38" s="19" t="n"/>
      <c r="G38" s="19" t="n"/>
      <c r="H38" s="19" t="n"/>
    </row>
    <row r="39">
      <c r="A39" s="19" t="n"/>
      <c r="B39" s="19" t="n"/>
      <c r="C39" s="19" t="n"/>
      <c r="D39" s="19" t="n"/>
      <c r="E39" s="19" t="n"/>
      <c r="F39" s="19" t="n"/>
      <c r="G39" s="19" t="n"/>
      <c r="H39" s="19" t="n"/>
    </row>
    <row r="40">
      <c r="A40" s="19" t="n"/>
      <c r="B40" s="19" t="n"/>
      <c r="C40" s="19" t="n"/>
      <c r="D40" s="19" t="n"/>
      <c r="E40" s="19" t="n"/>
      <c r="F40" s="19" t="n"/>
      <c r="G40" s="19" t="n"/>
      <c r="H40" s="19" t="n"/>
    </row>
    <row r="41">
      <c r="A41" s="19" t="n"/>
      <c r="B41" s="19" t="n"/>
      <c r="C41" s="19" t="n"/>
      <c r="D41" s="19" t="n"/>
      <c r="E41" s="19" t="n"/>
      <c r="F41" s="19" t="n"/>
      <c r="G41" s="19" t="n"/>
      <c r="H41" s="19" t="n"/>
    </row>
    <row r="42">
      <c r="A42" s="19" t="n"/>
      <c r="B42" s="19" t="n"/>
      <c r="C42" s="19" t="n"/>
      <c r="D42" s="19" t="n"/>
      <c r="E42" s="19" t="n"/>
      <c r="F42" s="19" t="n"/>
      <c r="G42" s="19" t="n"/>
      <c r="H42" s="19" t="n"/>
    </row>
    <row r="43">
      <c r="A43" s="19" t="n"/>
      <c r="B43" s="19" t="n"/>
      <c r="C43" s="19" t="n"/>
      <c r="D43" s="19" t="n"/>
      <c r="E43" s="19" t="n"/>
      <c r="F43" s="19" t="n"/>
      <c r="G43" s="19" t="n"/>
      <c r="H43" s="19" t="n"/>
    </row>
    <row r="44">
      <c r="A44" s="19" t="n"/>
      <c r="B44" s="19" t="n"/>
      <c r="C44" s="19" t="n"/>
      <c r="D44" s="19" t="n"/>
      <c r="E44" s="19" t="n"/>
      <c r="F44" s="19" t="n"/>
      <c r="G44" s="19" t="n"/>
      <c r="H44" s="19" t="n"/>
    </row>
    <row r="45">
      <c r="A45" s="19" t="n"/>
      <c r="B45" s="19" t="n"/>
      <c r="C45" s="19" t="n"/>
      <c r="D45" s="19" t="n"/>
      <c r="E45" s="19" t="n"/>
      <c r="F45" s="19" t="n"/>
      <c r="G45" s="19" t="n"/>
      <c r="H45" s="19" t="n"/>
    </row>
    <row r="46">
      <c r="A46" s="19" t="n"/>
      <c r="B46" s="19" t="n"/>
      <c r="C46" s="19" t="n"/>
      <c r="D46" s="19" t="n"/>
      <c r="E46" s="19" t="n"/>
      <c r="F46" s="19" t="n"/>
      <c r="G46" s="19" t="n"/>
      <c r="H46" s="19" t="n"/>
    </row>
    <row r="47">
      <c r="A47" s="19" t="n"/>
      <c r="B47" s="19" t="n"/>
      <c r="C47" s="19" t="n"/>
      <c r="D47" s="19" t="n"/>
      <c r="E47" s="19" t="n"/>
      <c r="F47" s="19" t="n"/>
      <c r="G47" s="19" t="n"/>
      <c r="H47" s="19" t="n"/>
    </row>
    <row r="48">
      <c r="A48" s="19" t="n"/>
      <c r="B48" s="19" t="n"/>
      <c r="C48" s="19" t="n"/>
      <c r="D48" s="19" t="n"/>
      <c r="E48" s="19" t="n"/>
      <c r="F48" s="19" t="n"/>
      <c r="G48" s="19" t="n"/>
      <c r="H48" s="19" t="n"/>
    </row>
    <row r="49">
      <c r="A49" s="19" t="n"/>
      <c r="B49" s="19" t="n"/>
      <c r="C49" s="19" t="n"/>
      <c r="D49" s="19" t="n"/>
      <c r="E49" s="19" t="n"/>
      <c r="F49" s="19" t="n"/>
      <c r="G49" s="19" t="n"/>
      <c r="H49" s="19" t="n"/>
    </row>
    <row r="50">
      <c r="A50" s="19" t="n"/>
      <c r="B50" s="19" t="n"/>
      <c r="C50" s="19" t="n"/>
      <c r="D50" s="19" t="n"/>
      <c r="E50" s="19" t="n"/>
      <c r="F50" s="19" t="n"/>
      <c r="G50" s="19" t="n"/>
      <c r="H50" s="19" t="n"/>
    </row>
    <row r="51">
      <c r="A51" s="19" t="n"/>
      <c r="B51" s="19" t="n"/>
      <c r="C51" s="19" t="n"/>
      <c r="D51" s="19" t="n"/>
      <c r="E51" s="19" t="n"/>
      <c r="F51" s="19" t="n"/>
      <c r="G51" s="19" t="n"/>
      <c r="H51" s="19" t="n"/>
    </row>
    <row r="52">
      <c r="A52" s="19" t="n"/>
      <c r="B52" s="19" t="n"/>
      <c r="C52" s="19" t="n"/>
      <c r="D52" s="19" t="n"/>
      <c r="E52" s="19" t="n"/>
      <c r="F52" s="19" t="n"/>
      <c r="G52" s="19" t="n"/>
      <c r="H52" s="19" t="n"/>
    </row>
    <row r="53">
      <c r="A53" s="19" t="n"/>
      <c r="B53" s="19" t="n"/>
      <c r="C53" s="19" t="n"/>
      <c r="D53" s="19" t="n"/>
      <c r="E53" s="19" t="n"/>
      <c r="F53" s="19" t="n"/>
      <c r="G53" s="19" t="n"/>
      <c r="H53" s="19" t="n"/>
    </row>
    <row r="54">
      <c r="A54" s="19" t="n"/>
      <c r="B54" s="19" t="n"/>
      <c r="C54" s="19" t="n"/>
      <c r="D54" s="19" t="n"/>
      <c r="E54" s="19" t="n"/>
      <c r="F54" s="19" t="n"/>
      <c r="G54" s="19" t="n"/>
      <c r="H54" s="19" t="n"/>
    </row>
    <row r="55">
      <c r="A55" s="19" t="n"/>
      <c r="B55" s="19" t="n"/>
      <c r="C55" s="19" t="n"/>
      <c r="D55" s="19" t="n"/>
      <c r="E55" s="19" t="n"/>
      <c r="F55" s="19" t="n"/>
      <c r="G55" s="19" t="n"/>
      <c r="H55" s="19" t="n"/>
    </row>
    <row r="56">
      <c r="A56" s="19" t="n"/>
      <c r="B56" s="19" t="n"/>
      <c r="C56" s="19" t="n"/>
      <c r="D56" s="19" t="n"/>
      <c r="E56" s="19" t="n"/>
      <c r="F56" s="19" t="n"/>
      <c r="G56" s="19" t="n"/>
      <c r="H56" s="19" t="n"/>
    </row>
    <row r="57">
      <c r="A57" s="19" t="n"/>
      <c r="B57" s="19" t="n"/>
      <c r="C57" s="19" t="n"/>
      <c r="D57" s="19" t="n"/>
      <c r="E57" s="19" t="n"/>
      <c r="F57" s="19" t="n"/>
      <c r="G57" s="19" t="n"/>
      <c r="H57" s="19" t="n"/>
    </row>
    <row r="58">
      <c r="A58" s="19" t="n"/>
      <c r="B58" s="19" t="n"/>
      <c r="C58" s="19" t="n"/>
      <c r="D58" s="19" t="n"/>
      <c r="E58" s="19" t="n"/>
      <c r="F58" s="19" t="n"/>
      <c r="G58" s="19" t="n"/>
      <c r="H58" s="19" t="n"/>
    </row>
    <row r="59">
      <c r="A59" s="19" t="n"/>
      <c r="B59" s="19" t="n"/>
      <c r="C59" s="19" t="n"/>
      <c r="D59" s="19" t="n"/>
      <c r="E59" s="19" t="n"/>
      <c r="F59" s="19" t="n"/>
      <c r="G59" s="19" t="n"/>
      <c r="H59" s="19" t="n"/>
    </row>
    <row r="60">
      <c r="A60" s="19" t="n"/>
      <c r="B60" s="19" t="n"/>
      <c r="C60" s="19" t="n"/>
      <c r="D60" s="19" t="n"/>
      <c r="E60" s="19" t="n"/>
      <c r="F60" s="19" t="n"/>
      <c r="G60" s="19" t="n"/>
      <c r="H60" s="19" t="n"/>
    </row>
    <row r="61">
      <c r="A61" s="19" t="n"/>
      <c r="B61" s="19" t="n"/>
      <c r="C61" s="19" t="n"/>
      <c r="D61" s="19" t="n"/>
      <c r="E61" s="19" t="n"/>
      <c r="F61" s="19" t="n"/>
      <c r="G61" s="19" t="n"/>
      <c r="H61" s="19" t="n"/>
    </row>
    <row r="62">
      <c r="A62" s="19" t="n"/>
      <c r="B62" s="19" t="n"/>
      <c r="C62" s="19" t="n"/>
      <c r="D62" s="19" t="n"/>
      <c r="E62" s="19" t="n"/>
      <c r="F62" s="19" t="n"/>
      <c r="G62" s="19" t="n"/>
      <c r="H62" s="19" t="n"/>
    </row>
    <row r="63">
      <c r="A63" s="19" t="n"/>
      <c r="B63" s="19" t="n"/>
      <c r="C63" s="19" t="n"/>
      <c r="D63" s="19" t="n"/>
      <c r="E63" s="19" t="n"/>
      <c r="F63" s="19" t="n"/>
      <c r="G63" s="19" t="n"/>
      <c r="H63" s="19" t="n"/>
    </row>
    <row r="64">
      <c r="A64" s="19" t="n"/>
      <c r="B64" s="19" t="n"/>
      <c r="C64" s="19" t="n"/>
      <c r="D64" s="19" t="n"/>
      <c r="E64" s="19" t="n"/>
      <c r="F64" s="19" t="n"/>
      <c r="G64" s="19" t="n"/>
      <c r="H64" s="19" t="n"/>
    </row>
    <row r="65">
      <c r="A65" s="19" t="n"/>
      <c r="B65" s="19" t="n"/>
      <c r="C65" s="19" t="n"/>
      <c r="D65" s="19" t="n"/>
      <c r="E65" s="19" t="n"/>
      <c r="F65" s="19" t="n"/>
      <c r="G65" s="19" t="n"/>
      <c r="H65" s="19" t="n"/>
    </row>
    <row r="66">
      <c r="A66" s="19" t="n"/>
      <c r="B66" s="19" t="n"/>
      <c r="C66" s="19" t="n"/>
      <c r="D66" s="19" t="n"/>
      <c r="E66" s="19" t="n"/>
      <c r="F66" s="19" t="n"/>
      <c r="G66" s="19" t="n"/>
      <c r="H66" s="19" t="n"/>
    </row>
    <row r="67">
      <c r="A67" s="19" t="n"/>
      <c r="B67" s="19" t="n"/>
      <c r="C67" s="19" t="n"/>
      <c r="D67" s="19" t="n"/>
      <c r="E67" s="19" t="n"/>
      <c r="F67" s="19" t="n"/>
      <c r="G67" s="19" t="n"/>
      <c r="H67" s="19" t="n"/>
    </row>
    <row r="68">
      <c r="A68" s="19" t="n"/>
      <c r="B68" s="19" t="n"/>
      <c r="C68" s="19" t="n"/>
      <c r="D68" s="19" t="n"/>
      <c r="E68" s="19" t="n"/>
      <c r="F68" s="19" t="n"/>
      <c r="G68" s="19" t="n"/>
      <c r="H68" s="19" t="n"/>
    </row>
    <row r="69">
      <c r="A69" s="19" t="n"/>
      <c r="B69" s="19" t="n"/>
      <c r="C69" s="19" t="n"/>
      <c r="D69" s="19" t="n"/>
      <c r="E69" s="19" t="n"/>
      <c r="F69" s="19" t="n"/>
      <c r="G69" s="19" t="n"/>
      <c r="H69" s="19" t="n"/>
    </row>
    <row r="70">
      <c r="A70" s="19" t="n"/>
      <c r="B70" s="19" t="n"/>
      <c r="C70" s="19" t="n"/>
      <c r="D70" s="19" t="n"/>
      <c r="E70" s="19" t="n"/>
      <c r="F70" s="19" t="n"/>
      <c r="G70" s="19" t="n"/>
      <c r="H70" s="19" t="n"/>
    </row>
    <row r="71">
      <c r="A71" s="19" t="n"/>
      <c r="B71" s="19" t="n"/>
      <c r="C71" s="19" t="n"/>
      <c r="D71" s="19" t="n"/>
      <c r="E71" s="19" t="n"/>
      <c r="F71" s="19" t="n"/>
      <c r="G71" s="19" t="n"/>
      <c r="H71" s="19" t="n"/>
    </row>
    <row r="72">
      <c r="A72" s="19" t="n"/>
      <c r="B72" s="19" t="n"/>
      <c r="C72" s="19" t="n"/>
      <c r="D72" s="19" t="n"/>
      <c r="E72" s="19" t="n"/>
      <c r="F72" s="19" t="n"/>
      <c r="G72" s="19" t="n"/>
      <c r="H72" s="19" t="n"/>
    </row>
    <row r="73">
      <c r="A73" s="19" t="n"/>
      <c r="B73" s="19" t="n"/>
      <c r="C73" s="19" t="n"/>
      <c r="D73" s="19" t="n"/>
      <c r="E73" s="19" t="n"/>
      <c r="F73" s="19" t="n"/>
      <c r="G73" s="19" t="n"/>
      <c r="H73" s="19" t="n"/>
    </row>
    <row r="74">
      <c r="A74" s="19" t="n"/>
      <c r="B74" s="19" t="n"/>
      <c r="C74" s="19" t="n"/>
      <c r="D74" s="19" t="n"/>
      <c r="E74" s="19" t="n"/>
      <c r="F74" s="19" t="n"/>
      <c r="G74" s="19" t="n"/>
      <c r="H74" s="19" t="n"/>
    </row>
    <row r="75">
      <c r="A75" s="19" t="n"/>
      <c r="B75" s="19" t="n"/>
      <c r="C75" s="19" t="n"/>
      <c r="D75" s="19" t="n"/>
      <c r="E75" s="19" t="n"/>
      <c r="F75" s="19" t="n"/>
      <c r="G75" s="19" t="n"/>
      <c r="H75" s="19" t="n"/>
    </row>
    <row r="76">
      <c r="A76" s="19" t="n"/>
      <c r="B76" s="19" t="n"/>
      <c r="C76" s="19" t="n"/>
      <c r="D76" s="19" t="n"/>
      <c r="E76" s="19" t="n"/>
      <c r="F76" s="19" t="n"/>
      <c r="G76" s="19" t="n"/>
      <c r="H76" s="19" t="n"/>
    </row>
    <row r="77">
      <c r="A77" s="19" t="n"/>
      <c r="B77" s="19" t="n"/>
      <c r="C77" s="19" t="n"/>
      <c r="D77" s="19" t="n"/>
      <c r="E77" s="19" t="n"/>
      <c r="F77" s="19" t="n"/>
      <c r="G77" s="19" t="n"/>
      <c r="H77" s="19" t="n"/>
    </row>
    <row r="78">
      <c r="A78" s="19" t="n"/>
      <c r="B78" s="19" t="n"/>
      <c r="C78" s="19" t="n"/>
      <c r="D78" s="19" t="n"/>
      <c r="E78" s="19" t="n"/>
      <c r="F78" s="19" t="n"/>
      <c r="G78" s="19" t="n"/>
      <c r="H78" s="19" t="n"/>
    </row>
    <row r="79">
      <c r="A79" s="19" t="n"/>
      <c r="B79" s="19" t="n"/>
      <c r="C79" s="19" t="n"/>
      <c r="D79" s="19" t="n"/>
      <c r="E79" s="19" t="n"/>
      <c r="F79" s="19" t="n"/>
      <c r="G79" s="19" t="n"/>
      <c r="H79" s="19" t="n"/>
    </row>
    <row r="80">
      <c r="A80" s="19" t="n"/>
      <c r="B80" s="19" t="n"/>
      <c r="C80" s="19" t="n"/>
      <c r="D80" s="19" t="n"/>
      <c r="E80" s="19" t="n"/>
      <c r="F80" s="19" t="n"/>
      <c r="G80" s="19" t="n"/>
      <c r="H80" s="19" t="n"/>
    </row>
    <row r="81">
      <c r="A81" s="19" t="n"/>
      <c r="B81" s="19" t="n"/>
      <c r="C81" s="19" t="n"/>
      <c r="D81" s="19" t="n"/>
      <c r="E81" s="19" t="n"/>
      <c r="F81" s="19" t="n"/>
      <c r="G81" s="19" t="n"/>
      <c r="H81" s="19" t="n"/>
    </row>
    <row r="82">
      <c r="A82" s="19" t="n"/>
      <c r="B82" s="19" t="n"/>
      <c r="C82" s="19" t="n"/>
      <c r="D82" s="19" t="n"/>
      <c r="E82" s="19" t="n"/>
      <c r="F82" s="19" t="n"/>
      <c r="G82" s="19" t="n"/>
      <c r="H82" s="19" t="n"/>
    </row>
    <row r="83">
      <c r="A83" s="19" t="n"/>
      <c r="B83" s="19" t="n"/>
      <c r="C83" s="19" t="n"/>
      <c r="D83" s="19" t="n"/>
      <c r="E83" s="19" t="n"/>
      <c r="F83" s="19" t="n"/>
      <c r="G83" s="19" t="n"/>
      <c r="H83" s="19" t="n"/>
    </row>
    <row r="84">
      <c r="A84" s="19" t="n"/>
      <c r="B84" s="19" t="n"/>
      <c r="C84" s="19" t="n"/>
      <c r="D84" s="19" t="n"/>
      <c r="E84" s="19" t="n"/>
      <c r="F84" s="19" t="n"/>
      <c r="G84" s="19" t="n"/>
      <c r="H84" s="19" t="n"/>
    </row>
    <row r="85">
      <c r="A85" s="19" t="n"/>
      <c r="B85" s="19" t="n"/>
      <c r="C85" s="19" t="n"/>
      <c r="D85" s="19" t="n"/>
      <c r="E85" s="19" t="n"/>
      <c r="F85" s="19" t="n"/>
      <c r="G85" s="19" t="n"/>
      <c r="H85" s="19" t="n"/>
    </row>
    <row r="86">
      <c r="A86" s="19" t="n"/>
      <c r="B86" s="19" t="n"/>
      <c r="C86" s="19" t="n"/>
      <c r="D86" s="19" t="n"/>
      <c r="E86" s="19" t="n"/>
      <c r="F86" s="19" t="n"/>
      <c r="G86" s="19" t="n"/>
      <c r="H86" s="19" t="n"/>
    </row>
    <row r="87">
      <c r="A87" s="19" t="n"/>
      <c r="B87" s="19" t="n"/>
      <c r="C87" s="19" t="n"/>
      <c r="D87" s="19" t="n"/>
      <c r="E87" s="19" t="n"/>
      <c r="F87" s="19" t="n"/>
      <c r="G87" s="19" t="n"/>
      <c r="H87" s="19" t="n"/>
    </row>
    <row r="88">
      <c r="A88" s="19" t="n"/>
      <c r="B88" s="19" t="n"/>
      <c r="C88" s="19" t="n"/>
      <c r="D88" s="19" t="n"/>
      <c r="E88" s="19" t="n"/>
      <c r="F88" s="19" t="n"/>
      <c r="G88" s="19" t="n"/>
      <c r="H88" s="19" t="n"/>
    </row>
    <row r="89">
      <c r="A89" s="19" t="n"/>
      <c r="B89" s="19" t="n"/>
      <c r="C89" s="19" t="n"/>
      <c r="D89" s="19" t="n"/>
      <c r="E89" s="19" t="n"/>
      <c r="F89" s="19" t="n"/>
      <c r="G89" s="19" t="n"/>
      <c r="H89" s="19" t="n"/>
    </row>
    <row r="90">
      <c r="A90" s="19" t="n"/>
      <c r="B90" s="19" t="n"/>
      <c r="C90" s="19" t="n"/>
      <c r="D90" s="19" t="n"/>
      <c r="E90" s="19" t="n"/>
      <c r="F90" s="19" t="n"/>
      <c r="G90" s="19" t="n"/>
      <c r="H90" s="19" t="n"/>
    </row>
    <row r="91">
      <c r="A91" s="19" t="n"/>
      <c r="B91" s="19" t="n"/>
      <c r="C91" s="19" t="n"/>
      <c r="D91" s="19" t="n"/>
      <c r="E91" s="19" t="n"/>
      <c r="F91" s="19" t="n"/>
      <c r="G91" s="19" t="n"/>
      <c r="H91" s="19" t="n"/>
    </row>
    <row r="92">
      <c r="A92" s="19" t="n"/>
      <c r="B92" s="19" t="n"/>
      <c r="C92" s="19" t="n"/>
      <c r="D92" s="19" t="n"/>
      <c r="E92" s="19" t="n"/>
      <c r="F92" s="19" t="n"/>
      <c r="G92" s="19" t="n"/>
      <c r="H92" s="19" t="n"/>
    </row>
    <row r="93">
      <c r="A93" s="19" t="n"/>
      <c r="B93" s="19" t="n"/>
      <c r="C93" s="19" t="n"/>
      <c r="D93" s="19" t="n"/>
      <c r="E93" s="19" t="n"/>
      <c r="F93" s="19" t="n"/>
      <c r="G93" s="19" t="n"/>
      <c r="H93" s="19" t="n"/>
    </row>
    <row r="94">
      <c r="A94" s="19" t="n"/>
      <c r="B94" s="19" t="n"/>
      <c r="C94" s="19" t="n"/>
      <c r="D94" s="19" t="n"/>
      <c r="E94" s="19" t="n"/>
      <c r="F94" s="19" t="n"/>
      <c r="G94" s="19" t="n"/>
      <c r="H94" s="19" t="n"/>
    </row>
    <row r="95">
      <c r="A95" s="19" t="n"/>
      <c r="B95" s="19" t="n"/>
      <c r="C95" s="19" t="n"/>
      <c r="D95" s="19" t="n"/>
      <c r="E95" s="19" t="n"/>
      <c r="F95" s="19" t="n"/>
      <c r="G95" s="19" t="n"/>
      <c r="H95" s="19" t="n"/>
    </row>
    <row r="96">
      <c r="A96" s="19" t="n"/>
      <c r="B96" s="19" t="n"/>
      <c r="C96" s="19" t="n"/>
      <c r="D96" s="19" t="n"/>
      <c r="E96" s="19" t="n"/>
      <c r="F96" s="19" t="n"/>
      <c r="G96" s="19" t="n"/>
      <c r="H96" s="19" t="n"/>
    </row>
    <row r="97">
      <c r="A97" s="19" t="n"/>
      <c r="B97" s="19" t="n"/>
      <c r="C97" s="19" t="n"/>
      <c r="D97" s="19" t="n"/>
      <c r="E97" s="19" t="n"/>
      <c r="F97" s="19" t="n"/>
      <c r="G97" s="19" t="n"/>
      <c r="H97" s="19" t="n"/>
    </row>
    <row r="98">
      <c r="A98" s="19" t="n"/>
      <c r="B98" s="19" t="n"/>
      <c r="C98" s="19" t="n"/>
      <c r="D98" s="19" t="n"/>
      <c r="E98" s="19" t="n"/>
      <c r="F98" s="19" t="n"/>
      <c r="G98" s="19" t="n"/>
      <c r="H98" s="19" t="n"/>
    </row>
    <row r="99">
      <c r="A99" s="19" t="n"/>
      <c r="B99" s="19" t="n"/>
      <c r="C99" s="19" t="n"/>
      <c r="D99" s="19" t="n"/>
      <c r="E99" s="19" t="n"/>
      <c r="F99" s="19" t="n"/>
      <c r="G99" s="19" t="n"/>
      <c r="H99" s="19" t="n"/>
    </row>
    <row r="100">
      <c r="A100" s="19" t="n"/>
      <c r="B100" s="19" t="n"/>
      <c r="C100" s="19" t="n"/>
      <c r="D100" s="19" t="n"/>
      <c r="E100" s="19" t="n"/>
      <c r="F100" s="19" t="n"/>
      <c r="G100" s="19" t="n"/>
      <c r="H100" s="19" t="n"/>
    </row>
    <row r="101">
      <c r="A101" s="19" t="n"/>
      <c r="B101" s="19" t="n"/>
      <c r="C101" s="19" t="n"/>
      <c r="D101" s="19" t="n"/>
      <c r="E101" s="19" t="n"/>
      <c r="F101" s="19" t="n"/>
      <c r="G101" s="19" t="n"/>
      <c r="H101" s="19" t="n"/>
    </row>
    <row r="102">
      <c r="A102" s="19" t="n"/>
      <c r="B102" s="19" t="n"/>
      <c r="C102" s="19" t="n"/>
      <c r="D102" s="19" t="n"/>
      <c r="E102" s="19" t="n"/>
      <c r="F102" s="19" t="n"/>
      <c r="G102" s="19" t="n"/>
      <c r="H102" s="19" t="n"/>
    </row>
    <row r="103">
      <c r="A103" s="19" t="n"/>
      <c r="B103" s="19" t="n"/>
      <c r="C103" s="19" t="n"/>
      <c r="D103" s="19" t="n"/>
      <c r="E103" s="19" t="n"/>
      <c r="F103" s="19" t="n"/>
      <c r="G103" s="19" t="n"/>
      <c r="H103" s="19" t="n"/>
    </row>
    <row r="104">
      <c r="A104" s="19" t="n"/>
      <c r="B104" s="19" t="n"/>
      <c r="C104" s="19" t="n"/>
      <c r="D104" s="19" t="n"/>
      <c r="E104" s="19" t="n"/>
      <c r="F104" s="19" t="n"/>
      <c r="G104" s="19" t="n"/>
      <c r="H104" s="19" t="n"/>
    </row>
    <row r="105">
      <c r="A105" s="19" t="n"/>
      <c r="B105" s="19" t="n"/>
      <c r="C105" s="19" t="n"/>
      <c r="D105" s="19" t="n"/>
      <c r="E105" s="19" t="n"/>
      <c r="F105" s="19" t="n"/>
      <c r="G105" s="19" t="n"/>
      <c r="H105" s="19"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1" t="inlineStr">
        <is>
          <t>REMEDIATION &amp; PRIORITIZATION — SUMMARY DASHBOARD</t>
        </is>
      </c>
      <c r="B1" s="6" t="n"/>
      <c r="C1" s="6" t="n"/>
      <c r="D1" s="6" t="n"/>
      <c r="E1" s="6" t="n"/>
      <c r="F1" s="6" t="n"/>
      <c r="G1" s="6" t="n"/>
    </row>
    <row r="2">
      <c r="A2" s="20" t="inlineStr">
        <is>
          <t>ISO/IEC 27001:2022 — Control A.8.8: Management of Technical Vulnerabilities</t>
        </is>
      </c>
    </row>
    <row r="4">
      <c r="A4" s="21" t="inlineStr">
        <is>
          <t>TABLE 1: ASSESSMENT AREA COMPLIANCE OVERVIEW</t>
        </is>
      </c>
    </row>
    <row r="5">
      <c r="A5" s="22" t="inlineStr">
        <is>
          <t>Assessment Area</t>
        </is>
      </c>
      <c r="B5" s="22" t="inlineStr">
        <is>
          <t>Total Items</t>
        </is>
      </c>
      <c r="C5" s="22" t="inlineStr">
        <is>
          <t>Compliant</t>
        </is>
      </c>
      <c r="D5" s="22" t="inlineStr">
        <is>
          <t>Partial / Warning</t>
        </is>
      </c>
      <c r="E5" s="22" t="inlineStr">
        <is>
          <t>Non-Compliant</t>
        </is>
      </c>
      <c r="F5" s="22" t="inlineStr">
        <is>
          <t>N/A</t>
        </is>
      </c>
      <c r="G5" s="22" t="inlineStr">
        <is>
          <t>Compliance %</t>
        </is>
      </c>
    </row>
    <row r="6">
      <c r="A6" s="23" t="inlineStr">
        <is>
          <t>Priority Matrix</t>
        </is>
      </c>
      <c r="B6" s="24">
        <f>COUNTA('Priority Matrix'!A6:A55)</f>
        <v/>
      </c>
      <c r="C6" s="24">
        <f>COUNTIF('Priority Matrix'!AH6:AH55,"On Track")+COUNTIF('Priority Matrix'!AH6:AH55,"Complete")</f>
        <v/>
      </c>
      <c r="D6" s="24">
        <f>COUNTIF('Priority Matrix'!AH6:AH55,"At Risk")</f>
        <v/>
      </c>
      <c r="E6" s="24">
        <f>COUNTIF('Priority Matrix'!AH6:AH55,"Overdue")</f>
        <v/>
      </c>
      <c r="F6" s="24" t="inlineStr">
        <is>
          <t>0</t>
        </is>
      </c>
      <c r="G6" s="25">
        <f>IF((B6-F6)=0,0,C6/(B6-F6))</f>
        <v/>
      </c>
    </row>
    <row r="7">
      <c r="A7" s="23" t="inlineStr">
        <is>
          <t>Remediation Queue</t>
        </is>
      </c>
      <c r="B7" s="24">
        <f>COUNTA('Remediation Queue'!A6:A55)</f>
        <v/>
      </c>
      <c r="C7" s="24">
        <f>COUNTIF('Remediation Queue'!AN6:AN55,"Complete")</f>
        <v/>
      </c>
      <c r="D7" s="24">
        <f>COUNTIF('Remediation Queue'!AN6:AN55,"In Progress")+COUNTIF('Remediation Queue'!AN6:AN55,"Scheduled")</f>
        <v/>
      </c>
      <c r="E7" s="24">
        <f>COUNTIF('Remediation Queue'!AN6:AN55,"Failed")+COUNTIF('Remediation Queue'!AN6:AN55,"Rolled Back")</f>
        <v/>
      </c>
      <c r="F7" s="24" t="inlineStr">
        <is>
          <t>0</t>
        </is>
      </c>
      <c r="G7" s="25">
        <f>IF((B7-F7)=0,0,C7/(B7-F7))</f>
        <v/>
      </c>
    </row>
    <row r="8">
      <c r="A8" s="23" t="inlineStr">
        <is>
          <t>Change Control</t>
        </is>
      </c>
      <c r="B8" s="24">
        <f>COUNTA('Change Control'!A6:A55)</f>
        <v/>
      </c>
      <c r="C8" s="24">
        <f>COUNTIF('Change Control'!H6:H55,"Approved")+COUNTIF('Change Control'!H6:H55,"Implemented")+COUNTIF('Change Control'!H6:H55,"Closed")</f>
        <v/>
      </c>
      <c r="D8" s="24">
        <f>COUNTIF('Change Control'!H6:H55,"Submitted")</f>
        <v/>
      </c>
      <c r="E8" s="24">
        <f>COUNTIF('Change Control'!H6:H55,"Draft")+COUNTIF('Change Control'!H6:H55,"Rejected")</f>
        <v/>
      </c>
      <c r="F8" s="24" t="inlineStr">
        <is>
          <t>0</t>
        </is>
      </c>
      <c r="G8" s="25">
        <f>IF((B8-F8)=0,0,C8/(B8-F8))</f>
        <v/>
      </c>
    </row>
    <row r="9">
      <c r="A9" s="23" t="inlineStr">
        <is>
          <t>Testing and Validation</t>
        </is>
      </c>
      <c r="B9" s="24">
        <f>COUNTA('Testing and Validation'!A6:A55)</f>
        <v/>
      </c>
      <c r="C9" s="24">
        <f>COUNTIF('Testing and Validation'!N6:N55,"Pass")+COUNTIF('Testing and Validation'!N6:N55,"Not Required")</f>
        <v/>
      </c>
      <c r="D9" s="24">
        <f>COUNTIF('Testing and Validation'!N6:N55,"Pending")</f>
        <v/>
      </c>
      <c r="E9" s="24">
        <f>COUNTIF('Testing and Validation'!N6:N55,"Fail")</f>
        <v/>
      </c>
      <c r="F9" s="24" t="inlineStr">
        <is>
          <t>0</t>
        </is>
      </c>
      <c r="G9" s="25">
        <f>IF((B9-F9)=0,0,C9/(B9-F9))</f>
        <v/>
      </c>
    </row>
    <row r="10">
      <c r="A10" s="23" t="inlineStr">
        <is>
          <t>SLA Compliance</t>
        </is>
      </c>
      <c r="B10" s="24">
        <f>COUNTA('SLA Compliance'!A6:A55)</f>
        <v/>
      </c>
      <c r="C10" s="24">
        <f>COUNTIF('SLA Compliance'!H6:H55,"On Track")+COUNTIF('SLA Compliance'!H6:H55,"Complete")</f>
        <v/>
      </c>
      <c r="D10" s="24">
        <f>COUNTIF('SLA Compliance'!H6:H55,"At Risk")</f>
        <v/>
      </c>
      <c r="E10" s="24">
        <f>COUNTIF('SLA Compliance'!H6:H55,"Overdue")</f>
        <v/>
      </c>
      <c r="F10" s="24" t="inlineStr">
        <is>
          <t>0</t>
        </is>
      </c>
      <c r="G10" s="25">
        <f>IF((B10-F10)=0,0,C10/(B10-F10))</f>
        <v/>
      </c>
    </row>
    <row r="11">
      <c r="A11" s="26" t="inlineStr">
        <is>
          <t>TOTAL</t>
        </is>
      </c>
      <c r="B11" s="27">
        <f>SUM(B6:B10)</f>
        <v/>
      </c>
      <c r="C11" s="27">
        <f>SUM(C6:C10)</f>
        <v/>
      </c>
      <c r="D11" s="27">
        <f>SUM(D6:D10)</f>
        <v/>
      </c>
      <c r="E11" s="27">
        <f>SUM(E6:E10)</f>
        <v/>
      </c>
      <c r="F11" s="27">
        <f>SUM(F6:F10)</f>
        <v/>
      </c>
      <c r="G11" s="28">
        <f>IF((B11-F11)=0,0,C11/(B11-F11))</f>
        <v/>
      </c>
    </row>
    <row r="13">
      <c r="A13" s="21" t="inlineStr">
        <is>
          <t>TABLE 2: KEY METRICS</t>
        </is>
      </c>
    </row>
    <row r="14">
      <c r="A14" s="26" t="inlineStr">
        <is>
          <t>Metric</t>
        </is>
      </c>
      <c r="B14" s="27" t="inlineStr">
        <is>
          <t>Value</t>
        </is>
      </c>
      <c r="C14" s="27" t="inlineStr"/>
      <c r="D14" s="27" t="inlineStr"/>
      <c r="E14" s="27" t="inlineStr"/>
      <c r="F14" s="27" t="inlineStr"/>
      <c r="G14" s="27" t="inlineStr"/>
    </row>
    <row r="15">
      <c r="A15" s="26" t="inlineStr">
        <is>
          <t>Remediation Backlog</t>
        </is>
      </c>
    </row>
    <row r="16">
      <c r="A16" s="23" t="inlineStr">
        <is>
          <t>Total in Remediation Queue</t>
        </is>
      </c>
      <c r="B16" s="24">
        <f>COUNTA('Remediation Queue'!A6:A55)</f>
        <v/>
      </c>
      <c r="C16" s="29" t="n"/>
      <c r="D16" s="29" t="n"/>
      <c r="E16" s="29" t="n"/>
      <c r="F16" s="29" t="n"/>
      <c r="G16" s="29" t="n"/>
    </row>
    <row r="17">
      <c r="A17" s="26" t="inlineStr">
        <is>
          <t>SLA Performance</t>
        </is>
      </c>
    </row>
    <row r="18">
      <c r="A18" s="23" t="inlineStr">
        <is>
          <t>P0 — SLA On Track</t>
        </is>
      </c>
      <c r="B18" s="24">
        <f>COUNTIFS('Priority Matrix'!AD6:AD55,"P0",'Priority Matrix'!AH6:AH55,"On Track")</f>
        <v/>
      </c>
      <c r="C18" s="29" t="n"/>
      <c r="D18" s="29" t="n"/>
      <c r="E18" s="29" t="n"/>
      <c r="F18" s="29" t="n"/>
      <c r="G18" s="29" t="n"/>
    </row>
    <row r="19">
      <c r="A19" s="23" t="inlineStr">
        <is>
          <t>P0 — SLA Overdue</t>
        </is>
      </c>
      <c r="B19" s="24">
        <f>COUNTIFS('Priority Matrix'!AD6:AD55,"P0",'Priority Matrix'!AH6:AH55,"Overdue")</f>
        <v/>
      </c>
      <c r="C19" s="29" t="n"/>
      <c r="D19" s="29" t="n"/>
      <c r="E19" s="29" t="n"/>
      <c r="F19" s="29" t="n"/>
      <c r="G19" s="29" t="n"/>
    </row>
    <row r="20">
      <c r="A20" s="23" t="inlineStr">
        <is>
          <t>P1 — SLA Overdue</t>
        </is>
      </c>
      <c r="B20" s="24">
        <f>COUNTIFS('Priority Matrix'!AD6:AD55,"P1",'Priority Matrix'!AH6:AH55,"Overdue")</f>
        <v/>
      </c>
      <c r="C20" s="29" t="n"/>
      <c r="D20" s="29" t="n"/>
      <c r="E20" s="29" t="n"/>
      <c r="F20" s="29" t="n"/>
      <c r="G20" s="29" t="n"/>
    </row>
    <row r="21">
      <c r="A21" s="23" t="inlineStr">
        <is>
          <t>Overall SLA Compliance %</t>
        </is>
      </c>
      <c r="B21" s="25">
        <f>IFERROR((COUNTIF('SLA Compliance'!H6:H55,"On Track")+COUNTIF('SLA Compliance'!H6:H55,"Complete"))/COUNTA('SLA Compliance'!A6:A55),0)</f>
        <v/>
      </c>
      <c r="C21" s="29" t="n"/>
      <c r="D21" s="29" t="n"/>
      <c r="E21" s="29" t="n"/>
      <c r="F21" s="29" t="n"/>
      <c r="G21" s="29" t="n"/>
    </row>
    <row r="22">
      <c r="A22" s="26" t="inlineStr">
        <is>
          <t>Deployment &amp; Testing</t>
        </is>
      </c>
    </row>
    <row r="23">
      <c r="A23" s="23" t="inlineStr">
        <is>
          <t>Deployments Complete</t>
        </is>
      </c>
      <c r="B23" s="24">
        <f>COUNTIF('Remediation Queue'!AN6:AN55,"Complete")</f>
        <v/>
      </c>
      <c r="C23" s="29" t="n"/>
      <c r="D23" s="29" t="n"/>
      <c r="E23" s="29" t="n"/>
      <c r="F23" s="29" t="n"/>
      <c r="G23" s="29" t="n"/>
    </row>
    <row r="24">
      <c r="A24" s="23" t="inlineStr">
        <is>
          <t>Deployments Failed</t>
        </is>
      </c>
      <c r="B24" s="24">
        <f>COUNTIF('Remediation Queue'!AN6:AN55,"Failed")</f>
        <v/>
      </c>
      <c r="C24" s="29" t="n"/>
      <c r="D24" s="29" t="n"/>
      <c r="E24" s="29" t="n"/>
      <c r="F24" s="29" t="n"/>
      <c r="G24" s="29" t="n"/>
    </row>
    <row r="25">
      <c r="A25" s="23" t="inlineStr">
        <is>
          <t>Patch Test Pass Rate</t>
        </is>
      </c>
      <c r="B25" s="25">
        <f>IFERROR(COUNTIF('Testing and Validation'!N6:N55,"Pass")/COUNTA('Testing and Validation'!A6:A55),0)</f>
        <v/>
      </c>
      <c r="C25" s="29" t="n"/>
      <c r="D25" s="29" t="n"/>
      <c r="E25" s="29" t="n"/>
      <c r="F25" s="29" t="n"/>
      <c r="G25" s="29" t="n"/>
    </row>
    <row r="26">
      <c r="A26" s="26" t="inlineStr">
        <is>
          <t>Change Management</t>
        </is>
      </c>
    </row>
    <row r="27">
      <c r="A27" s="23" t="inlineStr">
        <is>
          <t>Change Requests Approved</t>
        </is>
      </c>
      <c r="B27" s="24">
        <f>COUNTIF('Change Control'!H6:H55,"Approved")+COUNTIF('Change Control'!H6:H55,"Implemented")</f>
        <v/>
      </c>
      <c r="C27" s="29" t="n"/>
      <c r="D27" s="29" t="n"/>
      <c r="E27" s="29" t="n"/>
      <c r="F27" s="29" t="n"/>
      <c r="G27" s="29" t="n"/>
    </row>
    <row r="28">
      <c r="A28" s="23" t="inlineStr">
        <is>
          <t>Change Requests Rejected</t>
        </is>
      </c>
      <c r="B28" s="24">
        <f>COUNTIF('Change Control'!H6:H55,"Rejected")</f>
        <v/>
      </c>
      <c r="C28" s="29" t="n"/>
      <c r="D28" s="29" t="n"/>
      <c r="E28" s="29" t="n"/>
      <c r="F28" s="29" t="n"/>
      <c r="G28" s="29" t="n"/>
    </row>
    <row r="29">
      <c r="A29" s="23" t="inlineStr">
        <is>
          <t>Emergency Patches (Change_Type=Emergency)</t>
        </is>
      </c>
      <c r="B29" s="24">
        <f>COUNTIF('Change Control'!F6:F55,"Emergency")</f>
        <v/>
      </c>
      <c r="C29" s="29" t="n"/>
      <c r="D29" s="29" t="n"/>
      <c r="E29" s="29" t="n"/>
      <c r="F29" s="29" t="n"/>
      <c r="G29" s="29" t="n"/>
    </row>
    <row r="30">
      <c r="A30" s="23" t="inlineStr">
        <is>
          <t>Verification Passed %</t>
        </is>
      </c>
      <c r="B30" s="25">
        <f>IFERROR(COUNTIF('Testing and Validation'!N6:N55,"Pass")/COUNTA('Testing and Validation'!A6:A55),0)</f>
        <v/>
      </c>
      <c r="C30" s="29" t="n"/>
      <c r="D30" s="29" t="n"/>
      <c r="E30" s="29" t="n"/>
      <c r="F30" s="29" t="n"/>
      <c r="G30" s="29" t="n"/>
    </row>
    <row r="32">
      <c r="A32" s="30" t="inlineStr">
        <is>
          <t>TABLE 3: CRITICAL FINDINGS REQUIRING ACTION</t>
        </is>
      </c>
    </row>
    <row r="33">
      <c r="A33" s="26" t="inlineStr">
        <is>
          <t>Category</t>
        </is>
      </c>
      <c r="B33" s="27" t="inlineStr">
        <is>
          <t>Finding</t>
        </is>
      </c>
      <c r="C33" s="27" t="inlineStr">
        <is>
          <t>Count</t>
        </is>
      </c>
      <c r="D33" s="27" t="inlineStr">
        <is>
          <t>Severity</t>
        </is>
      </c>
      <c r="E33" s="27" t="inlineStr">
        <is>
          <t>Action Required</t>
        </is>
      </c>
      <c r="F33" s="27" t="inlineStr"/>
      <c r="G33" s="27" t="inlineStr"/>
    </row>
    <row r="34">
      <c r="A34" s="31" t="inlineStr">
        <is>
          <t>SLA</t>
        </is>
      </c>
      <c r="B34" s="31" t="inlineStr">
        <is>
          <t>P0 Emergency items — SLA OVERDUE</t>
        </is>
      </c>
      <c r="C34" s="32">
        <f>COUNTIFS('Priority Matrix'!AD6:AD55,"P0",'Priority Matrix'!AH6:AH55,"Overdue")</f>
        <v/>
      </c>
      <c r="D34" s="32" t="inlineStr">
        <is>
          <t>Critical</t>
        </is>
      </c>
      <c r="E34" s="32" t="inlineStr">
        <is>
          <t>Immediate</t>
        </is>
      </c>
      <c r="F34" s="32" t="inlineStr"/>
      <c r="G34" s="32" t="inlineStr"/>
    </row>
    <row r="35">
      <c r="A35" s="31" t="inlineStr">
        <is>
          <t>SLA</t>
        </is>
      </c>
      <c r="B35" s="31" t="inlineStr">
        <is>
          <t>P1 Critical items — SLA OVERDUE</t>
        </is>
      </c>
      <c r="C35" s="32">
        <f>COUNTIFS('Priority Matrix'!AD6:AD55,"P1",'Priority Matrix'!AH6:AH55,"Overdue")</f>
        <v/>
      </c>
      <c r="D35" s="32" t="inlineStr">
        <is>
          <t>Critical</t>
        </is>
      </c>
      <c r="E35" s="32" t="inlineStr">
        <is>
          <t>Immediate</t>
        </is>
      </c>
      <c r="F35" s="32" t="inlineStr"/>
      <c r="G35" s="32" t="inlineStr"/>
    </row>
    <row r="36">
      <c r="A36" s="31" t="inlineStr">
        <is>
          <t>Deployment</t>
        </is>
      </c>
      <c r="B36" s="31" t="inlineStr">
        <is>
          <t>Deployment failures unresolved</t>
        </is>
      </c>
      <c r="C36" s="32">
        <f>COUNTIF('Remediation Queue'!AN6:AN55,"Failed")</f>
        <v/>
      </c>
      <c r="D36" s="32" t="inlineStr">
        <is>
          <t>Critical</t>
        </is>
      </c>
      <c r="E36" s="32" t="inlineStr">
        <is>
          <t>Immediate</t>
        </is>
      </c>
      <c r="F36" s="32" t="inlineStr"/>
      <c r="G36" s="32" t="inlineStr"/>
    </row>
    <row r="37">
      <c r="A37" s="33" t="inlineStr">
        <is>
          <t>Testing</t>
        </is>
      </c>
      <c r="B37" s="33" t="inlineStr">
        <is>
          <t>Patch validation failures</t>
        </is>
      </c>
      <c r="C37" s="34">
        <f>COUNTIF('Testing and Validation'!N6:N55,"Fail")</f>
        <v/>
      </c>
      <c r="D37" s="34" t="inlineStr">
        <is>
          <t>High</t>
        </is>
      </c>
      <c r="E37" s="34" t="inlineStr">
        <is>
          <t>Urgent</t>
        </is>
      </c>
      <c r="F37" s="34" t="inlineStr"/>
      <c r="G37" s="34" t="inlineStr"/>
    </row>
    <row r="38">
      <c r="A38" s="33" t="inlineStr">
        <is>
          <t>SLA</t>
        </is>
      </c>
      <c r="B38" s="33" t="inlineStr">
        <is>
          <t>P2 High items — SLA OVERDUE</t>
        </is>
      </c>
      <c r="C38" s="34">
        <f>COUNTIFS('Priority Matrix'!AD6:AD55,"P2",'Priority Matrix'!AH6:AH55,"Overdue")</f>
        <v/>
      </c>
      <c r="D38" s="34" t="inlineStr">
        <is>
          <t>High</t>
        </is>
      </c>
      <c r="E38" s="34" t="inlineStr">
        <is>
          <t>Urgent</t>
        </is>
      </c>
      <c r="F38" s="34" t="inlineStr"/>
      <c r="G38" s="34" t="inlineStr"/>
    </row>
    <row r="39">
      <c r="A39" s="33" t="inlineStr">
        <is>
          <t>Change Control</t>
        </is>
      </c>
      <c r="B39" s="33" t="inlineStr">
        <is>
          <t>Change requests rejected</t>
        </is>
      </c>
      <c r="C39" s="34">
        <f>COUNTIF('Change Control'!H6:H55,"Rejected")</f>
        <v/>
      </c>
      <c r="D39" s="34" t="inlineStr">
        <is>
          <t>High</t>
        </is>
      </c>
      <c r="E39" s="34" t="inlineStr">
        <is>
          <t>Urgent</t>
        </is>
      </c>
      <c r="F39" s="34" t="inlineStr"/>
      <c r="G39" s="34" t="inlineStr"/>
    </row>
    <row r="40">
      <c r="A40" s="35" t="inlineStr">
        <is>
          <t>Deployment</t>
        </is>
      </c>
      <c r="B40" s="35" t="inlineStr">
        <is>
          <t>Rolled back deployments</t>
        </is>
      </c>
      <c r="C40" s="36">
        <f>COUNTIF('Remediation Queue'!AN6:AN55,"Rolled Back")</f>
        <v/>
      </c>
      <c r="D40" s="36" t="inlineStr">
        <is>
          <t>Medium</t>
        </is>
      </c>
      <c r="E40" s="36" t="inlineStr">
        <is>
          <t>Plan</t>
        </is>
      </c>
      <c r="F40" s="36" t="inlineStr"/>
      <c r="G40" s="36" t="inlineStr"/>
    </row>
    <row r="41">
      <c r="A41" s="35" t="inlineStr">
        <is>
          <t>SLA</t>
        </is>
      </c>
      <c r="B41" s="35" t="inlineStr">
        <is>
          <t>Any items in At Risk status</t>
        </is>
      </c>
      <c r="C41" s="36">
        <f>COUNTIF('SLA Compliance'!H6:H55,"At Risk")</f>
        <v/>
      </c>
      <c r="D41" s="36" t="inlineStr">
        <is>
          <t>Medium</t>
        </is>
      </c>
      <c r="E41" s="36" t="inlineStr">
        <is>
          <t>Plan</t>
        </is>
      </c>
      <c r="F41" s="36" t="inlineStr"/>
      <c r="G41" s="36" t="inlineStr"/>
    </row>
  </sheetData>
  <mergeCells count="9">
    <mergeCell ref="A32:G32"/>
    <mergeCell ref="A13:G13"/>
    <mergeCell ref="A1:G1"/>
    <mergeCell ref="A17:G17"/>
    <mergeCell ref="A22:G22"/>
    <mergeCell ref="A4:G4"/>
    <mergeCell ref="A26:G26"/>
    <mergeCell ref="A2:G2"/>
    <mergeCell ref="A15: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1" t="inlineStr">
        <is>
          <t>REMEDIATION AND PRIORITIZATION — ASSESSMENT APPROVAL AND SIGN-OFF</t>
        </is>
      </c>
      <c r="B1" s="6" t="n"/>
      <c r="C1" s="6" t="n"/>
      <c r="D1" s="6" t="n"/>
      <c r="E1" s="6" t="n"/>
    </row>
    <row r="2">
      <c r="A2" s="12" t="inlineStr">
        <is>
          <t>ISO/IEC 27001:2022 Annex A — Control A.8.8: Management of Technical Vulnerabilities</t>
        </is>
      </c>
      <c r="B2" s="6" t="n"/>
      <c r="C2" s="6" t="n"/>
      <c r="D2" s="6" t="n"/>
      <c r="E2" s="6" t="n"/>
    </row>
    <row r="3">
      <c r="A3" s="37" t="inlineStr">
        <is>
          <t>ASSESSMENT SUMMARY</t>
        </is>
      </c>
      <c r="B3" s="6" t="n"/>
      <c r="C3" s="6" t="n"/>
      <c r="D3" s="6" t="n"/>
      <c r="E3" s="6" t="n"/>
    </row>
    <row r="4">
      <c r="A4" s="38" t="inlineStr">
        <is>
          <t>Document:</t>
        </is>
      </c>
      <c r="B4" s="6" t="inlineStr">
        <is>
          <t>ISMS-IMP-A.8.8.4 — Remediation &amp; Prioritization</t>
        </is>
      </c>
      <c r="C4" s="6" t="n"/>
      <c r="D4" s="6" t="n"/>
      <c r="E4" s="6" t="n"/>
    </row>
    <row r="5">
      <c r="A5" s="38" t="inlineStr">
        <is>
          <t>Assessment Period:</t>
        </is>
      </c>
      <c r="B5" s="29" t="inlineStr"/>
      <c r="C5" s="6" t="n"/>
      <c r="D5" s="6" t="n"/>
      <c r="E5" s="6" t="n"/>
    </row>
    <row r="6">
      <c r="A6" s="38" t="inlineStr">
        <is>
          <t>Overall Compliance Rating:</t>
        </is>
      </c>
      <c r="B6" s="39">
        <f>'Summary Dashboard'!G11</f>
        <v/>
      </c>
      <c r="C6" s="6" t="n"/>
      <c r="D6" s="6" t="n"/>
      <c r="E6" s="6" t="n"/>
    </row>
    <row r="7">
      <c r="A7" s="38" t="inlineStr">
        <is>
          <t>Assessment Status:</t>
        </is>
      </c>
      <c r="B7" s="29" t="inlineStr"/>
      <c r="C7" s="6" t="n"/>
      <c r="D7" s="6" t="n"/>
      <c r="E7" s="6" t="n"/>
    </row>
    <row r="8">
      <c r="A8" s="38" t="inlineStr">
        <is>
          <t>Assessed By:</t>
        </is>
      </c>
      <c r="B8" s="29" t="inlineStr"/>
      <c r="C8" s="6" t="n"/>
      <c r="D8" s="6" t="n"/>
      <c r="E8" s="6" t="n"/>
    </row>
    <row r="9">
      <c r="A9" s="6" t="n"/>
    </row>
    <row r="10">
      <c r="A10" s="37" t="inlineStr">
        <is>
          <t>ASSESSMENT REVIEW AND APPROVAL</t>
        </is>
      </c>
    </row>
    <row r="11">
      <c r="A11" s="22" t="inlineStr">
        <is>
          <t>Role / Function</t>
        </is>
      </c>
      <c r="B11" s="22" t="inlineStr">
        <is>
          <t>Name</t>
        </is>
      </c>
      <c r="C11" s="22" t="inlineStr">
        <is>
          <t>Signature / Initials</t>
        </is>
      </c>
      <c r="D11" s="22" t="inlineStr">
        <is>
          <t>Date (DD.MM.YYYY)</t>
        </is>
      </c>
      <c r="E11" s="22" t="inlineStr">
        <is>
          <t>Comments</t>
        </is>
      </c>
    </row>
    <row r="12">
      <c r="A12" s="40" t="inlineStr">
        <is>
          <t>Lead Assessor / Author</t>
        </is>
      </c>
      <c r="B12" s="29" t="n"/>
      <c r="C12" s="29" t="n"/>
      <c r="D12" s="29" t="n"/>
      <c r="E12" s="29" t="n"/>
    </row>
    <row r="13">
      <c r="A13" s="40" t="inlineStr">
        <is>
          <t>IT Security Manager</t>
        </is>
      </c>
      <c r="B13" s="29" t="n"/>
      <c r="C13" s="29" t="n"/>
      <c r="D13" s="29" t="n"/>
      <c r="E13" s="29" t="n"/>
    </row>
    <row r="14">
      <c r="A14" s="40" t="inlineStr">
        <is>
          <t>Reviewer (Technical / Compliance)</t>
        </is>
      </c>
      <c r="B14" s="29" t="n"/>
      <c r="C14" s="29" t="n"/>
      <c r="D14" s="29" t="n"/>
      <c r="E14" s="29" t="n"/>
    </row>
    <row r="15">
      <c r="A15" s="40" t="inlineStr">
        <is>
          <t>CISO / Final Approver</t>
        </is>
      </c>
      <c r="B15" s="29" t="n"/>
      <c r="C15" s="29" t="n"/>
      <c r="D15" s="29" t="n"/>
      <c r="E15" s="29" t="n"/>
    </row>
    <row r="16">
      <c r="A16" s="6" t="n"/>
    </row>
    <row r="17">
      <c r="A17" s="41" t="inlineStr">
        <is>
          <t>FINAL DECISION:</t>
        </is>
      </c>
      <c r="B17" s="42" t="inlineStr">
        <is>
          <t>☐ Approved     ☐ Approved with Conditions     ☐ Rejected     ☐ Deferred</t>
        </is>
      </c>
      <c r="C17" s="6" t="n"/>
      <c r="D17" s="6" t="n"/>
      <c r="E17" s="6" t="n"/>
    </row>
    <row r="18">
      <c r="A18" s="6" t="n"/>
    </row>
    <row r="19">
      <c r="A19" s="37" t="inlineStr">
        <is>
          <t>NEXT REVIEW DETAILS</t>
        </is>
      </c>
    </row>
    <row r="20">
      <c r="A20" s="43" t="inlineStr">
        <is>
          <t>Next Review Date (DD.MM.YYYY)</t>
        </is>
      </c>
      <c r="B20" s="29" t="n"/>
    </row>
    <row r="21">
      <c r="A21" s="43" t="inlineStr">
        <is>
          <t>Review Owner</t>
        </is>
      </c>
      <c r="B21" s="29"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ISMS-IMP-A.8.8.4 — Remediation &amp; Prioritization</dc:title>
  <dc:description xmlns:dc="http://purl.org/dc/elements/1.1/">ISMS Implementation Workbook — ISMS-IMP-A.8.8.4</dc:description>
  <dc:subject xmlns:dc="http://purl.org/dc/elements/1.1/">ISO/IEC 27001:2022 — Control A.8.8: Management of Technical Vulnerabilities</dc:subject>
  <dcterms:created xmlns:dcterms="http://purl.org/dc/terms/" xmlns:xsi="http://www.w3.org/2001/XMLSchema-instance" xsi:type="dcterms:W3CDTF">2026-03-10T18:49:48Z</dcterms:created>
  <dcterms:modified xmlns:dcterms="http://purl.org/dc/terms/" xmlns:xsi="http://www.w3.org/2001/XMLSchema-instance" xsi:type="dcterms:W3CDTF">2026-03-10T18:49:49Z</dcterms:modified>
</cp:coreProperties>
</file>