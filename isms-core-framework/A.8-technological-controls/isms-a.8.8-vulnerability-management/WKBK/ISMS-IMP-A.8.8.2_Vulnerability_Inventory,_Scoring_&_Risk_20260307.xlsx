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Vulnerability Inventory" sheetId="2" state="visible" r:id="rId2"/>
    <sheet xmlns:r="http://schemas.openxmlformats.org/officeDocument/2006/relationships" name="Vulnerability Scoring" sheetId="3" state="visible" r:id="rId3"/>
    <sheet xmlns:r="http://schemas.openxmlformats.org/officeDocument/2006/relationships" name="Asset Criticality" sheetId="4" state="visible" r:id="rId4"/>
    <sheet xmlns:r="http://schemas.openxmlformats.org/officeDocument/2006/relationships" name="Risk Assessment" sheetId="5" state="visible" r:id="rId5"/>
    <sheet xmlns:r="http://schemas.openxmlformats.org/officeDocument/2006/relationships" name="Risk Treatment"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11" borderId="1" applyAlignment="1" pivotButton="0" quotePrefix="0" xfId="0">
      <alignment horizontal="left" vertical="center"/>
    </xf>
    <xf numFmtId="0" fontId="12" fillId="11" borderId="1" applyAlignment="1" pivotButton="0" quotePrefix="0" xfId="0">
      <alignment horizontal="center" vertical="center"/>
    </xf>
    <xf numFmtId="164" fontId="12" fillId="11" borderId="1" applyAlignment="1" pivotButton="0" quotePrefix="0" xfId="0">
      <alignment horizontal="center" vertical="center"/>
    </xf>
    <xf numFmtId="0" fontId="11" fillId="9" borderId="1" applyAlignment="1" pivotButton="0" quotePrefix="0" xfId="0">
      <alignment horizontal="left" vertical="center"/>
    </xf>
    <xf numFmtId="0" fontId="11" fillId="9" borderId="1" applyAlignment="1" pivotButton="0" quotePrefix="0" xfId="0">
      <alignment horizontal="center" vertical="center"/>
    </xf>
    <xf numFmtId="164" fontId="11" fillId="9" borderId="1" applyAlignment="1" pivotButton="0" quotePrefix="0" xfId="0">
      <alignment horizontal="center" vertical="center"/>
    </xf>
    <xf numFmtId="0" fontId="0" fillId="11" borderId="1" pivotButton="0" quotePrefix="0" xfId="0"/>
    <xf numFmtId="0" fontId="10" fillId="12" borderId="1" applyAlignment="1" pivotButton="0" quotePrefix="0" xfId="0">
      <alignment horizontal="left" vertical="center"/>
    </xf>
    <xf numFmtId="0" fontId="13" fillId="13" borderId="1" applyAlignment="1" pivotButton="0" quotePrefix="0" xfId="0">
      <alignment horizontal="left" vertical="center"/>
    </xf>
    <xf numFmtId="0" fontId="13" fillId="13" borderId="1" applyAlignment="1" pivotButton="0" quotePrefix="0" xfId="0">
      <alignment horizontal="center" vertical="center"/>
    </xf>
    <xf numFmtId="0" fontId="14" fillId="14" borderId="1" applyAlignment="1" pivotButton="0" quotePrefix="0" xfId="0">
      <alignment horizontal="left" vertical="center"/>
    </xf>
    <xf numFmtId="0" fontId="14" fillId="14" borderId="1" applyAlignment="1" pivotButton="0" quotePrefix="0" xfId="0">
      <alignment horizontal="center" vertical="center"/>
    </xf>
    <xf numFmtId="0" fontId="15" fillId="15" borderId="1" applyAlignment="1" pivotButton="0" quotePrefix="0" xfId="0">
      <alignment horizontal="left" vertical="center"/>
    </xf>
    <xf numFmtId="0" fontId="15" fillId="15" borderId="1" applyAlignment="1" pivotButton="0" quotePrefix="0" xfId="0">
      <alignment horizontal="center" vertical="center"/>
    </xf>
    <xf numFmtId="0" fontId="10" fillId="16" borderId="1" applyAlignment="1" pivotButton="0" quotePrefix="0" xfId="0">
      <alignment horizontal="center" vertical="center"/>
    </xf>
    <xf numFmtId="0" fontId="11" fillId="0"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ISMS-IMP-A.8.8.2  -  Vulnerability Inventory, Scoring &amp; Risk
ISO/IEC 27001:2022 - Control A.8.8: Management of Technical Vulnerabilities</t>
        </is>
      </c>
    </row>
    <row r="3">
      <c r="A3" s="2" t="inlineStr">
        <is>
          <t>Document Information</t>
        </is>
      </c>
    </row>
    <row r="4">
      <c r="A4" s="3" t="inlineStr">
        <is>
          <t>Document ID</t>
        </is>
      </c>
      <c r="B4" t="inlineStr">
        <is>
          <t>ISMS-IMP-A.8.8.2</t>
        </is>
      </c>
    </row>
    <row r="5">
      <c r="A5" s="3" t="inlineStr">
        <is>
          <t>Workbook Title</t>
        </is>
      </c>
      <c r="B5" t="inlineStr">
        <is>
          <t>Vulnerability Inventory, Scoring &amp; Risk</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Vulnerability Inventory sheet with all known vulnerabilities in scope.</t>
        </is>
      </c>
    </row>
    <row r="15">
      <c r="A15" t="inlineStr">
        <is>
          <t>3. Complete the Vulnerability Scoring sheet with CVSS v4.0/v3.1 scores per CVE.</t>
        </is>
      </c>
    </row>
    <row r="16">
      <c r="A16" t="inlineStr">
        <is>
          <t>4. Complete the Asset Criticality sheet with criticality ratings for all affected assets.</t>
        </is>
      </c>
    </row>
    <row r="17">
      <c r="A17" t="inlineStr">
        <is>
          <t>5. Complete the Risk Assessment sheet with risk treatment decisions for each vulnerability.</t>
        </is>
      </c>
    </row>
    <row r="18">
      <c r="A18" t="inlineStr">
        <is>
          <t>6. Complete the Risk Treatment sheet tracking treatment implementation and expiry.</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40" customWidth="1" min="3" max="3"/>
    <col width="16" customWidth="1" min="4" max="4"/>
    <col width="20" customWidth="1" min="5" max="5"/>
    <col width="12" customWidth="1" min="6" max="6"/>
    <col width="16" customWidth="1" min="7" max="7"/>
    <col width="16" customWidth="1" min="8" max="8"/>
    <col width="14" customWidth="1" min="9" max="9"/>
    <col width="14" customWidth="1" min="10" max="10"/>
    <col width="12" customWidth="1" min="11" max="11"/>
    <col width="12" customWidth="1" min="12" max="12"/>
    <col width="14" customWidth="1" min="13" max="13"/>
    <col width="22" customWidth="1" min="14" max="14"/>
    <col width="18" customWidth="1" min="15" max="15"/>
    <col width="14" customWidth="1" min="16" max="16"/>
    <col width="35" customWidth="1" min="17" max="17"/>
    <col width="18" customWidth="1" min="18" max="18"/>
    <col width="16" customWidth="1" min="19" max="19"/>
    <col width="12" customWidth="1" min="20" max="20"/>
    <col width="20" customWidth="1" min="21" max="21"/>
    <col width="10" customWidth="1" min="22" max="22"/>
    <col width="20" customWidth="1" min="23" max="23"/>
    <col width="20" customWidth="1" min="24" max="24"/>
    <col width="30" customWidth="1" min="25" max="25"/>
    <col width="20" customWidth="1" min="26" max="26"/>
  </cols>
  <sheetData>
    <row r="1" ht="35" customHeight="1">
      <c r="A1" s="11" t="inlineStr">
        <is>
          <t>ISMS-IMP-A.8.8.2  —  VULNERABILITY INVENTORY</t>
        </is>
      </c>
    </row>
    <row r="2">
      <c r="A2" s="12" t="inlineStr">
        <is>
          <t>ISO/IEC 27001:2022 — Control A.8.8: Management of Technical Vulnerabilities</t>
        </is>
      </c>
    </row>
    <row r="3">
      <c r="A3" s="6" t="n"/>
    </row>
    <row r="4">
      <c r="A4" s="13" t="inlineStr">
        <is>
          <t>Vuln_ID</t>
        </is>
      </c>
      <c r="B4" s="13" t="inlineStr">
        <is>
          <t>CVE_ID</t>
        </is>
      </c>
      <c r="C4" s="13" t="inlineStr">
        <is>
          <t>Vulnerability_Name</t>
        </is>
      </c>
      <c r="D4" s="13" t="inlineStr">
        <is>
          <t>Affected_Asset_ID</t>
        </is>
      </c>
      <c r="E4" s="13" t="inlineStr">
        <is>
          <t>Affected_Asset_Name</t>
        </is>
      </c>
      <c r="F4" s="13" t="inlineStr">
        <is>
          <t>KEV_Listed</t>
        </is>
      </c>
      <c r="G4" s="13" t="inlineStr">
        <is>
          <t>First_Detected_Date</t>
        </is>
      </c>
      <c r="H4" s="13" t="inlineStr">
        <is>
          <t>Last_Scanned_Date</t>
        </is>
      </c>
      <c r="I4" s="13" t="inlineStr">
        <is>
          <t>CVSS_v3.1_Score</t>
        </is>
      </c>
      <c r="J4" s="13" t="inlineStr">
        <is>
          <t>CVSS_v4.0_Score</t>
        </is>
      </c>
      <c r="K4" s="13" t="inlineStr">
        <is>
          <t>CVSS_Severity</t>
        </is>
      </c>
      <c r="L4" s="13" t="inlineStr">
        <is>
          <t>EPSS_Score</t>
        </is>
      </c>
      <c r="M4" s="13" t="inlineStr">
        <is>
          <t>Exploit_Available</t>
        </is>
      </c>
      <c r="N4" s="13" t="inlineStr">
        <is>
          <t>Affected_Software</t>
        </is>
      </c>
      <c r="O4" s="13" t="inlineStr">
        <is>
          <t>Affected_Version</t>
        </is>
      </c>
      <c r="P4" s="13" t="inlineStr">
        <is>
          <t>Patch_Available</t>
        </is>
      </c>
      <c r="Q4" s="13" t="inlineStr">
        <is>
          <t>Patch_URL</t>
        </is>
      </c>
      <c r="R4" s="13" t="inlineStr">
        <is>
          <t>Scanner_Source</t>
        </is>
      </c>
      <c r="S4" s="13" t="inlineStr">
        <is>
          <t>Scan_Date</t>
        </is>
      </c>
      <c r="T4" s="13" t="inlineStr">
        <is>
          <t>Risk_Score</t>
        </is>
      </c>
      <c r="U4" s="13" t="inlineStr">
        <is>
          <t>Business_Owner</t>
        </is>
      </c>
      <c r="V4" s="13" t="inlineStr">
        <is>
          <t>Priority</t>
        </is>
      </c>
      <c r="W4" s="13" t="inlineStr">
        <is>
          <t>Target_Remediation_Date</t>
        </is>
      </c>
      <c r="X4" s="13" t="inlineStr">
        <is>
          <t>Actual_Remediation_Date</t>
        </is>
      </c>
      <c r="Y4" s="13" t="inlineStr">
        <is>
          <t>Notes</t>
        </is>
      </c>
      <c r="Z4" s="13" t="inlineStr">
        <is>
          <t>Remediation_Status</t>
        </is>
      </c>
    </row>
    <row r="5">
      <c r="A5" s="14" t="inlineStr">
        <is>
          <t>VULN-001</t>
        </is>
      </c>
      <c r="B5" s="14" t="inlineStr">
        <is>
          <t>CVE-2024-1234</t>
        </is>
      </c>
      <c r="C5" s="14" t="inlineStr">
        <is>
          <t>Critical RCE in Apache HTTP Server</t>
        </is>
      </c>
      <c r="D5" s="14" t="inlineStr">
        <is>
          <t>SRV-PROD-001</t>
        </is>
      </c>
      <c r="E5" s="14" t="inlineStr">
        <is>
          <t>web-prod-01</t>
        </is>
      </c>
      <c r="F5" s="14" t="inlineStr">
        <is>
          <t>YES</t>
        </is>
      </c>
      <c r="G5" s="14" t="inlineStr">
        <is>
          <t>15/01/2024</t>
        </is>
      </c>
      <c r="H5" s="14" t="inlineStr">
        <is>
          <t>20/01/2024</t>
        </is>
      </c>
      <c r="I5" s="14" t="n">
        <v>9.800000000000001</v>
      </c>
      <c r="J5" s="14" t="n">
        <v>9.199999999999999</v>
      </c>
      <c r="K5" s="14" t="inlineStr">
        <is>
          <t>Critical</t>
        </is>
      </c>
      <c r="L5" s="14" t="n">
        <v>0.9742</v>
      </c>
      <c r="M5" s="14" t="inlineStr">
        <is>
          <t>Yes</t>
        </is>
      </c>
      <c r="N5" s="14" t="inlineStr">
        <is>
          <t>Apache HTTP Server</t>
        </is>
      </c>
      <c r="O5" s="14" t="inlineStr">
        <is>
          <t>2.4.50</t>
        </is>
      </c>
      <c r="P5" s="14" t="inlineStr">
        <is>
          <t>Yes</t>
        </is>
      </c>
      <c r="Q5" s="14" t="inlineStr">
        <is>
          <t>https://httpd.apache.org/security/</t>
        </is>
      </c>
      <c r="R5" s="14" t="inlineStr">
        <is>
          <t>Tenable Nessus</t>
        </is>
      </c>
      <c r="S5" s="14" t="inlineStr">
        <is>
          <t>20/01/2024</t>
        </is>
      </c>
      <c r="T5" s="14" t="n">
        <v>95</v>
      </c>
      <c r="U5" s="14" t="inlineStr">
        <is>
          <t>Infrastructure Team</t>
        </is>
      </c>
      <c r="V5" s="14" t="inlineStr">
        <is>
          <t>P0</t>
        </is>
      </c>
      <c r="W5" s="14" t="inlineStr">
        <is>
          <t>25/01/2024</t>
        </is>
      </c>
      <c r="X5" s="14" t="inlineStr"/>
      <c r="Y5" s="14" t="inlineStr">
        <is>
          <t>KEV-listed; emergency patching initiated</t>
        </is>
      </c>
      <c r="Z5" s="14" t="inlineStr">
        <is>
          <t>In Progress</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row>
  </sheetData>
  <mergeCells count="3">
    <mergeCell ref="A1:Z1"/>
    <mergeCell ref="A3:Z3"/>
    <mergeCell ref="A2:Z2"/>
  </mergeCells>
  <dataValidations count="6">
    <dataValidation sqref="Z6 Z7 Z8 Z9 Z10 Z11 Z12 Z13 Z14 Z15 Z16 Z17 Z18 Z19 Z20 Z21 Z22 Z23 Z24 Z25 Z26 Z27 Z28 Z29 Z30 Z31 Z32 Z33 Z34 Z35 Z36 Z37 Z38 Z39 Z40 Z41 Z42 Z43 Z44 Z45 Z46 Z47 Z48 Z49 Z50 Z51 Z52 Z53 Z54 Z55" showDropDown="0" showInputMessage="0" showErrorMessage="0" allowBlank="1" type="list">
      <formula1>"Open,In Progress,Testing,Complete,Risk Accepted"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"YES,NO"</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"P0,P1,P2,P3,P4"</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"Critical,High,Medium,Low,Informational"</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1" type="list">
      <formula1>"Yes,No,PoC"</formula1>
    </dataValidation>
    <dataValidation sqref="P6 P7 P8 P9 P10 P11 P12 P13 P14 P15 P16 P17 P18 P19 P20 P21 P22 P23 P24 P25 P26 P27 P28 P29 P30 P31 P32 P33 P34 P35 P36 P37 P38 P39 P40 P41 P42 P43 P44 P45 P46 P47 P48 P49 P50 P51 P52 P53 P54 P55" showDropDown="0" showInputMessage="0" showErrorMessage="0" allowBlank="1" type="list">
      <formula1>"Yes,No,Workaround"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8" customWidth="1" min="1" max="1"/>
    <col width="16" customWidth="1" min="2" max="2"/>
    <col width="16" customWidth="1" min="3" max="3"/>
    <col width="55" customWidth="1" min="4" max="4"/>
    <col width="16" customWidth="1" min="5" max="5"/>
    <col width="55" customWidth="1" min="6" max="6"/>
    <col width="14" customWidth="1" min="7" max="7"/>
    <col width="16" customWidth="1" min="8" max="8"/>
  </cols>
  <sheetData>
    <row r="1" ht="35" customHeight="1">
      <c r="A1" s="11" t="inlineStr">
        <is>
          <t>ISMS-IMP-A.8.8.2  —  VULNERABILITY SCORING</t>
        </is>
      </c>
    </row>
    <row r="2">
      <c r="A2" s="12" t="inlineStr">
        <is>
          <t>ISO/IEC 27001:2022 — Control A.8.8: CVSS v4.0 Scoring Completeness</t>
        </is>
      </c>
    </row>
    <row r="3">
      <c r="A3" s="6" t="n"/>
    </row>
    <row r="4">
      <c r="A4" s="13" t="inlineStr">
        <is>
          <t>CVE_ID</t>
        </is>
      </c>
      <c r="B4" s="13" t="inlineStr">
        <is>
          <t>Asset_ID</t>
        </is>
      </c>
      <c r="C4" s="13" t="inlineStr">
        <is>
          <t>CVSS_v3.1_Score</t>
        </is>
      </c>
      <c r="D4" s="13" t="inlineStr">
        <is>
          <t>CVSS_v3.1_Vector</t>
        </is>
      </c>
      <c r="E4" s="13" t="inlineStr">
        <is>
          <t>CVSS_v4.0_Score</t>
        </is>
      </c>
      <c r="F4" s="13" t="inlineStr">
        <is>
          <t>CVSS_v4.0_Vector</t>
        </is>
      </c>
      <c r="G4" s="13" t="inlineStr">
        <is>
          <t>EPSS_Score</t>
        </is>
      </c>
      <c r="H4" s="13" t="inlineStr">
        <is>
          <t>Score_Status</t>
        </is>
      </c>
    </row>
    <row r="5">
      <c r="A5" s="14" t="inlineStr">
        <is>
          <t>CVE-2024-1234</t>
        </is>
      </c>
      <c r="B5" s="14" t="inlineStr">
        <is>
          <t>SRV-PROD-001</t>
        </is>
      </c>
      <c r="C5" s="14" t="n">
        <v>9.800000000000001</v>
      </c>
      <c r="D5" s="14" t="inlineStr">
        <is>
          <t>CVSS:3.1/AV:N/AC:L/PR:N/UI:N/S:U/C:H/I:H/A:H</t>
        </is>
      </c>
      <c r="E5" s="14" t="n">
        <v>9.199999999999999</v>
      </c>
      <c r="F5" s="14" t="inlineStr">
        <is>
          <t>CVSS:4.0/AV:N/AC:L/AT:N/PR:N/UI:N/VC:H/VI:H/VA:H/SC:N/SI:N/SA:N</t>
        </is>
      </c>
      <c r="G5" s="14" t="n">
        <v>0.9742</v>
      </c>
      <c r="H5" s="14" t="inlineStr">
        <is>
          <t>v4.0 Scored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"v4.0 Scored,v3.1 Only,Unscored,Disputed"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6" customWidth="1" min="1" max="1"/>
    <col width="25" customWidth="1" min="2" max="2"/>
    <col width="18" customWidth="1" min="3" max="3"/>
    <col width="22" customWidth="1" min="4" max="4"/>
    <col width="28" customWidth="1" min="5" max="5"/>
    <col width="16" customWidth="1" min="6" max="6"/>
    <col width="20" customWidth="1" min="7" max="7"/>
    <col width="18" customWidth="1" min="8" max="8"/>
  </cols>
  <sheetData>
    <row r="1" ht="35" customHeight="1">
      <c r="A1" s="11" t="inlineStr">
        <is>
          <t>ISMS-IMP-A.8.8.2  —  ASSET CRITICALITY</t>
        </is>
      </c>
    </row>
    <row r="2">
      <c r="A2" s="12" t="inlineStr">
        <is>
          <t>ISO/IEC 27001:2022 — Control A.8.8: Asset Criticality Register</t>
        </is>
      </c>
    </row>
    <row r="3">
      <c r="A3" s="6" t="n"/>
    </row>
    <row r="4">
      <c r="A4" s="13" t="inlineStr">
        <is>
          <t>Asset_ID</t>
        </is>
      </c>
      <c r="B4" s="13" t="inlineStr">
        <is>
          <t>Asset_Name</t>
        </is>
      </c>
      <c r="C4" s="13" t="inlineStr">
        <is>
          <t>Asset_Type</t>
        </is>
      </c>
      <c r="D4" s="13" t="inlineStr">
        <is>
          <t>Asset_Owner</t>
        </is>
      </c>
      <c r="E4" s="13" t="inlineStr">
        <is>
          <t>Business_Function</t>
        </is>
      </c>
      <c r="F4" s="13" t="inlineStr">
        <is>
          <t>Criticality_Level</t>
        </is>
      </c>
      <c r="G4" s="13" t="inlineStr">
        <is>
          <t>Last_Assessment_Date</t>
        </is>
      </c>
      <c r="H4" s="13" t="inlineStr">
        <is>
          <t>Validation_Status</t>
        </is>
      </c>
    </row>
    <row r="5">
      <c r="A5" s="14" t="inlineStr">
        <is>
          <t>SRV-PROD-001</t>
        </is>
      </c>
      <c r="B5" s="14" t="inlineStr">
        <is>
          <t>web-prod-01</t>
        </is>
      </c>
      <c r="C5" s="14" t="inlineStr">
        <is>
          <t>Server</t>
        </is>
      </c>
      <c r="D5" s="14" t="inlineStr">
        <is>
          <t>Infrastructure Team</t>
        </is>
      </c>
      <c r="E5" s="14" t="inlineStr">
        <is>
          <t>E-Commerce Platform</t>
        </is>
      </c>
      <c r="F5" s="14" t="inlineStr">
        <is>
          <t>Critical</t>
        </is>
      </c>
      <c r="G5" s="14" t="inlineStr">
        <is>
          <t>15/01/2024</t>
        </is>
      </c>
      <c r="H5" s="14" t="inlineStr">
        <is>
          <t>Validated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3">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"Server,Workstation,Network Device,Application,Database,Cloud"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"Critical,High,Medium,Low"</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"Validated,Needs Review,Overdue"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2" customWidth="1" min="5" max="5"/>
    <col width="20" customWidth="1" min="6" max="6"/>
    <col width="22" customWidth="1" min="7" max="7"/>
  </cols>
  <sheetData>
    <row r="1" ht="35" customHeight="1">
      <c r="A1" s="11" t="inlineStr">
        <is>
          <t>ISMS-IMP-A.8.8.2  —  RISK ASSESSMENT</t>
        </is>
      </c>
    </row>
    <row r="2">
      <c r="A2" s="12" t="inlineStr">
        <is>
          <t>ISO/IEC 27001:2022 — Control A.8.8: Vulnerability Risk Assessments</t>
        </is>
      </c>
    </row>
    <row r="3">
      <c r="A3" s="6" t="n"/>
    </row>
    <row r="4">
      <c r="A4" s="13" t="inlineStr">
        <is>
          <t>Vuln_ID</t>
        </is>
      </c>
      <c r="B4" s="13" t="inlineStr">
        <is>
          <t>Risk_Description</t>
        </is>
      </c>
      <c r="C4" s="13" t="inlineStr">
        <is>
          <t>Likelihood</t>
        </is>
      </c>
      <c r="D4" s="13" t="inlineStr">
        <is>
          <t>Impact</t>
        </is>
      </c>
      <c r="E4" s="13" t="inlineStr">
        <is>
          <t>Risk_Score</t>
        </is>
      </c>
      <c r="F4" s="13" t="inlineStr">
        <is>
          <t>Inherent_Risk_Rating</t>
        </is>
      </c>
      <c r="G4" s="13" t="inlineStr">
        <is>
          <t>Risk_Treatment_Status</t>
        </is>
      </c>
    </row>
    <row r="5">
      <c r="A5" s="14" t="inlineStr">
        <is>
          <t>VULN-001</t>
        </is>
      </c>
      <c r="B5" s="14" t="inlineStr">
        <is>
          <t>RCE exploit enables full server compromise via unauthenticated HTTP</t>
        </is>
      </c>
      <c r="C5" s="14" t="inlineStr">
        <is>
          <t>High</t>
        </is>
      </c>
      <c r="D5" s="14" t="inlineStr">
        <is>
          <t>High</t>
        </is>
      </c>
      <c r="E5" s="14" t="n">
        <v>25</v>
      </c>
      <c r="F5" s="14" t="inlineStr">
        <is>
          <t>Critical</t>
        </is>
      </c>
      <c r="G5" s="14" t="inlineStr">
        <is>
          <t>Approved</t>
        </is>
      </c>
    </row>
    <row r="6">
      <c r="A6" s="15" t="n"/>
      <c r="B6" s="15" t="n"/>
      <c r="C6" s="15" t="n"/>
      <c r="D6" s="15" t="n"/>
      <c r="E6" s="15" t="n"/>
      <c r="F6" s="15" t="n"/>
      <c r="G6" s="15" t="n"/>
    </row>
    <row r="7">
      <c r="A7" s="15" t="n"/>
      <c r="B7" s="15" t="n"/>
      <c r="C7" s="15" t="n"/>
      <c r="D7" s="15" t="n"/>
      <c r="E7" s="15" t="n"/>
      <c r="F7" s="15" t="n"/>
      <c r="G7" s="15" t="n"/>
    </row>
    <row r="8">
      <c r="A8" s="15" t="n"/>
      <c r="B8" s="15" t="n"/>
      <c r="C8" s="15" t="n"/>
      <c r="D8" s="15" t="n"/>
      <c r="E8" s="15" t="n"/>
      <c r="F8" s="15" t="n"/>
      <c r="G8" s="15" t="n"/>
    </row>
    <row r="9">
      <c r="A9" s="15" t="n"/>
      <c r="B9" s="15" t="n"/>
      <c r="C9" s="15" t="n"/>
      <c r="D9" s="15" t="n"/>
      <c r="E9" s="15" t="n"/>
      <c r="F9" s="15" t="n"/>
      <c r="G9" s="15" t="n"/>
    </row>
    <row r="10">
      <c r="A10" s="15" t="n"/>
      <c r="B10" s="15" t="n"/>
      <c r="C10" s="15" t="n"/>
      <c r="D10" s="15" t="n"/>
      <c r="E10" s="15" t="n"/>
      <c r="F10" s="15" t="n"/>
      <c r="G10" s="15" t="n"/>
    </row>
    <row r="11">
      <c r="A11" s="15" t="n"/>
      <c r="B11" s="15" t="n"/>
      <c r="C11" s="15" t="n"/>
      <c r="D11" s="15" t="n"/>
      <c r="E11" s="15" t="n"/>
      <c r="F11" s="15" t="n"/>
      <c r="G11" s="15" t="n"/>
    </row>
    <row r="12">
      <c r="A12" s="15" t="n"/>
      <c r="B12" s="15" t="n"/>
      <c r="C12" s="15" t="n"/>
      <c r="D12" s="15" t="n"/>
      <c r="E12" s="15" t="n"/>
      <c r="F12" s="15" t="n"/>
      <c r="G12" s="15" t="n"/>
    </row>
    <row r="13">
      <c r="A13" s="15" t="n"/>
      <c r="B13" s="15" t="n"/>
      <c r="C13" s="15" t="n"/>
      <c r="D13" s="15" t="n"/>
      <c r="E13" s="15" t="n"/>
      <c r="F13" s="15" t="n"/>
      <c r="G13" s="15" t="n"/>
    </row>
    <row r="14">
      <c r="A14" s="15" t="n"/>
      <c r="B14" s="15" t="n"/>
      <c r="C14" s="15" t="n"/>
      <c r="D14" s="15" t="n"/>
      <c r="E14" s="15" t="n"/>
      <c r="F14" s="15" t="n"/>
      <c r="G14" s="15" t="n"/>
    </row>
    <row r="15">
      <c r="A15" s="15" t="n"/>
      <c r="B15" s="15" t="n"/>
      <c r="C15" s="15" t="n"/>
      <c r="D15" s="15" t="n"/>
      <c r="E15" s="15" t="n"/>
      <c r="F15" s="15" t="n"/>
      <c r="G15" s="15" t="n"/>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row r="55">
      <c r="A55" s="15" t="n"/>
      <c r="B55" s="15" t="n"/>
      <c r="C55" s="15" t="n"/>
      <c r="D55" s="15" t="n"/>
      <c r="E55" s="15" t="n"/>
      <c r="F55" s="15" t="n"/>
      <c r="G55" s="15" t="n"/>
    </row>
  </sheetData>
  <mergeCells count="3">
    <mergeCell ref="A3:G3"/>
    <mergeCell ref="A2:G2"/>
    <mergeCell ref="A1:G1"/>
  </mergeCells>
  <dataValidations count="4">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"High,Medium,Low"</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"High,Medium,Low"</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"Critical,High,Medium,Low"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"Assessed,Pending Approval,Approved,Rejected"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50" customWidth="1" min="4" max="4"/>
    <col width="22" customWidth="1" min="5" max="5"/>
    <col width="20" customWidth="1" min="6" max="6"/>
    <col width="16" customWidth="1" min="7" max="7"/>
    <col width="16" customWidth="1" min="8" max="8"/>
    <col width="16" customWidth="1" min="9" max="9"/>
    <col width="40" customWidth="1" min="10" max="10"/>
    <col width="20" customWidth="1" min="11" max="11"/>
    <col width="16" customWidth="1" min="12" max="12"/>
  </cols>
  <sheetData>
    <row r="1" ht="35" customHeight="1">
      <c r="A1" s="11" t="inlineStr">
        <is>
          <t>ISMS-IMP-A.8.8.2  —  RISK TREATMENT</t>
        </is>
      </c>
    </row>
    <row r="2">
      <c r="A2" s="12" t="inlineStr">
        <is>
          <t>ISO/IEC 27001:2022 — Control A.8.8: Risk Treatment Decisions</t>
        </is>
      </c>
    </row>
    <row r="3">
      <c r="A3" s="6" t="n"/>
    </row>
    <row r="4">
      <c r="A4" s="13" t="inlineStr">
        <is>
          <t>Decision_ID</t>
        </is>
      </c>
      <c r="B4" s="13" t="inlineStr">
        <is>
          <t>Vuln_ID</t>
        </is>
      </c>
      <c r="C4" s="13" t="inlineStr">
        <is>
          <t>Treatment_Option</t>
        </is>
      </c>
      <c r="D4" s="13" t="inlineStr">
        <is>
          <t>Treatment_Description</t>
        </is>
      </c>
      <c r="E4" s="13" t="inlineStr">
        <is>
          <t>Risk_Owner</t>
        </is>
      </c>
      <c r="F4" s="13" t="inlineStr">
        <is>
          <t>Approved_By</t>
        </is>
      </c>
      <c r="G4" s="13" t="inlineStr">
        <is>
          <t>Approval_Date</t>
        </is>
      </c>
      <c r="H4" s="13" t="inlineStr">
        <is>
          <t>Decision_Date</t>
        </is>
      </c>
      <c r="I4" s="13" t="inlineStr">
        <is>
          <t>Review_Due_Date</t>
        </is>
      </c>
      <c r="J4" s="13" t="inlineStr">
        <is>
          <t>Implementation_Notes</t>
        </is>
      </c>
      <c r="K4" s="13" t="inlineStr">
        <is>
          <t>Residual_Risk_Level</t>
        </is>
      </c>
      <c r="L4" s="13" t="inlineStr">
        <is>
          <t>Status</t>
        </is>
      </c>
    </row>
    <row r="5">
      <c r="A5" s="14" t="inlineStr">
        <is>
          <t>TRT-001</t>
        </is>
      </c>
      <c r="B5" s="14" t="inlineStr">
        <is>
          <t>VULN-001</t>
        </is>
      </c>
      <c r="C5" s="14" t="inlineStr">
        <is>
          <t>Remediate</t>
        </is>
      </c>
      <c r="D5" s="14" t="inlineStr">
        <is>
          <t>Apply Apache patch 2.4.51 and harden HTTP configuration</t>
        </is>
      </c>
      <c r="E5" s="14" t="inlineStr">
        <is>
          <t>Infrastructure Lead</t>
        </is>
      </c>
      <c r="F5" s="14" t="inlineStr">
        <is>
          <t>CISO</t>
        </is>
      </c>
      <c r="G5" s="14" t="inlineStr">
        <is>
          <t>20/01/2024</t>
        </is>
      </c>
      <c r="H5" s="14" t="inlineStr">
        <is>
          <t>21/01/2024</t>
        </is>
      </c>
      <c r="I5" s="14" t="inlineStr">
        <is>
          <t>30/01/2024</t>
        </is>
      </c>
      <c r="J5" s="14" t="inlineStr">
        <is>
          <t>Emergency patch approved; CAB bypass authorised</t>
        </is>
      </c>
      <c r="K5" s="14" t="inlineStr">
        <is>
          <t>Low</t>
        </is>
      </c>
      <c r="L5" s="14" t="inlineStr">
        <is>
          <t>Implemented</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3">
    <mergeCell ref="A3:L3"/>
    <mergeCell ref="A2:L2"/>
    <mergeCell ref="A1:L1"/>
  </mergeCells>
  <dataValidations count="3">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"Remediate,Mitigate,Accept,Transfer"</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"High,Medium,Low,Negligible"</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"Open,Approved,Implemented,Expired"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6" t="inlineStr">
        <is>
          <t>EVIDENCE REGISTER</t>
        </is>
      </c>
    </row>
    <row r="2">
      <c r="A2" s="17" t="inlineStr">
        <is>
          <t>ISO/IEC 27001:2022 Annex A — Control A.8.8: Management of Technical Vulnerabilities</t>
        </is>
      </c>
    </row>
    <row r="3">
      <c r="A3" s="6" t="n"/>
    </row>
    <row r="4">
      <c r="A4" s="18" t="inlineStr">
        <is>
          <t>Evidence ID</t>
        </is>
      </c>
      <c r="B4" s="18" t="inlineStr">
        <is>
          <t>Evidence Type</t>
        </is>
      </c>
      <c r="C4" s="18" t="inlineStr">
        <is>
          <t>Description</t>
        </is>
      </c>
      <c r="D4" s="18" t="inlineStr">
        <is>
          <t>Related Control / Section</t>
        </is>
      </c>
      <c r="E4" s="18" t="inlineStr">
        <is>
          <t>Collection Date (DD.MM.YYYY)</t>
        </is>
      </c>
      <c r="F4" s="18" t="inlineStr">
        <is>
          <t>Storage Location / Reference</t>
        </is>
      </c>
      <c r="G4" s="18" t="inlineStr">
        <is>
          <t>Collected By</t>
        </is>
      </c>
      <c r="H4" s="18" t="inlineStr">
        <is>
          <t>Status</t>
        </is>
      </c>
    </row>
    <row r="5">
      <c r="A5" s="19" t="inlineStr">
        <is>
          <t>EV-001</t>
        </is>
      </c>
      <c r="B5" s="19" t="inlineStr">
        <is>
          <t>Vulnerability Report</t>
        </is>
      </c>
      <c r="C5" s="19" t="inlineStr">
        <is>
          <t>Sample evidence entry — replace with actual evidence</t>
        </is>
      </c>
      <c r="D5" s="19" t="inlineStr">
        <is>
          <t>A.8.8 Vulnerability Inventory</t>
        </is>
      </c>
      <c r="E5" s="19" t="inlineStr">
        <is>
          <t>01.01.2026</t>
        </is>
      </c>
      <c r="F5" s="19" t="inlineStr">
        <is>
          <t>SharePoint/ISMS/A.8.8/S2/Evidence/</t>
        </is>
      </c>
      <c r="G5" s="19" t="inlineStr">
        <is>
          <t>Security Team</t>
        </is>
      </c>
      <c r="H5" s="19" t="inlineStr">
        <is>
          <t>Active</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6" t="inlineStr">
        <is>
          <t>VULNERABILITY INVENTORY, SCORING &amp; RISK — SUMMARY DASHBOARD</t>
        </is>
      </c>
      <c r="B1" s="6" t="n"/>
      <c r="C1" s="6" t="n"/>
      <c r="D1" s="6" t="n"/>
      <c r="E1" s="6" t="n"/>
      <c r="F1" s="6" t="n"/>
      <c r="G1" s="6" t="n"/>
    </row>
    <row r="2">
      <c r="A2" s="21" t="inlineStr">
        <is>
          <t>ISO/IEC 27001:2022 — Control A.8.8: Management of Technical Vulnerabilities</t>
        </is>
      </c>
    </row>
    <row r="4">
      <c r="A4" s="22" t="inlineStr">
        <is>
          <t>TABLE 1: ASSESSMENT AREA COMPLIANCE OVERVIEW</t>
        </is>
      </c>
    </row>
    <row r="5">
      <c r="A5" s="23" t="inlineStr">
        <is>
          <t>Assessment Area</t>
        </is>
      </c>
      <c r="B5" s="23" t="inlineStr">
        <is>
          <t>Total Items</t>
        </is>
      </c>
      <c r="C5" s="23" t="inlineStr">
        <is>
          <t>Compliant</t>
        </is>
      </c>
      <c r="D5" s="23" t="inlineStr">
        <is>
          <t>Partial / Warning</t>
        </is>
      </c>
      <c r="E5" s="23" t="inlineStr">
        <is>
          <t>Non-Compliant</t>
        </is>
      </c>
      <c r="F5" s="23" t="inlineStr">
        <is>
          <t>N/A</t>
        </is>
      </c>
      <c r="G5" s="23" t="inlineStr">
        <is>
          <t>Compliance %</t>
        </is>
      </c>
    </row>
    <row r="6">
      <c r="A6" s="24" t="inlineStr">
        <is>
          <t>Vulnerability Inventory</t>
        </is>
      </c>
      <c r="B6" s="25">
        <f>COUNTA('Vulnerability Inventory'!A6:A55)</f>
        <v/>
      </c>
      <c r="C6" s="25">
        <f>COUNTIF('Vulnerability Inventory'!Z6:Z55,"Complete")+COUNTIF('Vulnerability Inventory'!Z6:Z55,"Risk Accepted")</f>
        <v/>
      </c>
      <c r="D6" s="25">
        <f>COUNTIF('Vulnerability Inventory'!Z6:Z55,"In Progress")+COUNTIF('Vulnerability Inventory'!Z6:Z55,"Testing")</f>
        <v/>
      </c>
      <c r="E6" s="25">
        <f>COUNTIF('Vulnerability Inventory'!Z6:Z55,"Open")</f>
        <v/>
      </c>
      <c r="F6" s="25" t="inlineStr">
        <is>
          <t>0</t>
        </is>
      </c>
      <c r="G6" s="26">
        <f>IF((B6-F6)=0,0,C6/(B6-F6))</f>
        <v/>
      </c>
    </row>
    <row r="7">
      <c r="A7" s="24" t="inlineStr">
        <is>
          <t>Vulnerability Scoring</t>
        </is>
      </c>
      <c r="B7" s="25">
        <f>COUNTA('Vulnerability Scoring'!A6:A55)</f>
        <v/>
      </c>
      <c r="C7" s="25">
        <f>COUNTIF('Vulnerability Scoring'!H6:H55,"v4.0 Scored")</f>
        <v/>
      </c>
      <c r="D7" s="25">
        <f>COUNTIF('Vulnerability Scoring'!H6:H55,"v3.1 Only")</f>
        <v/>
      </c>
      <c r="E7" s="25">
        <f>COUNTIF('Vulnerability Scoring'!H6:H55,"Unscored")</f>
        <v/>
      </c>
      <c r="F7" s="25" t="inlineStr">
        <is>
          <t>0</t>
        </is>
      </c>
      <c r="G7" s="26">
        <f>IF((B7-F7)=0,0,C7/(B7-F7))</f>
        <v/>
      </c>
    </row>
    <row r="8">
      <c r="A8" s="24" t="inlineStr">
        <is>
          <t>Asset Criticality</t>
        </is>
      </c>
      <c r="B8" s="25">
        <f>COUNTA('Asset Criticality'!A6:A55)</f>
        <v/>
      </c>
      <c r="C8" s="25">
        <f>COUNTIF('Asset Criticality'!H6:H55,"Validated")</f>
        <v/>
      </c>
      <c r="D8" s="25">
        <f>COUNTIF('Asset Criticality'!H6:H55,"Needs Review")</f>
        <v/>
      </c>
      <c r="E8" s="25">
        <f>COUNTIF('Asset Criticality'!H6:H55,"Overdue")</f>
        <v/>
      </c>
      <c r="F8" s="25" t="inlineStr">
        <is>
          <t>0</t>
        </is>
      </c>
      <c r="G8" s="26">
        <f>IF((B8-F8)=0,0,C8/(B8-F8))</f>
        <v/>
      </c>
    </row>
    <row r="9">
      <c r="A9" s="24" t="inlineStr">
        <is>
          <t>Risk Assessment</t>
        </is>
      </c>
      <c r="B9" s="25">
        <f>COUNTA('Risk Assessment'!A6:A55)</f>
        <v/>
      </c>
      <c r="C9" s="25">
        <f>COUNTIF('Risk Assessment'!G6:G55,"Approved")</f>
        <v/>
      </c>
      <c r="D9" s="25">
        <f>COUNTIF('Risk Assessment'!G6:G55,"Pending Approval")</f>
        <v/>
      </c>
      <c r="E9" s="25">
        <f>COUNTIF('Risk Assessment'!G6:G55,"Rejected")+COUNTIF('Risk Assessment'!G6:G55,"Assessed")</f>
        <v/>
      </c>
      <c r="F9" s="25" t="inlineStr">
        <is>
          <t>0</t>
        </is>
      </c>
      <c r="G9" s="26">
        <f>IF((B9-F9)=0,0,C9/(B9-F9))</f>
        <v/>
      </c>
    </row>
    <row r="10">
      <c r="A10" s="24" t="inlineStr">
        <is>
          <t>Risk Treatment</t>
        </is>
      </c>
      <c r="B10" s="25">
        <f>COUNTA('Risk Treatment'!A6:A55)</f>
        <v/>
      </c>
      <c r="C10" s="25">
        <f>COUNTIF('Risk Treatment'!L6:L55,"Implemented")</f>
        <v/>
      </c>
      <c r="D10" s="25">
        <f>COUNTIF('Risk Treatment'!L6:L55,"Approved")</f>
        <v/>
      </c>
      <c r="E10" s="25">
        <f>COUNTIF('Risk Treatment'!L6:L55,"Open")+COUNTIF('Risk Treatment'!L6:L55,"Expired")</f>
        <v/>
      </c>
      <c r="F10" s="25" t="inlineStr">
        <is>
          <t>0</t>
        </is>
      </c>
      <c r="G10" s="26">
        <f>IF((B10-F10)=0,0,C10/(B10-F10))</f>
        <v/>
      </c>
    </row>
    <row r="11">
      <c r="A11" s="27" t="inlineStr">
        <is>
          <t>TOTAL</t>
        </is>
      </c>
      <c r="B11" s="28">
        <f>SUM(B6:B10)</f>
        <v/>
      </c>
      <c r="C11" s="28">
        <f>SUM(C6:C10)</f>
        <v/>
      </c>
      <c r="D11" s="28">
        <f>SUM(D6:D10)</f>
        <v/>
      </c>
      <c r="E11" s="28">
        <f>SUM(E6:E10)</f>
        <v/>
      </c>
      <c r="F11" s="28">
        <f>SUM(F6:F10)</f>
        <v/>
      </c>
      <c r="G11" s="29">
        <f>IF((B11-F11)=0,0,C11/(B11-F11))</f>
        <v/>
      </c>
    </row>
    <row r="13">
      <c r="A13" s="22" t="inlineStr">
        <is>
          <t>TABLE 2: KEY METRICS</t>
        </is>
      </c>
    </row>
    <row r="14">
      <c r="A14" s="27" t="inlineStr">
        <is>
          <t>Metric</t>
        </is>
      </c>
      <c r="B14" s="28" t="inlineStr">
        <is>
          <t>Value</t>
        </is>
      </c>
      <c r="C14" s="28" t="inlineStr"/>
      <c r="D14" s="28" t="inlineStr"/>
      <c r="E14" s="28" t="inlineStr"/>
      <c r="F14" s="28" t="inlineStr"/>
      <c r="G14" s="28" t="inlineStr"/>
    </row>
    <row r="15">
      <c r="A15" s="27" t="inlineStr">
        <is>
          <t>Vulnerability Backlog</t>
        </is>
      </c>
    </row>
    <row r="16">
      <c r="A16" s="24" t="inlineStr">
        <is>
          <t>Total Vulnerabilities in Inventory</t>
        </is>
      </c>
      <c r="B16" s="25">
        <f>COUNTA('Vulnerability Inventory'!A6:A55)</f>
        <v/>
      </c>
      <c r="C16" s="30" t="n"/>
      <c r="D16" s="30" t="n"/>
      <c r="E16" s="30" t="n"/>
      <c r="F16" s="30" t="n"/>
      <c r="G16" s="30" t="n"/>
    </row>
    <row r="17">
      <c r="A17" s="24" t="inlineStr">
        <is>
          <t>P0 — Emergency (Open)</t>
        </is>
      </c>
      <c r="B17" s="25">
        <f>COUNTIFS('Vulnerability Inventory'!V6:V55,"P0",'Vulnerability Inventory'!Z6:Z55,"Open")</f>
        <v/>
      </c>
      <c r="C17" s="30" t="n"/>
      <c r="D17" s="30" t="n"/>
      <c r="E17" s="30" t="n"/>
      <c r="F17" s="30" t="n"/>
      <c r="G17" s="30" t="n"/>
    </row>
    <row r="18">
      <c r="A18" s="24" t="inlineStr">
        <is>
          <t>P1 — Critical (Open)</t>
        </is>
      </c>
      <c r="B18" s="25">
        <f>COUNTIFS('Vulnerability Inventory'!V6:V55,"P1",'Vulnerability Inventory'!Z6:Z55,"Open")</f>
        <v/>
      </c>
      <c r="C18" s="30" t="n"/>
      <c r="D18" s="30" t="n"/>
      <c r="E18" s="30" t="n"/>
      <c r="F18" s="30" t="n"/>
      <c r="G18" s="30" t="n"/>
    </row>
    <row r="19">
      <c r="A19" s="24" t="inlineStr">
        <is>
          <t>P2 — High (Open)</t>
        </is>
      </c>
      <c r="B19" s="25">
        <f>COUNTIFS('Vulnerability Inventory'!V6:V55,"P2",'Vulnerability Inventory'!Z6:Z55,"Open")</f>
        <v/>
      </c>
      <c r="C19" s="30" t="n"/>
      <c r="D19" s="30" t="n"/>
      <c r="E19" s="30" t="n"/>
      <c r="F19" s="30" t="n"/>
      <c r="G19" s="30" t="n"/>
    </row>
    <row r="20">
      <c r="A20" s="24" t="inlineStr">
        <is>
          <t>KEV-Listed Vulnerabilities</t>
        </is>
      </c>
      <c r="B20" s="25">
        <f>COUNTIF('Vulnerability Inventory'!F6:F55,"YES")</f>
        <v/>
      </c>
      <c r="C20" s="30" t="n"/>
      <c r="D20" s="30" t="n"/>
      <c r="E20" s="30" t="n"/>
      <c r="F20" s="30" t="n"/>
      <c r="G20" s="30" t="n"/>
    </row>
    <row r="21">
      <c r="A21" s="24" t="inlineStr">
        <is>
          <t>KEV-Listed — Not Remediated</t>
        </is>
      </c>
      <c r="B21" s="25">
        <f>COUNTIFS('Vulnerability Inventory'!F6:F55,"YES",'Vulnerability Inventory'!Z6:Z55,"Open")</f>
        <v/>
      </c>
      <c r="C21" s="30" t="n"/>
      <c r="D21" s="30" t="n"/>
      <c r="E21" s="30" t="n"/>
      <c r="F21" s="30" t="n"/>
      <c r="G21" s="30" t="n"/>
    </row>
    <row r="22">
      <c r="A22" s="24" t="inlineStr">
        <is>
          <t>Remediated (Complete)</t>
        </is>
      </c>
      <c r="B22" s="25">
        <f>COUNTIF('Vulnerability Inventory'!Z6:Z55,"Complete")</f>
        <v/>
      </c>
      <c r="C22" s="30" t="n"/>
      <c r="D22" s="30" t="n"/>
      <c r="E22" s="30" t="n"/>
      <c r="F22" s="30" t="n"/>
      <c r="G22" s="30" t="n"/>
    </row>
    <row r="23">
      <c r="A23" s="24" t="inlineStr">
        <is>
          <t>Risk Accepted</t>
        </is>
      </c>
      <c r="B23" s="25">
        <f>COUNTIF('Vulnerability Inventory'!Z6:Z55,"Risk Accepted")</f>
        <v/>
      </c>
      <c r="C23" s="30" t="n"/>
      <c r="D23" s="30" t="n"/>
      <c r="E23" s="30" t="n"/>
      <c r="F23" s="30" t="n"/>
      <c r="G23" s="30" t="n"/>
    </row>
    <row r="24">
      <c r="A24" s="27" t="inlineStr">
        <is>
          <t>Scoring &amp; Assessment</t>
        </is>
      </c>
    </row>
    <row r="25">
      <c r="A25" s="24" t="inlineStr">
        <is>
          <t>CVSS v4.0 Scored %</t>
        </is>
      </c>
      <c r="B25" s="26">
        <f>IFERROR(COUNTIF('Vulnerability Scoring'!H6:H55,"v4.0 Scored")/COUNTA('Vulnerability Scoring'!A6:A55),0)</f>
        <v/>
      </c>
      <c r="C25" s="30" t="n"/>
      <c r="D25" s="30" t="n"/>
      <c r="E25" s="30" t="n"/>
      <c r="F25" s="30" t="n"/>
      <c r="G25" s="30" t="n"/>
    </row>
    <row r="26">
      <c r="A26" s="27" t="inlineStr">
        <is>
          <t>Asset &amp; Risk Management</t>
        </is>
      </c>
    </row>
    <row r="27">
      <c r="A27" s="24" t="inlineStr">
        <is>
          <t>Assets in Criticality Register</t>
        </is>
      </c>
      <c r="B27" s="25">
        <f>COUNTA('Asset Criticality'!A6:A55)</f>
        <v/>
      </c>
      <c r="C27" s="30" t="n"/>
      <c r="D27" s="30" t="n"/>
      <c r="E27" s="30" t="n"/>
      <c r="F27" s="30" t="n"/>
      <c r="G27" s="30" t="n"/>
    </row>
    <row r="28">
      <c r="A28" s="24" t="inlineStr">
        <is>
          <t>Risk Treatment Decisions — Pending</t>
        </is>
      </c>
      <c r="B28" s="25">
        <f>COUNTIF('Risk Treatment'!L6:L55,"Open")</f>
        <v/>
      </c>
      <c r="C28" s="30" t="n"/>
      <c r="D28" s="30" t="n"/>
      <c r="E28" s="30" t="n"/>
      <c r="F28" s="30" t="n"/>
      <c r="G28" s="30" t="n"/>
    </row>
    <row r="29">
      <c r="A29" s="24" t="inlineStr">
        <is>
          <t>Risk Treatment Decisions — Implemented</t>
        </is>
      </c>
      <c r="B29" s="25">
        <f>COUNTIF('Risk Treatment'!L6:L55,"Implemented")</f>
        <v/>
      </c>
      <c r="C29" s="30" t="n"/>
      <c r="D29" s="30" t="n"/>
      <c r="E29" s="30" t="n"/>
      <c r="F29" s="30" t="n"/>
      <c r="G29" s="30" t="n"/>
    </row>
    <row r="31">
      <c r="A31" s="31" t="inlineStr">
        <is>
          <t>TABLE 3: CRITICAL FINDINGS REQUIRING ACTION</t>
        </is>
      </c>
    </row>
    <row r="32">
      <c r="A32" s="27" t="inlineStr">
        <is>
          <t>Category</t>
        </is>
      </c>
      <c r="B32" s="28" t="inlineStr">
        <is>
          <t>Finding</t>
        </is>
      </c>
      <c r="C32" s="28" t="inlineStr">
        <is>
          <t>Count</t>
        </is>
      </c>
      <c r="D32" s="28" t="inlineStr">
        <is>
          <t>Severity</t>
        </is>
      </c>
      <c r="E32" s="28" t="inlineStr">
        <is>
          <t>Action Required</t>
        </is>
      </c>
      <c r="F32" s="28" t="inlineStr"/>
      <c r="G32" s="28" t="inlineStr"/>
    </row>
    <row r="33">
      <c r="A33" s="32" t="inlineStr">
        <is>
          <t>Emergency</t>
        </is>
      </c>
      <c r="B33" s="32" t="inlineStr">
        <is>
          <t>P0 Emergency vulnerabilities — Open</t>
        </is>
      </c>
      <c r="C33" s="33">
        <f>COUNTIFS('Vulnerability Inventory'!V6:V55,"P0",'Vulnerability Inventory'!Z6:Z55,"Open")</f>
        <v/>
      </c>
      <c r="D33" s="33" t="inlineStr">
        <is>
          <t>Critical</t>
        </is>
      </c>
      <c r="E33" s="33" t="inlineStr">
        <is>
          <t>Immediate</t>
        </is>
      </c>
      <c r="F33" s="33" t="inlineStr"/>
      <c r="G33" s="33" t="inlineStr"/>
    </row>
    <row r="34">
      <c r="A34" s="32" t="inlineStr">
        <is>
          <t>KEV Compliance</t>
        </is>
      </c>
      <c r="B34" s="32" t="inlineStr">
        <is>
          <t>KEV-listed vulnerabilities — Not Remediated</t>
        </is>
      </c>
      <c r="C34" s="33">
        <f>COUNTIFS('Vulnerability Inventory'!F6:F55,"YES",'Vulnerability Inventory'!Z6:Z55,"Open")</f>
        <v/>
      </c>
      <c r="D34" s="33" t="inlineStr">
        <is>
          <t>Critical</t>
        </is>
      </c>
      <c r="E34" s="33" t="inlineStr">
        <is>
          <t>Immediate</t>
        </is>
      </c>
      <c r="F34" s="33" t="inlineStr"/>
      <c r="G34" s="33" t="inlineStr"/>
    </row>
    <row r="35">
      <c r="A35" s="32" t="inlineStr">
        <is>
          <t>Priority</t>
        </is>
      </c>
      <c r="B35" s="32" t="inlineStr">
        <is>
          <t>P1 Critical vulnerabilities — Open</t>
        </is>
      </c>
      <c r="C35" s="33">
        <f>COUNTIFS('Vulnerability Inventory'!V6:V55,"P1",'Vulnerability Inventory'!Z6:Z55,"Open")</f>
        <v/>
      </c>
      <c r="D35" s="33" t="inlineStr">
        <is>
          <t>Critical</t>
        </is>
      </c>
      <c r="E35" s="33" t="inlineStr">
        <is>
          <t>Immediate</t>
        </is>
      </c>
      <c r="F35" s="33" t="inlineStr"/>
      <c r="G35" s="33" t="inlineStr"/>
    </row>
    <row r="36">
      <c r="A36" s="34" t="inlineStr">
        <is>
          <t>Risk Assessment</t>
        </is>
      </c>
      <c r="B36" s="34" t="inlineStr">
        <is>
          <t>Risk treatment decisions pending approval</t>
        </is>
      </c>
      <c r="C36" s="35">
        <f>COUNTIF('Risk Treatment'!L6:L55,"Open")</f>
        <v/>
      </c>
      <c r="D36" s="35" t="inlineStr">
        <is>
          <t>High</t>
        </is>
      </c>
      <c r="E36" s="35" t="inlineStr">
        <is>
          <t>Urgent</t>
        </is>
      </c>
      <c r="F36" s="35" t="inlineStr"/>
      <c r="G36" s="35" t="inlineStr"/>
    </row>
    <row r="37">
      <c r="A37" s="34" t="inlineStr">
        <is>
          <t>Risk Assessment</t>
        </is>
      </c>
      <c r="B37" s="34" t="inlineStr">
        <is>
          <t>Risk treatment decisions expired</t>
        </is>
      </c>
      <c r="C37" s="35">
        <f>COUNTIF('Risk Treatment'!L6:L55,"Expired")</f>
        <v/>
      </c>
      <c r="D37" s="35" t="inlineStr">
        <is>
          <t>High</t>
        </is>
      </c>
      <c r="E37" s="35" t="inlineStr">
        <is>
          <t>Urgent</t>
        </is>
      </c>
      <c r="F37" s="35" t="inlineStr"/>
      <c r="G37" s="35" t="inlineStr"/>
    </row>
    <row r="38">
      <c r="A38" s="34" t="inlineStr">
        <is>
          <t>Scoring</t>
        </is>
      </c>
      <c r="B38" s="34" t="inlineStr">
        <is>
          <t>Vulnerabilities with no CVSS score</t>
        </is>
      </c>
      <c r="C38" s="35">
        <f>COUNTIF('Vulnerability Scoring'!H6:H55,"Unscored")</f>
        <v/>
      </c>
      <c r="D38" s="35" t="inlineStr">
        <is>
          <t>High</t>
        </is>
      </c>
      <c r="E38" s="35" t="inlineStr">
        <is>
          <t>Urgent</t>
        </is>
      </c>
      <c r="F38" s="35" t="inlineStr"/>
      <c r="G38" s="35" t="inlineStr"/>
    </row>
    <row r="39">
      <c r="A39" s="36" t="inlineStr">
        <is>
          <t>Asset Criticality</t>
        </is>
      </c>
      <c r="B39" s="36" t="inlineStr">
        <is>
          <t>Asset criticality assessments overdue</t>
        </is>
      </c>
      <c r="C39" s="37">
        <f>COUNTIF('Asset Criticality'!H6:H55,"Overdue")</f>
        <v/>
      </c>
      <c r="D39" s="37" t="inlineStr">
        <is>
          <t>Medium</t>
        </is>
      </c>
      <c r="E39" s="37" t="inlineStr">
        <is>
          <t>Plan</t>
        </is>
      </c>
      <c r="F39" s="37" t="inlineStr"/>
      <c r="G39" s="37" t="inlineStr"/>
    </row>
    <row r="40">
      <c r="A40" s="36" t="inlineStr">
        <is>
          <t>Priority</t>
        </is>
      </c>
      <c r="B40" s="36" t="inlineStr">
        <is>
          <t>P2 High vulnerabilities — Open</t>
        </is>
      </c>
      <c r="C40" s="37">
        <f>COUNTIFS('Vulnerability Inventory'!V6:V55,"P2",'Vulnerability Inventory'!Z6:Z55,"Open")</f>
        <v/>
      </c>
      <c r="D40" s="37" t="inlineStr">
        <is>
          <t>Medium</t>
        </is>
      </c>
      <c r="E40" s="37" t="inlineStr">
        <is>
          <t>Plan</t>
        </is>
      </c>
      <c r="F40" s="37" t="inlineStr"/>
      <c r="G40" s="37" t="inlineStr"/>
    </row>
  </sheetData>
  <mergeCells count="8">
    <mergeCell ref="A13:G13"/>
    <mergeCell ref="A1:G1"/>
    <mergeCell ref="A31:G31"/>
    <mergeCell ref="A4:G4"/>
    <mergeCell ref="A26:G26"/>
    <mergeCell ref="A24:G24"/>
    <mergeCell ref="A2:G2"/>
    <mergeCell ref="A15:G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VULNERABILITY INVENTORY, SCORING AND RISK — ASSESSMENT APPROVAL AND SIGN-OFF</t>
        </is>
      </c>
      <c r="B1" s="6" t="n"/>
      <c r="C1" s="6" t="n"/>
      <c r="D1" s="6" t="n"/>
      <c r="E1" s="6" t="n"/>
    </row>
    <row r="2">
      <c r="A2" s="12" t="inlineStr">
        <is>
          <t>ISO/IEC 27001:2022 Annex A — Control A.8.8: Management of Technical Vulnerabilities</t>
        </is>
      </c>
      <c r="B2" s="6" t="n"/>
      <c r="C2" s="6" t="n"/>
      <c r="D2" s="6" t="n"/>
      <c r="E2" s="6" t="n"/>
    </row>
    <row r="3">
      <c r="A3" s="38" t="inlineStr">
        <is>
          <t>ASSESSMENT SUMMARY</t>
        </is>
      </c>
      <c r="B3" s="6" t="n"/>
      <c r="C3" s="6" t="n"/>
      <c r="D3" s="6" t="n"/>
      <c r="E3" s="6" t="n"/>
    </row>
    <row r="4">
      <c r="A4" s="39" t="inlineStr">
        <is>
          <t>Document:</t>
        </is>
      </c>
      <c r="B4" s="6" t="inlineStr">
        <is>
          <t>ISMS-IMP-A.8.8.2 — Vulnerability Inventory, Scoring &amp; Risk</t>
        </is>
      </c>
      <c r="C4" s="6" t="n"/>
      <c r="D4" s="6" t="n"/>
      <c r="E4" s="6" t="n"/>
    </row>
    <row r="5">
      <c r="A5" s="39" t="inlineStr">
        <is>
          <t>Assessment Period:</t>
        </is>
      </c>
      <c r="B5" s="30" t="inlineStr"/>
      <c r="C5" s="6" t="n"/>
      <c r="D5" s="6" t="n"/>
      <c r="E5" s="6" t="n"/>
    </row>
    <row r="6">
      <c r="A6" s="39" t="inlineStr">
        <is>
          <t>Overall Compliance Rating:</t>
        </is>
      </c>
      <c r="B6" s="40">
        <f>'Summary Dashboard'!G11</f>
        <v/>
      </c>
      <c r="C6" s="6" t="n"/>
      <c r="D6" s="6" t="n"/>
      <c r="E6" s="6" t="n"/>
    </row>
    <row r="7">
      <c r="A7" s="39" t="inlineStr">
        <is>
          <t>Assessment Status:</t>
        </is>
      </c>
      <c r="B7" s="30" t="inlineStr"/>
      <c r="C7" s="6" t="n"/>
      <c r="D7" s="6" t="n"/>
      <c r="E7" s="6" t="n"/>
    </row>
    <row r="8">
      <c r="A8" s="39" t="inlineStr">
        <is>
          <t>Assessed By:</t>
        </is>
      </c>
      <c r="B8" s="30" t="inlineStr"/>
      <c r="C8" s="6" t="n"/>
      <c r="D8" s="6" t="n"/>
      <c r="E8" s="6" t="n"/>
    </row>
    <row r="9">
      <c r="A9" s="6" t="n"/>
    </row>
    <row r="10">
      <c r="A10" s="38" t="inlineStr">
        <is>
          <t>ASSESSMENT REVIEW AND APPROVAL</t>
        </is>
      </c>
    </row>
    <row r="11">
      <c r="A11" s="23" t="inlineStr">
        <is>
          <t>Role / Function</t>
        </is>
      </c>
      <c r="B11" s="23" t="inlineStr">
        <is>
          <t>Name</t>
        </is>
      </c>
      <c r="C11" s="23" t="inlineStr">
        <is>
          <t>Signature / Initials</t>
        </is>
      </c>
      <c r="D11" s="23" t="inlineStr">
        <is>
          <t>Date (DD.MM.YYYY)</t>
        </is>
      </c>
      <c r="E11" s="23" t="inlineStr">
        <is>
          <t>Comments</t>
        </is>
      </c>
    </row>
    <row r="12">
      <c r="A12" s="41" t="inlineStr">
        <is>
          <t>Lead Assessor / Author</t>
        </is>
      </c>
      <c r="B12" s="30" t="n"/>
      <c r="C12" s="30" t="n"/>
      <c r="D12" s="30" t="n"/>
      <c r="E12" s="30" t="n"/>
    </row>
    <row r="13">
      <c r="A13" s="41" t="inlineStr">
        <is>
          <t>IT Security Manager</t>
        </is>
      </c>
      <c r="B13" s="30" t="n"/>
      <c r="C13" s="30" t="n"/>
      <c r="D13" s="30" t="n"/>
      <c r="E13" s="30" t="n"/>
    </row>
    <row r="14">
      <c r="A14" s="41" t="inlineStr">
        <is>
          <t>Reviewer (Technical / Compliance)</t>
        </is>
      </c>
      <c r="B14" s="30" t="n"/>
      <c r="C14" s="30" t="n"/>
      <c r="D14" s="30" t="n"/>
      <c r="E14" s="30" t="n"/>
    </row>
    <row r="15">
      <c r="A15" s="41" t="inlineStr">
        <is>
          <t>CISO / Final Approver</t>
        </is>
      </c>
      <c r="B15" s="30" t="n"/>
      <c r="C15" s="30" t="n"/>
      <c r="D15" s="30" t="n"/>
      <c r="E15" s="30" t="n"/>
    </row>
    <row r="16">
      <c r="A16" s="6" t="n"/>
    </row>
    <row r="17">
      <c r="A17" s="42" t="inlineStr">
        <is>
          <t>FINAL DECISION:</t>
        </is>
      </c>
      <c r="B17" s="43" t="inlineStr">
        <is>
          <t>☐ Approved     ☐ Approved with Conditions     ☐ Rejected     ☐ Deferred</t>
        </is>
      </c>
      <c r="C17" s="6" t="n"/>
      <c r="D17" s="6" t="n"/>
      <c r="E17" s="6" t="n"/>
    </row>
    <row r="18">
      <c r="A18" s="6" t="n"/>
    </row>
    <row r="19">
      <c r="A19" s="38" t="inlineStr">
        <is>
          <t>NEXT REVIEW DETAILS</t>
        </is>
      </c>
    </row>
    <row r="20">
      <c r="A20" s="44" t="inlineStr">
        <is>
          <t>Next Review Date (DD.MM.YYYY)</t>
        </is>
      </c>
      <c r="B20" s="30" t="n"/>
    </row>
    <row r="21">
      <c r="A21" s="44" t="inlineStr">
        <is>
          <t>Review Owner</t>
        </is>
      </c>
      <c r="B21" s="30"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ISMS-IMP-A.8.8.2 — Vulnerability Inventory, Scoring &amp; Risk</dc:title>
  <dc:description xmlns:dc="http://purl.org/dc/elements/1.1/">ISMS Implementation Workbook — ISMS-IMP-A.8.8.2</dc:description>
  <dc:subject xmlns:dc="http://purl.org/dc/elements/1.1/">ISO/IEC 27001:2022 — Control A.8.8: Management of Technical Vulnerabilities</dc:subject>
  <dcterms:created xmlns:dcterms="http://purl.org/dc/terms/" xmlns:xsi="http://www.w3.org/2001/XMLSchema-instance" xsi:type="dcterms:W3CDTF">2026-03-07T11:28:34Z</dcterms:created>
  <dcterms:modified xmlns:dcterms="http://purl.org/dc/terms/" xmlns:xsi="http://www.w3.org/2001/XMLSchema-instance" xsi:type="dcterms:W3CDTF">2026-03-07T11:28:34Z</dcterms:modified>
</cp:coreProperties>
</file>