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hange_Request_Register" sheetId="2" state="visible" r:id="rId2"/>
    <sheet xmlns:r="http://schemas.openxmlformats.org/officeDocument/2006/relationships" name="Change_Approval_Workflow" sheetId="3" state="visible" r:id="rId3"/>
    <sheet xmlns:r="http://schemas.openxmlformats.org/officeDocument/2006/relationships" name="Impact_Assessment" sheetId="4" state="visible" r:id="rId4"/>
    <sheet xmlns:r="http://schemas.openxmlformats.org/officeDocument/2006/relationships" name="Testing_Validation" sheetId="5" state="visible" r:id="rId5"/>
    <sheet xmlns:r="http://schemas.openxmlformats.org/officeDocument/2006/relationships" name="Implementation_Log" sheetId="6" state="visible" r:id="rId6"/>
    <sheet xmlns:r="http://schemas.openxmlformats.org/officeDocument/2006/relationships" name="Rollback_Capability" sheetId="7" state="visible" r:id="rId7"/>
    <sheet xmlns:r="http://schemas.openxmlformats.org/officeDocument/2006/relationships" name="Emergency_Changes" sheetId="8" state="visible" r:id="rId8"/>
    <sheet xmlns:r="http://schemas.openxmlformats.org/officeDocument/2006/relationships" name="Change_Success_Metrics" sheetId="9" state="visible" r:id="rId9"/>
    <sheet xmlns:r="http://schemas.openxmlformats.org/officeDocument/2006/relationships" name="Compliance_Dashboard" sheetId="10" state="visible" r:id="rId10"/>
    <sheet xmlns:r="http://schemas.openxmlformats.org/officeDocument/2006/relationships" name="Evidence_Register" sheetId="11" state="visible" r:id="rId11"/>
    <sheet xmlns:r="http://schemas.openxmlformats.org/officeDocument/2006/relationships" name="Approval_Sign_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6"/>
    </font>
    <font>
      <b val="1"/>
    </font>
    <font>
      <name val="Calibri"/>
      <sz val="11"/>
    </font>
    <font>
      <name val="Calibri"/>
      <b val="1"/>
      <color rgb="00FFFFFF"/>
      <sz val="12"/>
    </font>
    <font>
      <name val="Calibri"/>
      <color rgb="00666666"/>
      <sz val="11"/>
    </font>
    <font>
      <name val="Calibri"/>
      <b val="1"/>
      <color rgb="00FFFFFF"/>
      <sz val="14"/>
    </font>
    <font>
      <name val="Calibri"/>
      <b val="1"/>
      <sz val="11"/>
    </font>
    <font>
      <name val="Calibri"/>
      <i val="1"/>
      <sz val="11"/>
    </font>
    <font>
      <name val="Calibri"/>
      <i val="1"/>
      <color rgb="00666666"/>
      <sz val="10"/>
    </font>
    <font>
      <name val="Calibri"/>
      <b val="1"/>
      <sz val="12"/>
    </font>
    <font>
      <name val="Calibri"/>
      <i val="1"/>
      <sz val="10"/>
    </font>
  </fonts>
  <fills count="8">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FF"/>
        <bgColor rgb="00FFFFFF"/>
      </patternFill>
    </fill>
    <fill>
      <patternFill patternType="solid">
        <fgColor rgb="00F2F2F2"/>
        <bgColor rgb="00F2F2F2"/>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left" vertical="top" wrapText="1"/>
    </xf>
    <xf numFmtId="0" fontId="4" fillId="3" borderId="1" applyAlignment="1" pivotButton="0" quotePrefix="0" xfId="0">
      <alignment horizontal="left" vertical="center"/>
    </xf>
    <xf numFmtId="0" fontId="5"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3" fillId="5" borderId="1" applyAlignment="1" pivotButton="0" quotePrefix="0" xfId="0">
      <alignment horizontal="left" vertical="top"/>
    </xf>
    <xf numFmtId="0" fontId="8" fillId="6" borderId="1" applyAlignment="1" pivotButton="0" quotePrefix="0" xfId="0">
      <alignment horizontal="left" vertical="top"/>
    </xf>
    <xf numFmtId="164" fontId="8" fillId="6" borderId="1" applyAlignment="1" pivotButton="0" quotePrefix="0" xfId="0">
      <alignment horizontal="left" vertical="top"/>
    </xf>
    <xf numFmtId="0" fontId="3" fillId="0" borderId="0" pivotButton="0" quotePrefix="0" xfId="0"/>
    <xf numFmtId="0" fontId="3" fillId="6" borderId="0" pivotButton="0" quotePrefix="0" xfId="0"/>
    <xf numFmtId="0" fontId="9" fillId="0" borderId="0" applyAlignment="1" pivotButton="0" quotePrefix="0" xfId="0">
      <alignment horizontal="center"/>
    </xf>
    <xf numFmtId="0" fontId="10" fillId="0" borderId="0" pivotButton="0" quotePrefix="0" xfId="0"/>
    <xf numFmtId="0" fontId="7" fillId="6" borderId="0" pivotButton="0" quotePrefix="0" xfId="0"/>
    <xf numFmtId="0" fontId="11" fillId="7"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12">
    <dxf>
      <font>
        <color rgb="00FFA500"/>
      </font>
    </dxf>
    <dxf>
      <font>
        <b val="1"/>
        <color rgb="009C0006"/>
      </font>
    </dxf>
    <dxf>
      <font>
        <b val="1"/>
      </font>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FFC7CE"/>
          <bgColor rgb="00FFC7CE"/>
        </patternFill>
      </fill>
    </dxf>
    <dxf>
      <font>
        <b val="1"/>
        <color rgb="00006100"/>
      </font>
    </dxf>
    <dxf>
      <font>
        <b val="1"/>
        <color rgb="00FFFFFF"/>
      </font>
      <fill>
        <patternFill patternType="solid">
          <fgColor rgb="00C00000"/>
          <bgColor rgb="00C00000"/>
        </patternFill>
      </fill>
    </dxf>
    <dxf>
      <font>
        <b val="1"/>
      </font>
      <fill>
        <patternFill patternType="solid">
          <fgColor rgb="00C6EFCE"/>
          <bgColor rgb="00C6EFCE"/>
        </patternFill>
      </fill>
    </dxf>
    <dxf>
      <font>
        <color rgb="00006100"/>
      </font>
    </dxf>
    <dxf>
      <font>
        <b val="1"/>
        <color rgb="009C6500"/>
      </font>
    </dxf>
    <dxf>
      <font>
        <color rgb="009C000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cols>
    <col width="100" customWidth="1" min="1" max="1"/>
    <col width="40" customWidth="1" min="2" max="2"/>
  </cols>
  <sheetData>
    <row r="1" ht="40" customHeight="1">
      <c r="A1" s="1" t="inlineStr">
        <is>
          <t>ISMS-IMP-A.8.9.2  -  Change Control Assessment
ISO/IEC 27001:2022 - Control A.8.9: Configuration Management</t>
        </is>
      </c>
    </row>
    <row r="2"/>
    <row r="3">
      <c r="A3" s="2" t="inlineStr">
        <is>
          <t>Document ID:</t>
        </is>
      </c>
      <c r="B3" t="inlineStr">
        <is>
          <t>ISMS-IMP-A.8.9.2</t>
        </is>
      </c>
    </row>
    <row r="4">
      <c r="A4" s="2" t="inlineStr">
        <is>
          <t>Assessment:</t>
        </is>
      </c>
      <c r="B4" t="inlineStr">
        <is>
          <t>Change Control Assessment</t>
        </is>
      </c>
    </row>
    <row r="5">
      <c r="A5" s="2" t="inlineStr">
        <is>
          <t>Version:</t>
        </is>
      </c>
      <c r="B5" t="inlineStr">
        <is>
          <t>1.0</t>
        </is>
      </c>
    </row>
    <row r="6">
      <c r="A6" s="2" t="inlineStr">
        <is>
          <t>Generated:</t>
        </is>
      </c>
      <c r="B6" t="inlineStr">
        <is>
          <t>08.02.2026 11:50</t>
        </is>
      </c>
    </row>
    <row r="8">
      <c r="A8" s="3" t="inlineStr"/>
    </row>
    <row r="9" ht="20" customHeight="1">
      <c r="A9" s="4" t="inlineStr">
        <is>
          <t>ASSESSMENT OVERVIEW</t>
        </is>
      </c>
    </row>
    <row r="10">
      <c r="A10" s="5" t="inlineStr">
        <is>
          <t>━━━━━━━━━━━━━━━━━━━━━━━━━━━━━━━━━━━━━━━━━━━━━━━━━━━━━━━━━━━━━━━━━━━━━━━━━━━━━━━━</t>
        </is>
      </c>
    </row>
    <row r="11">
      <c r="A11" s="3" t="inlineStr"/>
    </row>
    <row r="12">
      <c r="A12" s="3" t="inlineStr">
        <is>
          <t>Purpose:</t>
        </is>
      </c>
    </row>
    <row r="13">
      <c r="A13" s="3" t="inlineStr">
        <is>
          <t>This workbook evaluates the effectiveness of configuration change management processes. It verifies that all changes follow controlled procedures including impact assessment, approval workflows, testing validation, and rollback capability. Provides evidence of ISO 27001:2022 Control A.8.9 compliance.</t>
        </is>
      </c>
    </row>
    <row r="14">
      <c r="A14" s="3" t="inlineStr"/>
    </row>
    <row r="15">
      <c r="A15" s="3" t="inlineStr">
        <is>
          <t>Assessment Scope:</t>
        </is>
      </c>
    </row>
    <row r="16">
      <c r="A16" s="3" t="inlineStr">
        <is>
          <t>• All configuration changes (Standard, Normal, Emergency, Hot Fix)</t>
        </is>
      </c>
    </row>
    <row r="17">
      <c r="A17" s="3" t="inlineStr">
        <is>
          <t>• Multi-tier approval workflows and authorization chains</t>
        </is>
      </c>
    </row>
    <row r="18">
      <c r="A18" s="3" t="inlineStr">
        <is>
          <t>• Pre-deployment testing and validation</t>
        </is>
      </c>
    </row>
    <row r="19">
      <c r="A19" s="3" t="inlineStr">
        <is>
          <t>• Change implementation and post-implementation verification</t>
        </is>
      </c>
    </row>
    <row r="20">
      <c r="A20" s="3" t="inlineStr">
        <is>
          <t>• Rollback capability and procedures</t>
        </is>
      </c>
    </row>
    <row r="21">
      <c r="A21" s="3" t="inlineStr">
        <is>
          <t>• Emergency change management and retrospective review</t>
        </is>
      </c>
    </row>
    <row r="22">
      <c r="A22" s="3" t="inlineStr"/>
    </row>
    <row r="23" ht="20" customHeight="1">
      <c r="A23" s="4" t="inlineStr">
        <is>
          <t>CHANGE TYPES AND PRIORITIES</t>
        </is>
      </c>
    </row>
    <row r="24">
      <c r="A24" s="5" t="inlineStr">
        <is>
          <t>━━━━━━━━━━━━━━━━━━━━━━━━━━━━━━━━━━━━━━━━━━━━━━━━━━━━━━━━━━━━━━━━━━━━━━━━━━━━━━━━</t>
        </is>
      </c>
    </row>
    <row r="25">
      <c r="A25" s="3" t="inlineStr"/>
    </row>
    <row r="26">
      <c r="A26" s="3" t="inlineStr">
        <is>
          <t>Change Types:</t>
        </is>
      </c>
    </row>
    <row r="27">
      <c r="A27" s="3" t="inlineStr">
        <is>
          <t>• Standard: Pre-approved, low-risk changes (routine patching, scheduled maintenance)</t>
        </is>
      </c>
    </row>
    <row r="28">
      <c r="A28" s="3" t="inlineStr">
        <is>
          <t>• Normal: Planned changes requiring individual assessment and CAB approval</t>
        </is>
      </c>
    </row>
    <row r="29">
      <c r="A29" s="3" t="inlineStr">
        <is>
          <t>• Emergency: Urgent changes for critical incidents (expedited approval, post-review required)</t>
        </is>
      </c>
    </row>
    <row r="30">
      <c r="A30" s="3" t="inlineStr">
        <is>
          <t>• Hot Fix: Immediate changes for service restoration (minimal approval, full retrospective)</t>
        </is>
      </c>
    </row>
    <row r="31">
      <c r="A31" s="3" t="inlineStr"/>
    </row>
    <row r="32">
      <c r="A32" s="3" t="inlineStr">
        <is>
          <t>Priorities:</t>
        </is>
      </c>
    </row>
    <row r="33">
      <c r="A33" s="3" t="inlineStr">
        <is>
          <t>• P1-Critical: Immediate action (&lt;4 hours) - typically Hot Fix or Emergency</t>
        </is>
      </c>
    </row>
    <row r="34">
      <c r="A34" s="3" t="inlineStr">
        <is>
          <t>• P2-High: Urgent (&lt;24 hours) - Emergency or Normal</t>
        </is>
      </c>
    </row>
    <row r="35">
      <c r="A35" s="3" t="inlineStr">
        <is>
          <t>• P3-Medium: Important but scheduled (&lt;7 days) - Normal or Standard</t>
        </is>
      </c>
    </row>
    <row r="36">
      <c r="A36" s="3" t="inlineStr">
        <is>
          <t>• P4-Low: Minor, can be bundled (&lt;30 days) - Standard or Normal</t>
        </is>
      </c>
    </row>
    <row r="37">
      <c r="A37" s="3" t="inlineStr"/>
    </row>
    <row r="38">
      <c r="A38" s="3" t="inlineStr">
        <is>
          <t>Approval Tiers (Risk-Based):</t>
        </is>
      </c>
    </row>
    <row r="39">
      <c r="A39" s="3" t="inlineStr">
        <is>
          <t>• Single-Tier: Standard changes, low-risk (Change Coordinator approval)</t>
        </is>
      </c>
    </row>
    <row r="40">
      <c r="A40" s="3" t="inlineStr">
        <is>
          <t>• Two-Tier: Normal production changes (Technical Lead + Service Owner)</t>
        </is>
      </c>
    </row>
    <row r="41">
      <c r="A41" s="3" t="inlineStr">
        <is>
          <t>• Three-Tier: Critical systems, high-risk (Technical Lead + Service Owner + CAB/CIO/CISO)</t>
        </is>
      </c>
    </row>
    <row r="42">
      <c r="A42" s="3" t="inlineStr">
        <is>
          <t>• Emergency: Expedited (minimum 2 of: CIO/CISO/IT Manager, CAB review within 5 days)</t>
        </is>
      </c>
    </row>
    <row r="43">
      <c r="A43" s="3" t="inlineStr"/>
    </row>
    <row r="44" ht="20" customHeight="1">
      <c r="A44" s="4" t="inlineStr">
        <is>
          <t>WHO SHOULD COMPLETE THIS ASSESSMENT</t>
        </is>
      </c>
    </row>
    <row r="45">
      <c r="A45" s="5" t="inlineStr">
        <is>
          <t>━━━━━━━━━━━━━━━━━━━━━━━━━━━━━━━━━━━━━━━━━━━━━━━━━━━━━━━━━━━━━━━━━━━━━━━━━━━━━━━━</t>
        </is>
      </c>
    </row>
    <row r="46">
      <c r="A46" s="3" t="inlineStr"/>
    </row>
    <row r="47">
      <c r="A47" s="3" t="inlineStr">
        <is>
          <t>Change Coordinator (Preparer):</t>
        </is>
      </c>
    </row>
    <row r="48">
      <c r="A48" s="3" t="inlineStr">
        <is>
          <t>• Document all configuration changes in Change_Request_Register</t>
        </is>
      </c>
    </row>
    <row r="49">
      <c r="A49" s="3" t="inlineStr">
        <is>
          <t>• Complete Impact_Assessment before submission</t>
        </is>
      </c>
    </row>
    <row r="50">
      <c r="A50" s="3" t="inlineStr">
        <is>
          <t>• Track approval workflow and testing</t>
        </is>
      </c>
    </row>
    <row r="51">
      <c r="A51" s="3" t="inlineStr">
        <is>
          <t>• Log implementation and outcomes</t>
        </is>
      </c>
    </row>
    <row r="52">
      <c r="A52" s="3" t="inlineStr">
        <is>
          <t>• Maintain ongoing change records</t>
        </is>
      </c>
    </row>
    <row r="53">
      <c r="A53" s="3" t="inlineStr"/>
    </row>
    <row r="54">
      <c r="A54" s="3" t="inlineStr">
        <is>
          <t>Configuration Manager (Reviewer):</t>
        </is>
      </c>
    </row>
    <row r="55">
      <c r="A55" s="3" t="inlineStr">
        <is>
          <t>• Quarterly review of change management effectiveness</t>
        </is>
      </c>
    </row>
    <row r="56">
      <c r="A56" s="3" t="inlineStr">
        <is>
          <t>• Verify process compliance (approval, testing, documentation)</t>
        </is>
      </c>
    </row>
    <row r="57">
      <c r="A57" s="3" t="inlineStr">
        <is>
          <t>• Analyze success metrics and trends</t>
        </is>
      </c>
    </row>
    <row r="58">
      <c r="A58" s="3" t="inlineStr">
        <is>
          <t>• Identify process improvement opportunities</t>
        </is>
      </c>
    </row>
    <row r="59">
      <c r="A59" s="3" t="inlineStr">
        <is>
          <t>• Review emergency changes for legitimacy</t>
        </is>
      </c>
    </row>
    <row r="60">
      <c r="A60" s="3" t="inlineStr"/>
    </row>
    <row r="61">
      <c r="A61" s="3" t="inlineStr">
        <is>
          <t>IT Manager / CISO (Approver):</t>
        </is>
      </c>
    </row>
    <row r="62">
      <c r="A62" s="3" t="inlineStr">
        <is>
          <t>• Review overall change management health</t>
        </is>
      </c>
    </row>
    <row r="63">
      <c r="A63" s="3" t="inlineStr">
        <is>
          <t>• Approve assessment findings and remediation plans</t>
        </is>
      </c>
    </row>
    <row r="64">
      <c r="A64" s="3" t="inlineStr">
        <is>
          <t>• Authorize process improvements</t>
        </is>
      </c>
    </row>
    <row r="65">
      <c r="A65" s="3" t="inlineStr"/>
    </row>
    <row r="66" ht="20" customHeight="1">
      <c r="A66" s="4" t="inlineStr">
        <is>
          <t>COMPLETION INSTRUCTIONS</t>
        </is>
      </c>
    </row>
    <row r="67">
      <c r="A67" s="5" t="inlineStr">
        <is>
          <t>━━━━━━━━━━━━━━━━━━━━━━━━━━━━━━━━━━━━━━━━━━━━━━━━━━━━━━━━━━━━━━━━━━━━━━━━━━━━━━━━</t>
        </is>
      </c>
    </row>
    <row r="68">
      <c r="A68" s="3" t="inlineStr"/>
    </row>
    <row r="69">
      <c r="A69" s="3" t="inlineStr">
        <is>
          <t>Ongoing Change Tracking:</t>
        </is>
      </c>
    </row>
    <row r="70">
      <c r="A70" s="3" t="inlineStr">
        <is>
          <t>1. For each configuration change:</t>
        </is>
      </c>
    </row>
    <row r="71">
      <c r="A71" s="3" t="inlineStr">
        <is>
          <t xml:space="preserve">   • Create entry in Change_Request_Register (assign unique Change ID)</t>
        </is>
      </c>
    </row>
    <row r="72">
      <c r="A72" s="3" t="inlineStr">
        <is>
          <t xml:space="preserve">   • Complete Impact_Assessment before approval submission</t>
        </is>
      </c>
    </row>
    <row r="73">
      <c r="A73" s="3" t="inlineStr">
        <is>
          <t xml:space="preserve">   • Document approval in Change_Approval_Workflow</t>
        </is>
      </c>
    </row>
    <row r="74">
      <c r="A74" s="3" t="inlineStr">
        <is>
          <t xml:space="preserve">   • Record testing in Testing_Validation</t>
        </is>
      </c>
    </row>
    <row r="75">
      <c r="A75" s="3" t="inlineStr">
        <is>
          <t xml:space="preserve">   • Document rollback plan in Rollback_Capability (high-risk changes)</t>
        </is>
      </c>
    </row>
    <row r="76">
      <c r="A76" s="3" t="inlineStr">
        <is>
          <t xml:space="preserve">   • Log implementation in Implementation_Log</t>
        </is>
      </c>
    </row>
    <row r="77">
      <c r="A77" s="3" t="inlineStr">
        <is>
          <t xml:space="preserve">   • Update Change_Request_Register status throughout lifecycle</t>
        </is>
      </c>
    </row>
    <row r="78">
      <c r="A78" s="3" t="inlineStr"/>
    </row>
    <row r="79">
      <c r="A79" s="3" t="inlineStr">
        <is>
          <t>2. For emergency changes:</t>
        </is>
      </c>
    </row>
    <row r="80">
      <c r="A80" s="3" t="inlineStr">
        <is>
          <t xml:space="preserve">   • Follow expedited approval process</t>
        </is>
      </c>
    </row>
    <row r="81">
      <c r="A81" s="3" t="inlineStr">
        <is>
          <t xml:space="preserve">   • Document in Emergency_Changes sheet immediately after implementation</t>
        </is>
      </c>
    </row>
    <row r="82">
      <c r="A82" s="3" t="inlineStr">
        <is>
          <t xml:space="preserve">   • Complete post-implementation documentation within 24 hours</t>
        </is>
      </c>
    </row>
    <row r="83">
      <c r="A83" s="3" t="inlineStr">
        <is>
          <t xml:space="preserve">   • Schedule CAB retrospective review within 5 business days</t>
        </is>
      </c>
    </row>
    <row r="84">
      <c r="A84" s="3" t="inlineStr"/>
    </row>
    <row r="85">
      <c r="A85" s="3" t="inlineStr">
        <is>
          <t>Monthly Review (Change Coordinator):</t>
        </is>
      </c>
    </row>
    <row r="86">
      <c r="A86" s="3" t="inlineStr">
        <is>
          <t>1. Review previous month's changes for completeness</t>
        </is>
      </c>
    </row>
    <row r="87">
      <c r="A87" s="3" t="inlineStr">
        <is>
          <t>2. Verify all documentation is present</t>
        </is>
      </c>
    </row>
    <row r="88">
      <c r="A88" s="3" t="inlineStr">
        <is>
          <t>3. Follow up on incomplete records</t>
        </is>
      </c>
    </row>
    <row r="89">
      <c r="A89" s="3" t="inlineStr">
        <is>
          <t>4. Review Change_Success_Metrics for trends</t>
        </is>
      </c>
    </row>
    <row r="90">
      <c r="A90" s="3" t="inlineStr">
        <is>
          <t>5. Document gaps for quarterly assessment</t>
        </is>
      </c>
    </row>
    <row r="91">
      <c r="A91" s="3" t="inlineStr"/>
    </row>
    <row r="92">
      <c r="A92" s="3" t="inlineStr">
        <is>
          <t>Quarterly Assessment (Configuration Manager):</t>
        </is>
      </c>
    </row>
    <row r="93">
      <c r="A93" s="3" t="inlineStr">
        <is>
          <t>1. Comprehensive review of all sheets</t>
        </is>
      </c>
    </row>
    <row r="94">
      <c r="A94" s="3" t="inlineStr">
        <is>
          <t>2. Analyze Compliance_Dashboard metrics</t>
        </is>
      </c>
    </row>
    <row r="95">
      <c r="A95" s="3" t="inlineStr">
        <is>
          <t>3. Review emergency change ratio and justifications</t>
        </is>
      </c>
    </row>
    <row r="96">
      <c r="A96" s="3" t="inlineStr">
        <is>
          <t>4. Identify process improvement opportunities</t>
        </is>
      </c>
    </row>
    <row r="97">
      <c r="A97" s="3" t="inlineStr">
        <is>
          <t>5. Compile evidence and complete Reviewer Sign-Off</t>
        </is>
      </c>
    </row>
    <row r="98">
      <c r="A98" s="3" t="inlineStr"/>
    </row>
    <row r="99">
      <c r="A99" s="3" t="inlineStr">
        <is>
          <t>Annual/Semi-Annual Approval (IT Manager/CISO):</t>
        </is>
      </c>
    </row>
    <row r="100">
      <c r="A100" s="3" t="inlineStr">
        <is>
          <t>1. Review change management effectiveness</t>
        </is>
      </c>
    </row>
    <row r="101">
      <c r="A101" s="3" t="inlineStr">
        <is>
          <t>2. Approve remediation plans</t>
        </is>
      </c>
    </row>
    <row r="102">
      <c r="A102" s="3" t="inlineStr">
        <is>
          <t>3. Complete Approver Sign-Off</t>
        </is>
      </c>
    </row>
    <row r="103">
      <c r="A103" s="3" t="inlineStr"/>
    </row>
    <row r="104" ht="20" customHeight="1">
      <c r="A104" s="4" t="inlineStr">
        <is>
          <t>WORKBOOK STRUCTURE</t>
        </is>
      </c>
    </row>
    <row r="105">
      <c r="A105" s="5" t="inlineStr">
        <is>
          <t>━━━━━━━━━━━━━━━━━━━━━━━━━━━━━━━━━━━━━━━━━━━━━━━━━━━━━━━━━━━━━━━━━━━━━━━━━━━━━━━━</t>
        </is>
      </c>
    </row>
    <row r="106">
      <c r="A106" s="3" t="inlineStr"/>
    </row>
    <row r="107">
      <c r="A107" s="3" t="inlineStr">
        <is>
          <t>This workbook contains 12 sheets:</t>
        </is>
      </c>
    </row>
    <row r="108">
      <c r="A108" s="3" t="inlineStr"/>
    </row>
    <row r="109">
      <c r="A109" s="3" t="inlineStr">
        <is>
          <t>1.  Instructions - This sheet (usage guidance)</t>
        </is>
      </c>
    </row>
    <row r="110">
      <c r="A110" s="3" t="inlineStr">
        <is>
          <t>2.  Change_Request_Register - All configuration changes (100 rows)</t>
        </is>
      </c>
    </row>
    <row r="111">
      <c r="A111" s="3" t="inlineStr">
        <is>
          <t>3.  Change_Approval_Workflow - Approval chain tracking (100 rows)</t>
        </is>
      </c>
    </row>
    <row r="112">
      <c r="A112" s="3" t="inlineStr">
        <is>
          <t>4.  Impact_Assessment - Risk and impact analysis (100 rows)</t>
        </is>
      </c>
    </row>
    <row r="113">
      <c r="A113" s="3" t="inlineStr">
        <is>
          <t>5.  Testing_Validation - Pre-deployment testing records (100 rows)</t>
        </is>
      </c>
    </row>
    <row r="114">
      <c r="A114" s="3" t="inlineStr">
        <is>
          <t>6.  Implementation_Log - Change execution records (100 rows)</t>
        </is>
      </c>
    </row>
    <row r="115">
      <c r="A115" s="3" t="inlineStr">
        <is>
          <t>7.  Rollback_Capability - Rollback procedures and testing (100 rows)</t>
        </is>
      </c>
    </row>
    <row r="116">
      <c r="A116" s="3" t="inlineStr">
        <is>
          <t>8.  Emergency_Changes - Emergency change tracking (50 rows)</t>
        </is>
      </c>
    </row>
    <row r="117">
      <c r="A117" s="3" t="inlineStr">
        <is>
          <t>9.  Change_Success_Metrics - Auto-calculated success rates (dashboard)</t>
        </is>
      </c>
    </row>
    <row r="118">
      <c r="A118" s="3" t="inlineStr">
        <is>
          <t>10. Compliance_Dashboard - Process adherence metrics (dashboard)</t>
        </is>
      </c>
    </row>
    <row r="119">
      <c r="A119" s="3" t="inlineStr">
        <is>
          <t>11. Evidence_Register - Supporting evidence (100 rows)</t>
        </is>
      </c>
    </row>
    <row r="120">
      <c r="A120" s="3" t="inlineStr">
        <is>
          <t>12. Approval_Sign_Off - Three-tier approval signatures</t>
        </is>
      </c>
    </row>
    <row r="121">
      <c r="A121" s="3" t="inlineStr"/>
    </row>
    <row r="122" ht="20" customHeight="1">
      <c r="A122" s="4" t="inlineStr">
        <is>
          <t>LEGEND - STATUS VALUES AND COLOR CODING</t>
        </is>
      </c>
    </row>
    <row r="123">
      <c r="A123" s="5" t="inlineStr">
        <is>
          <t>━━━━━━━━━━━━━━━━━━━━━━━━━━━━━━━━━━━━━━━━━━━━━━━━━━━━━━━━━━━━━━━━━━━━━━━━━━━━━━━━</t>
        </is>
      </c>
    </row>
    <row r="124">
      <c r="A124" s="3" t="inlineStr"/>
    </row>
    <row r="125">
      <c r="A125" s="3" t="inlineStr">
        <is>
          <t>Change Status:</t>
        </is>
      </c>
    </row>
    <row r="126">
      <c r="A126" s="3" t="inlineStr">
        <is>
          <t xml:space="preserve">  🟢 Completed (Green) - Change successfully implemented and verified</t>
        </is>
      </c>
    </row>
    <row r="127">
      <c r="A127" s="3" t="inlineStr">
        <is>
          <t xml:space="preserve">  🟡 In Progress (Yellow) - Change in testing, scheduled, or implementing</t>
        </is>
      </c>
    </row>
    <row r="128">
      <c r="A128" s="3" t="inlineStr">
        <is>
          <t xml:space="preserve">  🔴 Failed (Red) - Change implementation failed</t>
        </is>
      </c>
    </row>
    <row r="129">
      <c r="A129" s="3" t="inlineStr">
        <is>
          <t xml:space="preserve">  🟠 Rolled Back (Orange) - Change was reversed due to issues</t>
        </is>
      </c>
    </row>
    <row r="130">
      <c r="A130" s="3" t="inlineStr"/>
    </row>
    <row r="131">
      <c r="A131" s="3" t="inlineStr">
        <is>
          <t>Priority:</t>
        </is>
      </c>
    </row>
    <row r="132">
      <c r="A132" s="3" t="inlineStr">
        <is>
          <t xml:space="preserve">  🔴 P1-Critical (Red) - Immediate action required</t>
        </is>
      </c>
    </row>
    <row r="133">
      <c r="A133" s="3" t="inlineStr">
        <is>
          <t xml:space="preserve">  🟡 P2-High (Yellow) - Urgent, within 24 hours</t>
        </is>
      </c>
    </row>
    <row r="134">
      <c r="A134" s="3" t="inlineStr">
        <is>
          <t xml:space="preserve">  ⚪ P3-Medium, P4-Low (Normal) - Scheduled implementation</t>
        </is>
      </c>
    </row>
    <row r="135">
      <c r="A135" s="3" t="inlineStr"/>
    </row>
    <row r="136">
      <c r="A136" s="3" t="inlineStr">
        <is>
          <t>Approval Status:</t>
        </is>
      </c>
    </row>
    <row r="137">
      <c r="A137" s="3" t="inlineStr">
        <is>
          <t xml:space="preserve">  🟢 Approved (Green) - Approved by all required tiers</t>
        </is>
      </c>
    </row>
    <row r="138">
      <c r="A138" s="3" t="inlineStr">
        <is>
          <t xml:space="preserve">  🟡 Pending (Yellow) - Awaiting approval</t>
        </is>
      </c>
    </row>
    <row r="139">
      <c r="A139" s="3" t="inlineStr">
        <is>
          <t xml:space="preserve">  🔴 Rejected (Red) - Change rejected, requires rework</t>
        </is>
      </c>
    </row>
    <row r="140">
      <c r="A140" s="3" t="inlineStr"/>
    </row>
    <row r="141">
      <c r="A141" s="3" t="inlineStr">
        <is>
          <t>Testing Results:</t>
        </is>
      </c>
    </row>
    <row r="142">
      <c r="A142" s="3" t="inlineStr">
        <is>
          <t xml:space="preserve">  🟢 ≥95% Pass Rate (Green) - Adequate testing</t>
        </is>
      </c>
    </row>
    <row r="143">
      <c r="A143" s="3" t="inlineStr">
        <is>
          <t xml:space="preserve">  🟡 80-94% Pass Rate (Yellow) - Marginal, review issues</t>
        </is>
      </c>
    </row>
    <row r="144">
      <c r="A144" s="3" t="inlineStr">
        <is>
          <t xml:space="preserve">  🔴 &lt;80% Pass Rate (Red) - Insufficient quality, do not proceed</t>
        </is>
      </c>
    </row>
    <row r="145">
      <c r="A145" s="3" t="inlineStr"/>
    </row>
    <row r="146">
      <c r="A146" s="3" t="inlineStr">
        <is>
          <t>Implementation Status:</t>
        </is>
      </c>
    </row>
    <row r="147">
      <c r="A147" s="3" t="inlineStr">
        <is>
          <t xml:space="preserve">  🟢 Successful (Green) - Change achieved intended result</t>
        </is>
      </c>
    </row>
    <row r="148">
      <c r="A148" s="3" t="inlineStr">
        <is>
          <t xml:space="preserve">  🔴 Failed (Red) - Change did not work as planned</t>
        </is>
      </c>
    </row>
    <row r="149">
      <c r="A149" s="3" t="inlineStr">
        <is>
          <t xml:space="preserve">  🟠 Rolled Back (Orange) - Change was reversed</t>
        </is>
      </c>
    </row>
    <row r="150">
      <c r="A150" s="3" t="inlineStr"/>
    </row>
    <row r="151" ht="20" customHeight="1">
      <c r="A151" s="4" t="inlineStr">
        <is>
          <t>COMPLIANCE TARGETS</t>
        </is>
      </c>
    </row>
    <row r="152">
      <c r="A152" s="5" t="inlineStr">
        <is>
          <t>━━━━━━━━━━━━━━━━━━━━━━━━━━━━━━━━━━━━━━━━━━━━━━━━━━━━━━━━━━━━━━━━━━━━━━━━━━━━━━━━</t>
        </is>
      </c>
    </row>
    <row r="153">
      <c r="A153" s="3" t="inlineStr"/>
    </row>
    <row r="154">
      <c r="A154" s="3" t="inlineStr">
        <is>
          <t>Change Success Rate: ≥95%</t>
        </is>
      </c>
    </row>
    <row r="155">
      <c r="A155" s="3" t="inlineStr">
        <is>
          <t>Emergency Change Ratio: &lt;10% of total changes</t>
        </is>
      </c>
    </row>
    <row r="156">
      <c r="A156" s="3" t="inlineStr">
        <is>
          <t>Approval Compliance: 100% (all changes have proper approval)</t>
        </is>
      </c>
    </row>
    <row r="157">
      <c r="A157" s="3" t="inlineStr">
        <is>
          <t>Testing Coverage: 100% for Normal changes, 80% for Emergency</t>
        </is>
      </c>
    </row>
    <row r="158">
      <c r="A158" s="3" t="inlineStr">
        <is>
          <t>Rollback Readiness: 100% for High/Critical risk changes</t>
        </is>
      </c>
    </row>
    <row r="159">
      <c r="A159" s="3" t="inlineStr">
        <is>
          <t>Overall Compliance: ≥95%</t>
        </is>
      </c>
    </row>
    <row r="160">
      <c r="A160" s="3" t="inlineStr"/>
    </row>
    <row r="161" ht="20" customHeight="1">
      <c r="A161" s="4" t="inlineStr">
        <is>
          <t>IMPORTANT NOTES</t>
        </is>
      </c>
    </row>
    <row r="162">
      <c r="A162" s="5" t="inlineStr">
        <is>
          <t>━━━━━━━━━━━━━━━━━━━━━━━━━━━━━━━━━━━━━━━━━━━━━━━━━━━━━━━━━━━━━━━━━━━━━━━━━━━━━━━━</t>
        </is>
      </c>
    </row>
    <row r="163">
      <c r="A163" s="3" t="inlineStr"/>
    </row>
    <row r="164">
      <c r="A164" s="3" t="inlineStr">
        <is>
          <t>• Protected cells (gray background) contain formulas - do not edit</t>
        </is>
      </c>
    </row>
    <row r="165">
      <c r="A165" s="3" t="inlineStr">
        <is>
          <t>• Use dropdowns for standardized entries</t>
        </is>
      </c>
    </row>
    <row r="166">
      <c r="A166" s="3" t="inlineStr">
        <is>
          <t>• Date fields: DD.MM.YYYY format, DateTime: DD.MM.YYYY HH:MM</t>
        </is>
      </c>
    </row>
    <row r="167">
      <c r="A167" s="3" t="inlineStr">
        <is>
          <t>• Change_Success_Metrics and Compliance_Dashboard auto-update</t>
        </is>
      </c>
    </row>
    <row r="168">
      <c r="A168" s="3" t="inlineStr">
        <is>
          <t>• Emergency changes require CAB retrospective review within 5 business days</t>
        </is>
      </c>
    </row>
    <row r="169">
      <c r="A169" s="3" t="inlineStr">
        <is>
          <t>• Standard changes are pre-approved but still require documentation</t>
        </is>
      </c>
    </row>
    <row r="170">
      <c r="A170" s="3" t="inlineStr">
        <is>
          <t>• All high-risk changes require documented rollback procedures</t>
        </is>
      </c>
    </row>
    <row r="171">
      <c r="A171" s="3" t="inlineStr"/>
    </row>
    <row r="172" ht="20" customHeight="1">
      <c r="A172" s="4" t="inlineStr">
        <is>
          <t>SUPPORT AND QUESTIONS</t>
        </is>
      </c>
    </row>
    <row r="173">
      <c r="A173" s="5" t="inlineStr">
        <is>
          <t>━━━━━━━━━━━━━━━━━━━━━━━━━━━━━━━━━━━━━━━━━━━━━━━━━━━━━━━━━━━━━━━━━━━━━━━━━━━━━━━━</t>
        </is>
      </c>
    </row>
    <row r="174">
      <c r="A174" s="3" t="inlineStr"/>
    </row>
    <row r="175">
      <c r="A175" s="3" t="inlineStr">
        <is>
          <t>Configuration Manager: [contact information]</t>
        </is>
      </c>
    </row>
    <row r="176">
      <c r="A176" s="3" t="inlineStr">
        <is>
          <t>Change Advisory Board: [contact information]</t>
        </is>
      </c>
    </row>
    <row r="177">
      <c r="A177" s="3" t="inlineStr">
        <is>
          <t>ISMS Team: [contact information]</t>
        </is>
      </c>
    </row>
    <row r="178">
      <c r="A178" s="3" t="inlineStr"/>
    </row>
    <row r="179">
      <c r="A179" s="3" t="inlineStr">
        <is>
          <t>For technical issues: [IT support]</t>
        </is>
      </c>
    </row>
    <row r="180">
      <c r="A180" s="3" t="inlineStr">
        <is>
          <t>For policy questions: Reference ISMS-POL-A.8.9-S2.2</t>
        </is>
      </c>
    </row>
    <row r="181">
      <c r="A181" s="3" t="inlineStr"/>
    </row>
    <row r="182">
      <c r="A182" s="5" t="inlineStr">
        <is>
          <t>━━━━━━━━━━━━━━━━━━━━━━━━━━━━━━━━━━━━━━━━━━━━━━━━━━━━━━━━━━━━━━━━━━━━━━━━━━━━━━━━</t>
        </is>
      </c>
    </row>
    <row r="183">
      <c r="A183" s="3" t="inlineStr">
        <is>
          <t>Generated: 08.02.2026 | Version: 1.0 | Document ID: ISMS-IMP-A.8.9.2</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5" customWidth="1" min="2" max="2"/>
    <col width="15" customWidth="1" min="3" max="3"/>
    <col width="15" customWidth="1" min="4" max="4"/>
    <col width="35" customWidth="1" min="5" max="5"/>
    <col width="20" customWidth="1" min="6" max="6"/>
    <col width="20" customWidth="1" min="7" max="7"/>
    <col width="15" customWidth="1" min="8" max="8"/>
    <col width="15" customWidth="1" min="9" max="9"/>
    <col width="18" customWidth="1" min="10" max="10"/>
    <col width="18" customWidth="1" min="11" max="11"/>
    <col width="12" customWidth="1" min="12" max="12"/>
    <col width="18" customWidth="1" min="13" max="13"/>
    <col width="40" customWidth="1" min="14" max="14"/>
  </cols>
  <sheetData>
    <row r="1" ht="30" customHeight="1">
      <c r="A1" s="6" t="inlineStr">
        <is>
          <t>Change Request Register - Configuration Change Tracking</t>
        </is>
      </c>
    </row>
    <row r="2" ht="30" customHeight="1">
      <c r="A2" s="7" t="inlineStr">
        <is>
          <t>Change ID</t>
        </is>
      </c>
      <c r="B2" s="7" t="inlineStr">
        <is>
          <t>Change Title</t>
        </is>
      </c>
      <c r="C2" s="7" t="inlineStr">
        <is>
          <t>Change Type</t>
        </is>
      </c>
      <c r="D2" s="7" t="inlineStr">
        <is>
          <t>Priority</t>
        </is>
      </c>
      <c r="E2" s="7" t="inlineStr">
        <is>
          <t>Affected Systems/Assets</t>
        </is>
      </c>
      <c r="F2" s="7" t="inlineStr">
        <is>
          <t>Requestor Name</t>
        </is>
      </c>
      <c r="G2" s="7" t="inlineStr">
        <is>
          <t>Requestor Contact</t>
        </is>
      </c>
      <c r="H2" s="7" t="inlineStr">
        <is>
          <t>Request Date</t>
        </is>
      </c>
      <c r="I2" s="7" t="inlineStr">
        <is>
          <t>Required Implementation Date</t>
        </is>
      </c>
      <c r="J2" s="7" t="inlineStr">
        <is>
          <t>Change Status</t>
        </is>
      </c>
      <c r="K2" s="7" t="inlineStr">
        <is>
          <t>Current Phase</t>
        </is>
      </c>
      <c r="L2" s="7" t="inlineStr">
        <is>
          <t>Days in Current Phase</t>
        </is>
      </c>
      <c r="M2" s="7" t="inlineStr">
        <is>
          <t>Overall Status Indicator</t>
        </is>
      </c>
      <c r="N2" s="7" t="inlineStr">
        <is>
          <t>Notes</t>
        </is>
      </c>
    </row>
    <row r="3">
      <c r="A3" s="8" t="n"/>
      <c r="B3" s="8" t="n"/>
      <c r="C3" s="8" t="n"/>
      <c r="D3" s="8" t="n"/>
      <c r="E3" s="8" t="n"/>
      <c r="F3" s="8" t="n"/>
      <c r="G3" s="8" t="n"/>
      <c r="H3" s="8" t="n"/>
      <c r="I3" s="8" t="n"/>
      <c r="J3" s="8" t="n"/>
      <c r="K3" s="9">
        <f>IF(J3="Draft","Planning",IF(J3="Submitted","Approval",IF(OR(J3="Approved",J3="In Testing"),"Testing",IF(J3="Scheduled","Pre-Implementation",IF(J3="Implementing","Implementation",IF(OR(J3="Completed",J3="Failed",J3="Rolled Back",J3="Cancelled"),"Closed","Unknown"))))))</f>
        <v/>
      </c>
      <c r="L3" s="9">
        <f>IF(H3="","",TODAY()-H3)</f>
        <v/>
      </c>
      <c r="M3" s="9">
        <f>IF(OR(J3="Completed",J3="Cancelled"),"Complete",IF(L3&gt;30,"Delayed",IF(L3&gt;14,"At Risk","On Track")))</f>
        <v/>
      </c>
      <c r="N3" s="8" t="n"/>
    </row>
    <row r="4">
      <c r="A4" s="8" t="n"/>
      <c r="B4" s="8" t="n"/>
      <c r="C4" s="8" t="n"/>
      <c r="D4" s="8" t="n"/>
      <c r="E4" s="8" t="n"/>
      <c r="F4" s="8" t="n"/>
      <c r="G4" s="8" t="n"/>
      <c r="H4" s="8" t="n"/>
      <c r="I4" s="8" t="n"/>
      <c r="J4" s="8" t="n"/>
      <c r="K4" s="9">
        <f>IF(J4="Draft","Planning",IF(J4="Submitted","Approval",IF(OR(J4="Approved",J4="In Testing"),"Testing",IF(J4="Scheduled","Pre-Implementation",IF(J4="Implementing","Implementation",IF(OR(J4="Completed",J4="Failed",J4="Rolled Back",J4="Cancelled"),"Closed","Unknown"))))))</f>
        <v/>
      </c>
      <c r="L4" s="9">
        <f>IF(H4="","",TODAY()-H4)</f>
        <v/>
      </c>
      <c r="M4" s="9">
        <f>IF(OR(J4="Completed",J4="Cancelled"),"Complete",IF(L4&gt;30,"Delayed",IF(L4&gt;14,"At Risk","On Track")))</f>
        <v/>
      </c>
      <c r="N4" s="8" t="n"/>
    </row>
    <row r="5">
      <c r="A5" s="8" t="n"/>
      <c r="B5" s="8" t="n"/>
      <c r="C5" s="8" t="n"/>
      <c r="D5" s="8" t="n"/>
      <c r="E5" s="8" t="n"/>
      <c r="F5" s="8" t="n"/>
      <c r="G5" s="8" t="n"/>
      <c r="H5" s="8" t="n"/>
      <c r="I5" s="8" t="n"/>
      <c r="J5" s="8" t="n"/>
      <c r="K5" s="9">
        <f>IF(J5="Draft","Planning",IF(J5="Submitted","Approval",IF(OR(J5="Approved",J5="In Testing"),"Testing",IF(J5="Scheduled","Pre-Implementation",IF(J5="Implementing","Implementation",IF(OR(J5="Completed",J5="Failed",J5="Rolled Back",J5="Cancelled"),"Closed","Unknown"))))))</f>
        <v/>
      </c>
      <c r="L5" s="9">
        <f>IF(H5="","",TODAY()-H5)</f>
        <v/>
      </c>
      <c r="M5" s="9">
        <f>IF(OR(J5="Completed",J5="Cancelled"),"Complete",IF(L5&gt;30,"Delayed",IF(L5&gt;14,"At Risk","On Track")))</f>
        <v/>
      </c>
      <c r="N5" s="8" t="n"/>
    </row>
    <row r="6">
      <c r="A6" s="8" t="n"/>
      <c r="B6" s="8" t="n"/>
      <c r="C6" s="8" t="n"/>
      <c r="D6" s="8" t="n"/>
      <c r="E6" s="8" t="n"/>
      <c r="F6" s="8" t="n"/>
      <c r="G6" s="8" t="n"/>
      <c r="H6" s="8" t="n"/>
      <c r="I6" s="8" t="n"/>
      <c r="J6" s="8" t="n"/>
      <c r="K6" s="9">
        <f>IF(J6="Draft","Planning",IF(J6="Submitted","Approval",IF(OR(J6="Approved",J6="In Testing"),"Testing",IF(J6="Scheduled","Pre-Implementation",IF(J6="Implementing","Implementation",IF(OR(J6="Completed",J6="Failed",J6="Rolled Back",J6="Cancelled"),"Closed","Unknown"))))))</f>
        <v/>
      </c>
      <c r="L6" s="9">
        <f>IF(H6="","",TODAY()-H6)</f>
        <v/>
      </c>
      <c r="M6" s="9">
        <f>IF(OR(J6="Completed",J6="Cancelled"),"Complete",IF(L6&gt;30,"Delayed",IF(L6&gt;14,"At Risk","On Track")))</f>
        <v/>
      </c>
      <c r="N6" s="8" t="n"/>
    </row>
    <row r="7">
      <c r="A7" s="8" t="n"/>
      <c r="B7" s="8" t="n"/>
      <c r="C7" s="8" t="n"/>
      <c r="D7" s="8" t="n"/>
      <c r="E7" s="8" t="n"/>
      <c r="F7" s="8" t="n"/>
      <c r="G7" s="8" t="n"/>
      <c r="H7" s="8" t="n"/>
      <c r="I7" s="8" t="n"/>
      <c r="J7" s="8" t="n"/>
      <c r="K7" s="9">
        <f>IF(J7="Draft","Planning",IF(J7="Submitted","Approval",IF(OR(J7="Approved",J7="In Testing"),"Testing",IF(J7="Scheduled","Pre-Implementation",IF(J7="Implementing","Implementation",IF(OR(J7="Completed",J7="Failed",J7="Rolled Back",J7="Cancelled"),"Closed","Unknown"))))))</f>
        <v/>
      </c>
      <c r="L7" s="9">
        <f>IF(H7="","",TODAY()-H7)</f>
        <v/>
      </c>
      <c r="M7" s="9">
        <f>IF(OR(J7="Completed",J7="Cancelled"),"Complete",IF(L7&gt;30,"Delayed",IF(L7&gt;14,"At Risk","On Track")))</f>
        <v/>
      </c>
      <c r="N7" s="8" t="n"/>
    </row>
    <row r="8">
      <c r="A8" s="8" t="n"/>
      <c r="B8" s="8" t="n"/>
      <c r="C8" s="8" t="n"/>
      <c r="D8" s="8" t="n"/>
      <c r="E8" s="8" t="n"/>
      <c r="F8" s="8" t="n"/>
      <c r="G8" s="8" t="n"/>
      <c r="H8" s="8" t="n"/>
      <c r="I8" s="8" t="n"/>
      <c r="J8" s="8" t="n"/>
      <c r="K8" s="9">
        <f>IF(J8="Draft","Planning",IF(J8="Submitted","Approval",IF(OR(J8="Approved",J8="In Testing"),"Testing",IF(J8="Scheduled","Pre-Implementation",IF(J8="Implementing","Implementation",IF(OR(J8="Completed",J8="Failed",J8="Rolled Back",J8="Cancelled"),"Closed","Unknown"))))))</f>
        <v/>
      </c>
      <c r="L8" s="9">
        <f>IF(H8="","",TODAY()-H8)</f>
        <v/>
      </c>
      <c r="M8" s="9">
        <f>IF(OR(J8="Completed",J8="Cancelled"),"Complete",IF(L8&gt;30,"Delayed",IF(L8&gt;14,"At Risk","On Track")))</f>
        <v/>
      </c>
      <c r="N8" s="8" t="n"/>
    </row>
    <row r="9">
      <c r="A9" s="8" t="n"/>
      <c r="B9" s="8" t="n"/>
      <c r="C9" s="8" t="n"/>
      <c r="D9" s="8" t="n"/>
      <c r="E9" s="8" t="n"/>
      <c r="F9" s="8" t="n"/>
      <c r="G9" s="8" t="n"/>
      <c r="H9" s="8" t="n"/>
      <c r="I9" s="8" t="n"/>
      <c r="J9" s="8" t="n"/>
      <c r="K9" s="9">
        <f>IF(J9="Draft","Planning",IF(J9="Submitted","Approval",IF(OR(J9="Approved",J9="In Testing"),"Testing",IF(J9="Scheduled","Pre-Implementation",IF(J9="Implementing","Implementation",IF(OR(J9="Completed",J9="Failed",J9="Rolled Back",J9="Cancelled"),"Closed","Unknown"))))))</f>
        <v/>
      </c>
      <c r="L9" s="9">
        <f>IF(H9="","",TODAY()-H9)</f>
        <v/>
      </c>
      <c r="M9" s="9">
        <f>IF(OR(J9="Completed",J9="Cancelled"),"Complete",IF(L9&gt;30,"Delayed",IF(L9&gt;14,"At Risk","On Track")))</f>
        <v/>
      </c>
      <c r="N9" s="8" t="n"/>
    </row>
    <row r="10">
      <c r="A10" s="8" t="n"/>
      <c r="B10" s="8" t="n"/>
      <c r="C10" s="8" t="n"/>
      <c r="D10" s="8" t="n"/>
      <c r="E10" s="8" t="n"/>
      <c r="F10" s="8" t="n"/>
      <c r="G10" s="8" t="n"/>
      <c r="H10" s="8" t="n"/>
      <c r="I10" s="8" t="n"/>
      <c r="J10" s="8" t="n"/>
      <c r="K10" s="9">
        <f>IF(J10="Draft","Planning",IF(J10="Submitted","Approval",IF(OR(J10="Approved",J10="In Testing"),"Testing",IF(J10="Scheduled","Pre-Implementation",IF(J10="Implementing","Implementation",IF(OR(J10="Completed",J10="Failed",J10="Rolled Back",J10="Cancelled"),"Closed","Unknown"))))))</f>
        <v/>
      </c>
      <c r="L10" s="9">
        <f>IF(H10="","",TODAY()-H10)</f>
        <v/>
      </c>
      <c r="M10" s="9">
        <f>IF(OR(J10="Completed",J10="Cancelled"),"Complete",IF(L10&gt;30,"Delayed",IF(L10&gt;14,"At Risk","On Track")))</f>
        <v/>
      </c>
      <c r="N10" s="8" t="n"/>
    </row>
    <row r="11">
      <c r="A11" s="8" t="n"/>
      <c r="B11" s="8" t="n"/>
      <c r="C11" s="8" t="n"/>
      <c r="D11" s="8" t="n"/>
      <c r="E11" s="8" t="n"/>
      <c r="F11" s="8" t="n"/>
      <c r="G11" s="8" t="n"/>
      <c r="H11" s="8" t="n"/>
      <c r="I11" s="8" t="n"/>
      <c r="J11" s="8" t="n"/>
      <c r="K11" s="9">
        <f>IF(J11="Draft","Planning",IF(J11="Submitted","Approval",IF(OR(J11="Approved",J11="In Testing"),"Testing",IF(J11="Scheduled","Pre-Implementation",IF(J11="Implementing","Implementation",IF(OR(J11="Completed",J11="Failed",J11="Rolled Back",J11="Cancelled"),"Closed","Unknown"))))))</f>
        <v/>
      </c>
      <c r="L11" s="9">
        <f>IF(H11="","",TODAY()-H11)</f>
        <v/>
      </c>
      <c r="M11" s="9">
        <f>IF(OR(J11="Completed",J11="Cancelled"),"Complete",IF(L11&gt;30,"Delayed",IF(L11&gt;14,"At Risk","On Track")))</f>
        <v/>
      </c>
      <c r="N11" s="8" t="n"/>
    </row>
    <row r="12">
      <c r="A12" s="8" t="n"/>
      <c r="B12" s="8" t="n"/>
      <c r="C12" s="8" t="n"/>
      <c r="D12" s="8" t="n"/>
      <c r="E12" s="8" t="n"/>
      <c r="F12" s="8" t="n"/>
      <c r="G12" s="8" t="n"/>
      <c r="H12" s="8" t="n"/>
      <c r="I12" s="8" t="n"/>
      <c r="J12" s="8" t="n"/>
      <c r="K12" s="9">
        <f>IF(J12="Draft","Planning",IF(J12="Submitted","Approval",IF(OR(J12="Approved",J12="In Testing"),"Testing",IF(J12="Scheduled","Pre-Implementation",IF(J12="Implementing","Implementation",IF(OR(J12="Completed",J12="Failed",J12="Rolled Back",J12="Cancelled"),"Closed","Unknown"))))))</f>
        <v/>
      </c>
      <c r="L12" s="9">
        <f>IF(H12="","",TODAY()-H12)</f>
        <v/>
      </c>
      <c r="M12" s="9">
        <f>IF(OR(J12="Completed",J12="Cancelled"),"Complete",IF(L12&gt;30,"Delayed",IF(L12&gt;14,"At Risk","On Track")))</f>
        <v/>
      </c>
      <c r="N12" s="8" t="n"/>
    </row>
    <row r="13">
      <c r="A13" s="8" t="n"/>
      <c r="B13" s="8" t="n"/>
      <c r="C13" s="8" t="n"/>
      <c r="D13" s="8" t="n"/>
      <c r="E13" s="8" t="n"/>
      <c r="F13" s="8" t="n"/>
      <c r="G13" s="8" t="n"/>
      <c r="H13" s="8" t="n"/>
      <c r="I13" s="8" t="n"/>
      <c r="J13" s="8" t="n"/>
      <c r="K13" s="9">
        <f>IF(J13="Draft","Planning",IF(J13="Submitted","Approval",IF(OR(J13="Approved",J13="In Testing"),"Testing",IF(J13="Scheduled","Pre-Implementation",IF(J13="Implementing","Implementation",IF(OR(J13="Completed",J13="Failed",J13="Rolled Back",J13="Cancelled"),"Closed","Unknown"))))))</f>
        <v/>
      </c>
      <c r="L13" s="9">
        <f>IF(H13="","",TODAY()-H13)</f>
        <v/>
      </c>
      <c r="M13" s="9">
        <f>IF(OR(J13="Completed",J13="Cancelled"),"Complete",IF(L13&gt;30,"Delayed",IF(L13&gt;14,"At Risk","On Track")))</f>
        <v/>
      </c>
      <c r="N13" s="8" t="n"/>
    </row>
    <row r="14">
      <c r="A14" s="8" t="n"/>
      <c r="B14" s="8" t="n"/>
      <c r="C14" s="8" t="n"/>
      <c r="D14" s="8" t="n"/>
      <c r="E14" s="8" t="n"/>
      <c r="F14" s="8" t="n"/>
      <c r="G14" s="8" t="n"/>
      <c r="H14" s="8" t="n"/>
      <c r="I14" s="8" t="n"/>
      <c r="J14" s="8" t="n"/>
      <c r="K14" s="9">
        <f>IF(J14="Draft","Planning",IF(J14="Submitted","Approval",IF(OR(J14="Approved",J14="In Testing"),"Testing",IF(J14="Scheduled","Pre-Implementation",IF(J14="Implementing","Implementation",IF(OR(J14="Completed",J14="Failed",J14="Rolled Back",J14="Cancelled"),"Closed","Unknown"))))))</f>
        <v/>
      </c>
      <c r="L14" s="9">
        <f>IF(H14="","",TODAY()-H14)</f>
        <v/>
      </c>
      <c r="M14" s="9">
        <f>IF(OR(J14="Completed",J14="Cancelled"),"Complete",IF(L14&gt;30,"Delayed",IF(L14&gt;14,"At Risk","On Track")))</f>
        <v/>
      </c>
      <c r="N14" s="8" t="n"/>
    </row>
    <row r="15">
      <c r="A15" s="8" t="n"/>
      <c r="B15" s="8" t="n"/>
      <c r="C15" s="8" t="n"/>
      <c r="D15" s="8" t="n"/>
      <c r="E15" s="8" t="n"/>
      <c r="F15" s="8" t="n"/>
      <c r="G15" s="8" t="n"/>
      <c r="H15" s="8" t="n"/>
      <c r="I15" s="8" t="n"/>
      <c r="J15" s="8" t="n"/>
      <c r="K15" s="9">
        <f>IF(J15="Draft","Planning",IF(J15="Submitted","Approval",IF(OR(J15="Approved",J15="In Testing"),"Testing",IF(J15="Scheduled","Pre-Implementation",IF(J15="Implementing","Implementation",IF(OR(J15="Completed",J15="Failed",J15="Rolled Back",J15="Cancelled"),"Closed","Unknown"))))))</f>
        <v/>
      </c>
      <c r="L15" s="9">
        <f>IF(H15="","",TODAY()-H15)</f>
        <v/>
      </c>
      <c r="M15" s="9">
        <f>IF(OR(J15="Completed",J15="Cancelled"),"Complete",IF(L15&gt;30,"Delayed",IF(L15&gt;14,"At Risk","On Track")))</f>
        <v/>
      </c>
      <c r="N15" s="8" t="n"/>
    </row>
    <row r="16">
      <c r="A16" s="8" t="n"/>
      <c r="B16" s="8" t="n"/>
      <c r="C16" s="8" t="n"/>
      <c r="D16" s="8" t="n"/>
      <c r="E16" s="8" t="n"/>
      <c r="F16" s="8" t="n"/>
      <c r="G16" s="8" t="n"/>
      <c r="H16" s="8" t="n"/>
      <c r="I16" s="8" t="n"/>
      <c r="J16" s="8" t="n"/>
      <c r="K16" s="9">
        <f>IF(J16="Draft","Planning",IF(J16="Submitted","Approval",IF(OR(J16="Approved",J16="In Testing"),"Testing",IF(J16="Scheduled","Pre-Implementation",IF(J16="Implementing","Implementation",IF(OR(J16="Completed",J16="Failed",J16="Rolled Back",J16="Cancelled"),"Closed","Unknown"))))))</f>
        <v/>
      </c>
      <c r="L16" s="9">
        <f>IF(H16="","",TODAY()-H16)</f>
        <v/>
      </c>
      <c r="M16" s="9">
        <f>IF(OR(J16="Completed",J16="Cancelled"),"Complete",IF(L16&gt;30,"Delayed",IF(L16&gt;14,"At Risk","On Track")))</f>
        <v/>
      </c>
      <c r="N16" s="8" t="n"/>
    </row>
    <row r="17">
      <c r="A17" s="8" t="n"/>
      <c r="B17" s="8" t="n"/>
      <c r="C17" s="8" t="n"/>
      <c r="D17" s="8" t="n"/>
      <c r="E17" s="8" t="n"/>
      <c r="F17" s="8" t="n"/>
      <c r="G17" s="8" t="n"/>
      <c r="H17" s="8" t="n"/>
      <c r="I17" s="8" t="n"/>
      <c r="J17" s="8" t="n"/>
      <c r="K17" s="9">
        <f>IF(J17="Draft","Planning",IF(J17="Submitted","Approval",IF(OR(J17="Approved",J17="In Testing"),"Testing",IF(J17="Scheduled","Pre-Implementation",IF(J17="Implementing","Implementation",IF(OR(J17="Completed",J17="Failed",J17="Rolled Back",J17="Cancelled"),"Closed","Unknown"))))))</f>
        <v/>
      </c>
      <c r="L17" s="9">
        <f>IF(H17="","",TODAY()-H17)</f>
        <v/>
      </c>
      <c r="M17" s="9">
        <f>IF(OR(J17="Completed",J17="Cancelled"),"Complete",IF(L17&gt;30,"Delayed",IF(L17&gt;14,"At Risk","On Track")))</f>
        <v/>
      </c>
      <c r="N17" s="8" t="n"/>
    </row>
    <row r="18">
      <c r="A18" s="8" t="n"/>
      <c r="B18" s="8" t="n"/>
      <c r="C18" s="8" t="n"/>
      <c r="D18" s="8" t="n"/>
      <c r="E18" s="8" t="n"/>
      <c r="F18" s="8" t="n"/>
      <c r="G18" s="8" t="n"/>
      <c r="H18" s="8" t="n"/>
      <c r="I18" s="8" t="n"/>
      <c r="J18" s="8" t="n"/>
      <c r="K18" s="9">
        <f>IF(J18="Draft","Planning",IF(J18="Submitted","Approval",IF(OR(J18="Approved",J18="In Testing"),"Testing",IF(J18="Scheduled","Pre-Implementation",IF(J18="Implementing","Implementation",IF(OR(J18="Completed",J18="Failed",J18="Rolled Back",J18="Cancelled"),"Closed","Unknown"))))))</f>
        <v/>
      </c>
      <c r="L18" s="9">
        <f>IF(H18="","",TODAY()-H18)</f>
        <v/>
      </c>
      <c r="M18" s="9">
        <f>IF(OR(J18="Completed",J18="Cancelled"),"Complete",IF(L18&gt;30,"Delayed",IF(L18&gt;14,"At Risk","On Track")))</f>
        <v/>
      </c>
      <c r="N18" s="8" t="n"/>
    </row>
    <row r="19">
      <c r="A19" s="8" t="n"/>
      <c r="B19" s="8" t="n"/>
      <c r="C19" s="8" t="n"/>
      <c r="D19" s="8" t="n"/>
      <c r="E19" s="8" t="n"/>
      <c r="F19" s="8" t="n"/>
      <c r="G19" s="8" t="n"/>
      <c r="H19" s="8" t="n"/>
      <c r="I19" s="8" t="n"/>
      <c r="J19" s="8" t="n"/>
      <c r="K19" s="9">
        <f>IF(J19="Draft","Planning",IF(J19="Submitted","Approval",IF(OR(J19="Approved",J19="In Testing"),"Testing",IF(J19="Scheduled","Pre-Implementation",IF(J19="Implementing","Implementation",IF(OR(J19="Completed",J19="Failed",J19="Rolled Back",J19="Cancelled"),"Closed","Unknown"))))))</f>
        <v/>
      </c>
      <c r="L19" s="9">
        <f>IF(H19="","",TODAY()-H19)</f>
        <v/>
      </c>
      <c r="M19" s="9">
        <f>IF(OR(J19="Completed",J19="Cancelled"),"Complete",IF(L19&gt;30,"Delayed",IF(L19&gt;14,"At Risk","On Track")))</f>
        <v/>
      </c>
      <c r="N19" s="8" t="n"/>
    </row>
    <row r="20">
      <c r="A20" s="8" t="n"/>
      <c r="B20" s="8" t="n"/>
      <c r="C20" s="8" t="n"/>
      <c r="D20" s="8" t="n"/>
      <c r="E20" s="8" t="n"/>
      <c r="F20" s="8" t="n"/>
      <c r="G20" s="8" t="n"/>
      <c r="H20" s="8" t="n"/>
      <c r="I20" s="8" t="n"/>
      <c r="J20" s="8" t="n"/>
      <c r="K20" s="9">
        <f>IF(J20="Draft","Planning",IF(J20="Submitted","Approval",IF(OR(J20="Approved",J20="In Testing"),"Testing",IF(J20="Scheduled","Pre-Implementation",IF(J20="Implementing","Implementation",IF(OR(J20="Completed",J20="Failed",J20="Rolled Back",J20="Cancelled"),"Closed","Unknown"))))))</f>
        <v/>
      </c>
      <c r="L20" s="9">
        <f>IF(H20="","",TODAY()-H20)</f>
        <v/>
      </c>
      <c r="M20" s="9">
        <f>IF(OR(J20="Completed",J20="Cancelled"),"Complete",IF(L20&gt;30,"Delayed",IF(L20&gt;14,"At Risk","On Track")))</f>
        <v/>
      </c>
      <c r="N20" s="8" t="n"/>
    </row>
    <row r="21">
      <c r="A21" s="8" t="n"/>
      <c r="B21" s="8" t="n"/>
      <c r="C21" s="8" t="n"/>
      <c r="D21" s="8" t="n"/>
      <c r="E21" s="8" t="n"/>
      <c r="F21" s="8" t="n"/>
      <c r="G21" s="8" t="n"/>
      <c r="H21" s="8" t="n"/>
      <c r="I21" s="8" t="n"/>
      <c r="J21" s="8" t="n"/>
      <c r="K21" s="9">
        <f>IF(J21="Draft","Planning",IF(J21="Submitted","Approval",IF(OR(J21="Approved",J21="In Testing"),"Testing",IF(J21="Scheduled","Pre-Implementation",IF(J21="Implementing","Implementation",IF(OR(J21="Completed",J21="Failed",J21="Rolled Back",J21="Cancelled"),"Closed","Unknown"))))))</f>
        <v/>
      </c>
      <c r="L21" s="9">
        <f>IF(H21="","",TODAY()-H21)</f>
        <v/>
      </c>
      <c r="M21" s="9">
        <f>IF(OR(J21="Completed",J21="Cancelled"),"Complete",IF(L21&gt;30,"Delayed",IF(L21&gt;14,"At Risk","On Track")))</f>
        <v/>
      </c>
      <c r="N21" s="8" t="n"/>
    </row>
    <row r="22">
      <c r="A22" s="8" t="n"/>
      <c r="B22" s="8" t="n"/>
      <c r="C22" s="8" t="n"/>
      <c r="D22" s="8" t="n"/>
      <c r="E22" s="8" t="n"/>
      <c r="F22" s="8" t="n"/>
      <c r="G22" s="8" t="n"/>
      <c r="H22" s="8" t="n"/>
      <c r="I22" s="8" t="n"/>
      <c r="J22" s="8" t="n"/>
      <c r="K22" s="9">
        <f>IF(J22="Draft","Planning",IF(J22="Submitted","Approval",IF(OR(J22="Approved",J22="In Testing"),"Testing",IF(J22="Scheduled","Pre-Implementation",IF(J22="Implementing","Implementation",IF(OR(J22="Completed",J22="Failed",J22="Rolled Back",J22="Cancelled"),"Closed","Unknown"))))))</f>
        <v/>
      </c>
      <c r="L22" s="9">
        <f>IF(H22="","",TODAY()-H22)</f>
        <v/>
      </c>
      <c r="M22" s="9">
        <f>IF(OR(J22="Completed",J22="Cancelled"),"Complete",IF(L22&gt;30,"Delayed",IF(L22&gt;14,"At Risk","On Track")))</f>
        <v/>
      </c>
      <c r="N22" s="8" t="n"/>
    </row>
    <row r="23">
      <c r="A23" s="8" t="n"/>
      <c r="B23" s="8" t="n"/>
      <c r="C23" s="8" t="n"/>
      <c r="D23" s="8" t="n"/>
      <c r="E23" s="8" t="n"/>
      <c r="F23" s="8" t="n"/>
      <c r="G23" s="8" t="n"/>
      <c r="H23" s="8" t="n"/>
      <c r="I23" s="8" t="n"/>
      <c r="J23" s="8" t="n"/>
      <c r="K23" s="9">
        <f>IF(J23="Draft","Planning",IF(J23="Submitted","Approval",IF(OR(J23="Approved",J23="In Testing"),"Testing",IF(J23="Scheduled","Pre-Implementation",IF(J23="Implementing","Implementation",IF(OR(J23="Completed",J23="Failed",J23="Rolled Back",J23="Cancelled"),"Closed","Unknown"))))))</f>
        <v/>
      </c>
      <c r="L23" s="9">
        <f>IF(H23="","",TODAY()-H23)</f>
        <v/>
      </c>
      <c r="M23" s="9">
        <f>IF(OR(J23="Completed",J23="Cancelled"),"Complete",IF(L23&gt;30,"Delayed",IF(L23&gt;14,"At Risk","On Track")))</f>
        <v/>
      </c>
      <c r="N23" s="8" t="n"/>
    </row>
    <row r="24">
      <c r="A24" s="8" t="n"/>
      <c r="B24" s="8" t="n"/>
      <c r="C24" s="8" t="n"/>
      <c r="D24" s="8" t="n"/>
      <c r="E24" s="8" t="n"/>
      <c r="F24" s="8" t="n"/>
      <c r="G24" s="8" t="n"/>
      <c r="H24" s="8" t="n"/>
      <c r="I24" s="8" t="n"/>
      <c r="J24" s="8" t="n"/>
      <c r="K24" s="9">
        <f>IF(J24="Draft","Planning",IF(J24="Submitted","Approval",IF(OR(J24="Approved",J24="In Testing"),"Testing",IF(J24="Scheduled","Pre-Implementation",IF(J24="Implementing","Implementation",IF(OR(J24="Completed",J24="Failed",J24="Rolled Back",J24="Cancelled"),"Closed","Unknown"))))))</f>
        <v/>
      </c>
      <c r="L24" s="9">
        <f>IF(H24="","",TODAY()-H24)</f>
        <v/>
      </c>
      <c r="M24" s="9">
        <f>IF(OR(J24="Completed",J24="Cancelled"),"Complete",IF(L24&gt;30,"Delayed",IF(L24&gt;14,"At Risk","On Track")))</f>
        <v/>
      </c>
      <c r="N24" s="8" t="n"/>
    </row>
    <row r="25">
      <c r="A25" s="8" t="n"/>
      <c r="B25" s="8" t="n"/>
      <c r="C25" s="8" t="n"/>
      <c r="D25" s="8" t="n"/>
      <c r="E25" s="8" t="n"/>
      <c r="F25" s="8" t="n"/>
      <c r="G25" s="8" t="n"/>
      <c r="H25" s="8" t="n"/>
      <c r="I25" s="8" t="n"/>
      <c r="J25" s="8" t="n"/>
      <c r="K25" s="9">
        <f>IF(J25="Draft","Planning",IF(J25="Submitted","Approval",IF(OR(J25="Approved",J25="In Testing"),"Testing",IF(J25="Scheduled","Pre-Implementation",IF(J25="Implementing","Implementation",IF(OR(J25="Completed",J25="Failed",J25="Rolled Back",J25="Cancelled"),"Closed","Unknown"))))))</f>
        <v/>
      </c>
      <c r="L25" s="9">
        <f>IF(H25="","",TODAY()-H25)</f>
        <v/>
      </c>
      <c r="M25" s="9">
        <f>IF(OR(J25="Completed",J25="Cancelled"),"Complete",IF(L25&gt;30,"Delayed",IF(L25&gt;14,"At Risk","On Track")))</f>
        <v/>
      </c>
      <c r="N25" s="8" t="n"/>
    </row>
    <row r="26">
      <c r="A26" s="8" t="n"/>
      <c r="B26" s="8" t="n"/>
      <c r="C26" s="8" t="n"/>
      <c r="D26" s="8" t="n"/>
      <c r="E26" s="8" t="n"/>
      <c r="F26" s="8" t="n"/>
      <c r="G26" s="8" t="n"/>
      <c r="H26" s="8" t="n"/>
      <c r="I26" s="8" t="n"/>
      <c r="J26" s="8" t="n"/>
      <c r="K26" s="9">
        <f>IF(J26="Draft","Planning",IF(J26="Submitted","Approval",IF(OR(J26="Approved",J26="In Testing"),"Testing",IF(J26="Scheduled","Pre-Implementation",IF(J26="Implementing","Implementation",IF(OR(J26="Completed",J26="Failed",J26="Rolled Back",J26="Cancelled"),"Closed","Unknown"))))))</f>
        <v/>
      </c>
      <c r="L26" s="9">
        <f>IF(H26="","",TODAY()-H26)</f>
        <v/>
      </c>
      <c r="M26" s="9">
        <f>IF(OR(J26="Completed",J26="Cancelled"),"Complete",IF(L26&gt;30,"Delayed",IF(L26&gt;14,"At Risk","On Track")))</f>
        <v/>
      </c>
      <c r="N26" s="8" t="n"/>
    </row>
    <row r="27">
      <c r="A27" s="8" t="n"/>
      <c r="B27" s="8" t="n"/>
      <c r="C27" s="8" t="n"/>
      <c r="D27" s="8" t="n"/>
      <c r="E27" s="8" t="n"/>
      <c r="F27" s="8" t="n"/>
      <c r="G27" s="8" t="n"/>
      <c r="H27" s="8" t="n"/>
      <c r="I27" s="8" t="n"/>
      <c r="J27" s="8" t="n"/>
      <c r="K27" s="9">
        <f>IF(J27="Draft","Planning",IF(J27="Submitted","Approval",IF(OR(J27="Approved",J27="In Testing"),"Testing",IF(J27="Scheduled","Pre-Implementation",IF(J27="Implementing","Implementation",IF(OR(J27="Completed",J27="Failed",J27="Rolled Back",J27="Cancelled"),"Closed","Unknown"))))))</f>
        <v/>
      </c>
      <c r="L27" s="9">
        <f>IF(H27="","",TODAY()-H27)</f>
        <v/>
      </c>
      <c r="M27" s="9">
        <f>IF(OR(J27="Completed",J27="Cancelled"),"Complete",IF(L27&gt;30,"Delayed",IF(L27&gt;14,"At Risk","On Track")))</f>
        <v/>
      </c>
      <c r="N27" s="8" t="n"/>
    </row>
    <row r="28">
      <c r="A28" s="8" t="n"/>
      <c r="B28" s="8" t="n"/>
      <c r="C28" s="8" t="n"/>
      <c r="D28" s="8" t="n"/>
      <c r="E28" s="8" t="n"/>
      <c r="F28" s="8" t="n"/>
      <c r="G28" s="8" t="n"/>
      <c r="H28" s="8" t="n"/>
      <c r="I28" s="8" t="n"/>
      <c r="J28" s="8" t="n"/>
      <c r="K28" s="9">
        <f>IF(J28="Draft","Planning",IF(J28="Submitted","Approval",IF(OR(J28="Approved",J28="In Testing"),"Testing",IF(J28="Scheduled","Pre-Implementation",IF(J28="Implementing","Implementation",IF(OR(J28="Completed",J28="Failed",J28="Rolled Back",J28="Cancelled"),"Closed","Unknown"))))))</f>
        <v/>
      </c>
      <c r="L28" s="9">
        <f>IF(H28="","",TODAY()-H28)</f>
        <v/>
      </c>
      <c r="M28" s="9">
        <f>IF(OR(J28="Completed",J28="Cancelled"),"Complete",IF(L28&gt;30,"Delayed",IF(L28&gt;14,"At Risk","On Track")))</f>
        <v/>
      </c>
      <c r="N28" s="8" t="n"/>
    </row>
    <row r="29">
      <c r="A29" s="8" t="n"/>
      <c r="B29" s="8" t="n"/>
      <c r="C29" s="8" t="n"/>
      <c r="D29" s="8" t="n"/>
      <c r="E29" s="8" t="n"/>
      <c r="F29" s="8" t="n"/>
      <c r="G29" s="8" t="n"/>
      <c r="H29" s="8" t="n"/>
      <c r="I29" s="8" t="n"/>
      <c r="J29" s="8" t="n"/>
      <c r="K29" s="9">
        <f>IF(J29="Draft","Planning",IF(J29="Submitted","Approval",IF(OR(J29="Approved",J29="In Testing"),"Testing",IF(J29="Scheduled","Pre-Implementation",IF(J29="Implementing","Implementation",IF(OR(J29="Completed",J29="Failed",J29="Rolled Back",J29="Cancelled"),"Closed","Unknown"))))))</f>
        <v/>
      </c>
      <c r="L29" s="9">
        <f>IF(H29="","",TODAY()-H29)</f>
        <v/>
      </c>
      <c r="M29" s="9">
        <f>IF(OR(J29="Completed",J29="Cancelled"),"Complete",IF(L29&gt;30,"Delayed",IF(L29&gt;14,"At Risk","On Track")))</f>
        <v/>
      </c>
      <c r="N29" s="8" t="n"/>
    </row>
    <row r="30">
      <c r="A30" s="8" t="n"/>
      <c r="B30" s="8" t="n"/>
      <c r="C30" s="8" t="n"/>
      <c r="D30" s="8" t="n"/>
      <c r="E30" s="8" t="n"/>
      <c r="F30" s="8" t="n"/>
      <c r="G30" s="8" t="n"/>
      <c r="H30" s="8" t="n"/>
      <c r="I30" s="8" t="n"/>
      <c r="J30" s="8" t="n"/>
      <c r="K30" s="9">
        <f>IF(J30="Draft","Planning",IF(J30="Submitted","Approval",IF(OR(J30="Approved",J30="In Testing"),"Testing",IF(J30="Scheduled","Pre-Implementation",IF(J30="Implementing","Implementation",IF(OR(J30="Completed",J30="Failed",J30="Rolled Back",J30="Cancelled"),"Closed","Unknown"))))))</f>
        <v/>
      </c>
      <c r="L30" s="9">
        <f>IF(H30="","",TODAY()-H30)</f>
        <v/>
      </c>
      <c r="M30" s="9">
        <f>IF(OR(J30="Completed",J30="Cancelled"),"Complete",IF(L30&gt;30,"Delayed",IF(L30&gt;14,"At Risk","On Track")))</f>
        <v/>
      </c>
      <c r="N30" s="8" t="n"/>
    </row>
    <row r="31">
      <c r="A31" s="8" t="n"/>
      <c r="B31" s="8" t="n"/>
      <c r="C31" s="8" t="n"/>
      <c r="D31" s="8" t="n"/>
      <c r="E31" s="8" t="n"/>
      <c r="F31" s="8" t="n"/>
      <c r="G31" s="8" t="n"/>
      <c r="H31" s="8" t="n"/>
      <c r="I31" s="8" t="n"/>
      <c r="J31" s="8" t="n"/>
      <c r="K31" s="9">
        <f>IF(J31="Draft","Planning",IF(J31="Submitted","Approval",IF(OR(J31="Approved",J31="In Testing"),"Testing",IF(J31="Scheduled","Pre-Implementation",IF(J31="Implementing","Implementation",IF(OR(J31="Completed",J31="Failed",J31="Rolled Back",J31="Cancelled"),"Closed","Unknown"))))))</f>
        <v/>
      </c>
      <c r="L31" s="9">
        <f>IF(H31="","",TODAY()-H31)</f>
        <v/>
      </c>
      <c r="M31" s="9">
        <f>IF(OR(J31="Completed",J31="Cancelled"),"Complete",IF(L31&gt;30,"Delayed",IF(L31&gt;14,"At Risk","On Track")))</f>
        <v/>
      </c>
      <c r="N31" s="8" t="n"/>
    </row>
    <row r="32">
      <c r="A32" s="8" t="n"/>
      <c r="B32" s="8" t="n"/>
      <c r="C32" s="8" t="n"/>
      <c r="D32" s="8" t="n"/>
      <c r="E32" s="8" t="n"/>
      <c r="F32" s="8" t="n"/>
      <c r="G32" s="8" t="n"/>
      <c r="H32" s="8" t="n"/>
      <c r="I32" s="8" t="n"/>
      <c r="J32" s="8" t="n"/>
      <c r="K32" s="9">
        <f>IF(J32="Draft","Planning",IF(J32="Submitted","Approval",IF(OR(J32="Approved",J32="In Testing"),"Testing",IF(J32="Scheduled","Pre-Implementation",IF(J32="Implementing","Implementation",IF(OR(J32="Completed",J32="Failed",J32="Rolled Back",J32="Cancelled"),"Closed","Unknown"))))))</f>
        <v/>
      </c>
      <c r="L32" s="9">
        <f>IF(H32="","",TODAY()-H32)</f>
        <v/>
      </c>
      <c r="M32" s="9">
        <f>IF(OR(J32="Completed",J32="Cancelled"),"Complete",IF(L32&gt;30,"Delayed",IF(L32&gt;14,"At Risk","On Track")))</f>
        <v/>
      </c>
      <c r="N32" s="8" t="n"/>
    </row>
    <row r="33">
      <c r="A33" s="8" t="n"/>
      <c r="B33" s="8" t="n"/>
      <c r="C33" s="8" t="n"/>
      <c r="D33" s="8" t="n"/>
      <c r="E33" s="8" t="n"/>
      <c r="F33" s="8" t="n"/>
      <c r="G33" s="8" t="n"/>
      <c r="H33" s="8" t="n"/>
      <c r="I33" s="8" t="n"/>
      <c r="J33" s="8" t="n"/>
      <c r="K33" s="9">
        <f>IF(J33="Draft","Planning",IF(J33="Submitted","Approval",IF(OR(J33="Approved",J33="In Testing"),"Testing",IF(J33="Scheduled","Pre-Implementation",IF(J33="Implementing","Implementation",IF(OR(J33="Completed",J33="Failed",J33="Rolled Back",J33="Cancelled"),"Closed","Unknown"))))))</f>
        <v/>
      </c>
      <c r="L33" s="9">
        <f>IF(H33="","",TODAY()-H33)</f>
        <v/>
      </c>
      <c r="M33" s="9">
        <f>IF(OR(J33="Completed",J33="Cancelled"),"Complete",IF(L33&gt;30,"Delayed",IF(L33&gt;14,"At Risk","On Track")))</f>
        <v/>
      </c>
      <c r="N33" s="8" t="n"/>
    </row>
    <row r="34">
      <c r="A34" s="8" t="n"/>
      <c r="B34" s="8" t="n"/>
      <c r="C34" s="8" t="n"/>
      <c r="D34" s="8" t="n"/>
      <c r="E34" s="8" t="n"/>
      <c r="F34" s="8" t="n"/>
      <c r="G34" s="8" t="n"/>
      <c r="H34" s="8" t="n"/>
      <c r="I34" s="8" t="n"/>
      <c r="J34" s="8" t="n"/>
      <c r="K34" s="9">
        <f>IF(J34="Draft","Planning",IF(J34="Submitted","Approval",IF(OR(J34="Approved",J34="In Testing"),"Testing",IF(J34="Scheduled","Pre-Implementation",IF(J34="Implementing","Implementation",IF(OR(J34="Completed",J34="Failed",J34="Rolled Back",J34="Cancelled"),"Closed","Unknown"))))))</f>
        <v/>
      </c>
      <c r="L34" s="9">
        <f>IF(H34="","",TODAY()-H34)</f>
        <v/>
      </c>
      <c r="M34" s="9">
        <f>IF(OR(J34="Completed",J34="Cancelled"),"Complete",IF(L34&gt;30,"Delayed",IF(L34&gt;14,"At Risk","On Track")))</f>
        <v/>
      </c>
      <c r="N34" s="8" t="n"/>
    </row>
    <row r="35">
      <c r="A35" s="8" t="n"/>
      <c r="B35" s="8" t="n"/>
      <c r="C35" s="8" t="n"/>
      <c r="D35" s="8" t="n"/>
      <c r="E35" s="8" t="n"/>
      <c r="F35" s="8" t="n"/>
      <c r="G35" s="8" t="n"/>
      <c r="H35" s="8" t="n"/>
      <c r="I35" s="8" t="n"/>
      <c r="J35" s="8" t="n"/>
      <c r="K35" s="9">
        <f>IF(J35="Draft","Planning",IF(J35="Submitted","Approval",IF(OR(J35="Approved",J35="In Testing"),"Testing",IF(J35="Scheduled","Pre-Implementation",IF(J35="Implementing","Implementation",IF(OR(J35="Completed",J35="Failed",J35="Rolled Back",J35="Cancelled"),"Closed","Unknown"))))))</f>
        <v/>
      </c>
      <c r="L35" s="9">
        <f>IF(H35="","",TODAY()-H35)</f>
        <v/>
      </c>
      <c r="M35" s="9">
        <f>IF(OR(J35="Completed",J35="Cancelled"),"Complete",IF(L35&gt;30,"Delayed",IF(L35&gt;14,"At Risk","On Track")))</f>
        <v/>
      </c>
      <c r="N35" s="8" t="n"/>
    </row>
    <row r="36">
      <c r="A36" s="8" t="n"/>
      <c r="B36" s="8" t="n"/>
      <c r="C36" s="8" t="n"/>
      <c r="D36" s="8" t="n"/>
      <c r="E36" s="8" t="n"/>
      <c r="F36" s="8" t="n"/>
      <c r="G36" s="8" t="n"/>
      <c r="H36" s="8" t="n"/>
      <c r="I36" s="8" t="n"/>
      <c r="J36" s="8" t="n"/>
      <c r="K36" s="9">
        <f>IF(J36="Draft","Planning",IF(J36="Submitted","Approval",IF(OR(J36="Approved",J36="In Testing"),"Testing",IF(J36="Scheduled","Pre-Implementation",IF(J36="Implementing","Implementation",IF(OR(J36="Completed",J36="Failed",J36="Rolled Back",J36="Cancelled"),"Closed","Unknown"))))))</f>
        <v/>
      </c>
      <c r="L36" s="9">
        <f>IF(H36="","",TODAY()-H36)</f>
        <v/>
      </c>
      <c r="M36" s="9">
        <f>IF(OR(J36="Completed",J36="Cancelled"),"Complete",IF(L36&gt;30,"Delayed",IF(L36&gt;14,"At Risk","On Track")))</f>
        <v/>
      </c>
      <c r="N36" s="8" t="n"/>
    </row>
    <row r="37">
      <c r="A37" s="8" t="n"/>
      <c r="B37" s="8" t="n"/>
      <c r="C37" s="8" t="n"/>
      <c r="D37" s="8" t="n"/>
      <c r="E37" s="8" t="n"/>
      <c r="F37" s="8" t="n"/>
      <c r="G37" s="8" t="n"/>
      <c r="H37" s="8" t="n"/>
      <c r="I37" s="8" t="n"/>
      <c r="J37" s="8" t="n"/>
      <c r="K37" s="9">
        <f>IF(J37="Draft","Planning",IF(J37="Submitted","Approval",IF(OR(J37="Approved",J37="In Testing"),"Testing",IF(J37="Scheduled","Pre-Implementation",IF(J37="Implementing","Implementation",IF(OR(J37="Completed",J37="Failed",J37="Rolled Back",J37="Cancelled"),"Closed","Unknown"))))))</f>
        <v/>
      </c>
      <c r="L37" s="9">
        <f>IF(H37="","",TODAY()-H37)</f>
        <v/>
      </c>
      <c r="M37" s="9">
        <f>IF(OR(J37="Completed",J37="Cancelled"),"Complete",IF(L37&gt;30,"Delayed",IF(L37&gt;14,"At Risk","On Track")))</f>
        <v/>
      </c>
      <c r="N37" s="8" t="n"/>
    </row>
    <row r="38">
      <c r="A38" s="8" t="n"/>
      <c r="B38" s="8" t="n"/>
      <c r="C38" s="8" t="n"/>
      <c r="D38" s="8" t="n"/>
      <c r="E38" s="8" t="n"/>
      <c r="F38" s="8" t="n"/>
      <c r="G38" s="8" t="n"/>
      <c r="H38" s="8" t="n"/>
      <c r="I38" s="8" t="n"/>
      <c r="J38" s="8" t="n"/>
      <c r="K38" s="9">
        <f>IF(J38="Draft","Planning",IF(J38="Submitted","Approval",IF(OR(J38="Approved",J38="In Testing"),"Testing",IF(J38="Scheduled","Pre-Implementation",IF(J38="Implementing","Implementation",IF(OR(J38="Completed",J38="Failed",J38="Rolled Back",J38="Cancelled"),"Closed","Unknown"))))))</f>
        <v/>
      </c>
      <c r="L38" s="9">
        <f>IF(H38="","",TODAY()-H38)</f>
        <v/>
      </c>
      <c r="M38" s="9">
        <f>IF(OR(J38="Completed",J38="Cancelled"),"Complete",IF(L38&gt;30,"Delayed",IF(L38&gt;14,"At Risk","On Track")))</f>
        <v/>
      </c>
      <c r="N38" s="8" t="n"/>
    </row>
    <row r="39">
      <c r="A39" s="8" t="n"/>
      <c r="B39" s="8" t="n"/>
      <c r="C39" s="8" t="n"/>
      <c r="D39" s="8" t="n"/>
      <c r="E39" s="8" t="n"/>
      <c r="F39" s="8" t="n"/>
      <c r="G39" s="8" t="n"/>
      <c r="H39" s="8" t="n"/>
      <c r="I39" s="8" t="n"/>
      <c r="J39" s="8" t="n"/>
      <c r="K39" s="9">
        <f>IF(J39="Draft","Planning",IF(J39="Submitted","Approval",IF(OR(J39="Approved",J39="In Testing"),"Testing",IF(J39="Scheduled","Pre-Implementation",IF(J39="Implementing","Implementation",IF(OR(J39="Completed",J39="Failed",J39="Rolled Back",J39="Cancelled"),"Closed","Unknown"))))))</f>
        <v/>
      </c>
      <c r="L39" s="9">
        <f>IF(H39="","",TODAY()-H39)</f>
        <v/>
      </c>
      <c r="M39" s="9">
        <f>IF(OR(J39="Completed",J39="Cancelled"),"Complete",IF(L39&gt;30,"Delayed",IF(L39&gt;14,"At Risk","On Track")))</f>
        <v/>
      </c>
      <c r="N39" s="8" t="n"/>
    </row>
    <row r="40">
      <c r="A40" s="8" t="n"/>
      <c r="B40" s="8" t="n"/>
      <c r="C40" s="8" t="n"/>
      <c r="D40" s="8" t="n"/>
      <c r="E40" s="8" t="n"/>
      <c r="F40" s="8" t="n"/>
      <c r="G40" s="8" t="n"/>
      <c r="H40" s="8" t="n"/>
      <c r="I40" s="8" t="n"/>
      <c r="J40" s="8" t="n"/>
      <c r="K40" s="9">
        <f>IF(J40="Draft","Planning",IF(J40="Submitted","Approval",IF(OR(J40="Approved",J40="In Testing"),"Testing",IF(J40="Scheduled","Pre-Implementation",IF(J40="Implementing","Implementation",IF(OR(J40="Completed",J40="Failed",J40="Rolled Back",J40="Cancelled"),"Closed","Unknown"))))))</f>
        <v/>
      </c>
      <c r="L40" s="9">
        <f>IF(H40="","",TODAY()-H40)</f>
        <v/>
      </c>
      <c r="M40" s="9">
        <f>IF(OR(J40="Completed",J40="Cancelled"),"Complete",IF(L40&gt;30,"Delayed",IF(L40&gt;14,"At Risk","On Track")))</f>
        <v/>
      </c>
      <c r="N40" s="8" t="n"/>
    </row>
    <row r="41">
      <c r="A41" s="8" t="n"/>
      <c r="B41" s="8" t="n"/>
      <c r="C41" s="8" t="n"/>
      <c r="D41" s="8" t="n"/>
      <c r="E41" s="8" t="n"/>
      <c r="F41" s="8" t="n"/>
      <c r="G41" s="8" t="n"/>
      <c r="H41" s="8" t="n"/>
      <c r="I41" s="8" t="n"/>
      <c r="J41" s="8" t="n"/>
      <c r="K41" s="9">
        <f>IF(J41="Draft","Planning",IF(J41="Submitted","Approval",IF(OR(J41="Approved",J41="In Testing"),"Testing",IF(J41="Scheduled","Pre-Implementation",IF(J41="Implementing","Implementation",IF(OR(J41="Completed",J41="Failed",J41="Rolled Back",J41="Cancelled"),"Closed","Unknown"))))))</f>
        <v/>
      </c>
      <c r="L41" s="9">
        <f>IF(H41="","",TODAY()-H41)</f>
        <v/>
      </c>
      <c r="M41" s="9">
        <f>IF(OR(J41="Completed",J41="Cancelled"),"Complete",IF(L41&gt;30,"Delayed",IF(L41&gt;14,"At Risk","On Track")))</f>
        <v/>
      </c>
      <c r="N41" s="8" t="n"/>
    </row>
    <row r="42">
      <c r="A42" s="8" t="n"/>
      <c r="B42" s="8" t="n"/>
      <c r="C42" s="8" t="n"/>
      <c r="D42" s="8" t="n"/>
      <c r="E42" s="8" t="n"/>
      <c r="F42" s="8" t="n"/>
      <c r="G42" s="8" t="n"/>
      <c r="H42" s="8" t="n"/>
      <c r="I42" s="8" t="n"/>
      <c r="J42" s="8" t="n"/>
      <c r="K42" s="9">
        <f>IF(J42="Draft","Planning",IF(J42="Submitted","Approval",IF(OR(J42="Approved",J42="In Testing"),"Testing",IF(J42="Scheduled","Pre-Implementation",IF(J42="Implementing","Implementation",IF(OR(J42="Completed",J42="Failed",J42="Rolled Back",J42="Cancelled"),"Closed","Unknown"))))))</f>
        <v/>
      </c>
      <c r="L42" s="9">
        <f>IF(H42="","",TODAY()-H42)</f>
        <v/>
      </c>
      <c r="M42" s="9">
        <f>IF(OR(J42="Completed",J42="Cancelled"),"Complete",IF(L42&gt;30,"Delayed",IF(L42&gt;14,"At Risk","On Track")))</f>
        <v/>
      </c>
      <c r="N42" s="8" t="n"/>
    </row>
    <row r="43">
      <c r="A43" s="8" t="n"/>
      <c r="B43" s="8" t="n"/>
      <c r="C43" s="8" t="n"/>
      <c r="D43" s="8" t="n"/>
      <c r="E43" s="8" t="n"/>
      <c r="F43" s="8" t="n"/>
      <c r="G43" s="8" t="n"/>
      <c r="H43" s="8" t="n"/>
      <c r="I43" s="8" t="n"/>
      <c r="J43" s="8" t="n"/>
      <c r="K43" s="9">
        <f>IF(J43="Draft","Planning",IF(J43="Submitted","Approval",IF(OR(J43="Approved",J43="In Testing"),"Testing",IF(J43="Scheduled","Pre-Implementation",IF(J43="Implementing","Implementation",IF(OR(J43="Completed",J43="Failed",J43="Rolled Back",J43="Cancelled"),"Closed","Unknown"))))))</f>
        <v/>
      </c>
      <c r="L43" s="9">
        <f>IF(H43="","",TODAY()-H43)</f>
        <v/>
      </c>
      <c r="M43" s="9">
        <f>IF(OR(J43="Completed",J43="Cancelled"),"Complete",IF(L43&gt;30,"Delayed",IF(L43&gt;14,"At Risk","On Track")))</f>
        <v/>
      </c>
      <c r="N43" s="8" t="n"/>
    </row>
    <row r="44">
      <c r="A44" s="8" t="n"/>
      <c r="B44" s="8" t="n"/>
      <c r="C44" s="8" t="n"/>
      <c r="D44" s="8" t="n"/>
      <c r="E44" s="8" t="n"/>
      <c r="F44" s="8" t="n"/>
      <c r="G44" s="8" t="n"/>
      <c r="H44" s="8" t="n"/>
      <c r="I44" s="8" t="n"/>
      <c r="J44" s="8" t="n"/>
      <c r="K44" s="9">
        <f>IF(J44="Draft","Planning",IF(J44="Submitted","Approval",IF(OR(J44="Approved",J44="In Testing"),"Testing",IF(J44="Scheduled","Pre-Implementation",IF(J44="Implementing","Implementation",IF(OR(J44="Completed",J44="Failed",J44="Rolled Back",J44="Cancelled"),"Closed","Unknown"))))))</f>
        <v/>
      </c>
      <c r="L44" s="9">
        <f>IF(H44="","",TODAY()-H44)</f>
        <v/>
      </c>
      <c r="M44" s="9">
        <f>IF(OR(J44="Completed",J44="Cancelled"),"Complete",IF(L44&gt;30,"Delayed",IF(L44&gt;14,"At Risk","On Track")))</f>
        <v/>
      </c>
      <c r="N44" s="8" t="n"/>
    </row>
    <row r="45">
      <c r="A45" s="8" t="n"/>
      <c r="B45" s="8" t="n"/>
      <c r="C45" s="8" t="n"/>
      <c r="D45" s="8" t="n"/>
      <c r="E45" s="8" t="n"/>
      <c r="F45" s="8" t="n"/>
      <c r="G45" s="8" t="n"/>
      <c r="H45" s="8" t="n"/>
      <c r="I45" s="8" t="n"/>
      <c r="J45" s="8" t="n"/>
      <c r="K45" s="9">
        <f>IF(J45="Draft","Planning",IF(J45="Submitted","Approval",IF(OR(J45="Approved",J45="In Testing"),"Testing",IF(J45="Scheduled","Pre-Implementation",IF(J45="Implementing","Implementation",IF(OR(J45="Completed",J45="Failed",J45="Rolled Back",J45="Cancelled"),"Closed","Unknown"))))))</f>
        <v/>
      </c>
      <c r="L45" s="9">
        <f>IF(H45="","",TODAY()-H45)</f>
        <v/>
      </c>
      <c r="M45" s="9">
        <f>IF(OR(J45="Completed",J45="Cancelled"),"Complete",IF(L45&gt;30,"Delayed",IF(L45&gt;14,"At Risk","On Track")))</f>
        <v/>
      </c>
      <c r="N45" s="8" t="n"/>
    </row>
    <row r="46">
      <c r="A46" s="8" t="n"/>
      <c r="B46" s="8" t="n"/>
      <c r="C46" s="8" t="n"/>
      <c r="D46" s="8" t="n"/>
      <c r="E46" s="8" t="n"/>
      <c r="F46" s="8" t="n"/>
      <c r="G46" s="8" t="n"/>
      <c r="H46" s="8" t="n"/>
      <c r="I46" s="8" t="n"/>
      <c r="J46" s="8" t="n"/>
      <c r="K46" s="9">
        <f>IF(J46="Draft","Planning",IF(J46="Submitted","Approval",IF(OR(J46="Approved",J46="In Testing"),"Testing",IF(J46="Scheduled","Pre-Implementation",IF(J46="Implementing","Implementation",IF(OR(J46="Completed",J46="Failed",J46="Rolled Back",J46="Cancelled"),"Closed","Unknown"))))))</f>
        <v/>
      </c>
      <c r="L46" s="9">
        <f>IF(H46="","",TODAY()-H46)</f>
        <v/>
      </c>
      <c r="M46" s="9">
        <f>IF(OR(J46="Completed",J46="Cancelled"),"Complete",IF(L46&gt;30,"Delayed",IF(L46&gt;14,"At Risk","On Track")))</f>
        <v/>
      </c>
      <c r="N46" s="8" t="n"/>
    </row>
    <row r="47">
      <c r="A47" s="8" t="n"/>
      <c r="B47" s="8" t="n"/>
      <c r="C47" s="8" t="n"/>
      <c r="D47" s="8" t="n"/>
      <c r="E47" s="8" t="n"/>
      <c r="F47" s="8" t="n"/>
      <c r="G47" s="8" t="n"/>
      <c r="H47" s="8" t="n"/>
      <c r="I47" s="8" t="n"/>
      <c r="J47" s="8" t="n"/>
      <c r="K47" s="9">
        <f>IF(J47="Draft","Planning",IF(J47="Submitted","Approval",IF(OR(J47="Approved",J47="In Testing"),"Testing",IF(J47="Scheduled","Pre-Implementation",IF(J47="Implementing","Implementation",IF(OR(J47="Completed",J47="Failed",J47="Rolled Back",J47="Cancelled"),"Closed","Unknown"))))))</f>
        <v/>
      </c>
      <c r="L47" s="9">
        <f>IF(H47="","",TODAY()-H47)</f>
        <v/>
      </c>
      <c r="M47" s="9">
        <f>IF(OR(J47="Completed",J47="Cancelled"),"Complete",IF(L47&gt;30,"Delayed",IF(L47&gt;14,"At Risk","On Track")))</f>
        <v/>
      </c>
      <c r="N47" s="8" t="n"/>
    </row>
    <row r="48">
      <c r="A48" s="8" t="n"/>
      <c r="B48" s="8" t="n"/>
      <c r="C48" s="8" t="n"/>
      <c r="D48" s="8" t="n"/>
      <c r="E48" s="8" t="n"/>
      <c r="F48" s="8" t="n"/>
      <c r="G48" s="8" t="n"/>
      <c r="H48" s="8" t="n"/>
      <c r="I48" s="8" t="n"/>
      <c r="J48" s="8" t="n"/>
      <c r="K48" s="9">
        <f>IF(J48="Draft","Planning",IF(J48="Submitted","Approval",IF(OR(J48="Approved",J48="In Testing"),"Testing",IF(J48="Scheduled","Pre-Implementation",IF(J48="Implementing","Implementation",IF(OR(J48="Completed",J48="Failed",J48="Rolled Back",J48="Cancelled"),"Closed","Unknown"))))))</f>
        <v/>
      </c>
      <c r="L48" s="9">
        <f>IF(H48="","",TODAY()-H48)</f>
        <v/>
      </c>
      <c r="M48" s="9">
        <f>IF(OR(J48="Completed",J48="Cancelled"),"Complete",IF(L48&gt;30,"Delayed",IF(L48&gt;14,"At Risk","On Track")))</f>
        <v/>
      </c>
      <c r="N48" s="8" t="n"/>
    </row>
    <row r="49">
      <c r="A49" s="8" t="n"/>
      <c r="B49" s="8" t="n"/>
      <c r="C49" s="8" t="n"/>
      <c r="D49" s="8" t="n"/>
      <c r="E49" s="8" t="n"/>
      <c r="F49" s="8" t="n"/>
      <c r="G49" s="8" t="n"/>
      <c r="H49" s="8" t="n"/>
      <c r="I49" s="8" t="n"/>
      <c r="J49" s="8" t="n"/>
      <c r="K49" s="9">
        <f>IF(J49="Draft","Planning",IF(J49="Submitted","Approval",IF(OR(J49="Approved",J49="In Testing"),"Testing",IF(J49="Scheduled","Pre-Implementation",IF(J49="Implementing","Implementation",IF(OR(J49="Completed",J49="Failed",J49="Rolled Back",J49="Cancelled"),"Closed","Unknown"))))))</f>
        <v/>
      </c>
      <c r="L49" s="9">
        <f>IF(H49="","",TODAY()-H49)</f>
        <v/>
      </c>
      <c r="M49" s="9">
        <f>IF(OR(J49="Completed",J49="Cancelled"),"Complete",IF(L49&gt;30,"Delayed",IF(L49&gt;14,"At Risk","On Track")))</f>
        <v/>
      </c>
      <c r="N49" s="8" t="n"/>
    </row>
    <row r="50">
      <c r="A50" s="8" t="n"/>
      <c r="B50" s="8" t="n"/>
      <c r="C50" s="8" t="n"/>
      <c r="D50" s="8" t="n"/>
      <c r="E50" s="8" t="n"/>
      <c r="F50" s="8" t="n"/>
      <c r="G50" s="8" t="n"/>
      <c r="H50" s="8" t="n"/>
      <c r="I50" s="8" t="n"/>
      <c r="J50" s="8" t="n"/>
      <c r="K50" s="9">
        <f>IF(J50="Draft","Planning",IF(J50="Submitted","Approval",IF(OR(J50="Approved",J50="In Testing"),"Testing",IF(J50="Scheduled","Pre-Implementation",IF(J50="Implementing","Implementation",IF(OR(J50="Completed",J50="Failed",J50="Rolled Back",J50="Cancelled"),"Closed","Unknown"))))))</f>
        <v/>
      </c>
      <c r="L50" s="9">
        <f>IF(H50="","",TODAY()-H50)</f>
        <v/>
      </c>
      <c r="M50" s="9">
        <f>IF(OR(J50="Completed",J50="Cancelled"),"Complete",IF(L50&gt;30,"Delayed",IF(L50&gt;14,"At Risk","On Track")))</f>
        <v/>
      </c>
      <c r="N50" s="8" t="n"/>
    </row>
    <row r="51">
      <c r="A51" s="8" t="n"/>
      <c r="B51" s="8" t="n"/>
      <c r="C51" s="8" t="n"/>
      <c r="D51" s="8" t="n"/>
      <c r="E51" s="8" t="n"/>
      <c r="F51" s="8" t="n"/>
      <c r="G51" s="8" t="n"/>
      <c r="H51" s="8" t="n"/>
      <c r="I51" s="8" t="n"/>
      <c r="J51" s="8" t="n"/>
      <c r="K51" s="9">
        <f>IF(J51="Draft","Planning",IF(J51="Submitted","Approval",IF(OR(J51="Approved",J51="In Testing"),"Testing",IF(J51="Scheduled","Pre-Implementation",IF(J51="Implementing","Implementation",IF(OR(J51="Completed",J51="Failed",J51="Rolled Back",J51="Cancelled"),"Closed","Unknown"))))))</f>
        <v/>
      </c>
      <c r="L51" s="9">
        <f>IF(H51="","",TODAY()-H51)</f>
        <v/>
      </c>
      <c r="M51" s="9">
        <f>IF(OR(J51="Completed",J51="Cancelled"),"Complete",IF(L51&gt;30,"Delayed",IF(L51&gt;14,"At Risk","On Track")))</f>
        <v/>
      </c>
      <c r="N51" s="8" t="n"/>
    </row>
    <row r="52">
      <c r="A52" s="8" t="n"/>
      <c r="B52" s="8" t="n"/>
      <c r="C52" s="8" t="n"/>
      <c r="D52" s="8" t="n"/>
      <c r="E52" s="8" t="n"/>
      <c r="F52" s="8" t="n"/>
      <c r="G52" s="8" t="n"/>
      <c r="H52" s="8" t="n"/>
      <c r="I52" s="8" t="n"/>
      <c r="J52" s="8" t="n"/>
      <c r="K52" s="9">
        <f>IF(J52="Draft","Planning",IF(J52="Submitted","Approval",IF(OR(J52="Approved",J52="In Testing"),"Testing",IF(J52="Scheduled","Pre-Implementation",IF(J52="Implementing","Implementation",IF(OR(J52="Completed",J52="Failed",J52="Rolled Back",J52="Cancelled"),"Closed","Unknown"))))))</f>
        <v/>
      </c>
      <c r="L52" s="9">
        <f>IF(H52="","",TODAY()-H52)</f>
        <v/>
      </c>
      <c r="M52" s="9">
        <f>IF(OR(J52="Completed",J52="Cancelled"),"Complete",IF(L52&gt;30,"Delayed",IF(L52&gt;14,"At Risk","On Track")))</f>
        <v/>
      </c>
      <c r="N52" s="8" t="n"/>
    </row>
    <row r="53">
      <c r="A53" s="8" t="n"/>
      <c r="B53" s="8" t="n"/>
      <c r="C53" s="8" t="n"/>
      <c r="D53" s="8" t="n"/>
      <c r="E53" s="8" t="n"/>
      <c r="F53" s="8" t="n"/>
      <c r="G53" s="8" t="n"/>
      <c r="H53" s="8" t="n"/>
      <c r="I53" s="8" t="n"/>
      <c r="J53" s="8" t="n"/>
      <c r="K53" s="9">
        <f>IF(J53="Draft","Planning",IF(J53="Submitted","Approval",IF(OR(J53="Approved",J53="In Testing"),"Testing",IF(J53="Scheduled","Pre-Implementation",IF(J53="Implementing","Implementation",IF(OR(J53="Completed",J53="Failed",J53="Rolled Back",J53="Cancelled"),"Closed","Unknown"))))))</f>
        <v/>
      </c>
      <c r="L53" s="9">
        <f>IF(H53="","",TODAY()-H53)</f>
        <v/>
      </c>
      <c r="M53" s="9">
        <f>IF(OR(J53="Completed",J53="Cancelled"),"Complete",IF(L53&gt;30,"Delayed",IF(L53&gt;14,"At Risk","On Track")))</f>
        <v/>
      </c>
      <c r="N53" s="8" t="n"/>
    </row>
    <row r="54">
      <c r="A54" s="8" t="n"/>
      <c r="B54" s="8" t="n"/>
      <c r="C54" s="8" t="n"/>
      <c r="D54" s="8" t="n"/>
      <c r="E54" s="8" t="n"/>
      <c r="F54" s="8" t="n"/>
      <c r="G54" s="8" t="n"/>
      <c r="H54" s="8" t="n"/>
      <c r="I54" s="8" t="n"/>
      <c r="J54" s="8" t="n"/>
      <c r="K54" s="9">
        <f>IF(J54="Draft","Planning",IF(J54="Submitted","Approval",IF(OR(J54="Approved",J54="In Testing"),"Testing",IF(J54="Scheduled","Pre-Implementation",IF(J54="Implementing","Implementation",IF(OR(J54="Completed",J54="Failed",J54="Rolled Back",J54="Cancelled"),"Closed","Unknown"))))))</f>
        <v/>
      </c>
      <c r="L54" s="9">
        <f>IF(H54="","",TODAY()-H54)</f>
        <v/>
      </c>
      <c r="M54" s="9">
        <f>IF(OR(J54="Completed",J54="Cancelled"),"Complete",IF(L54&gt;30,"Delayed",IF(L54&gt;14,"At Risk","On Track")))</f>
        <v/>
      </c>
      <c r="N54" s="8" t="n"/>
    </row>
    <row r="55">
      <c r="A55" s="8" t="n"/>
      <c r="B55" s="8" t="n"/>
      <c r="C55" s="8" t="n"/>
      <c r="D55" s="8" t="n"/>
      <c r="E55" s="8" t="n"/>
      <c r="F55" s="8" t="n"/>
      <c r="G55" s="8" t="n"/>
      <c r="H55" s="8" t="n"/>
      <c r="I55" s="8" t="n"/>
      <c r="J55" s="8" t="n"/>
      <c r="K55" s="9">
        <f>IF(J55="Draft","Planning",IF(J55="Submitted","Approval",IF(OR(J55="Approved",J55="In Testing"),"Testing",IF(J55="Scheduled","Pre-Implementation",IF(J55="Implementing","Implementation",IF(OR(J55="Completed",J55="Failed",J55="Rolled Back",J55="Cancelled"),"Closed","Unknown"))))))</f>
        <v/>
      </c>
      <c r="L55" s="9">
        <f>IF(H55="","",TODAY()-H55)</f>
        <v/>
      </c>
      <c r="M55" s="9">
        <f>IF(OR(J55="Completed",J55="Cancelled"),"Complete",IF(L55&gt;30,"Delayed",IF(L55&gt;14,"At Risk","On Track")))</f>
        <v/>
      </c>
      <c r="N55" s="8" t="n"/>
    </row>
    <row r="56">
      <c r="A56" s="8" t="n"/>
      <c r="B56" s="8" t="n"/>
      <c r="C56" s="8" t="n"/>
      <c r="D56" s="8" t="n"/>
      <c r="E56" s="8" t="n"/>
      <c r="F56" s="8" t="n"/>
      <c r="G56" s="8" t="n"/>
      <c r="H56" s="8" t="n"/>
      <c r="I56" s="8" t="n"/>
      <c r="J56" s="8" t="n"/>
      <c r="K56" s="9">
        <f>IF(J56="Draft","Planning",IF(J56="Submitted","Approval",IF(OR(J56="Approved",J56="In Testing"),"Testing",IF(J56="Scheduled","Pre-Implementation",IF(J56="Implementing","Implementation",IF(OR(J56="Completed",J56="Failed",J56="Rolled Back",J56="Cancelled"),"Closed","Unknown"))))))</f>
        <v/>
      </c>
      <c r="L56" s="9">
        <f>IF(H56="","",TODAY()-H56)</f>
        <v/>
      </c>
      <c r="M56" s="9">
        <f>IF(OR(J56="Completed",J56="Cancelled"),"Complete",IF(L56&gt;30,"Delayed",IF(L56&gt;14,"At Risk","On Track")))</f>
        <v/>
      </c>
      <c r="N56" s="8" t="n"/>
    </row>
    <row r="57">
      <c r="A57" s="8" t="n"/>
      <c r="B57" s="8" t="n"/>
      <c r="C57" s="8" t="n"/>
      <c r="D57" s="8" t="n"/>
      <c r="E57" s="8" t="n"/>
      <c r="F57" s="8" t="n"/>
      <c r="G57" s="8" t="n"/>
      <c r="H57" s="8" t="n"/>
      <c r="I57" s="8" t="n"/>
      <c r="J57" s="8" t="n"/>
      <c r="K57" s="9">
        <f>IF(J57="Draft","Planning",IF(J57="Submitted","Approval",IF(OR(J57="Approved",J57="In Testing"),"Testing",IF(J57="Scheduled","Pre-Implementation",IF(J57="Implementing","Implementation",IF(OR(J57="Completed",J57="Failed",J57="Rolled Back",J57="Cancelled"),"Closed","Unknown"))))))</f>
        <v/>
      </c>
      <c r="L57" s="9">
        <f>IF(H57="","",TODAY()-H57)</f>
        <v/>
      </c>
      <c r="M57" s="9">
        <f>IF(OR(J57="Completed",J57="Cancelled"),"Complete",IF(L57&gt;30,"Delayed",IF(L57&gt;14,"At Risk","On Track")))</f>
        <v/>
      </c>
      <c r="N57" s="8" t="n"/>
    </row>
    <row r="58">
      <c r="A58" s="8" t="n"/>
      <c r="B58" s="8" t="n"/>
      <c r="C58" s="8" t="n"/>
      <c r="D58" s="8" t="n"/>
      <c r="E58" s="8" t="n"/>
      <c r="F58" s="8" t="n"/>
      <c r="G58" s="8" t="n"/>
      <c r="H58" s="8" t="n"/>
      <c r="I58" s="8" t="n"/>
      <c r="J58" s="8" t="n"/>
      <c r="K58" s="9">
        <f>IF(J58="Draft","Planning",IF(J58="Submitted","Approval",IF(OR(J58="Approved",J58="In Testing"),"Testing",IF(J58="Scheduled","Pre-Implementation",IF(J58="Implementing","Implementation",IF(OR(J58="Completed",J58="Failed",J58="Rolled Back",J58="Cancelled"),"Closed","Unknown"))))))</f>
        <v/>
      </c>
      <c r="L58" s="9">
        <f>IF(H58="","",TODAY()-H58)</f>
        <v/>
      </c>
      <c r="M58" s="9">
        <f>IF(OR(J58="Completed",J58="Cancelled"),"Complete",IF(L58&gt;30,"Delayed",IF(L58&gt;14,"At Risk","On Track")))</f>
        <v/>
      </c>
      <c r="N58" s="8" t="n"/>
    </row>
    <row r="59">
      <c r="A59" s="8" t="n"/>
      <c r="B59" s="8" t="n"/>
      <c r="C59" s="8" t="n"/>
      <c r="D59" s="8" t="n"/>
      <c r="E59" s="8" t="n"/>
      <c r="F59" s="8" t="n"/>
      <c r="G59" s="8" t="n"/>
      <c r="H59" s="8" t="n"/>
      <c r="I59" s="8" t="n"/>
      <c r="J59" s="8" t="n"/>
      <c r="K59" s="9">
        <f>IF(J59="Draft","Planning",IF(J59="Submitted","Approval",IF(OR(J59="Approved",J59="In Testing"),"Testing",IF(J59="Scheduled","Pre-Implementation",IF(J59="Implementing","Implementation",IF(OR(J59="Completed",J59="Failed",J59="Rolled Back",J59="Cancelled"),"Closed","Unknown"))))))</f>
        <v/>
      </c>
      <c r="L59" s="9">
        <f>IF(H59="","",TODAY()-H59)</f>
        <v/>
      </c>
      <c r="M59" s="9">
        <f>IF(OR(J59="Completed",J59="Cancelled"),"Complete",IF(L59&gt;30,"Delayed",IF(L59&gt;14,"At Risk","On Track")))</f>
        <v/>
      </c>
      <c r="N59" s="8" t="n"/>
    </row>
    <row r="60">
      <c r="A60" s="8" t="n"/>
      <c r="B60" s="8" t="n"/>
      <c r="C60" s="8" t="n"/>
      <c r="D60" s="8" t="n"/>
      <c r="E60" s="8" t="n"/>
      <c r="F60" s="8" t="n"/>
      <c r="G60" s="8" t="n"/>
      <c r="H60" s="8" t="n"/>
      <c r="I60" s="8" t="n"/>
      <c r="J60" s="8" t="n"/>
      <c r="K60" s="9">
        <f>IF(J60="Draft","Planning",IF(J60="Submitted","Approval",IF(OR(J60="Approved",J60="In Testing"),"Testing",IF(J60="Scheduled","Pre-Implementation",IF(J60="Implementing","Implementation",IF(OR(J60="Completed",J60="Failed",J60="Rolled Back",J60="Cancelled"),"Closed","Unknown"))))))</f>
        <v/>
      </c>
      <c r="L60" s="9">
        <f>IF(H60="","",TODAY()-H60)</f>
        <v/>
      </c>
      <c r="M60" s="9">
        <f>IF(OR(J60="Completed",J60="Cancelled"),"Complete",IF(L60&gt;30,"Delayed",IF(L60&gt;14,"At Risk","On Track")))</f>
        <v/>
      </c>
      <c r="N60" s="8" t="n"/>
    </row>
    <row r="61">
      <c r="A61" s="8" t="n"/>
      <c r="B61" s="8" t="n"/>
      <c r="C61" s="8" t="n"/>
      <c r="D61" s="8" t="n"/>
      <c r="E61" s="8" t="n"/>
      <c r="F61" s="8" t="n"/>
      <c r="G61" s="8" t="n"/>
      <c r="H61" s="8" t="n"/>
      <c r="I61" s="8" t="n"/>
      <c r="J61" s="8" t="n"/>
      <c r="K61" s="9">
        <f>IF(J61="Draft","Planning",IF(J61="Submitted","Approval",IF(OR(J61="Approved",J61="In Testing"),"Testing",IF(J61="Scheduled","Pre-Implementation",IF(J61="Implementing","Implementation",IF(OR(J61="Completed",J61="Failed",J61="Rolled Back",J61="Cancelled"),"Closed","Unknown"))))))</f>
        <v/>
      </c>
      <c r="L61" s="9">
        <f>IF(H61="","",TODAY()-H61)</f>
        <v/>
      </c>
      <c r="M61" s="9">
        <f>IF(OR(J61="Completed",J61="Cancelled"),"Complete",IF(L61&gt;30,"Delayed",IF(L61&gt;14,"At Risk","On Track")))</f>
        <v/>
      </c>
      <c r="N61" s="8" t="n"/>
    </row>
    <row r="62">
      <c r="A62" s="8" t="n"/>
      <c r="B62" s="8" t="n"/>
      <c r="C62" s="8" t="n"/>
      <c r="D62" s="8" t="n"/>
      <c r="E62" s="8" t="n"/>
      <c r="F62" s="8" t="n"/>
      <c r="G62" s="8" t="n"/>
      <c r="H62" s="8" t="n"/>
      <c r="I62" s="8" t="n"/>
      <c r="J62" s="8" t="n"/>
      <c r="K62" s="9">
        <f>IF(J62="Draft","Planning",IF(J62="Submitted","Approval",IF(OR(J62="Approved",J62="In Testing"),"Testing",IF(J62="Scheduled","Pre-Implementation",IF(J62="Implementing","Implementation",IF(OR(J62="Completed",J62="Failed",J62="Rolled Back",J62="Cancelled"),"Closed","Unknown"))))))</f>
        <v/>
      </c>
      <c r="L62" s="9">
        <f>IF(H62="","",TODAY()-H62)</f>
        <v/>
      </c>
      <c r="M62" s="9">
        <f>IF(OR(J62="Completed",J62="Cancelled"),"Complete",IF(L62&gt;30,"Delayed",IF(L62&gt;14,"At Risk","On Track")))</f>
        <v/>
      </c>
      <c r="N62" s="8" t="n"/>
    </row>
    <row r="63">
      <c r="A63" s="8" t="n"/>
      <c r="B63" s="8" t="n"/>
      <c r="C63" s="8" t="n"/>
      <c r="D63" s="8" t="n"/>
      <c r="E63" s="8" t="n"/>
      <c r="F63" s="8" t="n"/>
      <c r="G63" s="8" t="n"/>
      <c r="H63" s="8" t="n"/>
      <c r="I63" s="8" t="n"/>
      <c r="J63" s="8" t="n"/>
      <c r="K63" s="9">
        <f>IF(J63="Draft","Planning",IF(J63="Submitted","Approval",IF(OR(J63="Approved",J63="In Testing"),"Testing",IF(J63="Scheduled","Pre-Implementation",IF(J63="Implementing","Implementation",IF(OR(J63="Completed",J63="Failed",J63="Rolled Back",J63="Cancelled"),"Closed","Unknown"))))))</f>
        <v/>
      </c>
      <c r="L63" s="9">
        <f>IF(H63="","",TODAY()-H63)</f>
        <v/>
      </c>
      <c r="M63" s="9">
        <f>IF(OR(J63="Completed",J63="Cancelled"),"Complete",IF(L63&gt;30,"Delayed",IF(L63&gt;14,"At Risk","On Track")))</f>
        <v/>
      </c>
      <c r="N63" s="8" t="n"/>
    </row>
    <row r="64">
      <c r="A64" s="8" t="n"/>
      <c r="B64" s="8" t="n"/>
      <c r="C64" s="8" t="n"/>
      <c r="D64" s="8" t="n"/>
      <c r="E64" s="8" t="n"/>
      <c r="F64" s="8" t="n"/>
      <c r="G64" s="8" t="n"/>
      <c r="H64" s="8" t="n"/>
      <c r="I64" s="8" t="n"/>
      <c r="J64" s="8" t="n"/>
      <c r="K64" s="9">
        <f>IF(J64="Draft","Planning",IF(J64="Submitted","Approval",IF(OR(J64="Approved",J64="In Testing"),"Testing",IF(J64="Scheduled","Pre-Implementation",IF(J64="Implementing","Implementation",IF(OR(J64="Completed",J64="Failed",J64="Rolled Back",J64="Cancelled"),"Closed","Unknown"))))))</f>
        <v/>
      </c>
      <c r="L64" s="9">
        <f>IF(H64="","",TODAY()-H64)</f>
        <v/>
      </c>
      <c r="M64" s="9">
        <f>IF(OR(J64="Completed",J64="Cancelled"),"Complete",IF(L64&gt;30,"Delayed",IF(L64&gt;14,"At Risk","On Track")))</f>
        <v/>
      </c>
      <c r="N64" s="8" t="n"/>
    </row>
    <row r="65">
      <c r="A65" s="8" t="n"/>
      <c r="B65" s="8" t="n"/>
      <c r="C65" s="8" t="n"/>
      <c r="D65" s="8" t="n"/>
      <c r="E65" s="8" t="n"/>
      <c r="F65" s="8" t="n"/>
      <c r="G65" s="8" t="n"/>
      <c r="H65" s="8" t="n"/>
      <c r="I65" s="8" t="n"/>
      <c r="J65" s="8" t="n"/>
      <c r="K65" s="9">
        <f>IF(J65="Draft","Planning",IF(J65="Submitted","Approval",IF(OR(J65="Approved",J65="In Testing"),"Testing",IF(J65="Scheduled","Pre-Implementation",IF(J65="Implementing","Implementation",IF(OR(J65="Completed",J65="Failed",J65="Rolled Back",J65="Cancelled"),"Closed","Unknown"))))))</f>
        <v/>
      </c>
      <c r="L65" s="9">
        <f>IF(H65="","",TODAY()-H65)</f>
        <v/>
      </c>
      <c r="M65" s="9">
        <f>IF(OR(J65="Completed",J65="Cancelled"),"Complete",IF(L65&gt;30,"Delayed",IF(L65&gt;14,"At Risk","On Track")))</f>
        <v/>
      </c>
      <c r="N65" s="8" t="n"/>
    </row>
    <row r="66">
      <c r="A66" s="8" t="n"/>
      <c r="B66" s="8" t="n"/>
      <c r="C66" s="8" t="n"/>
      <c r="D66" s="8" t="n"/>
      <c r="E66" s="8" t="n"/>
      <c r="F66" s="8" t="n"/>
      <c r="G66" s="8" t="n"/>
      <c r="H66" s="8" t="n"/>
      <c r="I66" s="8" t="n"/>
      <c r="J66" s="8" t="n"/>
      <c r="K66" s="9">
        <f>IF(J66="Draft","Planning",IF(J66="Submitted","Approval",IF(OR(J66="Approved",J66="In Testing"),"Testing",IF(J66="Scheduled","Pre-Implementation",IF(J66="Implementing","Implementation",IF(OR(J66="Completed",J66="Failed",J66="Rolled Back",J66="Cancelled"),"Closed","Unknown"))))))</f>
        <v/>
      </c>
      <c r="L66" s="9">
        <f>IF(H66="","",TODAY()-H66)</f>
        <v/>
      </c>
      <c r="M66" s="9">
        <f>IF(OR(J66="Completed",J66="Cancelled"),"Complete",IF(L66&gt;30,"Delayed",IF(L66&gt;14,"At Risk","On Track")))</f>
        <v/>
      </c>
      <c r="N66" s="8" t="n"/>
    </row>
    <row r="67">
      <c r="A67" s="8" t="n"/>
      <c r="B67" s="8" t="n"/>
      <c r="C67" s="8" t="n"/>
      <c r="D67" s="8" t="n"/>
      <c r="E67" s="8" t="n"/>
      <c r="F67" s="8" t="n"/>
      <c r="G67" s="8" t="n"/>
      <c r="H67" s="8" t="n"/>
      <c r="I67" s="8" t="n"/>
      <c r="J67" s="8" t="n"/>
      <c r="K67" s="9">
        <f>IF(J67="Draft","Planning",IF(J67="Submitted","Approval",IF(OR(J67="Approved",J67="In Testing"),"Testing",IF(J67="Scheduled","Pre-Implementation",IF(J67="Implementing","Implementation",IF(OR(J67="Completed",J67="Failed",J67="Rolled Back",J67="Cancelled"),"Closed","Unknown"))))))</f>
        <v/>
      </c>
      <c r="L67" s="9">
        <f>IF(H67="","",TODAY()-H67)</f>
        <v/>
      </c>
      <c r="M67" s="9">
        <f>IF(OR(J67="Completed",J67="Cancelled"),"Complete",IF(L67&gt;30,"Delayed",IF(L67&gt;14,"At Risk","On Track")))</f>
        <v/>
      </c>
      <c r="N67" s="8" t="n"/>
    </row>
    <row r="68">
      <c r="A68" s="8" t="n"/>
      <c r="B68" s="8" t="n"/>
      <c r="C68" s="8" t="n"/>
      <c r="D68" s="8" t="n"/>
      <c r="E68" s="8" t="n"/>
      <c r="F68" s="8" t="n"/>
      <c r="G68" s="8" t="n"/>
      <c r="H68" s="8" t="n"/>
      <c r="I68" s="8" t="n"/>
      <c r="J68" s="8" t="n"/>
      <c r="K68" s="9">
        <f>IF(J68="Draft","Planning",IF(J68="Submitted","Approval",IF(OR(J68="Approved",J68="In Testing"),"Testing",IF(J68="Scheduled","Pre-Implementation",IF(J68="Implementing","Implementation",IF(OR(J68="Completed",J68="Failed",J68="Rolled Back",J68="Cancelled"),"Closed","Unknown"))))))</f>
        <v/>
      </c>
      <c r="L68" s="9">
        <f>IF(H68="","",TODAY()-H68)</f>
        <v/>
      </c>
      <c r="M68" s="9">
        <f>IF(OR(J68="Completed",J68="Cancelled"),"Complete",IF(L68&gt;30,"Delayed",IF(L68&gt;14,"At Risk","On Track")))</f>
        <v/>
      </c>
      <c r="N68" s="8" t="n"/>
    </row>
    <row r="69">
      <c r="A69" s="8" t="n"/>
      <c r="B69" s="8" t="n"/>
      <c r="C69" s="8" t="n"/>
      <c r="D69" s="8" t="n"/>
      <c r="E69" s="8" t="n"/>
      <c r="F69" s="8" t="n"/>
      <c r="G69" s="8" t="n"/>
      <c r="H69" s="8" t="n"/>
      <c r="I69" s="8" t="n"/>
      <c r="J69" s="8" t="n"/>
      <c r="K69" s="9">
        <f>IF(J69="Draft","Planning",IF(J69="Submitted","Approval",IF(OR(J69="Approved",J69="In Testing"),"Testing",IF(J69="Scheduled","Pre-Implementation",IF(J69="Implementing","Implementation",IF(OR(J69="Completed",J69="Failed",J69="Rolled Back",J69="Cancelled"),"Closed","Unknown"))))))</f>
        <v/>
      </c>
      <c r="L69" s="9">
        <f>IF(H69="","",TODAY()-H69)</f>
        <v/>
      </c>
      <c r="M69" s="9">
        <f>IF(OR(J69="Completed",J69="Cancelled"),"Complete",IF(L69&gt;30,"Delayed",IF(L69&gt;14,"At Risk","On Track")))</f>
        <v/>
      </c>
      <c r="N69" s="8" t="n"/>
    </row>
    <row r="70">
      <c r="A70" s="8" t="n"/>
      <c r="B70" s="8" t="n"/>
      <c r="C70" s="8" t="n"/>
      <c r="D70" s="8" t="n"/>
      <c r="E70" s="8" t="n"/>
      <c r="F70" s="8" t="n"/>
      <c r="G70" s="8" t="n"/>
      <c r="H70" s="8" t="n"/>
      <c r="I70" s="8" t="n"/>
      <c r="J70" s="8" t="n"/>
      <c r="K70" s="9">
        <f>IF(J70="Draft","Planning",IF(J70="Submitted","Approval",IF(OR(J70="Approved",J70="In Testing"),"Testing",IF(J70="Scheduled","Pre-Implementation",IF(J70="Implementing","Implementation",IF(OR(J70="Completed",J70="Failed",J70="Rolled Back",J70="Cancelled"),"Closed","Unknown"))))))</f>
        <v/>
      </c>
      <c r="L70" s="9">
        <f>IF(H70="","",TODAY()-H70)</f>
        <v/>
      </c>
      <c r="M70" s="9">
        <f>IF(OR(J70="Completed",J70="Cancelled"),"Complete",IF(L70&gt;30,"Delayed",IF(L70&gt;14,"At Risk","On Track")))</f>
        <v/>
      </c>
      <c r="N70" s="8" t="n"/>
    </row>
    <row r="71">
      <c r="A71" s="8" t="n"/>
      <c r="B71" s="8" t="n"/>
      <c r="C71" s="8" t="n"/>
      <c r="D71" s="8" t="n"/>
      <c r="E71" s="8" t="n"/>
      <c r="F71" s="8" t="n"/>
      <c r="G71" s="8" t="n"/>
      <c r="H71" s="8" t="n"/>
      <c r="I71" s="8" t="n"/>
      <c r="J71" s="8" t="n"/>
      <c r="K71" s="9">
        <f>IF(J71="Draft","Planning",IF(J71="Submitted","Approval",IF(OR(J71="Approved",J71="In Testing"),"Testing",IF(J71="Scheduled","Pre-Implementation",IF(J71="Implementing","Implementation",IF(OR(J71="Completed",J71="Failed",J71="Rolled Back",J71="Cancelled"),"Closed","Unknown"))))))</f>
        <v/>
      </c>
      <c r="L71" s="9">
        <f>IF(H71="","",TODAY()-H71)</f>
        <v/>
      </c>
      <c r="M71" s="9">
        <f>IF(OR(J71="Completed",J71="Cancelled"),"Complete",IF(L71&gt;30,"Delayed",IF(L71&gt;14,"At Risk","On Track")))</f>
        <v/>
      </c>
      <c r="N71" s="8" t="n"/>
    </row>
    <row r="72">
      <c r="A72" s="8" t="n"/>
      <c r="B72" s="8" t="n"/>
      <c r="C72" s="8" t="n"/>
      <c r="D72" s="8" t="n"/>
      <c r="E72" s="8" t="n"/>
      <c r="F72" s="8" t="n"/>
      <c r="G72" s="8" t="n"/>
      <c r="H72" s="8" t="n"/>
      <c r="I72" s="8" t="n"/>
      <c r="J72" s="8" t="n"/>
      <c r="K72" s="9">
        <f>IF(J72="Draft","Planning",IF(J72="Submitted","Approval",IF(OR(J72="Approved",J72="In Testing"),"Testing",IF(J72="Scheduled","Pre-Implementation",IF(J72="Implementing","Implementation",IF(OR(J72="Completed",J72="Failed",J72="Rolled Back",J72="Cancelled"),"Closed","Unknown"))))))</f>
        <v/>
      </c>
      <c r="L72" s="9">
        <f>IF(H72="","",TODAY()-H72)</f>
        <v/>
      </c>
      <c r="M72" s="9">
        <f>IF(OR(J72="Completed",J72="Cancelled"),"Complete",IF(L72&gt;30,"Delayed",IF(L72&gt;14,"At Risk","On Track")))</f>
        <v/>
      </c>
      <c r="N72" s="8" t="n"/>
    </row>
    <row r="73">
      <c r="A73" s="8" t="n"/>
      <c r="B73" s="8" t="n"/>
      <c r="C73" s="8" t="n"/>
      <c r="D73" s="8" t="n"/>
      <c r="E73" s="8" t="n"/>
      <c r="F73" s="8" t="n"/>
      <c r="G73" s="8" t="n"/>
      <c r="H73" s="8" t="n"/>
      <c r="I73" s="8" t="n"/>
      <c r="J73" s="8" t="n"/>
      <c r="K73" s="9">
        <f>IF(J73="Draft","Planning",IF(J73="Submitted","Approval",IF(OR(J73="Approved",J73="In Testing"),"Testing",IF(J73="Scheduled","Pre-Implementation",IF(J73="Implementing","Implementation",IF(OR(J73="Completed",J73="Failed",J73="Rolled Back",J73="Cancelled"),"Closed","Unknown"))))))</f>
        <v/>
      </c>
      <c r="L73" s="9">
        <f>IF(H73="","",TODAY()-H73)</f>
        <v/>
      </c>
      <c r="M73" s="9">
        <f>IF(OR(J73="Completed",J73="Cancelled"),"Complete",IF(L73&gt;30,"Delayed",IF(L73&gt;14,"At Risk","On Track")))</f>
        <v/>
      </c>
      <c r="N73" s="8" t="n"/>
    </row>
    <row r="74">
      <c r="A74" s="8" t="n"/>
      <c r="B74" s="8" t="n"/>
      <c r="C74" s="8" t="n"/>
      <c r="D74" s="8" t="n"/>
      <c r="E74" s="8" t="n"/>
      <c r="F74" s="8" t="n"/>
      <c r="G74" s="8" t="n"/>
      <c r="H74" s="8" t="n"/>
      <c r="I74" s="8" t="n"/>
      <c r="J74" s="8" t="n"/>
      <c r="K74" s="9">
        <f>IF(J74="Draft","Planning",IF(J74="Submitted","Approval",IF(OR(J74="Approved",J74="In Testing"),"Testing",IF(J74="Scheduled","Pre-Implementation",IF(J74="Implementing","Implementation",IF(OR(J74="Completed",J74="Failed",J74="Rolled Back",J74="Cancelled"),"Closed","Unknown"))))))</f>
        <v/>
      </c>
      <c r="L74" s="9">
        <f>IF(H74="","",TODAY()-H74)</f>
        <v/>
      </c>
      <c r="M74" s="9">
        <f>IF(OR(J74="Completed",J74="Cancelled"),"Complete",IF(L74&gt;30,"Delayed",IF(L74&gt;14,"At Risk","On Track")))</f>
        <v/>
      </c>
      <c r="N74" s="8" t="n"/>
    </row>
    <row r="75">
      <c r="A75" s="8" t="n"/>
      <c r="B75" s="8" t="n"/>
      <c r="C75" s="8" t="n"/>
      <c r="D75" s="8" t="n"/>
      <c r="E75" s="8" t="n"/>
      <c r="F75" s="8" t="n"/>
      <c r="G75" s="8" t="n"/>
      <c r="H75" s="8" t="n"/>
      <c r="I75" s="8" t="n"/>
      <c r="J75" s="8" t="n"/>
      <c r="K75" s="9">
        <f>IF(J75="Draft","Planning",IF(J75="Submitted","Approval",IF(OR(J75="Approved",J75="In Testing"),"Testing",IF(J75="Scheduled","Pre-Implementation",IF(J75="Implementing","Implementation",IF(OR(J75="Completed",J75="Failed",J75="Rolled Back",J75="Cancelled"),"Closed","Unknown"))))))</f>
        <v/>
      </c>
      <c r="L75" s="9">
        <f>IF(H75="","",TODAY()-H75)</f>
        <v/>
      </c>
      <c r="M75" s="9">
        <f>IF(OR(J75="Completed",J75="Cancelled"),"Complete",IF(L75&gt;30,"Delayed",IF(L75&gt;14,"At Risk","On Track")))</f>
        <v/>
      </c>
      <c r="N75" s="8" t="n"/>
    </row>
    <row r="76">
      <c r="A76" s="8" t="n"/>
      <c r="B76" s="8" t="n"/>
      <c r="C76" s="8" t="n"/>
      <c r="D76" s="8" t="n"/>
      <c r="E76" s="8" t="n"/>
      <c r="F76" s="8" t="n"/>
      <c r="G76" s="8" t="n"/>
      <c r="H76" s="8" t="n"/>
      <c r="I76" s="8" t="n"/>
      <c r="J76" s="8" t="n"/>
      <c r="K76" s="9">
        <f>IF(J76="Draft","Planning",IF(J76="Submitted","Approval",IF(OR(J76="Approved",J76="In Testing"),"Testing",IF(J76="Scheduled","Pre-Implementation",IF(J76="Implementing","Implementation",IF(OR(J76="Completed",J76="Failed",J76="Rolled Back",J76="Cancelled"),"Closed","Unknown"))))))</f>
        <v/>
      </c>
      <c r="L76" s="9">
        <f>IF(H76="","",TODAY()-H76)</f>
        <v/>
      </c>
      <c r="M76" s="9">
        <f>IF(OR(J76="Completed",J76="Cancelled"),"Complete",IF(L76&gt;30,"Delayed",IF(L76&gt;14,"At Risk","On Track")))</f>
        <v/>
      </c>
      <c r="N76" s="8" t="n"/>
    </row>
    <row r="77">
      <c r="A77" s="8" t="n"/>
      <c r="B77" s="8" t="n"/>
      <c r="C77" s="8" t="n"/>
      <c r="D77" s="8" t="n"/>
      <c r="E77" s="8" t="n"/>
      <c r="F77" s="8" t="n"/>
      <c r="G77" s="8" t="n"/>
      <c r="H77" s="8" t="n"/>
      <c r="I77" s="8" t="n"/>
      <c r="J77" s="8" t="n"/>
      <c r="K77" s="9">
        <f>IF(J77="Draft","Planning",IF(J77="Submitted","Approval",IF(OR(J77="Approved",J77="In Testing"),"Testing",IF(J77="Scheduled","Pre-Implementation",IF(J77="Implementing","Implementation",IF(OR(J77="Completed",J77="Failed",J77="Rolled Back",J77="Cancelled"),"Closed","Unknown"))))))</f>
        <v/>
      </c>
      <c r="L77" s="9">
        <f>IF(H77="","",TODAY()-H77)</f>
        <v/>
      </c>
      <c r="M77" s="9">
        <f>IF(OR(J77="Completed",J77="Cancelled"),"Complete",IF(L77&gt;30,"Delayed",IF(L77&gt;14,"At Risk","On Track")))</f>
        <v/>
      </c>
      <c r="N77" s="8" t="n"/>
    </row>
    <row r="78">
      <c r="A78" s="8" t="n"/>
      <c r="B78" s="8" t="n"/>
      <c r="C78" s="8" t="n"/>
      <c r="D78" s="8" t="n"/>
      <c r="E78" s="8" t="n"/>
      <c r="F78" s="8" t="n"/>
      <c r="G78" s="8" t="n"/>
      <c r="H78" s="8" t="n"/>
      <c r="I78" s="8" t="n"/>
      <c r="J78" s="8" t="n"/>
      <c r="K78" s="9">
        <f>IF(J78="Draft","Planning",IF(J78="Submitted","Approval",IF(OR(J78="Approved",J78="In Testing"),"Testing",IF(J78="Scheduled","Pre-Implementation",IF(J78="Implementing","Implementation",IF(OR(J78="Completed",J78="Failed",J78="Rolled Back",J78="Cancelled"),"Closed","Unknown"))))))</f>
        <v/>
      </c>
      <c r="L78" s="9">
        <f>IF(H78="","",TODAY()-H78)</f>
        <v/>
      </c>
      <c r="M78" s="9">
        <f>IF(OR(J78="Completed",J78="Cancelled"),"Complete",IF(L78&gt;30,"Delayed",IF(L78&gt;14,"At Risk","On Track")))</f>
        <v/>
      </c>
      <c r="N78" s="8" t="n"/>
    </row>
    <row r="79">
      <c r="A79" s="8" t="n"/>
      <c r="B79" s="8" t="n"/>
      <c r="C79" s="8" t="n"/>
      <c r="D79" s="8" t="n"/>
      <c r="E79" s="8" t="n"/>
      <c r="F79" s="8" t="n"/>
      <c r="G79" s="8" t="n"/>
      <c r="H79" s="8" t="n"/>
      <c r="I79" s="8" t="n"/>
      <c r="J79" s="8" t="n"/>
      <c r="K79" s="9">
        <f>IF(J79="Draft","Planning",IF(J79="Submitted","Approval",IF(OR(J79="Approved",J79="In Testing"),"Testing",IF(J79="Scheduled","Pre-Implementation",IF(J79="Implementing","Implementation",IF(OR(J79="Completed",J79="Failed",J79="Rolled Back",J79="Cancelled"),"Closed","Unknown"))))))</f>
        <v/>
      </c>
      <c r="L79" s="9">
        <f>IF(H79="","",TODAY()-H79)</f>
        <v/>
      </c>
      <c r="M79" s="9">
        <f>IF(OR(J79="Completed",J79="Cancelled"),"Complete",IF(L79&gt;30,"Delayed",IF(L79&gt;14,"At Risk","On Track")))</f>
        <v/>
      </c>
      <c r="N79" s="8" t="n"/>
    </row>
    <row r="80">
      <c r="A80" s="8" t="n"/>
      <c r="B80" s="8" t="n"/>
      <c r="C80" s="8" t="n"/>
      <c r="D80" s="8" t="n"/>
      <c r="E80" s="8" t="n"/>
      <c r="F80" s="8" t="n"/>
      <c r="G80" s="8" t="n"/>
      <c r="H80" s="8" t="n"/>
      <c r="I80" s="8" t="n"/>
      <c r="J80" s="8" t="n"/>
      <c r="K80" s="9">
        <f>IF(J80="Draft","Planning",IF(J80="Submitted","Approval",IF(OR(J80="Approved",J80="In Testing"),"Testing",IF(J80="Scheduled","Pre-Implementation",IF(J80="Implementing","Implementation",IF(OR(J80="Completed",J80="Failed",J80="Rolled Back",J80="Cancelled"),"Closed","Unknown"))))))</f>
        <v/>
      </c>
      <c r="L80" s="9">
        <f>IF(H80="","",TODAY()-H80)</f>
        <v/>
      </c>
      <c r="M80" s="9">
        <f>IF(OR(J80="Completed",J80="Cancelled"),"Complete",IF(L80&gt;30,"Delayed",IF(L80&gt;14,"At Risk","On Track")))</f>
        <v/>
      </c>
      <c r="N80" s="8" t="n"/>
    </row>
    <row r="81">
      <c r="A81" s="8" t="n"/>
      <c r="B81" s="8" t="n"/>
      <c r="C81" s="8" t="n"/>
      <c r="D81" s="8" t="n"/>
      <c r="E81" s="8" t="n"/>
      <c r="F81" s="8" t="n"/>
      <c r="G81" s="8" t="n"/>
      <c r="H81" s="8" t="n"/>
      <c r="I81" s="8" t="n"/>
      <c r="J81" s="8" t="n"/>
      <c r="K81" s="9">
        <f>IF(J81="Draft","Planning",IF(J81="Submitted","Approval",IF(OR(J81="Approved",J81="In Testing"),"Testing",IF(J81="Scheduled","Pre-Implementation",IF(J81="Implementing","Implementation",IF(OR(J81="Completed",J81="Failed",J81="Rolled Back",J81="Cancelled"),"Closed","Unknown"))))))</f>
        <v/>
      </c>
      <c r="L81" s="9">
        <f>IF(H81="","",TODAY()-H81)</f>
        <v/>
      </c>
      <c r="M81" s="9">
        <f>IF(OR(J81="Completed",J81="Cancelled"),"Complete",IF(L81&gt;30,"Delayed",IF(L81&gt;14,"At Risk","On Track")))</f>
        <v/>
      </c>
      <c r="N81" s="8" t="n"/>
    </row>
    <row r="82">
      <c r="A82" s="8" t="n"/>
      <c r="B82" s="8" t="n"/>
      <c r="C82" s="8" t="n"/>
      <c r="D82" s="8" t="n"/>
      <c r="E82" s="8" t="n"/>
      <c r="F82" s="8" t="n"/>
      <c r="G82" s="8" t="n"/>
      <c r="H82" s="8" t="n"/>
      <c r="I82" s="8" t="n"/>
      <c r="J82" s="8" t="n"/>
      <c r="K82" s="9">
        <f>IF(J82="Draft","Planning",IF(J82="Submitted","Approval",IF(OR(J82="Approved",J82="In Testing"),"Testing",IF(J82="Scheduled","Pre-Implementation",IF(J82="Implementing","Implementation",IF(OR(J82="Completed",J82="Failed",J82="Rolled Back",J82="Cancelled"),"Closed","Unknown"))))))</f>
        <v/>
      </c>
      <c r="L82" s="9">
        <f>IF(H82="","",TODAY()-H82)</f>
        <v/>
      </c>
      <c r="M82" s="9">
        <f>IF(OR(J82="Completed",J82="Cancelled"),"Complete",IF(L82&gt;30,"Delayed",IF(L82&gt;14,"At Risk","On Track")))</f>
        <v/>
      </c>
      <c r="N82" s="8" t="n"/>
    </row>
    <row r="83">
      <c r="A83" s="8" t="n"/>
      <c r="B83" s="8" t="n"/>
      <c r="C83" s="8" t="n"/>
      <c r="D83" s="8" t="n"/>
      <c r="E83" s="8" t="n"/>
      <c r="F83" s="8" t="n"/>
      <c r="G83" s="8" t="n"/>
      <c r="H83" s="8" t="n"/>
      <c r="I83" s="8" t="n"/>
      <c r="J83" s="8" t="n"/>
      <c r="K83" s="9">
        <f>IF(J83="Draft","Planning",IF(J83="Submitted","Approval",IF(OR(J83="Approved",J83="In Testing"),"Testing",IF(J83="Scheduled","Pre-Implementation",IF(J83="Implementing","Implementation",IF(OR(J83="Completed",J83="Failed",J83="Rolled Back",J83="Cancelled"),"Closed","Unknown"))))))</f>
        <v/>
      </c>
      <c r="L83" s="9">
        <f>IF(H83="","",TODAY()-H83)</f>
        <v/>
      </c>
      <c r="M83" s="9">
        <f>IF(OR(J83="Completed",J83="Cancelled"),"Complete",IF(L83&gt;30,"Delayed",IF(L83&gt;14,"At Risk","On Track")))</f>
        <v/>
      </c>
      <c r="N83" s="8" t="n"/>
    </row>
    <row r="84">
      <c r="A84" s="8" t="n"/>
      <c r="B84" s="8" t="n"/>
      <c r="C84" s="8" t="n"/>
      <c r="D84" s="8" t="n"/>
      <c r="E84" s="8" t="n"/>
      <c r="F84" s="8" t="n"/>
      <c r="G84" s="8" t="n"/>
      <c r="H84" s="8" t="n"/>
      <c r="I84" s="8" t="n"/>
      <c r="J84" s="8" t="n"/>
      <c r="K84" s="9">
        <f>IF(J84="Draft","Planning",IF(J84="Submitted","Approval",IF(OR(J84="Approved",J84="In Testing"),"Testing",IF(J84="Scheduled","Pre-Implementation",IF(J84="Implementing","Implementation",IF(OR(J84="Completed",J84="Failed",J84="Rolled Back",J84="Cancelled"),"Closed","Unknown"))))))</f>
        <v/>
      </c>
      <c r="L84" s="9">
        <f>IF(H84="","",TODAY()-H84)</f>
        <v/>
      </c>
      <c r="M84" s="9">
        <f>IF(OR(J84="Completed",J84="Cancelled"),"Complete",IF(L84&gt;30,"Delayed",IF(L84&gt;14,"At Risk","On Track")))</f>
        <v/>
      </c>
      <c r="N84" s="8" t="n"/>
    </row>
    <row r="85">
      <c r="A85" s="8" t="n"/>
      <c r="B85" s="8" t="n"/>
      <c r="C85" s="8" t="n"/>
      <c r="D85" s="8" t="n"/>
      <c r="E85" s="8" t="n"/>
      <c r="F85" s="8" t="n"/>
      <c r="G85" s="8" t="n"/>
      <c r="H85" s="8" t="n"/>
      <c r="I85" s="8" t="n"/>
      <c r="J85" s="8" t="n"/>
      <c r="K85" s="9">
        <f>IF(J85="Draft","Planning",IF(J85="Submitted","Approval",IF(OR(J85="Approved",J85="In Testing"),"Testing",IF(J85="Scheduled","Pre-Implementation",IF(J85="Implementing","Implementation",IF(OR(J85="Completed",J85="Failed",J85="Rolled Back",J85="Cancelled"),"Closed","Unknown"))))))</f>
        <v/>
      </c>
      <c r="L85" s="9">
        <f>IF(H85="","",TODAY()-H85)</f>
        <v/>
      </c>
      <c r="M85" s="9">
        <f>IF(OR(J85="Completed",J85="Cancelled"),"Complete",IF(L85&gt;30,"Delayed",IF(L85&gt;14,"At Risk","On Track")))</f>
        <v/>
      </c>
      <c r="N85" s="8" t="n"/>
    </row>
    <row r="86">
      <c r="A86" s="8" t="n"/>
      <c r="B86" s="8" t="n"/>
      <c r="C86" s="8" t="n"/>
      <c r="D86" s="8" t="n"/>
      <c r="E86" s="8" t="n"/>
      <c r="F86" s="8" t="n"/>
      <c r="G86" s="8" t="n"/>
      <c r="H86" s="8" t="n"/>
      <c r="I86" s="8" t="n"/>
      <c r="J86" s="8" t="n"/>
      <c r="K86" s="9">
        <f>IF(J86="Draft","Planning",IF(J86="Submitted","Approval",IF(OR(J86="Approved",J86="In Testing"),"Testing",IF(J86="Scheduled","Pre-Implementation",IF(J86="Implementing","Implementation",IF(OR(J86="Completed",J86="Failed",J86="Rolled Back",J86="Cancelled"),"Closed","Unknown"))))))</f>
        <v/>
      </c>
      <c r="L86" s="9">
        <f>IF(H86="","",TODAY()-H86)</f>
        <v/>
      </c>
      <c r="M86" s="9">
        <f>IF(OR(J86="Completed",J86="Cancelled"),"Complete",IF(L86&gt;30,"Delayed",IF(L86&gt;14,"At Risk","On Track")))</f>
        <v/>
      </c>
      <c r="N86" s="8" t="n"/>
    </row>
    <row r="87">
      <c r="A87" s="8" t="n"/>
      <c r="B87" s="8" t="n"/>
      <c r="C87" s="8" t="n"/>
      <c r="D87" s="8" t="n"/>
      <c r="E87" s="8" t="n"/>
      <c r="F87" s="8" t="n"/>
      <c r="G87" s="8" t="n"/>
      <c r="H87" s="8" t="n"/>
      <c r="I87" s="8" t="n"/>
      <c r="J87" s="8" t="n"/>
      <c r="K87" s="9">
        <f>IF(J87="Draft","Planning",IF(J87="Submitted","Approval",IF(OR(J87="Approved",J87="In Testing"),"Testing",IF(J87="Scheduled","Pre-Implementation",IF(J87="Implementing","Implementation",IF(OR(J87="Completed",J87="Failed",J87="Rolled Back",J87="Cancelled"),"Closed","Unknown"))))))</f>
        <v/>
      </c>
      <c r="L87" s="9">
        <f>IF(H87="","",TODAY()-H87)</f>
        <v/>
      </c>
      <c r="M87" s="9">
        <f>IF(OR(J87="Completed",J87="Cancelled"),"Complete",IF(L87&gt;30,"Delayed",IF(L87&gt;14,"At Risk","On Track")))</f>
        <v/>
      </c>
      <c r="N87" s="8" t="n"/>
    </row>
    <row r="88">
      <c r="A88" s="8" t="n"/>
      <c r="B88" s="8" t="n"/>
      <c r="C88" s="8" t="n"/>
      <c r="D88" s="8" t="n"/>
      <c r="E88" s="8" t="n"/>
      <c r="F88" s="8" t="n"/>
      <c r="G88" s="8" t="n"/>
      <c r="H88" s="8" t="n"/>
      <c r="I88" s="8" t="n"/>
      <c r="J88" s="8" t="n"/>
      <c r="K88" s="9">
        <f>IF(J88="Draft","Planning",IF(J88="Submitted","Approval",IF(OR(J88="Approved",J88="In Testing"),"Testing",IF(J88="Scheduled","Pre-Implementation",IF(J88="Implementing","Implementation",IF(OR(J88="Completed",J88="Failed",J88="Rolled Back",J88="Cancelled"),"Closed","Unknown"))))))</f>
        <v/>
      </c>
      <c r="L88" s="9">
        <f>IF(H88="","",TODAY()-H88)</f>
        <v/>
      </c>
      <c r="M88" s="9">
        <f>IF(OR(J88="Completed",J88="Cancelled"),"Complete",IF(L88&gt;30,"Delayed",IF(L88&gt;14,"At Risk","On Track")))</f>
        <v/>
      </c>
      <c r="N88" s="8" t="n"/>
    </row>
    <row r="89">
      <c r="A89" s="8" t="n"/>
      <c r="B89" s="8" t="n"/>
      <c r="C89" s="8" t="n"/>
      <c r="D89" s="8" t="n"/>
      <c r="E89" s="8" t="n"/>
      <c r="F89" s="8" t="n"/>
      <c r="G89" s="8" t="n"/>
      <c r="H89" s="8" t="n"/>
      <c r="I89" s="8" t="n"/>
      <c r="J89" s="8" t="n"/>
      <c r="K89" s="9">
        <f>IF(J89="Draft","Planning",IF(J89="Submitted","Approval",IF(OR(J89="Approved",J89="In Testing"),"Testing",IF(J89="Scheduled","Pre-Implementation",IF(J89="Implementing","Implementation",IF(OR(J89="Completed",J89="Failed",J89="Rolled Back",J89="Cancelled"),"Closed","Unknown"))))))</f>
        <v/>
      </c>
      <c r="L89" s="9">
        <f>IF(H89="","",TODAY()-H89)</f>
        <v/>
      </c>
      <c r="M89" s="9">
        <f>IF(OR(J89="Completed",J89="Cancelled"),"Complete",IF(L89&gt;30,"Delayed",IF(L89&gt;14,"At Risk","On Track")))</f>
        <v/>
      </c>
      <c r="N89" s="8" t="n"/>
    </row>
    <row r="90">
      <c r="A90" s="8" t="n"/>
      <c r="B90" s="8" t="n"/>
      <c r="C90" s="8" t="n"/>
      <c r="D90" s="8" t="n"/>
      <c r="E90" s="8" t="n"/>
      <c r="F90" s="8" t="n"/>
      <c r="G90" s="8" t="n"/>
      <c r="H90" s="8" t="n"/>
      <c r="I90" s="8" t="n"/>
      <c r="J90" s="8" t="n"/>
      <c r="K90" s="9">
        <f>IF(J90="Draft","Planning",IF(J90="Submitted","Approval",IF(OR(J90="Approved",J90="In Testing"),"Testing",IF(J90="Scheduled","Pre-Implementation",IF(J90="Implementing","Implementation",IF(OR(J90="Completed",J90="Failed",J90="Rolled Back",J90="Cancelled"),"Closed","Unknown"))))))</f>
        <v/>
      </c>
      <c r="L90" s="9">
        <f>IF(H90="","",TODAY()-H90)</f>
        <v/>
      </c>
      <c r="M90" s="9">
        <f>IF(OR(J90="Completed",J90="Cancelled"),"Complete",IF(L90&gt;30,"Delayed",IF(L90&gt;14,"At Risk","On Track")))</f>
        <v/>
      </c>
      <c r="N90" s="8" t="n"/>
    </row>
    <row r="91">
      <c r="A91" s="8" t="n"/>
      <c r="B91" s="8" t="n"/>
      <c r="C91" s="8" t="n"/>
      <c r="D91" s="8" t="n"/>
      <c r="E91" s="8" t="n"/>
      <c r="F91" s="8" t="n"/>
      <c r="G91" s="8" t="n"/>
      <c r="H91" s="8" t="n"/>
      <c r="I91" s="8" t="n"/>
      <c r="J91" s="8" t="n"/>
      <c r="K91" s="9">
        <f>IF(J91="Draft","Planning",IF(J91="Submitted","Approval",IF(OR(J91="Approved",J91="In Testing"),"Testing",IF(J91="Scheduled","Pre-Implementation",IF(J91="Implementing","Implementation",IF(OR(J91="Completed",J91="Failed",J91="Rolled Back",J91="Cancelled"),"Closed","Unknown"))))))</f>
        <v/>
      </c>
      <c r="L91" s="9">
        <f>IF(H91="","",TODAY()-H91)</f>
        <v/>
      </c>
      <c r="M91" s="9">
        <f>IF(OR(J91="Completed",J91="Cancelled"),"Complete",IF(L91&gt;30,"Delayed",IF(L91&gt;14,"At Risk","On Track")))</f>
        <v/>
      </c>
      <c r="N91" s="8" t="n"/>
    </row>
    <row r="92">
      <c r="A92" s="8" t="n"/>
      <c r="B92" s="8" t="n"/>
      <c r="C92" s="8" t="n"/>
      <c r="D92" s="8" t="n"/>
      <c r="E92" s="8" t="n"/>
      <c r="F92" s="8" t="n"/>
      <c r="G92" s="8" t="n"/>
      <c r="H92" s="8" t="n"/>
      <c r="I92" s="8" t="n"/>
      <c r="J92" s="8" t="n"/>
      <c r="K92" s="9">
        <f>IF(J92="Draft","Planning",IF(J92="Submitted","Approval",IF(OR(J92="Approved",J92="In Testing"),"Testing",IF(J92="Scheduled","Pre-Implementation",IF(J92="Implementing","Implementation",IF(OR(J92="Completed",J92="Failed",J92="Rolled Back",J92="Cancelled"),"Closed","Unknown"))))))</f>
        <v/>
      </c>
      <c r="L92" s="9">
        <f>IF(H92="","",TODAY()-H92)</f>
        <v/>
      </c>
      <c r="M92" s="9">
        <f>IF(OR(J92="Completed",J92="Cancelled"),"Complete",IF(L92&gt;30,"Delayed",IF(L92&gt;14,"At Risk","On Track")))</f>
        <v/>
      </c>
      <c r="N92" s="8" t="n"/>
    </row>
    <row r="93">
      <c r="A93" s="8" t="n"/>
      <c r="B93" s="8" t="n"/>
      <c r="C93" s="8" t="n"/>
      <c r="D93" s="8" t="n"/>
      <c r="E93" s="8" t="n"/>
      <c r="F93" s="8" t="n"/>
      <c r="G93" s="8" t="n"/>
      <c r="H93" s="8" t="n"/>
      <c r="I93" s="8" t="n"/>
      <c r="J93" s="8" t="n"/>
      <c r="K93" s="9">
        <f>IF(J93="Draft","Planning",IF(J93="Submitted","Approval",IF(OR(J93="Approved",J93="In Testing"),"Testing",IF(J93="Scheduled","Pre-Implementation",IF(J93="Implementing","Implementation",IF(OR(J93="Completed",J93="Failed",J93="Rolled Back",J93="Cancelled"),"Closed","Unknown"))))))</f>
        <v/>
      </c>
      <c r="L93" s="9">
        <f>IF(H93="","",TODAY()-H93)</f>
        <v/>
      </c>
      <c r="M93" s="9">
        <f>IF(OR(J93="Completed",J93="Cancelled"),"Complete",IF(L93&gt;30,"Delayed",IF(L93&gt;14,"At Risk","On Track")))</f>
        <v/>
      </c>
      <c r="N93" s="8" t="n"/>
    </row>
    <row r="94">
      <c r="A94" s="8" t="n"/>
      <c r="B94" s="8" t="n"/>
      <c r="C94" s="8" t="n"/>
      <c r="D94" s="8" t="n"/>
      <c r="E94" s="8" t="n"/>
      <c r="F94" s="8" t="n"/>
      <c r="G94" s="8" t="n"/>
      <c r="H94" s="8" t="n"/>
      <c r="I94" s="8" t="n"/>
      <c r="J94" s="8" t="n"/>
      <c r="K94" s="9">
        <f>IF(J94="Draft","Planning",IF(J94="Submitted","Approval",IF(OR(J94="Approved",J94="In Testing"),"Testing",IF(J94="Scheduled","Pre-Implementation",IF(J94="Implementing","Implementation",IF(OR(J94="Completed",J94="Failed",J94="Rolled Back",J94="Cancelled"),"Closed","Unknown"))))))</f>
        <v/>
      </c>
      <c r="L94" s="9">
        <f>IF(H94="","",TODAY()-H94)</f>
        <v/>
      </c>
      <c r="M94" s="9">
        <f>IF(OR(J94="Completed",J94="Cancelled"),"Complete",IF(L94&gt;30,"Delayed",IF(L94&gt;14,"At Risk","On Track")))</f>
        <v/>
      </c>
      <c r="N94" s="8" t="n"/>
    </row>
    <row r="95">
      <c r="A95" s="8" t="n"/>
      <c r="B95" s="8" t="n"/>
      <c r="C95" s="8" t="n"/>
      <c r="D95" s="8" t="n"/>
      <c r="E95" s="8" t="n"/>
      <c r="F95" s="8" t="n"/>
      <c r="G95" s="8" t="n"/>
      <c r="H95" s="8" t="n"/>
      <c r="I95" s="8" t="n"/>
      <c r="J95" s="8" t="n"/>
      <c r="K95" s="9">
        <f>IF(J95="Draft","Planning",IF(J95="Submitted","Approval",IF(OR(J95="Approved",J95="In Testing"),"Testing",IF(J95="Scheduled","Pre-Implementation",IF(J95="Implementing","Implementation",IF(OR(J95="Completed",J95="Failed",J95="Rolled Back",J95="Cancelled"),"Closed","Unknown"))))))</f>
        <v/>
      </c>
      <c r="L95" s="9">
        <f>IF(H95="","",TODAY()-H95)</f>
        <v/>
      </c>
      <c r="M95" s="9">
        <f>IF(OR(J95="Completed",J95="Cancelled"),"Complete",IF(L95&gt;30,"Delayed",IF(L95&gt;14,"At Risk","On Track")))</f>
        <v/>
      </c>
      <c r="N95" s="8" t="n"/>
    </row>
    <row r="96">
      <c r="A96" s="8" t="n"/>
      <c r="B96" s="8" t="n"/>
      <c r="C96" s="8" t="n"/>
      <c r="D96" s="8" t="n"/>
      <c r="E96" s="8" t="n"/>
      <c r="F96" s="8" t="n"/>
      <c r="G96" s="8" t="n"/>
      <c r="H96" s="8" t="n"/>
      <c r="I96" s="8" t="n"/>
      <c r="J96" s="8" t="n"/>
      <c r="K96" s="9">
        <f>IF(J96="Draft","Planning",IF(J96="Submitted","Approval",IF(OR(J96="Approved",J96="In Testing"),"Testing",IF(J96="Scheduled","Pre-Implementation",IF(J96="Implementing","Implementation",IF(OR(J96="Completed",J96="Failed",J96="Rolled Back",J96="Cancelled"),"Closed","Unknown"))))))</f>
        <v/>
      </c>
      <c r="L96" s="9">
        <f>IF(H96="","",TODAY()-H96)</f>
        <v/>
      </c>
      <c r="M96" s="9">
        <f>IF(OR(J96="Completed",J96="Cancelled"),"Complete",IF(L96&gt;30,"Delayed",IF(L96&gt;14,"At Risk","On Track")))</f>
        <v/>
      </c>
      <c r="N96" s="8" t="n"/>
    </row>
    <row r="97">
      <c r="A97" s="8" t="n"/>
      <c r="B97" s="8" t="n"/>
      <c r="C97" s="8" t="n"/>
      <c r="D97" s="8" t="n"/>
      <c r="E97" s="8" t="n"/>
      <c r="F97" s="8" t="n"/>
      <c r="G97" s="8" t="n"/>
      <c r="H97" s="8" t="n"/>
      <c r="I97" s="8" t="n"/>
      <c r="J97" s="8" t="n"/>
      <c r="K97" s="9">
        <f>IF(J97="Draft","Planning",IF(J97="Submitted","Approval",IF(OR(J97="Approved",J97="In Testing"),"Testing",IF(J97="Scheduled","Pre-Implementation",IF(J97="Implementing","Implementation",IF(OR(J97="Completed",J97="Failed",J97="Rolled Back",J97="Cancelled"),"Closed","Unknown"))))))</f>
        <v/>
      </c>
      <c r="L97" s="9">
        <f>IF(H97="","",TODAY()-H97)</f>
        <v/>
      </c>
      <c r="M97" s="9">
        <f>IF(OR(J97="Completed",J97="Cancelled"),"Complete",IF(L97&gt;30,"Delayed",IF(L97&gt;14,"At Risk","On Track")))</f>
        <v/>
      </c>
      <c r="N97" s="8" t="n"/>
    </row>
    <row r="98">
      <c r="A98" s="8" t="n"/>
      <c r="B98" s="8" t="n"/>
      <c r="C98" s="8" t="n"/>
      <c r="D98" s="8" t="n"/>
      <c r="E98" s="8" t="n"/>
      <c r="F98" s="8" t="n"/>
      <c r="G98" s="8" t="n"/>
      <c r="H98" s="8" t="n"/>
      <c r="I98" s="8" t="n"/>
      <c r="J98" s="8" t="n"/>
      <c r="K98" s="9">
        <f>IF(J98="Draft","Planning",IF(J98="Submitted","Approval",IF(OR(J98="Approved",J98="In Testing"),"Testing",IF(J98="Scheduled","Pre-Implementation",IF(J98="Implementing","Implementation",IF(OR(J98="Completed",J98="Failed",J98="Rolled Back",J98="Cancelled"),"Closed","Unknown"))))))</f>
        <v/>
      </c>
      <c r="L98" s="9">
        <f>IF(H98="","",TODAY()-H98)</f>
        <v/>
      </c>
      <c r="M98" s="9">
        <f>IF(OR(J98="Completed",J98="Cancelled"),"Complete",IF(L98&gt;30,"Delayed",IF(L98&gt;14,"At Risk","On Track")))</f>
        <v/>
      </c>
      <c r="N98" s="8" t="n"/>
    </row>
    <row r="99">
      <c r="A99" s="8" t="n"/>
      <c r="B99" s="8" t="n"/>
      <c r="C99" s="8" t="n"/>
      <c r="D99" s="8" t="n"/>
      <c r="E99" s="8" t="n"/>
      <c r="F99" s="8" t="n"/>
      <c r="G99" s="8" t="n"/>
      <c r="H99" s="8" t="n"/>
      <c r="I99" s="8" t="n"/>
      <c r="J99" s="8" t="n"/>
      <c r="K99" s="9">
        <f>IF(J99="Draft","Planning",IF(J99="Submitted","Approval",IF(OR(J99="Approved",J99="In Testing"),"Testing",IF(J99="Scheduled","Pre-Implementation",IF(J99="Implementing","Implementation",IF(OR(J99="Completed",J99="Failed",J99="Rolled Back",J99="Cancelled"),"Closed","Unknown"))))))</f>
        <v/>
      </c>
      <c r="L99" s="9">
        <f>IF(H99="","",TODAY()-H99)</f>
        <v/>
      </c>
      <c r="M99" s="9">
        <f>IF(OR(J99="Completed",J99="Cancelled"),"Complete",IF(L99&gt;30,"Delayed",IF(L99&gt;14,"At Risk","On Track")))</f>
        <v/>
      </c>
      <c r="N99" s="8" t="n"/>
    </row>
    <row r="100">
      <c r="A100" s="8" t="n"/>
      <c r="B100" s="8" t="n"/>
      <c r="C100" s="8" t="n"/>
      <c r="D100" s="8" t="n"/>
      <c r="E100" s="8" t="n"/>
      <c r="F100" s="8" t="n"/>
      <c r="G100" s="8" t="n"/>
      <c r="H100" s="8" t="n"/>
      <c r="I100" s="8" t="n"/>
      <c r="J100" s="8" t="n"/>
      <c r="K100" s="9">
        <f>IF(J100="Draft","Planning",IF(J100="Submitted","Approval",IF(OR(J100="Approved",J100="In Testing"),"Testing",IF(J100="Scheduled","Pre-Implementation",IF(J100="Implementing","Implementation",IF(OR(J100="Completed",J100="Failed",J100="Rolled Back",J100="Cancelled"),"Closed","Unknown"))))))</f>
        <v/>
      </c>
      <c r="L100" s="9">
        <f>IF(H100="","",TODAY()-H100)</f>
        <v/>
      </c>
      <c r="M100" s="9">
        <f>IF(OR(J100="Completed",J100="Cancelled"),"Complete",IF(L100&gt;30,"Delayed",IF(L100&gt;14,"At Risk","On Track")))</f>
        <v/>
      </c>
      <c r="N100" s="8" t="n"/>
    </row>
    <row r="101">
      <c r="A101" s="8" t="n"/>
      <c r="B101" s="8" t="n"/>
      <c r="C101" s="8" t="n"/>
      <c r="D101" s="8" t="n"/>
      <c r="E101" s="8" t="n"/>
      <c r="F101" s="8" t="n"/>
      <c r="G101" s="8" t="n"/>
      <c r="H101" s="8" t="n"/>
      <c r="I101" s="8" t="n"/>
      <c r="J101" s="8" t="n"/>
      <c r="K101" s="9">
        <f>IF(J101="Draft","Planning",IF(J101="Submitted","Approval",IF(OR(J101="Approved",J101="In Testing"),"Testing",IF(J101="Scheduled","Pre-Implementation",IF(J101="Implementing","Implementation",IF(OR(J101="Completed",J101="Failed",J101="Rolled Back",J101="Cancelled"),"Closed","Unknown"))))))</f>
        <v/>
      </c>
      <c r="L101" s="9">
        <f>IF(H101="","",TODAY()-H101)</f>
        <v/>
      </c>
      <c r="M101" s="9">
        <f>IF(OR(J101="Completed",J101="Cancelled"),"Complete",IF(L101&gt;30,"Delayed",IF(L101&gt;14,"At Risk","On Track")))</f>
        <v/>
      </c>
      <c r="N101" s="8" t="n"/>
    </row>
    <row r="102">
      <c r="A102" s="8" t="n"/>
      <c r="B102" s="8" t="n"/>
      <c r="C102" s="8" t="n"/>
      <c r="D102" s="8" t="n"/>
      <c r="E102" s="8" t="n"/>
      <c r="F102" s="8" t="n"/>
      <c r="G102" s="8" t="n"/>
      <c r="H102" s="8" t="n"/>
      <c r="I102" s="8" t="n"/>
      <c r="J102" s="8" t="n"/>
      <c r="K102" s="9">
        <f>IF(J102="Draft","Planning",IF(J102="Submitted","Approval",IF(OR(J102="Approved",J102="In Testing"),"Testing",IF(J102="Scheduled","Pre-Implementation",IF(J102="Implementing","Implementation",IF(OR(J102="Completed",J102="Failed",J102="Rolled Back",J102="Cancelled"),"Closed","Unknown"))))))</f>
        <v/>
      </c>
      <c r="L102" s="9">
        <f>IF(H102="","",TODAY()-H102)</f>
        <v/>
      </c>
      <c r="M102" s="9">
        <f>IF(OR(J102="Completed",J102="Cancelled"),"Complete",IF(L102&gt;30,"Delayed",IF(L102&gt;14,"At Risk","On Track")))</f>
        <v/>
      </c>
      <c r="N102" s="8" t="n"/>
    </row>
  </sheetData>
  <mergeCells count="1">
    <mergeCell ref="A1:N1"/>
  </mergeCells>
  <conditionalFormatting sqref="C3:C102">
    <cfRule type="cellIs" priority="1" operator="equal" dxfId="0">
      <formula>"Emergency"</formula>
    </cfRule>
    <cfRule type="cellIs" priority="2" operator="equal" dxfId="1">
      <formula>"Hot Fix"</formula>
    </cfRule>
  </conditionalFormatting>
  <conditionalFormatting sqref="D3:D102">
    <cfRule type="cellIs" priority="3" operator="equal" dxfId="2">
      <formula>"P1-Critical"</formula>
    </cfRule>
    <cfRule type="cellIs" priority="4" operator="equal" dxfId="3">
      <formula>"P2-High"</formula>
    </cfRule>
  </conditionalFormatting>
  <conditionalFormatting sqref="J3:J102">
    <cfRule type="cellIs" priority="5" operator="equal" dxfId="4">
      <formula>"Completed"</formula>
    </cfRule>
    <cfRule type="cellIs" priority="6" operator="equal" dxfId="5">
      <formula>"Failed"</formula>
    </cfRule>
  </conditionalFormatting>
  <conditionalFormatting sqref="M3:M102">
    <cfRule type="cellIs" priority="7" operator="equal" dxfId="6">
      <formula>"Complete"</formula>
    </cfRule>
    <cfRule type="cellIs" priority="8" operator="equal" dxfId="1">
      <formula>"Delayed"</formula>
    </cfRule>
  </conditionalFormatting>
  <dataValidations count="3">
    <dataValidation sqref="C3:C102" showDropDown="0" showInputMessage="0" showErrorMessage="0" allowBlank="0" errorTitle="Invalid Entry" error="Invalid entry" promptTitle="Selection Required" prompt="Please select from the dropdown" type="list">
      <formula1>"Standard,Normal,Emergency,Hot Fix"</formula1>
    </dataValidation>
    <dataValidation sqref="D3:D102" showDropDown="0" showInputMessage="0" showErrorMessage="0" allowBlank="0" errorTitle="Invalid Entry" error="Invalid entry" promptTitle="Selection Required" prompt="Please select from the dropdown" type="list">
      <formula1>"🔴 P1-Critical,🟡 P2-High,🟢 P3-Medium,⭕ P4-Low"</formula1>
    </dataValidation>
    <dataValidation sqref="J3:J102" showDropDown="0" showInputMessage="0" showErrorMessage="0" allowBlank="0" errorTitle="Invalid Entry" error="Invalid entry" promptTitle="Selection Required" prompt="Please select from the dropdown" type="list">
      <formula1>"📝 Draft,📤 Submitted,✅ Approved,🧪 In Testing,📅 Scheduled,⏳ Implementing,✅ Completed,❌ Failed,🔄 Rolled Back,❌ 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8" customWidth="1" min="3" max="3"/>
    <col width="20" customWidth="1" min="4" max="4"/>
    <col width="18" customWidth="1" min="5" max="5"/>
    <col width="15" customWidth="1" min="6" max="6"/>
    <col width="20" customWidth="1" min="7" max="7"/>
    <col width="18" customWidth="1" min="8" max="8"/>
    <col width="15" customWidth="1" min="9" max="9"/>
    <col width="20" customWidth="1" min="10" max="10"/>
    <col width="18" customWidth="1" min="11" max="11"/>
    <col width="15" customWidth="1" min="12" max="12"/>
    <col width="25" customWidth="1" min="13" max="13"/>
    <col width="30" customWidth="1" min="14" max="14"/>
    <col width="18" customWidth="1" min="15" max="15"/>
    <col width="15" customWidth="1" min="16" max="16"/>
    <col width="40" customWidth="1" min="17" max="17"/>
  </cols>
  <sheetData>
    <row r="1" ht="30" customHeight="1">
      <c r="A1" s="6" t="inlineStr">
        <is>
          <t>Change Approval Workflow Tracking</t>
        </is>
      </c>
    </row>
    <row r="2" ht="30" customHeight="1">
      <c r="A2" s="7" t="inlineStr">
        <is>
          <t>Change ID</t>
        </is>
      </c>
      <c r="B2" s="7" t="inlineStr">
        <is>
          <t>Change Title</t>
        </is>
      </c>
      <c r="C2" s="7" t="inlineStr">
        <is>
          <t>Approval Tier Required</t>
        </is>
      </c>
      <c r="D2" s="7" t="inlineStr">
        <is>
          <t>Tier 1 Approver Name</t>
        </is>
      </c>
      <c r="E2" s="7" t="inlineStr">
        <is>
          <t>Tier 1 Approval Status</t>
        </is>
      </c>
      <c r="F2" s="7" t="inlineStr">
        <is>
          <t>Tier 1 Approval Date</t>
        </is>
      </c>
      <c r="G2" s="7" t="inlineStr">
        <is>
          <t>Tier 2 Approver Name</t>
        </is>
      </c>
      <c r="H2" s="7" t="inlineStr">
        <is>
          <t>Tier 2 Approval Status</t>
        </is>
      </c>
      <c r="I2" s="7" t="inlineStr">
        <is>
          <t>Tier 2 Approval Date</t>
        </is>
      </c>
      <c r="J2" s="7" t="inlineStr">
        <is>
          <t>Tier 3 Approver Name</t>
        </is>
      </c>
      <c r="K2" s="7" t="inlineStr">
        <is>
          <t>Tier 3 Approval Status</t>
        </is>
      </c>
      <c r="L2" s="7" t="inlineStr">
        <is>
          <t>Tier 3 Approval Date</t>
        </is>
      </c>
      <c r="M2" s="7" t="inlineStr">
        <is>
          <t>Approval Method</t>
        </is>
      </c>
      <c r="N2" s="7" t="inlineStr">
        <is>
          <t>Approval Reference</t>
        </is>
      </c>
      <c r="O2" s="7" t="inlineStr">
        <is>
          <t>Overall Approval Status</t>
        </is>
      </c>
      <c r="P2" s="7" t="inlineStr">
        <is>
          <t>Days to Full Approval</t>
        </is>
      </c>
      <c r="Q2" s="7" t="inlineStr">
        <is>
          <t>Notes</t>
        </is>
      </c>
    </row>
    <row r="3">
      <c r="A3" s="8" t="n"/>
      <c r="B3" s="8" t="n"/>
      <c r="C3" s="8" t="n"/>
      <c r="D3" s="8" t="n"/>
      <c r="E3" s="8" t="n"/>
      <c r="F3" s="8" t="n"/>
      <c r="G3" s="8" t="n"/>
      <c r="H3" s="8" t="n"/>
      <c r="I3" s="8" t="n"/>
      <c r="J3" s="8" t="n"/>
      <c r="K3" s="8" t="n"/>
      <c r="L3" s="8" t="n"/>
      <c r="M3" s="8" t="n"/>
      <c r="N3" s="8" t="n"/>
      <c r="O3" s="9">
        <f>IF(C3="Single-Tier",IF(E3="Approved","Approved",IF(E3="Rejected","Rejected","Pending")),IF(C3="Two-Tier",IF(AND(E3="Approved",H3="Approved"),"Approved",IF(OR(E3="Rejected",H3="Rejected"),"Rejected","Pending")),IF(C3="Three-Tier",IF(AND(E3="Approved",H3="Approved",K3="Approved"),"Approved",IF(OR(E3="Rejected",H3="Rejected",K3="Rejected"),"Rejected","Pending")),"Unknown")))</f>
        <v/>
      </c>
      <c r="P3" s="9">
        <f>IF(O3="Approved",IF(C3="Single-Tier",IF(F3="","",F3-TODAY()+365),IF(C3="Two-Tier",IF(I3="","",I3-TODAY()+365),IF(L3="","",L3-TODAY()+365))),"")</f>
        <v/>
      </c>
      <c r="Q3" s="8" t="n"/>
    </row>
    <row r="4">
      <c r="A4" s="8" t="n"/>
      <c r="B4" s="8" t="n"/>
      <c r="C4" s="8" t="n"/>
      <c r="D4" s="8" t="n"/>
      <c r="E4" s="8" t="n"/>
      <c r="F4" s="8" t="n"/>
      <c r="G4" s="8" t="n"/>
      <c r="H4" s="8" t="n"/>
      <c r="I4" s="8" t="n"/>
      <c r="J4" s="8" t="n"/>
      <c r="K4" s="8" t="n"/>
      <c r="L4" s="8" t="n"/>
      <c r="M4" s="8" t="n"/>
      <c r="N4" s="8" t="n"/>
      <c r="O4" s="9">
        <f>IF(C4="Single-Tier",IF(E4="Approved","Approved",IF(E4="Rejected","Rejected","Pending")),IF(C4="Two-Tier",IF(AND(E4="Approved",H4="Approved"),"Approved",IF(OR(E4="Rejected",H4="Rejected"),"Rejected","Pending")),IF(C4="Three-Tier",IF(AND(E4="Approved",H4="Approved",K4="Approved"),"Approved",IF(OR(E4="Rejected",H4="Rejected",K4="Rejected"),"Rejected","Pending")),"Unknown")))</f>
        <v/>
      </c>
      <c r="P4" s="9">
        <f>IF(O4="Approved",IF(C4="Single-Tier",IF(F4="","",F4-TODAY()+365),IF(C4="Two-Tier",IF(I4="","",I4-TODAY()+365),IF(L4="","",L4-TODAY()+365))),"")</f>
        <v/>
      </c>
      <c r="Q4" s="8" t="n"/>
    </row>
    <row r="5">
      <c r="A5" s="8" t="n"/>
      <c r="B5" s="8" t="n"/>
      <c r="C5" s="8" t="n"/>
      <c r="D5" s="8" t="n"/>
      <c r="E5" s="8" t="n"/>
      <c r="F5" s="8" t="n"/>
      <c r="G5" s="8" t="n"/>
      <c r="H5" s="8" t="n"/>
      <c r="I5" s="8" t="n"/>
      <c r="J5" s="8" t="n"/>
      <c r="K5" s="8" t="n"/>
      <c r="L5" s="8" t="n"/>
      <c r="M5" s="8" t="n"/>
      <c r="N5" s="8" t="n"/>
      <c r="O5" s="9">
        <f>IF(C5="Single-Tier",IF(E5="Approved","Approved",IF(E5="Rejected","Rejected","Pending")),IF(C5="Two-Tier",IF(AND(E5="Approved",H5="Approved"),"Approved",IF(OR(E5="Rejected",H5="Rejected"),"Rejected","Pending")),IF(C5="Three-Tier",IF(AND(E5="Approved",H5="Approved",K5="Approved"),"Approved",IF(OR(E5="Rejected",H5="Rejected",K5="Rejected"),"Rejected","Pending")),"Unknown")))</f>
        <v/>
      </c>
      <c r="P5" s="9">
        <f>IF(O5="Approved",IF(C5="Single-Tier",IF(F5="","",F5-TODAY()+365),IF(C5="Two-Tier",IF(I5="","",I5-TODAY()+365),IF(L5="","",L5-TODAY()+365))),"")</f>
        <v/>
      </c>
      <c r="Q5" s="8" t="n"/>
    </row>
    <row r="6">
      <c r="A6" s="8" t="n"/>
      <c r="B6" s="8" t="n"/>
      <c r="C6" s="8" t="n"/>
      <c r="D6" s="8" t="n"/>
      <c r="E6" s="8" t="n"/>
      <c r="F6" s="8" t="n"/>
      <c r="G6" s="8" t="n"/>
      <c r="H6" s="8" t="n"/>
      <c r="I6" s="8" t="n"/>
      <c r="J6" s="8" t="n"/>
      <c r="K6" s="8" t="n"/>
      <c r="L6" s="8" t="n"/>
      <c r="M6" s="8" t="n"/>
      <c r="N6" s="8" t="n"/>
      <c r="O6" s="9">
        <f>IF(C6="Single-Tier",IF(E6="Approved","Approved",IF(E6="Rejected","Rejected","Pending")),IF(C6="Two-Tier",IF(AND(E6="Approved",H6="Approved"),"Approved",IF(OR(E6="Rejected",H6="Rejected"),"Rejected","Pending")),IF(C6="Three-Tier",IF(AND(E6="Approved",H6="Approved",K6="Approved"),"Approved",IF(OR(E6="Rejected",H6="Rejected",K6="Rejected"),"Rejected","Pending")),"Unknown")))</f>
        <v/>
      </c>
      <c r="P6" s="9">
        <f>IF(O6="Approved",IF(C6="Single-Tier",IF(F6="","",F6-TODAY()+365),IF(C6="Two-Tier",IF(I6="","",I6-TODAY()+365),IF(L6="","",L6-TODAY()+365))),"")</f>
        <v/>
      </c>
      <c r="Q6" s="8" t="n"/>
    </row>
    <row r="7">
      <c r="A7" s="8" t="n"/>
      <c r="B7" s="8" t="n"/>
      <c r="C7" s="8" t="n"/>
      <c r="D7" s="8" t="n"/>
      <c r="E7" s="8" t="n"/>
      <c r="F7" s="8" t="n"/>
      <c r="G7" s="8" t="n"/>
      <c r="H7" s="8" t="n"/>
      <c r="I7" s="8" t="n"/>
      <c r="J7" s="8" t="n"/>
      <c r="K7" s="8" t="n"/>
      <c r="L7" s="8" t="n"/>
      <c r="M7" s="8" t="n"/>
      <c r="N7" s="8" t="n"/>
      <c r="O7" s="9">
        <f>IF(C7="Single-Tier",IF(E7="Approved","Approved",IF(E7="Rejected","Rejected","Pending")),IF(C7="Two-Tier",IF(AND(E7="Approved",H7="Approved"),"Approved",IF(OR(E7="Rejected",H7="Rejected"),"Rejected","Pending")),IF(C7="Three-Tier",IF(AND(E7="Approved",H7="Approved",K7="Approved"),"Approved",IF(OR(E7="Rejected",H7="Rejected",K7="Rejected"),"Rejected","Pending")),"Unknown")))</f>
        <v/>
      </c>
      <c r="P7" s="9">
        <f>IF(O7="Approved",IF(C7="Single-Tier",IF(F7="","",F7-TODAY()+365),IF(C7="Two-Tier",IF(I7="","",I7-TODAY()+365),IF(L7="","",L7-TODAY()+365))),"")</f>
        <v/>
      </c>
      <c r="Q7" s="8" t="n"/>
    </row>
    <row r="8">
      <c r="A8" s="8" t="n"/>
      <c r="B8" s="8" t="n"/>
      <c r="C8" s="8" t="n"/>
      <c r="D8" s="8" t="n"/>
      <c r="E8" s="8" t="n"/>
      <c r="F8" s="8" t="n"/>
      <c r="G8" s="8" t="n"/>
      <c r="H8" s="8" t="n"/>
      <c r="I8" s="8" t="n"/>
      <c r="J8" s="8" t="n"/>
      <c r="K8" s="8" t="n"/>
      <c r="L8" s="8" t="n"/>
      <c r="M8" s="8" t="n"/>
      <c r="N8" s="8" t="n"/>
      <c r="O8" s="9">
        <f>IF(C8="Single-Tier",IF(E8="Approved","Approved",IF(E8="Rejected","Rejected","Pending")),IF(C8="Two-Tier",IF(AND(E8="Approved",H8="Approved"),"Approved",IF(OR(E8="Rejected",H8="Rejected"),"Rejected","Pending")),IF(C8="Three-Tier",IF(AND(E8="Approved",H8="Approved",K8="Approved"),"Approved",IF(OR(E8="Rejected",H8="Rejected",K8="Rejected"),"Rejected","Pending")),"Unknown")))</f>
        <v/>
      </c>
      <c r="P8" s="9">
        <f>IF(O8="Approved",IF(C8="Single-Tier",IF(F8="","",F8-TODAY()+365),IF(C8="Two-Tier",IF(I8="","",I8-TODAY()+365),IF(L8="","",L8-TODAY()+365))),"")</f>
        <v/>
      </c>
      <c r="Q8" s="8" t="n"/>
    </row>
    <row r="9">
      <c r="A9" s="8" t="n"/>
      <c r="B9" s="8" t="n"/>
      <c r="C9" s="8" t="n"/>
      <c r="D9" s="8" t="n"/>
      <c r="E9" s="8" t="n"/>
      <c r="F9" s="8" t="n"/>
      <c r="G9" s="8" t="n"/>
      <c r="H9" s="8" t="n"/>
      <c r="I9" s="8" t="n"/>
      <c r="J9" s="8" t="n"/>
      <c r="K9" s="8" t="n"/>
      <c r="L9" s="8" t="n"/>
      <c r="M9" s="8" t="n"/>
      <c r="N9" s="8" t="n"/>
      <c r="O9" s="9">
        <f>IF(C9="Single-Tier",IF(E9="Approved","Approved",IF(E9="Rejected","Rejected","Pending")),IF(C9="Two-Tier",IF(AND(E9="Approved",H9="Approved"),"Approved",IF(OR(E9="Rejected",H9="Rejected"),"Rejected","Pending")),IF(C9="Three-Tier",IF(AND(E9="Approved",H9="Approved",K9="Approved"),"Approved",IF(OR(E9="Rejected",H9="Rejected",K9="Rejected"),"Rejected","Pending")),"Unknown")))</f>
        <v/>
      </c>
      <c r="P9" s="9">
        <f>IF(O9="Approved",IF(C9="Single-Tier",IF(F9="","",F9-TODAY()+365),IF(C9="Two-Tier",IF(I9="","",I9-TODAY()+365),IF(L9="","",L9-TODAY()+365))),"")</f>
        <v/>
      </c>
      <c r="Q9" s="8" t="n"/>
    </row>
    <row r="10">
      <c r="A10" s="8" t="n"/>
      <c r="B10" s="8" t="n"/>
      <c r="C10" s="8" t="n"/>
      <c r="D10" s="8" t="n"/>
      <c r="E10" s="8" t="n"/>
      <c r="F10" s="8" t="n"/>
      <c r="G10" s="8" t="n"/>
      <c r="H10" s="8" t="n"/>
      <c r="I10" s="8" t="n"/>
      <c r="J10" s="8" t="n"/>
      <c r="K10" s="8" t="n"/>
      <c r="L10" s="8" t="n"/>
      <c r="M10" s="8" t="n"/>
      <c r="N10" s="8" t="n"/>
      <c r="O10" s="9">
        <f>IF(C10="Single-Tier",IF(E10="Approved","Approved",IF(E10="Rejected","Rejected","Pending")),IF(C10="Two-Tier",IF(AND(E10="Approved",H10="Approved"),"Approved",IF(OR(E10="Rejected",H10="Rejected"),"Rejected","Pending")),IF(C10="Three-Tier",IF(AND(E10="Approved",H10="Approved",K10="Approved"),"Approved",IF(OR(E10="Rejected",H10="Rejected",K10="Rejected"),"Rejected","Pending")),"Unknown")))</f>
        <v/>
      </c>
      <c r="P10" s="9">
        <f>IF(O10="Approved",IF(C10="Single-Tier",IF(F10="","",F10-TODAY()+365),IF(C10="Two-Tier",IF(I10="","",I10-TODAY()+365),IF(L10="","",L10-TODAY()+365))),"")</f>
        <v/>
      </c>
      <c r="Q10" s="8" t="n"/>
    </row>
    <row r="11">
      <c r="A11" s="8" t="n"/>
      <c r="B11" s="8" t="n"/>
      <c r="C11" s="8" t="n"/>
      <c r="D11" s="8" t="n"/>
      <c r="E11" s="8" t="n"/>
      <c r="F11" s="8" t="n"/>
      <c r="G11" s="8" t="n"/>
      <c r="H11" s="8" t="n"/>
      <c r="I11" s="8" t="n"/>
      <c r="J11" s="8" t="n"/>
      <c r="K11" s="8" t="n"/>
      <c r="L11" s="8" t="n"/>
      <c r="M11" s="8" t="n"/>
      <c r="N11" s="8" t="n"/>
      <c r="O11" s="9">
        <f>IF(C11="Single-Tier",IF(E11="Approved","Approved",IF(E11="Rejected","Rejected","Pending")),IF(C11="Two-Tier",IF(AND(E11="Approved",H11="Approved"),"Approved",IF(OR(E11="Rejected",H11="Rejected"),"Rejected","Pending")),IF(C11="Three-Tier",IF(AND(E11="Approved",H11="Approved",K11="Approved"),"Approved",IF(OR(E11="Rejected",H11="Rejected",K11="Rejected"),"Rejected","Pending")),"Unknown")))</f>
        <v/>
      </c>
      <c r="P11" s="9">
        <f>IF(O11="Approved",IF(C11="Single-Tier",IF(F11="","",F11-TODAY()+365),IF(C11="Two-Tier",IF(I11="","",I11-TODAY()+365),IF(L11="","",L11-TODAY()+365))),"")</f>
        <v/>
      </c>
      <c r="Q11" s="8" t="n"/>
    </row>
    <row r="12">
      <c r="A12" s="8" t="n"/>
      <c r="B12" s="8" t="n"/>
      <c r="C12" s="8" t="n"/>
      <c r="D12" s="8" t="n"/>
      <c r="E12" s="8" t="n"/>
      <c r="F12" s="8" t="n"/>
      <c r="G12" s="8" t="n"/>
      <c r="H12" s="8" t="n"/>
      <c r="I12" s="8" t="n"/>
      <c r="J12" s="8" t="n"/>
      <c r="K12" s="8" t="n"/>
      <c r="L12" s="8" t="n"/>
      <c r="M12" s="8" t="n"/>
      <c r="N12" s="8" t="n"/>
      <c r="O12" s="9">
        <f>IF(C12="Single-Tier",IF(E12="Approved","Approved",IF(E12="Rejected","Rejected","Pending")),IF(C12="Two-Tier",IF(AND(E12="Approved",H12="Approved"),"Approved",IF(OR(E12="Rejected",H12="Rejected"),"Rejected","Pending")),IF(C12="Three-Tier",IF(AND(E12="Approved",H12="Approved",K12="Approved"),"Approved",IF(OR(E12="Rejected",H12="Rejected",K12="Rejected"),"Rejected","Pending")),"Unknown")))</f>
        <v/>
      </c>
      <c r="P12" s="9">
        <f>IF(O12="Approved",IF(C12="Single-Tier",IF(F12="","",F12-TODAY()+365),IF(C12="Two-Tier",IF(I12="","",I12-TODAY()+365),IF(L12="","",L12-TODAY()+365))),"")</f>
        <v/>
      </c>
      <c r="Q12" s="8" t="n"/>
    </row>
    <row r="13">
      <c r="A13" s="8" t="n"/>
      <c r="B13" s="8" t="n"/>
      <c r="C13" s="8" t="n"/>
      <c r="D13" s="8" t="n"/>
      <c r="E13" s="8" t="n"/>
      <c r="F13" s="8" t="n"/>
      <c r="G13" s="8" t="n"/>
      <c r="H13" s="8" t="n"/>
      <c r="I13" s="8" t="n"/>
      <c r="J13" s="8" t="n"/>
      <c r="K13" s="8" t="n"/>
      <c r="L13" s="8" t="n"/>
      <c r="M13" s="8" t="n"/>
      <c r="N13" s="8" t="n"/>
      <c r="O13" s="9">
        <f>IF(C13="Single-Tier",IF(E13="Approved","Approved",IF(E13="Rejected","Rejected","Pending")),IF(C13="Two-Tier",IF(AND(E13="Approved",H13="Approved"),"Approved",IF(OR(E13="Rejected",H13="Rejected"),"Rejected","Pending")),IF(C13="Three-Tier",IF(AND(E13="Approved",H13="Approved",K13="Approved"),"Approved",IF(OR(E13="Rejected",H13="Rejected",K13="Rejected"),"Rejected","Pending")),"Unknown")))</f>
        <v/>
      </c>
      <c r="P13" s="9">
        <f>IF(O13="Approved",IF(C13="Single-Tier",IF(F13="","",F13-TODAY()+365),IF(C13="Two-Tier",IF(I13="","",I13-TODAY()+365),IF(L13="","",L13-TODAY()+365))),"")</f>
        <v/>
      </c>
      <c r="Q13" s="8" t="n"/>
    </row>
    <row r="14">
      <c r="A14" s="8" t="n"/>
      <c r="B14" s="8" t="n"/>
      <c r="C14" s="8" t="n"/>
      <c r="D14" s="8" t="n"/>
      <c r="E14" s="8" t="n"/>
      <c r="F14" s="8" t="n"/>
      <c r="G14" s="8" t="n"/>
      <c r="H14" s="8" t="n"/>
      <c r="I14" s="8" t="n"/>
      <c r="J14" s="8" t="n"/>
      <c r="K14" s="8" t="n"/>
      <c r="L14" s="8" t="n"/>
      <c r="M14" s="8" t="n"/>
      <c r="N14" s="8" t="n"/>
      <c r="O14" s="9">
        <f>IF(C14="Single-Tier",IF(E14="Approved","Approved",IF(E14="Rejected","Rejected","Pending")),IF(C14="Two-Tier",IF(AND(E14="Approved",H14="Approved"),"Approved",IF(OR(E14="Rejected",H14="Rejected"),"Rejected","Pending")),IF(C14="Three-Tier",IF(AND(E14="Approved",H14="Approved",K14="Approved"),"Approved",IF(OR(E14="Rejected",H14="Rejected",K14="Rejected"),"Rejected","Pending")),"Unknown")))</f>
        <v/>
      </c>
      <c r="P14" s="9">
        <f>IF(O14="Approved",IF(C14="Single-Tier",IF(F14="","",F14-TODAY()+365),IF(C14="Two-Tier",IF(I14="","",I14-TODAY()+365),IF(L14="","",L14-TODAY()+365))),"")</f>
        <v/>
      </c>
      <c r="Q14" s="8" t="n"/>
    </row>
    <row r="15">
      <c r="A15" s="8" t="n"/>
      <c r="B15" s="8" t="n"/>
      <c r="C15" s="8" t="n"/>
      <c r="D15" s="8" t="n"/>
      <c r="E15" s="8" t="n"/>
      <c r="F15" s="8" t="n"/>
      <c r="G15" s="8" t="n"/>
      <c r="H15" s="8" t="n"/>
      <c r="I15" s="8" t="n"/>
      <c r="J15" s="8" t="n"/>
      <c r="K15" s="8" t="n"/>
      <c r="L15" s="8" t="n"/>
      <c r="M15" s="8" t="n"/>
      <c r="N15" s="8" t="n"/>
      <c r="O15" s="9">
        <f>IF(C15="Single-Tier",IF(E15="Approved","Approved",IF(E15="Rejected","Rejected","Pending")),IF(C15="Two-Tier",IF(AND(E15="Approved",H15="Approved"),"Approved",IF(OR(E15="Rejected",H15="Rejected"),"Rejected","Pending")),IF(C15="Three-Tier",IF(AND(E15="Approved",H15="Approved",K15="Approved"),"Approved",IF(OR(E15="Rejected",H15="Rejected",K15="Rejected"),"Rejected","Pending")),"Unknown")))</f>
        <v/>
      </c>
      <c r="P15" s="9">
        <f>IF(O15="Approved",IF(C15="Single-Tier",IF(F15="","",F15-TODAY()+365),IF(C15="Two-Tier",IF(I15="","",I15-TODAY()+365),IF(L15="","",L15-TODAY()+365))),"")</f>
        <v/>
      </c>
      <c r="Q15" s="8" t="n"/>
    </row>
    <row r="16">
      <c r="A16" s="8" t="n"/>
      <c r="B16" s="8" t="n"/>
      <c r="C16" s="8" t="n"/>
      <c r="D16" s="8" t="n"/>
      <c r="E16" s="8" t="n"/>
      <c r="F16" s="8" t="n"/>
      <c r="G16" s="8" t="n"/>
      <c r="H16" s="8" t="n"/>
      <c r="I16" s="8" t="n"/>
      <c r="J16" s="8" t="n"/>
      <c r="K16" s="8" t="n"/>
      <c r="L16" s="8" t="n"/>
      <c r="M16" s="8" t="n"/>
      <c r="N16" s="8" t="n"/>
      <c r="O16" s="9">
        <f>IF(C16="Single-Tier",IF(E16="Approved","Approved",IF(E16="Rejected","Rejected","Pending")),IF(C16="Two-Tier",IF(AND(E16="Approved",H16="Approved"),"Approved",IF(OR(E16="Rejected",H16="Rejected"),"Rejected","Pending")),IF(C16="Three-Tier",IF(AND(E16="Approved",H16="Approved",K16="Approved"),"Approved",IF(OR(E16="Rejected",H16="Rejected",K16="Rejected"),"Rejected","Pending")),"Unknown")))</f>
        <v/>
      </c>
      <c r="P16" s="9">
        <f>IF(O16="Approved",IF(C16="Single-Tier",IF(F16="","",F16-TODAY()+365),IF(C16="Two-Tier",IF(I16="","",I16-TODAY()+365),IF(L16="","",L16-TODAY()+365))),"")</f>
        <v/>
      </c>
      <c r="Q16" s="8" t="n"/>
    </row>
    <row r="17">
      <c r="A17" s="8" t="n"/>
      <c r="B17" s="8" t="n"/>
      <c r="C17" s="8" t="n"/>
      <c r="D17" s="8" t="n"/>
      <c r="E17" s="8" t="n"/>
      <c r="F17" s="8" t="n"/>
      <c r="G17" s="8" t="n"/>
      <c r="H17" s="8" t="n"/>
      <c r="I17" s="8" t="n"/>
      <c r="J17" s="8" t="n"/>
      <c r="K17" s="8" t="n"/>
      <c r="L17" s="8" t="n"/>
      <c r="M17" s="8" t="n"/>
      <c r="N17" s="8" t="n"/>
      <c r="O17" s="9">
        <f>IF(C17="Single-Tier",IF(E17="Approved","Approved",IF(E17="Rejected","Rejected","Pending")),IF(C17="Two-Tier",IF(AND(E17="Approved",H17="Approved"),"Approved",IF(OR(E17="Rejected",H17="Rejected"),"Rejected","Pending")),IF(C17="Three-Tier",IF(AND(E17="Approved",H17="Approved",K17="Approved"),"Approved",IF(OR(E17="Rejected",H17="Rejected",K17="Rejected"),"Rejected","Pending")),"Unknown")))</f>
        <v/>
      </c>
      <c r="P17" s="9">
        <f>IF(O17="Approved",IF(C17="Single-Tier",IF(F17="","",F17-TODAY()+365),IF(C17="Two-Tier",IF(I17="","",I17-TODAY()+365),IF(L17="","",L17-TODAY()+365))),"")</f>
        <v/>
      </c>
      <c r="Q17" s="8" t="n"/>
    </row>
    <row r="18">
      <c r="A18" s="8" t="n"/>
      <c r="B18" s="8" t="n"/>
      <c r="C18" s="8" t="n"/>
      <c r="D18" s="8" t="n"/>
      <c r="E18" s="8" t="n"/>
      <c r="F18" s="8" t="n"/>
      <c r="G18" s="8" t="n"/>
      <c r="H18" s="8" t="n"/>
      <c r="I18" s="8" t="n"/>
      <c r="J18" s="8" t="n"/>
      <c r="K18" s="8" t="n"/>
      <c r="L18" s="8" t="n"/>
      <c r="M18" s="8" t="n"/>
      <c r="N18" s="8" t="n"/>
      <c r="O18" s="9">
        <f>IF(C18="Single-Tier",IF(E18="Approved","Approved",IF(E18="Rejected","Rejected","Pending")),IF(C18="Two-Tier",IF(AND(E18="Approved",H18="Approved"),"Approved",IF(OR(E18="Rejected",H18="Rejected"),"Rejected","Pending")),IF(C18="Three-Tier",IF(AND(E18="Approved",H18="Approved",K18="Approved"),"Approved",IF(OR(E18="Rejected",H18="Rejected",K18="Rejected"),"Rejected","Pending")),"Unknown")))</f>
        <v/>
      </c>
      <c r="P18" s="9">
        <f>IF(O18="Approved",IF(C18="Single-Tier",IF(F18="","",F18-TODAY()+365),IF(C18="Two-Tier",IF(I18="","",I18-TODAY()+365),IF(L18="","",L18-TODAY()+365))),"")</f>
        <v/>
      </c>
      <c r="Q18" s="8" t="n"/>
    </row>
    <row r="19">
      <c r="A19" s="8" t="n"/>
      <c r="B19" s="8" t="n"/>
      <c r="C19" s="8" t="n"/>
      <c r="D19" s="8" t="n"/>
      <c r="E19" s="8" t="n"/>
      <c r="F19" s="8" t="n"/>
      <c r="G19" s="8" t="n"/>
      <c r="H19" s="8" t="n"/>
      <c r="I19" s="8" t="n"/>
      <c r="J19" s="8" t="n"/>
      <c r="K19" s="8" t="n"/>
      <c r="L19" s="8" t="n"/>
      <c r="M19" s="8" t="n"/>
      <c r="N19" s="8" t="n"/>
      <c r="O19" s="9">
        <f>IF(C19="Single-Tier",IF(E19="Approved","Approved",IF(E19="Rejected","Rejected","Pending")),IF(C19="Two-Tier",IF(AND(E19="Approved",H19="Approved"),"Approved",IF(OR(E19="Rejected",H19="Rejected"),"Rejected","Pending")),IF(C19="Three-Tier",IF(AND(E19="Approved",H19="Approved",K19="Approved"),"Approved",IF(OR(E19="Rejected",H19="Rejected",K19="Rejected"),"Rejected","Pending")),"Unknown")))</f>
        <v/>
      </c>
      <c r="P19" s="9">
        <f>IF(O19="Approved",IF(C19="Single-Tier",IF(F19="","",F19-TODAY()+365),IF(C19="Two-Tier",IF(I19="","",I19-TODAY()+365),IF(L19="","",L19-TODAY()+365))),"")</f>
        <v/>
      </c>
      <c r="Q19" s="8" t="n"/>
    </row>
    <row r="20">
      <c r="A20" s="8" t="n"/>
      <c r="B20" s="8" t="n"/>
      <c r="C20" s="8" t="n"/>
      <c r="D20" s="8" t="n"/>
      <c r="E20" s="8" t="n"/>
      <c r="F20" s="8" t="n"/>
      <c r="G20" s="8" t="n"/>
      <c r="H20" s="8" t="n"/>
      <c r="I20" s="8" t="n"/>
      <c r="J20" s="8" t="n"/>
      <c r="K20" s="8" t="n"/>
      <c r="L20" s="8" t="n"/>
      <c r="M20" s="8" t="n"/>
      <c r="N20" s="8" t="n"/>
      <c r="O20" s="9">
        <f>IF(C20="Single-Tier",IF(E20="Approved","Approved",IF(E20="Rejected","Rejected","Pending")),IF(C20="Two-Tier",IF(AND(E20="Approved",H20="Approved"),"Approved",IF(OR(E20="Rejected",H20="Rejected"),"Rejected","Pending")),IF(C20="Three-Tier",IF(AND(E20="Approved",H20="Approved",K20="Approved"),"Approved",IF(OR(E20="Rejected",H20="Rejected",K20="Rejected"),"Rejected","Pending")),"Unknown")))</f>
        <v/>
      </c>
      <c r="P20" s="9">
        <f>IF(O20="Approved",IF(C20="Single-Tier",IF(F20="","",F20-TODAY()+365),IF(C20="Two-Tier",IF(I20="","",I20-TODAY()+365),IF(L20="","",L20-TODAY()+365))),"")</f>
        <v/>
      </c>
      <c r="Q20" s="8" t="n"/>
    </row>
    <row r="21">
      <c r="A21" s="8" t="n"/>
      <c r="B21" s="8" t="n"/>
      <c r="C21" s="8" t="n"/>
      <c r="D21" s="8" t="n"/>
      <c r="E21" s="8" t="n"/>
      <c r="F21" s="8" t="n"/>
      <c r="G21" s="8" t="n"/>
      <c r="H21" s="8" t="n"/>
      <c r="I21" s="8" t="n"/>
      <c r="J21" s="8" t="n"/>
      <c r="K21" s="8" t="n"/>
      <c r="L21" s="8" t="n"/>
      <c r="M21" s="8" t="n"/>
      <c r="N21" s="8" t="n"/>
      <c r="O21" s="9">
        <f>IF(C21="Single-Tier",IF(E21="Approved","Approved",IF(E21="Rejected","Rejected","Pending")),IF(C21="Two-Tier",IF(AND(E21="Approved",H21="Approved"),"Approved",IF(OR(E21="Rejected",H21="Rejected"),"Rejected","Pending")),IF(C21="Three-Tier",IF(AND(E21="Approved",H21="Approved",K21="Approved"),"Approved",IF(OR(E21="Rejected",H21="Rejected",K21="Rejected"),"Rejected","Pending")),"Unknown")))</f>
        <v/>
      </c>
      <c r="P21" s="9">
        <f>IF(O21="Approved",IF(C21="Single-Tier",IF(F21="","",F21-TODAY()+365),IF(C21="Two-Tier",IF(I21="","",I21-TODAY()+365),IF(L21="","",L21-TODAY()+365))),"")</f>
        <v/>
      </c>
      <c r="Q21" s="8" t="n"/>
    </row>
    <row r="22">
      <c r="A22" s="8" t="n"/>
      <c r="B22" s="8" t="n"/>
      <c r="C22" s="8" t="n"/>
      <c r="D22" s="8" t="n"/>
      <c r="E22" s="8" t="n"/>
      <c r="F22" s="8" t="n"/>
      <c r="G22" s="8" t="n"/>
      <c r="H22" s="8" t="n"/>
      <c r="I22" s="8" t="n"/>
      <c r="J22" s="8" t="n"/>
      <c r="K22" s="8" t="n"/>
      <c r="L22" s="8" t="n"/>
      <c r="M22" s="8" t="n"/>
      <c r="N22" s="8" t="n"/>
      <c r="O22" s="9">
        <f>IF(C22="Single-Tier",IF(E22="Approved","Approved",IF(E22="Rejected","Rejected","Pending")),IF(C22="Two-Tier",IF(AND(E22="Approved",H22="Approved"),"Approved",IF(OR(E22="Rejected",H22="Rejected"),"Rejected","Pending")),IF(C22="Three-Tier",IF(AND(E22="Approved",H22="Approved",K22="Approved"),"Approved",IF(OR(E22="Rejected",H22="Rejected",K22="Rejected"),"Rejected","Pending")),"Unknown")))</f>
        <v/>
      </c>
      <c r="P22" s="9">
        <f>IF(O22="Approved",IF(C22="Single-Tier",IF(F22="","",F22-TODAY()+365),IF(C22="Two-Tier",IF(I22="","",I22-TODAY()+365),IF(L22="","",L22-TODAY()+365))),"")</f>
        <v/>
      </c>
      <c r="Q22" s="8" t="n"/>
    </row>
    <row r="23">
      <c r="A23" s="8" t="n"/>
      <c r="B23" s="8" t="n"/>
      <c r="C23" s="8" t="n"/>
      <c r="D23" s="8" t="n"/>
      <c r="E23" s="8" t="n"/>
      <c r="F23" s="8" t="n"/>
      <c r="G23" s="8" t="n"/>
      <c r="H23" s="8" t="n"/>
      <c r="I23" s="8" t="n"/>
      <c r="J23" s="8" t="n"/>
      <c r="K23" s="8" t="n"/>
      <c r="L23" s="8" t="n"/>
      <c r="M23" s="8" t="n"/>
      <c r="N23" s="8" t="n"/>
      <c r="O23" s="9">
        <f>IF(C23="Single-Tier",IF(E23="Approved","Approved",IF(E23="Rejected","Rejected","Pending")),IF(C23="Two-Tier",IF(AND(E23="Approved",H23="Approved"),"Approved",IF(OR(E23="Rejected",H23="Rejected"),"Rejected","Pending")),IF(C23="Three-Tier",IF(AND(E23="Approved",H23="Approved",K23="Approved"),"Approved",IF(OR(E23="Rejected",H23="Rejected",K23="Rejected"),"Rejected","Pending")),"Unknown")))</f>
        <v/>
      </c>
      <c r="P23" s="9">
        <f>IF(O23="Approved",IF(C23="Single-Tier",IF(F23="","",F23-TODAY()+365),IF(C23="Two-Tier",IF(I23="","",I23-TODAY()+365),IF(L23="","",L23-TODAY()+365))),"")</f>
        <v/>
      </c>
      <c r="Q23" s="8" t="n"/>
    </row>
    <row r="24">
      <c r="A24" s="8" t="n"/>
      <c r="B24" s="8" t="n"/>
      <c r="C24" s="8" t="n"/>
      <c r="D24" s="8" t="n"/>
      <c r="E24" s="8" t="n"/>
      <c r="F24" s="8" t="n"/>
      <c r="G24" s="8" t="n"/>
      <c r="H24" s="8" t="n"/>
      <c r="I24" s="8" t="n"/>
      <c r="J24" s="8" t="n"/>
      <c r="K24" s="8" t="n"/>
      <c r="L24" s="8" t="n"/>
      <c r="M24" s="8" t="n"/>
      <c r="N24" s="8" t="n"/>
      <c r="O24" s="9">
        <f>IF(C24="Single-Tier",IF(E24="Approved","Approved",IF(E24="Rejected","Rejected","Pending")),IF(C24="Two-Tier",IF(AND(E24="Approved",H24="Approved"),"Approved",IF(OR(E24="Rejected",H24="Rejected"),"Rejected","Pending")),IF(C24="Three-Tier",IF(AND(E24="Approved",H24="Approved",K24="Approved"),"Approved",IF(OR(E24="Rejected",H24="Rejected",K24="Rejected"),"Rejected","Pending")),"Unknown")))</f>
        <v/>
      </c>
      <c r="P24" s="9">
        <f>IF(O24="Approved",IF(C24="Single-Tier",IF(F24="","",F24-TODAY()+365),IF(C24="Two-Tier",IF(I24="","",I24-TODAY()+365),IF(L24="","",L24-TODAY()+365))),"")</f>
        <v/>
      </c>
      <c r="Q24" s="8" t="n"/>
    </row>
    <row r="25">
      <c r="A25" s="8" t="n"/>
      <c r="B25" s="8" t="n"/>
      <c r="C25" s="8" t="n"/>
      <c r="D25" s="8" t="n"/>
      <c r="E25" s="8" t="n"/>
      <c r="F25" s="8" t="n"/>
      <c r="G25" s="8" t="n"/>
      <c r="H25" s="8" t="n"/>
      <c r="I25" s="8" t="n"/>
      <c r="J25" s="8" t="n"/>
      <c r="K25" s="8" t="n"/>
      <c r="L25" s="8" t="n"/>
      <c r="M25" s="8" t="n"/>
      <c r="N25" s="8" t="n"/>
      <c r="O25" s="9">
        <f>IF(C25="Single-Tier",IF(E25="Approved","Approved",IF(E25="Rejected","Rejected","Pending")),IF(C25="Two-Tier",IF(AND(E25="Approved",H25="Approved"),"Approved",IF(OR(E25="Rejected",H25="Rejected"),"Rejected","Pending")),IF(C25="Three-Tier",IF(AND(E25="Approved",H25="Approved",K25="Approved"),"Approved",IF(OR(E25="Rejected",H25="Rejected",K25="Rejected"),"Rejected","Pending")),"Unknown")))</f>
        <v/>
      </c>
      <c r="P25" s="9">
        <f>IF(O25="Approved",IF(C25="Single-Tier",IF(F25="","",F25-TODAY()+365),IF(C25="Two-Tier",IF(I25="","",I25-TODAY()+365),IF(L25="","",L25-TODAY()+365))),"")</f>
        <v/>
      </c>
      <c r="Q25" s="8" t="n"/>
    </row>
    <row r="26">
      <c r="A26" s="8" t="n"/>
      <c r="B26" s="8" t="n"/>
      <c r="C26" s="8" t="n"/>
      <c r="D26" s="8" t="n"/>
      <c r="E26" s="8" t="n"/>
      <c r="F26" s="8" t="n"/>
      <c r="G26" s="8" t="n"/>
      <c r="H26" s="8" t="n"/>
      <c r="I26" s="8" t="n"/>
      <c r="J26" s="8" t="n"/>
      <c r="K26" s="8" t="n"/>
      <c r="L26" s="8" t="n"/>
      <c r="M26" s="8" t="n"/>
      <c r="N26" s="8" t="n"/>
      <c r="O26" s="9">
        <f>IF(C26="Single-Tier",IF(E26="Approved","Approved",IF(E26="Rejected","Rejected","Pending")),IF(C26="Two-Tier",IF(AND(E26="Approved",H26="Approved"),"Approved",IF(OR(E26="Rejected",H26="Rejected"),"Rejected","Pending")),IF(C26="Three-Tier",IF(AND(E26="Approved",H26="Approved",K26="Approved"),"Approved",IF(OR(E26="Rejected",H26="Rejected",K26="Rejected"),"Rejected","Pending")),"Unknown")))</f>
        <v/>
      </c>
      <c r="P26" s="9">
        <f>IF(O26="Approved",IF(C26="Single-Tier",IF(F26="","",F26-TODAY()+365),IF(C26="Two-Tier",IF(I26="","",I26-TODAY()+365),IF(L26="","",L26-TODAY()+365))),"")</f>
        <v/>
      </c>
      <c r="Q26" s="8" t="n"/>
    </row>
    <row r="27">
      <c r="A27" s="8" t="n"/>
      <c r="B27" s="8" t="n"/>
      <c r="C27" s="8" t="n"/>
      <c r="D27" s="8" t="n"/>
      <c r="E27" s="8" t="n"/>
      <c r="F27" s="8" t="n"/>
      <c r="G27" s="8" t="n"/>
      <c r="H27" s="8" t="n"/>
      <c r="I27" s="8" t="n"/>
      <c r="J27" s="8" t="n"/>
      <c r="K27" s="8" t="n"/>
      <c r="L27" s="8" t="n"/>
      <c r="M27" s="8" t="n"/>
      <c r="N27" s="8" t="n"/>
      <c r="O27" s="9">
        <f>IF(C27="Single-Tier",IF(E27="Approved","Approved",IF(E27="Rejected","Rejected","Pending")),IF(C27="Two-Tier",IF(AND(E27="Approved",H27="Approved"),"Approved",IF(OR(E27="Rejected",H27="Rejected"),"Rejected","Pending")),IF(C27="Three-Tier",IF(AND(E27="Approved",H27="Approved",K27="Approved"),"Approved",IF(OR(E27="Rejected",H27="Rejected",K27="Rejected"),"Rejected","Pending")),"Unknown")))</f>
        <v/>
      </c>
      <c r="P27" s="9">
        <f>IF(O27="Approved",IF(C27="Single-Tier",IF(F27="","",F27-TODAY()+365),IF(C27="Two-Tier",IF(I27="","",I27-TODAY()+365),IF(L27="","",L27-TODAY()+365))),"")</f>
        <v/>
      </c>
      <c r="Q27" s="8" t="n"/>
    </row>
    <row r="28">
      <c r="A28" s="8" t="n"/>
      <c r="B28" s="8" t="n"/>
      <c r="C28" s="8" t="n"/>
      <c r="D28" s="8" t="n"/>
      <c r="E28" s="8" t="n"/>
      <c r="F28" s="8" t="n"/>
      <c r="G28" s="8" t="n"/>
      <c r="H28" s="8" t="n"/>
      <c r="I28" s="8" t="n"/>
      <c r="J28" s="8" t="n"/>
      <c r="K28" s="8" t="n"/>
      <c r="L28" s="8" t="n"/>
      <c r="M28" s="8" t="n"/>
      <c r="N28" s="8" t="n"/>
      <c r="O28" s="9">
        <f>IF(C28="Single-Tier",IF(E28="Approved","Approved",IF(E28="Rejected","Rejected","Pending")),IF(C28="Two-Tier",IF(AND(E28="Approved",H28="Approved"),"Approved",IF(OR(E28="Rejected",H28="Rejected"),"Rejected","Pending")),IF(C28="Three-Tier",IF(AND(E28="Approved",H28="Approved",K28="Approved"),"Approved",IF(OR(E28="Rejected",H28="Rejected",K28="Rejected"),"Rejected","Pending")),"Unknown")))</f>
        <v/>
      </c>
      <c r="P28" s="9">
        <f>IF(O28="Approved",IF(C28="Single-Tier",IF(F28="","",F28-TODAY()+365),IF(C28="Two-Tier",IF(I28="","",I28-TODAY()+365),IF(L28="","",L28-TODAY()+365))),"")</f>
        <v/>
      </c>
      <c r="Q28" s="8" t="n"/>
    </row>
    <row r="29">
      <c r="A29" s="8" t="n"/>
      <c r="B29" s="8" t="n"/>
      <c r="C29" s="8" t="n"/>
      <c r="D29" s="8" t="n"/>
      <c r="E29" s="8" t="n"/>
      <c r="F29" s="8" t="n"/>
      <c r="G29" s="8" t="n"/>
      <c r="H29" s="8" t="n"/>
      <c r="I29" s="8" t="n"/>
      <c r="J29" s="8" t="n"/>
      <c r="K29" s="8" t="n"/>
      <c r="L29" s="8" t="n"/>
      <c r="M29" s="8" t="n"/>
      <c r="N29" s="8" t="n"/>
      <c r="O29" s="9">
        <f>IF(C29="Single-Tier",IF(E29="Approved","Approved",IF(E29="Rejected","Rejected","Pending")),IF(C29="Two-Tier",IF(AND(E29="Approved",H29="Approved"),"Approved",IF(OR(E29="Rejected",H29="Rejected"),"Rejected","Pending")),IF(C29="Three-Tier",IF(AND(E29="Approved",H29="Approved",K29="Approved"),"Approved",IF(OR(E29="Rejected",H29="Rejected",K29="Rejected"),"Rejected","Pending")),"Unknown")))</f>
        <v/>
      </c>
      <c r="P29" s="9">
        <f>IF(O29="Approved",IF(C29="Single-Tier",IF(F29="","",F29-TODAY()+365),IF(C29="Two-Tier",IF(I29="","",I29-TODAY()+365),IF(L29="","",L29-TODAY()+365))),"")</f>
        <v/>
      </c>
      <c r="Q29" s="8" t="n"/>
    </row>
    <row r="30">
      <c r="A30" s="8" t="n"/>
      <c r="B30" s="8" t="n"/>
      <c r="C30" s="8" t="n"/>
      <c r="D30" s="8" t="n"/>
      <c r="E30" s="8" t="n"/>
      <c r="F30" s="8" t="n"/>
      <c r="G30" s="8" t="n"/>
      <c r="H30" s="8" t="n"/>
      <c r="I30" s="8" t="n"/>
      <c r="J30" s="8" t="n"/>
      <c r="K30" s="8" t="n"/>
      <c r="L30" s="8" t="n"/>
      <c r="M30" s="8" t="n"/>
      <c r="N30" s="8" t="n"/>
      <c r="O30" s="9">
        <f>IF(C30="Single-Tier",IF(E30="Approved","Approved",IF(E30="Rejected","Rejected","Pending")),IF(C30="Two-Tier",IF(AND(E30="Approved",H30="Approved"),"Approved",IF(OR(E30="Rejected",H30="Rejected"),"Rejected","Pending")),IF(C30="Three-Tier",IF(AND(E30="Approved",H30="Approved",K30="Approved"),"Approved",IF(OR(E30="Rejected",H30="Rejected",K30="Rejected"),"Rejected","Pending")),"Unknown")))</f>
        <v/>
      </c>
      <c r="P30" s="9">
        <f>IF(O30="Approved",IF(C30="Single-Tier",IF(F30="","",F30-TODAY()+365),IF(C30="Two-Tier",IF(I30="","",I30-TODAY()+365),IF(L30="","",L30-TODAY()+365))),"")</f>
        <v/>
      </c>
      <c r="Q30" s="8" t="n"/>
    </row>
    <row r="31">
      <c r="A31" s="8" t="n"/>
      <c r="B31" s="8" t="n"/>
      <c r="C31" s="8" t="n"/>
      <c r="D31" s="8" t="n"/>
      <c r="E31" s="8" t="n"/>
      <c r="F31" s="8" t="n"/>
      <c r="G31" s="8" t="n"/>
      <c r="H31" s="8" t="n"/>
      <c r="I31" s="8" t="n"/>
      <c r="J31" s="8" t="n"/>
      <c r="K31" s="8" t="n"/>
      <c r="L31" s="8" t="n"/>
      <c r="M31" s="8" t="n"/>
      <c r="N31" s="8" t="n"/>
      <c r="O31" s="9">
        <f>IF(C31="Single-Tier",IF(E31="Approved","Approved",IF(E31="Rejected","Rejected","Pending")),IF(C31="Two-Tier",IF(AND(E31="Approved",H31="Approved"),"Approved",IF(OR(E31="Rejected",H31="Rejected"),"Rejected","Pending")),IF(C31="Three-Tier",IF(AND(E31="Approved",H31="Approved",K31="Approved"),"Approved",IF(OR(E31="Rejected",H31="Rejected",K31="Rejected"),"Rejected","Pending")),"Unknown")))</f>
        <v/>
      </c>
      <c r="P31" s="9">
        <f>IF(O31="Approved",IF(C31="Single-Tier",IF(F31="","",F31-TODAY()+365),IF(C31="Two-Tier",IF(I31="","",I31-TODAY()+365),IF(L31="","",L31-TODAY()+365))),"")</f>
        <v/>
      </c>
      <c r="Q31" s="8" t="n"/>
    </row>
    <row r="32">
      <c r="A32" s="8" t="n"/>
      <c r="B32" s="8" t="n"/>
      <c r="C32" s="8" t="n"/>
      <c r="D32" s="8" t="n"/>
      <c r="E32" s="8" t="n"/>
      <c r="F32" s="8" t="n"/>
      <c r="G32" s="8" t="n"/>
      <c r="H32" s="8" t="n"/>
      <c r="I32" s="8" t="n"/>
      <c r="J32" s="8" t="n"/>
      <c r="K32" s="8" t="n"/>
      <c r="L32" s="8" t="n"/>
      <c r="M32" s="8" t="n"/>
      <c r="N32" s="8" t="n"/>
      <c r="O32" s="9">
        <f>IF(C32="Single-Tier",IF(E32="Approved","Approved",IF(E32="Rejected","Rejected","Pending")),IF(C32="Two-Tier",IF(AND(E32="Approved",H32="Approved"),"Approved",IF(OR(E32="Rejected",H32="Rejected"),"Rejected","Pending")),IF(C32="Three-Tier",IF(AND(E32="Approved",H32="Approved",K32="Approved"),"Approved",IF(OR(E32="Rejected",H32="Rejected",K32="Rejected"),"Rejected","Pending")),"Unknown")))</f>
        <v/>
      </c>
      <c r="P32" s="9">
        <f>IF(O32="Approved",IF(C32="Single-Tier",IF(F32="","",F32-TODAY()+365),IF(C32="Two-Tier",IF(I32="","",I32-TODAY()+365),IF(L32="","",L32-TODAY()+365))),"")</f>
        <v/>
      </c>
      <c r="Q32" s="8" t="n"/>
    </row>
    <row r="33">
      <c r="A33" s="8" t="n"/>
      <c r="B33" s="8" t="n"/>
      <c r="C33" s="8" t="n"/>
      <c r="D33" s="8" t="n"/>
      <c r="E33" s="8" t="n"/>
      <c r="F33" s="8" t="n"/>
      <c r="G33" s="8" t="n"/>
      <c r="H33" s="8" t="n"/>
      <c r="I33" s="8" t="n"/>
      <c r="J33" s="8" t="n"/>
      <c r="K33" s="8" t="n"/>
      <c r="L33" s="8" t="n"/>
      <c r="M33" s="8" t="n"/>
      <c r="N33" s="8" t="n"/>
      <c r="O33" s="9">
        <f>IF(C33="Single-Tier",IF(E33="Approved","Approved",IF(E33="Rejected","Rejected","Pending")),IF(C33="Two-Tier",IF(AND(E33="Approved",H33="Approved"),"Approved",IF(OR(E33="Rejected",H33="Rejected"),"Rejected","Pending")),IF(C33="Three-Tier",IF(AND(E33="Approved",H33="Approved",K33="Approved"),"Approved",IF(OR(E33="Rejected",H33="Rejected",K33="Rejected"),"Rejected","Pending")),"Unknown")))</f>
        <v/>
      </c>
      <c r="P33" s="9">
        <f>IF(O33="Approved",IF(C33="Single-Tier",IF(F33="","",F33-TODAY()+365),IF(C33="Two-Tier",IF(I33="","",I33-TODAY()+365),IF(L33="","",L33-TODAY()+365))),"")</f>
        <v/>
      </c>
      <c r="Q33" s="8" t="n"/>
    </row>
    <row r="34">
      <c r="A34" s="8" t="n"/>
      <c r="B34" s="8" t="n"/>
      <c r="C34" s="8" t="n"/>
      <c r="D34" s="8" t="n"/>
      <c r="E34" s="8" t="n"/>
      <c r="F34" s="8" t="n"/>
      <c r="G34" s="8" t="n"/>
      <c r="H34" s="8" t="n"/>
      <c r="I34" s="8" t="n"/>
      <c r="J34" s="8" t="n"/>
      <c r="K34" s="8" t="n"/>
      <c r="L34" s="8" t="n"/>
      <c r="M34" s="8" t="n"/>
      <c r="N34" s="8" t="n"/>
      <c r="O34" s="9">
        <f>IF(C34="Single-Tier",IF(E34="Approved","Approved",IF(E34="Rejected","Rejected","Pending")),IF(C34="Two-Tier",IF(AND(E34="Approved",H34="Approved"),"Approved",IF(OR(E34="Rejected",H34="Rejected"),"Rejected","Pending")),IF(C34="Three-Tier",IF(AND(E34="Approved",H34="Approved",K34="Approved"),"Approved",IF(OR(E34="Rejected",H34="Rejected",K34="Rejected"),"Rejected","Pending")),"Unknown")))</f>
        <v/>
      </c>
      <c r="P34" s="9">
        <f>IF(O34="Approved",IF(C34="Single-Tier",IF(F34="","",F34-TODAY()+365),IF(C34="Two-Tier",IF(I34="","",I34-TODAY()+365),IF(L34="","",L34-TODAY()+365))),"")</f>
        <v/>
      </c>
      <c r="Q34" s="8" t="n"/>
    </row>
    <row r="35">
      <c r="A35" s="8" t="n"/>
      <c r="B35" s="8" t="n"/>
      <c r="C35" s="8" t="n"/>
      <c r="D35" s="8" t="n"/>
      <c r="E35" s="8" t="n"/>
      <c r="F35" s="8" t="n"/>
      <c r="G35" s="8" t="n"/>
      <c r="H35" s="8" t="n"/>
      <c r="I35" s="8" t="n"/>
      <c r="J35" s="8" t="n"/>
      <c r="K35" s="8" t="n"/>
      <c r="L35" s="8" t="n"/>
      <c r="M35" s="8" t="n"/>
      <c r="N35" s="8" t="n"/>
      <c r="O35" s="9">
        <f>IF(C35="Single-Tier",IF(E35="Approved","Approved",IF(E35="Rejected","Rejected","Pending")),IF(C35="Two-Tier",IF(AND(E35="Approved",H35="Approved"),"Approved",IF(OR(E35="Rejected",H35="Rejected"),"Rejected","Pending")),IF(C35="Three-Tier",IF(AND(E35="Approved",H35="Approved",K35="Approved"),"Approved",IF(OR(E35="Rejected",H35="Rejected",K35="Rejected"),"Rejected","Pending")),"Unknown")))</f>
        <v/>
      </c>
      <c r="P35" s="9">
        <f>IF(O35="Approved",IF(C35="Single-Tier",IF(F35="","",F35-TODAY()+365),IF(C35="Two-Tier",IF(I35="","",I35-TODAY()+365),IF(L35="","",L35-TODAY()+365))),"")</f>
        <v/>
      </c>
      <c r="Q35" s="8" t="n"/>
    </row>
    <row r="36">
      <c r="A36" s="8" t="n"/>
      <c r="B36" s="8" t="n"/>
      <c r="C36" s="8" t="n"/>
      <c r="D36" s="8" t="n"/>
      <c r="E36" s="8" t="n"/>
      <c r="F36" s="8" t="n"/>
      <c r="G36" s="8" t="n"/>
      <c r="H36" s="8" t="n"/>
      <c r="I36" s="8" t="n"/>
      <c r="J36" s="8" t="n"/>
      <c r="K36" s="8" t="n"/>
      <c r="L36" s="8" t="n"/>
      <c r="M36" s="8" t="n"/>
      <c r="N36" s="8" t="n"/>
      <c r="O36" s="9">
        <f>IF(C36="Single-Tier",IF(E36="Approved","Approved",IF(E36="Rejected","Rejected","Pending")),IF(C36="Two-Tier",IF(AND(E36="Approved",H36="Approved"),"Approved",IF(OR(E36="Rejected",H36="Rejected"),"Rejected","Pending")),IF(C36="Three-Tier",IF(AND(E36="Approved",H36="Approved",K36="Approved"),"Approved",IF(OR(E36="Rejected",H36="Rejected",K36="Rejected"),"Rejected","Pending")),"Unknown")))</f>
        <v/>
      </c>
      <c r="P36" s="9">
        <f>IF(O36="Approved",IF(C36="Single-Tier",IF(F36="","",F36-TODAY()+365),IF(C36="Two-Tier",IF(I36="","",I36-TODAY()+365),IF(L36="","",L36-TODAY()+365))),"")</f>
        <v/>
      </c>
      <c r="Q36" s="8" t="n"/>
    </row>
    <row r="37">
      <c r="A37" s="8" t="n"/>
      <c r="B37" s="8" t="n"/>
      <c r="C37" s="8" t="n"/>
      <c r="D37" s="8" t="n"/>
      <c r="E37" s="8" t="n"/>
      <c r="F37" s="8" t="n"/>
      <c r="G37" s="8" t="n"/>
      <c r="H37" s="8" t="n"/>
      <c r="I37" s="8" t="n"/>
      <c r="J37" s="8" t="n"/>
      <c r="K37" s="8" t="n"/>
      <c r="L37" s="8" t="n"/>
      <c r="M37" s="8" t="n"/>
      <c r="N37" s="8" t="n"/>
      <c r="O37" s="9">
        <f>IF(C37="Single-Tier",IF(E37="Approved","Approved",IF(E37="Rejected","Rejected","Pending")),IF(C37="Two-Tier",IF(AND(E37="Approved",H37="Approved"),"Approved",IF(OR(E37="Rejected",H37="Rejected"),"Rejected","Pending")),IF(C37="Three-Tier",IF(AND(E37="Approved",H37="Approved",K37="Approved"),"Approved",IF(OR(E37="Rejected",H37="Rejected",K37="Rejected"),"Rejected","Pending")),"Unknown")))</f>
        <v/>
      </c>
      <c r="P37" s="9">
        <f>IF(O37="Approved",IF(C37="Single-Tier",IF(F37="","",F37-TODAY()+365),IF(C37="Two-Tier",IF(I37="","",I37-TODAY()+365),IF(L37="","",L37-TODAY()+365))),"")</f>
        <v/>
      </c>
      <c r="Q37" s="8" t="n"/>
    </row>
    <row r="38">
      <c r="A38" s="8" t="n"/>
      <c r="B38" s="8" t="n"/>
      <c r="C38" s="8" t="n"/>
      <c r="D38" s="8" t="n"/>
      <c r="E38" s="8" t="n"/>
      <c r="F38" s="8" t="n"/>
      <c r="G38" s="8" t="n"/>
      <c r="H38" s="8" t="n"/>
      <c r="I38" s="8" t="n"/>
      <c r="J38" s="8" t="n"/>
      <c r="K38" s="8" t="n"/>
      <c r="L38" s="8" t="n"/>
      <c r="M38" s="8" t="n"/>
      <c r="N38" s="8" t="n"/>
      <c r="O38" s="9">
        <f>IF(C38="Single-Tier",IF(E38="Approved","Approved",IF(E38="Rejected","Rejected","Pending")),IF(C38="Two-Tier",IF(AND(E38="Approved",H38="Approved"),"Approved",IF(OR(E38="Rejected",H38="Rejected"),"Rejected","Pending")),IF(C38="Three-Tier",IF(AND(E38="Approved",H38="Approved",K38="Approved"),"Approved",IF(OR(E38="Rejected",H38="Rejected",K38="Rejected"),"Rejected","Pending")),"Unknown")))</f>
        <v/>
      </c>
      <c r="P38" s="9">
        <f>IF(O38="Approved",IF(C38="Single-Tier",IF(F38="","",F38-TODAY()+365),IF(C38="Two-Tier",IF(I38="","",I38-TODAY()+365),IF(L38="","",L38-TODAY()+365))),"")</f>
        <v/>
      </c>
      <c r="Q38" s="8" t="n"/>
    </row>
    <row r="39">
      <c r="A39" s="8" t="n"/>
      <c r="B39" s="8" t="n"/>
      <c r="C39" s="8" t="n"/>
      <c r="D39" s="8" t="n"/>
      <c r="E39" s="8" t="n"/>
      <c r="F39" s="8" t="n"/>
      <c r="G39" s="8" t="n"/>
      <c r="H39" s="8" t="n"/>
      <c r="I39" s="8" t="n"/>
      <c r="J39" s="8" t="n"/>
      <c r="K39" s="8" t="n"/>
      <c r="L39" s="8" t="n"/>
      <c r="M39" s="8" t="n"/>
      <c r="N39" s="8" t="n"/>
      <c r="O39" s="9">
        <f>IF(C39="Single-Tier",IF(E39="Approved","Approved",IF(E39="Rejected","Rejected","Pending")),IF(C39="Two-Tier",IF(AND(E39="Approved",H39="Approved"),"Approved",IF(OR(E39="Rejected",H39="Rejected"),"Rejected","Pending")),IF(C39="Three-Tier",IF(AND(E39="Approved",H39="Approved",K39="Approved"),"Approved",IF(OR(E39="Rejected",H39="Rejected",K39="Rejected"),"Rejected","Pending")),"Unknown")))</f>
        <v/>
      </c>
      <c r="P39" s="9">
        <f>IF(O39="Approved",IF(C39="Single-Tier",IF(F39="","",F39-TODAY()+365),IF(C39="Two-Tier",IF(I39="","",I39-TODAY()+365),IF(L39="","",L39-TODAY()+365))),"")</f>
        <v/>
      </c>
      <c r="Q39" s="8" t="n"/>
    </row>
    <row r="40">
      <c r="A40" s="8" t="n"/>
      <c r="B40" s="8" t="n"/>
      <c r="C40" s="8" t="n"/>
      <c r="D40" s="8" t="n"/>
      <c r="E40" s="8" t="n"/>
      <c r="F40" s="8" t="n"/>
      <c r="G40" s="8" t="n"/>
      <c r="H40" s="8" t="n"/>
      <c r="I40" s="8" t="n"/>
      <c r="J40" s="8" t="n"/>
      <c r="K40" s="8" t="n"/>
      <c r="L40" s="8" t="n"/>
      <c r="M40" s="8" t="n"/>
      <c r="N40" s="8" t="n"/>
      <c r="O40" s="9">
        <f>IF(C40="Single-Tier",IF(E40="Approved","Approved",IF(E40="Rejected","Rejected","Pending")),IF(C40="Two-Tier",IF(AND(E40="Approved",H40="Approved"),"Approved",IF(OR(E40="Rejected",H40="Rejected"),"Rejected","Pending")),IF(C40="Three-Tier",IF(AND(E40="Approved",H40="Approved",K40="Approved"),"Approved",IF(OR(E40="Rejected",H40="Rejected",K40="Rejected"),"Rejected","Pending")),"Unknown")))</f>
        <v/>
      </c>
      <c r="P40" s="9">
        <f>IF(O40="Approved",IF(C40="Single-Tier",IF(F40="","",F40-TODAY()+365),IF(C40="Two-Tier",IF(I40="","",I40-TODAY()+365),IF(L40="","",L40-TODAY()+365))),"")</f>
        <v/>
      </c>
      <c r="Q40" s="8" t="n"/>
    </row>
    <row r="41">
      <c r="A41" s="8" t="n"/>
      <c r="B41" s="8" t="n"/>
      <c r="C41" s="8" t="n"/>
      <c r="D41" s="8" t="n"/>
      <c r="E41" s="8" t="n"/>
      <c r="F41" s="8" t="n"/>
      <c r="G41" s="8" t="n"/>
      <c r="H41" s="8" t="n"/>
      <c r="I41" s="8" t="n"/>
      <c r="J41" s="8" t="n"/>
      <c r="K41" s="8" t="n"/>
      <c r="L41" s="8" t="n"/>
      <c r="M41" s="8" t="n"/>
      <c r="N41" s="8" t="n"/>
      <c r="O41" s="9">
        <f>IF(C41="Single-Tier",IF(E41="Approved","Approved",IF(E41="Rejected","Rejected","Pending")),IF(C41="Two-Tier",IF(AND(E41="Approved",H41="Approved"),"Approved",IF(OR(E41="Rejected",H41="Rejected"),"Rejected","Pending")),IF(C41="Three-Tier",IF(AND(E41="Approved",H41="Approved",K41="Approved"),"Approved",IF(OR(E41="Rejected",H41="Rejected",K41="Rejected"),"Rejected","Pending")),"Unknown")))</f>
        <v/>
      </c>
      <c r="P41" s="9">
        <f>IF(O41="Approved",IF(C41="Single-Tier",IF(F41="","",F41-TODAY()+365),IF(C41="Two-Tier",IF(I41="","",I41-TODAY()+365),IF(L41="","",L41-TODAY()+365))),"")</f>
        <v/>
      </c>
      <c r="Q41" s="8" t="n"/>
    </row>
    <row r="42">
      <c r="A42" s="8" t="n"/>
      <c r="B42" s="8" t="n"/>
      <c r="C42" s="8" t="n"/>
      <c r="D42" s="8" t="n"/>
      <c r="E42" s="8" t="n"/>
      <c r="F42" s="8" t="n"/>
      <c r="G42" s="8" t="n"/>
      <c r="H42" s="8" t="n"/>
      <c r="I42" s="8" t="n"/>
      <c r="J42" s="8" t="n"/>
      <c r="K42" s="8" t="n"/>
      <c r="L42" s="8" t="n"/>
      <c r="M42" s="8" t="n"/>
      <c r="N42" s="8" t="n"/>
      <c r="O42" s="9">
        <f>IF(C42="Single-Tier",IF(E42="Approved","Approved",IF(E42="Rejected","Rejected","Pending")),IF(C42="Two-Tier",IF(AND(E42="Approved",H42="Approved"),"Approved",IF(OR(E42="Rejected",H42="Rejected"),"Rejected","Pending")),IF(C42="Three-Tier",IF(AND(E42="Approved",H42="Approved",K42="Approved"),"Approved",IF(OR(E42="Rejected",H42="Rejected",K42="Rejected"),"Rejected","Pending")),"Unknown")))</f>
        <v/>
      </c>
      <c r="P42" s="9">
        <f>IF(O42="Approved",IF(C42="Single-Tier",IF(F42="","",F42-TODAY()+365),IF(C42="Two-Tier",IF(I42="","",I42-TODAY()+365),IF(L42="","",L42-TODAY()+365))),"")</f>
        <v/>
      </c>
      <c r="Q42" s="8" t="n"/>
    </row>
    <row r="43">
      <c r="A43" s="8" t="n"/>
      <c r="B43" s="8" t="n"/>
      <c r="C43" s="8" t="n"/>
      <c r="D43" s="8" t="n"/>
      <c r="E43" s="8" t="n"/>
      <c r="F43" s="8" t="n"/>
      <c r="G43" s="8" t="n"/>
      <c r="H43" s="8" t="n"/>
      <c r="I43" s="8" t="n"/>
      <c r="J43" s="8" t="n"/>
      <c r="K43" s="8" t="n"/>
      <c r="L43" s="8" t="n"/>
      <c r="M43" s="8" t="n"/>
      <c r="N43" s="8" t="n"/>
      <c r="O43" s="9">
        <f>IF(C43="Single-Tier",IF(E43="Approved","Approved",IF(E43="Rejected","Rejected","Pending")),IF(C43="Two-Tier",IF(AND(E43="Approved",H43="Approved"),"Approved",IF(OR(E43="Rejected",H43="Rejected"),"Rejected","Pending")),IF(C43="Three-Tier",IF(AND(E43="Approved",H43="Approved",K43="Approved"),"Approved",IF(OR(E43="Rejected",H43="Rejected",K43="Rejected"),"Rejected","Pending")),"Unknown")))</f>
        <v/>
      </c>
      <c r="P43" s="9">
        <f>IF(O43="Approved",IF(C43="Single-Tier",IF(F43="","",F43-TODAY()+365),IF(C43="Two-Tier",IF(I43="","",I43-TODAY()+365),IF(L43="","",L43-TODAY()+365))),"")</f>
        <v/>
      </c>
      <c r="Q43" s="8" t="n"/>
    </row>
    <row r="44">
      <c r="A44" s="8" t="n"/>
      <c r="B44" s="8" t="n"/>
      <c r="C44" s="8" t="n"/>
      <c r="D44" s="8" t="n"/>
      <c r="E44" s="8" t="n"/>
      <c r="F44" s="8" t="n"/>
      <c r="G44" s="8" t="n"/>
      <c r="H44" s="8" t="n"/>
      <c r="I44" s="8" t="n"/>
      <c r="J44" s="8" t="n"/>
      <c r="K44" s="8" t="n"/>
      <c r="L44" s="8" t="n"/>
      <c r="M44" s="8" t="n"/>
      <c r="N44" s="8" t="n"/>
      <c r="O44" s="9">
        <f>IF(C44="Single-Tier",IF(E44="Approved","Approved",IF(E44="Rejected","Rejected","Pending")),IF(C44="Two-Tier",IF(AND(E44="Approved",H44="Approved"),"Approved",IF(OR(E44="Rejected",H44="Rejected"),"Rejected","Pending")),IF(C44="Three-Tier",IF(AND(E44="Approved",H44="Approved",K44="Approved"),"Approved",IF(OR(E44="Rejected",H44="Rejected",K44="Rejected"),"Rejected","Pending")),"Unknown")))</f>
        <v/>
      </c>
      <c r="P44" s="9">
        <f>IF(O44="Approved",IF(C44="Single-Tier",IF(F44="","",F44-TODAY()+365),IF(C44="Two-Tier",IF(I44="","",I44-TODAY()+365),IF(L44="","",L44-TODAY()+365))),"")</f>
        <v/>
      </c>
      <c r="Q44" s="8" t="n"/>
    </row>
    <row r="45">
      <c r="A45" s="8" t="n"/>
      <c r="B45" s="8" t="n"/>
      <c r="C45" s="8" t="n"/>
      <c r="D45" s="8" t="n"/>
      <c r="E45" s="8" t="n"/>
      <c r="F45" s="8" t="n"/>
      <c r="G45" s="8" t="n"/>
      <c r="H45" s="8" t="n"/>
      <c r="I45" s="8" t="n"/>
      <c r="J45" s="8" t="n"/>
      <c r="K45" s="8" t="n"/>
      <c r="L45" s="8" t="n"/>
      <c r="M45" s="8" t="n"/>
      <c r="N45" s="8" t="n"/>
      <c r="O45" s="9">
        <f>IF(C45="Single-Tier",IF(E45="Approved","Approved",IF(E45="Rejected","Rejected","Pending")),IF(C45="Two-Tier",IF(AND(E45="Approved",H45="Approved"),"Approved",IF(OR(E45="Rejected",H45="Rejected"),"Rejected","Pending")),IF(C45="Three-Tier",IF(AND(E45="Approved",H45="Approved",K45="Approved"),"Approved",IF(OR(E45="Rejected",H45="Rejected",K45="Rejected"),"Rejected","Pending")),"Unknown")))</f>
        <v/>
      </c>
      <c r="P45" s="9">
        <f>IF(O45="Approved",IF(C45="Single-Tier",IF(F45="","",F45-TODAY()+365),IF(C45="Two-Tier",IF(I45="","",I45-TODAY()+365),IF(L45="","",L45-TODAY()+365))),"")</f>
        <v/>
      </c>
      <c r="Q45" s="8" t="n"/>
    </row>
    <row r="46">
      <c r="A46" s="8" t="n"/>
      <c r="B46" s="8" t="n"/>
      <c r="C46" s="8" t="n"/>
      <c r="D46" s="8" t="n"/>
      <c r="E46" s="8" t="n"/>
      <c r="F46" s="8" t="n"/>
      <c r="G46" s="8" t="n"/>
      <c r="H46" s="8" t="n"/>
      <c r="I46" s="8" t="n"/>
      <c r="J46" s="8" t="n"/>
      <c r="K46" s="8" t="n"/>
      <c r="L46" s="8" t="n"/>
      <c r="M46" s="8" t="n"/>
      <c r="N46" s="8" t="n"/>
      <c r="O46" s="9">
        <f>IF(C46="Single-Tier",IF(E46="Approved","Approved",IF(E46="Rejected","Rejected","Pending")),IF(C46="Two-Tier",IF(AND(E46="Approved",H46="Approved"),"Approved",IF(OR(E46="Rejected",H46="Rejected"),"Rejected","Pending")),IF(C46="Three-Tier",IF(AND(E46="Approved",H46="Approved",K46="Approved"),"Approved",IF(OR(E46="Rejected",H46="Rejected",K46="Rejected"),"Rejected","Pending")),"Unknown")))</f>
        <v/>
      </c>
      <c r="P46" s="9">
        <f>IF(O46="Approved",IF(C46="Single-Tier",IF(F46="","",F46-TODAY()+365),IF(C46="Two-Tier",IF(I46="","",I46-TODAY()+365),IF(L46="","",L46-TODAY()+365))),"")</f>
        <v/>
      </c>
      <c r="Q46" s="8" t="n"/>
    </row>
    <row r="47">
      <c r="A47" s="8" t="n"/>
      <c r="B47" s="8" t="n"/>
      <c r="C47" s="8" t="n"/>
      <c r="D47" s="8" t="n"/>
      <c r="E47" s="8" t="n"/>
      <c r="F47" s="8" t="n"/>
      <c r="G47" s="8" t="n"/>
      <c r="H47" s="8" t="n"/>
      <c r="I47" s="8" t="n"/>
      <c r="J47" s="8" t="n"/>
      <c r="K47" s="8" t="n"/>
      <c r="L47" s="8" t="n"/>
      <c r="M47" s="8" t="n"/>
      <c r="N47" s="8" t="n"/>
      <c r="O47" s="9">
        <f>IF(C47="Single-Tier",IF(E47="Approved","Approved",IF(E47="Rejected","Rejected","Pending")),IF(C47="Two-Tier",IF(AND(E47="Approved",H47="Approved"),"Approved",IF(OR(E47="Rejected",H47="Rejected"),"Rejected","Pending")),IF(C47="Three-Tier",IF(AND(E47="Approved",H47="Approved",K47="Approved"),"Approved",IF(OR(E47="Rejected",H47="Rejected",K47="Rejected"),"Rejected","Pending")),"Unknown")))</f>
        <v/>
      </c>
      <c r="P47" s="9">
        <f>IF(O47="Approved",IF(C47="Single-Tier",IF(F47="","",F47-TODAY()+365),IF(C47="Two-Tier",IF(I47="","",I47-TODAY()+365),IF(L47="","",L47-TODAY()+365))),"")</f>
        <v/>
      </c>
      <c r="Q47" s="8" t="n"/>
    </row>
    <row r="48">
      <c r="A48" s="8" t="n"/>
      <c r="B48" s="8" t="n"/>
      <c r="C48" s="8" t="n"/>
      <c r="D48" s="8" t="n"/>
      <c r="E48" s="8" t="n"/>
      <c r="F48" s="8" t="n"/>
      <c r="G48" s="8" t="n"/>
      <c r="H48" s="8" t="n"/>
      <c r="I48" s="8" t="n"/>
      <c r="J48" s="8" t="n"/>
      <c r="K48" s="8" t="n"/>
      <c r="L48" s="8" t="n"/>
      <c r="M48" s="8" t="n"/>
      <c r="N48" s="8" t="n"/>
      <c r="O48" s="9">
        <f>IF(C48="Single-Tier",IF(E48="Approved","Approved",IF(E48="Rejected","Rejected","Pending")),IF(C48="Two-Tier",IF(AND(E48="Approved",H48="Approved"),"Approved",IF(OR(E48="Rejected",H48="Rejected"),"Rejected","Pending")),IF(C48="Three-Tier",IF(AND(E48="Approved",H48="Approved",K48="Approved"),"Approved",IF(OR(E48="Rejected",H48="Rejected",K48="Rejected"),"Rejected","Pending")),"Unknown")))</f>
        <v/>
      </c>
      <c r="P48" s="9">
        <f>IF(O48="Approved",IF(C48="Single-Tier",IF(F48="","",F48-TODAY()+365),IF(C48="Two-Tier",IF(I48="","",I48-TODAY()+365),IF(L48="","",L48-TODAY()+365))),"")</f>
        <v/>
      </c>
      <c r="Q48" s="8" t="n"/>
    </row>
    <row r="49">
      <c r="A49" s="8" t="n"/>
      <c r="B49" s="8" t="n"/>
      <c r="C49" s="8" t="n"/>
      <c r="D49" s="8" t="n"/>
      <c r="E49" s="8" t="n"/>
      <c r="F49" s="8" t="n"/>
      <c r="G49" s="8" t="n"/>
      <c r="H49" s="8" t="n"/>
      <c r="I49" s="8" t="n"/>
      <c r="J49" s="8" t="n"/>
      <c r="K49" s="8" t="n"/>
      <c r="L49" s="8" t="n"/>
      <c r="M49" s="8" t="n"/>
      <c r="N49" s="8" t="n"/>
      <c r="O49" s="9">
        <f>IF(C49="Single-Tier",IF(E49="Approved","Approved",IF(E49="Rejected","Rejected","Pending")),IF(C49="Two-Tier",IF(AND(E49="Approved",H49="Approved"),"Approved",IF(OR(E49="Rejected",H49="Rejected"),"Rejected","Pending")),IF(C49="Three-Tier",IF(AND(E49="Approved",H49="Approved",K49="Approved"),"Approved",IF(OR(E49="Rejected",H49="Rejected",K49="Rejected"),"Rejected","Pending")),"Unknown")))</f>
        <v/>
      </c>
      <c r="P49" s="9">
        <f>IF(O49="Approved",IF(C49="Single-Tier",IF(F49="","",F49-TODAY()+365),IF(C49="Two-Tier",IF(I49="","",I49-TODAY()+365),IF(L49="","",L49-TODAY()+365))),"")</f>
        <v/>
      </c>
      <c r="Q49" s="8" t="n"/>
    </row>
    <row r="50">
      <c r="A50" s="8" t="n"/>
      <c r="B50" s="8" t="n"/>
      <c r="C50" s="8" t="n"/>
      <c r="D50" s="8" t="n"/>
      <c r="E50" s="8" t="n"/>
      <c r="F50" s="8" t="n"/>
      <c r="G50" s="8" t="n"/>
      <c r="H50" s="8" t="n"/>
      <c r="I50" s="8" t="n"/>
      <c r="J50" s="8" t="n"/>
      <c r="K50" s="8" t="n"/>
      <c r="L50" s="8" t="n"/>
      <c r="M50" s="8" t="n"/>
      <c r="N50" s="8" t="n"/>
      <c r="O50" s="9">
        <f>IF(C50="Single-Tier",IF(E50="Approved","Approved",IF(E50="Rejected","Rejected","Pending")),IF(C50="Two-Tier",IF(AND(E50="Approved",H50="Approved"),"Approved",IF(OR(E50="Rejected",H50="Rejected"),"Rejected","Pending")),IF(C50="Three-Tier",IF(AND(E50="Approved",H50="Approved",K50="Approved"),"Approved",IF(OR(E50="Rejected",H50="Rejected",K50="Rejected"),"Rejected","Pending")),"Unknown")))</f>
        <v/>
      </c>
      <c r="P50" s="9">
        <f>IF(O50="Approved",IF(C50="Single-Tier",IF(F50="","",F50-TODAY()+365),IF(C50="Two-Tier",IF(I50="","",I50-TODAY()+365),IF(L50="","",L50-TODAY()+365))),"")</f>
        <v/>
      </c>
      <c r="Q50" s="8" t="n"/>
    </row>
    <row r="51">
      <c r="A51" s="8" t="n"/>
      <c r="B51" s="8" t="n"/>
      <c r="C51" s="8" t="n"/>
      <c r="D51" s="8" t="n"/>
      <c r="E51" s="8" t="n"/>
      <c r="F51" s="8" t="n"/>
      <c r="G51" s="8" t="n"/>
      <c r="H51" s="8" t="n"/>
      <c r="I51" s="8" t="n"/>
      <c r="J51" s="8" t="n"/>
      <c r="K51" s="8" t="n"/>
      <c r="L51" s="8" t="n"/>
      <c r="M51" s="8" t="n"/>
      <c r="N51" s="8" t="n"/>
      <c r="O51" s="9">
        <f>IF(C51="Single-Tier",IF(E51="Approved","Approved",IF(E51="Rejected","Rejected","Pending")),IF(C51="Two-Tier",IF(AND(E51="Approved",H51="Approved"),"Approved",IF(OR(E51="Rejected",H51="Rejected"),"Rejected","Pending")),IF(C51="Three-Tier",IF(AND(E51="Approved",H51="Approved",K51="Approved"),"Approved",IF(OR(E51="Rejected",H51="Rejected",K51="Rejected"),"Rejected","Pending")),"Unknown")))</f>
        <v/>
      </c>
      <c r="P51" s="9">
        <f>IF(O51="Approved",IF(C51="Single-Tier",IF(F51="","",F51-TODAY()+365),IF(C51="Two-Tier",IF(I51="","",I51-TODAY()+365),IF(L51="","",L51-TODAY()+365))),"")</f>
        <v/>
      </c>
      <c r="Q51" s="8" t="n"/>
    </row>
    <row r="52">
      <c r="A52" s="8" t="n"/>
      <c r="B52" s="8" t="n"/>
      <c r="C52" s="8" t="n"/>
      <c r="D52" s="8" t="n"/>
      <c r="E52" s="8" t="n"/>
      <c r="F52" s="8" t="n"/>
      <c r="G52" s="8" t="n"/>
      <c r="H52" s="8" t="n"/>
      <c r="I52" s="8" t="n"/>
      <c r="J52" s="8" t="n"/>
      <c r="K52" s="8" t="n"/>
      <c r="L52" s="8" t="n"/>
      <c r="M52" s="8" t="n"/>
      <c r="N52" s="8" t="n"/>
      <c r="O52" s="9">
        <f>IF(C52="Single-Tier",IF(E52="Approved","Approved",IF(E52="Rejected","Rejected","Pending")),IF(C52="Two-Tier",IF(AND(E52="Approved",H52="Approved"),"Approved",IF(OR(E52="Rejected",H52="Rejected"),"Rejected","Pending")),IF(C52="Three-Tier",IF(AND(E52="Approved",H52="Approved",K52="Approved"),"Approved",IF(OR(E52="Rejected",H52="Rejected",K52="Rejected"),"Rejected","Pending")),"Unknown")))</f>
        <v/>
      </c>
      <c r="P52" s="9">
        <f>IF(O52="Approved",IF(C52="Single-Tier",IF(F52="","",F52-TODAY()+365),IF(C52="Two-Tier",IF(I52="","",I52-TODAY()+365),IF(L52="","",L52-TODAY()+365))),"")</f>
        <v/>
      </c>
      <c r="Q52" s="8" t="n"/>
    </row>
    <row r="53">
      <c r="A53" s="8" t="n"/>
      <c r="B53" s="8" t="n"/>
      <c r="C53" s="8" t="n"/>
      <c r="D53" s="8" t="n"/>
      <c r="E53" s="8" t="n"/>
      <c r="F53" s="8" t="n"/>
      <c r="G53" s="8" t="n"/>
      <c r="H53" s="8" t="n"/>
      <c r="I53" s="8" t="n"/>
      <c r="J53" s="8" t="n"/>
      <c r="K53" s="8" t="n"/>
      <c r="L53" s="8" t="n"/>
      <c r="M53" s="8" t="n"/>
      <c r="N53" s="8" t="n"/>
      <c r="O53" s="9">
        <f>IF(C53="Single-Tier",IF(E53="Approved","Approved",IF(E53="Rejected","Rejected","Pending")),IF(C53="Two-Tier",IF(AND(E53="Approved",H53="Approved"),"Approved",IF(OR(E53="Rejected",H53="Rejected"),"Rejected","Pending")),IF(C53="Three-Tier",IF(AND(E53="Approved",H53="Approved",K53="Approved"),"Approved",IF(OR(E53="Rejected",H53="Rejected",K53="Rejected"),"Rejected","Pending")),"Unknown")))</f>
        <v/>
      </c>
      <c r="P53" s="9">
        <f>IF(O53="Approved",IF(C53="Single-Tier",IF(F53="","",F53-TODAY()+365),IF(C53="Two-Tier",IF(I53="","",I53-TODAY()+365),IF(L53="","",L53-TODAY()+365))),"")</f>
        <v/>
      </c>
      <c r="Q53" s="8" t="n"/>
    </row>
    <row r="54">
      <c r="A54" s="8" t="n"/>
      <c r="B54" s="8" t="n"/>
      <c r="C54" s="8" t="n"/>
      <c r="D54" s="8" t="n"/>
      <c r="E54" s="8" t="n"/>
      <c r="F54" s="8" t="n"/>
      <c r="G54" s="8" t="n"/>
      <c r="H54" s="8" t="n"/>
      <c r="I54" s="8" t="n"/>
      <c r="J54" s="8" t="n"/>
      <c r="K54" s="8" t="n"/>
      <c r="L54" s="8" t="n"/>
      <c r="M54" s="8" t="n"/>
      <c r="N54" s="8" t="n"/>
      <c r="O54" s="9">
        <f>IF(C54="Single-Tier",IF(E54="Approved","Approved",IF(E54="Rejected","Rejected","Pending")),IF(C54="Two-Tier",IF(AND(E54="Approved",H54="Approved"),"Approved",IF(OR(E54="Rejected",H54="Rejected"),"Rejected","Pending")),IF(C54="Three-Tier",IF(AND(E54="Approved",H54="Approved",K54="Approved"),"Approved",IF(OR(E54="Rejected",H54="Rejected",K54="Rejected"),"Rejected","Pending")),"Unknown")))</f>
        <v/>
      </c>
      <c r="P54" s="9">
        <f>IF(O54="Approved",IF(C54="Single-Tier",IF(F54="","",F54-TODAY()+365),IF(C54="Two-Tier",IF(I54="","",I54-TODAY()+365),IF(L54="","",L54-TODAY()+365))),"")</f>
        <v/>
      </c>
      <c r="Q54" s="8" t="n"/>
    </row>
    <row r="55">
      <c r="A55" s="8" t="n"/>
      <c r="B55" s="8" t="n"/>
      <c r="C55" s="8" t="n"/>
      <c r="D55" s="8" t="n"/>
      <c r="E55" s="8" t="n"/>
      <c r="F55" s="8" t="n"/>
      <c r="G55" s="8" t="n"/>
      <c r="H55" s="8" t="n"/>
      <c r="I55" s="8" t="n"/>
      <c r="J55" s="8" t="n"/>
      <c r="K55" s="8" t="n"/>
      <c r="L55" s="8" t="n"/>
      <c r="M55" s="8" t="n"/>
      <c r="N55" s="8" t="n"/>
      <c r="O55" s="9">
        <f>IF(C55="Single-Tier",IF(E55="Approved","Approved",IF(E55="Rejected","Rejected","Pending")),IF(C55="Two-Tier",IF(AND(E55="Approved",H55="Approved"),"Approved",IF(OR(E55="Rejected",H55="Rejected"),"Rejected","Pending")),IF(C55="Three-Tier",IF(AND(E55="Approved",H55="Approved",K55="Approved"),"Approved",IF(OR(E55="Rejected",H55="Rejected",K55="Rejected"),"Rejected","Pending")),"Unknown")))</f>
        <v/>
      </c>
      <c r="P55" s="9">
        <f>IF(O55="Approved",IF(C55="Single-Tier",IF(F55="","",F55-TODAY()+365),IF(C55="Two-Tier",IF(I55="","",I55-TODAY()+365),IF(L55="","",L55-TODAY()+365))),"")</f>
        <v/>
      </c>
      <c r="Q55" s="8" t="n"/>
    </row>
    <row r="56">
      <c r="A56" s="8" t="n"/>
      <c r="B56" s="8" t="n"/>
      <c r="C56" s="8" t="n"/>
      <c r="D56" s="8" t="n"/>
      <c r="E56" s="8" t="n"/>
      <c r="F56" s="8" t="n"/>
      <c r="G56" s="8" t="n"/>
      <c r="H56" s="8" t="n"/>
      <c r="I56" s="8" t="n"/>
      <c r="J56" s="8" t="n"/>
      <c r="K56" s="8" t="n"/>
      <c r="L56" s="8" t="n"/>
      <c r="M56" s="8" t="n"/>
      <c r="N56" s="8" t="n"/>
      <c r="O56" s="9">
        <f>IF(C56="Single-Tier",IF(E56="Approved","Approved",IF(E56="Rejected","Rejected","Pending")),IF(C56="Two-Tier",IF(AND(E56="Approved",H56="Approved"),"Approved",IF(OR(E56="Rejected",H56="Rejected"),"Rejected","Pending")),IF(C56="Three-Tier",IF(AND(E56="Approved",H56="Approved",K56="Approved"),"Approved",IF(OR(E56="Rejected",H56="Rejected",K56="Rejected"),"Rejected","Pending")),"Unknown")))</f>
        <v/>
      </c>
      <c r="P56" s="9">
        <f>IF(O56="Approved",IF(C56="Single-Tier",IF(F56="","",F56-TODAY()+365),IF(C56="Two-Tier",IF(I56="","",I56-TODAY()+365),IF(L56="","",L56-TODAY()+365))),"")</f>
        <v/>
      </c>
      <c r="Q56" s="8" t="n"/>
    </row>
    <row r="57">
      <c r="A57" s="8" t="n"/>
      <c r="B57" s="8" t="n"/>
      <c r="C57" s="8" t="n"/>
      <c r="D57" s="8" t="n"/>
      <c r="E57" s="8" t="n"/>
      <c r="F57" s="8" t="n"/>
      <c r="G57" s="8" t="n"/>
      <c r="H57" s="8" t="n"/>
      <c r="I57" s="8" t="n"/>
      <c r="J57" s="8" t="n"/>
      <c r="K57" s="8" t="n"/>
      <c r="L57" s="8" t="n"/>
      <c r="M57" s="8" t="n"/>
      <c r="N57" s="8" t="n"/>
      <c r="O57" s="9">
        <f>IF(C57="Single-Tier",IF(E57="Approved","Approved",IF(E57="Rejected","Rejected","Pending")),IF(C57="Two-Tier",IF(AND(E57="Approved",H57="Approved"),"Approved",IF(OR(E57="Rejected",H57="Rejected"),"Rejected","Pending")),IF(C57="Three-Tier",IF(AND(E57="Approved",H57="Approved",K57="Approved"),"Approved",IF(OR(E57="Rejected",H57="Rejected",K57="Rejected"),"Rejected","Pending")),"Unknown")))</f>
        <v/>
      </c>
      <c r="P57" s="9">
        <f>IF(O57="Approved",IF(C57="Single-Tier",IF(F57="","",F57-TODAY()+365),IF(C57="Two-Tier",IF(I57="","",I57-TODAY()+365),IF(L57="","",L57-TODAY()+365))),"")</f>
        <v/>
      </c>
      <c r="Q57" s="8" t="n"/>
    </row>
    <row r="58">
      <c r="A58" s="8" t="n"/>
      <c r="B58" s="8" t="n"/>
      <c r="C58" s="8" t="n"/>
      <c r="D58" s="8" t="n"/>
      <c r="E58" s="8" t="n"/>
      <c r="F58" s="8" t="n"/>
      <c r="G58" s="8" t="n"/>
      <c r="H58" s="8" t="n"/>
      <c r="I58" s="8" t="n"/>
      <c r="J58" s="8" t="n"/>
      <c r="K58" s="8" t="n"/>
      <c r="L58" s="8" t="n"/>
      <c r="M58" s="8" t="n"/>
      <c r="N58" s="8" t="n"/>
      <c r="O58" s="9">
        <f>IF(C58="Single-Tier",IF(E58="Approved","Approved",IF(E58="Rejected","Rejected","Pending")),IF(C58="Two-Tier",IF(AND(E58="Approved",H58="Approved"),"Approved",IF(OR(E58="Rejected",H58="Rejected"),"Rejected","Pending")),IF(C58="Three-Tier",IF(AND(E58="Approved",H58="Approved",K58="Approved"),"Approved",IF(OR(E58="Rejected",H58="Rejected",K58="Rejected"),"Rejected","Pending")),"Unknown")))</f>
        <v/>
      </c>
      <c r="P58" s="9">
        <f>IF(O58="Approved",IF(C58="Single-Tier",IF(F58="","",F58-TODAY()+365),IF(C58="Two-Tier",IF(I58="","",I58-TODAY()+365),IF(L58="","",L58-TODAY()+365))),"")</f>
        <v/>
      </c>
      <c r="Q58" s="8" t="n"/>
    </row>
    <row r="59">
      <c r="A59" s="8" t="n"/>
      <c r="B59" s="8" t="n"/>
      <c r="C59" s="8" t="n"/>
      <c r="D59" s="8" t="n"/>
      <c r="E59" s="8" t="n"/>
      <c r="F59" s="8" t="n"/>
      <c r="G59" s="8" t="n"/>
      <c r="H59" s="8" t="n"/>
      <c r="I59" s="8" t="n"/>
      <c r="J59" s="8" t="n"/>
      <c r="K59" s="8" t="n"/>
      <c r="L59" s="8" t="n"/>
      <c r="M59" s="8" t="n"/>
      <c r="N59" s="8" t="n"/>
      <c r="O59" s="9">
        <f>IF(C59="Single-Tier",IF(E59="Approved","Approved",IF(E59="Rejected","Rejected","Pending")),IF(C59="Two-Tier",IF(AND(E59="Approved",H59="Approved"),"Approved",IF(OR(E59="Rejected",H59="Rejected"),"Rejected","Pending")),IF(C59="Three-Tier",IF(AND(E59="Approved",H59="Approved",K59="Approved"),"Approved",IF(OR(E59="Rejected",H59="Rejected",K59="Rejected"),"Rejected","Pending")),"Unknown")))</f>
        <v/>
      </c>
      <c r="P59" s="9">
        <f>IF(O59="Approved",IF(C59="Single-Tier",IF(F59="","",F59-TODAY()+365),IF(C59="Two-Tier",IF(I59="","",I59-TODAY()+365),IF(L59="","",L59-TODAY()+365))),"")</f>
        <v/>
      </c>
      <c r="Q59" s="8" t="n"/>
    </row>
    <row r="60">
      <c r="A60" s="8" t="n"/>
      <c r="B60" s="8" t="n"/>
      <c r="C60" s="8" t="n"/>
      <c r="D60" s="8" t="n"/>
      <c r="E60" s="8" t="n"/>
      <c r="F60" s="8" t="n"/>
      <c r="G60" s="8" t="n"/>
      <c r="H60" s="8" t="n"/>
      <c r="I60" s="8" t="n"/>
      <c r="J60" s="8" t="n"/>
      <c r="K60" s="8" t="n"/>
      <c r="L60" s="8" t="n"/>
      <c r="M60" s="8" t="n"/>
      <c r="N60" s="8" t="n"/>
      <c r="O60" s="9">
        <f>IF(C60="Single-Tier",IF(E60="Approved","Approved",IF(E60="Rejected","Rejected","Pending")),IF(C60="Two-Tier",IF(AND(E60="Approved",H60="Approved"),"Approved",IF(OR(E60="Rejected",H60="Rejected"),"Rejected","Pending")),IF(C60="Three-Tier",IF(AND(E60="Approved",H60="Approved",K60="Approved"),"Approved",IF(OR(E60="Rejected",H60="Rejected",K60="Rejected"),"Rejected","Pending")),"Unknown")))</f>
        <v/>
      </c>
      <c r="P60" s="9">
        <f>IF(O60="Approved",IF(C60="Single-Tier",IF(F60="","",F60-TODAY()+365),IF(C60="Two-Tier",IF(I60="","",I60-TODAY()+365),IF(L60="","",L60-TODAY()+365))),"")</f>
        <v/>
      </c>
      <c r="Q60" s="8" t="n"/>
    </row>
    <row r="61">
      <c r="A61" s="8" t="n"/>
      <c r="B61" s="8" t="n"/>
      <c r="C61" s="8" t="n"/>
      <c r="D61" s="8" t="n"/>
      <c r="E61" s="8" t="n"/>
      <c r="F61" s="8" t="n"/>
      <c r="G61" s="8" t="n"/>
      <c r="H61" s="8" t="n"/>
      <c r="I61" s="8" t="n"/>
      <c r="J61" s="8" t="n"/>
      <c r="K61" s="8" t="n"/>
      <c r="L61" s="8" t="n"/>
      <c r="M61" s="8" t="n"/>
      <c r="N61" s="8" t="n"/>
      <c r="O61" s="9">
        <f>IF(C61="Single-Tier",IF(E61="Approved","Approved",IF(E61="Rejected","Rejected","Pending")),IF(C61="Two-Tier",IF(AND(E61="Approved",H61="Approved"),"Approved",IF(OR(E61="Rejected",H61="Rejected"),"Rejected","Pending")),IF(C61="Three-Tier",IF(AND(E61="Approved",H61="Approved",K61="Approved"),"Approved",IF(OR(E61="Rejected",H61="Rejected",K61="Rejected"),"Rejected","Pending")),"Unknown")))</f>
        <v/>
      </c>
      <c r="P61" s="9">
        <f>IF(O61="Approved",IF(C61="Single-Tier",IF(F61="","",F61-TODAY()+365),IF(C61="Two-Tier",IF(I61="","",I61-TODAY()+365),IF(L61="","",L61-TODAY()+365))),"")</f>
        <v/>
      </c>
      <c r="Q61" s="8" t="n"/>
    </row>
    <row r="62">
      <c r="A62" s="8" t="n"/>
      <c r="B62" s="8" t="n"/>
      <c r="C62" s="8" t="n"/>
      <c r="D62" s="8" t="n"/>
      <c r="E62" s="8" t="n"/>
      <c r="F62" s="8" t="n"/>
      <c r="G62" s="8" t="n"/>
      <c r="H62" s="8" t="n"/>
      <c r="I62" s="8" t="n"/>
      <c r="J62" s="8" t="n"/>
      <c r="K62" s="8" t="n"/>
      <c r="L62" s="8" t="n"/>
      <c r="M62" s="8" t="n"/>
      <c r="N62" s="8" t="n"/>
      <c r="O62" s="9">
        <f>IF(C62="Single-Tier",IF(E62="Approved","Approved",IF(E62="Rejected","Rejected","Pending")),IF(C62="Two-Tier",IF(AND(E62="Approved",H62="Approved"),"Approved",IF(OR(E62="Rejected",H62="Rejected"),"Rejected","Pending")),IF(C62="Three-Tier",IF(AND(E62="Approved",H62="Approved",K62="Approved"),"Approved",IF(OR(E62="Rejected",H62="Rejected",K62="Rejected"),"Rejected","Pending")),"Unknown")))</f>
        <v/>
      </c>
      <c r="P62" s="9">
        <f>IF(O62="Approved",IF(C62="Single-Tier",IF(F62="","",F62-TODAY()+365),IF(C62="Two-Tier",IF(I62="","",I62-TODAY()+365),IF(L62="","",L62-TODAY()+365))),"")</f>
        <v/>
      </c>
      <c r="Q62" s="8" t="n"/>
    </row>
    <row r="63">
      <c r="A63" s="8" t="n"/>
      <c r="B63" s="8" t="n"/>
      <c r="C63" s="8" t="n"/>
      <c r="D63" s="8" t="n"/>
      <c r="E63" s="8" t="n"/>
      <c r="F63" s="8" t="n"/>
      <c r="G63" s="8" t="n"/>
      <c r="H63" s="8" t="n"/>
      <c r="I63" s="8" t="n"/>
      <c r="J63" s="8" t="n"/>
      <c r="K63" s="8" t="n"/>
      <c r="L63" s="8" t="n"/>
      <c r="M63" s="8" t="n"/>
      <c r="N63" s="8" t="n"/>
      <c r="O63" s="9">
        <f>IF(C63="Single-Tier",IF(E63="Approved","Approved",IF(E63="Rejected","Rejected","Pending")),IF(C63="Two-Tier",IF(AND(E63="Approved",H63="Approved"),"Approved",IF(OR(E63="Rejected",H63="Rejected"),"Rejected","Pending")),IF(C63="Three-Tier",IF(AND(E63="Approved",H63="Approved",K63="Approved"),"Approved",IF(OR(E63="Rejected",H63="Rejected",K63="Rejected"),"Rejected","Pending")),"Unknown")))</f>
        <v/>
      </c>
      <c r="P63" s="9">
        <f>IF(O63="Approved",IF(C63="Single-Tier",IF(F63="","",F63-TODAY()+365),IF(C63="Two-Tier",IF(I63="","",I63-TODAY()+365),IF(L63="","",L63-TODAY()+365))),"")</f>
        <v/>
      </c>
      <c r="Q63" s="8" t="n"/>
    </row>
    <row r="64">
      <c r="A64" s="8" t="n"/>
      <c r="B64" s="8" t="n"/>
      <c r="C64" s="8" t="n"/>
      <c r="D64" s="8" t="n"/>
      <c r="E64" s="8" t="n"/>
      <c r="F64" s="8" t="n"/>
      <c r="G64" s="8" t="n"/>
      <c r="H64" s="8" t="n"/>
      <c r="I64" s="8" t="n"/>
      <c r="J64" s="8" t="n"/>
      <c r="K64" s="8" t="n"/>
      <c r="L64" s="8" t="n"/>
      <c r="M64" s="8" t="n"/>
      <c r="N64" s="8" t="n"/>
      <c r="O64" s="9">
        <f>IF(C64="Single-Tier",IF(E64="Approved","Approved",IF(E64="Rejected","Rejected","Pending")),IF(C64="Two-Tier",IF(AND(E64="Approved",H64="Approved"),"Approved",IF(OR(E64="Rejected",H64="Rejected"),"Rejected","Pending")),IF(C64="Three-Tier",IF(AND(E64="Approved",H64="Approved",K64="Approved"),"Approved",IF(OR(E64="Rejected",H64="Rejected",K64="Rejected"),"Rejected","Pending")),"Unknown")))</f>
        <v/>
      </c>
      <c r="P64" s="9">
        <f>IF(O64="Approved",IF(C64="Single-Tier",IF(F64="","",F64-TODAY()+365),IF(C64="Two-Tier",IF(I64="","",I64-TODAY()+365),IF(L64="","",L64-TODAY()+365))),"")</f>
        <v/>
      </c>
      <c r="Q64" s="8" t="n"/>
    </row>
    <row r="65">
      <c r="A65" s="8" t="n"/>
      <c r="B65" s="8" t="n"/>
      <c r="C65" s="8" t="n"/>
      <c r="D65" s="8" t="n"/>
      <c r="E65" s="8" t="n"/>
      <c r="F65" s="8" t="n"/>
      <c r="G65" s="8" t="n"/>
      <c r="H65" s="8" t="n"/>
      <c r="I65" s="8" t="n"/>
      <c r="J65" s="8" t="n"/>
      <c r="K65" s="8" t="n"/>
      <c r="L65" s="8" t="n"/>
      <c r="M65" s="8" t="n"/>
      <c r="N65" s="8" t="n"/>
      <c r="O65" s="9">
        <f>IF(C65="Single-Tier",IF(E65="Approved","Approved",IF(E65="Rejected","Rejected","Pending")),IF(C65="Two-Tier",IF(AND(E65="Approved",H65="Approved"),"Approved",IF(OR(E65="Rejected",H65="Rejected"),"Rejected","Pending")),IF(C65="Three-Tier",IF(AND(E65="Approved",H65="Approved",K65="Approved"),"Approved",IF(OR(E65="Rejected",H65="Rejected",K65="Rejected"),"Rejected","Pending")),"Unknown")))</f>
        <v/>
      </c>
      <c r="P65" s="9">
        <f>IF(O65="Approved",IF(C65="Single-Tier",IF(F65="","",F65-TODAY()+365),IF(C65="Two-Tier",IF(I65="","",I65-TODAY()+365),IF(L65="","",L65-TODAY()+365))),"")</f>
        <v/>
      </c>
      <c r="Q65" s="8" t="n"/>
    </row>
    <row r="66">
      <c r="A66" s="8" t="n"/>
      <c r="B66" s="8" t="n"/>
      <c r="C66" s="8" t="n"/>
      <c r="D66" s="8" t="n"/>
      <c r="E66" s="8" t="n"/>
      <c r="F66" s="8" t="n"/>
      <c r="G66" s="8" t="n"/>
      <c r="H66" s="8" t="n"/>
      <c r="I66" s="8" t="n"/>
      <c r="J66" s="8" t="n"/>
      <c r="K66" s="8" t="n"/>
      <c r="L66" s="8" t="n"/>
      <c r="M66" s="8" t="n"/>
      <c r="N66" s="8" t="n"/>
      <c r="O66" s="9">
        <f>IF(C66="Single-Tier",IF(E66="Approved","Approved",IF(E66="Rejected","Rejected","Pending")),IF(C66="Two-Tier",IF(AND(E66="Approved",H66="Approved"),"Approved",IF(OR(E66="Rejected",H66="Rejected"),"Rejected","Pending")),IF(C66="Three-Tier",IF(AND(E66="Approved",H66="Approved",K66="Approved"),"Approved",IF(OR(E66="Rejected",H66="Rejected",K66="Rejected"),"Rejected","Pending")),"Unknown")))</f>
        <v/>
      </c>
      <c r="P66" s="9">
        <f>IF(O66="Approved",IF(C66="Single-Tier",IF(F66="","",F66-TODAY()+365),IF(C66="Two-Tier",IF(I66="","",I66-TODAY()+365),IF(L66="","",L66-TODAY()+365))),"")</f>
        <v/>
      </c>
      <c r="Q66" s="8" t="n"/>
    </row>
    <row r="67">
      <c r="A67" s="8" t="n"/>
      <c r="B67" s="8" t="n"/>
      <c r="C67" s="8" t="n"/>
      <c r="D67" s="8" t="n"/>
      <c r="E67" s="8" t="n"/>
      <c r="F67" s="8" t="n"/>
      <c r="G67" s="8" t="n"/>
      <c r="H67" s="8" t="n"/>
      <c r="I67" s="8" t="n"/>
      <c r="J67" s="8" t="n"/>
      <c r="K67" s="8" t="n"/>
      <c r="L67" s="8" t="n"/>
      <c r="M67" s="8" t="n"/>
      <c r="N67" s="8" t="n"/>
      <c r="O67" s="9">
        <f>IF(C67="Single-Tier",IF(E67="Approved","Approved",IF(E67="Rejected","Rejected","Pending")),IF(C67="Two-Tier",IF(AND(E67="Approved",H67="Approved"),"Approved",IF(OR(E67="Rejected",H67="Rejected"),"Rejected","Pending")),IF(C67="Three-Tier",IF(AND(E67="Approved",H67="Approved",K67="Approved"),"Approved",IF(OR(E67="Rejected",H67="Rejected",K67="Rejected"),"Rejected","Pending")),"Unknown")))</f>
        <v/>
      </c>
      <c r="P67" s="9">
        <f>IF(O67="Approved",IF(C67="Single-Tier",IF(F67="","",F67-TODAY()+365),IF(C67="Two-Tier",IF(I67="","",I67-TODAY()+365),IF(L67="","",L67-TODAY()+365))),"")</f>
        <v/>
      </c>
      <c r="Q67" s="8" t="n"/>
    </row>
    <row r="68">
      <c r="A68" s="8" t="n"/>
      <c r="B68" s="8" t="n"/>
      <c r="C68" s="8" t="n"/>
      <c r="D68" s="8" t="n"/>
      <c r="E68" s="8" t="n"/>
      <c r="F68" s="8" t="n"/>
      <c r="G68" s="8" t="n"/>
      <c r="H68" s="8" t="n"/>
      <c r="I68" s="8" t="n"/>
      <c r="J68" s="8" t="n"/>
      <c r="K68" s="8" t="n"/>
      <c r="L68" s="8" t="n"/>
      <c r="M68" s="8" t="n"/>
      <c r="N68" s="8" t="n"/>
      <c r="O68" s="9">
        <f>IF(C68="Single-Tier",IF(E68="Approved","Approved",IF(E68="Rejected","Rejected","Pending")),IF(C68="Two-Tier",IF(AND(E68="Approved",H68="Approved"),"Approved",IF(OR(E68="Rejected",H68="Rejected"),"Rejected","Pending")),IF(C68="Three-Tier",IF(AND(E68="Approved",H68="Approved",K68="Approved"),"Approved",IF(OR(E68="Rejected",H68="Rejected",K68="Rejected"),"Rejected","Pending")),"Unknown")))</f>
        <v/>
      </c>
      <c r="P68" s="9">
        <f>IF(O68="Approved",IF(C68="Single-Tier",IF(F68="","",F68-TODAY()+365),IF(C68="Two-Tier",IF(I68="","",I68-TODAY()+365),IF(L68="","",L68-TODAY()+365))),"")</f>
        <v/>
      </c>
      <c r="Q68" s="8" t="n"/>
    </row>
    <row r="69">
      <c r="A69" s="8" t="n"/>
      <c r="B69" s="8" t="n"/>
      <c r="C69" s="8" t="n"/>
      <c r="D69" s="8" t="n"/>
      <c r="E69" s="8" t="n"/>
      <c r="F69" s="8" t="n"/>
      <c r="G69" s="8" t="n"/>
      <c r="H69" s="8" t="n"/>
      <c r="I69" s="8" t="n"/>
      <c r="J69" s="8" t="n"/>
      <c r="K69" s="8" t="n"/>
      <c r="L69" s="8" t="n"/>
      <c r="M69" s="8" t="n"/>
      <c r="N69" s="8" t="n"/>
      <c r="O69" s="9">
        <f>IF(C69="Single-Tier",IF(E69="Approved","Approved",IF(E69="Rejected","Rejected","Pending")),IF(C69="Two-Tier",IF(AND(E69="Approved",H69="Approved"),"Approved",IF(OR(E69="Rejected",H69="Rejected"),"Rejected","Pending")),IF(C69="Three-Tier",IF(AND(E69="Approved",H69="Approved",K69="Approved"),"Approved",IF(OR(E69="Rejected",H69="Rejected",K69="Rejected"),"Rejected","Pending")),"Unknown")))</f>
        <v/>
      </c>
      <c r="P69" s="9">
        <f>IF(O69="Approved",IF(C69="Single-Tier",IF(F69="","",F69-TODAY()+365),IF(C69="Two-Tier",IF(I69="","",I69-TODAY()+365),IF(L69="","",L69-TODAY()+365))),"")</f>
        <v/>
      </c>
      <c r="Q69" s="8" t="n"/>
    </row>
    <row r="70">
      <c r="A70" s="8" t="n"/>
      <c r="B70" s="8" t="n"/>
      <c r="C70" s="8" t="n"/>
      <c r="D70" s="8" t="n"/>
      <c r="E70" s="8" t="n"/>
      <c r="F70" s="8" t="n"/>
      <c r="G70" s="8" t="n"/>
      <c r="H70" s="8" t="n"/>
      <c r="I70" s="8" t="n"/>
      <c r="J70" s="8" t="n"/>
      <c r="K70" s="8" t="n"/>
      <c r="L70" s="8" t="n"/>
      <c r="M70" s="8" t="n"/>
      <c r="N70" s="8" t="n"/>
      <c r="O70" s="9">
        <f>IF(C70="Single-Tier",IF(E70="Approved","Approved",IF(E70="Rejected","Rejected","Pending")),IF(C70="Two-Tier",IF(AND(E70="Approved",H70="Approved"),"Approved",IF(OR(E70="Rejected",H70="Rejected"),"Rejected","Pending")),IF(C70="Three-Tier",IF(AND(E70="Approved",H70="Approved",K70="Approved"),"Approved",IF(OR(E70="Rejected",H70="Rejected",K70="Rejected"),"Rejected","Pending")),"Unknown")))</f>
        <v/>
      </c>
      <c r="P70" s="9">
        <f>IF(O70="Approved",IF(C70="Single-Tier",IF(F70="","",F70-TODAY()+365),IF(C70="Two-Tier",IF(I70="","",I70-TODAY()+365),IF(L70="","",L70-TODAY()+365))),"")</f>
        <v/>
      </c>
      <c r="Q70" s="8" t="n"/>
    </row>
    <row r="71">
      <c r="A71" s="8" t="n"/>
      <c r="B71" s="8" t="n"/>
      <c r="C71" s="8" t="n"/>
      <c r="D71" s="8" t="n"/>
      <c r="E71" s="8" t="n"/>
      <c r="F71" s="8" t="n"/>
      <c r="G71" s="8" t="n"/>
      <c r="H71" s="8" t="n"/>
      <c r="I71" s="8" t="n"/>
      <c r="J71" s="8" t="n"/>
      <c r="K71" s="8" t="n"/>
      <c r="L71" s="8" t="n"/>
      <c r="M71" s="8" t="n"/>
      <c r="N71" s="8" t="n"/>
      <c r="O71" s="9">
        <f>IF(C71="Single-Tier",IF(E71="Approved","Approved",IF(E71="Rejected","Rejected","Pending")),IF(C71="Two-Tier",IF(AND(E71="Approved",H71="Approved"),"Approved",IF(OR(E71="Rejected",H71="Rejected"),"Rejected","Pending")),IF(C71="Three-Tier",IF(AND(E71="Approved",H71="Approved",K71="Approved"),"Approved",IF(OR(E71="Rejected",H71="Rejected",K71="Rejected"),"Rejected","Pending")),"Unknown")))</f>
        <v/>
      </c>
      <c r="P71" s="9">
        <f>IF(O71="Approved",IF(C71="Single-Tier",IF(F71="","",F71-TODAY()+365),IF(C71="Two-Tier",IF(I71="","",I71-TODAY()+365),IF(L71="","",L71-TODAY()+365))),"")</f>
        <v/>
      </c>
      <c r="Q71" s="8" t="n"/>
    </row>
    <row r="72">
      <c r="A72" s="8" t="n"/>
      <c r="B72" s="8" t="n"/>
      <c r="C72" s="8" t="n"/>
      <c r="D72" s="8" t="n"/>
      <c r="E72" s="8" t="n"/>
      <c r="F72" s="8" t="n"/>
      <c r="G72" s="8" t="n"/>
      <c r="H72" s="8" t="n"/>
      <c r="I72" s="8" t="n"/>
      <c r="J72" s="8" t="n"/>
      <c r="K72" s="8" t="n"/>
      <c r="L72" s="8" t="n"/>
      <c r="M72" s="8" t="n"/>
      <c r="N72" s="8" t="n"/>
      <c r="O72" s="9">
        <f>IF(C72="Single-Tier",IF(E72="Approved","Approved",IF(E72="Rejected","Rejected","Pending")),IF(C72="Two-Tier",IF(AND(E72="Approved",H72="Approved"),"Approved",IF(OR(E72="Rejected",H72="Rejected"),"Rejected","Pending")),IF(C72="Three-Tier",IF(AND(E72="Approved",H72="Approved",K72="Approved"),"Approved",IF(OR(E72="Rejected",H72="Rejected",K72="Rejected"),"Rejected","Pending")),"Unknown")))</f>
        <v/>
      </c>
      <c r="P72" s="9">
        <f>IF(O72="Approved",IF(C72="Single-Tier",IF(F72="","",F72-TODAY()+365),IF(C72="Two-Tier",IF(I72="","",I72-TODAY()+365),IF(L72="","",L72-TODAY()+365))),"")</f>
        <v/>
      </c>
      <c r="Q72" s="8" t="n"/>
    </row>
    <row r="73">
      <c r="A73" s="8" t="n"/>
      <c r="B73" s="8" t="n"/>
      <c r="C73" s="8" t="n"/>
      <c r="D73" s="8" t="n"/>
      <c r="E73" s="8" t="n"/>
      <c r="F73" s="8" t="n"/>
      <c r="G73" s="8" t="n"/>
      <c r="H73" s="8" t="n"/>
      <c r="I73" s="8" t="n"/>
      <c r="J73" s="8" t="n"/>
      <c r="K73" s="8" t="n"/>
      <c r="L73" s="8" t="n"/>
      <c r="M73" s="8" t="n"/>
      <c r="N73" s="8" t="n"/>
      <c r="O73" s="9">
        <f>IF(C73="Single-Tier",IF(E73="Approved","Approved",IF(E73="Rejected","Rejected","Pending")),IF(C73="Two-Tier",IF(AND(E73="Approved",H73="Approved"),"Approved",IF(OR(E73="Rejected",H73="Rejected"),"Rejected","Pending")),IF(C73="Three-Tier",IF(AND(E73="Approved",H73="Approved",K73="Approved"),"Approved",IF(OR(E73="Rejected",H73="Rejected",K73="Rejected"),"Rejected","Pending")),"Unknown")))</f>
        <v/>
      </c>
      <c r="P73" s="9">
        <f>IF(O73="Approved",IF(C73="Single-Tier",IF(F73="","",F73-TODAY()+365),IF(C73="Two-Tier",IF(I73="","",I73-TODAY()+365),IF(L73="","",L73-TODAY()+365))),"")</f>
        <v/>
      </c>
      <c r="Q73" s="8" t="n"/>
    </row>
    <row r="74">
      <c r="A74" s="8" t="n"/>
      <c r="B74" s="8" t="n"/>
      <c r="C74" s="8" t="n"/>
      <c r="D74" s="8" t="n"/>
      <c r="E74" s="8" t="n"/>
      <c r="F74" s="8" t="n"/>
      <c r="G74" s="8" t="n"/>
      <c r="H74" s="8" t="n"/>
      <c r="I74" s="8" t="n"/>
      <c r="J74" s="8" t="n"/>
      <c r="K74" s="8" t="n"/>
      <c r="L74" s="8" t="n"/>
      <c r="M74" s="8" t="n"/>
      <c r="N74" s="8" t="n"/>
      <c r="O74" s="9">
        <f>IF(C74="Single-Tier",IF(E74="Approved","Approved",IF(E74="Rejected","Rejected","Pending")),IF(C74="Two-Tier",IF(AND(E74="Approved",H74="Approved"),"Approved",IF(OR(E74="Rejected",H74="Rejected"),"Rejected","Pending")),IF(C74="Three-Tier",IF(AND(E74="Approved",H74="Approved",K74="Approved"),"Approved",IF(OR(E74="Rejected",H74="Rejected",K74="Rejected"),"Rejected","Pending")),"Unknown")))</f>
        <v/>
      </c>
      <c r="P74" s="9">
        <f>IF(O74="Approved",IF(C74="Single-Tier",IF(F74="","",F74-TODAY()+365),IF(C74="Two-Tier",IF(I74="","",I74-TODAY()+365),IF(L74="","",L74-TODAY()+365))),"")</f>
        <v/>
      </c>
      <c r="Q74" s="8" t="n"/>
    </row>
    <row r="75">
      <c r="A75" s="8" t="n"/>
      <c r="B75" s="8" t="n"/>
      <c r="C75" s="8" t="n"/>
      <c r="D75" s="8" t="n"/>
      <c r="E75" s="8" t="n"/>
      <c r="F75" s="8" t="n"/>
      <c r="G75" s="8" t="n"/>
      <c r="H75" s="8" t="n"/>
      <c r="I75" s="8" t="n"/>
      <c r="J75" s="8" t="n"/>
      <c r="K75" s="8" t="n"/>
      <c r="L75" s="8" t="n"/>
      <c r="M75" s="8" t="n"/>
      <c r="N75" s="8" t="n"/>
      <c r="O75" s="9">
        <f>IF(C75="Single-Tier",IF(E75="Approved","Approved",IF(E75="Rejected","Rejected","Pending")),IF(C75="Two-Tier",IF(AND(E75="Approved",H75="Approved"),"Approved",IF(OR(E75="Rejected",H75="Rejected"),"Rejected","Pending")),IF(C75="Three-Tier",IF(AND(E75="Approved",H75="Approved",K75="Approved"),"Approved",IF(OR(E75="Rejected",H75="Rejected",K75="Rejected"),"Rejected","Pending")),"Unknown")))</f>
        <v/>
      </c>
      <c r="P75" s="9">
        <f>IF(O75="Approved",IF(C75="Single-Tier",IF(F75="","",F75-TODAY()+365),IF(C75="Two-Tier",IF(I75="","",I75-TODAY()+365),IF(L75="","",L75-TODAY()+365))),"")</f>
        <v/>
      </c>
      <c r="Q75" s="8" t="n"/>
    </row>
    <row r="76">
      <c r="A76" s="8" t="n"/>
      <c r="B76" s="8" t="n"/>
      <c r="C76" s="8" t="n"/>
      <c r="D76" s="8" t="n"/>
      <c r="E76" s="8" t="n"/>
      <c r="F76" s="8" t="n"/>
      <c r="G76" s="8" t="n"/>
      <c r="H76" s="8" t="n"/>
      <c r="I76" s="8" t="n"/>
      <c r="J76" s="8" t="n"/>
      <c r="K76" s="8" t="n"/>
      <c r="L76" s="8" t="n"/>
      <c r="M76" s="8" t="n"/>
      <c r="N76" s="8" t="n"/>
      <c r="O76" s="9">
        <f>IF(C76="Single-Tier",IF(E76="Approved","Approved",IF(E76="Rejected","Rejected","Pending")),IF(C76="Two-Tier",IF(AND(E76="Approved",H76="Approved"),"Approved",IF(OR(E76="Rejected",H76="Rejected"),"Rejected","Pending")),IF(C76="Three-Tier",IF(AND(E76="Approved",H76="Approved",K76="Approved"),"Approved",IF(OR(E76="Rejected",H76="Rejected",K76="Rejected"),"Rejected","Pending")),"Unknown")))</f>
        <v/>
      </c>
      <c r="P76" s="9">
        <f>IF(O76="Approved",IF(C76="Single-Tier",IF(F76="","",F76-TODAY()+365),IF(C76="Two-Tier",IF(I76="","",I76-TODAY()+365),IF(L76="","",L76-TODAY()+365))),"")</f>
        <v/>
      </c>
      <c r="Q76" s="8" t="n"/>
    </row>
    <row r="77">
      <c r="A77" s="8" t="n"/>
      <c r="B77" s="8" t="n"/>
      <c r="C77" s="8" t="n"/>
      <c r="D77" s="8" t="n"/>
      <c r="E77" s="8" t="n"/>
      <c r="F77" s="8" t="n"/>
      <c r="G77" s="8" t="n"/>
      <c r="H77" s="8" t="n"/>
      <c r="I77" s="8" t="n"/>
      <c r="J77" s="8" t="n"/>
      <c r="K77" s="8" t="n"/>
      <c r="L77" s="8" t="n"/>
      <c r="M77" s="8" t="n"/>
      <c r="N77" s="8" t="n"/>
      <c r="O77" s="9">
        <f>IF(C77="Single-Tier",IF(E77="Approved","Approved",IF(E77="Rejected","Rejected","Pending")),IF(C77="Two-Tier",IF(AND(E77="Approved",H77="Approved"),"Approved",IF(OR(E77="Rejected",H77="Rejected"),"Rejected","Pending")),IF(C77="Three-Tier",IF(AND(E77="Approved",H77="Approved",K77="Approved"),"Approved",IF(OR(E77="Rejected",H77="Rejected",K77="Rejected"),"Rejected","Pending")),"Unknown")))</f>
        <v/>
      </c>
      <c r="P77" s="9">
        <f>IF(O77="Approved",IF(C77="Single-Tier",IF(F77="","",F77-TODAY()+365),IF(C77="Two-Tier",IF(I77="","",I77-TODAY()+365),IF(L77="","",L77-TODAY()+365))),"")</f>
        <v/>
      </c>
      <c r="Q77" s="8" t="n"/>
    </row>
    <row r="78">
      <c r="A78" s="8" t="n"/>
      <c r="B78" s="8" t="n"/>
      <c r="C78" s="8" t="n"/>
      <c r="D78" s="8" t="n"/>
      <c r="E78" s="8" t="n"/>
      <c r="F78" s="8" t="n"/>
      <c r="G78" s="8" t="n"/>
      <c r="H78" s="8" t="n"/>
      <c r="I78" s="8" t="n"/>
      <c r="J78" s="8" t="n"/>
      <c r="K78" s="8" t="n"/>
      <c r="L78" s="8" t="n"/>
      <c r="M78" s="8" t="n"/>
      <c r="N78" s="8" t="n"/>
      <c r="O78" s="9">
        <f>IF(C78="Single-Tier",IF(E78="Approved","Approved",IF(E78="Rejected","Rejected","Pending")),IF(C78="Two-Tier",IF(AND(E78="Approved",H78="Approved"),"Approved",IF(OR(E78="Rejected",H78="Rejected"),"Rejected","Pending")),IF(C78="Three-Tier",IF(AND(E78="Approved",H78="Approved",K78="Approved"),"Approved",IF(OR(E78="Rejected",H78="Rejected",K78="Rejected"),"Rejected","Pending")),"Unknown")))</f>
        <v/>
      </c>
      <c r="P78" s="9">
        <f>IF(O78="Approved",IF(C78="Single-Tier",IF(F78="","",F78-TODAY()+365),IF(C78="Two-Tier",IF(I78="","",I78-TODAY()+365),IF(L78="","",L78-TODAY()+365))),"")</f>
        <v/>
      </c>
      <c r="Q78" s="8" t="n"/>
    </row>
    <row r="79">
      <c r="A79" s="8" t="n"/>
      <c r="B79" s="8" t="n"/>
      <c r="C79" s="8" t="n"/>
      <c r="D79" s="8" t="n"/>
      <c r="E79" s="8" t="n"/>
      <c r="F79" s="8" t="n"/>
      <c r="G79" s="8" t="n"/>
      <c r="H79" s="8" t="n"/>
      <c r="I79" s="8" t="n"/>
      <c r="J79" s="8" t="n"/>
      <c r="K79" s="8" t="n"/>
      <c r="L79" s="8" t="n"/>
      <c r="M79" s="8" t="n"/>
      <c r="N79" s="8" t="n"/>
      <c r="O79" s="9">
        <f>IF(C79="Single-Tier",IF(E79="Approved","Approved",IF(E79="Rejected","Rejected","Pending")),IF(C79="Two-Tier",IF(AND(E79="Approved",H79="Approved"),"Approved",IF(OR(E79="Rejected",H79="Rejected"),"Rejected","Pending")),IF(C79="Three-Tier",IF(AND(E79="Approved",H79="Approved",K79="Approved"),"Approved",IF(OR(E79="Rejected",H79="Rejected",K79="Rejected"),"Rejected","Pending")),"Unknown")))</f>
        <v/>
      </c>
      <c r="P79" s="9">
        <f>IF(O79="Approved",IF(C79="Single-Tier",IF(F79="","",F79-TODAY()+365),IF(C79="Two-Tier",IF(I79="","",I79-TODAY()+365),IF(L79="","",L79-TODAY()+365))),"")</f>
        <v/>
      </c>
      <c r="Q79" s="8" t="n"/>
    </row>
    <row r="80">
      <c r="A80" s="8" t="n"/>
      <c r="B80" s="8" t="n"/>
      <c r="C80" s="8" t="n"/>
      <c r="D80" s="8" t="n"/>
      <c r="E80" s="8" t="n"/>
      <c r="F80" s="8" t="n"/>
      <c r="G80" s="8" t="n"/>
      <c r="H80" s="8" t="n"/>
      <c r="I80" s="8" t="n"/>
      <c r="J80" s="8" t="n"/>
      <c r="K80" s="8" t="n"/>
      <c r="L80" s="8" t="n"/>
      <c r="M80" s="8" t="n"/>
      <c r="N80" s="8" t="n"/>
      <c r="O80" s="9">
        <f>IF(C80="Single-Tier",IF(E80="Approved","Approved",IF(E80="Rejected","Rejected","Pending")),IF(C80="Two-Tier",IF(AND(E80="Approved",H80="Approved"),"Approved",IF(OR(E80="Rejected",H80="Rejected"),"Rejected","Pending")),IF(C80="Three-Tier",IF(AND(E80="Approved",H80="Approved",K80="Approved"),"Approved",IF(OR(E80="Rejected",H80="Rejected",K80="Rejected"),"Rejected","Pending")),"Unknown")))</f>
        <v/>
      </c>
      <c r="P80" s="9">
        <f>IF(O80="Approved",IF(C80="Single-Tier",IF(F80="","",F80-TODAY()+365),IF(C80="Two-Tier",IF(I80="","",I80-TODAY()+365),IF(L80="","",L80-TODAY()+365))),"")</f>
        <v/>
      </c>
      <c r="Q80" s="8" t="n"/>
    </row>
    <row r="81">
      <c r="A81" s="8" t="n"/>
      <c r="B81" s="8" t="n"/>
      <c r="C81" s="8" t="n"/>
      <c r="D81" s="8" t="n"/>
      <c r="E81" s="8" t="n"/>
      <c r="F81" s="8" t="n"/>
      <c r="G81" s="8" t="n"/>
      <c r="H81" s="8" t="n"/>
      <c r="I81" s="8" t="n"/>
      <c r="J81" s="8" t="n"/>
      <c r="K81" s="8" t="n"/>
      <c r="L81" s="8" t="n"/>
      <c r="M81" s="8" t="n"/>
      <c r="N81" s="8" t="n"/>
      <c r="O81" s="9">
        <f>IF(C81="Single-Tier",IF(E81="Approved","Approved",IF(E81="Rejected","Rejected","Pending")),IF(C81="Two-Tier",IF(AND(E81="Approved",H81="Approved"),"Approved",IF(OR(E81="Rejected",H81="Rejected"),"Rejected","Pending")),IF(C81="Three-Tier",IF(AND(E81="Approved",H81="Approved",K81="Approved"),"Approved",IF(OR(E81="Rejected",H81="Rejected",K81="Rejected"),"Rejected","Pending")),"Unknown")))</f>
        <v/>
      </c>
      <c r="P81" s="9">
        <f>IF(O81="Approved",IF(C81="Single-Tier",IF(F81="","",F81-TODAY()+365),IF(C81="Two-Tier",IF(I81="","",I81-TODAY()+365),IF(L81="","",L81-TODAY()+365))),"")</f>
        <v/>
      </c>
      <c r="Q81" s="8" t="n"/>
    </row>
    <row r="82">
      <c r="A82" s="8" t="n"/>
      <c r="B82" s="8" t="n"/>
      <c r="C82" s="8" t="n"/>
      <c r="D82" s="8" t="n"/>
      <c r="E82" s="8" t="n"/>
      <c r="F82" s="8" t="n"/>
      <c r="G82" s="8" t="n"/>
      <c r="H82" s="8" t="n"/>
      <c r="I82" s="8" t="n"/>
      <c r="J82" s="8" t="n"/>
      <c r="K82" s="8" t="n"/>
      <c r="L82" s="8" t="n"/>
      <c r="M82" s="8" t="n"/>
      <c r="N82" s="8" t="n"/>
      <c r="O82" s="9">
        <f>IF(C82="Single-Tier",IF(E82="Approved","Approved",IF(E82="Rejected","Rejected","Pending")),IF(C82="Two-Tier",IF(AND(E82="Approved",H82="Approved"),"Approved",IF(OR(E82="Rejected",H82="Rejected"),"Rejected","Pending")),IF(C82="Three-Tier",IF(AND(E82="Approved",H82="Approved",K82="Approved"),"Approved",IF(OR(E82="Rejected",H82="Rejected",K82="Rejected"),"Rejected","Pending")),"Unknown")))</f>
        <v/>
      </c>
      <c r="P82" s="9">
        <f>IF(O82="Approved",IF(C82="Single-Tier",IF(F82="","",F82-TODAY()+365),IF(C82="Two-Tier",IF(I82="","",I82-TODAY()+365),IF(L82="","",L82-TODAY()+365))),"")</f>
        <v/>
      </c>
      <c r="Q82" s="8" t="n"/>
    </row>
    <row r="83">
      <c r="A83" s="8" t="n"/>
      <c r="B83" s="8" t="n"/>
      <c r="C83" s="8" t="n"/>
      <c r="D83" s="8" t="n"/>
      <c r="E83" s="8" t="n"/>
      <c r="F83" s="8" t="n"/>
      <c r="G83" s="8" t="n"/>
      <c r="H83" s="8" t="n"/>
      <c r="I83" s="8" t="n"/>
      <c r="J83" s="8" t="n"/>
      <c r="K83" s="8" t="n"/>
      <c r="L83" s="8" t="n"/>
      <c r="M83" s="8" t="n"/>
      <c r="N83" s="8" t="n"/>
      <c r="O83" s="9">
        <f>IF(C83="Single-Tier",IF(E83="Approved","Approved",IF(E83="Rejected","Rejected","Pending")),IF(C83="Two-Tier",IF(AND(E83="Approved",H83="Approved"),"Approved",IF(OR(E83="Rejected",H83="Rejected"),"Rejected","Pending")),IF(C83="Three-Tier",IF(AND(E83="Approved",H83="Approved",K83="Approved"),"Approved",IF(OR(E83="Rejected",H83="Rejected",K83="Rejected"),"Rejected","Pending")),"Unknown")))</f>
        <v/>
      </c>
      <c r="P83" s="9">
        <f>IF(O83="Approved",IF(C83="Single-Tier",IF(F83="","",F83-TODAY()+365),IF(C83="Two-Tier",IF(I83="","",I83-TODAY()+365),IF(L83="","",L83-TODAY()+365))),"")</f>
        <v/>
      </c>
      <c r="Q83" s="8" t="n"/>
    </row>
    <row r="84">
      <c r="A84" s="8" t="n"/>
      <c r="B84" s="8" t="n"/>
      <c r="C84" s="8" t="n"/>
      <c r="D84" s="8" t="n"/>
      <c r="E84" s="8" t="n"/>
      <c r="F84" s="8" t="n"/>
      <c r="G84" s="8" t="n"/>
      <c r="H84" s="8" t="n"/>
      <c r="I84" s="8" t="n"/>
      <c r="J84" s="8" t="n"/>
      <c r="K84" s="8" t="n"/>
      <c r="L84" s="8" t="n"/>
      <c r="M84" s="8" t="n"/>
      <c r="N84" s="8" t="n"/>
      <c r="O84" s="9">
        <f>IF(C84="Single-Tier",IF(E84="Approved","Approved",IF(E84="Rejected","Rejected","Pending")),IF(C84="Two-Tier",IF(AND(E84="Approved",H84="Approved"),"Approved",IF(OR(E84="Rejected",H84="Rejected"),"Rejected","Pending")),IF(C84="Three-Tier",IF(AND(E84="Approved",H84="Approved",K84="Approved"),"Approved",IF(OR(E84="Rejected",H84="Rejected",K84="Rejected"),"Rejected","Pending")),"Unknown")))</f>
        <v/>
      </c>
      <c r="P84" s="9">
        <f>IF(O84="Approved",IF(C84="Single-Tier",IF(F84="","",F84-TODAY()+365),IF(C84="Two-Tier",IF(I84="","",I84-TODAY()+365),IF(L84="","",L84-TODAY()+365))),"")</f>
        <v/>
      </c>
      <c r="Q84" s="8" t="n"/>
    </row>
    <row r="85">
      <c r="A85" s="8" t="n"/>
      <c r="B85" s="8" t="n"/>
      <c r="C85" s="8" t="n"/>
      <c r="D85" s="8" t="n"/>
      <c r="E85" s="8" t="n"/>
      <c r="F85" s="8" t="n"/>
      <c r="G85" s="8" t="n"/>
      <c r="H85" s="8" t="n"/>
      <c r="I85" s="8" t="n"/>
      <c r="J85" s="8" t="n"/>
      <c r="K85" s="8" t="n"/>
      <c r="L85" s="8" t="n"/>
      <c r="M85" s="8" t="n"/>
      <c r="N85" s="8" t="n"/>
      <c r="O85" s="9">
        <f>IF(C85="Single-Tier",IF(E85="Approved","Approved",IF(E85="Rejected","Rejected","Pending")),IF(C85="Two-Tier",IF(AND(E85="Approved",H85="Approved"),"Approved",IF(OR(E85="Rejected",H85="Rejected"),"Rejected","Pending")),IF(C85="Three-Tier",IF(AND(E85="Approved",H85="Approved",K85="Approved"),"Approved",IF(OR(E85="Rejected",H85="Rejected",K85="Rejected"),"Rejected","Pending")),"Unknown")))</f>
        <v/>
      </c>
      <c r="P85" s="9">
        <f>IF(O85="Approved",IF(C85="Single-Tier",IF(F85="","",F85-TODAY()+365),IF(C85="Two-Tier",IF(I85="","",I85-TODAY()+365),IF(L85="","",L85-TODAY()+365))),"")</f>
        <v/>
      </c>
      <c r="Q85" s="8" t="n"/>
    </row>
    <row r="86">
      <c r="A86" s="8" t="n"/>
      <c r="B86" s="8" t="n"/>
      <c r="C86" s="8" t="n"/>
      <c r="D86" s="8" t="n"/>
      <c r="E86" s="8" t="n"/>
      <c r="F86" s="8" t="n"/>
      <c r="G86" s="8" t="n"/>
      <c r="H86" s="8" t="n"/>
      <c r="I86" s="8" t="n"/>
      <c r="J86" s="8" t="n"/>
      <c r="K86" s="8" t="n"/>
      <c r="L86" s="8" t="n"/>
      <c r="M86" s="8" t="n"/>
      <c r="N86" s="8" t="n"/>
      <c r="O86" s="9">
        <f>IF(C86="Single-Tier",IF(E86="Approved","Approved",IF(E86="Rejected","Rejected","Pending")),IF(C86="Two-Tier",IF(AND(E86="Approved",H86="Approved"),"Approved",IF(OR(E86="Rejected",H86="Rejected"),"Rejected","Pending")),IF(C86="Three-Tier",IF(AND(E86="Approved",H86="Approved",K86="Approved"),"Approved",IF(OR(E86="Rejected",H86="Rejected",K86="Rejected"),"Rejected","Pending")),"Unknown")))</f>
        <v/>
      </c>
      <c r="P86" s="9">
        <f>IF(O86="Approved",IF(C86="Single-Tier",IF(F86="","",F86-TODAY()+365),IF(C86="Two-Tier",IF(I86="","",I86-TODAY()+365),IF(L86="","",L86-TODAY()+365))),"")</f>
        <v/>
      </c>
      <c r="Q86" s="8" t="n"/>
    </row>
    <row r="87">
      <c r="A87" s="8" t="n"/>
      <c r="B87" s="8" t="n"/>
      <c r="C87" s="8" t="n"/>
      <c r="D87" s="8" t="n"/>
      <c r="E87" s="8" t="n"/>
      <c r="F87" s="8" t="n"/>
      <c r="G87" s="8" t="n"/>
      <c r="H87" s="8" t="n"/>
      <c r="I87" s="8" t="n"/>
      <c r="J87" s="8" t="n"/>
      <c r="K87" s="8" t="n"/>
      <c r="L87" s="8" t="n"/>
      <c r="M87" s="8" t="n"/>
      <c r="N87" s="8" t="n"/>
      <c r="O87" s="9">
        <f>IF(C87="Single-Tier",IF(E87="Approved","Approved",IF(E87="Rejected","Rejected","Pending")),IF(C87="Two-Tier",IF(AND(E87="Approved",H87="Approved"),"Approved",IF(OR(E87="Rejected",H87="Rejected"),"Rejected","Pending")),IF(C87="Three-Tier",IF(AND(E87="Approved",H87="Approved",K87="Approved"),"Approved",IF(OR(E87="Rejected",H87="Rejected",K87="Rejected"),"Rejected","Pending")),"Unknown")))</f>
        <v/>
      </c>
      <c r="P87" s="9">
        <f>IF(O87="Approved",IF(C87="Single-Tier",IF(F87="","",F87-TODAY()+365),IF(C87="Two-Tier",IF(I87="","",I87-TODAY()+365),IF(L87="","",L87-TODAY()+365))),"")</f>
        <v/>
      </c>
      <c r="Q87" s="8" t="n"/>
    </row>
    <row r="88">
      <c r="A88" s="8" t="n"/>
      <c r="B88" s="8" t="n"/>
      <c r="C88" s="8" t="n"/>
      <c r="D88" s="8" t="n"/>
      <c r="E88" s="8" t="n"/>
      <c r="F88" s="8" t="n"/>
      <c r="G88" s="8" t="n"/>
      <c r="H88" s="8" t="n"/>
      <c r="I88" s="8" t="n"/>
      <c r="J88" s="8" t="n"/>
      <c r="K88" s="8" t="n"/>
      <c r="L88" s="8" t="n"/>
      <c r="M88" s="8" t="n"/>
      <c r="N88" s="8" t="n"/>
      <c r="O88" s="9">
        <f>IF(C88="Single-Tier",IF(E88="Approved","Approved",IF(E88="Rejected","Rejected","Pending")),IF(C88="Two-Tier",IF(AND(E88="Approved",H88="Approved"),"Approved",IF(OR(E88="Rejected",H88="Rejected"),"Rejected","Pending")),IF(C88="Three-Tier",IF(AND(E88="Approved",H88="Approved",K88="Approved"),"Approved",IF(OR(E88="Rejected",H88="Rejected",K88="Rejected"),"Rejected","Pending")),"Unknown")))</f>
        <v/>
      </c>
      <c r="P88" s="9">
        <f>IF(O88="Approved",IF(C88="Single-Tier",IF(F88="","",F88-TODAY()+365),IF(C88="Two-Tier",IF(I88="","",I88-TODAY()+365),IF(L88="","",L88-TODAY()+365))),"")</f>
        <v/>
      </c>
      <c r="Q88" s="8" t="n"/>
    </row>
    <row r="89">
      <c r="A89" s="8" t="n"/>
      <c r="B89" s="8" t="n"/>
      <c r="C89" s="8" t="n"/>
      <c r="D89" s="8" t="n"/>
      <c r="E89" s="8" t="n"/>
      <c r="F89" s="8" t="n"/>
      <c r="G89" s="8" t="n"/>
      <c r="H89" s="8" t="n"/>
      <c r="I89" s="8" t="n"/>
      <c r="J89" s="8" t="n"/>
      <c r="K89" s="8" t="n"/>
      <c r="L89" s="8" t="n"/>
      <c r="M89" s="8" t="n"/>
      <c r="N89" s="8" t="n"/>
      <c r="O89" s="9">
        <f>IF(C89="Single-Tier",IF(E89="Approved","Approved",IF(E89="Rejected","Rejected","Pending")),IF(C89="Two-Tier",IF(AND(E89="Approved",H89="Approved"),"Approved",IF(OR(E89="Rejected",H89="Rejected"),"Rejected","Pending")),IF(C89="Three-Tier",IF(AND(E89="Approved",H89="Approved",K89="Approved"),"Approved",IF(OR(E89="Rejected",H89="Rejected",K89="Rejected"),"Rejected","Pending")),"Unknown")))</f>
        <v/>
      </c>
      <c r="P89" s="9">
        <f>IF(O89="Approved",IF(C89="Single-Tier",IF(F89="","",F89-TODAY()+365),IF(C89="Two-Tier",IF(I89="","",I89-TODAY()+365),IF(L89="","",L89-TODAY()+365))),"")</f>
        <v/>
      </c>
      <c r="Q89" s="8" t="n"/>
    </row>
    <row r="90">
      <c r="A90" s="8" t="n"/>
      <c r="B90" s="8" t="n"/>
      <c r="C90" s="8" t="n"/>
      <c r="D90" s="8" t="n"/>
      <c r="E90" s="8" t="n"/>
      <c r="F90" s="8" t="n"/>
      <c r="G90" s="8" t="n"/>
      <c r="H90" s="8" t="n"/>
      <c r="I90" s="8" t="n"/>
      <c r="J90" s="8" t="n"/>
      <c r="K90" s="8" t="n"/>
      <c r="L90" s="8" t="n"/>
      <c r="M90" s="8" t="n"/>
      <c r="N90" s="8" t="n"/>
      <c r="O90" s="9">
        <f>IF(C90="Single-Tier",IF(E90="Approved","Approved",IF(E90="Rejected","Rejected","Pending")),IF(C90="Two-Tier",IF(AND(E90="Approved",H90="Approved"),"Approved",IF(OR(E90="Rejected",H90="Rejected"),"Rejected","Pending")),IF(C90="Three-Tier",IF(AND(E90="Approved",H90="Approved",K90="Approved"),"Approved",IF(OR(E90="Rejected",H90="Rejected",K90="Rejected"),"Rejected","Pending")),"Unknown")))</f>
        <v/>
      </c>
      <c r="P90" s="9">
        <f>IF(O90="Approved",IF(C90="Single-Tier",IF(F90="","",F90-TODAY()+365),IF(C90="Two-Tier",IF(I90="","",I90-TODAY()+365),IF(L90="","",L90-TODAY()+365))),"")</f>
        <v/>
      </c>
      <c r="Q90" s="8" t="n"/>
    </row>
    <row r="91">
      <c r="A91" s="8" t="n"/>
      <c r="B91" s="8" t="n"/>
      <c r="C91" s="8" t="n"/>
      <c r="D91" s="8" t="n"/>
      <c r="E91" s="8" t="n"/>
      <c r="F91" s="8" t="n"/>
      <c r="G91" s="8" t="n"/>
      <c r="H91" s="8" t="n"/>
      <c r="I91" s="8" t="n"/>
      <c r="J91" s="8" t="n"/>
      <c r="K91" s="8" t="n"/>
      <c r="L91" s="8" t="n"/>
      <c r="M91" s="8" t="n"/>
      <c r="N91" s="8" t="n"/>
      <c r="O91" s="9">
        <f>IF(C91="Single-Tier",IF(E91="Approved","Approved",IF(E91="Rejected","Rejected","Pending")),IF(C91="Two-Tier",IF(AND(E91="Approved",H91="Approved"),"Approved",IF(OR(E91="Rejected",H91="Rejected"),"Rejected","Pending")),IF(C91="Three-Tier",IF(AND(E91="Approved",H91="Approved",K91="Approved"),"Approved",IF(OR(E91="Rejected",H91="Rejected",K91="Rejected"),"Rejected","Pending")),"Unknown")))</f>
        <v/>
      </c>
      <c r="P91" s="9">
        <f>IF(O91="Approved",IF(C91="Single-Tier",IF(F91="","",F91-TODAY()+365),IF(C91="Two-Tier",IF(I91="","",I91-TODAY()+365),IF(L91="","",L91-TODAY()+365))),"")</f>
        <v/>
      </c>
      <c r="Q91" s="8" t="n"/>
    </row>
    <row r="92">
      <c r="A92" s="8" t="n"/>
      <c r="B92" s="8" t="n"/>
      <c r="C92" s="8" t="n"/>
      <c r="D92" s="8" t="n"/>
      <c r="E92" s="8" t="n"/>
      <c r="F92" s="8" t="n"/>
      <c r="G92" s="8" t="n"/>
      <c r="H92" s="8" t="n"/>
      <c r="I92" s="8" t="n"/>
      <c r="J92" s="8" t="n"/>
      <c r="K92" s="8" t="n"/>
      <c r="L92" s="8" t="n"/>
      <c r="M92" s="8" t="n"/>
      <c r="N92" s="8" t="n"/>
      <c r="O92" s="9">
        <f>IF(C92="Single-Tier",IF(E92="Approved","Approved",IF(E92="Rejected","Rejected","Pending")),IF(C92="Two-Tier",IF(AND(E92="Approved",H92="Approved"),"Approved",IF(OR(E92="Rejected",H92="Rejected"),"Rejected","Pending")),IF(C92="Three-Tier",IF(AND(E92="Approved",H92="Approved",K92="Approved"),"Approved",IF(OR(E92="Rejected",H92="Rejected",K92="Rejected"),"Rejected","Pending")),"Unknown")))</f>
        <v/>
      </c>
      <c r="P92" s="9">
        <f>IF(O92="Approved",IF(C92="Single-Tier",IF(F92="","",F92-TODAY()+365),IF(C92="Two-Tier",IF(I92="","",I92-TODAY()+365),IF(L92="","",L92-TODAY()+365))),"")</f>
        <v/>
      </c>
      <c r="Q92" s="8" t="n"/>
    </row>
    <row r="93">
      <c r="A93" s="8" t="n"/>
      <c r="B93" s="8" t="n"/>
      <c r="C93" s="8" t="n"/>
      <c r="D93" s="8" t="n"/>
      <c r="E93" s="8" t="n"/>
      <c r="F93" s="8" t="n"/>
      <c r="G93" s="8" t="n"/>
      <c r="H93" s="8" t="n"/>
      <c r="I93" s="8" t="n"/>
      <c r="J93" s="8" t="n"/>
      <c r="K93" s="8" t="n"/>
      <c r="L93" s="8" t="n"/>
      <c r="M93" s="8" t="n"/>
      <c r="N93" s="8" t="n"/>
      <c r="O93" s="9">
        <f>IF(C93="Single-Tier",IF(E93="Approved","Approved",IF(E93="Rejected","Rejected","Pending")),IF(C93="Two-Tier",IF(AND(E93="Approved",H93="Approved"),"Approved",IF(OR(E93="Rejected",H93="Rejected"),"Rejected","Pending")),IF(C93="Three-Tier",IF(AND(E93="Approved",H93="Approved",K93="Approved"),"Approved",IF(OR(E93="Rejected",H93="Rejected",K93="Rejected"),"Rejected","Pending")),"Unknown")))</f>
        <v/>
      </c>
      <c r="P93" s="9">
        <f>IF(O93="Approved",IF(C93="Single-Tier",IF(F93="","",F93-TODAY()+365),IF(C93="Two-Tier",IF(I93="","",I93-TODAY()+365),IF(L93="","",L93-TODAY()+365))),"")</f>
        <v/>
      </c>
      <c r="Q93" s="8" t="n"/>
    </row>
    <row r="94">
      <c r="A94" s="8" t="n"/>
      <c r="B94" s="8" t="n"/>
      <c r="C94" s="8" t="n"/>
      <c r="D94" s="8" t="n"/>
      <c r="E94" s="8" t="n"/>
      <c r="F94" s="8" t="n"/>
      <c r="G94" s="8" t="n"/>
      <c r="H94" s="8" t="n"/>
      <c r="I94" s="8" t="n"/>
      <c r="J94" s="8" t="n"/>
      <c r="K94" s="8" t="n"/>
      <c r="L94" s="8" t="n"/>
      <c r="M94" s="8" t="n"/>
      <c r="N94" s="8" t="n"/>
      <c r="O94" s="9">
        <f>IF(C94="Single-Tier",IF(E94="Approved","Approved",IF(E94="Rejected","Rejected","Pending")),IF(C94="Two-Tier",IF(AND(E94="Approved",H94="Approved"),"Approved",IF(OR(E94="Rejected",H94="Rejected"),"Rejected","Pending")),IF(C94="Three-Tier",IF(AND(E94="Approved",H94="Approved",K94="Approved"),"Approved",IF(OR(E94="Rejected",H94="Rejected",K94="Rejected"),"Rejected","Pending")),"Unknown")))</f>
        <v/>
      </c>
      <c r="P94" s="9">
        <f>IF(O94="Approved",IF(C94="Single-Tier",IF(F94="","",F94-TODAY()+365),IF(C94="Two-Tier",IF(I94="","",I94-TODAY()+365),IF(L94="","",L94-TODAY()+365))),"")</f>
        <v/>
      </c>
      <c r="Q94" s="8" t="n"/>
    </row>
    <row r="95">
      <c r="A95" s="8" t="n"/>
      <c r="B95" s="8" t="n"/>
      <c r="C95" s="8" t="n"/>
      <c r="D95" s="8" t="n"/>
      <c r="E95" s="8" t="n"/>
      <c r="F95" s="8" t="n"/>
      <c r="G95" s="8" t="n"/>
      <c r="H95" s="8" t="n"/>
      <c r="I95" s="8" t="n"/>
      <c r="J95" s="8" t="n"/>
      <c r="K95" s="8" t="n"/>
      <c r="L95" s="8" t="n"/>
      <c r="M95" s="8" t="n"/>
      <c r="N95" s="8" t="n"/>
      <c r="O95" s="9">
        <f>IF(C95="Single-Tier",IF(E95="Approved","Approved",IF(E95="Rejected","Rejected","Pending")),IF(C95="Two-Tier",IF(AND(E95="Approved",H95="Approved"),"Approved",IF(OR(E95="Rejected",H95="Rejected"),"Rejected","Pending")),IF(C95="Three-Tier",IF(AND(E95="Approved",H95="Approved",K95="Approved"),"Approved",IF(OR(E95="Rejected",H95="Rejected",K95="Rejected"),"Rejected","Pending")),"Unknown")))</f>
        <v/>
      </c>
      <c r="P95" s="9">
        <f>IF(O95="Approved",IF(C95="Single-Tier",IF(F95="","",F95-TODAY()+365),IF(C95="Two-Tier",IF(I95="","",I95-TODAY()+365),IF(L95="","",L95-TODAY()+365))),"")</f>
        <v/>
      </c>
      <c r="Q95" s="8" t="n"/>
    </row>
    <row r="96">
      <c r="A96" s="8" t="n"/>
      <c r="B96" s="8" t="n"/>
      <c r="C96" s="8" t="n"/>
      <c r="D96" s="8" t="n"/>
      <c r="E96" s="8" t="n"/>
      <c r="F96" s="8" t="n"/>
      <c r="G96" s="8" t="n"/>
      <c r="H96" s="8" t="n"/>
      <c r="I96" s="8" t="n"/>
      <c r="J96" s="8" t="n"/>
      <c r="K96" s="8" t="n"/>
      <c r="L96" s="8" t="n"/>
      <c r="M96" s="8" t="n"/>
      <c r="N96" s="8" t="n"/>
      <c r="O96" s="9">
        <f>IF(C96="Single-Tier",IF(E96="Approved","Approved",IF(E96="Rejected","Rejected","Pending")),IF(C96="Two-Tier",IF(AND(E96="Approved",H96="Approved"),"Approved",IF(OR(E96="Rejected",H96="Rejected"),"Rejected","Pending")),IF(C96="Three-Tier",IF(AND(E96="Approved",H96="Approved",K96="Approved"),"Approved",IF(OR(E96="Rejected",H96="Rejected",K96="Rejected"),"Rejected","Pending")),"Unknown")))</f>
        <v/>
      </c>
      <c r="P96" s="9">
        <f>IF(O96="Approved",IF(C96="Single-Tier",IF(F96="","",F96-TODAY()+365),IF(C96="Two-Tier",IF(I96="","",I96-TODAY()+365),IF(L96="","",L96-TODAY()+365))),"")</f>
        <v/>
      </c>
      <c r="Q96" s="8" t="n"/>
    </row>
    <row r="97">
      <c r="A97" s="8" t="n"/>
      <c r="B97" s="8" t="n"/>
      <c r="C97" s="8" t="n"/>
      <c r="D97" s="8" t="n"/>
      <c r="E97" s="8" t="n"/>
      <c r="F97" s="8" t="n"/>
      <c r="G97" s="8" t="n"/>
      <c r="H97" s="8" t="n"/>
      <c r="I97" s="8" t="n"/>
      <c r="J97" s="8" t="n"/>
      <c r="K97" s="8" t="n"/>
      <c r="L97" s="8" t="n"/>
      <c r="M97" s="8" t="n"/>
      <c r="N97" s="8" t="n"/>
      <c r="O97" s="9">
        <f>IF(C97="Single-Tier",IF(E97="Approved","Approved",IF(E97="Rejected","Rejected","Pending")),IF(C97="Two-Tier",IF(AND(E97="Approved",H97="Approved"),"Approved",IF(OR(E97="Rejected",H97="Rejected"),"Rejected","Pending")),IF(C97="Three-Tier",IF(AND(E97="Approved",H97="Approved",K97="Approved"),"Approved",IF(OR(E97="Rejected",H97="Rejected",K97="Rejected"),"Rejected","Pending")),"Unknown")))</f>
        <v/>
      </c>
      <c r="P97" s="9">
        <f>IF(O97="Approved",IF(C97="Single-Tier",IF(F97="","",F97-TODAY()+365),IF(C97="Two-Tier",IF(I97="","",I97-TODAY()+365),IF(L97="","",L97-TODAY()+365))),"")</f>
        <v/>
      </c>
      <c r="Q97" s="8" t="n"/>
    </row>
    <row r="98">
      <c r="A98" s="8" t="n"/>
      <c r="B98" s="8" t="n"/>
      <c r="C98" s="8" t="n"/>
      <c r="D98" s="8" t="n"/>
      <c r="E98" s="8" t="n"/>
      <c r="F98" s="8" t="n"/>
      <c r="G98" s="8" t="n"/>
      <c r="H98" s="8" t="n"/>
      <c r="I98" s="8" t="n"/>
      <c r="J98" s="8" t="n"/>
      <c r="K98" s="8" t="n"/>
      <c r="L98" s="8" t="n"/>
      <c r="M98" s="8" t="n"/>
      <c r="N98" s="8" t="n"/>
      <c r="O98" s="9">
        <f>IF(C98="Single-Tier",IF(E98="Approved","Approved",IF(E98="Rejected","Rejected","Pending")),IF(C98="Two-Tier",IF(AND(E98="Approved",H98="Approved"),"Approved",IF(OR(E98="Rejected",H98="Rejected"),"Rejected","Pending")),IF(C98="Three-Tier",IF(AND(E98="Approved",H98="Approved",K98="Approved"),"Approved",IF(OR(E98="Rejected",H98="Rejected",K98="Rejected"),"Rejected","Pending")),"Unknown")))</f>
        <v/>
      </c>
      <c r="P98" s="9">
        <f>IF(O98="Approved",IF(C98="Single-Tier",IF(F98="","",F98-TODAY()+365),IF(C98="Two-Tier",IF(I98="","",I98-TODAY()+365),IF(L98="","",L98-TODAY()+365))),"")</f>
        <v/>
      </c>
      <c r="Q98" s="8" t="n"/>
    </row>
    <row r="99">
      <c r="A99" s="8" t="n"/>
      <c r="B99" s="8" t="n"/>
      <c r="C99" s="8" t="n"/>
      <c r="D99" s="8" t="n"/>
      <c r="E99" s="8" t="n"/>
      <c r="F99" s="8" t="n"/>
      <c r="G99" s="8" t="n"/>
      <c r="H99" s="8" t="n"/>
      <c r="I99" s="8" t="n"/>
      <c r="J99" s="8" t="n"/>
      <c r="K99" s="8" t="n"/>
      <c r="L99" s="8" t="n"/>
      <c r="M99" s="8" t="n"/>
      <c r="N99" s="8" t="n"/>
      <c r="O99" s="9">
        <f>IF(C99="Single-Tier",IF(E99="Approved","Approved",IF(E99="Rejected","Rejected","Pending")),IF(C99="Two-Tier",IF(AND(E99="Approved",H99="Approved"),"Approved",IF(OR(E99="Rejected",H99="Rejected"),"Rejected","Pending")),IF(C99="Three-Tier",IF(AND(E99="Approved",H99="Approved",K99="Approved"),"Approved",IF(OR(E99="Rejected",H99="Rejected",K99="Rejected"),"Rejected","Pending")),"Unknown")))</f>
        <v/>
      </c>
      <c r="P99" s="9">
        <f>IF(O99="Approved",IF(C99="Single-Tier",IF(F99="","",F99-TODAY()+365),IF(C99="Two-Tier",IF(I99="","",I99-TODAY()+365),IF(L99="","",L99-TODAY()+365))),"")</f>
        <v/>
      </c>
      <c r="Q99" s="8" t="n"/>
    </row>
    <row r="100">
      <c r="A100" s="8" t="n"/>
      <c r="B100" s="8" t="n"/>
      <c r="C100" s="8" t="n"/>
      <c r="D100" s="8" t="n"/>
      <c r="E100" s="8" t="n"/>
      <c r="F100" s="8" t="n"/>
      <c r="G100" s="8" t="n"/>
      <c r="H100" s="8" t="n"/>
      <c r="I100" s="8" t="n"/>
      <c r="J100" s="8" t="n"/>
      <c r="K100" s="8" t="n"/>
      <c r="L100" s="8" t="n"/>
      <c r="M100" s="8" t="n"/>
      <c r="N100" s="8" t="n"/>
      <c r="O100" s="9">
        <f>IF(C100="Single-Tier",IF(E100="Approved","Approved",IF(E100="Rejected","Rejected","Pending")),IF(C100="Two-Tier",IF(AND(E100="Approved",H100="Approved"),"Approved",IF(OR(E100="Rejected",H100="Rejected"),"Rejected","Pending")),IF(C100="Three-Tier",IF(AND(E100="Approved",H100="Approved",K100="Approved"),"Approved",IF(OR(E100="Rejected",H100="Rejected",K100="Rejected"),"Rejected","Pending")),"Unknown")))</f>
        <v/>
      </c>
      <c r="P100" s="9">
        <f>IF(O100="Approved",IF(C100="Single-Tier",IF(F100="","",F100-TODAY()+365),IF(C100="Two-Tier",IF(I100="","",I100-TODAY()+365),IF(L100="","",L100-TODAY()+365))),"")</f>
        <v/>
      </c>
      <c r="Q100" s="8" t="n"/>
    </row>
    <row r="101">
      <c r="A101" s="8" t="n"/>
      <c r="B101" s="8" t="n"/>
      <c r="C101" s="8" t="n"/>
      <c r="D101" s="8" t="n"/>
      <c r="E101" s="8" t="n"/>
      <c r="F101" s="8" t="n"/>
      <c r="G101" s="8" t="n"/>
      <c r="H101" s="8" t="n"/>
      <c r="I101" s="8" t="n"/>
      <c r="J101" s="8" t="n"/>
      <c r="K101" s="8" t="n"/>
      <c r="L101" s="8" t="n"/>
      <c r="M101" s="8" t="n"/>
      <c r="N101" s="8" t="n"/>
      <c r="O101" s="9">
        <f>IF(C101="Single-Tier",IF(E101="Approved","Approved",IF(E101="Rejected","Rejected","Pending")),IF(C101="Two-Tier",IF(AND(E101="Approved",H101="Approved"),"Approved",IF(OR(E101="Rejected",H101="Rejected"),"Rejected","Pending")),IF(C101="Three-Tier",IF(AND(E101="Approved",H101="Approved",K101="Approved"),"Approved",IF(OR(E101="Rejected",H101="Rejected",K101="Rejected"),"Rejected","Pending")),"Unknown")))</f>
        <v/>
      </c>
      <c r="P101" s="9">
        <f>IF(O101="Approved",IF(C101="Single-Tier",IF(F101="","",F101-TODAY()+365),IF(C101="Two-Tier",IF(I101="","",I101-TODAY()+365),IF(L101="","",L101-TODAY()+365))),"")</f>
        <v/>
      </c>
      <c r="Q101" s="8" t="n"/>
    </row>
    <row r="102">
      <c r="A102" s="8" t="n"/>
      <c r="B102" s="8" t="n"/>
      <c r="C102" s="8" t="n"/>
      <c r="D102" s="8" t="n"/>
      <c r="E102" s="8" t="n"/>
      <c r="F102" s="8" t="n"/>
      <c r="G102" s="8" t="n"/>
      <c r="H102" s="8" t="n"/>
      <c r="I102" s="8" t="n"/>
      <c r="J102" s="8" t="n"/>
      <c r="K102" s="8" t="n"/>
      <c r="L102" s="8" t="n"/>
      <c r="M102" s="8" t="n"/>
      <c r="N102" s="8" t="n"/>
      <c r="O102" s="9">
        <f>IF(C102="Single-Tier",IF(E102="Approved","Approved",IF(E102="Rejected","Rejected","Pending")),IF(C102="Two-Tier",IF(AND(E102="Approved",H102="Approved"),"Approved",IF(OR(E102="Rejected",H102="Rejected"),"Rejected","Pending")),IF(C102="Three-Tier",IF(AND(E102="Approved",H102="Approved",K102="Approved"),"Approved",IF(OR(E102="Rejected",H102="Rejected",K102="Rejected"),"Rejected","Pending")),"Unknown")))</f>
        <v/>
      </c>
      <c r="P102" s="9">
        <f>IF(O102="Approved",IF(C102="Single-Tier",IF(F102="","",F102-TODAY()+365),IF(C102="Two-Tier",IF(I102="","",I102-TODAY()+365),IF(L102="","",L102-TODAY()+365))),"")</f>
        <v/>
      </c>
      <c r="Q102" s="8" t="n"/>
    </row>
  </sheetData>
  <mergeCells count="1">
    <mergeCell ref="A1:Q1"/>
  </mergeCells>
  <conditionalFormatting sqref="E3:E102">
    <cfRule type="cellIs" priority="1" operator="equal" dxfId="4">
      <formula>"Approved"</formula>
    </cfRule>
    <cfRule type="cellIs" priority="2" operator="equal" dxfId="5">
      <formula>"Rejected"</formula>
    </cfRule>
  </conditionalFormatting>
  <conditionalFormatting sqref="H3:H102">
    <cfRule type="cellIs" priority="3" operator="equal" dxfId="4">
      <formula>"Approved"</formula>
    </cfRule>
    <cfRule type="cellIs" priority="4" operator="equal" dxfId="5">
      <formula>"Rejected"</formula>
    </cfRule>
  </conditionalFormatting>
  <conditionalFormatting sqref="K3:K102">
    <cfRule type="cellIs" priority="5" operator="equal" dxfId="4">
      <formula>"Approved"</formula>
    </cfRule>
    <cfRule type="cellIs" priority="6" operator="equal" dxfId="5">
      <formula>"Rejected"</formula>
    </cfRule>
  </conditionalFormatting>
  <dataValidations count="5">
    <dataValidation sqref="C3:C102" showDropDown="0" showInputMessage="0" showErrorMessage="0" allowBlank="0" errorTitle="Invalid Entry" error="Invalid entry" promptTitle="Selection Required" prompt="Please select from the dropdown" type="list">
      <formula1>"Single-Tier,Two-Tier,Three-Tier,Emergency"</formula1>
    </dataValidation>
    <dataValidation sqref="E3:E102" showDropDown="0" showInputMessage="0" showErrorMessage="0" allowBlank="1" errorTitle="Invalid Entry" error="Invalid entry" promptTitle="Selection Required" prompt="Please select from the dropdown" type="list">
      <formula1>"⏳ Pending,✅ Approved,❌ Rejected,➖ N/A"</formula1>
    </dataValidation>
    <dataValidation sqref="H3:H102" showDropDown="0" showInputMessage="0" showErrorMessage="0" allowBlank="1" errorTitle="Invalid Entry" error="Invalid entry" promptTitle="Selection Required" prompt="Please select from the dropdown" type="list">
      <formula1>"⏳ Pending,✅ Approved,❌ Rejected,➖ N/A"</formula1>
    </dataValidation>
    <dataValidation sqref="K3:K102" showDropDown="0" showInputMessage="0" showErrorMessage="0" allowBlank="1" errorTitle="Invalid Entry" error="Invalid entry" promptTitle="Selection Required" prompt="Please select from the dropdown" type="list">
      <formula1>"⏳ Pending,✅ Approved,❌ Rejected,➖ N/A"</formula1>
    </dataValidation>
    <dataValidation sqref="M3:M102" showDropDown="0" showInputMessage="0" showErrorMessage="0" allowBlank="1" errorTitle="Invalid Entry" error="Invalid entry" promptTitle="Selection Required" prompt="Please select from the dropdown" type="list">
      <formula1>"CAB Meeting,Email Approval,Emergency Verbal,Automated (Standard),Not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2" customWidth="1" min="3" max="3"/>
    <col width="35" customWidth="1" min="4" max="4"/>
    <col width="15" customWidth="1" min="5" max="5"/>
    <col width="15" customWidth="1" min="6" max="6"/>
    <col width="20" customWidth="1" min="7" max="7"/>
    <col width="15" customWidth="1" min="8" max="8"/>
    <col width="35" customWidth="1" min="9" max="9"/>
    <col width="35" customWidth="1" min="10" max="10"/>
    <col width="15" customWidth="1" min="11" max="11"/>
    <col width="20" customWidth="1" min="12" max="12"/>
    <col width="35" customWidth="1" min="13" max="13"/>
    <col width="35" customWidth="1" min="14" max="14"/>
    <col width="12" customWidth="1" min="15" max="15"/>
    <col width="25" customWidth="1" min="16" max="16"/>
    <col width="15" customWidth="1" min="17" max="17"/>
  </cols>
  <sheetData>
    <row r="1" ht="30" customHeight="1">
      <c r="A1" s="6" t="inlineStr">
        <is>
          <t>Impact Assessment - Risk Analysis per Change</t>
        </is>
      </c>
    </row>
    <row r="2" ht="30" customHeight="1">
      <c r="A2" s="7" t="inlineStr">
        <is>
          <t>Change ID</t>
        </is>
      </c>
      <c r="B2" s="7" t="inlineStr">
        <is>
          <t>Change Title</t>
        </is>
      </c>
      <c r="C2" s="7" t="inlineStr">
        <is>
          <t>Affected Systems Count</t>
        </is>
      </c>
      <c r="D2" s="7" t="inlineStr">
        <is>
          <t>Affected Systems Detail</t>
        </is>
      </c>
      <c r="E2" s="7" t="inlineStr">
        <is>
          <t>User Impact</t>
        </is>
      </c>
      <c r="F2" s="7" t="inlineStr">
        <is>
          <t>User Count Affected</t>
        </is>
      </c>
      <c r="G2" s="7" t="inlineStr">
        <is>
          <t>Service Downtime Required</t>
        </is>
      </c>
      <c r="H2" s="7" t="inlineStr">
        <is>
          <t>Risk Level</t>
        </is>
      </c>
      <c r="I2" s="7" t="inlineStr">
        <is>
          <t>Risk Description</t>
        </is>
      </c>
      <c r="J2" s="7" t="inlineStr">
        <is>
          <t>Mitigation Strategies</t>
        </is>
      </c>
      <c r="K2" s="7" t="inlineStr">
        <is>
          <t>Rollback Required</t>
        </is>
      </c>
      <c r="L2" s="7" t="inlineStr">
        <is>
          <t>Estimated Rollback Time</t>
        </is>
      </c>
      <c r="M2" s="7" t="inlineStr">
        <is>
          <t>Dependencies</t>
        </is>
      </c>
      <c r="N2" s="7" t="inlineStr">
        <is>
          <t>Business Justification</t>
        </is>
      </c>
      <c r="O2" s="7" t="inlineStr">
        <is>
          <t>Risk Score</t>
        </is>
      </c>
      <c r="P2" s="7" t="inlineStr">
        <is>
          <t>Assessment Completed By</t>
        </is>
      </c>
      <c r="Q2" s="7" t="inlineStr">
        <is>
          <t>Assessment Date</t>
        </is>
      </c>
    </row>
    <row r="3">
      <c r="A3" s="8" t="n"/>
      <c r="B3" s="8" t="n"/>
      <c r="C3" s="8" t="n"/>
      <c r="D3" s="8" t="n"/>
      <c r="E3" s="8" t="n"/>
      <c r="F3" s="8" t="n"/>
      <c r="G3" s="8" t="n"/>
      <c r="H3" s="8" t="n"/>
      <c r="I3" s="8" t="n"/>
      <c r="J3" s="8" t="n"/>
      <c r="K3" s="8" t="n"/>
      <c r="L3" s="8" t="n"/>
      <c r="M3" s="8" t="n"/>
      <c r="N3" s="8" t="n"/>
      <c r="O3" s="9">
        <f>IF(H3="Low",1,IF(H3="Medium",2,IF(H3="High",3,IF(H3="Critical",4,0))))*IF(E3="None",1,IF(E3="Minimal",2,IF(E3="Moderate",3,IF(E3="Significant",4,IF(E3="Severe",5,0)))))</f>
        <v/>
      </c>
      <c r="P3" s="8" t="n"/>
      <c r="Q3" s="8" t="n"/>
    </row>
    <row r="4">
      <c r="A4" s="8" t="n"/>
      <c r="B4" s="8" t="n"/>
      <c r="C4" s="8" t="n"/>
      <c r="D4" s="8" t="n"/>
      <c r="E4" s="8" t="n"/>
      <c r="F4" s="8" t="n"/>
      <c r="G4" s="8" t="n"/>
      <c r="H4" s="8" t="n"/>
      <c r="I4" s="8" t="n"/>
      <c r="J4" s="8" t="n"/>
      <c r="K4" s="8" t="n"/>
      <c r="L4" s="8" t="n"/>
      <c r="M4" s="8" t="n"/>
      <c r="N4" s="8" t="n"/>
      <c r="O4" s="9">
        <f>IF(H4="Low",1,IF(H4="Medium",2,IF(H4="High",3,IF(H4="Critical",4,0))))*IF(E4="None",1,IF(E4="Minimal",2,IF(E4="Moderate",3,IF(E4="Significant",4,IF(E4="Severe",5,0)))))</f>
        <v/>
      </c>
      <c r="P4" s="8" t="n"/>
      <c r="Q4" s="8" t="n"/>
    </row>
    <row r="5">
      <c r="A5" s="8" t="n"/>
      <c r="B5" s="8" t="n"/>
      <c r="C5" s="8" t="n"/>
      <c r="D5" s="8" t="n"/>
      <c r="E5" s="8" t="n"/>
      <c r="F5" s="8" t="n"/>
      <c r="G5" s="8" t="n"/>
      <c r="H5" s="8" t="n"/>
      <c r="I5" s="8" t="n"/>
      <c r="J5" s="8" t="n"/>
      <c r="K5" s="8" t="n"/>
      <c r="L5" s="8" t="n"/>
      <c r="M5" s="8" t="n"/>
      <c r="N5" s="8" t="n"/>
      <c r="O5" s="9">
        <f>IF(H5="Low",1,IF(H5="Medium",2,IF(H5="High",3,IF(H5="Critical",4,0))))*IF(E5="None",1,IF(E5="Minimal",2,IF(E5="Moderate",3,IF(E5="Significant",4,IF(E5="Severe",5,0)))))</f>
        <v/>
      </c>
      <c r="P5" s="8" t="n"/>
      <c r="Q5" s="8" t="n"/>
    </row>
    <row r="6">
      <c r="A6" s="8" t="n"/>
      <c r="B6" s="8" t="n"/>
      <c r="C6" s="8" t="n"/>
      <c r="D6" s="8" t="n"/>
      <c r="E6" s="8" t="n"/>
      <c r="F6" s="8" t="n"/>
      <c r="G6" s="8" t="n"/>
      <c r="H6" s="8" t="n"/>
      <c r="I6" s="8" t="n"/>
      <c r="J6" s="8" t="n"/>
      <c r="K6" s="8" t="n"/>
      <c r="L6" s="8" t="n"/>
      <c r="M6" s="8" t="n"/>
      <c r="N6" s="8" t="n"/>
      <c r="O6" s="9">
        <f>IF(H6="Low",1,IF(H6="Medium",2,IF(H6="High",3,IF(H6="Critical",4,0))))*IF(E6="None",1,IF(E6="Minimal",2,IF(E6="Moderate",3,IF(E6="Significant",4,IF(E6="Severe",5,0)))))</f>
        <v/>
      </c>
      <c r="P6" s="8" t="n"/>
      <c r="Q6" s="8" t="n"/>
    </row>
    <row r="7">
      <c r="A7" s="8" t="n"/>
      <c r="B7" s="8" t="n"/>
      <c r="C7" s="8" t="n"/>
      <c r="D7" s="8" t="n"/>
      <c r="E7" s="8" t="n"/>
      <c r="F7" s="8" t="n"/>
      <c r="G7" s="8" t="n"/>
      <c r="H7" s="8" t="n"/>
      <c r="I7" s="8" t="n"/>
      <c r="J7" s="8" t="n"/>
      <c r="K7" s="8" t="n"/>
      <c r="L7" s="8" t="n"/>
      <c r="M7" s="8" t="n"/>
      <c r="N7" s="8" t="n"/>
      <c r="O7" s="9">
        <f>IF(H7="Low",1,IF(H7="Medium",2,IF(H7="High",3,IF(H7="Critical",4,0))))*IF(E7="None",1,IF(E7="Minimal",2,IF(E7="Moderate",3,IF(E7="Significant",4,IF(E7="Severe",5,0)))))</f>
        <v/>
      </c>
      <c r="P7" s="8" t="n"/>
      <c r="Q7" s="8" t="n"/>
    </row>
    <row r="8">
      <c r="A8" s="8" t="n"/>
      <c r="B8" s="8" t="n"/>
      <c r="C8" s="8" t="n"/>
      <c r="D8" s="8" t="n"/>
      <c r="E8" s="8" t="n"/>
      <c r="F8" s="8" t="n"/>
      <c r="G8" s="8" t="n"/>
      <c r="H8" s="8" t="n"/>
      <c r="I8" s="8" t="n"/>
      <c r="J8" s="8" t="n"/>
      <c r="K8" s="8" t="n"/>
      <c r="L8" s="8" t="n"/>
      <c r="M8" s="8" t="n"/>
      <c r="N8" s="8" t="n"/>
      <c r="O8" s="9">
        <f>IF(H8="Low",1,IF(H8="Medium",2,IF(H8="High",3,IF(H8="Critical",4,0))))*IF(E8="None",1,IF(E8="Minimal",2,IF(E8="Moderate",3,IF(E8="Significant",4,IF(E8="Severe",5,0)))))</f>
        <v/>
      </c>
      <c r="P8" s="8" t="n"/>
      <c r="Q8" s="8" t="n"/>
    </row>
    <row r="9">
      <c r="A9" s="8" t="n"/>
      <c r="B9" s="8" t="n"/>
      <c r="C9" s="8" t="n"/>
      <c r="D9" s="8" t="n"/>
      <c r="E9" s="8" t="n"/>
      <c r="F9" s="8" t="n"/>
      <c r="G9" s="8" t="n"/>
      <c r="H9" s="8" t="n"/>
      <c r="I9" s="8" t="n"/>
      <c r="J9" s="8" t="n"/>
      <c r="K9" s="8" t="n"/>
      <c r="L9" s="8" t="n"/>
      <c r="M9" s="8" t="n"/>
      <c r="N9" s="8" t="n"/>
      <c r="O9" s="9">
        <f>IF(H9="Low",1,IF(H9="Medium",2,IF(H9="High",3,IF(H9="Critical",4,0))))*IF(E9="None",1,IF(E9="Minimal",2,IF(E9="Moderate",3,IF(E9="Significant",4,IF(E9="Severe",5,0)))))</f>
        <v/>
      </c>
      <c r="P9" s="8" t="n"/>
      <c r="Q9" s="8" t="n"/>
    </row>
    <row r="10">
      <c r="A10" s="8" t="n"/>
      <c r="B10" s="8" t="n"/>
      <c r="C10" s="8" t="n"/>
      <c r="D10" s="8" t="n"/>
      <c r="E10" s="8" t="n"/>
      <c r="F10" s="8" t="n"/>
      <c r="G10" s="8" t="n"/>
      <c r="H10" s="8" t="n"/>
      <c r="I10" s="8" t="n"/>
      <c r="J10" s="8" t="n"/>
      <c r="K10" s="8" t="n"/>
      <c r="L10" s="8" t="n"/>
      <c r="M10" s="8" t="n"/>
      <c r="N10" s="8" t="n"/>
      <c r="O10" s="9">
        <f>IF(H10="Low",1,IF(H10="Medium",2,IF(H10="High",3,IF(H10="Critical",4,0))))*IF(E10="None",1,IF(E10="Minimal",2,IF(E10="Moderate",3,IF(E10="Significant",4,IF(E10="Severe",5,0)))))</f>
        <v/>
      </c>
      <c r="P10" s="8" t="n"/>
      <c r="Q10" s="8" t="n"/>
    </row>
    <row r="11">
      <c r="A11" s="8" t="n"/>
      <c r="B11" s="8" t="n"/>
      <c r="C11" s="8" t="n"/>
      <c r="D11" s="8" t="n"/>
      <c r="E11" s="8" t="n"/>
      <c r="F11" s="8" t="n"/>
      <c r="G11" s="8" t="n"/>
      <c r="H11" s="8" t="n"/>
      <c r="I11" s="8" t="n"/>
      <c r="J11" s="8" t="n"/>
      <c r="K11" s="8" t="n"/>
      <c r="L11" s="8" t="n"/>
      <c r="M11" s="8" t="n"/>
      <c r="N11" s="8" t="n"/>
      <c r="O11" s="9">
        <f>IF(H11="Low",1,IF(H11="Medium",2,IF(H11="High",3,IF(H11="Critical",4,0))))*IF(E11="None",1,IF(E11="Minimal",2,IF(E11="Moderate",3,IF(E11="Significant",4,IF(E11="Severe",5,0)))))</f>
        <v/>
      </c>
      <c r="P11" s="8" t="n"/>
      <c r="Q11" s="8" t="n"/>
    </row>
    <row r="12">
      <c r="A12" s="8" t="n"/>
      <c r="B12" s="8" t="n"/>
      <c r="C12" s="8" t="n"/>
      <c r="D12" s="8" t="n"/>
      <c r="E12" s="8" t="n"/>
      <c r="F12" s="8" t="n"/>
      <c r="G12" s="8" t="n"/>
      <c r="H12" s="8" t="n"/>
      <c r="I12" s="8" t="n"/>
      <c r="J12" s="8" t="n"/>
      <c r="K12" s="8" t="n"/>
      <c r="L12" s="8" t="n"/>
      <c r="M12" s="8" t="n"/>
      <c r="N12" s="8" t="n"/>
      <c r="O12" s="9">
        <f>IF(H12="Low",1,IF(H12="Medium",2,IF(H12="High",3,IF(H12="Critical",4,0))))*IF(E12="None",1,IF(E12="Minimal",2,IF(E12="Moderate",3,IF(E12="Significant",4,IF(E12="Severe",5,0)))))</f>
        <v/>
      </c>
      <c r="P12" s="8" t="n"/>
      <c r="Q12" s="8" t="n"/>
    </row>
    <row r="13">
      <c r="A13" s="8" t="n"/>
      <c r="B13" s="8" t="n"/>
      <c r="C13" s="8" t="n"/>
      <c r="D13" s="8" t="n"/>
      <c r="E13" s="8" t="n"/>
      <c r="F13" s="8" t="n"/>
      <c r="G13" s="8" t="n"/>
      <c r="H13" s="8" t="n"/>
      <c r="I13" s="8" t="n"/>
      <c r="J13" s="8" t="n"/>
      <c r="K13" s="8" t="n"/>
      <c r="L13" s="8" t="n"/>
      <c r="M13" s="8" t="n"/>
      <c r="N13" s="8" t="n"/>
      <c r="O13" s="9">
        <f>IF(H13="Low",1,IF(H13="Medium",2,IF(H13="High",3,IF(H13="Critical",4,0))))*IF(E13="None",1,IF(E13="Minimal",2,IF(E13="Moderate",3,IF(E13="Significant",4,IF(E13="Severe",5,0)))))</f>
        <v/>
      </c>
      <c r="P13" s="8" t="n"/>
      <c r="Q13" s="8" t="n"/>
    </row>
    <row r="14">
      <c r="A14" s="8" t="n"/>
      <c r="B14" s="8" t="n"/>
      <c r="C14" s="8" t="n"/>
      <c r="D14" s="8" t="n"/>
      <c r="E14" s="8" t="n"/>
      <c r="F14" s="8" t="n"/>
      <c r="G14" s="8" t="n"/>
      <c r="H14" s="8" t="n"/>
      <c r="I14" s="8" t="n"/>
      <c r="J14" s="8" t="n"/>
      <c r="K14" s="8" t="n"/>
      <c r="L14" s="8" t="n"/>
      <c r="M14" s="8" t="n"/>
      <c r="N14" s="8" t="n"/>
      <c r="O14" s="9">
        <f>IF(H14="Low",1,IF(H14="Medium",2,IF(H14="High",3,IF(H14="Critical",4,0))))*IF(E14="None",1,IF(E14="Minimal",2,IF(E14="Moderate",3,IF(E14="Significant",4,IF(E14="Severe",5,0)))))</f>
        <v/>
      </c>
      <c r="P14" s="8" t="n"/>
      <c r="Q14" s="8" t="n"/>
    </row>
    <row r="15">
      <c r="A15" s="8" t="n"/>
      <c r="B15" s="8" t="n"/>
      <c r="C15" s="8" t="n"/>
      <c r="D15" s="8" t="n"/>
      <c r="E15" s="8" t="n"/>
      <c r="F15" s="8" t="n"/>
      <c r="G15" s="8" t="n"/>
      <c r="H15" s="8" t="n"/>
      <c r="I15" s="8" t="n"/>
      <c r="J15" s="8" t="n"/>
      <c r="K15" s="8" t="n"/>
      <c r="L15" s="8" t="n"/>
      <c r="M15" s="8" t="n"/>
      <c r="N15" s="8" t="n"/>
      <c r="O15" s="9">
        <f>IF(H15="Low",1,IF(H15="Medium",2,IF(H15="High",3,IF(H15="Critical",4,0))))*IF(E15="None",1,IF(E15="Minimal",2,IF(E15="Moderate",3,IF(E15="Significant",4,IF(E15="Severe",5,0)))))</f>
        <v/>
      </c>
      <c r="P15" s="8" t="n"/>
      <c r="Q15" s="8" t="n"/>
    </row>
    <row r="16">
      <c r="A16" s="8" t="n"/>
      <c r="B16" s="8" t="n"/>
      <c r="C16" s="8" t="n"/>
      <c r="D16" s="8" t="n"/>
      <c r="E16" s="8" t="n"/>
      <c r="F16" s="8" t="n"/>
      <c r="G16" s="8" t="n"/>
      <c r="H16" s="8" t="n"/>
      <c r="I16" s="8" t="n"/>
      <c r="J16" s="8" t="n"/>
      <c r="K16" s="8" t="n"/>
      <c r="L16" s="8" t="n"/>
      <c r="M16" s="8" t="n"/>
      <c r="N16" s="8" t="n"/>
      <c r="O16" s="9">
        <f>IF(H16="Low",1,IF(H16="Medium",2,IF(H16="High",3,IF(H16="Critical",4,0))))*IF(E16="None",1,IF(E16="Minimal",2,IF(E16="Moderate",3,IF(E16="Significant",4,IF(E16="Severe",5,0)))))</f>
        <v/>
      </c>
      <c r="P16" s="8" t="n"/>
      <c r="Q16" s="8" t="n"/>
    </row>
    <row r="17">
      <c r="A17" s="8" t="n"/>
      <c r="B17" s="8" t="n"/>
      <c r="C17" s="8" t="n"/>
      <c r="D17" s="8" t="n"/>
      <c r="E17" s="8" t="n"/>
      <c r="F17" s="8" t="n"/>
      <c r="G17" s="8" t="n"/>
      <c r="H17" s="8" t="n"/>
      <c r="I17" s="8" t="n"/>
      <c r="J17" s="8" t="n"/>
      <c r="K17" s="8" t="n"/>
      <c r="L17" s="8" t="n"/>
      <c r="M17" s="8" t="n"/>
      <c r="N17" s="8" t="n"/>
      <c r="O17" s="9">
        <f>IF(H17="Low",1,IF(H17="Medium",2,IF(H17="High",3,IF(H17="Critical",4,0))))*IF(E17="None",1,IF(E17="Minimal",2,IF(E17="Moderate",3,IF(E17="Significant",4,IF(E17="Severe",5,0)))))</f>
        <v/>
      </c>
      <c r="P17" s="8" t="n"/>
      <c r="Q17" s="8" t="n"/>
    </row>
    <row r="18">
      <c r="A18" s="8" t="n"/>
      <c r="B18" s="8" t="n"/>
      <c r="C18" s="8" t="n"/>
      <c r="D18" s="8" t="n"/>
      <c r="E18" s="8" t="n"/>
      <c r="F18" s="8" t="n"/>
      <c r="G18" s="8" t="n"/>
      <c r="H18" s="8" t="n"/>
      <c r="I18" s="8" t="n"/>
      <c r="J18" s="8" t="n"/>
      <c r="K18" s="8" t="n"/>
      <c r="L18" s="8" t="n"/>
      <c r="M18" s="8" t="n"/>
      <c r="N18" s="8" t="n"/>
      <c r="O18" s="9">
        <f>IF(H18="Low",1,IF(H18="Medium",2,IF(H18="High",3,IF(H18="Critical",4,0))))*IF(E18="None",1,IF(E18="Minimal",2,IF(E18="Moderate",3,IF(E18="Significant",4,IF(E18="Severe",5,0)))))</f>
        <v/>
      </c>
      <c r="P18" s="8" t="n"/>
      <c r="Q18" s="8" t="n"/>
    </row>
    <row r="19">
      <c r="A19" s="8" t="n"/>
      <c r="B19" s="8" t="n"/>
      <c r="C19" s="8" t="n"/>
      <c r="D19" s="8" t="n"/>
      <c r="E19" s="8" t="n"/>
      <c r="F19" s="8" t="n"/>
      <c r="G19" s="8" t="n"/>
      <c r="H19" s="8" t="n"/>
      <c r="I19" s="8" t="n"/>
      <c r="J19" s="8" t="n"/>
      <c r="K19" s="8" t="n"/>
      <c r="L19" s="8" t="n"/>
      <c r="M19" s="8" t="n"/>
      <c r="N19" s="8" t="n"/>
      <c r="O19" s="9">
        <f>IF(H19="Low",1,IF(H19="Medium",2,IF(H19="High",3,IF(H19="Critical",4,0))))*IF(E19="None",1,IF(E19="Minimal",2,IF(E19="Moderate",3,IF(E19="Significant",4,IF(E19="Severe",5,0)))))</f>
        <v/>
      </c>
      <c r="P19" s="8" t="n"/>
      <c r="Q19" s="8" t="n"/>
    </row>
    <row r="20">
      <c r="A20" s="8" t="n"/>
      <c r="B20" s="8" t="n"/>
      <c r="C20" s="8" t="n"/>
      <c r="D20" s="8" t="n"/>
      <c r="E20" s="8" t="n"/>
      <c r="F20" s="8" t="n"/>
      <c r="G20" s="8" t="n"/>
      <c r="H20" s="8" t="n"/>
      <c r="I20" s="8" t="n"/>
      <c r="J20" s="8" t="n"/>
      <c r="K20" s="8" t="n"/>
      <c r="L20" s="8" t="n"/>
      <c r="M20" s="8" t="n"/>
      <c r="N20" s="8" t="n"/>
      <c r="O20" s="9">
        <f>IF(H20="Low",1,IF(H20="Medium",2,IF(H20="High",3,IF(H20="Critical",4,0))))*IF(E20="None",1,IF(E20="Minimal",2,IF(E20="Moderate",3,IF(E20="Significant",4,IF(E20="Severe",5,0)))))</f>
        <v/>
      </c>
      <c r="P20" s="8" t="n"/>
      <c r="Q20" s="8" t="n"/>
    </row>
    <row r="21">
      <c r="A21" s="8" t="n"/>
      <c r="B21" s="8" t="n"/>
      <c r="C21" s="8" t="n"/>
      <c r="D21" s="8" t="n"/>
      <c r="E21" s="8" t="n"/>
      <c r="F21" s="8" t="n"/>
      <c r="G21" s="8" t="n"/>
      <c r="H21" s="8" t="n"/>
      <c r="I21" s="8" t="n"/>
      <c r="J21" s="8" t="n"/>
      <c r="K21" s="8" t="n"/>
      <c r="L21" s="8" t="n"/>
      <c r="M21" s="8" t="n"/>
      <c r="N21" s="8" t="n"/>
      <c r="O21" s="9">
        <f>IF(H21="Low",1,IF(H21="Medium",2,IF(H21="High",3,IF(H21="Critical",4,0))))*IF(E21="None",1,IF(E21="Minimal",2,IF(E21="Moderate",3,IF(E21="Significant",4,IF(E21="Severe",5,0)))))</f>
        <v/>
      </c>
      <c r="P21" s="8" t="n"/>
      <c r="Q21" s="8" t="n"/>
    </row>
    <row r="22">
      <c r="A22" s="8" t="n"/>
      <c r="B22" s="8" t="n"/>
      <c r="C22" s="8" t="n"/>
      <c r="D22" s="8" t="n"/>
      <c r="E22" s="8" t="n"/>
      <c r="F22" s="8" t="n"/>
      <c r="G22" s="8" t="n"/>
      <c r="H22" s="8" t="n"/>
      <c r="I22" s="8" t="n"/>
      <c r="J22" s="8" t="n"/>
      <c r="K22" s="8" t="n"/>
      <c r="L22" s="8" t="n"/>
      <c r="M22" s="8" t="n"/>
      <c r="N22" s="8" t="n"/>
      <c r="O22" s="9">
        <f>IF(H22="Low",1,IF(H22="Medium",2,IF(H22="High",3,IF(H22="Critical",4,0))))*IF(E22="None",1,IF(E22="Minimal",2,IF(E22="Moderate",3,IF(E22="Significant",4,IF(E22="Severe",5,0)))))</f>
        <v/>
      </c>
      <c r="P22" s="8" t="n"/>
      <c r="Q22" s="8" t="n"/>
    </row>
    <row r="23">
      <c r="A23" s="8" t="n"/>
      <c r="B23" s="8" t="n"/>
      <c r="C23" s="8" t="n"/>
      <c r="D23" s="8" t="n"/>
      <c r="E23" s="8" t="n"/>
      <c r="F23" s="8" t="n"/>
      <c r="G23" s="8" t="n"/>
      <c r="H23" s="8" t="n"/>
      <c r="I23" s="8" t="n"/>
      <c r="J23" s="8" t="n"/>
      <c r="K23" s="8" t="n"/>
      <c r="L23" s="8" t="n"/>
      <c r="M23" s="8" t="n"/>
      <c r="N23" s="8" t="n"/>
      <c r="O23" s="9">
        <f>IF(H23="Low",1,IF(H23="Medium",2,IF(H23="High",3,IF(H23="Critical",4,0))))*IF(E23="None",1,IF(E23="Minimal",2,IF(E23="Moderate",3,IF(E23="Significant",4,IF(E23="Severe",5,0)))))</f>
        <v/>
      </c>
      <c r="P23" s="8" t="n"/>
      <c r="Q23" s="8" t="n"/>
    </row>
    <row r="24">
      <c r="A24" s="8" t="n"/>
      <c r="B24" s="8" t="n"/>
      <c r="C24" s="8" t="n"/>
      <c r="D24" s="8" t="n"/>
      <c r="E24" s="8" t="n"/>
      <c r="F24" s="8" t="n"/>
      <c r="G24" s="8" t="n"/>
      <c r="H24" s="8" t="n"/>
      <c r="I24" s="8" t="n"/>
      <c r="J24" s="8" t="n"/>
      <c r="K24" s="8" t="n"/>
      <c r="L24" s="8" t="n"/>
      <c r="M24" s="8" t="n"/>
      <c r="N24" s="8" t="n"/>
      <c r="O24" s="9">
        <f>IF(H24="Low",1,IF(H24="Medium",2,IF(H24="High",3,IF(H24="Critical",4,0))))*IF(E24="None",1,IF(E24="Minimal",2,IF(E24="Moderate",3,IF(E24="Significant",4,IF(E24="Severe",5,0)))))</f>
        <v/>
      </c>
      <c r="P24" s="8" t="n"/>
      <c r="Q24" s="8" t="n"/>
    </row>
    <row r="25">
      <c r="A25" s="8" t="n"/>
      <c r="B25" s="8" t="n"/>
      <c r="C25" s="8" t="n"/>
      <c r="D25" s="8" t="n"/>
      <c r="E25" s="8" t="n"/>
      <c r="F25" s="8" t="n"/>
      <c r="G25" s="8" t="n"/>
      <c r="H25" s="8" t="n"/>
      <c r="I25" s="8" t="n"/>
      <c r="J25" s="8" t="n"/>
      <c r="K25" s="8" t="n"/>
      <c r="L25" s="8" t="n"/>
      <c r="M25" s="8" t="n"/>
      <c r="N25" s="8" t="n"/>
      <c r="O25" s="9">
        <f>IF(H25="Low",1,IF(H25="Medium",2,IF(H25="High",3,IF(H25="Critical",4,0))))*IF(E25="None",1,IF(E25="Minimal",2,IF(E25="Moderate",3,IF(E25="Significant",4,IF(E25="Severe",5,0)))))</f>
        <v/>
      </c>
      <c r="P25" s="8" t="n"/>
      <c r="Q25" s="8" t="n"/>
    </row>
    <row r="26">
      <c r="A26" s="8" t="n"/>
      <c r="B26" s="8" t="n"/>
      <c r="C26" s="8" t="n"/>
      <c r="D26" s="8" t="n"/>
      <c r="E26" s="8" t="n"/>
      <c r="F26" s="8" t="n"/>
      <c r="G26" s="8" t="n"/>
      <c r="H26" s="8" t="n"/>
      <c r="I26" s="8" t="n"/>
      <c r="J26" s="8" t="n"/>
      <c r="K26" s="8" t="n"/>
      <c r="L26" s="8" t="n"/>
      <c r="M26" s="8" t="n"/>
      <c r="N26" s="8" t="n"/>
      <c r="O26" s="9">
        <f>IF(H26="Low",1,IF(H26="Medium",2,IF(H26="High",3,IF(H26="Critical",4,0))))*IF(E26="None",1,IF(E26="Minimal",2,IF(E26="Moderate",3,IF(E26="Significant",4,IF(E26="Severe",5,0)))))</f>
        <v/>
      </c>
      <c r="P26" s="8" t="n"/>
      <c r="Q26" s="8" t="n"/>
    </row>
    <row r="27">
      <c r="A27" s="8" t="n"/>
      <c r="B27" s="8" t="n"/>
      <c r="C27" s="8" t="n"/>
      <c r="D27" s="8" t="n"/>
      <c r="E27" s="8" t="n"/>
      <c r="F27" s="8" t="n"/>
      <c r="G27" s="8" t="n"/>
      <c r="H27" s="8" t="n"/>
      <c r="I27" s="8" t="n"/>
      <c r="J27" s="8" t="n"/>
      <c r="K27" s="8" t="n"/>
      <c r="L27" s="8" t="n"/>
      <c r="M27" s="8" t="n"/>
      <c r="N27" s="8" t="n"/>
      <c r="O27" s="9">
        <f>IF(H27="Low",1,IF(H27="Medium",2,IF(H27="High",3,IF(H27="Critical",4,0))))*IF(E27="None",1,IF(E27="Minimal",2,IF(E27="Moderate",3,IF(E27="Significant",4,IF(E27="Severe",5,0)))))</f>
        <v/>
      </c>
      <c r="P27" s="8" t="n"/>
      <c r="Q27" s="8" t="n"/>
    </row>
    <row r="28">
      <c r="A28" s="8" t="n"/>
      <c r="B28" s="8" t="n"/>
      <c r="C28" s="8" t="n"/>
      <c r="D28" s="8" t="n"/>
      <c r="E28" s="8" t="n"/>
      <c r="F28" s="8" t="n"/>
      <c r="G28" s="8" t="n"/>
      <c r="H28" s="8" t="n"/>
      <c r="I28" s="8" t="n"/>
      <c r="J28" s="8" t="n"/>
      <c r="K28" s="8" t="n"/>
      <c r="L28" s="8" t="n"/>
      <c r="M28" s="8" t="n"/>
      <c r="N28" s="8" t="n"/>
      <c r="O28" s="9">
        <f>IF(H28="Low",1,IF(H28="Medium",2,IF(H28="High",3,IF(H28="Critical",4,0))))*IF(E28="None",1,IF(E28="Minimal",2,IF(E28="Moderate",3,IF(E28="Significant",4,IF(E28="Severe",5,0)))))</f>
        <v/>
      </c>
      <c r="P28" s="8" t="n"/>
      <c r="Q28" s="8" t="n"/>
    </row>
    <row r="29">
      <c r="A29" s="8" t="n"/>
      <c r="B29" s="8" t="n"/>
      <c r="C29" s="8" t="n"/>
      <c r="D29" s="8" t="n"/>
      <c r="E29" s="8" t="n"/>
      <c r="F29" s="8" t="n"/>
      <c r="G29" s="8" t="n"/>
      <c r="H29" s="8" t="n"/>
      <c r="I29" s="8" t="n"/>
      <c r="J29" s="8" t="n"/>
      <c r="K29" s="8" t="n"/>
      <c r="L29" s="8" t="n"/>
      <c r="M29" s="8" t="n"/>
      <c r="N29" s="8" t="n"/>
      <c r="O29" s="9">
        <f>IF(H29="Low",1,IF(H29="Medium",2,IF(H29="High",3,IF(H29="Critical",4,0))))*IF(E29="None",1,IF(E29="Minimal",2,IF(E29="Moderate",3,IF(E29="Significant",4,IF(E29="Severe",5,0)))))</f>
        <v/>
      </c>
      <c r="P29" s="8" t="n"/>
      <c r="Q29" s="8" t="n"/>
    </row>
    <row r="30">
      <c r="A30" s="8" t="n"/>
      <c r="B30" s="8" t="n"/>
      <c r="C30" s="8" t="n"/>
      <c r="D30" s="8" t="n"/>
      <c r="E30" s="8" t="n"/>
      <c r="F30" s="8" t="n"/>
      <c r="G30" s="8" t="n"/>
      <c r="H30" s="8" t="n"/>
      <c r="I30" s="8" t="n"/>
      <c r="J30" s="8" t="n"/>
      <c r="K30" s="8" t="n"/>
      <c r="L30" s="8" t="n"/>
      <c r="M30" s="8" t="n"/>
      <c r="N30" s="8" t="n"/>
      <c r="O30" s="9">
        <f>IF(H30="Low",1,IF(H30="Medium",2,IF(H30="High",3,IF(H30="Critical",4,0))))*IF(E30="None",1,IF(E30="Minimal",2,IF(E30="Moderate",3,IF(E30="Significant",4,IF(E30="Severe",5,0)))))</f>
        <v/>
      </c>
      <c r="P30" s="8" t="n"/>
      <c r="Q30" s="8" t="n"/>
    </row>
    <row r="31">
      <c r="A31" s="8" t="n"/>
      <c r="B31" s="8" t="n"/>
      <c r="C31" s="8" t="n"/>
      <c r="D31" s="8" t="n"/>
      <c r="E31" s="8" t="n"/>
      <c r="F31" s="8" t="n"/>
      <c r="G31" s="8" t="n"/>
      <c r="H31" s="8" t="n"/>
      <c r="I31" s="8" t="n"/>
      <c r="J31" s="8" t="n"/>
      <c r="K31" s="8" t="n"/>
      <c r="L31" s="8" t="n"/>
      <c r="M31" s="8" t="n"/>
      <c r="N31" s="8" t="n"/>
      <c r="O31" s="9">
        <f>IF(H31="Low",1,IF(H31="Medium",2,IF(H31="High",3,IF(H31="Critical",4,0))))*IF(E31="None",1,IF(E31="Minimal",2,IF(E31="Moderate",3,IF(E31="Significant",4,IF(E31="Severe",5,0)))))</f>
        <v/>
      </c>
      <c r="P31" s="8" t="n"/>
      <c r="Q31" s="8" t="n"/>
    </row>
    <row r="32">
      <c r="A32" s="8" t="n"/>
      <c r="B32" s="8" t="n"/>
      <c r="C32" s="8" t="n"/>
      <c r="D32" s="8" t="n"/>
      <c r="E32" s="8" t="n"/>
      <c r="F32" s="8" t="n"/>
      <c r="G32" s="8" t="n"/>
      <c r="H32" s="8" t="n"/>
      <c r="I32" s="8" t="n"/>
      <c r="J32" s="8" t="n"/>
      <c r="K32" s="8" t="n"/>
      <c r="L32" s="8" t="n"/>
      <c r="M32" s="8" t="n"/>
      <c r="N32" s="8" t="n"/>
      <c r="O32" s="9">
        <f>IF(H32="Low",1,IF(H32="Medium",2,IF(H32="High",3,IF(H32="Critical",4,0))))*IF(E32="None",1,IF(E32="Minimal",2,IF(E32="Moderate",3,IF(E32="Significant",4,IF(E32="Severe",5,0)))))</f>
        <v/>
      </c>
      <c r="P32" s="8" t="n"/>
      <c r="Q32" s="8" t="n"/>
    </row>
    <row r="33">
      <c r="A33" s="8" t="n"/>
      <c r="B33" s="8" t="n"/>
      <c r="C33" s="8" t="n"/>
      <c r="D33" s="8" t="n"/>
      <c r="E33" s="8" t="n"/>
      <c r="F33" s="8" t="n"/>
      <c r="G33" s="8" t="n"/>
      <c r="H33" s="8" t="n"/>
      <c r="I33" s="8" t="n"/>
      <c r="J33" s="8" t="n"/>
      <c r="K33" s="8" t="n"/>
      <c r="L33" s="8" t="n"/>
      <c r="M33" s="8" t="n"/>
      <c r="N33" s="8" t="n"/>
      <c r="O33" s="9">
        <f>IF(H33="Low",1,IF(H33="Medium",2,IF(H33="High",3,IF(H33="Critical",4,0))))*IF(E33="None",1,IF(E33="Minimal",2,IF(E33="Moderate",3,IF(E33="Significant",4,IF(E33="Severe",5,0)))))</f>
        <v/>
      </c>
      <c r="P33" s="8" t="n"/>
      <c r="Q33" s="8" t="n"/>
    </row>
    <row r="34">
      <c r="A34" s="8" t="n"/>
      <c r="B34" s="8" t="n"/>
      <c r="C34" s="8" t="n"/>
      <c r="D34" s="8" t="n"/>
      <c r="E34" s="8" t="n"/>
      <c r="F34" s="8" t="n"/>
      <c r="G34" s="8" t="n"/>
      <c r="H34" s="8" t="n"/>
      <c r="I34" s="8" t="n"/>
      <c r="J34" s="8" t="n"/>
      <c r="K34" s="8" t="n"/>
      <c r="L34" s="8" t="n"/>
      <c r="M34" s="8" t="n"/>
      <c r="N34" s="8" t="n"/>
      <c r="O34" s="9">
        <f>IF(H34="Low",1,IF(H34="Medium",2,IF(H34="High",3,IF(H34="Critical",4,0))))*IF(E34="None",1,IF(E34="Minimal",2,IF(E34="Moderate",3,IF(E34="Significant",4,IF(E34="Severe",5,0)))))</f>
        <v/>
      </c>
      <c r="P34" s="8" t="n"/>
      <c r="Q34" s="8" t="n"/>
    </row>
    <row r="35">
      <c r="A35" s="8" t="n"/>
      <c r="B35" s="8" t="n"/>
      <c r="C35" s="8" t="n"/>
      <c r="D35" s="8" t="n"/>
      <c r="E35" s="8" t="n"/>
      <c r="F35" s="8" t="n"/>
      <c r="G35" s="8" t="n"/>
      <c r="H35" s="8" t="n"/>
      <c r="I35" s="8" t="n"/>
      <c r="J35" s="8" t="n"/>
      <c r="K35" s="8" t="n"/>
      <c r="L35" s="8" t="n"/>
      <c r="M35" s="8" t="n"/>
      <c r="N35" s="8" t="n"/>
      <c r="O35" s="9">
        <f>IF(H35="Low",1,IF(H35="Medium",2,IF(H35="High",3,IF(H35="Critical",4,0))))*IF(E35="None",1,IF(E35="Minimal",2,IF(E35="Moderate",3,IF(E35="Significant",4,IF(E35="Severe",5,0)))))</f>
        <v/>
      </c>
      <c r="P35" s="8" t="n"/>
      <c r="Q35" s="8" t="n"/>
    </row>
    <row r="36">
      <c r="A36" s="8" t="n"/>
      <c r="B36" s="8" t="n"/>
      <c r="C36" s="8" t="n"/>
      <c r="D36" s="8" t="n"/>
      <c r="E36" s="8" t="n"/>
      <c r="F36" s="8" t="n"/>
      <c r="G36" s="8" t="n"/>
      <c r="H36" s="8" t="n"/>
      <c r="I36" s="8" t="n"/>
      <c r="J36" s="8" t="n"/>
      <c r="K36" s="8" t="n"/>
      <c r="L36" s="8" t="n"/>
      <c r="M36" s="8" t="n"/>
      <c r="N36" s="8" t="n"/>
      <c r="O36" s="9">
        <f>IF(H36="Low",1,IF(H36="Medium",2,IF(H36="High",3,IF(H36="Critical",4,0))))*IF(E36="None",1,IF(E36="Minimal",2,IF(E36="Moderate",3,IF(E36="Significant",4,IF(E36="Severe",5,0)))))</f>
        <v/>
      </c>
      <c r="P36" s="8" t="n"/>
      <c r="Q36" s="8" t="n"/>
    </row>
    <row r="37">
      <c r="A37" s="8" t="n"/>
      <c r="B37" s="8" t="n"/>
      <c r="C37" s="8" t="n"/>
      <c r="D37" s="8" t="n"/>
      <c r="E37" s="8" t="n"/>
      <c r="F37" s="8" t="n"/>
      <c r="G37" s="8" t="n"/>
      <c r="H37" s="8" t="n"/>
      <c r="I37" s="8" t="n"/>
      <c r="J37" s="8" t="n"/>
      <c r="K37" s="8" t="n"/>
      <c r="L37" s="8" t="n"/>
      <c r="M37" s="8" t="n"/>
      <c r="N37" s="8" t="n"/>
      <c r="O37" s="9">
        <f>IF(H37="Low",1,IF(H37="Medium",2,IF(H37="High",3,IF(H37="Critical",4,0))))*IF(E37="None",1,IF(E37="Minimal",2,IF(E37="Moderate",3,IF(E37="Significant",4,IF(E37="Severe",5,0)))))</f>
        <v/>
      </c>
      <c r="P37" s="8" t="n"/>
      <c r="Q37" s="8" t="n"/>
    </row>
    <row r="38">
      <c r="A38" s="8" t="n"/>
      <c r="B38" s="8" t="n"/>
      <c r="C38" s="8" t="n"/>
      <c r="D38" s="8" t="n"/>
      <c r="E38" s="8" t="n"/>
      <c r="F38" s="8" t="n"/>
      <c r="G38" s="8" t="n"/>
      <c r="H38" s="8" t="n"/>
      <c r="I38" s="8" t="n"/>
      <c r="J38" s="8" t="n"/>
      <c r="K38" s="8" t="n"/>
      <c r="L38" s="8" t="n"/>
      <c r="M38" s="8" t="n"/>
      <c r="N38" s="8" t="n"/>
      <c r="O38" s="9">
        <f>IF(H38="Low",1,IF(H38="Medium",2,IF(H38="High",3,IF(H38="Critical",4,0))))*IF(E38="None",1,IF(E38="Minimal",2,IF(E38="Moderate",3,IF(E38="Significant",4,IF(E38="Severe",5,0)))))</f>
        <v/>
      </c>
      <c r="P38" s="8" t="n"/>
      <c r="Q38" s="8" t="n"/>
    </row>
    <row r="39">
      <c r="A39" s="8" t="n"/>
      <c r="B39" s="8" t="n"/>
      <c r="C39" s="8" t="n"/>
      <c r="D39" s="8" t="n"/>
      <c r="E39" s="8" t="n"/>
      <c r="F39" s="8" t="n"/>
      <c r="G39" s="8" t="n"/>
      <c r="H39" s="8" t="n"/>
      <c r="I39" s="8" t="n"/>
      <c r="J39" s="8" t="n"/>
      <c r="K39" s="8" t="n"/>
      <c r="L39" s="8" t="n"/>
      <c r="M39" s="8" t="n"/>
      <c r="N39" s="8" t="n"/>
      <c r="O39" s="9">
        <f>IF(H39="Low",1,IF(H39="Medium",2,IF(H39="High",3,IF(H39="Critical",4,0))))*IF(E39="None",1,IF(E39="Minimal",2,IF(E39="Moderate",3,IF(E39="Significant",4,IF(E39="Severe",5,0)))))</f>
        <v/>
      </c>
      <c r="P39" s="8" t="n"/>
      <c r="Q39" s="8" t="n"/>
    </row>
    <row r="40">
      <c r="A40" s="8" t="n"/>
      <c r="B40" s="8" t="n"/>
      <c r="C40" s="8" t="n"/>
      <c r="D40" s="8" t="n"/>
      <c r="E40" s="8" t="n"/>
      <c r="F40" s="8" t="n"/>
      <c r="G40" s="8" t="n"/>
      <c r="H40" s="8" t="n"/>
      <c r="I40" s="8" t="n"/>
      <c r="J40" s="8" t="n"/>
      <c r="K40" s="8" t="n"/>
      <c r="L40" s="8" t="n"/>
      <c r="M40" s="8" t="n"/>
      <c r="N40" s="8" t="n"/>
      <c r="O40" s="9">
        <f>IF(H40="Low",1,IF(H40="Medium",2,IF(H40="High",3,IF(H40="Critical",4,0))))*IF(E40="None",1,IF(E40="Minimal",2,IF(E40="Moderate",3,IF(E40="Significant",4,IF(E40="Severe",5,0)))))</f>
        <v/>
      </c>
      <c r="P40" s="8" t="n"/>
      <c r="Q40" s="8" t="n"/>
    </row>
    <row r="41">
      <c r="A41" s="8" t="n"/>
      <c r="B41" s="8" t="n"/>
      <c r="C41" s="8" t="n"/>
      <c r="D41" s="8" t="n"/>
      <c r="E41" s="8" t="n"/>
      <c r="F41" s="8" t="n"/>
      <c r="G41" s="8" t="n"/>
      <c r="H41" s="8" t="n"/>
      <c r="I41" s="8" t="n"/>
      <c r="J41" s="8" t="n"/>
      <c r="K41" s="8" t="n"/>
      <c r="L41" s="8" t="n"/>
      <c r="M41" s="8" t="n"/>
      <c r="N41" s="8" t="n"/>
      <c r="O41" s="9">
        <f>IF(H41="Low",1,IF(H41="Medium",2,IF(H41="High",3,IF(H41="Critical",4,0))))*IF(E41="None",1,IF(E41="Minimal",2,IF(E41="Moderate",3,IF(E41="Significant",4,IF(E41="Severe",5,0)))))</f>
        <v/>
      </c>
      <c r="P41" s="8" t="n"/>
      <c r="Q41" s="8" t="n"/>
    </row>
    <row r="42">
      <c r="A42" s="8" t="n"/>
      <c r="B42" s="8" t="n"/>
      <c r="C42" s="8" t="n"/>
      <c r="D42" s="8" t="n"/>
      <c r="E42" s="8" t="n"/>
      <c r="F42" s="8" t="n"/>
      <c r="G42" s="8" t="n"/>
      <c r="H42" s="8" t="n"/>
      <c r="I42" s="8" t="n"/>
      <c r="J42" s="8" t="n"/>
      <c r="K42" s="8" t="n"/>
      <c r="L42" s="8" t="n"/>
      <c r="M42" s="8" t="n"/>
      <c r="N42" s="8" t="n"/>
      <c r="O42" s="9">
        <f>IF(H42="Low",1,IF(H42="Medium",2,IF(H42="High",3,IF(H42="Critical",4,0))))*IF(E42="None",1,IF(E42="Minimal",2,IF(E42="Moderate",3,IF(E42="Significant",4,IF(E42="Severe",5,0)))))</f>
        <v/>
      </c>
      <c r="P42" s="8" t="n"/>
      <c r="Q42" s="8" t="n"/>
    </row>
    <row r="43">
      <c r="A43" s="8" t="n"/>
      <c r="B43" s="8" t="n"/>
      <c r="C43" s="8" t="n"/>
      <c r="D43" s="8" t="n"/>
      <c r="E43" s="8" t="n"/>
      <c r="F43" s="8" t="n"/>
      <c r="G43" s="8" t="n"/>
      <c r="H43" s="8" t="n"/>
      <c r="I43" s="8" t="n"/>
      <c r="J43" s="8" t="n"/>
      <c r="K43" s="8" t="n"/>
      <c r="L43" s="8" t="n"/>
      <c r="M43" s="8" t="n"/>
      <c r="N43" s="8" t="n"/>
      <c r="O43" s="9">
        <f>IF(H43="Low",1,IF(H43="Medium",2,IF(H43="High",3,IF(H43="Critical",4,0))))*IF(E43="None",1,IF(E43="Minimal",2,IF(E43="Moderate",3,IF(E43="Significant",4,IF(E43="Severe",5,0)))))</f>
        <v/>
      </c>
      <c r="P43" s="8" t="n"/>
      <c r="Q43" s="8" t="n"/>
    </row>
    <row r="44">
      <c r="A44" s="8" t="n"/>
      <c r="B44" s="8" t="n"/>
      <c r="C44" s="8" t="n"/>
      <c r="D44" s="8" t="n"/>
      <c r="E44" s="8" t="n"/>
      <c r="F44" s="8" t="n"/>
      <c r="G44" s="8" t="n"/>
      <c r="H44" s="8" t="n"/>
      <c r="I44" s="8" t="n"/>
      <c r="J44" s="8" t="n"/>
      <c r="K44" s="8" t="n"/>
      <c r="L44" s="8" t="n"/>
      <c r="M44" s="8" t="n"/>
      <c r="N44" s="8" t="n"/>
      <c r="O44" s="9">
        <f>IF(H44="Low",1,IF(H44="Medium",2,IF(H44="High",3,IF(H44="Critical",4,0))))*IF(E44="None",1,IF(E44="Minimal",2,IF(E44="Moderate",3,IF(E44="Significant",4,IF(E44="Severe",5,0)))))</f>
        <v/>
      </c>
      <c r="P44" s="8" t="n"/>
      <c r="Q44" s="8" t="n"/>
    </row>
    <row r="45">
      <c r="A45" s="8" t="n"/>
      <c r="B45" s="8" t="n"/>
      <c r="C45" s="8" t="n"/>
      <c r="D45" s="8" t="n"/>
      <c r="E45" s="8" t="n"/>
      <c r="F45" s="8" t="n"/>
      <c r="G45" s="8" t="n"/>
      <c r="H45" s="8" t="n"/>
      <c r="I45" s="8" t="n"/>
      <c r="J45" s="8" t="n"/>
      <c r="K45" s="8" t="n"/>
      <c r="L45" s="8" t="n"/>
      <c r="M45" s="8" t="n"/>
      <c r="N45" s="8" t="n"/>
      <c r="O45" s="9">
        <f>IF(H45="Low",1,IF(H45="Medium",2,IF(H45="High",3,IF(H45="Critical",4,0))))*IF(E45="None",1,IF(E45="Minimal",2,IF(E45="Moderate",3,IF(E45="Significant",4,IF(E45="Severe",5,0)))))</f>
        <v/>
      </c>
      <c r="P45" s="8" t="n"/>
      <c r="Q45" s="8" t="n"/>
    </row>
    <row r="46">
      <c r="A46" s="8" t="n"/>
      <c r="B46" s="8" t="n"/>
      <c r="C46" s="8" t="n"/>
      <c r="D46" s="8" t="n"/>
      <c r="E46" s="8" t="n"/>
      <c r="F46" s="8" t="n"/>
      <c r="G46" s="8" t="n"/>
      <c r="H46" s="8" t="n"/>
      <c r="I46" s="8" t="n"/>
      <c r="J46" s="8" t="n"/>
      <c r="K46" s="8" t="n"/>
      <c r="L46" s="8" t="n"/>
      <c r="M46" s="8" t="n"/>
      <c r="N46" s="8" t="n"/>
      <c r="O46" s="9">
        <f>IF(H46="Low",1,IF(H46="Medium",2,IF(H46="High",3,IF(H46="Critical",4,0))))*IF(E46="None",1,IF(E46="Minimal",2,IF(E46="Moderate",3,IF(E46="Significant",4,IF(E46="Severe",5,0)))))</f>
        <v/>
      </c>
      <c r="P46" s="8" t="n"/>
      <c r="Q46" s="8" t="n"/>
    </row>
    <row r="47">
      <c r="A47" s="8" t="n"/>
      <c r="B47" s="8" t="n"/>
      <c r="C47" s="8" t="n"/>
      <c r="D47" s="8" t="n"/>
      <c r="E47" s="8" t="n"/>
      <c r="F47" s="8" t="n"/>
      <c r="G47" s="8" t="n"/>
      <c r="H47" s="8" t="n"/>
      <c r="I47" s="8" t="n"/>
      <c r="J47" s="8" t="n"/>
      <c r="K47" s="8" t="n"/>
      <c r="L47" s="8" t="n"/>
      <c r="M47" s="8" t="n"/>
      <c r="N47" s="8" t="n"/>
      <c r="O47" s="9">
        <f>IF(H47="Low",1,IF(H47="Medium",2,IF(H47="High",3,IF(H47="Critical",4,0))))*IF(E47="None",1,IF(E47="Minimal",2,IF(E47="Moderate",3,IF(E47="Significant",4,IF(E47="Severe",5,0)))))</f>
        <v/>
      </c>
      <c r="P47" s="8" t="n"/>
      <c r="Q47" s="8" t="n"/>
    </row>
    <row r="48">
      <c r="A48" s="8" t="n"/>
      <c r="B48" s="8" t="n"/>
      <c r="C48" s="8" t="n"/>
      <c r="D48" s="8" t="n"/>
      <c r="E48" s="8" t="n"/>
      <c r="F48" s="8" t="n"/>
      <c r="G48" s="8" t="n"/>
      <c r="H48" s="8" t="n"/>
      <c r="I48" s="8" t="n"/>
      <c r="J48" s="8" t="n"/>
      <c r="K48" s="8" t="n"/>
      <c r="L48" s="8" t="n"/>
      <c r="M48" s="8" t="n"/>
      <c r="N48" s="8" t="n"/>
      <c r="O48" s="9">
        <f>IF(H48="Low",1,IF(H48="Medium",2,IF(H48="High",3,IF(H48="Critical",4,0))))*IF(E48="None",1,IF(E48="Minimal",2,IF(E48="Moderate",3,IF(E48="Significant",4,IF(E48="Severe",5,0)))))</f>
        <v/>
      </c>
      <c r="P48" s="8" t="n"/>
      <c r="Q48" s="8" t="n"/>
    </row>
    <row r="49">
      <c r="A49" s="8" t="n"/>
      <c r="B49" s="8" t="n"/>
      <c r="C49" s="8" t="n"/>
      <c r="D49" s="8" t="n"/>
      <c r="E49" s="8" t="n"/>
      <c r="F49" s="8" t="n"/>
      <c r="G49" s="8" t="n"/>
      <c r="H49" s="8" t="n"/>
      <c r="I49" s="8" t="n"/>
      <c r="J49" s="8" t="n"/>
      <c r="K49" s="8" t="n"/>
      <c r="L49" s="8" t="n"/>
      <c r="M49" s="8" t="n"/>
      <c r="N49" s="8" t="n"/>
      <c r="O49" s="9">
        <f>IF(H49="Low",1,IF(H49="Medium",2,IF(H49="High",3,IF(H49="Critical",4,0))))*IF(E49="None",1,IF(E49="Minimal",2,IF(E49="Moderate",3,IF(E49="Significant",4,IF(E49="Severe",5,0)))))</f>
        <v/>
      </c>
      <c r="P49" s="8" t="n"/>
      <c r="Q49" s="8" t="n"/>
    </row>
    <row r="50">
      <c r="A50" s="8" t="n"/>
      <c r="B50" s="8" t="n"/>
      <c r="C50" s="8" t="n"/>
      <c r="D50" s="8" t="n"/>
      <c r="E50" s="8" t="n"/>
      <c r="F50" s="8" t="n"/>
      <c r="G50" s="8" t="n"/>
      <c r="H50" s="8" t="n"/>
      <c r="I50" s="8" t="n"/>
      <c r="J50" s="8" t="n"/>
      <c r="K50" s="8" t="n"/>
      <c r="L50" s="8" t="n"/>
      <c r="M50" s="8" t="n"/>
      <c r="N50" s="8" t="n"/>
      <c r="O50" s="9">
        <f>IF(H50="Low",1,IF(H50="Medium",2,IF(H50="High",3,IF(H50="Critical",4,0))))*IF(E50="None",1,IF(E50="Minimal",2,IF(E50="Moderate",3,IF(E50="Significant",4,IF(E50="Severe",5,0)))))</f>
        <v/>
      </c>
      <c r="P50" s="8" t="n"/>
      <c r="Q50" s="8" t="n"/>
    </row>
    <row r="51">
      <c r="A51" s="8" t="n"/>
      <c r="B51" s="8" t="n"/>
      <c r="C51" s="8" t="n"/>
      <c r="D51" s="8" t="n"/>
      <c r="E51" s="8" t="n"/>
      <c r="F51" s="8" t="n"/>
      <c r="G51" s="8" t="n"/>
      <c r="H51" s="8" t="n"/>
      <c r="I51" s="8" t="n"/>
      <c r="J51" s="8" t="n"/>
      <c r="K51" s="8" t="n"/>
      <c r="L51" s="8" t="n"/>
      <c r="M51" s="8" t="n"/>
      <c r="N51" s="8" t="n"/>
      <c r="O51" s="9">
        <f>IF(H51="Low",1,IF(H51="Medium",2,IF(H51="High",3,IF(H51="Critical",4,0))))*IF(E51="None",1,IF(E51="Minimal",2,IF(E51="Moderate",3,IF(E51="Significant",4,IF(E51="Severe",5,0)))))</f>
        <v/>
      </c>
      <c r="P51" s="8" t="n"/>
      <c r="Q51" s="8" t="n"/>
    </row>
    <row r="52">
      <c r="A52" s="8" t="n"/>
      <c r="B52" s="8" t="n"/>
      <c r="C52" s="8" t="n"/>
      <c r="D52" s="8" t="n"/>
      <c r="E52" s="8" t="n"/>
      <c r="F52" s="8" t="n"/>
      <c r="G52" s="8" t="n"/>
      <c r="H52" s="8" t="n"/>
      <c r="I52" s="8" t="n"/>
      <c r="J52" s="8" t="n"/>
      <c r="K52" s="8" t="n"/>
      <c r="L52" s="8" t="n"/>
      <c r="M52" s="8" t="n"/>
      <c r="N52" s="8" t="n"/>
      <c r="O52" s="9">
        <f>IF(H52="Low",1,IF(H52="Medium",2,IF(H52="High",3,IF(H52="Critical",4,0))))*IF(E52="None",1,IF(E52="Minimal",2,IF(E52="Moderate",3,IF(E52="Significant",4,IF(E52="Severe",5,0)))))</f>
        <v/>
      </c>
      <c r="P52" s="8" t="n"/>
      <c r="Q52" s="8" t="n"/>
    </row>
    <row r="53">
      <c r="A53" s="8" t="n"/>
      <c r="B53" s="8" t="n"/>
      <c r="C53" s="8" t="n"/>
      <c r="D53" s="8" t="n"/>
      <c r="E53" s="8" t="n"/>
      <c r="F53" s="8" t="n"/>
      <c r="G53" s="8" t="n"/>
      <c r="H53" s="8" t="n"/>
      <c r="I53" s="8" t="n"/>
      <c r="J53" s="8" t="n"/>
      <c r="K53" s="8" t="n"/>
      <c r="L53" s="8" t="n"/>
      <c r="M53" s="8" t="n"/>
      <c r="N53" s="8" t="n"/>
      <c r="O53" s="9">
        <f>IF(H53="Low",1,IF(H53="Medium",2,IF(H53="High",3,IF(H53="Critical",4,0))))*IF(E53="None",1,IF(E53="Minimal",2,IF(E53="Moderate",3,IF(E53="Significant",4,IF(E53="Severe",5,0)))))</f>
        <v/>
      </c>
      <c r="P53" s="8" t="n"/>
      <c r="Q53" s="8" t="n"/>
    </row>
    <row r="54">
      <c r="A54" s="8" t="n"/>
      <c r="B54" s="8" t="n"/>
      <c r="C54" s="8" t="n"/>
      <c r="D54" s="8" t="n"/>
      <c r="E54" s="8" t="n"/>
      <c r="F54" s="8" t="n"/>
      <c r="G54" s="8" t="n"/>
      <c r="H54" s="8" t="n"/>
      <c r="I54" s="8" t="n"/>
      <c r="J54" s="8" t="n"/>
      <c r="K54" s="8" t="n"/>
      <c r="L54" s="8" t="n"/>
      <c r="M54" s="8" t="n"/>
      <c r="N54" s="8" t="n"/>
      <c r="O54" s="9">
        <f>IF(H54="Low",1,IF(H54="Medium",2,IF(H54="High",3,IF(H54="Critical",4,0))))*IF(E54="None",1,IF(E54="Minimal",2,IF(E54="Moderate",3,IF(E54="Significant",4,IF(E54="Severe",5,0)))))</f>
        <v/>
      </c>
      <c r="P54" s="8" t="n"/>
      <c r="Q54" s="8" t="n"/>
    </row>
    <row r="55">
      <c r="A55" s="8" t="n"/>
      <c r="B55" s="8" t="n"/>
      <c r="C55" s="8" t="n"/>
      <c r="D55" s="8" t="n"/>
      <c r="E55" s="8" t="n"/>
      <c r="F55" s="8" t="n"/>
      <c r="G55" s="8" t="n"/>
      <c r="H55" s="8" t="n"/>
      <c r="I55" s="8" t="n"/>
      <c r="J55" s="8" t="n"/>
      <c r="K55" s="8" t="n"/>
      <c r="L55" s="8" t="n"/>
      <c r="M55" s="8" t="n"/>
      <c r="N55" s="8" t="n"/>
      <c r="O55" s="9">
        <f>IF(H55="Low",1,IF(H55="Medium",2,IF(H55="High",3,IF(H55="Critical",4,0))))*IF(E55="None",1,IF(E55="Minimal",2,IF(E55="Moderate",3,IF(E55="Significant",4,IF(E55="Severe",5,0)))))</f>
        <v/>
      </c>
      <c r="P55" s="8" t="n"/>
      <c r="Q55" s="8" t="n"/>
    </row>
    <row r="56">
      <c r="A56" s="8" t="n"/>
      <c r="B56" s="8" t="n"/>
      <c r="C56" s="8" t="n"/>
      <c r="D56" s="8" t="n"/>
      <c r="E56" s="8" t="n"/>
      <c r="F56" s="8" t="n"/>
      <c r="G56" s="8" t="n"/>
      <c r="H56" s="8" t="n"/>
      <c r="I56" s="8" t="n"/>
      <c r="J56" s="8" t="n"/>
      <c r="K56" s="8" t="n"/>
      <c r="L56" s="8" t="n"/>
      <c r="M56" s="8" t="n"/>
      <c r="N56" s="8" t="n"/>
      <c r="O56" s="9">
        <f>IF(H56="Low",1,IF(H56="Medium",2,IF(H56="High",3,IF(H56="Critical",4,0))))*IF(E56="None",1,IF(E56="Minimal",2,IF(E56="Moderate",3,IF(E56="Significant",4,IF(E56="Severe",5,0)))))</f>
        <v/>
      </c>
      <c r="P56" s="8" t="n"/>
      <c r="Q56" s="8" t="n"/>
    </row>
    <row r="57">
      <c r="A57" s="8" t="n"/>
      <c r="B57" s="8" t="n"/>
      <c r="C57" s="8" t="n"/>
      <c r="D57" s="8" t="n"/>
      <c r="E57" s="8" t="n"/>
      <c r="F57" s="8" t="n"/>
      <c r="G57" s="8" t="n"/>
      <c r="H57" s="8" t="n"/>
      <c r="I57" s="8" t="n"/>
      <c r="J57" s="8" t="n"/>
      <c r="K57" s="8" t="n"/>
      <c r="L57" s="8" t="n"/>
      <c r="M57" s="8" t="n"/>
      <c r="N57" s="8" t="n"/>
      <c r="O57" s="9">
        <f>IF(H57="Low",1,IF(H57="Medium",2,IF(H57="High",3,IF(H57="Critical",4,0))))*IF(E57="None",1,IF(E57="Minimal",2,IF(E57="Moderate",3,IF(E57="Significant",4,IF(E57="Severe",5,0)))))</f>
        <v/>
      </c>
      <c r="P57" s="8" t="n"/>
      <c r="Q57" s="8" t="n"/>
    </row>
    <row r="58">
      <c r="A58" s="8" t="n"/>
      <c r="B58" s="8" t="n"/>
      <c r="C58" s="8" t="n"/>
      <c r="D58" s="8" t="n"/>
      <c r="E58" s="8" t="n"/>
      <c r="F58" s="8" t="n"/>
      <c r="G58" s="8" t="n"/>
      <c r="H58" s="8" t="n"/>
      <c r="I58" s="8" t="n"/>
      <c r="J58" s="8" t="n"/>
      <c r="K58" s="8" t="n"/>
      <c r="L58" s="8" t="n"/>
      <c r="M58" s="8" t="n"/>
      <c r="N58" s="8" t="n"/>
      <c r="O58" s="9">
        <f>IF(H58="Low",1,IF(H58="Medium",2,IF(H58="High",3,IF(H58="Critical",4,0))))*IF(E58="None",1,IF(E58="Minimal",2,IF(E58="Moderate",3,IF(E58="Significant",4,IF(E58="Severe",5,0)))))</f>
        <v/>
      </c>
      <c r="P58" s="8" t="n"/>
      <c r="Q58" s="8" t="n"/>
    </row>
    <row r="59">
      <c r="A59" s="8" t="n"/>
      <c r="B59" s="8" t="n"/>
      <c r="C59" s="8" t="n"/>
      <c r="D59" s="8" t="n"/>
      <c r="E59" s="8" t="n"/>
      <c r="F59" s="8" t="n"/>
      <c r="G59" s="8" t="n"/>
      <c r="H59" s="8" t="n"/>
      <c r="I59" s="8" t="n"/>
      <c r="J59" s="8" t="n"/>
      <c r="K59" s="8" t="n"/>
      <c r="L59" s="8" t="n"/>
      <c r="M59" s="8" t="n"/>
      <c r="N59" s="8" t="n"/>
      <c r="O59" s="9">
        <f>IF(H59="Low",1,IF(H59="Medium",2,IF(H59="High",3,IF(H59="Critical",4,0))))*IF(E59="None",1,IF(E59="Minimal",2,IF(E59="Moderate",3,IF(E59="Significant",4,IF(E59="Severe",5,0)))))</f>
        <v/>
      </c>
      <c r="P59" s="8" t="n"/>
      <c r="Q59" s="8" t="n"/>
    </row>
    <row r="60">
      <c r="A60" s="8" t="n"/>
      <c r="B60" s="8" t="n"/>
      <c r="C60" s="8" t="n"/>
      <c r="D60" s="8" t="n"/>
      <c r="E60" s="8" t="n"/>
      <c r="F60" s="8" t="n"/>
      <c r="G60" s="8" t="n"/>
      <c r="H60" s="8" t="n"/>
      <c r="I60" s="8" t="n"/>
      <c r="J60" s="8" t="n"/>
      <c r="K60" s="8" t="n"/>
      <c r="L60" s="8" t="n"/>
      <c r="M60" s="8" t="n"/>
      <c r="N60" s="8" t="n"/>
      <c r="O60" s="9">
        <f>IF(H60="Low",1,IF(H60="Medium",2,IF(H60="High",3,IF(H60="Critical",4,0))))*IF(E60="None",1,IF(E60="Minimal",2,IF(E60="Moderate",3,IF(E60="Significant",4,IF(E60="Severe",5,0)))))</f>
        <v/>
      </c>
      <c r="P60" s="8" t="n"/>
      <c r="Q60" s="8" t="n"/>
    </row>
    <row r="61">
      <c r="A61" s="8" t="n"/>
      <c r="B61" s="8" t="n"/>
      <c r="C61" s="8" t="n"/>
      <c r="D61" s="8" t="n"/>
      <c r="E61" s="8" t="n"/>
      <c r="F61" s="8" t="n"/>
      <c r="G61" s="8" t="n"/>
      <c r="H61" s="8" t="n"/>
      <c r="I61" s="8" t="n"/>
      <c r="J61" s="8" t="n"/>
      <c r="K61" s="8" t="n"/>
      <c r="L61" s="8" t="n"/>
      <c r="M61" s="8" t="n"/>
      <c r="N61" s="8" t="n"/>
      <c r="O61" s="9">
        <f>IF(H61="Low",1,IF(H61="Medium",2,IF(H61="High",3,IF(H61="Critical",4,0))))*IF(E61="None",1,IF(E61="Minimal",2,IF(E61="Moderate",3,IF(E61="Significant",4,IF(E61="Severe",5,0)))))</f>
        <v/>
      </c>
      <c r="P61" s="8" t="n"/>
      <c r="Q61" s="8" t="n"/>
    </row>
    <row r="62">
      <c r="A62" s="8" t="n"/>
      <c r="B62" s="8" t="n"/>
      <c r="C62" s="8" t="n"/>
      <c r="D62" s="8" t="n"/>
      <c r="E62" s="8" t="n"/>
      <c r="F62" s="8" t="n"/>
      <c r="G62" s="8" t="n"/>
      <c r="H62" s="8" t="n"/>
      <c r="I62" s="8" t="n"/>
      <c r="J62" s="8" t="n"/>
      <c r="K62" s="8" t="n"/>
      <c r="L62" s="8" t="n"/>
      <c r="M62" s="8" t="n"/>
      <c r="N62" s="8" t="n"/>
      <c r="O62" s="9">
        <f>IF(H62="Low",1,IF(H62="Medium",2,IF(H62="High",3,IF(H62="Critical",4,0))))*IF(E62="None",1,IF(E62="Minimal",2,IF(E62="Moderate",3,IF(E62="Significant",4,IF(E62="Severe",5,0)))))</f>
        <v/>
      </c>
      <c r="P62" s="8" t="n"/>
      <c r="Q62" s="8" t="n"/>
    </row>
    <row r="63">
      <c r="A63" s="8" t="n"/>
      <c r="B63" s="8" t="n"/>
      <c r="C63" s="8" t="n"/>
      <c r="D63" s="8" t="n"/>
      <c r="E63" s="8" t="n"/>
      <c r="F63" s="8" t="n"/>
      <c r="G63" s="8" t="n"/>
      <c r="H63" s="8" t="n"/>
      <c r="I63" s="8" t="n"/>
      <c r="J63" s="8" t="n"/>
      <c r="K63" s="8" t="n"/>
      <c r="L63" s="8" t="n"/>
      <c r="M63" s="8" t="n"/>
      <c r="N63" s="8" t="n"/>
      <c r="O63" s="9">
        <f>IF(H63="Low",1,IF(H63="Medium",2,IF(H63="High",3,IF(H63="Critical",4,0))))*IF(E63="None",1,IF(E63="Minimal",2,IF(E63="Moderate",3,IF(E63="Significant",4,IF(E63="Severe",5,0)))))</f>
        <v/>
      </c>
      <c r="P63" s="8" t="n"/>
      <c r="Q63" s="8" t="n"/>
    </row>
    <row r="64">
      <c r="A64" s="8" t="n"/>
      <c r="B64" s="8" t="n"/>
      <c r="C64" s="8" t="n"/>
      <c r="D64" s="8" t="n"/>
      <c r="E64" s="8" t="n"/>
      <c r="F64" s="8" t="n"/>
      <c r="G64" s="8" t="n"/>
      <c r="H64" s="8" t="n"/>
      <c r="I64" s="8" t="n"/>
      <c r="J64" s="8" t="n"/>
      <c r="K64" s="8" t="n"/>
      <c r="L64" s="8" t="n"/>
      <c r="M64" s="8" t="n"/>
      <c r="N64" s="8" t="n"/>
      <c r="O64" s="9">
        <f>IF(H64="Low",1,IF(H64="Medium",2,IF(H64="High",3,IF(H64="Critical",4,0))))*IF(E64="None",1,IF(E64="Minimal",2,IF(E64="Moderate",3,IF(E64="Significant",4,IF(E64="Severe",5,0)))))</f>
        <v/>
      </c>
      <c r="P64" s="8" t="n"/>
      <c r="Q64" s="8" t="n"/>
    </row>
    <row r="65">
      <c r="A65" s="8" t="n"/>
      <c r="B65" s="8" t="n"/>
      <c r="C65" s="8" t="n"/>
      <c r="D65" s="8" t="n"/>
      <c r="E65" s="8" t="n"/>
      <c r="F65" s="8" t="n"/>
      <c r="G65" s="8" t="n"/>
      <c r="H65" s="8" t="n"/>
      <c r="I65" s="8" t="n"/>
      <c r="J65" s="8" t="n"/>
      <c r="K65" s="8" t="n"/>
      <c r="L65" s="8" t="n"/>
      <c r="M65" s="8" t="n"/>
      <c r="N65" s="8" t="n"/>
      <c r="O65" s="9">
        <f>IF(H65="Low",1,IF(H65="Medium",2,IF(H65="High",3,IF(H65="Critical",4,0))))*IF(E65="None",1,IF(E65="Minimal",2,IF(E65="Moderate",3,IF(E65="Significant",4,IF(E65="Severe",5,0)))))</f>
        <v/>
      </c>
      <c r="P65" s="8" t="n"/>
      <c r="Q65" s="8" t="n"/>
    </row>
    <row r="66">
      <c r="A66" s="8" t="n"/>
      <c r="B66" s="8" t="n"/>
      <c r="C66" s="8" t="n"/>
      <c r="D66" s="8" t="n"/>
      <c r="E66" s="8" t="n"/>
      <c r="F66" s="8" t="n"/>
      <c r="G66" s="8" t="n"/>
      <c r="H66" s="8" t="n"/>
      <c r="I66" s="8" t="n"/>
      <c r="J66" s="8" t="n"/>
      <c r="K66" s="8" t="n"/>
      <c r="L66" s="8" t="n"/>
      <c r="M66" s="8" t="n"/>
      <c r="N66" s="8" t="n"/>
      <c r="O66" s="9">
        <f>IF(H66="Low",1,IF(H66="Medium",2,IF(H66="High",3,IF(H66="Critical",4,0))))*IF(E66="None",1,IF(E66="Minimal",2,IF(E66="Moderate",3,IF(E66="Significant",4,IF(E66="Severe",5,0)))))</f>
        <v/>
      </c>
      <c r="P66" s="8" t="n"/>
      <c r="Q66" s="8" t="n"/>
    </row>
    <row r="67">
      <c r="A67" s="8" t="n"/>
      <c r="B67" s="8" t="n"/>
      <c r="C67" s="8" t="n"/>
      <c r="D67" s="8" t="n"/>
      <c r="E67" s="8" t="n"/>
      <c r="F67" s="8" t="n"/>
      <c r="G67" s="8" t="n"/>
      <c r="H67" s="8" t="n"/>
      <c r="I67" s="8" t="n"/>
      <c r="J67" s="8" t="n"/>
      <c r="K67" s="8" t="n"/>
      <c r="L67" s="8" t="n"/>
      <c r="M67" s="8" t="n"/>
      <c r="N67" s="8" t="n"/>
      <c r="O67" s="9">
        <f>IF(H67="Low",1,IF(H67="Medium",2,IF(H67="High",3,IF(H67="Critical",4,0))))*IF(E67="None",1,IF(E67="Minimal",2,IF(E67="Moderate",3,IF(E67="Significant",4,IF(E67="Severe",5,0)))))</f>
        <v/>
      </c>
      <c r="P67" s="8" t="n"/>
      <c r="Q67" s="8" t="n"/>
    </row>
    <row r="68">
      <c r="A68" s="8" t="n"/>
      <c r="B68" s="8" t="n"/>
      <c r="C68" s="8" t="n"/>
      <c r="D68" s="8" t="n"/>
      <c r="E68" s="8" t="n"/>
      <c r="F68" s="8" t="n"/>
      <c r="G68" s="8" t="n"/>
      <c r="H68" s="8" t="n"/>
      <c r="I68" s="8" t="n"/>
      <c r="J68" s="8" t="n"/>
      <c r="K68" s="8" t="n"/>
      <c r="L68" s="8" t="n"/>
      <c r="M68" s="8" t="n"/>
      <c r="N68" s="8" t="n"/>
      <c r="O68" s="9">
        <f>IF(H68="Low",1,IF(H68="Medium",2,IF(H68="High",3,IF(H68="Critical",4,0))))*IF(E68="None",1,IF(E68="Minimal",2,IF(E68="Moderate",3,IF(E68="Significant",4,IF(E68="Severe",5,0)))))</f>
        <v/>
      </c>
      <c r="P68" s="8" t="n"/>
      <c r="Q68" s="8" t="n"/>
    </row>
    <row r="69">
      <c r="A69" s="8" t="n"/>
      <c r="B69" s="8" t="n"/>
      <c r="C69" s="8" t="n"/>
      <c r="D69" s="8" t="n"/>
      <c r="E69" s="8" t="n"/>
      <c r="F69" s="8" t="n"/>
      <c r="G69" s="8" t="n"/>
      <c r="H69" s="8" t="n"/>
      <c r="I69" s="8" t="n"/>
      <c r="J69" s="8" t="n"/>
      <c r="K69" s="8" t="n"/>
      <c r="L69" s="8" t="n"/>
      <c r="M69" s="8" t="n"/>
      <c r="N69" s="8" t="n"/>
      <c r="O69" s="9">
        <f>IF(H69="Low",1,IF(H69="Medium",2,IF(H69="High",3,IF(H69="Critical",4,0))))*IF(E69="None",1,IF(E69="Minimal",2,IF(E69="Moderate",3,IF(E69="Significant",4,IF(E69="Severe",5,0)))))</f>
        <v/>
      </c>
      <c r="P69" s="8" t="n"/>
      <c r="Q69" s="8" t="n"/>
    </row>
    <row r="70">
      <c r="A70" s="8" t="n"/>
      <c r="B70" s="8" t="n"/>
      <c r="C70" s="8" t="n"/>
      <c r="D70" s="8" t="n"/>
      <c r="E70" s="8" t="n"/>
      <c r="F70" s="8" t="n"/>
      <c r="G70" s="8" t="n"/>
      <c r="H70" s="8" t="n"/>
      <c r="I70" s="8" t="n"/>
      <c r="J70" s="8" t="n"/>
      <c r="K70" s="8" t="n"/>
      <c r="L70" s="8" t="n"/>
      <c r="M70" s="8" t="n"/>
      <c r="N70" s="8" t="n"/>
      <c r="O70" s="9">
        <f>IF(H70="Low",1,IF(H70="Medium",2,IF(H70="High",3,IF(H70="Critical",4,0))))*IF(E70="None",1,IF(E70="Minimal",2,IF(E70="Moderate",3,IF(E70="Significant",4,IF(E70="Severe",5,0)))))</f>
        <v/>
      </c>
      <c r="P70" s="8" t="n"/>
      <c r="Q70" s="8" t="n"/>
    </row>
    <row r="71">
      <c r="A71" s="8" t="n"/>
      <c r="B71" s="8" t="n"/>
      <c r="C71" s="8" t="n"/>
      <c r="D71" s="8" t="n"/>
      <c r="E71" s="8" t="n"/>
      <c r="F71" s="8" t="n"/>
      <c r="G71" s="8" t="n"/>
      <c r="H71" s="8" t="n"/>
      <c r="I71" s="8" t="n"/>
      <c r="J71" s="8" t="n"/>
      <c r="K71" s="8" t="n"/>
      <c r="L71" s="8" t="n"/>
      <c r="M71" s="8" t="n"/>
      <c r="N71" s="8" t="n"/>
      <c r="O71" s="9">
        <f>IF(H71="Low",1,IF(H71="Medium",2,IF(H71="High",3,IF(H71="Critical",4,0))))*IF(E71="None",1,IF(E71="Minimal",2,IF(E71="Moderate",3,IF(E71="Significant",4,IF(E71="Severe",5,0)))))</f>
        <v/>
      </c>
      <c r="P71" s="8" t="n"/>
      <c r="Q71" s="8" t="n"/>
    </row>
    <row r="72">
      <c r="A72" s="8" t="n"/>
      <c r="B72" s="8" t="n"/>
      <c r="C72" s="8" t="n"/>
      <c r="D72" s="8" t="n"/>
      <c r="E72" s="8" t="n"/>
      <c r="F72" s="8" t="n"/>
      <c r="G72" s="8" t="n"/>
      <c r="H72" s="8" t="n"/>
      <c r="I72" s="8" t="n"/>
      <c r="J72" s="8" t="n"/>
      <c r="K72" s="8" t="n"/>
      <c r="L72" s="8" t="n"/>
      <c r="M72" s="8" t="n"/>
      <c r="N72" s="8" t="n"/>
      <c r="O72" s="9">
        <f>IF(H72="Low",1,IF(H72="Medium",2,IF(H72="High",3,IF(H72="Critical",4,0))))*IF(E72="None",1,IF(E72="Minimal",2,IF(E72="Moderate",3,IF(E72="Significant",4,IF(E72="Severe",5,0)))))</f>
        <v/>
      </c>
      <c r="P72" s="8" t="n"/>
      <c r="Q72" s="8" t="n"/>
    </row>
    <row r="73">
      <c r="A73" s="8" t="n"/>
      <c r="B73" s="8" t="n"/>
      <c r="C73" s="8" t="n"/>
      <c r="D73" s="8" t="n"/>
      <c r="E73" s="8" t="n"/>
      <c r="F73" s="8" t="n"/>
      <c r="G73" s="8" t="n"/>
      <c r="H73" s="8" t="n"/>
      <c r="I73" s="8" t="n"/>
      <c r="J73" s="8" t="n"/>
      <c r="K73" s="8" t="n"/>
      <c r="L73" s="8" t="n"/>
      <c r="M73" s="8" t="n"/>
      <c r="N73" s="8" t="n"/>
      <c r="O73" s="9">
        <f>IF(H73="Low",1,IF(H73="Medium",2,IF(H73="High",3,IF(H73="Critical",4,0))))*IF(E73="None",1,IF(E73="Minimal",2,IF(E73="Moderate",3,IF(E73="Significant",4,IF(E73="Severe",5,0)))))</f>
        <v/>
      </c>
      <c r="P73" s="8" t="n"/>
      <c r="Q73" s="8" t="n"/>
    </row>
    <row r="74">
      <c r="A74" s="8" t="n"/>
      <c r="B74" s="8" t="n"/>
      <c r="C74" s="8" t="n"/>
      <c r="D74" s="8" t="n"/>
      <c r="E74" s="8" t="n"/>
      <c r="F74" s="8" t="n"/>
      <c r="G74" s="8" t="n"/>
      <c r="H74" s="8" t="n"/>
      <c r="I74" s="8" t="n"/>
      <c r="J74" s="8" t="n"/>
      <c r="K74" s="8" t="n"/>
      <c r="L74" s="8" t="n"/>
      <c r="M74" s="8" t="n"/>
      <c r="N74" s="8" t="n"/>
      <c r="O74" s="9">
        <f>IF(H74="Low",1,IF(H74="Medium",2,IF(H74="High",3,IF(H74="Critical",4,0))))*IF(E74="None",1,IF(E74="Minimal",2,IF(E74="Moderate",3,IF(E74="Significant",4,IF(E74="Severe",5,0)))))</f>
        <v/>
      </c>
      <c r="P74" s="8" t="n"/>
      <c r="Q74" s="8" t="n"/>
    </row>
    <row r="75">
      <c r="A75" s="8" t="n"/>
      <c r="B75" s="8" t="n"/>
      <c r="C75" s="8" t="n"/>
      <c r="D75" s="8" t="n"/>
      <c r="E75" s="8" t="n"/>
      <c r="F75" s="8" t="n"/>
      <c r="G75" s="8" t="n"/>
      <c r="H75" s="8" t="n"/>
      <c r="I75" s="8" t="n"/>
      <c r="J75" s="8" t="n"/>
      <c r="K75" s="8" t="n"/>
      <c r="L75" s="8" t="n"/>
      <c r="M75" s="8" t="n"/>
      <c r="N75" s="8" t="n"/>
      <c r="O75" s="9">
        <f>IF(H75="Low",1,IF(H75="Medium",2,IF(H75="High",3,IF(H75="Critical",4,0))))*IF(E75="None",1,IF(E75="Minimal",2,IF(E75="Moderate",3,IF(E75="Significant",4,IF(E75="Severe",5,0)))))</f>
        <v/>
      </c>
      <c r="P75" s="8" t="n"/>
      <c r="Q75" s="8" t="n"/>
    </row>
    <row r="76">
      <c r="A76" s="8" t="n"/>
      <c r="B76" s="8" t="n"/>
      <c r="C76" s="8" t="n"/>
      <c r="D76" s="8" t="n"/>
      <c r="E76" s="8" t="n"/>
      <c r="F76" s="8" t="n"/>
      <c r="G76" s="8" t="n"/>
      <c r="H76" s="8" t="n"/>
      <c r="I76" s="8" t="n"/>
      <c r="J76" s="8" t="n"/>
      <c r="K76" s="8" t="n"/>
      <c r="L76" s="8" t="n"/>
      <c r="M76" s="8" t="n"/>
      <c r="N76" s="8" t="n"/>
      <c r="O76" s="9">
        <f>IF(H76="Low",1,IF(H76="Medium",2,IF(H76="High",3,IF(H76="Critical",4,0))))*IF(E76="None",1,IF(E76="Minimal",2,IF(E76="Moderate",3,IF(E76="Significant",4,IF(E76="Severe",5,0)))))</f>
        <v/>
      </c>
      <c r="P76" s="8" t="n"/>
      <c r="Q76" s="8" t="n"/>
    </row>
    <row r="77">
      <c r="A77" s="8" t="n"/>
      <c r="B77" s="8" t="n"/>
      <c r="C77" s="8" t="n"/>
      <c r="D77" s="8" t="n"/>
      <c r="E77" s="8" t="n"/>
      <c r="F77" s="8" t="n"/>
      <c r="G77" s="8" t="n"/>
      <c r="H77" s="8" t="n"/>
      <c r="I77" s="8" t="n"/>
      <c r="J77" s="8" t="n"/>
      <c r="K77" s="8" t="n"/>
      <c r="L77" s="8" t="n"/>
      <c r="M77" s="8" t="n"/>
      <c r="N77" s="8" t="n"/>
      <c r="O77" s="9">
        <f>IF(H77="Low",1,IF(H77="Medium",2,IF(H77="High",3,IF(H77="Critical",4,0))))*IF(E77="None",1,IF(E77="Minimal",2,IF(E77="Moderate",3,IF(E77="Significant",4,IF(E77="Severe",5,0)))))</f>
        <v/>
      </c>
      <c r="P77" s="8" t="n"/>
      <c r="Q77" s="8" t="n"/>
    </row>
    <row r="78">
      <c r="A78" s="8" t="n"/>
      <c r="B78" s="8" t="n"/>
      <c r="C78" s="8" t="n"/>
      <c r="D78" s="8" t="n"/>
      <c r="E78" s="8" t="n"/>
      <c r="F78" s="8" t="n"/>
      <c r="G78" s="8" t="n"/>
      <c r="H78" s="8" t="n"/>
      <c r="I78" s="8" t="n"/>
      <c r="J78" s="8" t="n"/>
      <c r="K78" s="8" t="n"/>
      <c r="L78" s="8" t="n"/>
      <c r="M78" s="8" t="n"/>
      <c r="N78" s="8" t="n"/>
      <c r="O78" s="9">
        <f>IF(H78="Low",1,IF(H78="Medium",2,IF(H78="High",3,IF(H78="Critical",4,0))))*IF(E78="None",1,IF(E78="Minimal",2,IF(E78="Moderate",3,IF(E78="Significant",4,IF(E78="Severe",5,0)))))</f>
        <v/>
      </c>
      <c r="P78" s="8" t="n"/>
      <c r="Q78" s="8" t="n"/>
    </row>
    <row r="79">
      <c r="A79" s="8" t="n"/>
      <c r="B79" s="8" t="n"/>
      <c r="C79" s="8" t="n"/>
      <c r="D79" s="8" t="n"/>
      <c r="E79" s="8" t="n"/>
      <c r="F79" s="8" t="n"/>
      <c r="G79" s="8" t="n"/>
      <c r="H79" s="8" t="n"/>
      <c r="I79" s="8" t="n"/>
      <c r="J79" s="8" t="n"/>
      <c r="K79" s="8" t="n"/>
      <c r="L79" s="8" t="n"/>
      <c r="M79" s="8" t="n"/>
      <c r="N79" s="8" t="n"/>
      <c r="O79" s="9">
        <f>IF(H79="Low",1,IF(H79="Medium",2,IF(H79="High",3,IF(H79="Critical",4,0))))*IF(E79="None",1,IF(E79="Minimal",2,IF(E79="Moderate",3,IF(E79="Significant",4,IF(E79="Severe",5,0)))))</f>
        <v/>
      </c>
      <c r="P79" s="8" t="n"/>
      <c r="Q79" s="8" t="n"/>
    </row>
    <row r="80">
      <c r="A80" s="8" t="n"/>
      <c r="B80" s="8" t="n"/>
      <c r="C80" s="8" t="n"/>
      <c r="D80" s="8" t="n"/>
      <c r="E80" s="8" t="n"/>
      <c r="F80" s="8" t="n"/>
      <c r="G80" s="8" t="n"/>
      <c r="H80" s="8" t="n"/>
      <c r="I80" s="8" t="n"/>
      <c r="J80" s="8" t="n"/>
      <c r="K80" s="8" t="n"/>
      <c r="L80" s="8" t="n"/>
      <c r="M80" s="8" t="n"/>
      <c r="N80" s="8" t="n"/>
      <c r="O80" s="9">
        <f>IF(H80="Low",1,IF(H80="Medium",2,IF(H80="High",3,IF(H80="Critical",4,0))))*IF(E80="None",1,IF(E80="Minimal",2,IF(E80="Moderate",3,IF(E80="Significant",4,IF(E80="Severe",5,0)))))</f>
        <v/>
      </c>
      <c r="P80" s="8" t="n"/>
      <c r="Q80" s="8" t="n"/>
    </row>
    <row r="81">
      <c r="A81" s="8" t="n"/>
      <c r="B81" s="8" t="n"/>
      <c r="C81" s="8" t="n"/>
      <c r="D81" s="8" t="n"/>
      <c r="E81" s="8" t="n"/>
      <c r="F81" s="8" t="n"/>
      <c r="G81" s="8" t="n"/>
      <c r="H81" s="8" t="n"/>
      <c r="I81" s="8" t="n"/>
      <c r="J81" s="8" t="n"/>
      <c r="K81" s="8" t="n"/>
      <c r="L81" s="8" t="n"/>
      <c r="M81" s="8" t="n"/>
      <c r="N81" s="8" t="n"/>
      <c r="O81" s="9">
        <f>IF(H81="Low",1,IF(H81="Medium",2,IF(H81="High",3,IF(H81="Critical",4,0))))*IF(E81="None",1,IF(E81="Minimal",2,IF(E81="Moderate",3,IF(E81="Significant",4,IF(E81="Severe",5,0)))))</f>
        <v/>
      </c>
      <c r="P81" s="8" t="n"/>
      <c r="Q81" s="8" t="n"/>
    </row>
    <row r="82">
      <c r="A82" s="8" t="n"/>
      <c r="B82" s="8" t="n"/>
      <c r="C82" s="8" t="n"/>
      <c r="D82" s="8" t="n"/>
      <c r="E82" s="8" t="n"/>
      <c r="F82" s="8" t="n"/>
      <c r="G82" s="8" t="n"/>
      <c r="H82" s="8" t="n"/>
      <c r="I82" s="8" t="n"/>
      <c r="J82" s="8" t="n"/>
      <c r="K82" s="8" t="n"/>
      <c r="L82" s="8" t="n"/>
      <c r="M82" s="8" t="n"/>
      <c r="N82" s="8" t="n"/>
      <c r="O82" s="9">
        <f>IF(H82="Low",1,IF(H82="Medium",2,IF(H82="High",3,IF(H82="Critical",4,0))))*IF(E82="None",1,IF(E82="Minimal",2,IF(E82="Moderate",3,IF(E82="Significant",4,IF(E82="Severe",5,0)))))</f>
        <v/>
      </c>
      <c r="P82" s="8" t="n"/>
      <c r="Q82" s="8" t="n"/>
    </row>
    <row r="83">
      <c r="A83" s="8" t="n"/>
      <c r="B83" s="8" t="n"/>
      <c r="C83" s="8" t="n"/>
      <c r="D83" s="8" t="n"/>
      <c r="E83" s="8" t="n"/>
      <c r="F83" s="8" t="n"/>
      <c r="G83" s="8" t="n"/>
      <c r="H83" s="8" t="n"/>
      <c r="I83" s="8" t="n"/>
      <c r="J83" s="8" t="n"/>
      <c r="K83" s="8" t="n"/>
      <c r="L83" s="8" t="n"/>
      <c r="M83" s="8" t="n"/>
      <c r="N83" s="8" t="n"/>
      <c r="O83" s="9">
        <f>IF(H83="Low",1,IF(H83="Medium",2,IF(H83="High",3,IF(H83="Critical",4,0))))*IF(E83="None",1,IF(E83="Minimal",2,IF(E83="Moderate",3,IF(E83="Significant",4,IF(E83="Severe",5,0)))))</f>
        <v/>
      </c>
      <c r="P83" s="8" t="n"/>
      <c r="Q83" s="8" t="n"/>
    </row>
    <row r="84">
      <c r="A84" s="8" t="n"/>
      <c r="B84" s="8" t="n"/>
      <c r="C84" s="8" t="n"/>
      <c r="D84" s="8" t="n"/>
      <c r="E84" s="8" t="n"/>
      <c r="F84" s="8" t="n"/>
      <c r="G84" s="8" t="n"/>
      <c r="H84" s="8" t="n"/>
      <c r="I84" s="8" t="n"/>
      <c r="J84" s="8" t="n"/>
      <c r="K84" s="8" t="n"/>
      <c r="L84" s="8" t="n"/>
      <c r="M84" s="8" t="n"/>
      <c r="N84" s="8" t="n"/>
      <c r="O84" s="9">
        <f>IF(H84="Low",1,IF(H84="Medium",2,IF(H84="High",3,IF(H84="Critical",4,0))))*IF(E84="None",1,IF(E84="Minimal",2,IF(E84="Moderate",3,IF(E84="Significant",4,IF(E84="Severe",5,0)))))</f>
        <v/>
      </c>
      <c r="P84" s="8" t="n"/>
      <c r="Q84" s="8" t="n"/>
    </row>
    <row r="85">
      <c r="A85" s="8" t="n"/>
      <c r="B85" s="8" t="n"/>
      <c r="C85" s="8" t="n"/>
      <c r="D85" s="8" t="n"/>
      <c r="E85" s="8" t="n"/>
      <c r="F85" s="8" t="n"/>
      <c r="G85" s="8" t="n"/>
      <c r="H85" s="8" t="n"/>
      <c r="I85" s="8" t="n"/>
      <c r="J85" s="8" t="n"/>
      <c r="K85" s="8" t="n"/>
      <c r="L85" s="8" t="n"/>
      <c r="M85" s="8" t="n"/>
      <c r="N85" s="8" t="n"/>
      <c r="O85" s="9">
        <f>IF(H85="Low",1,IF(H85="Medium",2,IF(H85="High",3,IF(H85="Critical",4,0))))*IF(E85="None",1,IF(E85="Minimal",2,IF(E85="Moderate",3,IF(E85="Significant",4,IF(E85="Severe",5,0)))))</f>
        <v/>
      </c>
      <c r="P85" s="8" t="n"/>
      <c r="Q85" s="8" t="n"/>
    </row>
    <row r="86">
      <c r="A86" s="8" t="n"/>
      <c r="B86" s="8" t="n"/>
      <c r="C86" s="8" t="n"/>
      <c r="D86" s="8" t="n"/>
      <c r="E86" s="8" t="n"/>
      <c r="F86" s="8" t="n"/>
      <c r="G86" s="8" t="n"/>
      <c r="H86" s="8" t="n"/>
      <c r="I86" s="8" t="n"/>
      <c r="J86" s="8" t="n"/>
      <c r="K86" s="8" t="n"/>
      <c r="L86" s="8" t="n"/>
      <c r="M86" s="8" t="n"/>
      <c r="N86" s="8" t="n"/>
      <c r="O86" s="9">
        <f>IF(H86="Low",1,IF(H86="Medium",2,IF(H86="High",3,IF(H86="Critical",4,0))))*IF(E86="None",1,IF(E86="Minimal",2,IF(E86="Moderate",3,IF(E86="Significant",4,IF(E86="Severe",5,0)))))</f>
        <v/>
      </c>
      <c r="P86" s="8" t="n"/>
      <c r="Q86" s="8" t="n"/>
    </row>
    <row r="87">
      <c r="A87" s="8" t="n"/>
      <c r="B87" s="8" t="n"/>
      <c r="C87" s="8" t="n"/>
      <c r="D87" s="8" t="n"/>
      <c r="E87" s="8" t="n"/>
      <c r="F87" s="8" t="n"/>
      <c r="G87" s="8" t="n"/>
      <c r="H87" s="8" t="n"/>
      <c r="I87" s="8" t="n"/>
      <c r="J87" s="8" t="n"/>
      <c r="K87" s="8" t="n"/>
      <c r="L87" s="8" t="n"/>
      <c r="M87" s="8" t="n"/>
      <c r="N87" s="8" t="n"/>
      <c r="O87" s="9">
        <f>IF(H87="Low",1,IF(H87="Medium",2,IF(H87="High",3,IF(H87="Critical",4,0))))*IF(E87="None",1,IF(E87="Minimal",2,IF(E87="Moderate",3,IF(E87="Significant",4,IF(E87="Severe",5,0)))))</f>
        <v/>
      </c>
      <c r="P87" s="8" t="n"/>
      <c r="Q87" s="8" t="n"/>
    </row>
    <row r="88">
      <c r="A88" s="8" t="n"/>
      <c r="B88" s="8" t="n"/>
      <c r="C88" s="8" t="n"/>
      <c r="D88" s="8" t="n"/>
      <c r="E88" s="8" t="n"/>
      <c r="F88" s="8" t="n"/>
      <c r="G88" s="8" t="n"/>
      <c r="H88" s="8" t="n"/>
      <c r="I88" s="8" t="n"/>
      <c r="J88" s="8" t="n"/>
      <c r="K88" s="8" t="n"/>
      <c r="L88" s="8" t="n"/>
      <c r="M88" s="8" t="n"/>
      <c r="N88" s="8" t="n"/>
      <c r="O88" s="9">
        <f>IF(H88="Low",1,IF(H88="Medium",2,IF(H88="High",3,IF(H88="Critical",4,0))))*IF(E88="None",1,IF(E88="Minimal",2,IF(E88="Moderate",3,IF(E88="Significant",4,IF(E88="Severe",5,0)))))</f>
        <v/>
      </c>
      <c r="P88" s="8" t="n"/>
      <c r="Q88" s="8" t="n"/>
    </row>
    <row r="89">
      <c r="A89" s="8" t="n"/>
      <c r="B89" s="8" t="n"/>
      <c r="C89" s="8" t="n"/>
      <c r="D89" s="8" t="n"/>
      <c r="E89" s="8" t="n"/>
      <c r="F89" s="8" t="n"/>
      <c r="G89" s="8" t="n"/>
      <c r="H89" s="8" t="n"/>
      <c r="I89" s="8" t="n"/>
      <c r="J89" s="8" t="n"/>
      <c r="K89" s="8" t="n"/>
      <c r="L89" s="8" t="n"/>
      <c r="M89" s="8" t="n"/>
      <c r="N89" s="8" t="n"/>
      <c r="O89" s="9">
        <f>IF(H89="Low",1,IF(H89="Medium",2,IF(H89="High",3,IF(H89="Critical",4,0))))*IF(E89="None",1,IF(E89="Minimal",2,IF(E89="Moderate",3,IF(E89="Significant",4,IF(E89="Severe",5,0)))))</f>
        <v/>
      </c>
      <c r="P89" s="8" t="n"/>
      <c r="Q89" s="8" t="n"/>
    </row>
    <row r="90">
      <c r="A90" s="8" t="n"/>
      <c r="B90" s="8" t="n"/>
      <c r="C90" s="8" t="n"/>
      <c r="D90" s="8" t="n"/>
      <c r="E90" s="8" t="n"/>
      <c r="F90" s="8" t="n"/>
      <c r="G90" s="8" t="n"/>
      <c r="H90" s="8" t="n"/>
      <c r="I90" s="8" t="n"/>
      <c r="J90" s="8" t="n"/>
      <c r="K90" s="8" t="n"/>
      <c r="L90" s="8" t="n"/>
      <c r="M90" s="8" t="n"/>
      <c r="N90" s="8" t="n"/>
      <c r="O90" s="9">
        <f>IF(H90="Low",1,IF(H90="Medium",2,IF(H90="High",3,IF(H90="Critical",4,0))))*IF(E90="None",1,IF(E90="Minimal",2,IF(E90="Moderate",3,IF(E90="Significant",4,IF(E90="Severe",5,0)))))</f>
        <v/>
      </c>
      <c r="P90" s="8" t="n"/>
      <c r="Q90" s="8" t="n"/>
    </row>
    <row r="91">
      <c r="A91" s="8" t="n"/>
      <c r="B91" s="8" t="n"/>
      <c r="C91" s="8" t="n"/>
      <c r="D91" s="8" t="n"/>
      <c r="E91" s="8" t="n"/>
      <c r="F91" s="8" t="n"/>
      <c r="G91" s="8" t="n"/>
      <c r="H91" s="8" t="n"/>
      <c r="I91" s="8" t="n"/>
      <c r="J91" s="8" t="n"/>
      <c r="K91" s="8" t="n"/>
      <c r="L91" s="8" t="n"/>
      <c r="M91" s="8" t="n"/>
      <c r="N91" s="8" t="n"/>
      <c r="O91" s="9">
        <f>IF(H91="Low",1,IF(H91="Medium",2,IF(H91="High",3,IF(H91="Critical",4,0))))*IF(E91="None",1,IF(E91="Minimal",2,IF(E91="Moderate",3,IF(E91="Significant",4,IF(E91="Severe",5,0)))))</f>
        <v/>
      </c>
      <c r="P91" s="8" t="n"/>
      <c r="Q91" s="8" t="n"/>
    </row>
    <row r="92">
      <c r="A92" s="8" t="n"/>
      <c r="B92" s="8" t="n"/>
      <c r="C92" s="8" t="n"/>
      <c r="D92" s="8" t="n"/>
      <c r="E92" s="8" t="n"/>
      <c r="F92" s="8" t="n"/>
      <c r="G92" s="8" t="n"/>
      <c r="H92" s="8" t="n"/>
      <c r="I92" s="8" t="n"/>
      <c r="J92" s="8" t="n"/>
      <c r="K92" s="8" t="n"/>
      <c r="L92" s="8" t="n"/>
      <c r="M92" s="8" t="n"/>
      <c r="N92" s="8" t="n"/>
      <c r="O92" s="9">
        <f>IF(H92="Low",1,IF(H92="Medium",2,IF(H92="High",3,IF(H92="Critical",4,0))))*IF(E92="None",1,IF(E92="Minimal",2,IF(E92="Moderate",3,IF(E92="Significant",4,IF(E92="Severe",5,0)))))</f>
        <v/>
      </c>
      <c r="P92" s="8" t="n"/>
      <c r="Q92" s="8" t="n"/>
    </row>
    <row r="93">
      <c r="A93" s="8" t="n"/>
      <c r="B93" s="8" t="n"/>
      <c r="C93" s="8" t="n"/>
      <c r="D93" s="8" t="n"/>
      <c r="E93" s="8" t="n"/>
      <c r="F93" s="8" t="n"/>
      <c r="G93" s="8" t="n"/>
      <c r="H93" s="8" t="n"/>
      <c r="I93" s="8" t="n"/>
      <c r="J93" s="8" t="n"/>
      <c r="K93" s="8" t="n"/>
      <c r="L93" s="8" t="n"/>
      <c r="M93" s="8" t="n"/>
      <c r="N93" s="8" t="n"/>
      <c r="O93" s="9">
        <f>IF(H93="Low",1,IF(H93="Medium",2,IF(H93="High",3,IF(H93="Critical",4,0))))*IF(E93="None",1,IF(E93="Minimal",2,IF(E93="Moderate",3,IF(E93="Significant",4,IF(E93="Severe",5,0)))))</f>
        <v/>
      </c>
      <c r="P93" s="8" t="n"/>
      <c r="Q93" s="8" t="n"/>
    </row>
    <row r="94">
      <c r="A94" s="8" t="n"/>
      <c r="B94" s="8" t="n"/>
      <c r="C94" s="8" t="n"/>
      <c r="D94" s="8" t="n"/>
      <c r="E94" s="8" t="n"/>
      <c r="F94" s="8" t="n"/>
      <c r="G94" s="8" t="n"/>
      <c r="H94" s="8" t="n"/>
      <c r="I94" s="8" t="n"/>
      <c r="J94" s="8" t="n"/>
      <c r="K94" s="8" t="n"/>
      <c r="L94" s="8" t="n"/>
      <c r="M94" s="8" t="n"/>
      <c r="N94" s="8" t="n"/>
      <c r="O94" s="9">
        <f>IF(H94="Low",1,IF(H94="Medium",2,IF(H94="High",3,IF(H94="Critical",4,0))))*IF(E94="None",1,IF(E94="Minimal",2,IF(E94="Moderate",3,IF(E94="Significant",4,IF(E94="Severe",5,0)))))</f>
        <v/>
      </c>
      <c r="P94" s="8" t="n"/>
      <c r="Q94" s="8" t="n"/>
    </row>
    <row r="95">
      <c r="A95" s="8" t="n"/>
      <c r="B95" s="8" t="n"/>
      <c r="C95" s="8" t="n"/>
      <c r="D95" s="8" t="n"/>
      <c r="E95" s="8" t="n"/>
      <c r="F95" s="8" t="n"/>
      <c r="G95" s="8" t="n"/>
      <c r="H95" s="8" t="n"/>
      <c r="I95" s="8" t="n"/>
      <c r="J95" s="8" t="n"/>
      <c r="K95" s="8" t="n"/>
      <c r="L95" s="8" t="n"/>
      <c r="M95" s="8" t="n"/>
      <c r="N95" s="8" t="n"/>
      <c r="O95" s="9">
        <f>IF(H95="Low",1,IF(H95="Medium",2,IF(H95="High",3,IF(H95="Critical",4,0))))*IF(E95="None",1,IF(E95="Minimal",2,IF(E95="Moderate",3,IF(E95="Significant",4,IF(E95="Severe",5,0)))))</f>
        <v/>
      </c>
      <c r="P95" s="8" t="n"/>
      <c r="Q95" s="8" t="n"/>
    </row>
    <row r="96">
      <c r="A96" s="8" t="n"/>
      <c r="B96" s="8" t="n"/>
      <c r="C96" s="8" t="n"/>
      <c r="D96" s="8" t="n"/>
      <c r="E96" s="8" t="n"/>
      <c r="F96" s="8" t="n"/>
      <c r="G96" s="8" t="n"/>
      <c r="H96" s="8" t="n"/>
      <c r="I96" s="8" t="n"/>
      <c r="J96" s="8" t="n"/>
      <c r="K96" s="8" t="n"/>
      <c r="L96" s="8" t="n"/>
      <c r="M96" s="8" t="n"/>
      <c r="N96" s="8" t="n"/>
      <c r="O96" s="9">
        <f>IF(H96="Low",1,IF(H96="Medium",2,IF(H96="High",3,IF(H96="Critical",4,0))))*IF(E96="None",1,IF(E96="Minimal",2,IF(E96="Moderate",3,IF(E96="Significant",4,IF(E96="Severe",5,0)))))</f>
        <v/>
      </c>
      <c r="P96" s="8" t="n"/>
      <c r="Q96" s="8" t="n"/>
    </row>
    <row r="97">
      <c r="A97" s="8" t="n"/>
      <c r="B97" s="8" t="n"/>
      <c r="C97" s="8" t="n"/>
      <c r="D97" s="8" t="n"/>
      <c r="E97" s="8" t="n"/>
      <c r="F97" s="8" t="n"/>
      <c r="G97" s="8" t="n"/>
      <c r="H97" s="8" t="n"/>
      <c r="I97" s="8" t="n"/>
      <c r="J97" s="8" t="n"/>
      <c r="K97" s="8" t="n"/>
      <c r="L97" s="8" t="n"/>
      <c r="M97" s="8" t="n"/>
      <c r="N97" s="8" t="n"/>
      <c r="O97" s="9">
        <f>IF(H97="Low",1,IF(H97="Medium",2,IF(H97="High",3,IF(H97="Critical",4,0))))*IF(E97="None",1,IF(E97="Minimal",2,IF(E97="Moderate",3,IF(E97="Significant",4,IF(E97="Severe",5,0)))))</f>
        <v/>
      </c>
      <c r="P97" s="8" t="n"/>
      <c r="Q97" s="8" t="n"/>
    </row>
    <row r="98">
      <c r="A98" s="8" t="n"/>
      <c r="B98" s="8" t="n"/>
      <c r="C98" s="8" t="n"/>
      <c r="D98" s="8" t="n"/>
      <c r="E98" s="8" t="n"/>
      <c r="F98" s="8" t="n"/>
      <c r="G98" s="8" t="n"/>
      <c r="H98" s="8" t="n"/>
      <c r="I98" s="8" t="n"/>
      <c r="J98" s="8" t="n"/>
      <c r="K98" s="8" t="n"/>
      <c r="L98" s="8" t="n"/>
      <c r="M98" s="8" t="n"/>
      <c r="N98" s="8" t="n"/>
      <c r="O98" s="9">
        <f>IF(H98="Low",1,IF(H98="Medium",2,IF(H98="High",3,IF(H98="Critical",4,0))))*IF(E98="None",1,IF(E98="Minimal",2,IF(E98="Moderate",3,IF(E98="Significant",4,IF(E98="Severe",5,0)))))</f>
        <v/>
      </c>
      <c r="P98" s="8" t="n"/>
      <c r="Q98" s="8" t="n"/>
    </row>
    <row r="99">
      <c r="A99" s="8" t="n"/>
      <c r="B99" s="8" t="n"/>
      <c r="C99" s="8" t="n"/>
      <c r="D99" s="8" t="n"/>
      <c r="E99" s="8" t="n"/>
      <c r="F99" s="8" t="n"/>
      <c r="G99" s="8" t="n"/>
      <c r="H99" s="8" t="n"/>
      <c r="I99" s="8" t="n"/>
      <c r="J99" s="8" t="n"/>
      <c r="K99" s="8" t="n"/>
      <c r="L99" s="8" t="n"/>
      <c r="M99" s="8" t="n"/>
      <c r="N99" s="8" t="n"/>
      <c r="O99" s="9">
        <f>IF(H99="Low",1,IF(H99="Medium",2,IF(H99="High",3,IF(H99="Critical",4,0))))*IF(E99="None",1,IF(E99="Minimal",2,IF(E99="Moderate",3,IF(E99="Significant",4,IF(E99="Severe",5,0)))))</f>
        <v/>
      </c>
      <c r="P99" s="8" t="n"/>
      <c r="Q99" s="8" t="n"/>
    </row>
    <row r="100">
      <c r="A100" s="8" t="n"/>
      <c r="B100" s="8" t="n"/>
      <c r="C100" s="8" t="n"/>
      <c r="D100" s="8" t="n"/>
      <c r="E100" s="8" t="n"/>
      <c r="F100" s="8" t="n"/>
      <c r="G100" s="8" t="n"/>
      <c r="H100" s="8" t="n"/>
      <c r="I100" s="8" t="n"/>
      <c r="J100" s="8" t="n"/>
      <c r="K100" s="8" t="n"/>
      <c r="L100" s="8" t="n"/>
      <c r="M100" s="8" t="n"/>
      <c r="N100" s="8" t="n"/>
      <c r="O100" s="9">
        <f>IF(H100="Low",1,IF(H100="Medium",2,IF(H100="High",3,IF(H100="Critical",4,0))))*IF(E100="None",1,IF(E100="Minimal",2,IF(E100="Moderate",3,IF(E100="Significant",4,IF(E100="Severe",5,0)))))</f>
        <v/>
      </c>
      <c r="P100" s="8" t="n"/>
      <c r="Q100" s="8" t="n"/>
    </row>
    <row r="101">
      <c r="A101" s="8" t="n"/>
      <c r="B101" s="8" t="n"/>
      <c r="C101" s="8" t="n"/>
      <c r="D101" s="8" t="n"/>
      <c r="E101" s="8" t="n"/>
      <c r="F101" s="8" t="n"/>
      <c r="G101" s="8" t="n"/>
      <c r="H101" s="8" t="n"/>
      <c r="I101" s="8" t="n"/>
      <c r="J101" s="8" t="n"/>
      <c r="K101" s="8" t="n"/>
      <c r="L101" s="8" t="n"/>
      <c r="M101" s="8" t="n"/>
      <c r="N101" s="8" t="n"/>
      <c r="O101" s="9">
        <f>IF(H101="Low",1,IF(H101="Medium",2,IF(H101="High",3,IF(H101="Critical",4,0))))*IF(E101="None",1,IF(E101="Minimal",2,IF(E101="Moderate",3,IF(E101="Significant",4,IF(E101="Severe",5,0)))))</f>
        <v/>
      </c>
      <c r="P101" s="8" t="n"/>
      <c r="Q101" s="8" t="n"/>
    </row>
    <row r="102">
      <c r="A102" s="8" t="n"/>
      <c r="B102" s="8" t="n"/>
      <c r="C102" s="8" t="n"/>
      <c r="D102" s="8" t="n"/>
      <c r="E102" s="8" t="n"/>
      <c r="F102" s="8" t="n"/>
      <c r="G102" s="8" t="n"/>
      <c r="H102" s="8" t="n"/>
      <c r="I102" s="8" t="n"/>
      <c r="J102" s="8" t="n"/>
      <c r="K102" s="8" t="n"/>
      <c r="L102" s="8" t="n"/>
      <c r="M102" s="8" t="n"/>
      <c r="N102" s="8" t="n"/>
      <c r="O102" s="9">
        <f>IF(H102="Low",1,IF(H102="Medium",2,IF(H102="High",3,IF(H102="Critical",4,0))))*IF(E102="None",1,IF(E102="Minimal",2,IF(E102="Moderate",3,IF(E102="Significant",4,IF(E102="Severe",5,0)))))</f>
        <v/>
      </c>
      <c r="P102" s="8" t="n"/>
      <c r="Q102" s="8" t="n"/>
    </row>
  </sheetData>
  <mergeCells count="1">
    <mergeCell ref="A1:Q1"/>
  </mergeCells>
  <conditionalFormatting sqref="H3:H102">
    <cfRule type="cellIs" priority="1" operator="equal" dxfId="7">
      <formula>"Critical"</formula>
    </cfRule>
    <cfRule type="cellIs" priority="2" operator="equal" dxfId="5">
      <formula>"High"</formula>
    </cfRule>
  </conditionalFormatting>
  <conditionalFormatting sqref="O3:O102">
    <cfRule type="cellIs" priority="3" operator="greaterThanOrEqual" dxfId="5">
      <formula>12</formula>
    </cfRule>
    <cfRule type="cellIs" priority="4" operator="between" dxfId="3">
      <formula>6</formula>
      <formula>11</formula>
    </cfRule>
  </conditionalFormatting>
  <dataValidations count="4">
    <dataValidation sqref="E3:E102" showDropDown="0" showInputMessage="0" showErrorMessage="0" allowBlank="0" errorTitle="Invalid Entry" error="Invalid entry" promptTitle="Selection Required" prompt="Please select from the dropdown" type="list">
      <formula1>"None,Minimal,Moderate,Significant,Severe"</formula1>
    </dataValidation>
    <dataValidation sqref="G3:G102" showDropDown="0" showInputMessage="0" showErrorMessage="0" allowBlank="0" errorTitle="Invalid Entry" error="Invalid entry" promptTitle="Selection Required" prompt="Please select from the dropdown" type="list">
      <formula1>"None,&lt;1 hour,1-4 hours,4-8 hours,&gt;8 hours"</formula1>
    </dataValidation>
    <dataValidation sqref="H3:H102" showDropDown="0" showInputMessage="0" showErrorMessage="0" allowBlank="0" errorTitle="Invalid Entry" error="Invalid entry" promptTitle="Selection Required" prompt="Please select from the dropdown" type="list">
      <formula1>"⭕ Low,🟢 Medium,🟡 High,🔴 Critical"</formula1>
    </dataValidation>
    <dataValidation sqref="K3:K102"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20" customWidth="1" min="4" max="4"/>
    <col width="15" customWidth="1" min="5" max="5"/>
    <col width="15" customWidth="1" min="6" max="6"/>
    <col width="12" customWidth="1" min="7" max="7"/>
    <col width="30" customWidth="1" min="8" max="8"/>
    <col width="12" customWidth="1" min="9" max="9"/>
    <col width="12" customWidth="1" min="10" max="10"/>
    <col width="12" customWidth="1" min="11" max="11"/>
    <col width="12" customWidth="1" min="12" max="12"/>
    <col width="12" customWidth="1" min="13" max="13"/>
    <col width="12" customWidth="1" min="14" max="14"/>
    <col width="18" customWidth="1" min="15" max="15"/>
    <col width="18" customWidth="1" min="16" max="16"/>
    <col width="20" customWidth="1" min="17" max="17"/>
    <col width="15" customWidth="1" min="18" max="18"/>
    <col width="35" customWidth="1" min="19" max="19"/>
  </cols>
  <sheetData>
    <row r="1" ht="30" customHeight="1">
      <c r="A1" s="6" t="inlineStr">
        <is>
          <t>Testing Validation Records</t>
        </is>
      </c>
    </row>
    <row r="2" ht="30" customHeight="1">
      <c r="A2" s="7" t="inlineStr">
        <is>
          <t>Change ID</t>
        </is>
      </c>
      <c r="B2" s="7" t="inlineStr">
        <is>
          <t>Change Title</t>
        </is>
      </c>
      <c r="C2" s="7" t="inlineStr">
        <is>
          <t>Testing Required</t>
        </is>
      </c>
      <c r="D2" s="7" t="inlineStr">
        <is>
          <t>Test Environment</t>
        </is>
      </c>
      <c r="E2" s="7" t="inlineStr">
        <is>
          <t>Test Start Date</t>
        </is>
      </c>
      <c r="F2" s="7" t="inlineStr">
        <is>
          <t>Test End Date</t>
        </is>
      </c>
      <c r="G2" s="7" t="inlineStr">
        <is>
          <t>Test Duration (Days)</t>
        </is>
      </c>
      <c r="H2" s="7" t="inlineStr">
        <is>
          <t>Test Plan Reference</t>
        </is>
      </c>
      <c r="I2" s="7" t="inlineStr">
        <is>
          <t>Test Cases Executed</t>
        </is>
      </c>
      <c r="J2" s="7" t="inlineStr">
        <is>
          <t>Test Cases Passed</t>
        </is>
      </c>
      <c r="K2" s="7" t="inlineStr">
        <is>
          <t>Test Cases Failed</t>
        </is>
      </c>
      <c r="L2" s="7" t="inlineStr">
        <is>
          <t>Test Pass Rate %</t>
        </is>
      </c>
      <c r="M2" s="7" t="inlineStr">
        <is>
          <t>Critical Issues Found</t>
        </is>
      </c>
      <c r="N2" s="7" t="inlineStr">
        <is>
          <t>Issues Resolved Before Deployment</t>
        </is>
      </c>
      <c r="O2" s="7" t="inlineStr">
        <is>
          <t>Testing Status</t>
        </is>
      </c>
      <c r="P2" s="7" t="inlineStr">
        <is>
          <t>Go/No-Go Decision</t>
        </is>
      </c>
      <c r="Q2" s="7" t="inlineStr">
        <is>
          <t>Decision Maker</t>
        </is>
      </c>
      <c r="R2" s="7" t="inlineStr">
        <is>
          <t>Decision Date</t>
        </is>
      </c>
      <c r="S2" s="7" t="inlineStr">
        <is>
          <t>Notes</t>
        </is>
      </c>
    </row>
    <row r="3">
      <c r="A3" s="8" t="n"/>
      <c r="B3" s="8" t="n"/>
      <c r="C3" s="8" t="n"/>
      <c r="D3" s="8" t="n"/>
      <c r="E3" s="8" t="n"/>
      <c r="F3" s="8" t="n"/>
      <c r="G3" s="9">
        <f>IF(OR(E3="",F3=""),"",F3-E3)</f>
        <v/>
      </c>
      <c r="H3" s="8" t="n"/>
      <c r="I3" s="8" t="n"/>
      <c r="J3" s="8" t="n"/>
      <c r="K3" s="8" t="n"/>
      <c r="L3" s="10">
        <f>IF(I3=0,"",J3/I3*100)</f>
        <v/>
      </c>
      <c r="M3" s="8" t="n"/>
      <c r="N3" s="8" t="n"/>
      <c r="O3" s="8" t="n"/>
      <c r="P3" s="8" t="n"/>
      <c r="Q3" s="8" t="n"/>
      <c r="R3" s="8" t="n"/>
      <c r="S3" s="8" t="n"/>
    </row>
    <row r="4">
      <c r="A4" s="8" t="n"/>
      <c r="B4" s="8" t="n"/>
      <c r="C4" s="8" t="n"/>
      <c r="D4" s="8" t="n"/>
      <c r="E4" s="8" t="n"/>
      <c r="F4" s="8" t="n"/>
      <c r="G4" s="9">
        <f>IF(OR(E4="",F4=""),"",F4-E4)</f>
        <v/>
      </c>
      <c r="H4" s="8" t="n"/>
      <c r="I4" s="8" t="n"/>
      <c r="J4" s="8" t="n"/>
      <c r="K4" s="8" t="n"/>
      <c r="L4" s="10">
        <f>IF(I4=0,"",J4/I4*100)</f>
        <v/>
      </c>
      <c r="M4" s="8" t="n"/>
      <c r="N4" s="8" t="n"/>
      <c r="O4" s="8" t="n"/>
      <c r="P4" s="8" t="n"/>
      <c r="Q4" s="8" t="n"/>
      <c r="R4" s="8" t="n"/>
      <c r="S4" s="8" t="n"/>
    </row>
    <row r="5">
      <c r="A5" s="8" t="n"/>
      <c r="B5" s="8" t="n"/>
      <c r="C5" s="8" t="n"/>
      <c r="D5" s="8" t="n"/>
      <c r="E5" s="8" t="n"/>
      <c r="F5" s="8" t="n"/>
      <c r="G5" s="9">
        <f>IF(OR(E5="",F5=""),"",F5-E5)</f>
        <v/>
      </c>
      <c r="H5" s="8" t="n"/>
      <c r="I5" s="8" t="n"/>
      <c r="J5" s="8" t="n"/>
      <c r="K5" s="8" t="n"/>
      <c r="L5" s="10">
        <f>IF(I5=0,"",J5/I5*100)</f>
        <v/>
      </c>
      <c r="M5" s="8" t="n"/>
      <c r="N5" s="8" t="n"/>
      <c r="O5" s="8" t="n"/>
      <c r="P5" s="8" t="n"/>
      <c r="Q5" s="8" t="n"/>
      <c r="R5" s="8" t="n"/>
      <c r="S5" s="8" t="n"/>
    </row>
    <row r="6">
      <c r="A6" s="8" t="n"/>
      <c r="B6" s="8" t="n"/>
      <c r="C6" s="8" t="n"/>
      <c r="D6" s="8" t="n"/>
      <c r="E6" s="8" t="n"/>
      <c r="F6" s="8" t="n"/>
      <c r="G6" s="9">
        <f>IF(OR(E6="",F6=""),"",F6-E6)</f>
        <v/>
      </c>
      <c r="H6" s="8" t="n"/>
      <c r="I6" s="8" t="n"/>
      <c r="J6" s="8" t="n"/>
      <c r="K6" s="8" t="n"/>
      <c r="L6" s="10">
        <f>IF(I6=0,"",J6/I6*100)</f>
        <v/>
      </c>
      <c r="M6" s="8" t="n"/>
      <c r="N6" s="8" t="n"/>
      <c r="O6" s="8" t="n"/>
      <c r="P6" s="8" t="n"/>
      <c r="Q6" s="8" t="n"/>
      <c r="R6" s="8" t="n"/>
      <c r="S6" s="8" t="n"/>
    </row>
    <row r="7">
      <c r="A7" s="8" t="n"/>
      <c r="B7" s="8" t="n"/>
      <c r="C7" s="8" t="n"/>
      <c r="D7" s="8" t="n"/>
      <c r="E7" s="8" t="n"/>
      <c r="F7" s="8" t="n"/>
      <c r="G7" s="9">
        <f>IF(OR(E7="",F7=""),"",F7-E7)</f>
        <v/>
      </c>
      <c r="H7" s="8" t="n"/>
      <c r="I7" s="8" t="n"/>
      <c r="J7" s="8" t="n"/>
      <c r="K7" s="8" t="n"/>
      <c r="L7" s="10">
        <f>IF(I7=0,"",J7/I7*100)</f>
        <v/>
      </c>
      <c r="M7" s="8" t="n"/>
      <c r="N7" s="8" t="n"/>
      <c r="O7" s="8" t="n"/>
      <c r="P7" s="8" t="n"/>
      <c r="Q7" s="8" t="n"/>
      <c r="R7" s="8" t="n"/>
      <c r="S7" s="8" t="n"/>
    </row>
    <row r="8">
      <c r="A8" s="8" t="n"/>
      <c r="B8" s="8" t="n"/>
      <c r="C8" s="8" t="n"/>
      <c r="D8" s="8" t="n"/>
      <c r="E8" s="8" t="n"/>
      <c r="F8" s="8" t="n"/>
      <c r="G8" s="9">
        <f>IF(OR(E8="",F8=""),"",F8-E8)</f>
        <v/>
      </c>
      <c r="H8" s="8" t="n"/>
      <c r="I8" s="8" t="n"/>
      <c r="J8" s="8" t="n"/>
      <c r="K8" s="8" t="n"/>
      <c r="L8" s="10">
        <f>IF(I8=0,"",J8/I8*100)</f>
        <v/>
      </c>
      <c r="M8" s="8" t="n"/>
      <c r="N8" s="8" t="n"/>
      <c r="O8" s="8" t="n"/>
      <c r="P8" s="8" t="n"/>
      <c r="Q8" s="8" t="n"/>
      <c r="R8" s="8" t="n"/>
      <c r="S8" s="8" t="n"/>
    </row>
    <row r="9">
      <c r="A9" s="8" t="n"/>
      <c r="B9" s="8" t="n"/>
      <c r="C9" s="8" t="n"/>
      <c r="D9" s="8" t="n"/>
      <c r="E9" s="8" t="n"/>
      <c r="F9" s="8" t="n"/>
      <c r="G9" s="9">
        <f>IF(OR(E9="",F9=""),"",F9-E9)</f>
        <v/>
      </c>
      <c r="H9" s="8" t="n"/>
      <c r="I9" s="8" t="n"/>
      <c r="J9" s="8" t="n"/>
      <c r="K9" s="8" t="n"/>
      <c r="L9" s="10">
        <f>IF(I9=0,"",J9/I9*100)</f>
        <v/>
      </c>
      <c r="M9" s="8" t="n"/>
      <c r="N9" s="8" t="n"/>
      <c r="O9" s="8" t="n"/>
      <c r="P9" s="8" t="n"/>
      <c r="Q9" s="8" t="n"/>
      <c r="R9" s="8" t="n"/>
      <c r="S9" s="8" t="n"/>
    </row>
    <row r="10">
      <c r="A10" s="8" t="n"/>
      <c r="B10" s="8" t="n"/>
      <c r="C10" s="8" t="n"/>
      <c r="D10" s="8" t="n"/>
      <c r="E10" s="8" t="n"/>
      <c r="F10" s="8" t="n"/>
      <c r="G10" s="9">
        <f>IF(OR(E10="",F10=""),"",F10-E10)</f>
        <v/>
      </c>
      <c r="H10" s="8" t="n"/>
      <c r="I10" s="8" t="n"/>
      <c r="J10" s="8" t="n"/>
      <c r="K10" s="8" t="n"/>
      <c r="L10" s="10">
        <f>IF(I10=0,"",J10/I10*100)</f>
        <v/>
      </c>
      <c r="M10" s="8" t="n"/>
      <c r="N10" s="8" t="n"/>
      <c r="O10" s="8" t="n"/>
      <c r="P10" s="8" t="n"/>
      <c r="Q10" s="8" t="n"/>
      <c r="R10" s="8" t="n"/>
      <c r="S10" s="8" t="n"/>
    </row>
    <row r="11">
      <c r="A11" s="8" t="n"/>
      <c r="B11" s="8" t="n"/>
      <c r="C11" s="8" t="n"/>
      <c r="D11" s="8" t="n"/>
      <c r="E11" s="8" t="n"/>
      <c r="F11" s="8" t="n"/>
      <c r="G11" s="9">
        <f>IF(OR(E11="",F11=""),"",F11-E11)</f>
        <v/>
      </c>
      <c r="H11" s="8" t="n"/>
      <c r="I11" s="8" t="n"/>
      <c r="J11" s="8" t="n"/>
      <c r="K11" s="8" t="n"/>
      <c r="L11" s="10">
        <f>IF(I11=0,"",J11/I11*100)</f>
        <v/>
      </c>
      <c r="M11" s="8" t="n"/>
      <c r="N11" s="8" t="n"/>
      <c r="O11" s="8" t="n"/>
      <c r="P11" s="8" t="n"/>
      <c r="Q11" s="8" t="n"/>
      <c r="R11" s="8" t="n"/>
      <c r="S11" s="8" t="n"/>
    </row>
    <row r="12">
      <c r="A12" s="8" t="n"/>
      <c r="B12" s="8" t="n"/>
      <c r="C12" s="8" t="n"/>
      <c r="D12" s="8" t="n"/>
      <c r="E12" s="8" t="n"/>
      <c r="F12" s="8" t="n"/>
      <c r="G12" s="9">
        <f>IF(OR(E12="",F12=""),"",F12-E12)</f>
        <v/>
      </c>
      <c r="H12" s="8" t="n"/>
      <c r="I12" s="8" t="n"/>
      <c r="J12" s="8" t="n"/>
      <c r="K12" s="8" t="n"/>
      <c r="L12" s="10">
        <f>IF(I12=0,"",J12/I12*100)</f>
        <v/>
      </c>
      <c r="M12" s="8" t="n"/>
      <c r="N12" s="8" t="n"/>
      <c r="O12" s="8" t="n"/>
      <c r="P12" s="8" t="n"/>
      <c r="Q12" s="8" t="n"/>
      <c r="R12" s="8" t="n"/>
      <c r="S12" s="8" t="n"/>
    </row>
    <row r="13">
      <c r="A13" s="8" t="n"/>
      <c r="B13" s="8" t="n"/>
      <c r="C13" s="8" t="n"/>
      <c r="D13" s="8" t="n"/>
      <c r="E13" s="8" t="n"/>
      <c r="F13" s="8" t="n"/>
      <c r="G13" s="9">
        <f>IF(OR(E13="",F13=""),"",F13-E13)</f>
        <v/>
      </c>
      <c r="H13" s="8" t="n"/>
      <c r="I13" s="8" t="n"/>
      <c r="J13" s="8" t="n"/>
      <c r="K13" s="8" t="n"/>
      <c r="L13" s="10">
        <f>IF(I13=0,"",J13/I13*100)</f>
        <v/>
      </c>
      <c r="M13" s="8" t="n"/>
      <c r="N13" s="8" t="n"/>
      <c r="O13" s="8" t="n"/>
      <c r="P13" s="8" t="n"/>
      <c r="Q13" s="8" t="n"/>
      <c r="R13" s="8" t="n"/>
      <c r="S13" s="8" t="n"/>
    </row>
    <row r="14">
      <c r="A14" s="8" t="n"/>
      <c r="B14" s="8" t="n"/>
      <c r="C14" s="8" t="n"/>
      <c r="D14" s="8" t="n"/>
      <c r="E14" s="8" t="n"/>
      <c r="F14" s="8" t="n"/>
      <c r="G14" s="9">
        <f>IF(OR(E14="",F14=""),"",F14-E14)</f>
        <v/>
      </c>
      <c r="H14" s="8" t="n"/>
      <c r="I14" s="8" t="n"/>
      <c r="J14" s="8" t="n"/>
      <c r="K14" s="8" t="n"/>
      <c r="L14" s="10">
        <f>IF(I14=0,"",J14/I14*100)</f>
        <v/>
      </c>
      <c r="M14" s="8" t="n"/>
      <c r="N14" s="8" t="n"/>
      <c r="O14" s="8" t="n"/>
      <c r="P14" s="8" t="n"/>
      <c r="Q14" s="8" t="n"/>
      <c r="R14" s="8" t="n"/>
      <c r="S14" s="8" t="n"/>
    </row>
    <row r="15">
      <c r="A15" s="8" t="n"/>
      <c r="B15" s="8" t="n"/>
      <c r="C15" s="8" t="n"/>
      <c r="D15" s="8" t="n"/>
      <c r="E15" s="8" t="n"/>
      <c r="F15" s="8" t="n"/>
      <c r="G15" s="9">
        <f>IF(OR(E15="",F15=""),"",F15-E15)</f>
        <v/>
      </c>
      <c r="H15" s="8" t="n"/>
      <c r="I15" s="8" t="n"/>
      <c r="J15" s="8" t="n"/>
      <c r="K15" s="8" t="n"/>
      <c r="L15" s="10">
        <f>IF(I15=0,"",J15/I15*100)</f>
        <v/>
      </c>
      <c r="M15" s="8" t="n"/>
      <c r="N15" s="8" t="n"/>
      <c r="O15" s="8" t="n"/>
      <c r="P15" s="8" t="n"/>
      <c r="Q15" s="8" t="n"/>
      <c r="R15" s="8" t="n"/>
      <c r="S15" s="8" t="n"/>
    </row>
    <row r="16">
      <c r="A16" s="8" t="n"/>
      <c r="B16" s="8" t="n"/>
      <c r="C16" s="8" t="n"/>
      <c r="D16" s="8" t="n"/>
      <c r="E16" s="8" t="n"/>
      <c r="F16" s="8" t="n"/>
      <c r="G16" s="9">
        <f>IF(OR(E16="",F16=""),"",F16-E16)</f>
        <v/>
      </c>
      <c r="H16" s="8" t="n"/>
      <c r="I16" s="8" t="n"/>
      <c r="J16" s="8" t="n"/>
      <c r="K16" s="8" t="n"/>
      <c r="L16" s="10">
        <f>IF(I16=0,"",J16/I16*100)</f>
        <v/>
      </c>
      <c r="M16" s="8" t="n"/>
      <c r="N16" s="8" t="n"/>
      <c r="O16" s="8" t="n"/>
      <c r="P16" s="8" t="n"/>
      <c r="Q16" s="8" t="n"/>
      <c r="R16" s="8" t="n"/>
      <c r="S16" s="8" t="n"/>
    </row>
    <row r="17">
      <c r="A17" s="8" t="n"/>
      <c r="B17" s="8" t="n"/>
      <c r="C17" s="8" t="n"/>
      <c r="D17" s="8" t="n"/>
      <c r="E17" s="8" t="n"/>
      <c r="F17" s="8" t="n"/>
      <c r="G17" s="9">
        <f>IF(OR(E17="",F17=""),"",F17-E17)</f>
        <v/>
      </c>
      <c r="H17" s="8" t="n"/>
      <c r="I17" s="8" t="n"/>
      <c r="J17" s="8" t="n"/>
      <c r="K17" s="8" t="n"/>
      <c r="L17" s="10">
        <f>IF(I17=0,"",J17/I17*100)</f>
        <v/>
      </c>
      <c r="M17" s="8" t="n"/>
      <c r="N17" s="8" t="n"/>
      <c r="O17" s="8" t="n"/>
      <c r="P17" s="8" t="n"/>
      <c r="Q17" s="8" t="n"/>
      <c r="R17" s="8" t="n"/>
      <c r="S17" s="8" t="n"/>
    </row>
    <row r="18">
      <c r="A18" s="8" t="n"/>
      <c r="B18" s="8" t="n"/>
      <c r="C18" s="8" t="n"/>
      <c r="D18" s="8" t="n"/>
      <c r="E18" s="8" t="n"/>
      <c r="F18" s="8" t="n"/>
      <c r="G18" s="9">
        <f>IF(OR(E18="",F18=""),"",F18-E18)</f>
        <v/>
      </c>
      <c r="H18" s="8" t="n"/>
      <c r="I18" s="8" t="n"/>
      <c r="J18" s="8" t="n"/>
      <c r="K18" s="8" t="n"/>
      <c r="L18" s="10">
        <f>IF(I18=0,"",J18/I18*100)</f>
        <v/>
      </c>
      <c r="M18" s="8" t="n"/>
      <c r="N18" s="8" t="n"/>
      <c r="O18" s="8" t="n"/>
      <c r="P18" s="8" t="n"/>
      <c r="Q18" s="8" t="n"/>
      <c r="R18" s="8" t="n"/>
      <c r="S18" s="8" t="n"/>
    </row>
    <row r="19">
      <c r="A19" s="8" t="n"/>
      <c r="B19" s="8" t="n"/>
      <c r="C19" s="8" t="n"/>
      <c r="D19" s="8" t="n"/>
      <c r="E19" s="8" t="n"/>
      <c r="F19" s="8" t="n"/>
      <c r="G19" s="9">
        <f>IF(OR(E19="",F19=""),"",F19-E19)</f>
        <v/>
      </c>
      <c r="H19" s="8" t="n"/>
      <c r="I19" s="8" t="n"/>
      <c r="J19" s="8" t="n"/>
      <c r="K19" s="8" t="n"/>
      <c r="L19" s="10">
        <f>IF(I19=0,"",J19/I19*100)</f>
        <v/>
      </c>
      <c r="M19" s="8" t="n"/>
      <c r="N19" s="8" t="n"/>
      <c r="O19" s="8" t="n"/>
      <c r="P19" s="8" t="n"/>
      <c r="Q19" s="8" t="n"/>
      <c r="R19" s="8" t="n"/>
      <c r="S19" s="8" t="n"/>
    </row>
    <row r="20">
      <c r="A20" s="8" t="n"/>
      <c r="B20" s="8" t="n"/>
      <c r="C20" s="8" t="n"/>
      <c r="D20" s="8" t="n"/>
      <c r="E20" s="8" t="n"/>
      <c r="F20" s="8" t="n"/>
      <c r="G20" s="9">
        <f>IF(OR(E20="",F20=""),"",F20-E20)</f>
        <v/>
      </c>
      <c r="H20" s="8" t="n"/>
      <c r="I20" s="8" t="n"/>
      <c r="J20" s="8" t="n"/>
      <c r="K20" s="8" t="n"/>
      <c r="L20" s="10">
        <f>IF(I20=0,"",J20/I20*100)</f>
        <v/>
      </c>
      <c r="M20" s="8" t="n"/>
      <c r="N20" s="8" t="n"/>
      <c r="O20" s="8" t="n"/>
      <c r="P20" s="8" t="n"/>
      <c r="Q20" s="8" t="n"/>
      <c r="R20" s="8" t="n"/>
      <c r="S20" s="8" t="n"/>
    </row>
    <row r="21">
      <c r="A21" s="8" t="n"/>
      <c r="B21" s="8" t="n"/>
      <c r="C21" s="8" t="n"/>
      <c r="D21" s="8" t="n"/>
      <c r="E21" s="8" t="n"/>
      <c r="F21" s="8" t="n"/>
      <c r="G21" s="9">
        <f>IF(OR(E21="",F21=""),"",F21-E21)</f>
        <v/>
      </c>
      <c r="H21" s="8" t="n"/>
      <c r="I21" s="8" t="n"/>
      <c r="J21" s="8" t="n"/>
      <c r="K21" s="8" t="n"/>
      <c r="L21" s="10">
        <f>IF(I21=0,"",J21/I21*100)</f>
        <v/>
      </c>
      <c r="M21" s="8" t="n"/>
      <c r="N21" s="8" t="n"/>
      <c r="O21" s="8" t="n"/>
      <c r="P21" s="8" t="n"/>
      <c r="Q21" s="8" t="n"/>
      <c r="R21" s="8" t="n"/>
      <c r="S21" s="8" t="n"/>
    </row>
    <row r="22">
      <c r="A22" s="8" t="n"/>
      <c r="B22" s="8" t="n"/>
      <c r="C22" s="8" t="n"/>
      <c r="D22" s="8" t="n"/>
      <c r="E22" s="8" t="n"/>
      <c r="F22" s="8" t="n"/>
      <c r="G22" s="9">
        <f>IF(OR(E22="",F22=""),"",F22-E22)</f>
        <v/>
      </c>
      <c r="H22" s="8" t="n"/>
      <c r="I22" s="8" t="n"/>
      <c r="J22" s="8" t="n"/>
      <c r="K22" s="8" t="n"/>
      <c r="L22" s="10">
        <f>IF(I22=0,"",J22/I22*100)</f>
        <v/>
      </c>
      <c r="M22" s="8" t="n"/>
      <c r="N22" s="8" t="n"/>
      <c r="O22" s="8" t="n"/>
      <c r="P22" s="8" t="n"/>
      <c r="Q22" s="8" t="n"/>
      <c r="R22" s="8" t="n"/>
      <c r="S22" s="8" t="n"/>
    </row>
    <row r="23">
      <c r="A23" s="8" t="n"/>
      <c r="B23" s="8" t="n"/>
      <c r="C23" s="8" t="n"/>
      <c r="D23" s="8" t="n"/>
      <c r="E23" s="8" t="n"/>
      <c r="F23" s="8" t="n"/>
      <c r="G23" s="9">
        <f>IF(OR(E23="",F23=""),"",F23-E23)</f>
        <v/>
      </c>
      <c r="H23" s="8" t="n"/>
      <c r="I23" s="8" t="n"/>
      <c r="J23" s="8" t="n"/>
      <c r="K23" s="8" t="n"/>
      <c r="L23" s="10">
        <f>IF(I23=0,"",J23/I23*100)</f>
        <v/>
      </c>
      <c r="M23" s="8" t="n"/>
      <c r="N23" s="8" t="n"/>
      <c r="O23" s="8" t="n"/>
      <c r="P23" s="8" t="n"/>
      <c r="Q23" s="8" t="n"/>
      <c r="R23" s="8" t="n"/>
      <c r="S23" s="8" t="n"/>
    </row>
    <row r="24">
      <c r="A24" s="8" t="n"/>
      <c r="B24" s="8" t="n"/>
      <c r="C24" s="8" t="n"/>
      <c r="D24" s="8" t="n"/>
      <c r="E24" s="8" t="n"/>
      <c r="F24" s="8" t="n"/>
      <c r="G24" s="9">
        <f>IF(OR(E24="",F24=""),"",F24-E24)</f>
        <v/>
      </c>
      <c r="H24" s="8" t="n"/>
      <c r="I24" s="8" t="n"/>
      <c r="J24" s="8" t="n"/>
      <c r="K24" s="8" t="n"/>
      <c r="L24" s="10">
        <f>IF(I24=0,"",J24/I24*100)</f>
        <v/>
      </c>
      <c r="M24" s="8" t="n"/>
      <c r="N24" s="8" t="n"/>
      <c r="O24" s="8" t="n"/>
      <c r="P24" s="8" t="n"/>
      <c r="Q24" s="8" t="n"/>
      <c r="R24" s="8" t="n"/>
      <c r="S24" s="8" t="n"/>
    </row>
    <row r="25">
      <c r="A25" s="8" t="n"/>
      <c r="B25" s="8" t="n"/>
      <c r="C25" s="8" t="n"/>
      <c r="D25" s="8" t="n"/>
      <c r="E25" s="8" t="n"/>
      <c r="F25" s="8" t="n"/>
      <c r="G25" s="9">
        <f>IF(OR(E25="",F25=""),"",F25-E25)</f>
        <v/>
      </c>
      <c r="H25" s="8" t="n"/>
      <c r="I25" s="8" t="n"/>
      <c r="J25" s="8" t="n"/>
      <c r="K25" s="8" t="n"/>
      <c r="L25" s="10">
        <f>IF(I25=0,"",J25/I25*100)</f>
        <v/>
      </c>
      <c r="M25" s="8" t="n"/>
      <c r="N25" s="8" t="n"/>
      <c r="O25" s="8" t="n"/>
      <c r="P25" s="8" t="n"/>
      <c r="Q25" s="8" t="n"/>
      <c r="R25" s="8" t="n"/>
      <c r="S25" s="8" t="n"/>
    </row>
    <row r="26">
      <c r="A26" s="8" t="n"/>
      <c r="B26" s="8" t="n"/>
      <c r="C26" s="8" t="n"/>
      <c r="D26" s="8" t="n"/>
      <c r="E26" s="8" t="n"/>
      <c r="F26" s="8" t="n"/>
      <c r="G26" s="9">
        <f>IF(OR(E26="",F26=""),"",F26-E26)</f>
        <v/>
      </c>
      <c r="H26" s="8" t="n"/>
      <c r="I26" s="8" t="n"/>
      <c r="J26" s="8" t="n"/>
      <c r="K26" s="8" t="n"/>
      <c r="L26" s="10">
        <f>IF(I26=0,"",J26/I26*100)</f>
        <v/>
      </c>
      <c r="M26" s="8" t="n"/>
      <c r="N26" s="8" t="n"/>
      <c r="O26" s="8" t="n"/>
      <c r="P26" s="8" t="n"/>
      <c r="Q26" s="8" t="n"/>
      <c r="R26" s="8" t="n"/>
      <c r="S26" s="8" t="n"/>
    </row>
    <row r="27">
      <c r="A27" s="8" t="n"/>
      <c r="B27" s="8" t="n"/>
      <c r="C27" s="8" t="n"/>
      <c r="D27" s="8" t="n"/>
      <c r="E27" s="8" t="n"/>
      <c r="F27" s="8" t="n"/>
      <c r="G27" s="9">
        <f>IF(OR(E27="",F27=""),"",F27-E27)</f>
        <v/>
      </c>
      <c r="H27" s="8" t="n"/>
      <c r="I27" s="8" t="n"/>
      <c r="J27" s="8" t="n"/>
      <c r="K27" s="8" t="n"/>
      <c r="L27" s="10">
        <f>IF(I27=0,"",J27/I27*100)</f>
        <v/>
      </c>
      <c r="M27" s="8" t="n"/>
      <c r="N27" s="8" t="n"/>
      <c r="O27" s="8" t="n"/>
      <c r="P27" s="8" t="n"/>
      <c r="Q27" s="8" t="n"/>
      <c r="R27" s="8" t="n"/>
      <c r="S27" s="8" t="n"/>
    </row>
    <row r="28">
      <c r="A28" s="8" t="n"/>
      <c r="B28" s="8" t="n"/>
      <c r="C28" s="8" t="n"/>
      <c r="D28" s="8" t="n"/>
      <c r="E28" s="8" t="n"/>
      <c r="F28" s="8" t="n"/>
      <c r="G28" s="9">
        <f>IF(OR(E28="",F28=""),"",F28-E28)</f>
        <v/>
      </c>
      <c r="H28" s="8" t="n"/>
      <c r="I28" s="8" t="n"/>
      <c r="J28" s="8" t="n"/>
      <c r="K28" s="8" t="n"/>
      <c r="L28" s="10">
        <f>IF(I28=0,"",J28/I28*100)</f>
        <v/>
      </c>
      <c r="M28" s="8" t="n"/>
      <c r="N28" s="8" t="n"/>
      <c r="O28" s="8" t="n"/>
      <c r="P28" s="8" t="n"/>
      <c r="Q28" s="8" t="n"/>
      <c r="R28" s="8" t="n"/>
      <c r="S28" s="8" t="n"/>
    </row>
    <row r="29">
      <c r="A29" s="8" t="n"/>
      <c r="B29" s="8" t="n"/>
      <c r="C29" s="8" t="n"/>
      <c r="D29" s="8" t="n"/>
      <c r="E29" s="8" t="n"/>
      <c r="F29" s="8" t="n"/>
      <c r="G29" s="9">
        <f>IF(OR(E29="",F29=""),"",F29-E29)</f>
        <v/>
      </c>
      <c r="H29" s="8" t="n"/>
      <c r="I29" s="8" t="n"/>
      <c r="J29" s="8" t="n"/>
      <c r="K29" s="8" t="n"/>
      <c r="L29" s="10">
        <f>IF(I29=0,"",J29/I29*100)</f>
        <v/>
      </c>
      <c r="M29" s="8" t="n"/>
      <c r="N29" s="8" t="n"/>
      <c r="O29" s="8" t="n"/>
      <c r="P29" s="8" t="n"/>
      <c r="Q29" s="8" t="n"/>
      <c r="R29" s="8" t="n"/>
      <c r="S29" s="8" t="n"/>
    </row>
    <row r="30">
      <c r="A30" s="8" t="n"/>
      <c r="B30" s="8" t="n"/>
      <c r="C30" s="8" t="n"/>
      <c r="D30" s="8" t="n"/>
      <c r="E30" s="8" t="n"/>
      <c r="F30" s="8" t="n"/>
      <c r="G30" s="9">
        <f>IF(OR(E30="",F30=""),"",F30-E30)</f>
        <v/>
      </c>
      <c r="H30" s="8" t="n"/>
      <c r="I30" s="8" t="n"/>
      <c r="J30" s="8" t="n"/>
      <c r="K30" s="8" t="n"/>
      <c r="L30" s="10">
        <f>IF(I30=0,"",J30/I30*100)</f>
        <v/>
      </c>
      <c r="M30" s="8" t="n"/>
      <c r="N30" s="8" t="n"/>
      <c r="O30" s="8" t="n"/>
      <c r="P30" s="8" t="n"/>
      <c r="Q30" s="8" t="n"/>
      <c r="R30" s="8" t="n"/>
      <c r="S30" s="8" t="n"/>
    </row>
    <row r="31">
      <c r="A31" s="8" t="n"/>
      <c r="B31" s="8" t="n"/>
      <c r="C31" s="8" t="n"/>
      <c r="D31" s="8" t="n"/>
      <c r="E31" s="8" t="n"/>
      <c r="F31" s="8" t="n"/>
      <c r="G31" s="9">
        <f>IF(OR(E31="",F31=""),"",F31-E31)</f>
        <v/>
      </c>
      <c r="H31" s="8" t="n"/>
      <c r="I31" s="8" t="n"/>
      <c r="J31" s="8" t="n"/>
      <c r="K31" s="8" t="n"/>
      <c r="L31" s="10">
        <f>IF(I31=0,"",J31/I31*100)</f>
        <v/>
      </c>
      <c r="M31" s="8" t="n"/>
      <c r="N31" s="8" t="n"/>
      <c r="O31" s="8" t="n"/>
      <c r="P31" s="8" t="n"/>
      <c r="Q31" s="8" t="n"/>
      <c r="R31" s="8" t="n"/>
      <c r="S31" s="8" t="n"/>
    </row>
    <row r="32">
      <c r="A32" s="8" t="n"/>
      <c r="B32" s="8" t="n"/>
      <c r="C32" s="8" t="n"/>
      <c r="D32" s="8" t="n"/>
      <c r="E32" s="8" t="n"/>
      <c r="F32" s="8" t="n"/>
      <c r="G32" s="9">
        <f>IF(OR(E32="",F32=""),"",F32-E32)</f>
        <v/>
      </c>
      <c r="H32" s="8" t="n"/>
      <c r="I32" s="8" t="n"/>
      <c r="J32" s="8" t="n"/>
      <c r="K32" s="8" t="n"/>
      <c r="L32" s="10">
        <f>IF(I32=0,"",J32/I32*100)</f>
        <v/>
      </c>
      <c r="M32" s="8" t="n"/>
      <c r="N32" s="8" t="n"/>
      <c r="O32" s="8" t="n"/>
      <c r="P32" s="8" t="n"/>
      <c r="Q32" s="8" t="n"/>
      <c r="R32" s="8" t="n"/>
      <c r="S32" s="8" t="n"/>
    </row>
    <row r="33">
      <c r="A33" s="8" t="n"/>
      <c r="B33" s="8" t="n"/>
      <c r="C33" s="8" t="n"/>
      <c r="D33" s="8" t="n"/>
      <c r="E33" s="8" t="n"/>
      <c r="F33" s="8" t="n"/>
      <c r="G33" s="9">
        <f>IF(OR(E33="",F33=""),"",F33-E33)</f>
        <v/>
      </c>
      <c r="H33" s="8" t="n"/>
      <c r="I33" s="8" t="n"/>
      <c r="J33" s="8" t="n"/>
      <c r="K33" s="8" t="n"/>
      <c r="L33" s="10">
        <f>IF(I33=0,"",J33/I33*100)</f>
        <v/>
      </c>
      <c r="M33" s="8" t="n"/>
      <c r="N33" s="8" t="n"/>
      <c r="O33" s="8" t="n"/>
      <c r="P33" s="8" t="n"/>
      <c r="Q33" s="8" t="n"/>
      <c r="R33" s="8" t="n"/>
      <c r="S33" s="8" t="n"/>
    </row>
    <row r="34">
      <c r="A34" s="8" t="n"/>
      <c r="B34" s="8" t="n"/>
      <c r="C34" s="8" t="n"/>
      <c r="D34" s="8" t="n"/>
      <c r="E34" s="8" t="n"/>
      <c r="F34" s="8" t="n"/>
      <c r="G34" s="9">
        <f>IF(OR(E34="",F34=""),"",F34-E34)</f>
        <v/>
      </c>
      <c r="H34" s="8" t="n"/>
      <c r="I34" s="8" t="n"/>
      <c r="J34" s="8" t="n"/>
      <c r="K34" s="8" t="n"/>
      <c r="L34" s="10">
        <f>IF(I34=0,"",J34/I34*100)</f>
        <v/>
      </c>
      <c r="M34" s="8" t="n"/>
      <c r="N34" s="8" t="n"/>
      <c r="O34" s="8" t="n"/>
      <c r="P34" s="8" t="n"/>
      <c r="Q34" s="8" t="n"/>
      <c r="R34" s="8" t="n"/>
      <c r="S34" s="8" t="n"/>
    </row>
    <row r="35">
      <c r="A35" s="8" t="n"/>
      <c r="B35" s="8" t="n"/>
      <c r="C35" s="8" t="n"/>
      <c r="D35" s="8" t="n"/>
      <c r="E35" s="8" t="n"/>
      <c r="F35" s="8" t="n"/>
      <c r="G35" s="9">
        <f>IF(OR(E35="",F35=""),"",F35-E35)</f>
        <v/>
      </c>
      <c r="H35" s="8" t="n"/>
      <c r="I35" s="8" t="n"/>
      <c r="J35" s="8" t="n"/>
      <c r="K35" s="8" t="n"/>
      <c r="L35" s="10">
        <f>IF(I35=0,"",J35/I35*100)</f>
        <v/>
      </c>
      <c r="M35" s="8" t="n"/>
      <c r="N35" s="8" t="n"/>
      <c r="O35" s="8" t="n"/>
      <c r="P35" s="8" t="n"/>
      <c r="Q35" s="8" t="n"/>
      <c r="R35" s="8" t="n"/>
      <c r="S35" s="8" t="n"/>
    </row>
    <row r="36">
      <c r="A36" s="8" t="n"/>
      <c r="B36" s="8" t="n"/>
      <c r="C36" s="8" t="n"/>
      <c r="D36" s="8" t="n"/>
      <c r="E36" s="8" t="n"/>
      <c r="F36" s="8" t="n"/>
      <c r="G36" s="9">
        <f>IF(OR(E36="",F36=""),"",F36-E36)</f>
        <v/>
      </c>
      <c r="H36" s="8" t="n"/>
      <c r="I36" s="8" t="n"/>
      <c r="J36" s="8" t="n"/>
      <c r="K36" s="8" t="n"/>
      <c r="L36" s="10">
        <f>IF(I36=0,"",J36/I36*100)</f>
        <v/>
      </c>
      <c r="M36" s="8" t="n"/>
      <c r="N36" s="8" t="n"/>
      <c r="O36" s="8" t="n"/>
      <c r="P36" s="8" t="n"/>
      <c r="Q36" s="8" t="n"/>
      <c r="R36" s="8" t="n"/>
      <c r="S36" s="8" t="n"/>
    </row>
    <row r="37">
      <c r="A37" s="8" t="n"/>
      <c r="B37" s="8" t="n"/>
      <c r="C37" s="8" t="n"/>
      <c r="D37" s="8" t="n"/>
      <c r="E37" s="8" t="n"/>
      <c r="F37" s="8" t="n"/>
      <c r="G37" s="9">
        <f>IF(OR(E37="",F37=""),"",F37-E37)</f>
        <v/>
      </c>
      <c r="H37" s="8" t="n"/>
      <c r="I37" s="8" t="n"/>
      <c r="J37" s="8" t="n"/>
      <c r="K37" s="8" t="n"/>
      <c r="L37" s="10">
        <f>IF(I37=0,"",J37/I37*100)</f>
        <v/>
      </c>
      <c r="M37" s="8" t="n"/>
      <c r="N37" s="8" t="n"/>
      <c r="O37" s="8" t="n"/>
      <c r="P37" s="8" t="n"/>
      <c r="Q37" s="8" t="n"/>
      <c r="R37" s="8" t="n"/>
      <c r="S37" s="8" t="n"/>
    </row>
    <row r="38">
      <c r="A38" s="8" t="n"/>
      <c r="B38" s="8" t="n"/>
      <c r="C38" s="8" t="n"/>
      <c r="D38" s="8" t="n"/>
      <c r="E38" s="8" t="n"/>
      <c r="F38" s="8" t="n"/>
      <c r="G38" s="9">
        <f>IF(OR(E38="",F38=""),"",F38-E38)</f>
        <v/>
      </c>
      <c r="H38" s="8" t="n"/>
      <c r="I38" s="8" t="n"/>
      <c r="J38" s="8" t="n"/>
      <c r="K38" s="8" t="n"/>
      <c r="L38" s="10">
        <f>IF(I38=0,"",J38/I38*100)</f>
        <v/>
      </c>
      <c r="M38" s="8" t="n"/>
      <c r="N38" s="8" t="n"/>
      <c r="O38" s="8" t="n"/>
      <c r="P38" s="8" t="n"/>
      <c r="Q38" s="8" t="n"/>
      <c r="R38" s="8" t="n"/>
      <c r="S38" s="8" t="n"/>
    </row>
    <row r="39">
      <c r="A39" s="8" t="n"/>
      <c r="B39" s="8" t="n"/>
      <c r="C39" s="8" t="n"/>
      <c r="D39" s="8" t="n"/>
      <c r="E39" s="8" t="n"/>
      <c r="F39" s="8" t="n"/>
      <c r="G39" s="9">
        <f>IF(OR(E39="",F39=""),"",F39-E39)</f>
        <v/>
      </c>
      <c r="H39" s="8" t="n"/>
      <c r="I39" s="8" t="n"/>
      <c r="J39" s="8" t="n"/>
      <c r="K39" s="8" t="n"/>
      <c r="L39" s="10">
        <f>IF(I39=0,"",J39/I39*100)</f>
        <v/>
      </c>
      <c r="M39" s="8" t="n"/>
      <c r="N39" s="8" t="n"/>
      <c r="O39" s="8" t="n"/>
      <c r="P39" s="8" t="n"/>
      <c r="Q39" s="8" t="n"/>
      <c r="R39" s="8" t="n"/>
      <c r="S39" s="8" t="n"/>
    </row>
    <row r="40">
      <c r="A40" s="8" t="n"/>
      <c r="B40" s="8" t="n"/>
      <c r="C40" s="8" t="n"/>
      <c r="D40" s="8" t="n"/>
      <c r="E40" s="8" t="n"/>
      <c r="F40" s="8" t="n"/>
      <c r="G40" s="9">
        <f>IF(OR(E40="",F40=""),"",F40-E40)</f>
        <v/>
      </c>
      <c r="H40" s="8" t="n"/>
      <c r="I40" s="8" t="n"/>
      <c r="J40" s="8" t="n"/>
      <c r="K40" s="8" t="n"/>
      <c r="L40" s="10">
        <f>IF(I40=0,"",J40/I40*100)</f>
        <v/>
      </c>
      <c r="M40" s="8" t="n"/>
      <c r="N40" s="8" t="n"/>
      <c r="O40" s="8" t="n"/>
      <c r="P40" s="8" t="n"/>
      <c r="Q40" s="8" t="n"/>
      <c r="R40" s="8" t="n"/>
      <c r="S40" s="8" t="n"/>
    </row>
    <row r="41">
      <c r="A41" s="8" t="n"/>
      <c r="B41" s="8" t="n"/>
      <c r="C41" s="8" t="n"/>
      <c r="D41" s="8" t="n"/>
      <c r="E41" s="8" t="n"/>
      <c r="F41" s="8" t="n"/>
      <c r="G41" s="9">
        <f>IF(OR(E41="",F41=""),"",F41-E41)</f>
        <v/>
      </c>
      <c r="H41" s="8" t="n"/>
      <c r="I41" s="8" t="n"/>
      <c r="J41" s="8" t="n"/>
      <c r="K41" s="8" t="n"/>
      <c r="L41" s="10">
        <f>IF(I41=0,"",J41/I41*100)</f>
        <v/>
      </c>
      <c r="M41" s="8" t="n"/>
      <c r="N41" s="8" t="n"/>
      <c r="O41" s="8" t="n"/>
      <c r="P41" s="8" t="n"/>
      <c r="Q41" s="8" t="n"/>
      <c r="R41" s="8" t="n"/>
      <c r="S41" s="8" t="n"/>
    </row>
    <row r="42">
      <c r="A42" s="8" t="n"/>
      <c r="B42" s="8" t="n"/>
      <c r="C42" s="8" t="n"/>
      <c r="D42" s="8" t="n"/>
      <c r="E42" s="8" t="n"/>
      <c r="F42" s="8" t="n"/>
      <c r="G42" s="9">
        <f>IF(OR(E42="",F42=""),"",F42-E42)</f>
        <v/>
      </c>
      <c r="H42" s="8" t="n"/>
      <c r="I42" s="8" t="n"/>
      <c r="J42" s="8" t="n"/>
      <c r="K42" s="8" t="n"/>
      <c r="L42" s="10">
        <f>IF(I42=0,"",J42/I42*100)</f>
        <v/>
      </c>
      <c r="M42" s="8" t="n"/>
      <c r="N42" s="8" t="n"/>
      <c r="O42" s="8" t="n"/>
      <c r="P42" s="8" t="n"/>
      <c r="Q42" s="8" t="n"/>
      <c r="R42" s="8" t="n"/>
      <c r="S42" s="8" t="n"/>
    </row>
    <row r="43">
      <c r="A43" s="8" t="n"/>
      <c r="B43" s="8" t="n"/>
      <c r="C43" s="8" t="n"/>
      <c r="D43" s="8" t="n"/>
      <c r="E43" s="8" t="n"/>
      <c r="F43" s="8" t="n"/>
      <c r="G43" s="9">
        <f>IF(OR(E43="",F43=""),"",F43-E43)</f>
        <v/>
      </c>
      <c r="H43" s="8" t="n"/>
      <c r="I43" s="8" t="n"/>
      <c r="J43" s="8" t="n"/>
      <c r="K43" s="8" t="n"/>
      <c r="L43" s="10">
        <f>IF(I43=0,"",J43/I43*100)</f>
        <v/>
      </c>
      <c r="M43" s="8" t="n"/>
      <c r="N43" s="8" t="n"/>
      <c r="O43" s="8" t="n"/>
      <c r="P43" s="8" t="n"/>
      <c r="Q43" s="8" t="n"/>
      <c r="R43" s="8" t="n"/>
      <c r="S43" s="8" t="n"/>
    </row>
    <row r="44">
      <c r="A44" s="8" t="n"/>
      <c r="B44" s="8" t="n"/>
      <c r="C44" s="8" t="n"/>
      <c r="D44" s="8" t="n"/>
      <c r="E44" s="8" t="n"/>
      <c r="F44" s="8" t="n"/>
      <c r="G44" s="9">
        <f>IF(OR(E44="",F44=""),"",F44-E44)</f>
        <v/>
      </c>
      <c r="H44" s="8" t="n"/>
      <c r="I44" s="8" t="n"/>
      <c r="J44" s="8" t="n"/>
      <c r="K44" s="8" t="n"/>
      <c r="L44" s="10">
        <f>IF(I44=0,"",J44/I44*100)</f>
        <v/>
      </c>
      <c r="M44" s="8" t="n"/>
      <c r="N44" s="8" t="n"/>
      <c r="O44" s="8" t="n"/>
      <c r="P44" s="8" t="n"/>
      <c r="Q44" s="8" t="n"/>
      <c r="R44" s="8" t="n"/>
      <c r="S44" s="8" t="n"/>
    </row>
    <row r="45">
      <c r="A45" s="8" t="n"/>
      <c r="B45" s="8" t="n"/>
      <c r="C45" s="8" t="n"/>
      <c r="D45" s="8" t="n"/>
      <c r="E45" s="8" t="n"/>
      <c r="F45" s="8" t="n"/>
      <c r="G45" s="9">
        <f>IF(OR(E45="",F45=""),"",F45-E45)</f>
        <v/>
      </c>
      <c r="H45" s="8" t="n"/>
      <c r="I45" s="8" t="n"/>
      <c r="J45" s="8" t="n"/>
      <c r="K45" s="8" t="n"/>
      <c r="L45" s="10">
        <f>IF(I45=0,"",J45/I45*100)</f>
        <v/>
      </c>
      <c r="M45" s="8" t="n"/>
      <c r="N45" s="8" t="n"/>
      <c r="O45" s="8" t="n"/>
      <c r="P45" s="8" t="n"/>
      <c r="Q45" s="8" t="n"/>
      <c r="R45" s="8" t="n"/>
      <c r="S45" s="8" t="n"/>
    </row>
    <row r="46">
      <c r="A46" s="8" t="n"/>
      <c r="B46" s="8" t="n"/>
      <c r="C46" s="8" t="n"/>
      <c r="D46" s="8" t="n"/>
      <c r="E46" s="8" t="n"/>
      <c r="F46" s="8" t="n"/>
      <c r="G46" s="9">
        <f>IF(OR(E46="",F46=""),"",F46-E46)</f>
        <v/>
      </c>
      <c r="H46" s="8" t="n"/>
      <c r="I46" s="8" t="n"/>
      <c r="J46" s="8" t="n"/>
      <c r="K46" s="8" t="n"/>
      <c r="L46" s="10">
        <f>IF(I46=0,"",J46/I46*100)</f>
        <v/>
      </c>
      <c r="M46" s="8" t="n"/>
      <c r="N46" s="8" t="n"/>
      <c r="O46" s="8" t="n"/>
      <c r="P46" s="8" t="n"/>
      <c r="Q46" s="8" t="n"/>
      <c r="R46" s="8" t="n"/>
      <c r="S46" s="8" t="n"/>
    </row>
    <row r="47">
      <c r="A47" s="8" t="n"/>
      <c r="B47" s="8" t="n"/>
      <c r="C47" s="8" t="n"/>
      <c r="D47" s="8" t="n"/>
      <c r="E47" s="8" t="n"/>
      <c r="F47" s="8" t="n"/>
      <c r="G47" s="9">
        <f>IF(OR(E47="",F47=""),"",F47-E47)</f>
        <v/>
      </c>
      <c r="H47" s="8" t="n"/>
      <c r="I47" s="8" t="n"/>
      <c r="J47" s="8" t="n"/>
      <c r="K47" s="8" t="n"/>
      <c r="L47" s="10">
        <f>IF(I47=0,"",J47/I47*100)</f>
        <v/>
      </c>
      <c r="M47" s="8" t="n"/>
      <c r="N47" s="8" t="n"/>
      <c r="O47" s="8" t="n"/>
      <c r="P47" s="8" t="n"/>
      <c r="Q47" s="8" t="n"/>
      <c r="R47" s="8" t="n"/>
      <c r="S47" s="8" t="n"/>
    </row>
    <row r="48">
      <c r="A48" s="8" t="n"/>
      <c r="B48" s="8" t="n"/>
      <c r="C48" s="8" t="n"/>
      <c r="D48" s="8" t="n"/>
      <c r="E48" s="8" t="n"/>
      <c r="F48" s="8" t="n"/>
      <c r="G48" s="9">
        <f>IF(OR(E48="",F48=""),"",F48-E48)</f>
        <v/>
      </c>
      <c r="H48" s="8" t="n"/>
      <c r="I48" s="8" t="n"/>
      <c r="J48" s="8" t="n"/>
      <c r="K48" s="8" t="n"/>
      <c r="L48" s="10">
        <f>IF(I48=0,"",J48/I48*100)</f>
        <v/>
      </c>
      <c r="M48" s="8" t="n"/>
      <c r="N48" s="8" t="n"/>
      <c r="O48" s="8" t="n"/>
      <c r="P48" s="8" t="n"/>
      <c r="Q48" s="8" t="n"/>
      <c r="R48" s="8" t="n"/>
      <c r="S48" s="8" t="n"/>
    </row>
    <row r="49">
      <c r="A49" s="8" t="n"/>
      <c r="B49" s="8" t="n"/>
      <c r="C49" s="8" t="n"/>
      <c r="D49" s="8" t="n"/>
      <c r="E49" s="8" t="n"/>
      <c r="F49" s="8" t="n"/>
      <c r="G49" s="9">
        <f>IF(OR(E49="",F49=""),"",F49-E49)</f>
        <v/>
      </c>
      <c r="H49" s="8" t="n"/>
      <c r="I49" s="8" t="n"/>
      <c r="J49" s="8" t="n"/>
      <c r="K49" s="8" t="n"/>
      <c r="L49" s="10">
        <f>IF(I49=0,"",J49/I49*100)</f>
        <v/>
      </c>
      <c r="M49" s="8" t="n"/>
      <c r="N49" s="8" t="n"/>
      <c r="O49" s="8" t="n"/>
      <c r="P49" s="8" t="n"/>
      <c r="Q49" s="8" t="n"/>
      <c r="R49" s="8" t="n"/>
      <c r="S49" s="8" t="n"/>
    </row>
    <row r="50">
      <c r="A50" s="8" t="n"/>
      <c r="B50" s="8" t="n"/>
      <c r="C50" s="8" t="n"/>
      <c r="D50" s="8" t="n"/>
      <c r="E50" s="8" t="n"/>
      <c r="F50" s="8" t="n"/>
      <c r="G50" s="9">
        <f>IF(OR(E50="",F50=""),"",F50-E50)</f>
        <v/>
      </c>
      <c r="H50" s="8" t="n"/>
      <c r="I50" s="8" t="n"/>
      <c r="J50" s="8" t="n"/>
      <c r="K50" s="8" t="n"/>
      <c r="L50" s="10">
        <f>IF(I50=0,"",J50/I50*100)</f>
        <v/>
      </c>
      <c r="M50" s="8" t="n"/>
      <c r="N50" s="8" t="n"/>
      <c r="O50" s="8" t="n"/>
      <c r="P50" s="8" t="n"/>
      <c r="Q50" s="8" t="n"/>
      <c r="R50" s="8" t="n"/>
      <c r="S50" s="8" t="n"/>
    </row>
    <row r="51">
      <c r="A51" s="8" t="n"/>
      <c r="B51" s="8" t="n"/>
      <c r="C51" s="8" t="n"/>
      <c r="D51" s="8" t="n"/>
      <c r="E51" s="8" t="n"/>
      <c r="F51" s="8" t="n"/>
      <c r="G51" s="9">
        <f>IF(OR(E51="",F51=""),"",F51-E51)</f>
        <v/>
      </c>
      <c r="H51" s="8" t="n"/>
      <c r="I51" s="8" t="n"/>
      <c r="J51" s="8" t="n"/>
      <c r="K51" s="8" t="n"/>
      <c r="L51" s="10">
        <f>IF(I51=0,"",J51/I51*100)</f>
        <v/>
      </c>
      <c r="M51" s="8" t="n"/>
      <c r="N51" s="8" t="n"/>
      <c r="O51" s="8" t="n"/>
      <c r="P51" s="8" t="n"/>
      <c r="Q51" s="8" t="n"/>
      <c r="R51" s="8" t="n"/>
      <c r="S51" s="8" t="n"/>
    </row>
    <row r="52">
      <c r="A52" s="8" t="n"/>
      <c r="B52" s="8" t="n"/>
      <c r="C52" s="8" t="n"/>
      <c r="D52" s="8" t="n"/>
      <c r="E52" s="8" t="n"/>
      <c r="F52" s="8" t="n"/>
      <c r="G52" s="9">
        <f>IF(OR(E52="",F52=""),"",F52-E52)</f>
        <v/>
      </c>
      <c r="H52" s="8" t="n"/>
      <c r="I52" s="8" t="n"/>
      <c r="J52" s="8" t="n"/>
      <c r="K52" s="8" t="n"/>
      <c r="L52" s="10">
        <f>IF(I52=0,"",J52/I52*100)</f>
        <v/>
      </c>
      <c r="M52" s="8" t="n"/>
      <c r="N52" s="8" t="n"/>
      <c r="O52" s="8" t="n"/>
      <c r="P52" s="8" t="n"/>
      <c r="Q52" s="8" t="n"/>
      <c r="R52" s="8" t="n"/>
      <c r="S52" s="8" t="n"/>
    </row>
    <row r="53">
      <c r="A53" s="8" t="n"/>
      <c r="B53" s="8" t="n"/>
      <c r="C53" s="8" t="n"/>
      <c r="D53" s="8" t="n"/>
      <c r="E53" s="8" t="n"/>
      <c r="F53" s="8" t="n"/>
      <c r="G53" s="9">
        <f>IF(OR(E53="",F53=""),"",F53-E53)</f>
        <v/>
      </c>
      <c r="H53" s="8" t="n"/>
      <c r="I53" s="8" t="n"/>
      <c r="J53" s="8" t="n"/>
      <c r="K53" s="8" t="n"/>
      <c r="L53" s="10">
        <f>IF(I53=0,"",J53/I53*100)</f>
        <v/>
      </c>
      <c r="M53" s="8" t="n"/>
      <c r="N53" s="8" t="n"/>
      <c r="O53" s="8" t="n"/>
      <c r="P53" s="8" t="n"/>
      <c r="Q53" s="8" t="n"/>
      <c r="R53" s="8" t="n"/>
      <c r="S53" s="8" t="n"/>
    </row>
    <row r="54">
      <c r="A54" s="8" t="n"/>
      <c r="B54" s="8" t="n"/>
      <c r="C54" s="8" t="n"/>
      <c r="D54" s="8" t="n"/>
      <c r="E54" s="8" t="n"/>
      <c r="F54" s="8" t="n"/>
      <c r="G54" s="9">
        <f>IF(OR(E54="",F54=""),"",F54-E54)</f>
        <v/>
      </c>
      <c r="H54" s="8" t="n"/>
      <c r="I54" s="8" t="n"/>
      <c r="J54" s="8" t="n"/>
      <c r="K54" s="8" t="n"/>
      <c r="L54" s="10">
        <f>IF(I54=0,"",J54/I54*100)</f>
        <v/>
      </c>
      <c r="M54" s="8" t="n"/>
      <c r="N54" s="8" t="n"/>
      <c r="O54" s="8" t="n"/>
      <c r="P54" s="8" t="n"/>
      <c r="Q54" s="8" t="n"/>
      <c r="R54" s="8" t="n"/>
      <c r="S54" s="8" t="n"/>
    </row>
    <row r="55">
      <c r="A55" s="8" t="n"/>
      <c r="B55" s="8" t="n"/>
      <c r="C55" s="8" t="n"/>
      <c r="D55" s="8" t="n"/>
      <c r="E55" s="8" t="n"/>
      <c r="F55" s="8" t="n"/>
      <c r="G55" s="9">
        <f>IF(OR(E55="",F55=""),"",F55-E55)</f>
        <v/>
      </c>
      <c r="H55" s="8" t="n"/>
      <c r="I55" s="8" t="n"/>
      <c r="J55" s="8" t="n"/>
      <c r="K55" s="8" t="n"/>
      <c r="L55" s="10">
        <f>IF(I55=0,"",J55/I55*100)</f>
        <v/>
      </c>
      <c r="M55" s="8" t="n"/>
      <c r="N55" s="8" t="n"/>
      <c r="O55" s="8" t="n"/>
      <c r="P55" s="8" t="n"/>
      <c r="Q55" s="8" t="n"/>
      <c r="R55" s="8" t="n"/>
      <c r="S55" s="8" t="n"/>
    </row>
    <row r="56">
      <c r="A56" s="8" t="n"/>
      <c r="B56" s="8" t="n"/>
      <c r="C56" s="8" t="n"/>
      <c r="D56" s="8" t="n"/>
      <c r="E56" s="8" t="n"/>
      <c r="F56" s="8" t="n"/>
      <c r="G56" s="9">
        <f>IF(OR(E56="",F56=""),"",F56-E56)</f>
        <v/>
      </c>
      <c r="H56" s="8" t="n"/>
      <c r="I56" s="8" t="n"/>
      <c r="J56" s="8" t="n"/>
      <c r="K56" s="8" t="n"/>
      <c r="L56" s="10">
        <f>IF(I56=0,"",J56/I56*100)</f>
        <v/>
      </c>
      <c r="M56" s="8" t="n"/>
      <c r="N56" s="8" t="n"/>
      <c r="O56" s="8" t="n"/>
      <c r="P56" s="8" t="n"/>
      <c r="Q56" s="8" t="n"/>
      <c r="R56" s="8" t="n"/>
      <c r="S56" s="8" t="n"/>
    </row>
    <row r="57">
      <c r="A57" s="8" t="n"/>
      <c r="B57" s="8" t="n"/>
      <c r="C57" s="8" t="n"/>
      <c r="D57" s="8" t="n"/>
      <c r="E57" s="8" t="n"/>
      <c r="F57" s="8" t="n"/>
      <c r="G57" s="9">
        <f>IF(OR(E57="",F57=""),"",F57-E57)</f>
        <v/>
      </c>
      <c r="H57" s="8" t="n"/>
      <c r="I57" s="8" t="n"/>
      <c r="J57" s="8" t="n"/>
      <c r="K57" s="8" t="n"/>
      <c r="L57" s="10">
        <f>IF(I57=0,"",J57/I57*100)</f>
        <v/>
      </c>
      <c r="M57" s="8" t="n"/>
      <c r="N57" s="8" t="n"/>
      <c r="O57" s="8" t="n"/>
      <c r="P57" s="8" t="n"/>
      <c r="Q57" s="8" t="n"/>
      <c r="R57" s="8" t="n"/>
      <c r="S57" s="8" t="n"/>
    </row>
    <row r="58">
      <c r="A58" s="8" t="n"/>
      <c r="B58" s="8" t="n"/>
      <c r="C58" s="8" t="n"/>
      <c r="D58" s="8" t="n"/>
      <c r="E58" s="8" t="n"/>
      <c r="F58" s="8" t="n"/>
      <c r="G58" s="9">
        <f>IF(OR(E58="",F58=""),"",F58-E58)</f>
        <v/>
      </c>
      <c r="H58" s="8" t="n"/>
      <c r="I58" s="8" t="n"/>
      <c r="J58" s="8" t="n"/>
      <c r="K58" s="8" t="n"/>
      <c r="L58" s="10">
        <f>IF(I58=0,"",J58/I58*100)</f>
        <v/>
      </c>
      <c r="M58" s="8" t="n"/>
      <c r="N58" s="8" t="n"/>
      <c r="O58" s="8" t="n"/>
      <c r="P58" s="8" t="n"/>
      <c r="Q58" s="8" t="n"/>
      <c r="R58" s="8" t="n"/>
      <c r="S58" s="8" t="n"/>
    </row>
    <row r="59">
      <c r="A59" s="8" t="n"/>
      <c r="B59" s="8" t="n"/>
      <c r="C59" s="8" t="n"/>
      <c r="D59" s="8" t="n"/>
      <c r="E59" s="8" t="n"/>
      <c r="F59" s="8" t="n"/>
      <c r="G59" s="9">
        <f>IF(OR(E59="",F59=""),"",F59-E59)</f>
        <v/>
      </c>
      <c r="H59" s="8" t="n"/>
      <c r="I59" s="8" t="n"/>
      <c r="J59" s="8" t="n"/>
      <c r="K59" s="8" t="n"/>
      <c r="L59" s="10">
        <f>IF(I59=0,"",J59/I59*100)</f>
        <v/>
      </c>
      <c r="M59" s="8" t="n"/>
      <c r="N59" s="8" t="n"/>
      <c r="O59" s="8" t="n"/>
      <c r="P59" s="8" t="n"/>
      <c r="Q59" s="8" t="n"/>
      <c r="R59" s="8" t="n"/>
      <c r="S59" s="8" t="n"/>
    </row>
    <row r="60">
      <c r="A60" s="8" t="n"/>
      <c r="B60" s="8" t="n"/>
      <c r="C60" s="8" t="n"/>
      <c r="D60" s="8" t="n"/>
      <c r="E60" s="8" t="n"/>
      <c r="F60" s="8" t="n"/>
      <c r="G60" s="9">
        <f>IF(OR(E60="",F60=""),"",F60-E60)</f>
        <v/>
      </c>
      <c r="H60" s="8" t="n"/>
      <c r="I60" s="8" t="n"/>
      <c r="J60" s="8" t="n"/>
      <c r="K60" s="8" t="n"/>
      <c r="L60" s="10">
        <f>IF(I60=0,"",J60/I60*100)</f>
        <v/>
      </c>
      <c r="M60" s="8" t="n"/>
      <c r="N60" s="8" t="n"/>
      <c r="O60" s="8" t="n"/>
      <c r="P60" s="8" t="n"/>
      <c r="Q60" s="8" t="n"/>
      <c r="R60" s="8" t="n"/>
      <c r="S60" s="8" t="n"/>
    </row>
    <row r="61">
      <c r="A61" s="8" t="n"/>
      <c r="B61" s="8" t="n"/>
      <c r="C61" s="8" t="n"/>
      <c r="D61" s="8" t="n"/>
      <c r="E61" s="8" t="n"/>
      <c r="F61" s="8" t="n"/>
      <c r="G61" s="9">
        <f>IF(OR(E61="",F61=""),"",F61-E61)</f>
        <v/>
      </c>
      <c r="H61" s="8" t="n"/>
      <c r="I61" s="8" t="n"/>
      <c r="J61" s="8" t="n"/>
      <c r="K61" s="8" t="n"/>
      <c r="L61" s="10">
        <f>IF(I61=0,"",J61/I61*100)</f>
        <v/>
      </c>
      <c r="M61" s="8" t="n"/>
      <c r="N61" s="8" t="n"/>
      <c r="O61" s="8" t="n"/>
      <c r="P61" s="8" t="n"/>
      <c r="Q61" s="8" t="n"/>
      <c r="R61" s="8" t="n"/>
      <c r="S61" s="8" t="n"/>
    </row>
    <row r="62">
      <c r="A62" s="8" t="n"/>
      <c r="B62" s="8" t="n"/>
      <c r="C62" s="8" t="n"/>
      <c r="D62" s="8" t="n"/>
      <c r="E62" s="8" t="n"/>
      <c r="F62" s="8" t="n"/>
      <c r="G62" s="9">
        <f>IF(OR(E62="",F62=""),"",F62-E62)</f>
        <v/>
      </c>
      <c r="H62" s="8" t="n"/>
      <c r="I62" s="8" t="n"/>
      <c r="J62" s="8" t="n"/>
      <c r="K62" s="8" t="n"/>
      <c r="L62" s="10">
        <f>IF(I62=0,"",J62/I62*100)</f>
        <v/>
      </c>
      <c r="M62" s="8" t="n"/>
      <c r="N62" s="8" t="n"/>
      <c r="O62" s="8" t="n"/>
      <c r="P62" s="8" t="n"/>
      <c r="Q62" s="8" t="n"/>
      <c r="R62" s="8" t="n"/>
      <c r="S62" s="8" t="n"/>
    </row>
    <row r="63">
      <c r="A63" s="8" t="n"/>
      <c r="B63" s="8" t="n"/>
      <c r="C63" s="8" t="n"/>
      <c r="D63" s="8" t="n"/>
      <c r="E63" s="8" t="n"/>
      <c r="F63" s="8" t="n"/>
      <c r="G63" s="9">
        <f>IF(OR(E63="",F63=""),"",F63-E63)</f>
        <v/>
      </c>
      <c r="H63" s="8" t="n"/>
      <c r="I63" s="8" t="n"/>
      <c r="J63" s="8" t="n"/>
      <c r="K63" s="8" t="n"/>
      <c r="L63" s="10">
        <f>IF(I63=0,"",J63/I63*100)</f>
        <v/>
      </c>
      <c r="M63" s="8" t="n"/>
      <c r="N63" s="8" t="n"/>
      <c r="O63" s="8" t="n"/>
      <c r="P63" s="8" t="n"/>
      <c r="Q63" s="8" t="n"/>
      <c r="R63" s="8" t="n"/>
      <c r="S63" s="8" t="n"/>
    </row>
    <row r="64">
      <c r="A64" s="8" t="n"/>
      <c r="B64" s="8" t="n"/>
      <c r="C64" s="8" t="n"/>
      <c r="D64" s="8" t="n"/>
      <c r="E64" s="8" t="n"/>
      <c r="F64" s="8" t="n"/>
      <c r="G64" s="9">
        <f>IF(OR(E64="",F64=""),"",F64-E64)</f>
        <v/>
      </c>
      <c r="H64" s="8" t="n"/>
      <c r="I64" s="8" t="n"/>
      <c r="J64" s="8" t="n"/>
      <c r="K64" s="8" t="n"/>
      <c r="L64" s="10">
        <f>IF(I64=0,"",J64/I64*100)</f>
        <v/>
      </c>
      <c r="M64" s="8" t="n"/>
      <c r="N64" s="8" t="n"/>
      <c r="O64" s="8" t="n"/>
      <c r="P64" s="8" t="n"/>
      <c r="Q64" s="8" t="n"/>
      <c r="R64" s="8" t="n"/>
      <c r="S64" s="8" t="n"/>
    </row>
    <row r="65">
      <c r="A65" s="8" t="n"/>
      <c r="B65" s="8" t="n"/>
      <c r="C65" s="8" t="n"/>
      <c r="D65" s="8" t="n"/>
      <c r="E65" s="8" t="n"/>
      <c r="F65" s="8" t="n"/>
      <c r="G65" s="9">
        <f>IF(OR(E65="",F65=""),"",F65-E65)</f>
        <v/>
      </c>
      <c r="H65" s="8" t="n"/>
      <c r="I65" s="8" t="n"/>
      <c r="J65" s="8" t="n"/>
      <c r="K65" s="8" t="n"/>
      <c r="L65" s="10">
        <f>IF(I65=0,"",J65/I65*100)</f>
        <v/>
      </c>
      <c r="M65" s="8" t="n"/>
      <c r="N65" s="8" t="n"/>
      <c r="O65" s="8" t="n"/>
      <c r="P65" s="8" t="n"/>
      <c r="Q65" s="8" t="n"/>
      <c r="R65" s="8" t="n"/>
      <c r="S65" s="8" t="n"/>
    </row>
    <row r="66">
      <c r="A66" s="8" t="n"/>
      <c r="B66" s="8" t="n"/>
      <c r="C66" s="8" t="n"/>
      <c r="D66" s="8" t="n"/>
      <c r="E66" s="8" t="n"/>
      <c r="F66" s="8" t="n"/>
      <c r="G66" s="9">
        <f>IF(OR(E66="",F66=""),"",F66-E66)</f>
        <v/>
      </c>
      <c r="H66" s="8" t="n"/>
      <c r="I66" s="8" t="n"/>
      <c r="J66" s="8" t="n"/>
      <c r="K66" s="8" t="n"/>
      <c r="L66" s="10">
        <f>IF(I66=0,"",J66/I66*100)</f>
        <v/>
      </c>
      <c r="M66" s="8" t="n"/>
      <c r="N66" s="8" t="n"/>
      <c r="O66" s="8" t="n"/>
      <c r="P66" s="8" t="n"/>
      <c r="Q66" s="8" t="n"/>
      <c r="R66" s="8" t="n"/>
      <c r="S66" s="8" t="n"/>
    </row>
    <row r="67">
      <c r="A67" s="8" t="n"/>
      <c r="B67" s="8" t="n"/>
      <c r="C67" s="8" t="n"/>
      <c r="D67" s="8" t="n"/>
      <c r="E67" s="8" t="n"/>
      <c r="F67" s="8" t="n"/>
      <c r="G67" s="9">
        <f>IF(OR(E67="",F67=""),"",F67-E67)</f>
        <v/>
      </c>
      <c r="H67" s="8" t="n"/>
      <c r="I67" s="8" t="n"/>
      <c r="J67" s="8" t="n"/>
      <c r="K67" s="8" t="n"/>
      <c r="L67" s="10">
        <f>IF(I67=0,"",J67/I67*100)</f>
        <v/>
      </c>
      <c r="M67" s="8" t="n"/>
      <c r="N67" s="8" t="n"/>
      <c r="O67" s="8" t="n"/>
      <c r="P67" s="8" t="n"/>
      <c r="Q67" s="8" t="n"/>
      <c r="R67" s="8" t="n"/>
      <c r="S67" s="8" t="n"/>
    </row>
    <row r="68">
      <c r="A68" s="8" t="n"/>
      <c r="B68" s="8" t="n"/>
      <c r="C68" s="8" t="n"/>
      <c r="D68" s="8" t="n"/>
      <c r="E68" s="8" t="n"/>
      <c r="F68" s="8" t="n"/>
      <c r="G68" s="9">
        <f>IF(OR(E68="",F68=""),"",F68-E68)</f>
        <v/>
      </c>
      <c r="H68" s="8" t="n"/>
      <c r="I68" s="8" t="n"/>
      <c r="J68" s="8" t="n"/>
      <c r="K68" s="8" t="n"/>
      <c r="L68" s="10">
        <f>IF(I68=0,"",J68/I68*100)</f>
        <v/>
      </c>
      <c r="M68" s="8" t="n"/>
      <c r="N68" s="8" t="n"/>
      <c r="O68" s="8" t="n"/>
      <c r="P68" s="8" t="n"/>
      <c r="Q68" s="8" t="n"/>
      <c r="R68" s="8" t="n"/>
      <c r="S68" s="8" t="n"/>
    </row>
    <row r="69">
      <c r="A69" s="8" t="n"/>
      <c r="B69" s="8" t="n"/>
      <c r="C69" s="8" t="n"/>
      <c r="D69" s="8" t="n"/>
      <c r="E69" s="8" t="n"/>
      <c r="F69" s="8" t="n"/>
      <c r="G69" s="9">
        <f>IF(OR(E69="",F69=""),"",F69-E69)</f>
        <v/>
      </c>
      <c r="H69" s="8" t="n"/>
      <c r="I69" s="8" t="n"/>
      <c r="J69" s="8" t="n"/>
      <c r="K69" s="8" t="n"/>
      <c r="L69" s="10">
        <f>IF(I69=0,"",J69/I69*100)</f>
        <v/>
      </c>
      <c r="M69" s="8" t="n"/>
      <c r="N69" s="8" t="n"/>
      <c r="O69" s="8" t="n"/>
      <c r="P69" s="8" t="n"/>
      <c r="Q69" s="8" t="n"/>
      <c r="R69" s="8" t="n"/>
      <c r="S69" s="8" t="n"/>
    </row>
    <row r="70">
      <c r="A70" s="8" t="n"/>
      <c r="B70" s="8" t="n"/>
      <c r="C70" s="8" t="n"/>
      <c r="D70" s="8" t="n"/>
      <c r="E70" s="8" t="n"/>
      <c r="F70" s="8" t="n"/>
      <c r="G70" s="9">
        <f>IF(OR(E70="",F70=""),"",F70-E70)</f>
        <v/>
      </c>
      <c r="H70" s="8" t="n"/>
      <c r="I70" s="8" t="n"/>
      <c r="J70" s="8" t="n"/>
      <c r="K70" s="8" t="n"/>
      <c r="L70" s="10">
        <f>IF(I70=0,"",J70/I70*100)</f>
        <v/>
      </c>
      <c r="M70" s="8" t="n"/>
      <c r="N70" s="8" t="n"/>
      <c r="O70" s="8" t="n"/>
      <c r="P70" s="8" t="n"/>
      <c r="Q70" s="8" t="n"/>
      <c r="R70" s="8" t="n"/>
      <c r="S70" s="8" t="n"/>
    </row>
    <row r="71">
      <c r="A71" s="8" t="n"/>
      <c r="B71" s="8" t="n"/>
      <c r="C71" s="8" t="n"/>
      <c r="D71" s="8" t="n"/>
      <c r="E71" s="8" t="n"/>
      <c r="F71" s="8" t="n"/>
      <c r="G71" s="9">
        <f>IF(OR(E71="",F71=""),"",F71-E71)</f>
        <v/>
      </c>
      <c r="H71" s="8" t="n"/>
      <c r="I71" s="8" t="n"/>
      <c r="J71" s="8" t="n"/>
      <c r="K71" s="8" t="n"/>
      <c r="L71" s="10">
        <f>IF(I71=0,"",J71/I71*100)</f>
        <v/>
      </c>
      <c r="M71" s="8" t="n"/>
      <c r="N71" s="8" t="n"/>
      <c r="O71" s="8" t="n"/>
      <c r="P71" s="8" t="n"/>
      <c r="Q71" s="8" t="n"/>
      <c r="R71" s="8" t="n"/>
      <c r="S71" s="8" t="n"/>
    </row>
    <row r="72">
      <c r="A72" s="8" t="n"/>
      <c r="B72" s="8" t="n"/>
      <c r="C72" s="8" t="n"/>
      <c r="D72" s="8" t="n"/>
      <c r="E72" s="8" t="n"/>
      <c r="F72" s="8" t="n"/>
      <c r="G72" s="9">
        <f>IF(OR(E72="",F72=""),"",F72-E72)</f>
        <v/>
      </c>
      <c r="H72" s="8" t="n"/>
      <c r="I72" s="8" t="n"/>
      <c r="J72" s="8" t="n"/>
      <c r="K72" s="8" t="n"/>
      <c r="L72" s="10">
        <f>IF(I72=0,"",J72/I72*100)</f>
        <v/>
      </c>
      <c r="M72" s="8" t="n"/>
      <c r="N72" s="8" t="n"/>
      <c r="O72" s="8" t="n"/>
      <c r="P72" s="8" t="n"/>
      <c r="Q72" s="8" t="n"/>
      <c r="R72" s="8" t="n"/>
      <c r="S72" s="8" t="n"/>
    </row>
    <row r="73">
      <c r="A73" s="8" t="n"/>
      <c r="B73" s="8" t="n"/>
      <c r="C73" s="8" t="n"/>
      <c r="D73" s="8" t="n"/>
      <c r="E73" s="8" t="n"/>
      <c r="F73" s="8" t="n"/>
      <c r="G73" s="9">
        <f>IF(OR(E73="",F73=""),"",F73-E73)</f>
        <v/>
      </c>
      <c r="H73" s="8" t="n"/>
      <c r="I73" s="8" t="n"/>
      <c r="J73" s="8" t="n"/>
      <c r="K73" s="8" t="n"/>
      <c r="L73" s="10">
        <f>IF(I73=0,"",J73/I73*100)</f>
        <v/>
      </c>
      <c r="M73" s="8" t="n"/>
      <c r="N73" s="8" t="n"/>
      <c r="O73" s="8" t="n"/>
      <c r="P73" s="8" t="n"/>
      <c r="Q73" s="8" t="n"/>
      <c r="R73" s="8" t="n"/>
      <c r="S73" s="8" t="n"/>
    </row>
    <row r="74">
      <c r="A74" s="8" t="n"/>
      <c r="B74" s="8" t="n"/>
      <c r="C74" s="8" t="n"/>
      <c r="D74" s="8" t="n"/>
      <c r="E74" s="8" t="n"/>
      <c r="F74" s="8" t="n"/>
      <c r="G74" s="9">
        <f>IF(OR(E74="",F74=""),"",F74-E74)</f>
        <v/>
      </c>
      <c r="H74" s="8" t="n"/>
      <c r="I74" s="8" t="n"/>
      <c r="J74" s="8" t="n"/>
      <c r="K74" s="8" t="n"/>
      <c r="L74" s="10">
        <f>IF(I74=0,"",J74/I74*100)</f>
        <v/>
      </c>
      <c r="M74" s="8" t="n"/>
      <c r="N74" s="8" t="n"/>
      <c r="O74" s="8" t="n"/>
      <c r="P74" s="8" t="n"/>
      <c r="Q74" s="8" t="n"/>
      <c r="R74" s="8" t="n"/>
      <c r="S74" s="8" t="n"/>
    </row>
    <row r="75">
      <c r="A75" s="8" t="n"/>
      <c r="B75" s="8" t="n"/>
      <c r="C75" s="8" t="n"/>
      <c r="D75" s="8" t="n"/>
      <c r="E75" s="8" t="n"/>
      <c r="F75" s="8" t="n"/>
      <c r="G75" s="9">
        <f>IF(OR(E75="",F75=""),"",F75-E75)</f>
        <v/>
      </c>
      <c r="H75" s="8" t="n"/>
      <c r="I75" s="8" t="n"/>
      <c r="J75" s="8" t="n"/>
      <c r="K75" s="8" t="n"/>
      <c r="L75" s="10">
        <f>IF(I75=0,"",J75/I75*100)</f>
        <v/>
      </c>
      <c r="M75" s="8" t="n"/>
      <c r="N75" s="8" t="n"/>
      <c r="O75" s="8" t="n"/>
      <c r="P75" s="8" t="n"/>
      <c r="Q75" s="8" t="n"/>
      <c r="R75" s="8" t="n"/>
      <c r="S75" s="8" t="n"/>
    </row>
    <row r="76">
      <c r="A76" s="8" t="n"/>
      <c r="B76" s="8" t="n"/>
      <c r="C76" s="8" t="n"/>
      <c r="D76" s="8" t="n"/>
      <c r="E76" s="8" t="n"/>
      <c r="F76" s="8" t="n"/>
      <c r="G76" s="9">
        <f>IF(OR(E76="",F76=""),"",F76-E76)</f>
        <v/>
      </c>
      <c r="H76" s="8" t="n"/>
      <c r="I76" s="8" t="n"/>
      <c r="J76" s="8" t="n"/>
      <c r="K76" s="8" t="n"/>
      <c r="L76" s="10">
        <f>IF(I76=0,"",J76/I76*100)</f>
        <v/>
      </c>
      <c r="M76" s="8" t="n"/>
      <c r="N76" s="8" t="n"/>
      <c r="O76" s="8" t="n"/>
      <c r="P76" s="8" t="n"/>
      <c r="Q76" s="8" t="n"/>
      <c r="R76" s="8" t="n"/>
      <c r="S76" s="8" t="n"/>
    </row>
    <row r="77">
      <c r="A77" s="8" t="n"/>
      <c r="B77" s="8" t="n"/>
      <c r="C77" s="8" t="n"/>
      <c r="D77" s="8" t="n"/>
      <c r="E77" s="8" t="n"/>
      <c r="F77" s="8" t="n"/>
      <c r="G77" s="9">
        <f>IF(OR(E77="",F77=""),"",F77-E77)</f>
        <v/>
      </c>
      <c r="H77" s="8" t="n"/>
      <c r="I77" s="8" t="n"/>
      <c r="J77" s="8" t="n"/>
      <c r="K77" s="8" t="n"/>
      <c r="L77" s="10">
        <f>IF(I77=0,"",J77/I77*100)</f>
        <v/>
      </c>
      <c r="M77" s="8" t="n"/>
      <c r="N77" s="8" t="n"/>
      <c r="O77" s="8" t="n"/>
      <c r="P77" s="8" t="n"/>
      <c r="Q77" s="8" t="n"/>
      <c r="R77" s="8" t="n"/>
      <c r="S77" s="8" t="n"/>
    </row>
    <row r="78">
      <c r="A78" s="8" t="n"/>
      <c r="B78" s="8" t="n"/>
      <c r="C78" s="8" t="n"/>
      <c r="D78" s="8" t="n"/>
      <c r="E78" s="8" t="n"/>
      <c r="F78" s="8" t="n"/>
      <c r="G78" s="9">
        <f>IF(OR(E78="",F78=""),"",F78-E78)</f>
        <v/>
      </c>
      <c r="H78" s="8" t="n"/>
      <c r="I78" s="8" t="n"/>
      <c r="J78" s="8" t="n"/>
      <c r="K78" s="8" t="n"/>
      <c r="L78" s="10">
        <f>IF(I78=0,"",J78/I78*100)</f>
        <v/>
      </c>
      <c r="M78" s="8" t="n"/>
      <c r="N78" s="8" t="n"/>
      <c r="O78" s="8" t="n"/>
      <c r="P78" s="8" t="n"/>
      <c r="Q78" s="8" t="n"/>
      <c r="R78" s="8" t="n"/>
      <c r="S78" s="8" t="n"/>
    </row>
    <row r="79">
      <c r="A79" s="8" t="n"/>
      <c r="B79" s="8" t="n"/>
      <c r="C79" s="8" t="n"/>
      <c r="D79" s="8" t="n"/>
      <c r="E79" s="8" t="n"/>
      <c r="F79" s="8" t="n"/>
      <c r="G79" s="9">
        <f>IF(OR(E79="",F79=""),"",F79-E79)</f>
        <v/>
      </c>
      <c r="H79" s="8" t="n"/>
      <c r="I79" s="8" t="n"/>
      <c r="J79" s="8" t="n"/>
      <c r="K79" s="8" t="n"/>
      <c r="L79" s="10">
        <f>IF(I79=0,"",J79/I79*100)</f>
        <v/>
      </c>
      <c r="M79" s="8" t="n"/>
      <c r="N79" s="8" t="n"/>
      <c r="O79" s="8" t="n"/>
      <c r="P79" s="8" t="n"/>
      <c r="Q79" s="8" t="n"/>
      <c r="R79" s="8" t="n"/>
      <c r="S79" s="8" t="n"/>
    </row>
    <row r="80">
      <c r="A80" s="8" t="n"/>
      <c r="B80" s="8" t="n"/>
      <c r="C80" s="8" t="n"/>
      <c r="D80" s="8" t="n"/>
      <c r="E80" s="8" t="n"/>
      <c r="F80" s="8" t="n"/>
      <c r="G80" s="9">
        <f>IF(OR(E80="",F80=""),"",F80-E80)</f>
        <v/>
      </c>
      <c r="H80" s="8" t="n"/>
      <c r="I80" s="8" t="n"/>
      <c r="J80" s="8" t="n"/>
      <c r="K80" s="8" t="n"/>
      <c r="L80" s="10">
        <f>IF(I80=0,"",J80/I80*100)</f>
        <v/>
      </c>
      <c r="M80" s="8" t="n"/>
      <c r="N80" s="8" t="n"/>
      <c r="O80" s="8" t="n"/>
      <c r="P80" s="8" t="n"/>
      <c r="Q80" s="8" t="n"/>
      <c r="R80" s="8" t="n"/>
      <c r="S80" s="8" t="n"/>
    </row>
    <row r="81">
      <c r="A81" s="8" t="n"/>
      <c r="B81" s="8" t="n"/>
      <c r="C81" s="8" t="n"/>
      <c r="D81" s="8" t="n"/>
      <c r="E81" s="8" t="n"/>
      <c r="F81" s="8" t="n"/>
      <c r="G81" s="9">
        <f>IF(OR(E81="",F81=""),"",F81-E81)</f>
        <v/>
      </c>
      <c r="H81" s="8" t="n"/>
      <c r="I81" s="8" t="n"/>
      <c r="J81" s="8" t="n"/>
      <c r="K81" s="8" t="n"/>
      <c r="L81" s="10">
        <f>IF(I81=0,"",J81/I81*100)</f>
        <v/>
      </c>
      <c r="M81" s="8" t="n"/>
      <c r="N81" s="8" t="n"/>
      <c r="O81" s="8" t="n"/>
      <c r="P81" s="8" t="n"/>
      <c r="Q81" s="8" t="n"/>
      <c r="R81" s="8" t="n"/>
      <c r="S81" s="8" t="n"/>
    </row>
    <row r="82">
      <c r="A82" s="8" t="n"/>
      <c r="B82" s="8" t="n"/>
      <c r="C82" s="8" t="n"/>
      <c r="D82" s="8" t="n"/>
      <c r="E82" s="8" t="n"/>
      <c r="F82" s="8" t="n"/>
      <c r="G82" s="9">
        <f>IF(OR(E82="",F82=""),"",F82-E82)</f>
        <v/>
      </c>
      <c r="H82" s="8" t="n"/>
      <c r="I82" s="8" t="n"/>
      <c r="J82" s="8" t="n"/>
      <c r="K82" s="8" t="n"/>
      <c r="L82" s="10">
        <f>IF(I82=0,"",J82/I82*100)</f>
        <v/>
      </c>
      <c r="M82" s="8" t="n"/>
      <c r="N82" s="8" t="n"/>
      <c r="O82" s="8" t="n"/>
      <c r="P82" s="8" t="n"/>
      <c r="Q82" s="8" t="n"/>
      <c r="R82" s="8" t="n"/>
      <c r="S82" s="8" t="n"/>
    </row>
    <row r="83">
      <c r="A83" s="8" t="n"/>
      <c r="B83" s="8" t="n"/>
      <c r="C83" s="8" t="n"/>
      <c r="D83" s="8" t="n"/>
      <c r="E83" s="8" t="n"/>
      <c r="F83" s="8" t="n"/>
      <c r="G83" s="9">
        <f>IF(OR(E83="",F83=""),"",F83-E83)</f>
        <v/>
      </c>
      <c r="H83" s="8" t="n"/>
      <c r="I83" s="8" t="n"/>
      <c r="J83" s="8" t="n"/>
      <c r="K83" s="8" t="n"/>
      <c r="L83" s="10">
        <f>IF(I83=0,"",J83/I83*100)</f>
        <v/>
      </c>
      <c r="M83" s="8" t="n"/>
      <c r="N83" s="8" t="n"/>
      <c r="O83" s="8" t="n"/>
      <c r="P83" s="8" t="n"/>
      <c r="Q83" s="8" t="n"/>
      <c r="R83" s="8" t="n"/>
      <c r="S83" s="8" t="n"/>
    </row>
    <row r="84">
      <c r="A84" s="8" t="n"/>
      <c r="B84" s="8" t="n"/>
      <c r="C84" s="8" t="n"/>
      <c r="D84" s="8" t="n"/>
      <c r="E84" s="8" t="n"/>
      <c r="F84" s="8" t="n"/>
      <c r="G84" s="9">
        <f>IF(OR(E84="",F84=""),"",F84-E84)</f>
        <v/>
      </c>
      <c r="H84" s="8" t="n"/>
      <c r="I84" s="8" t="n"/>
      <c r="J84" s="8" t="n"/>
      <c r="K84" s="8" t="n"/>
      <c r="L84" s="10">
        <f>IF(I84=0,"",J84/I84*100)</f>
        <v/>
      </c>
      <c r="M84" s="8" t="n"/>
      <c r="N84" s="8" t="n"/>
      <c r="O84" s="8" t="n"/>
      <c r="P84" s="8" t="n"/>
      <c r="Q84" s="8" t="n"/>
      <c r="R84" s="8" t="n"/>
      <c r="S84" s="8" t="n"/>
    </row>
    <row r="85">
      <c r="A85" s="8" t="n"/>
      <c r="B85" s="8" t="n"/>
      <c r="C85" s="8" t="n"/>
      <c r="D85" s="8" t="n"/>
      <c r="E85" s="8" t="n"/>
      <c r="F85" s="8" t="n"/>
      <c r="G85" s="9">
        <f>IF(OR(E85="",F85=""),"",F85-E85)</f>
        <v/>
      </c>
      <c r="H85" s="8" t="n"/>
      <c r="I85" s="8" t="n"/>
      <c r="J85" s="8" t="n"/>
      <c r="K85" s="8" t="n"/>
      <c r="L85" s="10">
        <f>IF(I85=0,"",J85/I85*100)</f>
        <v/>
      </c>
      <c r="M85" s="8" t="n"/>
      <c r="N85" s="8" t="n"/>
      <c r="O85" s="8" t="n"/>
      <c r="P85" s="8" t="n"/>
      <c r="Q85" s="8" t="n"/>
      <c r="R85" s="8" t="n"/>
      <c r="S85" s="8" t="n"/>
    </row>
    <row r="86">
      <c r="A86" s="8" t="n"/>
      <c r="B86" s="8" t="n"/>
      <c r="C86" s="8" t="n"/>
      <c r="D86" s="8" t="n"/>
      <c r="E86" s="8" t="n"/>
      <c r="F86" s="8" t="n"/>
      <c r="G86" s="9">
        <f>IF(OR(E86="",F86=""),"",F86-E86)</f>
        <v/>
      </c>
      <c r="H86" s="8" t="n"/>
      <c r="I86" s="8" t="n"/>
      <c r="J86" s="8" t="n"/>
      <c r="K86" s="8" t="n"/>
      <c r="L86" s="10">
        <f>IF(I86=0,"",J86/I86*100)</f>
        <v/>
      </c>
      <c r="M86" s="8" t="n"/>
      <c r="N86" s="8" t="n"/>
      <c r="O86" s="8" t="n"/>
      <c r="P86" s="8" t="n"/>
      <c r="Q86" s="8" t="n"/>
      <c r="R86" s="8" t="n"/>
      <c r="S86" s="8" t="n"/>
    </row>
    <row r="87">
      <c r="A87" s="8" t="n"/>
      <c r="B87" s="8" t="n"/>
      <c r="C87" s="8" t="n"/>
      <c r="D87" s="8" t="n"/>
      <c r="E87" s="8" t="n"/>
      <c r="F87" s="8" t="n"/>
      <c r="G87" s="9">
        <f>IF(OR(E87="",F87=""),"",F87-E87)</f>
        <v/>
      </c>
      <c r="H87" s="8" t="n"/>
      <c r="I87" s="8" t="n"/>
      <c r="J87" s="8" t="n"/>
      <c r="K87" s="8" t="n"/>
      <c r="L87" s="10">
        <f>IF(I87=0,"",J87/I87*100)</f>
        <v/>
      </c>
      <c r="M87" s="8" t="n"/>
      <c r="N87" s="8" t="n"/>
      <c r="O87" s="8" t="n"/>
      <c r="P87" s="8" t="n"/>
      <c r="Q87" s="8" t="n"/>
      <c r="R87" s="8" t="n"/>
      <c r="S87" s="8" t="n"/>
    </row>
    <row r="88">
      <c r="A88" s="8" t="n"/>
      <c r="B88" s="8" t="n"/>
      <c r="C88" s="8" t="n"/>
      <c r="D88" s="8" t="n"/>
      <c r="E88" s="8" t="n"/>
      <c r="F88" s="8" t="n"/>
      <c r="G88" s="9">
        <f>IF(OR(E88="",F88=""),"",F88-E88)</f>
        <v/>
      </c>
      <c r="H88" s="8" t="n"/>
      <c r="I88" s="8" t="n"/>
      <c r="J88" s="8" t="n"/>
      <c r="K88" s="8" t="n"/>
      <c r="L88" s="10">
        <f>IF(I88=0,"",J88/I88*100)</f>
        <v/>
      </c>
      <c r="M88" s="8" t="n"/>
      <c r="N88" s="8" t="n"/>
      <c r="O88" s="8" t="n"/>
      <c r="P88" s="8" t="n"/>
      <c r="Q88" s="8" t="n"/>
      <c r="R88" s="8" t="n"/>
      <c r="S88" s="8" t="n"/>
    </row>
    <row r="89">
      <c r="A89" s="8" t="n"/>
      <c r="B89" s="8" t="n"/>
      <c r="C89" s="8" t="n"/>
      <c r="D89" s="8" t="n"/>
      <c r="E89" s="8" t="n"/>
      <c r="F89" s="8" t="n"/>
      <c r="G89" s="9">
        <f>IF(OR(E89="",F89=""),"",F89-E89)</f>
        <v/>
      </c>
      <c r="H89" s="8" t="n"/>
      <c r="I89" s="8" t="n"/>
      <c r="J89" s="8" t="n"/>
      <c r="K89" s="8" t="n"/>
      <c r="L89" s="10">
        <f>IF(I89=0,"",J89/I89*100)</f>
        <v/>
      </c>
      <c r="M89" s="8" t="n"/>
      <c r="N89" s="8" t="n"/>
      <c r="O89" s="8" t="n"/>
      <c r="P89" s="8" t="n"/>
      <c r="Q89" s="8" t="n"/>
      <c r="R89" s="8" t="n"/>
      <c r="S89" s="8" t="n"/>
    </row>
    <row r="90">
      <c r="A90" s="8" t="n"/>
      <c r="B90" s="8" t="n"/>
      <c r="C90" s="8" t="n"/>
      <c r="D90" s="8" t="n"/>
      <c r="E90" s="8" t="n"/>
      <c r="F90" s="8" t="n"/>
      <c r="G90" s="9">
        <f>IF(OR(E90="",F90=""),"",F90-E90)</f>
        <v/>
      </c>
      <c r="H90" s="8" t="n"/>
      <c r="I90" s="8" t="n"/>
      <c r="J90" s="8" t="n"/>
      <c r="K90" s="8" t="n"/>
      <c r="L90" s="10">
        <f>IF(I90=0,"",J90/I90*100)</f>
        <v/>
      </c>
      <c r="M90" s="8" t="n"/>
      <c r="N90" s="8" t="n"/>
      <c r="O90" s="8" t="n"/>
      <c r="P90" s="8" t="n"/>
      <c r="Q90" s="8" t="n"/>
      <c r="R90" s="8" t="n"/>
      <c r="S90" s="8" t="n"/>
    </row>
    <row r="91">
      <c r="A91" s="8" t="n"/>
      <c r="B91" s="8" t="n"/>
      <c r="C91" s="8" t="n"/>
      <c r="D91" s="8" t="n"/>
      <c r="E91" s="8" t="n"/>
      <c r="F91" s="8" t="n"/>
      <c r="G91" s="9">
        <f>IF(OR(E91="",F91=""),"",F91-E91)</f>
        <v/>
      </c>
      <c r="H91" s="8" t="n"/>
      <c r="I91" s="8" t="n"/>
      <c r="J91" s="8" t="n"/>
      <c r="K91" s="8" t="n"/>
      <c r="L91" s="10">
        <f>IF(I91=0,"",J91/I91*100)</f>
        <v/>
      </c>
      <c r="M91" s="8" t="n"/>
      <c r="N91" s="8" t="n"/>
      <c r="O91" s="8" t="n"/>
      <c r="P91" s="8" t="n"/>
      <c r="Q91" s="8" t="n"/>
      <c r="R91" s="8" t="n"/>
      <c r="S91" s="8" t="n"/>
    </row>
    <row r="92">
      <c r="A92" s="8" t="n"/>
      <c r="B92" s="8" t="n"/>
      <c r="C92" s="8" t="n"/>
      <c r="D92" s="8" t="n"/>
      <c r="E92" s="8" t="n"/>
      <c r="F92" s="8" t="n"/>
      <c r="G92" s="9">
        <f>IF(OR(E92="",F92=""),"",F92-E92)</f>
        <v/>
      </c>
      <c r="H92" s="8" t="n"/>
      <c r="I92" s="8" t="n"/>
      <c r="J92" s="8" t="n"/>
      <c r="K92" s="8" t="n"/>
      <c r="L92" s="10">
        <f>IF(I92=0,"",J92/I92*100)</f>
        <v/>
      </c>
      <c r="M92" s="8" t="n"/>
      <c r="N92" s="8" t="n"/>
      <c r="O92" s="8" t="n"/>
      <c r="P92" s="8" t="n"/>
      <c r="Q92" s="8" t="n"/>
      <c r="R92" s="8" t="n"/>
      <c r="S92" s="8" t="n"/>
    </row>
    <row r="93">
      <c r="A93" s="8" t="n"/>
      <c r="B93" s="8" t="n"/>
      <c r="C93" s="8" t="n"/>
      <c r="D93" s="8" t="n"/>
      <c r="E93" s="8" t="n"/>
      <c r="F93" s="8" t="n"/>
      <c r="G93" s="9">
        <f>IF(OR(E93="",F93=""),"",F93-E93)</f>
        <v/>
      </c>
      <c r="H93" s="8" t="n"/>
      <c r="I93" s="8" t="n"/>
      <c r="J93" s="8" t="n"/>
      <c r="K93" s="8" t="n"/>
      <c r="L93" s="10">
        <f>IF(I93=0,"",J93/I93*100)</f>
        <v/>
      </c>
      <c r="M93" s="8" t="n"/>
      <c r="N93" s="8" t="n"/>
      <c r="O93" s="8" t="n"/>
      <c r="P93" s="8" t="n"/>
      <c r="Q93" s="8" t="n"/>
      <c r="R93" s="8" t="n"/>
      <c r="S93" s="8" t="n"/>
    </row>
    <row r="94">
      <c r="A94" s="8" t="n"/>
      <c r="B94" s="8" t="n"/>
      <c r="C94" s="8" t="n"/>
      <c r="D94" s="8" t="n"/>
      <c r="E94" s="8" t="n"/>
      <c r="F94" s="8" t="n"/>
      <c r="G94" s="9">
        <f>IF(OR(E94="",F94=""),"",F94-E94)</f>
        <v/>
      </c>
      <c r="H94" s="8" t="n"/>
      <c r="I94" s="8" t="n"/>
      <c r="J94" s="8" t="n"/>
      <c r="K94" s="8" t="n"/>
      <c r="L94" s="10">
        <f>IF(I94=0,"",J94/I94*100)</f>
        <v/>
      </c>
      <c r="M94" s="8" t="n"/>
      <c r="N94" s="8" t="n"/>
      <c r="O94" s="8" t="n"/>
      <c r="P94" s="8" t="n"/>
      <c r="Q94" s="8" t="n"/>
      <c r="R94" s="8" t="n"/>
      <c r="S94" s="8" t="n"/>
    </row>
    <row r="95">
      <c r="A95" s="8" t="n"/>
      <c r="B95" s="8" t="n"/>
      <c r="C95" s="8" t="n"/>
      <c r="D95" s="8" t="n"/>
      <c r="E95" s="8" t="n"/>
      <c r="F95" s="8" t="n"/>
      <c r="G95" s="9">
        <f>IF(OR(E95="",F95=""),"",F95-E95)</f>
        <v/>
      </c>
      <c r="H95" s="8" t="n"/>
      <c r="I95" s="8" t="n"/>
      <c r="J95" s="8" t="n"/>
      <c r="K95" s="8" t="n"/>
      <c r="L95" s="10">
        <f>IF(I95=0,"",J95/I95*100)</f>
        <v/>
      </c>
      <c r="M95" s="8" t="n"/>
      <c r="N95" s="8" t="n"/>
      <c r="O95" s="8" t="n"/>
      <c r="P95" s="8" t="n"/>
      <c r="Q95" s="8" t="n"/>
      <c r="R95" s="8" t="n"/>
      <c r="S95" s="8" t="n"/>
    </row>
    <row r="96">
      <c r="A96" s="8" t="n"/>
      <c r="B96" s="8" t="n"/>
      <c r="C96" s="8" t="n"/>
      <c r="D96" s="8" t="n"/>
      <c r="E96" s="8" t="n"/>
      <c r="F96" s="8" t="n"/>
      <c r="G96" s="9">
        <f>IF(OR(E96="",F96=""),"",F96-E96)</f>
        <v/>
      </c>
      <c r="H96" s="8" t="n"/>
      <c r="I96" s="8" t="n"/>
      <c r="J96" s="8" t="n"/>
      <c r="K96" s="8" t="n"/>
      <c r="L96" s="10">
        <f>IF(I96=0,"",J96/I96*100)</f>
        <v/>
      </c>
      <c r="M96" s="8" t="n"/>
      <c r="N96" s="8" t="n"/>
      <c r="O96" s="8" t="n"/>
      <c r="P96" s="8" t="n"/>
      <c r="Q96" s="8" t="n"/>
      <c r="R96" s="8" t="n"/>
      <c r="S96" s="8" t="n"/>
    </row>
    <row r="97">
      <c r="A97" s="8" t="n"/>
      <c r="B97" s="8" t="n"/>
      <c r="C97" s="8" t="n"/>
      <c r="D97" s="8" t="n"/>
      <c r="E97" s="8" t="n"/>
      <c r="F97" s="8" t="n"/>
      <c r="G97" s="9">
        <f>IF(OR(E97="",F97=""),"",F97-E97)</f>
        <v/>
      </c>
      <c r="H97" s="8" t="n"/>
      <c r="I97" s="8" t="n"/>
      <c r="J97" s="8" t="n"/>
      <c r="K97" s="8" t="n"/>
      <c r="L97" s="10">
        <f>IF(I97=0,"",J97/I97*100)</f>
        <v/>
      </c>
      <c r="M97" s="8" t="n"/>
      <c r="N97" s="8" t="n"/>
      <c r="O97" s="8" t="n"/>
      <c r="P97" s="8" t="n"/>
      <c r="Q97" s="8" t="n"/>
      <c r="R97" s="8" t="n"/>
      <c r="S97" s="8" t="n"/>
    </row>
    <row r="98">
      <c r="A98" s="8" t="n"/>
      <c r="B98" s="8" t="n"/>
      <c r="C98" s="8" t="n"/>
      <c r="D98" s="8" t="n"/>
      <c r="E98" s="8" t="n"/>
      <c r="F98" s="8" t="n"/>
      <c r="G98" s="9">
        <f>IF(OR(E98="",F98=""),"",F98-E98)</f>
        <v/>
      </c>
      <c r="H98" s="8" t="n"/>
      <c r="I98" s="8" t="n"/>
      <c r="J98" s="8" t="n"/>
      <c r="K98" s="8" t="n"/>
      <c r="L98" s="10">
        <f>IF(I98=0,"",J98/I98*100)</f>
        <v/>
      </c>
      <c r="M98" s="8" t="n"/>
      <c r="N98" s="8" t="n"/>
      <c r="O98" s="8" t="n"/>
      <c r="P98" s="8" t="n"/>
      <c r="Q98" s="8" t="n"/>
      <c r="R98" s="8" t="n"/>
      <c r="S98" s="8" t="n"/>
    </row>
    <row r="99">
      <c r="A99" s="8" t="n"/>
      <c r="B99" s="8" t="n"/>
      <c r="C99" s="8" t="n"/>
      <c r="D99" s="8" t="n"/>
      <c r="E99" s="8" t="n"/>
      <c r="F99" s="8" t="n"/>
      <c r="G99" s="9">
        <f>IF(OR(E99="",F99=""),"",F99-E99)</f>
        <v/>
      </c>
      <c r="H99" s="8" t="n"/>
      <c r="I99" s="8" t="n"/>
      <c r="J99" s="8" t="n"/>
      <c r="K99" s="8" t="n"/>
      <c r="L99" s="10">
        <f>IF(I99=0,"",J99/I99*100)</f>
        <v/>
      </c>
      <c r="M99" s="8" t="n"/>
      <c r="N99" s="8" t="n"/>
      <c r="O99" s="8" t="n"/>
      <c r="P99" s="8" t="n"/>
      <c r="Q99" s="8" t="n"/>
      <c r="R99" s="8" t="n"/>
      <c r="S99" s="8" t="n"/>
    </row>
    <row r="100">
      <c r="A100" s="8" t="n"/>
      <c r="B100" s="8" t="n"/>
      <c r="C100" s="8" t="n"/>
      <c r="D100" s="8" t="n"/>
      <c r="E100" s="8" t="n"/>
      <c r="F100" s="8" t="n"/>
      <c r="G100" s="9">
        <f>IF(OR(E100="",F100=""),"",F100-E100)</f>
        <v/>
      </c>
      <c r="H100" s="8" t="n"/>
      <c r="I100" s="8" t="n"/>
      <c r="J100" s="8" t="n"/>
      <c r="K100" s="8" t="n"/>
      <c r="L100" s="10">
        <f>IF(I100=0,"",J100/I100*100)</f>
        <v/>
      </c>
      <c r="M100" s="8" t="n"/>
      <c r="N100" s="8" t="n"/>
      <c r="O100" s="8" t="n"/>
      <c r="P100" s="8" t="n"/>
      <c r="Q100" s="8" t="n"/>
      <c r="R100" s="8" t="n"/>
      <c r="S100" s="8" t="n"/>
    </row>
    <row r="101">
      <c r="A101" s="8" t="n"/>
      <c r="B101" s="8" t="n"/>
      <c r="C101" s="8" t="n"/>
      <c r="D101" s="8" t="n"/>
      <c r="E101" s="8" t="n"/>
      <c r="F101" s="8" t="n"/>
      <c r="G101" s="9">
        <f>IF(OR(E101="",F101=""),"",F101-E101)</f>
        <v/>
      </c>
      <c r="H101" s="8" t="n"/>
      <c r="I101" s="8" t="n"/>
      <c r="J101" s="8" t="n"/>
      <c r="K101" s="8" t="n"/>
      <c r="L101" s="10">
        <f>IF(I101=0,"",J101/I101*100)</f>
        <v/>
      </c>
      <c r="M101" s="8" t="n"/>
      <c r="N101" s="8" t="n"/>
      <c r="O101" s="8" t="n"/>
      <c r="P101" s="8" t="n"/>
      <c r="Q101" s="8" t="n"/>
      <c r="R101" s="8" t="n"/>
      <c r="S101" s="8" t="n"/>
    </row>
    <row r="102">
      <c r="A102" s="8" t="n"/>
      <c r="B102" s="8" t="n"/>
      <c r="C102" s="8" t="n"/>
      <c r="D102" s="8" t="n"/>
      <c r="E102" s="8" t="n"/>
      <c r="F102" s="8" t="n"/>
      <c r="G102" s="9">
        <f>IF(OR(E102="",F102=""),"",F102-E102)</f>
        <v/>
      </c>
      <c r="H102" s="8" t="n"/>
      <c r="I102" s="8" t="n"/>
      <c r="J102" s="8" t="n"/>
      <c r="K102" s="8" t="n"/>
      <c r="L102" s="10">
        <f>IF(I102=0,"",J102/I102*100)</f>
        <v/>
      </c>
      <c r="M102" s="8" t="n"/>
      <c r="N102" s="8" t="n"/>
      <c r="O102" s="8" t="n"/>
      <c r="P102" s="8" t="n"/>
      <c r="Q102" s="8" t="n"/>
      <c r="R102" s="8" t="n"/>
      <c r="S102" s="8" t="n"/>
    </row>
  </sheetData>
  <mergeCells count="1">
    <mergeCell ref="A1:S1"/>
  </mergeCells>
  <conditionalFormatting sqref="L3:L102">
    <cfRule type="cellIs" priority="1" operator="greaterThanOrEqual" dxfId="4">
      <formula>95</formula>
    </cfRule>
    <cfRule type="cellIs" priority="2" operator="between" dxfId="3">
      <formula>80</formula>
      <formula>94.9</formula>
    </cfRule>
    <cfRule type="cellIs" priority="3" operator="lessThan" dxfId="5">
      <formula>80</formula>
    </cfRule>
  </conditionalFormatting>
  <conditionalFormatting sqref="P3:P102">
    <cfRule type="cellIs" priority="4" operator="equal" dxfId="8">
      <formula>"Go"</formula>
    </cfRule>
    <cfRule type="cellIs" priority="5" operator="equal" dxfId="2">
      <formula>"No-Go"</formula>
    </cfRule>
  </conditionalFormatting>
  <dataValidations count="4">
    <dataValidation sqref="C3:C102" showDropDown="0" showInputMessage="0" showErrorMessage="0" allowBlank="0" errorTitle="Invalid Entry" error="Invalid entry" promptTitle="Selection Required" prompt="Please select from the dropdown" type="list">
      <formula1>"Yes,No,N/A"</formula1>
    </dataValidation>
    <dataValidation sqref="D3:D102" showDropDown="0" showInputMessage="0" showErrorMessage="0" allowBlank="1" errorTitle="Invalid Entry" error="Invalid entry" promptTitle="Selection Required" prompt="Please select from the dropdown" type="list">
      <formula1>"Dev,Test,Staging,UAT,Production (Non-Critical),None"</formula1>
    </dataValidation>
    <dataValidation sqref="O3:O102" showDropDown="0" showInputMessage="0" showErrorMessage="0" allowBlank="0" errorTitle="Invalid Entry" error="Invalid entry" promptTitle="Selection Required" prompt="Please select from the dropdown" type="list">
      <formula1>"🔴 Not Started,⏳ In Progress,✅ Completed,❌ Failed,⚡ Abbreviated (Emergency)"</formula1>
    </dataValidation>
    <dataValidation sqref="P3:P102" showDropDown="0" showInputMessage="0" showErrorMessage="0" allowBlank="1" errorTitle="Invalid Entry" error="Invalid entry" promptTitle="Selection Required" prompt="Please select from the dropdown" type="list">
      <formula1>"Go,No-Go,Go with Conditions,N/A"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0" customWidth="1" min="3" max="3"/>
    <col width="20" customWidth="1" min="4" max="4"/>
    <col width="20" customWidth="1" min="5" max="5"/>
    <col width="12" customWidth="1" min="6" max="6"/>
    <col width="20" customWidth="1" min="7" max="7"/>
    <col width="20" customWidth="1" min="8" max="8"/>
    <col width="40" customWidth="1" min="9" max="9"/>
    <col width="35" customWidth="1" min="10" max="10"/>
    <col width="20" customWidth="1" min="11" max="11"/>
    <col width="30" customWidth="1" min="12" max="12"/>
    <col width="35" customWidth="1" min="13" max="13"/>
    <col width="18" customWidth="1" min="14" max="14"/>
    <col width="18" customWidth="1" min="15" max="15"/>
    <col width="18" customWidth="1" min="16" max="16"/>
    <col width="15" customWidth="1" min="17" max="17"/>
    <col width="20" customWidth="1" min="18" max="18"/>
    <col width="35" customWidth="1" min="19" max="19"/>
  </cols>
  <sheetData>
    <row r="1" ht="30" customHeight="1">
      <c r="A1" s="6" t="inlineStr">
        <is>
          <t>Implementation Log - Change Execution Records</t>
        </is>
      </c>
    </row>
    <row r="2" ht="30" customHeight="1">
      <c r="A2" s="7" t="inlineStr">
        <is>
          <t>Change ID</t>
        </is>
      </c>
      <c r="B2" s="7" t="inlineStr">
        <is>
          <t>Change Title</t>
        </is>
      </c>
      <c r="C2" s="7" t="inlineStr">
        <is>
          <t>Scheduled Implementation Date/Time</t>
        </is>
      </c>
      <c r="D2" s="7" t="inlineStr">
        <is>
          <t>Actual Implementation Date/Time</t>
        </is>
      </c>
      <c r="E2" s="7" t="inlineStr">
        <is>
          <t>Implementation Completed Date/Time</t>
        </is>
      </c>
      <c r="F2" s="7" t="inlineStr">
        <is>
          <t>Implementation Duration (Hours)</t>
        </is>
      </c>
      <c r="G2" s="7" t="inlineStr">
        <is>
          <t>Implementer Name</t>
        </is>
      </c>
      <c r="H2" s="7" t="inlineStr">
        <is>
          <t>Implementation Method</t>
        </is>
      </c>
      <c r="I2" s="7" t="inlineStr">
        <is>
          <t>Implementation Steps Performed</t>
        </is>
      </c>
      <c r="J2" s="7" t="inlineStr">
        <is>
          <t>Deviations from Plan</t>
        </is>
      </c>
      <c r="K2" s="7" t="inlineStr">
        <is>
          <t>Post-Implementation Verification</t>
        </is>
      </c>
      <c r="L2" s="7" t="inlineStr">
        <is>
          <t>Verification Method</t>
        </is>
      </c>
      <c r="M2" s="7" t="inlineStr">
        <is>
          <t>Issues Encountered</t>
        </is>
      </c>
      <c r="N2" s="7" t="inlineStr">
        <is>
          <t>Issues Resolved</t>
        </is>
      </c>
      <c r="O2" s="7" t="inlineStr">
        <is>
          <t>Implementation Status</t>
        </is>
      </c>
      <c r="P2" s="7" t="inlineStr">
        <is>
          <t>Change Outcome</t>
        </is>
      </c>
      <c r="Q2" s="7" t="inlineStr">
        <is>
          <t>Rollback Triggered</t>
        </is>
      </c>
      <c r="R2" s="7" t="inlineStr">
        <is>
          <t>Rollback Completion Time</t>
        </is>
      </c>
      <c r="S2" s="7" t="inlineStr">
        <is>
          <t>Notes</t>
        </is>
      </c>
    </row>
    <row r="3">
      <c r="A3" s="8" t="n"/>
      <c r="B3" s="8" t="n"/>
      <c r="C3" s="8" t="n"/>
      <c r="D3" s="8" t="n"/>
      <c r="E3" s="8" t="n"/>
      <c r="F3" s="9">
        <f>IF(OR(D3="",E3=""),"",ROUND((E3-D3)*24,2))</f>
        <v/>
      </c>
      <c r="G3" s="8" t="n"/>
      <c r="H3" s="8" t="n"/>
      <c r="I3" s="8" t="n"/>
      <c r="J3" s="8" t="n"/>
      <c r="K3" s="8" t="n"/>
      <c r="L3" s="8" t="n"/>
      <c r="M3" s="8" t="n"/>
      <c r="N3" s="8" t="n"/>
      <c r="O3" s="8" t="n"/>
      <c r="P3" s="9">
        <f>IF(O3="Successful","Success",IF(O3="Failed","Failure",IF(O3="Rolled Back","Rollback Required","Unknown")))</f>
        <v/>
      </c>
      <c r="Q3" s="8" t="n"/>
      <c r="R3" s="8" t="n"/>
      <c r="S3" s="8" t="n"/>
    </row>
    <row r="4">
      <c r="A4" s="8" t="n"/>
      <c r="B4" s="8" t="n"/>
      <c r="C4" s="8" t="n"/>
      <c r="D4" s="8" t="n"/>
      <c r="E4" s="8" t="n"/>
      <c r="F4" s="9">
        <f>IF(OR(D4="",E4=""),"",ROUND((E4-D4)*24,2))</f>
        <v/>
      </c>
      <c r="G4" s="8" t="n"/>
      <c r="H4" s="8" t="n"/>
      <c r="I4" s="8" t="n"/>
      <c r="J4" s="8" t="n"/>
      <c r="K4" s="8" t="n"/>
      <c r="L4" s="8" t="n"/>
      <c r="M4" s="8" t="n"/>
      <c r="N4" s="8" t="n"/>
      <c r="O4" s="8" t="n"/>
      <c r="P4" s="9">
        <f>IF(O4="Successful","Success",IF(O4="Failed","Failure",IF(O4="Rolled Back","Rollback Required","Unknown")))</f>
        <v/>
      </c>
      <c r="Q4" s="8" t="n"/>
      <c r="R4" s="8" t="n"/>
      <c r="S4" s="8" t="n"/>
    </row>
    <row r="5">
      <c r="A5" s="8" t="n"/>
      <c r="B5" s="8" t="n"/>
      <c r="C5" s="8" t="n"/>
      <c r="D5" s="8" t="n"/>
      <c r="E5" s="8" t="n"/>
      <c r="F5" s="9">
        <f>IF(OR(D5="",E5=""),"",ROUND((E5-D5)*24,2))</f>
        <v/>
      </c>
      <c r="G5" s="8" t="n"/>
      <c r="H5" s="8" t="n"/>
      <c r="I5" s="8" t="n"/>
      <c r="J5" s="8" t="n"/>
      <c r="K5" s="8" t="n"/>
      <c r="L5" s="8" t="n"/>
      <c r="M5" s="8" t="n"/>
      <c r="N5" s="8" t="n"/>
      <c r="O5" s="8" t="n"/>
      <c r="P5" s="9">
        <f>IF(O5="Successful","Success",IF(O5="Failed","Failure",IF(O5="Rolled Back","Rollback Required","Unknown")))</f>
        <v/>
      </c>
      <c r="Q5" s="8" t="n"/>
      <c r="R5" s="8" t="n"/>
      <c r="S5" s="8" t="n"/>
    </row>
    <row r="6">
      <c r="A6" s="8" t="n"/>
      <c r="B6" s="8" t="n"/>
      <c r="C6" s="8" t="n"/>
      <c r="D6" s="8" t="n"/>
      <c r="E6" s="8" t="n"/>
      <c r="F6" s="9">
        <f>IF(OR(D6="",E6=""),"",ROUND((E6-D6)*24,2))</f>
        <v/>
      </c>
      <c r="G6" s="8" t="n"/>
      <c r="H6" s="8" t="n"/>
      <c r="I6" s="8" t="n"/>
      <c r="J6" s="8" t="n"/>
      <c r="K6" s="8" t="n"/>
      <c r="L6" s="8" t="n"/>
      <c r="M6" s="8" t="n"/>
      <c r="N6" s="8" t="n"/>
      <c r="O6" s="8" t="n"/>
      <c r="P6" s="9">
        <f>IF(O6="Successful","Success",IF(O6="Failed","Failure",IF(O6="Rolled Back","Rollback Required","Unknown")))</f>
        <v/>
      </c>
      <c r="Q6" s="8" t="n"/>
      <c r="R6" s="8" t="n"/>
      <c r="S6" s="8" t="n"/>
    </row>
    <row r="7">
      <c r="A7" s="8" t="n"/>
      <c r="B7" s="8" t="n"/>
      <c r="C7" s="8" t="n"/>
      <c r="D7" s="8" t="n"/>
      <c r="E7" s="8" t="n"/>
      <c r="F7" s="9">
        <f>IF(OR(D7="",E7=""),"",ROUND((E7-D7)*24,2))</f>
        <v/>
      </c>
      <c r="G7" s="8" t="n"/>
      <c r="H7" s="8" t="n"/>
      <c r="I7" s="8" t="n"/>
      <c r="J7" s="8" t="n"/>
      <c r="K7" s="8" t="n"/>
      <c r="L7" s="8" t="n"/>
      <c r="M7" s="8" t="n"/>
      <c r="N7" s="8" t="n"/>
      <c r="O7" s="8" t="n"/>
      <c r="P7" s="9">
        <f>IF(O7="Successful","Success",IF(O7="Failed","Failure",IF(O7="Rolled Back","Rollback Required","Unknown")))</f>
        <v/>
      </c>
      <c r="Q7" s="8" t="n"/>
      <c r="R7" s="8" t="n"/>
      <c r="S7" s="8" t="n"/>
    </row>
    <row r="8">
      <c r="A8" s="8" t="n"/>
      <c r="B8" s="8" t="n"/>
      <c r="C8" s="8" t="n"/>
      <c r="D8" s="8" t="n"/>
      <c r="E8" s="8" t="n"/>
      <c r="F8" s="9">
        <f>IF(OR(D8="",E8=""),"",ROUND((E8-D8)*24,2))</f>
        <v/>
      </c>
      <c r="G8" s="8" t="n"/>
      <c r="H8" s="8" t="n"/>
      <c r="I8" s="8" t="n"/>
      <c r="J8" s="8" t="n"/>
      <c r="K8" s="8" t="n"/>
      <c r="L8" s="8" t="n"/>
      <c r="M8" s="8" t="n"/>
      <c r="N8" s="8" t="n"/>
      <c r="O8" s="8" t="n"/>
      <c r="P8" s="9">
        <f>IF(O8="Successful","Success",IF(O8="Failed","Failure",IF(O8="Rolled Back","Rollback Required","Unknown")))</f>
        <v/>
      </c>
      <c r="Q8" s="8" t="n"/>
      <c r="R8" s="8" t="n"/>
      <c r="S8" s="8" t="n"/>
    </row>
    <row r="9">
      <c r="A9" s="8" t="n"/>
      <c r="B9" s="8" t="n"/>
      <c r="C9" s="8" t="n"/>
      <c r="D9" s="8" t="n"/>
      <c r="E9" s="8" t="n"/>
      <c r="F9" s="9">
        <f>IF(OR(D9="",E9=""),"",ROUND((E9-D9)*24,2))</f>
        <v/>
      </c>
      <c r="G9" s="8" t="n"/>
      <c r="H9" s="8" t="n"/>
      <c r="I9" s="8" t="n"/>
      <c r="J9" s="8" t="n"/>
      <c r="K9" s="8" t="n"/>
      <c r="L9" s="8" t="n"/>
      <c r="M9" s="8" t="n"/>
      <c r="N9" s="8" t="n"/>
      <c r="O9" s="8" t="n"/>
      <c r="P9" s="9">
        <f>IF(O9="Successful","Success",IF(O9="Failed","Failure",IF(O9="Rolled Back","Rollback Required","Unknown")))</f>
        <v/>
      </c>
      <c r="Q9" s="8" t="n"/>
      <c r="R9" s="8" t="n"/>
      <c r="S9" s="8" t="n"/>
    </row>
    <row r="10">
      <c r="A10" s="8" t="n"/>
      <c r="B10" s="8" t="n"/>
      <c r="C10" s="8" t="n"/>
      <c r="D10" s="8" t="n"/>
      <c r="E10" s="8" t="n"/>
      <c r="F10" s="9">
        <f>IF(OR(D10="",E10=""),"",ROUND((E10-D10)*24,2))</f>
        <v/>
      </c>
      <c r="G10" s="8" t="n"/>
      <c r="H10" s="8" t="n"/>
      <c r="I10" s="8" t="n"/>
      <c r="J10" s="8" t="n"/>
      <c r="K10" s="8" t="n"/>
      <c r="L10" s="8" t="n"/>
      <c r="M10" s="8" t="n"/>
      <c r="N10" s="8" t="n"/>
      <c r="O10" s="8" t="n"/>
      <c r="P10" s="9">
        <f>IF(O10="Successful","Success",IF(O10="Failed","Failure",IF(O10="Rolled Back","Rollback Required","Unknown")))</f>
        <v/>
      </c>
      <c r="Q10" s="8" t="n"/>
      <c r="R10" s="8" t="n"/>
      <c r="S10" s="8" t="n"/>
    </row>
    <row r="11">
      <c r="A11" s="8" t="n"/>
      <c r="B11" s="8" t="n"/>
      <c r="C11" s="8" t="n"/>
      <c r="D11" s="8" t="n"/>
      <c r="E11" s="8" t="n"/>
      <c r="F11" s="9">
        <f>IF(OR(D11="",E11=""),"",ROUND((E11-D11)*24,2))</f>
        <v/>
      </c>
      <c r="G11" s="8" t="n"/>
      <c r="H11" s="8" t="n"/>
      <c r="I11" s="8" t="n"/>
      <c r="J11" s="8" t="n"/>
      <c r="K11" s="8" t="n"/>
      <c r="L11" s="8" t="n"/>
      <c r="M11" s="8" t="n"/>
      <c r="N11" s="8" t="n"/>
      <c r="O11" s="8" t="n"/>
      <c r="P11" s="9">
        <f>IF(O11="Successful","Success",IF(O11="Failed","Failure",IF(O11="Rolled Back","Rollback Required","Unknown")))</f>
        <v/>
      </c>
      <c r="Q11" s="8" t="n"/>
      <c r="R11" s="8" t="n"/>
      <c r="S11" s="8" t="n"/>
    </row>
    <row r="12">
      <c r="A12" s="8" t="n"/>
      <c r="B12" s="8" t="n"/>
      <c r="C12" s="8" t="n"/>
      <c r="D12" s="8" t="n"/>
      <c r="E12" s="8" t="n"/>
      <c r="F12" s="9">
        <f>IF(OR(D12="",E12=""),"",ROUND((E12-D12)*24,2))</f>
        <v/>
      </c>
      <c r="G12" s="8" t="n"/>
      <c r="H12" s="8" t="n"/>
      <c r="I12" s="8" t="n"/>
      <c r="J12" s="8" t="n"/>
      <c r="K12" s="8" t="n"/>
      <c r="L12" s="8" t="n"/>
      <c r="M12" s="8" t="n"/>
      <c r="N12" s="8" t="n"/>
      <c r="O12" s="8" t="n"/>
      <c r="P12" s="9">
        <f>IF(O12="Successful","Success",IF(O12="Failed","Failure",IF(O12="Rolled Back","Rollback Required","Unknown")))</f>
        <v/>
      </c>
      <c r="Q12" s="8" t="n"/>
      <c r="R12" s="8" t="n"/>
      <c r="S12" s="8" t="n"/>
    </row>
    <row r="13">
      <c r="A13" s="8" t="n"/>
      <c r="B13" s="8" t="n"/>
      <c r="C13" s="8" t="n"/>
      <c r="D13" s="8" t="n"/>
      <c r="E13" s="8" t="n"/>
      <c r="F13" s="9">
        <f>IF(OR(D13="",E13=""),"",ROUND((E13-D13)*24,2))</f>
        <v/>
      </c>
      <c r="G13" s="8" t="n"/>
      <c r="H13" s="8" t="n"/>
      <c r="I13" s="8" t="n"/>
      <c r="J13" s="8" t="n"/>
      <c r="K13" s="8" t="n"/>
      <c r="L13" s="8" t="n"/>
      <c r="M13" s="8" t="n"/>
      <c r="N13" s="8" t="n"/>
      <c r="O13" s="8" t="n"/>
      <c r="P13" s="9">
        <f>IF(O13="Successful","Success",IF(O13="Failed","Failure",IF(O13="Rolled Back","Rollback Required","Unknown")))</f>
        <v/>
      </c>
      <c r="Q13" s="8" t="n"/>
      <c r="R13" s="8" t="n"/>
      <c r="S13" s="8" t="n"/>
    </row>
    <row r="14">
      <c r="A14" s="8" t="n"/>
      <c r="B14" s="8" t="n"/>
      <c r="C14" s="8" t="n"/>
      <c r="D14" s="8" t="n"/>
      <c r="E14" s="8" t="n"/>
      <c r="F14" s="9">
        <f>IF(OR(D14="",E14=""),"",ROUND((E14-D14)*24,2))</f>
        <v/>
      </c>
      <c r="G14" s="8" t="n"/>
      <c r="H14" s="8" t="n"/>
      <c r="I14" s="8" t="n"/>
      <c r="J14" s="8" t="n"/>
      <c r="K14" s="8" t="n"/>
      <c r="L14" s="8" t="n"/>
      <c r="M14" s="8" t="n"/>
      <c r="N14" s="8" t="n"/>
      <c r="O14" s="8" t="n"/>
      <c r="P14" s="9">
        <f>IF(O14="Successful","Success",IF(O14="Failed","Failure",IF(O14="Rolled Back","Rollback Required","Unknown")))</f>
        <v/>
      </c>
      <c r="Q14" s="8" t="n"/>
      <c r="R14" s="8" t="n"/>
      <c r="S14" s="8" t="n"/>
    </row>
    <row r="15">
      <c r="A15" s="8" t="n"/>
      <c r="B15" s="8" t="n"/>
      <c r="C15" s="8" t="n"/>
      <c r="D15" s="8" t="n"/>
      <c r="E15" s="8" t="n"/>
      <c r="F15" s="9">
        <f>IF(OR(D15="",E15=""),"",ROUND((E15-D15)*24,2))</f>
        <v/>
      </c>
      <c r="G15" s="8" t="n"/>
      <c r="H15" s="8" t="n"/>
      <c r="I15" s="8" t="n"/>
      <c r="J15" s="8" t="n"/>
      <c r="K15" s="8" t="n"/>
      <c r="L15" s="8" t="n"/>
      <c r="M15" s="8" t="n"/>
      <c r="N15" s="8" t="n"/>
      <c r="O15" s="8" t="n"/>
      <c r="P15" s="9">
        <f>IF(O15="Successful","Success",IF(O15="Failed","Failure",IF(O15="Rolled Back","Rollback Required","Unknown")))</f>
        <v/>
      </c>
      <c r="Q15" s="8" t="n"/>
      <c r="R15" s="8" t="n"/>
      <c r="S15" s="8" t="n"/>
    </row>
    <row r="16">
      <c r="A16" s="8" t="n"/>
      <c r="B16" s="8" t="n"/>
      <c r="C16" s="8" t="n"/>
      <c r="D16" s="8" t="n"/>
      <c r="E16" s="8" t="n"/>
      <c r="F16" s="9">
        <f>IF(OR(D16="",E16=""),"",ROUND((E16-D16)*24,2))</f>
        <v/>
      </c>
      <c r="G16" s="8" t="n"/>
      <c r="H16" s="8" t="n"/>
      <c r="I16" s="8" t="n"/>
      <c r="J16" s="8" t="n"/>
      <c r="K16" s="8" t="n"/>
      <c r="L16" s="8" t="n"/>
      <c r="M16" s="8" t="n"/>
      <c r="N16" s="8" t="n"/>
      <c r="O16" s="8" t="n"/>
      <c r="P16" s="9">
        <f>IF(O16="Successful","Success",IF(O16="Failed","Failure",IF(O16="Rolled Back","Rollback Required","Unknown")))</f>
        <v/>
      </c>
      <c r="Q16" s="8" t="n"/>
      <c r="R16" s="8" t="n"/>
      <c r="S16" s="8" t="n"/>
    </row>
    <row r="17">
      <c r="A17" s="8" t="n"/>
      <c r="B17" s="8" t="n"/>
      <c r="C17" s="8" t="n"/>
      <c r="D17" s="8" t="n"/>
      <c r="E17" s="8" t="n"/>
      <c r="F17" s="9">
        <f>IF(OR(D17="",E17=""),"",ROUND((E17-D17)*24,2))</f>
        <v/>
      </c>
      <c r="G17" s="8" t="n"/>
      <c r="H17" s="8" t="n"/>
      <c r="I17" s="8" t="n"/>
      <c r="J17" s="8" t="n"/>
      <c r="K17" s="8" t="n"/>
      <c r="L17" s="8" t="n"/>
      <c r="M17" s="8" t="n"/>
      <c r="N17" s="8" t="n"/>
      <c r="O17" s="8" t="n"/>
      <c r="P17" s="9">
        <f>IF(O17="Successful","Success",IF(O17="Failed","Failure",IF(O17="Rolled Back","Rollback Required","Unknown")))</f>
        <v/>
      </c>
      <c r="Q17" s="8" t="n"/>
      <c r="R17" s="8" t="n"/>
      <c r="S17" s="8" t="n"/>
    </row>
    <row r="18">
      <c r="A18" s="8" t="n"/>
      <c r="B18" s="8" t="n"/>
      <c r="C18" s="8" t="n"/>
      <c r="D18" s="8" t="n"/>
      <c r="E18" s="8" t="n"/>
      <c r="F18" s="9">
        <f>IF(OR(D18="",E18=""),"",ROUND((E18-D18)*24,2))</f>
        <v/>
      </c>
      <c r="G18" s="8" t="n"/>
      <c r="H18" s="8" t="n"/>
      <c r="I18" s="8" t="n"/>
      <c r="J18" s="8" t="n"/>
      <c r="K18" s="8" t="n"/>
      <c r="L18" s="8" t="n"/>
      <c r="M18" s="8" t="n"/>
      <c r="N18" s="8" t="n"/>
      <c r="O18" s="8" t="n"/>
      <c r="P18" s="9">
        <f>IF(O18="Successful","Success",IF(O18="Failed","Failure",IF(O18="Rolled Back","Rollback Required","Unknown")))</f>
        <v/>
      </c>
      <c r="Q18" s="8" t="n"/>
      <c r="R18" s="8" t="n"/>
      <c r="S18" s="8" t="n"/>
    </row>
    <row r="19">
      <c r="A19" s="8" t="n"/>
      <c r="B19" s="8" t="n"/>
      <c r="C19" s="8" t="n"/>
      <c r="D19" s="8" t="n"/>
      <c r="E19" s="8" t="n"/>
      <c r="F19" s="9">
        <f>IF(OR(D19="",E19=""),"",ROUND((E19-D19)*24,2))</f>
        <v/>
      </c>
      <c r="G19" s="8" t="n"/>
      <c r="H19" s="8" t="n"/>
      <c r="I19" s="8" t="n"/>
      <c r="J19" s="8" t="n"/>
      <c r="K19" s="8" t="n"/>
      <c r="L19" s="8" t="n"/>
      <c r="M19" s="8" t="n"/>
      <c r="N19" s="8" t="n"/>
      <c r="O19" s="8" t="n"/>
      <c r="P19" s="9">
        <f>IF(O19="Successful","Success",IF(O19="Failed","Failure",IF(O19="Rolled Back","Rollback Required","Unknown")))</f>
        <v/>
      </c>
      <c r="Q19" s="8" t="n"/>
      <c r="R19" s="8" t="n"/>
      <c r="S19" s="8" t="n"/>
    </row>
    <row r="20">
      <c r="A20" s="8" t="n"/>
      <c r="B20" s="8" t="n"/>
      <c r="C20" s="8" t="n"/>
      <c r="D20" s="8" t="n"/>
      <c r="E20" s="8" t="n"/>
      <c r="F20" s="9">
        <f>IF(OR(D20="",E20=""),"",ROUND((E20-D20)*24,2))</f>
        <v/>
      </c>
      <c r="G20" s="8" t="n"/>
      <c r="H20" s="8" t="n"/>
      <c r="I20" s="8" t="n"/>
      <c r="J20" s="8" t="n"/>
      <c r="K20" s="8" t="n"/>
      <c r="L20" s="8" t="n"/>
      <c r="M20" s="8" t="n"/>
      <c r="N20" s="8" t="n"/>
      <c r="O20" s="8" t="n"/>
      <c r="P20" s="9">
        <f>IF(O20="Successful","Success",IF(O20="Failed","Failure",IF(O20="Rolled Back","Rollback Required","Unknown")))</f>
        <v/>
      </c>
      <c r="Q20" s="8" t="n"/>
      <c r="R20" s="8" t="n"/>
      <c r="S20" s="8" t="n"/>
    </row>
    <row r="21">
      <c r="A21" s="8" t="n"/>
      <c r="B21" s="8" t="n"/>
      <c r="C21" s="8" t="n"/>
      <c r="D21" s="8" t="n"/>
      <c r="E21" s="8" t="n"/>
      <c r="F21" s="9">
        <f>IF(OR(D21="",E21=""),"",ROUND((E21-D21)*24,2))</f>
        <v/>
      </c>
      <c r="G21" s="8" t="n"/>
      <c r="H21" s="8" t="n"/>
      <c r="I21" s="8" t="n"/>
      <c r="J21" s="8" t="n"/>
      <c r="K21" s="8" t="n"/>
      <c r="L21" s="8" t="n"/>
      <c r="M21" s="8" t="n"/>
      <c r="N21" s="8" t="n"/>
      <c r="O21" s="8" t="n"/>
      <c r="P21" s="9">
        <f>IF(O21="Successful","Success",IF(O21="Failed","Failure",IF(O21="Rolled Back","Rollback Required","Unknown")))</f>
        <v/>
      </c>
      <c r="Q21" s="8" t="n"/>
      <c r="R21" s="8" t="n"/>
      <c r="S21" s="8" t="n"/>
    </row>
    <row r="22">
      <c r="A22" s="8" t="n"/>
      <c r="B22" s="8" t="n"/>
      <c r="C22" s="8" t="n"/>
      <c r="D22" s="8" t="n"/>
      <c r="E22" s="8" t="n"/>
      <c r="F22" s="9">
        <f>IF(OR(D22="",E22=""),"",ROUND((E22-D22)*24,2))</f>
        <v/>
      </c>
      <c r="G22" s="8" t="n"/>
      <c r="H22" s="8" t="n"/>
      <c r="I22" s="8" t="n"/>
      <c r="J22" s="8" t="n"/>
      <c r="K22" s="8" t="n"/>
      <c r="L22" s="8" t="n"/>
      <c r="M22" s="8" t="n"/>
      <c r="N22" s="8" t="n"/>
      <c r="O22" s="8" t="n"/>
      <c r="P22" s="9">
        <f>IF(O22="Successful","Success",IF(O22="Failed","Failure",IF(O22="Rolled Back","Rollback Required","Unknown")))</f>
        <v/>
      </c>
      <c r="Q22" s="8" t="n"/>
      <c r="R22" s="8" t="n"/>
      <c r="S22" s="8" t="n"/>
    </row>
    <row r="23">
      <c r="A23" s="8" t="n"/>
      <c r="B23" s="8" t="n"/>
      <c r="C23" s="8" t="n"/>
      <c r="D23" s="8" t="n"/>
      <c r="E23" s="8" t="n"/>
      <c r="F23" s="9">
        <f>IF(OR(D23="",E23=""),"",ROUND((E23-D23)*24,2))</f>
        <v/>
      </c>
      <c r="G23" s="8" t="n"/>
      <c r="H23" s="8" t="n"/>
      <c r="I23" s="8" t="n"/>
      <c r="J23" s="8" t="n"/>
      <c r="K23" s="8" t="n"/>
      <c r="L23" s="8" t="n"/>
      <c r="M23" s="8" t="n"/>
      <c r="N23" s="8" t="n"/>
      <c r="O23" s="8" t="n"/>
      <c r="P23" s="9">
        <f>IF(O23="Successful","Success",IF(O23="Failed","Failure",IF(O23="Rolled Back","Rollback Required","Unknown")))</f>
        <v/>
      </c>
      <c r="Q23" s="8" t="n"/>
      <c r="R23" s="8" t="n"/>
      <c r="S23" s="8" t="n"/>
    </row>
    <row r="24">
      <c r="A24" s="8" t="n"/>
      <c r="B24" s="8" t="n"/>
      <c r="C24" s="8" t="n"/>
      <c r="D24" s="8" t="n"/>
      <c r="E24" s="8" t="n"/>
      <c r="F24" s="9">
        <f>IF(OR(D24="",E24=""),"",ROUND((E24-D24)*24,2))</f>
        <v/>
      </c>
      <c r="G24" s="8" t="n"/>
      <c r="H24" s="8" t="n"/>
      <c r="I24" s="8" t="n"/>
      <c r="J24" s="8" t="n"/>
      <c r="K24" s="8" t="n"/>
      <c r="L24" s="8" t="n"/>
      <c r="M24" s="8" t="n"/>
      <c r="N24" s="8" t="n"/>
      <c r="O24" s="8" t="n"/>
      <c r="P24" s="9">
        <f>IF(O24="Successful","Success",IF(O24="Failed","Failure",IF(O24="Rolled Back","Rollback Required","Unknown")))</f>
        <v/>
      </c>
      <c r="Q24" s="8" t="n"/>
      <c r="R24" s="8" t="n"/>
      <c r="S24" s="8" t="n"/>
    </row>
    <row r="25">
      <c r="A25" s="8" t="n"/>
      <c r="B25" s="8" t="n"/>
      <c r="C25" s="8" t="n"/>
      <c r="D25" s="8" t="n"/>
      <c r="E25" s="8" t="n"/>
      <c r="F25" s="9">
        <f>IF(OR(D25="",E25=""),"",ROUND((E25-D25)*24,2))</f>
        <v/>
      </c>
      <c r="G25" s="8" t="n"/>
      <c r="H25" s="8" t="n"/>
      <c r="I25" s="8" t="n"/>
      <c r="J25" s="8" t="n"/>
      <c r="K25" s="8" t="n"/>
      <c r="L25" s="8" t="n"/>
      <c r="M25" s="8" t="n"/>
      <c r="N25" s="8" t="n"/>
      <c r="O25" s="8" t="n"/>
      <c r="P25" s="9">
        <f>IF(O25="Successful","Success",IF(O25="Failed","Failure",IF(O25="Rolled Back","Rollback Required","Unknown")))</f>
        <v/>
      </c>
      <c r="Q25" s="8" t="n"/>
      <c r="R25" s="8" t="n"/>
      <c r="S25" s="8" t="n"/>
    </row>
    <row r="26">
      <c r="A26" s="8" t="n"/>
      <c r="B26" s="8" t="n"/>
      <c r="C26" s="8" t="n"/>
      <c r="D26" s="8" t="n"/>
      <c r="E26" s="8" t="n"/>
      <c r="F26" s="9">
        <f>IF(OR(D26="",E26=""),"",ROUND((E26-D26)*24,2))</f>
        <v/>
      </c>
      <c r="G26" s="8" t="n"/>
      <c r="H26" s="8" t="n"/>
      <c r="I26" s="8" t="n"/>
      <c r="J26" s="8" t="n"/>
      <c r="K26" s="8" t="n"/>
      <c r="L26" s="8" t="n"/>
      <c r="M26" s="8" t="n"/>
      <c r="N26" s="8" t="n"/>
      <c r="O26" s="8" t="n"/>
      <c r="P26" s="9">
        <f>IF(O26="Successful","Success",IF(O26="Failed","Failure",IF(O26="Rolled Back","Rollback Required","Unknown")))</f>
        <v/>
      </c>
      <c r="Q26" s="8" t="n"/>
      <c r="R26" s="8" t="n"/>
      <c r="S26" s="8" t="n"/>
    </row>
    <row r="27">
      <c r="A27" s="8" t="n"/>
      <c r="B27" s="8" t="n"/>
      <c r="C27" s="8" t="n"/>
      <c r="D27" s="8" t="n"/>
      <c r="E27" s="8" t="n"/>
      <c r="F27" s="9">
        <f>IF(OR(D27="",E27=""),"",ROUND((E27-D27)*24,2))</f>
        <v/>
      </c>
      <c r="G27" s="8" t="n"/>
      <c r="H27" s="8" t="n"/>
      <c r="I27" s="8" t="n"/>
      <c r="J27" s="8" t="n"/>
      <c r="K27" s="8" t="n"/>
      <c r="L27" s="8" t="n"/>
      <c r="M27" s="8" t="n"/>
      <c r="N27" s="8" t="n"/>
      <c r="O27" s="8" t="n"/>
      <c r="P27" s="9">
        <f>IF(O27="Successful","Success",IF(O27="Failed","Failure",IF(O27="Rolled Back","Rollback Required","Unknown")))</f>
        <v/>
      </c>
      <c r="Q27" s="8" t="n"/>
      <c r="R27" s="8" t="n"/>
      <c r="S27" s="8" t="n"/>
    </row>
    <row r="28">
      <c r="A28" s="8" t="n"/>
      <c r="B28" s="8" t="n"/>
      <c r="C28" s="8" t="n"/>
      <c r="D28" s="8" t="n"/>
      <c r="E28" s="8" t="n"/>
      <c r="F28" s="9">
        <f>IF(OR(D28="",E28=""),"",ROUND((E28-D28)*24,2))</f>
        <v/>
      </c>
      <c r="G28" s="8" t="n"/>
      <c r="H28" s="8" t="n"/>
      <c r="I28" s="8" t="n"/>
      <c r="J28" s="8" t="n"/>
      <c r="K28" s="8" t="n"/>
      <c r="L28" s="8" t="n"/>
      <c r="M28" s="8" t="n"/>
      <c r="N28" s="8" t="n"/>
      <c r="O28" s="8" t="n"/>
      <c r="P28" s="9">
        <f>IF(O28="Successful","Success",IF(O28="Failed","Failure",IF(O28="Rolled Back","Rollback Required","Unknown")))</f>
        <v/>
      </c>
      <c r="Q28" s="8" t="n"/>
      <c r="R28" s="8" t="n"/>
      <c r="S28" s="8" t="n"/>
    </row>
    <row r="29">
      <c r="A29" s="8" t="n"/>
      <c r="B29" s="8" t="n"/>
      <c r="C29" s="8" t="n"/>
      <c r="D29" s="8" t="n"/>
      <c r="E29" s="8" t="n"/>
      <c r="F29" s="9">
        <f>IF(OR(D29="",E29=""),"",ROUND((E29-D29)*24,2))</f>
        <v/>
      </c>
      <c r="G29" s="8" t="n"/>
      <c r="H29" s="8" t="n"/>
      <c r="I29" s="8" t="n"/>
      <c r="J29" s="8" t="n"/>
      <c r="K29" s="8" t="n"/>
      <c r="L29" s="8" t="n"/>
      <c r="M29" s="8" t="n"/>
      <c r="N29" s="8" t="n"/>
      <c r="O29" s="8" t="n"/>
      <c r="P29" s="9">
        <f>IF(O29="Successful","Success",IF(O29="Failed","Failure",IF(O29="Rolled Back","Rollback Required","Unknown")))</f>
        <v/>
      </c>
      <c r="Q29" s="8" t="n"/>
      <c r="R29" s="8" t="n"/>
      <c r="S29" s="8" t="n"/>
    </row>
    <row r="30">
      <c r="A30" s="8" t="n"/>
      <c r="B30" s="8" t="n"/>
      <c r="C30" s="8" t="n"/>
      <c r="D30" s="8" t="n"/>
      <c r="E30" s="8" t="n"/>
      <c r="F30" s="9">
        <f>IF(OR(D30="",E30=""),"",ROUND((E30-D30)*24,2))</f>
        <v/>
      </c>
      <c r="G30" s="8" t="n"/>
      <c r="H30" s="8" t="n"/>
      <c r="I30" s="8" t="n"/>
      <c r="J30" s="8" t="n"/>
      <c r="K30" s="8" t="n"/>
      <c r="L30" s="8" t="n"/>
      <c r="M30" s="8" t="n"/>
      <c r="N30" s="8" t="n"/>
      <c r="O30" s="8" t="n"/>
      <c r="P30" s="9">
        <f>IF(O30="Successful","Success",IF(O30="Failed","Failure",IF(O30="Rolled Back","Rollback Required","Unknown")))</f>
        <v/>
      </c>
      <c r="Q30" s="8" t="n"/>
      <c r="R30" s="8" t="n"/>
      <c r="S30" s="8" t="n"/>
    </row>
    <row r="31">
      <c r="A31" s="8" t="n"/>
      <c r="B31" s="8" t="n"/>
      <c r="C31" s="8" t="n"/>
      <c r="D31" s="8" t="n"/>
      <c r="E31" s="8" t="n"/>
      <c r="F31" s="9">
        <f>IF(OR(D31="",E31=""),"",ROUND((E31-D31)*24,2))</f>
        <v/>
      </c>
      <c r="G31" s="8" t="n"/>
      <c r="H31" s="8" t="n"/>
      <c r="I31" s="8" t="n"/>
      <c r="J31" s="8" t="n"/>
      <c r="K31" s="8" t="n"/>
      <c r="L31" s="8" t="n"/>
      <c r="M31" s="8" t="n"/>
      <c r="N31" s="8" t="n"/>
      <c r="O31" s="8" t="n"/>
      <c r="P31" s="9">
        <f>IF(O31="Successful","Success",IF(O31="Failed","Failure",IF(O31="Rolled Back","Rollback Required","Unknown")))</f>
        <v/>
      </c>
      <c r="Q31" s="8" t="n"/>
      <c r="R31" s="8" t="n"/>
      <c r="S31" s="8" t="n"/>
    </row>
    <row r="32">
      <c r="A32" s="8" t="n"/>
      <c r="B32" s="8" t="n"/>
      <c r="C32" s="8" t="n"/>
      <c r="D32" s="8" t="n"/>
      <c r="E32" s="8" t="n"/>
      <c r="F32" s="9">
        <f>IF(OR(D32="",E32=""),"",ROUND((E32-D32)*24,2))</f>
        <v/>
      </c>
      <c r="G32" s="8" t="n"/>
      <c r="H32" s="8" t="n"/>
      <c r="I32" s="8" t="n"/>
      <c r="J32" s="8" t="n"/>
      <c r="K32" s="8" t="n"/>
      <c r="L32" s="8" t="n"/>
      <c r="M32" s="8" t="n"/>
      <c r="N32" s="8" t="n"/>
      <c r="O32" s="8" t="n"/>
      <c r="P32" s="9">
        <f>IF(O32="Successful","Success",IF(O32="Failed","Failure",IF(O32="Rolled Back","Rollback Required","Unknown")))</f>
        <v/>
      </c>
      <c r="Q32" s="8" t="n"/>
      <c r="R32" s="8" t="n"/>
      <c r="S32" s="8" t="n"/>
    </row>
    <row r="33">
      <c r="A33" s="8" t="n"/>
      <c r="B33" s="8" t="n"/>
      <c r="C33" s="8" t="n"/>
      <c r="D33" s="8" t="n"/>
      <c r="E33" s="8" t="n"/>
      <c r="F33" s="9">
        <f>IF(OR(D33="",E33=""),"",ROUND((E33-D33)*24,2))</f>
        <v/>
      </c>
      <c r="G33" s="8" t="n"/>
      <c r="H33" s="8" t="n"/>
      <c r="I33" s="8" t="n"/>
      <c r="J33" s="8" t="n"/>
      <c r="K33" s="8" t="n"/>
      <c r="L33" s="8" t="n"/>
      <c r="M33" s="8" t="n"/>
      <c r="N33" s="8" t="n"/>
      <c r="O33" s="8" t="n"/>
      <c r="P33" s="9">
        <f>IF(O33="Successful","Success",IF(O33="Failed","Failure",IF(O33="Rolled Back","Rollback Required","Unknown")))</f>
        <v/>
      </c>
      <c r="Q33" s="8" t="n"/>
      <c r="R33" s="8" t="n"/>
      <c r="S33" s="8" t="n"/>
    </row>
    <row r="34">
      <c r="A34" s="8" t="n"/>
      <c r="B34" s="8" t="n"/>
      <c r="C34" s="8" t="n"/>
      <c r="D34" s="8" t="n"/>
      <c r="E34" s="8" t="n"/>
      <c r="F34" s="9">
        <f>IF(OR(D34="",E34=""),"",ROUND((E34-D34)*24,2))</f>
        <v/>
      </c>
      <c r="G34" s="8" t="n"/>
      <c r="H34" s="8" t="n"/>
      <c r="I34" s="8" t="n"/>
      <c r="J34" s="8" t="n"/>
      <c r="K34" s="8" t="n"/>
      <c r="L34" s="8" t="n"/>
      <c r="M34" s="8" t="n"/>
      <c r="N34" s="8" t="n"/>
      <c r="O34" s="8" t="n"/>
      <c r="P34" s="9">
        <f>IF(O34="Successful","Success",IF(O34="Failed","Failure",IF(O34="Rolled Back","Rollback Required","Unknown")))</f>
        <v/>
      </c>
      <c r="Q34" s="8" t="n"/>
      <c r="R34" s="8" t="n"/>
      <c r="S34" s="8" t="n"/>
    </row>
    <row r="35">
      <c r="A35" s="8" t="n"/>
      <c r="B35" s="8" t="n"/>
      <c r="C35" s="8" t="n"/>
      <c r="D35" s="8" t="n"/>
      <c r="E35" s="8" t="n"/>
      <c r="F35" s="9">
        <f>IF(OR(D35="",E35=""),"",ROUND((E35-D35)*24,2))</f>
        <v/>
      </c>
      <c r="G35" s="8" t="n"/>
      <c r="H35" s="8" t="n"/>
      <c r="I35" s="8" t="n"/>
      <c r="J35" s="8" t="n"/>
      <c r="K35" s="8" t="n"/>
      <c r="L35" s="8" t="n"/>
      <c r="M35" s="8" t="n"/>
      <c r="N35" s="8" t="n"/>
      <c r="O35" s="8" t="n"/>
      <c r="P35" s="9">
        <f>IF(O35="Successful","Success",IF(O35="Failed","Failure",IF(O35="Rolled Back","Rollback Required","Unknown")))</f>
        <v/>
      </c>
      <c r="Q35" s="8" t="n"/>
      <c r="R35" s="8" t="n"/>
      <c r="S35" s="8" t="n"/>
    </row>
    <row r="36">
      <c r="A36" s="8" t="n"/>
      <c r="B36" s="8" t="n"/>
      <c r="C36" s="8" t="n"/>
      <c r="D36" s="8" t="n"/>
      <c r="E36" s="8" t="n"/>
      <c r="F36" s="9">
        <f>IF(OR(D36="",E36=""),"",ROUND((E36-D36)*24,2))</f>
        <v/>
      </c>
      <c r="G36" s="8" t="n"/>
      <c r="H36" s="8" t="n"/>
      <c r="I36" s="8" t="n"/>
      <c r="J36" s="8" t="n"/>
      <c r="K36" s="8" t="n"/>
      <c r="L36" s="8" t="n"/>
      <c r="M36" s="8" t="n"/>
      <c r="N36" s="8" t="n"/>
      <c r="O36" s="8" t="n"/>
      <c r="P36" s="9">
        <f>IF(O36="Successful","Success",IF(O36="Failed","Failure",IF(O36="Rolled Back","Rollback Required","Unknown")))</f>
        <v/>
      </c>
      <c r="Q36" s="8" t="n"/>
      <c r="R36" s="8" t="n"/>
      <c r="S36" s="8" t="n"/>
    </row>
    <row r="37">
      <c r="A37" s="8" t="n"/>
      <c r="B37" s="8" t="n"/>
      <c r="C37" s="8" t="n"/>
      <c r="D37" s="8" t="n"/>
      <c r="E37" s="8" t="n"/>
      <c r="F37" s="9">
        <f>IF(OR(D37="",E37=""),"",ROUND((E37-D37)*24,2))</f>
        <v/>
      </c>
      <c r="G37" s="8" t="n"/>
      <c r="H37" s="8" t="n"/>
      <c r="I37" s="8" t="n"/>
      <c r="J37" s="8" t="n"/>
      <c r="K37" s="8" t="n"/>
      <c r="L37" s="8" t="n"/>
      <c r="M37" s="8" t="n"/>
      <c r="N37" s="8" t="n"/>
      <c r="O37" s="8" t="n"/>
      <c r="P37" s="9">
        <f>IF(O37="Successful","Success",IF(O37="Failed","Failure",IF(O37="Rolled Back","Rollback Required","Unknown")))</f>
        <v/>
      </c>
      <c r="Q37" s="8" t="n"/>
      <c r="R37" s="8" t="n"/>
      <c r="S37" s="8" t="n"/>
    </row>
    <row r="38">
      <c r="A38" s="8" t="n"/>
      <c r="B38" s="8" t="n"/>
      <c r="C38" s="8" t="n"/>
      <c r="D38" s="8" t="n"/>
      <c r="E38" s="8" t="n"/>
      <c r="F38" s="9">
        <f>IF(OR(D38="",E38=""),"",ROUND((E38-D38)*24,2))</f>
        <v/>
      </c>
      <c r="G38" s="8" t="n"/>
      <c r="H38" s="8" t="n"/>
      <c r="I38" s="8" t="n"/>
      <c r="J38" s="8" t="n"/>
      <c r="K38" s="8" t="n"/>
      <c r="L38" s="8" t="n"/>
      <c r="M38" s="8" t="n"/>
      <c r="N38" s="8" t="n"/>
      <c r="O38" s="8" t="n"/>
      <c r="P38" s="9">
        <f>IF(O38="Successful","Success",IF(O38="Failed","Failure",IF(O38="Rolled Back","Rollback Required","Unknown")))</f>
        <v/>
      </c>
      <c r="Q38" s="8" t="n"/>
      <c r="R38" s="8" t="n"/>
      <c r="S38" s="8" t="n"/>
    </row>
    <row r="39">
      <c r="A39" s="8" t="n"/>
      <c r="B39" s="8" t="n"/>
      <c r="C39" s="8" t="n"/>
      <c r="D39" s="8" t="n"/>
      <c r="E39" s="8" t="n"/>
      <c r="F39" s="9">
        <f>IF(OR(D39="",E39=""),"",ROUND((E39-D39)*24,2))</f>
        <v/>
      </c>
      <c r="G39" s="8" t="n"/>
      <c r="H39" s="8" t="n"/>
      <c r="I39" s="8" t="n"/>
      <c r="J39" s="8" t="n"/>
      <c r="K39" s="8" t="n"/>
      <c r="L39" s="8" t="n"/>
      <c r="M39" s="8" t="n"/>
      <c r="N39" s="8" t="n"/>
      <c r="O39" s="8" t="n"/>
      <c r="P39" s="9">
        <f>IF(O39="Successful","Success",IF(O39="Failed","Failure",IF(O39="Rolled Back","Rollback Required","Unknown")))</f>
        <v/>
      </c>
      <c r="Q39" s="8" t="n"/>
      <c r="R39" s="8" t="n"/>
      <c r="S39" s="8" t="n"/>
    </row>
    <row r="40">
      <c r="A40" s="8" t="n"/>
      <c r="B40" s="8" t="n"/>
      <c r="C40" s="8" t="n"/>
      <c r="D40" s="8" t="n"/>
      <c r="E40" s="8" t="n"/>
      <c r="F40" s="9">
        <f>IF(OR(D40="",E40=""),"",ROUND((E40-D40)*24,2))</f>
        <v/>
      </c>
      <c r="G40" s="8" t="n"/>
      <c r="H40" s="8" t="n"/>
      <c r="I40" s="8" t="n"/>
      <c r="J40" s="8" t="n"/>
      <c r="K40" s="8" t="n"/>
      <c r="L40" s="8" t="n"/>
      <c r="M40" s="8" t="n"/>
      <c r="N40" s="8" t="n"/>
      <c r="O40" s="8" t="n"/>
      <c r="P40" s="9">
        <f>IF(O40="Successful","Success",IF(O40="Failed","Failure",IF(O40="Rolled Back","Rollback Required","Unknown")))</f>
        <v/>
      </c>
      <c r="Q40" s="8" t="n"/>
      <c r="R40" s="8" t="n"/>
      <c r="S40" s="8" t="n"/>
    </row>
    <row r="41">
      <c r="A41" s="8" t="n"/>
      <c r="B41" s="8" t="n"/>
      <c r="C41" s="8" t="n"/>
      <c r="D41" s="8" t="n"/>
      <c r="E41" s="8" t="n"/>
      <c r="F41" s="9">
        <f>IF(OR(D41="",E41=""),"",ROUND((E41-D41)*24,2))</f>
        <v/>
      </c>
      <c r="G41" s="8" t="n"/>
      <c r="H41" s="8" t="n"/>
      <c r="I41" s="8" t="n"/>
      <c r="J41" s="8" t="n"/>
      <c r="K41" s="8" t="n"/>
      <c r="L41" s="8" t="n"/>
      <c r="M41" s="8" t="n"/>
      <c r="N41" s="8" t="n"/>
      <c r="O41" s="8" t="n"/>
      <c r="P41" s="9">
        <f>IF(O41="Successful","Success",IF(O41="Failed","Failure",IF(O41="Rolled Back","Rollback Required","Unknown")))</f>
        <v/>
      </c>
      <c r="Q41" s="8" t="n"/>
      <c r="R41" s="8" t="n"/>
      <c r="S41" s="8" t="n"/>
    </row>
    <row r="42">
      <c r="A42" s="8" t="n"/>
      <c r="B42" s="8" t="n"/>
      <c r="C42" s="8" t="n"/>
      <c r="D42" s="8" t="n"/>
      <c r="E42" s="8" t="n"/>
      <c r="F42" s="9">
        <f>IF(OR(D42="",E42=""),"",ROUND((E42-D42)*24,2))</f>
        <v/>
      </c>
      <c r="G42" s="8" t="n"/>
      <c r="H42" s="8" t="n"/>
      <c r="I42" s="8" t="n"/>
      <c r="J42" s="8" t="n"/>
      <c r="K42" s="8" t="n"/>
      <c r="L42" s="8" t="n"/>
      <c r="M42" s="8" t="n"/>
      <c r="N42" s="8" t="n"/>
      <c r="O42" s="8" t="n"/>
      <c r="P42" s="9">
        <f>IF(O42="Successful","Success",IF(O42="Failed","Failure",IF(O42="Rolled Back","Rollback Required","Unknown")))</f>
        <v/>
      </c>
      <c r="Q42" s="8" t="n"/>
      <c r="R42" s="8" t="n"/>
      <c r="S42" s="8" t="n"/>
    </row>
    <row r="43">
      <c r="A43" s="8" t="n"/>
      <c r="B43" s="8" t="n"/>
      <c r="C43" s="8" t="n"/>
      <c r="D43" s="8" t="n"/>
      <c r="E43" s="8" t="n"/>
      <c r="F43" s="9">
        <f>IF(OR(D43="",E43=""),"",ROUND((E43-D43)*24,2))</f>
        <v/>
      </c>
      <c r="G43" s="8" t="n"/>
      <c r="H43" s="8" t="n"/>
      <c r="I43" s="8" t="n"/>
      <c r="J43" s="8" t="n"/>
      <c r="K43" s="8" t="n"/>
      <c r="L43" s="8" t="n"/>
      <c r="M43" s="8" t="n"/>
      <c r="N43" s="8" t="n"/>
      <c r="O43" s="8" t="n"/>
      <c r="P43" s="9">
        <f>IF(O43="Successful","Success",IF(O43="Failed","Failure",IF(O43="Rolled Back","Rollback Required","Unknown")))</f>
        <v/>
      </c>
      <c r="Q43" s="8" t="n"/>
      <c r="R43" s="8" t="n"/>
      <c r="S43" s="8" t="n"/>
    </row>
    <row r="44">
      <c r="A44" s="8" t="n"/>
      <c r="B44" s="8" t="n"/>
      <c r="C44" s="8" t="n"/>
      <c r="D44" s="8" t="n"/>
      <c r="E44" s="8" t="n"/>
      <c r="F44" s="9">
        <f>IF(OR(D44="",E44=""),"",ROUND((E44-D44)*24,2))</f>
        <v/>
      </c>
      <c r="G44" s="8" t="n"/>
      <c r="H44" s="8" t="n"/>
      <c r="I44" s="8" t="n"/>
      <c r="J44" s="8" t="n"/>
      <c r="K44" s="8" t="n"/>
      <c r="L44" s="8" t="n"/>
      <c r="M44" s="8" t="n"/>
      <c r="N44" s="8" t="n"/>
      <c r="O44" s="8" t="n"/>
      <c r="P44" s="9">
        <f>IF(O44="Successful","Success",IF(O44="Failed","Failure",IF(O44="Rolled Back","Rollback Required","Unknown")))</f>
        <v/>
      </c>
      <c r="Q44" s="8" t="n"/>
      <c r="R44" s="8" t="n"/>
      <c r="S44" s="8" t="n"/>
    </row>
    <row r="45">
      <c r="A45" s="8" t="n"/>
      <c r="B45" s="8" t="n"/>
      <c r="C45" s="8" t="n"/>
      <c r="D45" s="8" t="n"/>
      <c r="E45" s="8" t="n"/>
      <c r="F45" s="9">
        <f>IF(OR(D45="",E45=""),"",ROUND((E45-D45)*24,2))</f>
        <v/>
      </c>
      <c r="G45" s="8" t="n"/>
      <c r="H45" s="8" t="n"/>
      <c r="I45" s="8" t="n"/>
      <c r="J45" s="8" t="n"/>
      <c r="K45" s="8" t="n"/>
      <c r="L45" s="8" t="n"/>
      <c r="M45" s="8" t="n"/>
      <c r="N45" s="8" t="n"/>
      <c r="O45" s="8" t="n"/>
      <c r="P45" s="9">
        <f>IF(O45="Successful","Success",IF(O45="Failed","Failure",IF(O45="Rolled Back","Rollback Required","Unknown")))</f>
        <v/>
      </c>
      <c r="Q45" s="8" t="n"/>
      <c r="R45" s="8" t="n"/>
      <c r="S45" s="8" t="n"/>
    </row>
    <row r="46">
      <c r="A46" s="8" t="n"/>
      <c r="B46" s="8" t="n"/>
      <c r="C46" s="8" t="n"/>
      <c r="D46" s="8" t="n"/>
      <c r="E46" s="8" t="n"/>
      <c r="F46" s="9">
        <f>IF(OR(D46="",E46=""),"",ROUND((E46-D46)*24,2))</f>
        <v/>
      </c>
      <c r="G46" s="8" t="n"/>
      <c r="H46" s="8" t="n"/>
      <c r="I46" s="8" t="n"/>
      <c r="J46" s="8" t="n"/>
      <c r="K46" s="8" t="n"/>
      <c r="L46" s="8" t="n"/>
      <c r="M46" s="8" t="n"/>
      <c r="N46" s="8" t="n"/>
      <c r="O46" s="8" t="n"/>
      <c r="P46" s="9">
        <f>IF(O46="Successful","Success",IF(O46="Failed","Failure",IF(O46="Rolled Back","Rollback Required","Unknown")))</f>
        <v/>
      </c>
      <c r="Q46" s="8" t="n"/>
      <c r="R46" s="8" t="n"/>
      <c r="S46" s="8" t="n"/>
    </row>
    <row r="47">
      <c r="A47" s="8" t="n"/>
      <c r="B47" s="8" t="n"/>
      <c r="C47" s="8" t="n"/>
      <c r="D47" s="8" t="n"/>
      <c r="E47" s="8" t="n"/>
      <c r="F47" s="9">
        <f>IF(OR(D47="",E47=""),"",ROUND((E47-D47)*24,2))</f>
        <v/>
      </c>
      <c r="G47" s="8" t="n"/>
      <c r="H47" s="8" t="n"/>
      <c r="I47" s="8" t="n"/>
      <c r="J47" s="8" t="n"/>
      <c r="K47" s="8" t="n"/>
      <c r="L47" s="8" t="n"/>
      <c r="M47" s="8" t="n"/>
      <c r="N47" s="8" t="n"/>
      <c r="O47" s="8" t="n"/>
      <c r="P47" s="9">
        <f>IF(O47="Successful","Success",IF(O47="Failed","Failure",IF(O47="Rolled Back","Rollback Required","Unknown")))</f>
        <v/>
      </c>
      <c r="Q47" s="8" t="n"/>
      <c r="R47" s="8" t="n"/>
      <c r="S47" s="8" t="n"/>
    </row>
    <row r="48">
      <c r="A48" s="8" t="n"/>
      <c r="B48" s="8" t="n"/>
      <c r="C48" s="8" t="n"/>
      <c r="D48" s="8" t="n"/>
      <c r="E48" s="8" t="n"/>
      <c r="F48" s="9">
        <f>IF(OR(D48="",E48=""),"",ROUND((E48-D48)*24,2))</f>
        <v/>
      </c>
      <c r="G48" s="8" t="n"/>
      <c r="H48" s="8" t="n"/>
      <c r="I48" s="8" t="n"/>
      <c r="J48" s="8" t="n"/>
      <c r="K48" s="8" t="n"/>
      <c r="L48" s="8" t="n"/>
      <c r="M48" s="8" t="n"/>
      <c r="N48" s="8" t="n"/>
      <c r="O48" s="8" t="n"/>
      <c r="P48" s="9">
        <f>IF(O48="Successful","Success",IF(O48="Failed","Failure",IF(O48="Rolled Back","Rollback Required","Unknown")))</f>
        <v/>
      </c>
      <c r="Q48" s="8" t="n"/>
      <c r="R48" s="8" t="n"/>
      <c r="S48" s="8" t="n"/>
    </row>
    <row r="49">
      <c r="A49" s="8" t="n"/>
      <c r="B49" s="8" t="n"/>
      <c r="C49" s="8" t="n"/>
      <c r="D49" s="8" t="n"/>
      <c r="E49" s="8" t="n"/>
      <c r="F49" s="9">
        <f>IF(OR(D49="",E49=""),"",ROUND((E49-D49)*24,2))</f>
        <v/>
      </c>
      <c r="G49" s="8" t="n"/>
      <c r="H49" s="8" t="n"/>
      <c r="I49" s="8" t="n"/>
      <c r="J49" s="8" t="n"/>
      <c r="K49" s="8" t="n"/>
      <c r="L49" s="8" t="n"/>
      <c r="M49" s="8" t="n"/>
      <c r="N49" s="8" t="n"/>
      <c r="O49" s="8" t="n"/>
      <c r="P49" s="9">
        <f>IF(O49="Successful","Success",IF(O49="Failed","Failure",IF(O49="Rolled Back","Rollback Required","Unknown")))</f>
        <v/>
      </c>
      <c r="Q49" s="8" t="n"/>
      <c r="R49" s="8" t="n"/>
      <c r="S49" s="8" t="n"/>
    </row>
    <row r="50">
      <c r="A50" s="8" t="n"/>
      <c r="B50" s="8" t="n"/>
      <c r="C50" s="8" t="n"/>
      <c r="D50" s="8" t="n"/>
      <c r="E50" s="8" t="n"/>
      <c r="F50" s="9">
        <f>IF(OR(D50="",E50=""),"",ROUND((E50-D50)*24,2))</f>
        <v/>
      </c>
      <c r="G50" s="8" t="n"/>
      <c r="H50" s="8" t="n"/>
      <c r="I50" s="8" t="n"/>
      <c r="J50" s="8" t="n"/>
      <c r="K50" s="8" t="n"/>
      <c r="L50" s="8" t="n"/>
      <c r="M50" s="8" t="n"/>
      <c r="N50" s="8" t="n"/>
      <c r="O50" s="8" t="n"/>
      <c r="P50" s="9">
        <f>IF(O50="Successful","Success",IF(O50="Failed","Failure",IF(O50="Rolled Back","Rollback Required","Unknown")))</f>
        <v/>
      </c>
      <c r="Q50" s="8" t="n"/>
      <c r="R50" s="8" t="n"/>
      <c r="S50" s="8" t="n"/>
    </row>
    <row r="51">
      <c r="A51" s="8" t="n"/>
      <c r="B51" s="8" t="n"/>
      <c r="C51" s="8" t="n"/>
      <c r="D51" s="8" t="n"/>
      <c r="E51" s="8" t="n"/>
      <c r="F51" s="9">
        <f>IF(OR(D51="",E51=""),"",ROUND((E51-D51)*24,2))</f>
        <v/>
      </c>
      <c r="G51" s="8" t="n"/>
      <c r="H51" s="8" t="n"/>
      <c r="I51" s="8" t="n"/>
      <c r="J51" s="8" t="n"/>
      <c r="K51" s="8" t="n"/>
      <c r="L51" s="8" t="n"/>
      <c r="M51" s="8" t="n"/>
      <c r="N51" s="8" t="n"/>
      <c r="O51" s="8" t="n"/>
      <c r="P51" s="9">
        <f>IF(O51="Successful","Success",IF(O51="Failed","Failure",IF(O51="Rolled Back","Rollback Required","Unknown")))</f>
        <v/>
      </c>
      <c r="Q51" s="8" t="n"/>
      <c r="R51" s="8" t="n"/>
      <c r="S51" s="8" t="n"/>
    </row>
    <row r="52">
      <c r="A52" s="8" t="n"/>
      <c r="B52" s="8" t="n"/>
      <c r="C52" s="8" t="n"/>
      <c r="D52" s="8" t="n"/>
      <c r="E52" s="8" t="n"/>
      <c r="F52" s="9">
        <f>IF(OR(D52="",E52=""),"",ROUND((E52-D52)*24,2))</f>
        <v/>
      </c>
      <c r="G52" s="8" t="n"/>
      <c r="H52" s="8" t="n"/>
      <c r="I52" s="8" t="n"/>
      <c r="J52" s="8" t="n"/>
      <c r="K52" s="8" t="n"/>
      <c r="L52" s="8" t="n"/>
      <c r="M52" s="8" t="n"/>
      <c r="N52" s="8" t="n"/>
      <c r="O52" s="8" t="n"/>
      <c r="P52" s="9">
        <f>IF(O52="Successful","Success",IF(O52="Failed","Failure",IF(O52="Rolled Back","Rollback Required","Unknown")))</f>
        <v/>
      </c>
      <c r="Q52" s="8" t="n"/>
      <c r="R52" s="8" t="n"/>
      <c r="S52" s="8" t="n"/>
    </row>
    <row r="53">
      <c r="A53" s="8" t="n"/>
      <c r="B53" s="8" t="n"/>
      <c r="C53" s="8" t="n"/>
      <c r="D53" s="8" t="n"/>
      <c r="E53" s="8" t="n"/>
      <c r="F53" s="9">
        <f>IF(OR(D53="",E53=""),"",ROUND((E53-D53)*24,2))</f>
        <v/>
      </c>
      <c r="G53" s="8" t="n"/>
      <c r="H53" s="8" t="n"/>
      <c r="I53" s="8" t="n"/>
      <c r="J53" s="8" t="n"/>
      <c r="K53" s="8" t="n"/>
      <c r="L53" s="8" t="n"/>
      <c r="M53" s="8" t="n"/>
      <c r="N53" s="8" t="n"/>
      <c r="O53" s="8" t="n"/>
      <c r="P53" s="9">
        <f>IF(O53="Successful","Success",IF(O53="Failed","Failure",IF(O53="Rolled Back","Rollback Required","Unknown")))</f>
        <v/>
      </c>
      <c r="Q53" s="8" t="n"/>
      <c r="R53" s="8" t="n"/>
      <c r="S53" s="8" t="n"/>
    </row>
    <row r="54">
      <c r="A54" s="8" t="n"/>
      <c r="B54" s="8" t="n"/>
      <c r="C54" s="8" t="n"/>
      <c r="D54" s="8" t="n"/>
      <c r="E54" s="8" t="n"/>
      <c r="F54" s="9">
        <f>IF(OR(D54="",E54=""),"",ROUND((E54-D54)*24,2))</f>
        <v/>
      </c>
      <c r="G54" s="8" t="n"/>
      <c r="H54" s="8" t="n"/>
      <c r="I54" s="8" t="n"/>
      <c r="J54" s="8" t="n"/>
      <c r="K54" s="8" t="n"/>
      <c r="L54" s="8" t="n"/>
      <c r="M54" s="8" t="n"/>
      <c r="N54" s="8" t="n"/>
      <c r="O54" s="8" t="n"/>
      <c r="P54" s="9">
        <f>IF(O54="Successful","Success",IF(O54="Failed","Failure",IF(O54="Rolled Back","Rollback Required","Unknown")))</f>
        <v/>
      </c>
      <c r="Q54" s="8" t="n"/>
      <c r="R54" s="8" t="n"/>
      <c r="S54" s="8" t="n"/>
    </row>
    <row r="55">
      <c r="A55" s="8" t="n"/>
      <c r="B55" s="8" t="n"/>
      <c r="C55" s="8" t="n"/>
      <c r="D55" s="8" t="n"/>
      <c r="E55" s="8" t="n"/>
      <c r="F55" s="9">
        <f>IF(OR(D55="",E55=""),"",ROUND((E55-D55)*24,2))</f>
        <v/>
      </c>
      <c r="G55" s="8" t="n"/>
      <c r="H55" s="8" t="n"/>
      <c r="I55" s="8" t="n"/>
      <c r="J55" s="8" t="n"/>
      <c r="K55" s="8" t="n"/>
      <c r="L55" s="8" t="n"/>
      <c r="M55" s="8" t="n"/>
      <c r="N55" s="8" t="n"/>
      <c r="O55" s="8" t="n"/>
      <c r="P55" s="9">
        <f>IF(O55="Successful","Success",IF(O55="Failed","Failure",IF(O55="Rolled Back","Rollback Required","Unknown")))</f>
        <v/>
      </c>
      <c r="Q55" s="8" t="n"/>
      <c r="R55" s="8" t="n"/>
      <c r="S55" s="8" t="n"/>
    </row>
    <row r="56">
      <c r="A56" s="8" t="n"/>
      <c r="B56" s="8" t="n"/>
      <c r="C56" s="8" t="n"/>
      <c r="D56" s="8" t="n"/>
      <c r="E56" s="8" t="n"/>
      <c r="F56" s="9">
        <f>IF(OR(D56="",E56=""),"",ROUND((E56-D56)*24,2))</f>
        <v/>
      </c>
      <c r="G56" s="8" t="n"/>
      <c r="H56" s="8" t="n"/>
      <c r="I56" s="8" t="n"/>
      <c r="J56" s="8" t="n"/>
      <c r="K56" s="8" t="n"/>
      <c r="L56" s="8" t="n"/>
      <c r="M56" s="8" t="n"/>
      <c r="N56" s="8" t="n"/>
      <c r="O56" s="8" t="n"/>
      <c r="P56" s="9">
        <f>IF(O56="Successful","Success",IF(O56="Failed","Failure",IF(O56="Rolled Back","Rollback Required","Unknown")))</f>
        <v/>
      </c>
      <c r="Q56" s="8" t="n"/>
      <c r="R56" s="8" t="n"/>
      <c r="S56" s="8" t="n"/>
    </row>
    <row r="57">
      <c r="A57" s="8" t="n"/>
      <c r="B57" s="8" t="n"/>
      <c r="C57" s="8" t="n"/>
      <c r="D57" s="8" t="n"/>
      <c r="E57" s="8" t="n"/>
      <c r="F57" s="9">
        <f>IF(OR(D57="",E57=""),"",ROUND((E57-D57)*24,2))</f>
        <v/>
      </c>
      <c r="G57" s="8" t="n"/>
      <c r="H57" s="8" t="n"/>
      <c r="I57" s="8" t="n"/>
      <c r="J57" s="8" t="n"/>
      <c r="K57" s="8" t="n"/>
      <c r="L57" s="8" t="n"/>
      <c r="M57" s="8" t="n"/>
      <c r="N57" s="8" t="n"/>
      <c r="O57" s="8" t="n"/>
      <c r="P57" s="9">
        <f>IF(O57="Successful","Success",IF(O57="Failed","Failure",IF(O57="Rolled Back","Rollback Required","Unknown")))</f>
        <v/>
      </c>
      <c r="Q57" s="8" t="n"/>
      <c r="R57" s="8" t="n"/>
      <c r="S57" s="8" t="n"/>
    </row>
    <row r="58">
      <c r="A58" s="8" t="n"/>
      <c r="B58" s="8" t="n"/>
      <c r="C58" s="8" t="n"/>
      <c r="D58" s="8" t="n"/>
      <c r="E58" s="8" t="n"/>
      <c r="F58" s="9">
        <f>IF(OR(D58="",E58=""),"",ROUND((E58-D58)*24,2))</f>
        <v/>
      </c>
      <c r="G58" s="8" t="n"/>
      <c r="H58" s="8" t="n"/>
      <c r="I58" s="8" t="n"/>
      <c r="J58" s="8" t="n"/>
      <c r="K58" s="8" t="n"/>
      <c r="L58" s="8" t="n"/>
      <c r="M58" s="8" t="n"/>
      <c r="N58" s="8" t="n"/>
      <c r="O58" s="8" t="n"/>
      <c r="P58" s="9">
        <f>IF(O58="Successful","Success",IF(O58="Failed","Failure",IF(O58="Rolled Back","Rollback Required","Unknown")))</f>
        <v/>
      </c>
      <c r="Q58" s="8" t="n"/>
      <c r="R58" s="8" t="n"/>
      <c r="S58" s="8" t="n"/>
    </row>
    <row r="59">
      <c r="A59" s="8" t="n"/>
      <c r="B59" s="8" t="n"/>
      <c r="C59" s="8" t="n"/>
      <c r="D59" s="8" t="n"/>
      <c r="E59" s="8" t="n"/>
      <c r="F59" s="9">
        <f>IF(OR(D59="",E59=""),"",ROUND((E59-D59)*24,2))</f>
        <v/>
      </c>
      <c r="G59" s="8" t="n"/>
      <c r="H59" s="8" t="n"/>
      <c r="I59" s="8" t="n"/>
      <c r="J59" s="8" t="n"/>
      <c r="K59" s="8" t="n"/>
      <c r="L59" s="8" t="n"/>
      <c r="M59" s="8" t="n"/>
      <c r="N59" s="8" t="n"/>
      <c r="O59" s="8" t="n"/>
      <c r="P59" s="9">
        <f>IF(O59="Successful","Success",IF(O59="Failed","Failure",IF(O59="Rolled Back","Rollback Required","Unknown")))</f>
        <v/>
      </c>
      <c r="Q59" s="8" t="n"/>
      <c r="R59" s="8" t="n"/>
      <c r="S59" s="8" t="n"/>
    </row>
    <row r="60">
      <c r="A60" s="8" t="n"/>
      <c r="B60" s="8" t="n"/>
      <c r="C60" s="8" t="n"/>
      <c r="D60" s="8" t="n"/>
      <c r="E60" s="8" t="n"/>
      <c r="F60" s="9">
        <f>IF(OR(D60="",E60=""),"",ROUND((E60-D60)*24,2))</f>
        <v/>
      </c>
      <c r="G60" s="8" t="n"/>
      <c r="H60" s="8" t="n"/>
      <c r="I60" s="8" t="n"/>
      <c r="J60" s="8" t="n"/>
      <c r="K60" s="8" t="n"/>
      <c r="L60" s="8" t="n"/>
      <c r="M60" s="8" t="n"/>
      <c r="N60" s="8" t="n"/>
      <c r="O60" s="8" t="n"/>
      <c r="P60" s="9">
        <f>IF(O60="Successful","Success",IF(O60="Failed","Failure",IF(O60="Rolled Back","Rollback Required","Unknown")))</f>
        <v/>
      </c>
      <c r="Q60" s="8" t="n"/>
      <c r="R60" s="8" t="n"/>
      <c r="S60" s="8" t="n"/>
    </row>
    <row r="61">
      <c r="A61" s="8" t="n"/>
      <c r="B61" s="8" t="n"/>
      <c r="C61" s="8" t="n"/>
      <c r="D61" s="8" t="n"/>
      <c r="E61" s="8" t="n"/>
      <c r="F61" s="9">
        <f>IF(OR(D61="",E61=""),"",ROUND((E61-D61)*24,2))</f>
        <v/>
      </c>
      <c r="G61" s="8" t="n"/>
      <c r="H61" s="8" t="n"/>
      <c r="I61" s="8" t="n"/>
      <c r="J61" s="8" t="n"/>
      <c r="K61" s="8" t="n"/>
      <c r="L61" s="8" t="n"/>
      <c r="M61" s="8" t="n"/>
      <c r="N61" s="8" t="n"/>
      <c r="O61" s="8" t="n"/>
      <c r="P61" s="9">
        <f>IF(O61="Successful","Success",IF(O61="Failed","Failure",IF(O61="Rolled Back","Rollback Required","Unknown")))</f>
        <v/>
      </c>
      <c r="Q61" s="8" t="n"/>
      <c r="R61" s="8" t="n"/>
      <c r="S61" s="8" t="n"/>
    </row>
    <row r="62">
      <c r="A62" s="8" t="n"/>
      <c r="B62" s="8" t="n"/>
      <c r="C62" s="8" t="n"/>
      <c r="D62" s="8" t="n"/>
      <c r="E62" s="8" t="n"/>
      <c r="F62" s="9">
        <f>IF(OR(D62="",E62=""),"",ROUND((E62-D62)*24,2))</f>
        <v/>
      </c>
      <c r="G62" s="8" t="n"/>
      <c r="H62" s="8" t="n"/>
      <c r="I62" s="8" t="n"/>
      <c r="J62" s="8" t="n"/>
      <c r="K62" s="8" t="n"/>
      <c r="L62" s="8" t="n"/>
      <c r="M62" s="8" t="n"/>
      <c r="N62" s="8" t="n"/>
      <c r="O62" s="8" t="n"/>
      <c r="P62" s="9">
        <f>IF(O62="Successful","Success",IF(O62="Failed","Failure",IF(O62="Rolled Back","Rollback Required","Unknown")))</f>
        <v/>
      </c>
      <c r="Q62" s="8" t="n"/>
      <c r="R62" s="8" t="n"/>
      <c r="S62" s="8" t="n"/>
    </row>
    <row r="63">
      <c r="A63" s="8" t="n"/>
      <c r="B63" s="8" t="n"/>
      <c r="C63" s="8" t="n"/>
      <c r="D63" s="8" t="n"/>
      <c r="E63" s="8" t="n"/>
      <c r="F63" s="9">
        <f>IF(OR(D63="",E63=""),"",ROUND((E63-D63)*24,2))</f>
        <v/>
      </c>
      <c r="G63" s="8" t="n"/>
      <c r="H63" s="8" t="n"/>
      <c r="I63" s="8" t="n"/>
      <c r="J63" s="8" t="n"/>
      <c r="K63" s="8" t="n"/>
      <c r="L63" s="8" t="n"/>
      <c r="M63" s="8" t="n"/>
      <c r="N63" s="8" t="n"/>
      <c r="O63" s="8" t="n"/>
      <c r="P63" s="9">
        <f>IF(O63="Successful","Success",IF(O63="Failed","Failure",IF(O63="Rolled Back","Rollback Required","Unknown")))</f>
        <v/>
      </c>
      <c r="Q63" s="8" t="n"/>
      <c r="R63" s="8" t="n"/>
      <c r="S63" s="8" t="n"/>
    </row>
    <row r="64">
      <c r="A64" s="8" t="n"/>
      <c r="B64" s="8" t="n"/>
      <c r="C64" s="8" t="n"/>
      <c r="D64" s="8" t="n"/>
      <c r="E64" s="8" t="n"/>
      <c r="F64" s="9">
        <f>IF(OR(D64="",E64=""),"",ROUND((E64-D64)*24,2))</f>
        <v/>
      </c>
      <c r="G64" s="8" t="n"/>
      <c r="H64" s="8" t="n"/>
      <c r="I64" s="8" t="n"/>
      <c r="J64" s="8" t="n"/>
      <c r="K64" s="8" t="n"/>
      <c r="L64" s="8" t="n"/>
      <c r="M64" s="8" t="n"/>
      <c r="N64" s="8" t="n"/>
      <c r="O64" s="8" t="n"/>
      <c r="P64" s="9">
        <f>IF(O64="Successful","Success",IF(O64="Failed","Failure",IF(O64="Rolled Back","Rollback Required","Unknown")))</f>
        <v/>
      </c>
      <c r="Q64" s="8" t="n"/>
      <c r="R64" s="8" t="n"/>
      <c r="S64" s="8" t="n"/>
    </row>
    <row r="65">
      <c r="A65" s="8" t="n"/>
      <c r="B65" s="8" t="n"/>
      <c r="C65" s="8" t="n"/>
      <c r="D65" s="8" t="n"/>
      <c r="E65" s="8" t="n"/>
      <c r="F65" s="9">
        <f>IF(OR(D65="",E65=""),"",ROUND((E65-D65)*24,2))</f>
        <v/>
      </c>
      <c r="G65" s="8" t="n"/>
      <c r="H65" s="8" t="n"/>
      <c r="I65" s="8" t="n"/>
      <c r="J65" s="8" t="n"/>
      <c r="K65" s="8" t="n"/>
      <c r="L65" s="8" t="n"/>
      <c r="M65" s="8" t="n"/>
      <c r="N65" s="8" t="n"/>
      <c r="O65" s="8" t="n"/>
      <c r="P65" s="9">
        <f>IF(O65="Successful","Success",IF(O65="Failed","Failure",IF(O65="Rolled Back","Rollback Required","Unknown")))</f>
        <v/>
      </c>
      <c r="Q65" s="8" t="n"/>
      <c r="R65" s="8" t="n"/>
      <c r="S65" s="8" t="n"/>
    </row>
    <row r="66">
      <c r="A66" s="8" t="n"/>
      <c r="B66" s="8" t="n"/>
      <c r="C66" s="8" t="n"/>
      <c r="D66" s="8" t="n"/>
      <c r="E66" s="8" t="n"/>
      <c r="F66" s="9">
        <f>IF(OR(D66="",E66=""),"",ROUND((E66-D66)*24,2))</f>
        <v/>
      </c>
      <c r="G66" s="8" t="n"/>
      <c r="H66" s="8" t="n"/>
      <c r="I66" s="8" t="n"/>
      <c r="J66" s="8" t="n"/>
      <c r="K66" s="8" t="n"/>
      <c r="L66" s="8" t="n"/>
      <c r="M66" s="8" t="n"/>
      <c r="N66" s="8" t="n"/>
      <c r="O66" s="8" t="n"/>
      <c r="P66" s="9">
        <f>IF(O66="Successful","Success",IF(O66="Failed","Failure",IF(O66="Rolled Back","Rollback Required","Unknown")))</f>
        <v/>
      </c>
      <c r="Q66" s="8" t="n"/>
      <c r="R66" s="8" t="n"/>
      <c r="S66" s="8" t="n"/>
    </row>
    <row r="67">
      <c r="A67" s="8" t="n"/>
      <c r="B67" s="8" t="n"/>
      <c r="C67" s="8" t="n"/>
      <c r="D67" s="8" t="n"/>
      <c r="E67" s="8" t="n"/>
      <c r="F67" s="9">
        <f>IF(OR(D67="",E67=""),"",ROUND((E67-D67)*24,2))</f>
        <v/>
      </c>
      <c r="G67" s="8" t="n"/>
      <c r="H67" s="8" t="n"/>
      <c r="I67" s="8" t="n"/>
      <c r="J67" s="8" t="n"/>
      <c r="K67" s="8" t="n"/>
      <c r="L67" s="8" t="n"/>
      <c r="M67" s="8" t="n"/>
      <c r="N67" s="8" t="n"/>
      <c r="O67" s="8" t="n"/>
      <c r="P67" s="9">
        <f>IF(O67="Successful","Success",IF(O67="Failed","Failure",IF(O67="Rolled Back","Rollback Required","Unknown")))</f>
        <v/>
      </c>
      <c r="Q67" s="8" t="n"/>
      <c r="R67" s="8" t="n"/>
      <c r="S67" s="8" t="n"/>
    </row>
    <row r="68">
      <c r="A68" s="8" t="n"/>
      <c r="B68" s="8" t="n"/>
      <c r="C68" s="8" t="n"/>
      <c r="D68" s="8" t="n"/>
      <c r="E68" s="8" t="n"/>
      <c r="F68" s="9">
        <f>IF(OR(D68="",E68=""),"",ROUND((E68-D68)*24,2))</f>
        <v/>
      </c>
      <c r="G68" s="8" t="n"/>
      <c r="H68" s="8" t="n"/>
      <c r="I68" s="8" t="n"/>
      <c r="J68" s="8" t="n"/>
      <c r="K68" s="8" t="n"/>
      <c r="L68" s="8" t="n"/>
      <c r="M68" s="8" t="n"/>
      <c r="N68" s="8" t="n"/>
      <c r="O68" s="8" t="n"/>
      <c r="P68" s="9">
        <f>IF(O68="Successful","Success",IF(O68="Failed","Failure",IF(O68="Rolled Back","Rollback Required","Unknown")))</f>
        <v/>
      </c>
      <c r="Q68" s="8" t="n"/>
      <c r="R68" s="8" t="n"/>
      <c r="S68" s="8" t="n"/>
    </row>
    <row r="69">
      <c r="A69" s="8" t="n"/>
      <c r="B69" s="8" t="n"/>
      <c r="C69" s="8" t="n"/>
      <c r="D69" s="8" t="n"/>
      <c r="E69" s="8" t="n"/>
      <c r="F69" s="9">
        <f>IF(OR(D69="",E69=""),"",ROUND((E69-D69)*24,2))</f>
        <v/>
      </c>
      <c r="G69" s="8" t="n"/>
      <c r="H69" s="8" t="n"/>
      <c r="I69" s="8" t="n"/>
      <c r="J69" s="8" t="n"/>
      <c r="K69" s="8" t="n"/>
      <c r="L69" s="8" t="n"/>
      <c r="M69" s="8" t="n"/>
      <c r="N69" s="8" t="n"/>
      <c r="O69" s="8" t="n"/>
      <c r="P69" s="9">
        <f>IF(O69="Successful","Success",IF(O69="Failed","Failure",IF(O69="Rolled Back","Rollback Required","Unknown")))</f>
        <v/>
      </c>
      <c r="Q69" s="8" t="n"/>
      <c r="R69" s="8" t="n"/>
      <c r="S69" s="8" t="n"/>
    </row>
    <row r="70">
      <c r="A70" s="8" t="n"/>
      <c r="B70" s="8" t="n"/>
      <c r="C70" s="8" t="n"/>
      <c r="D70" s="8" t="n"/>
      <c r="E70" s="8" t="n"/>
      <c r="F70" s="9">
        <f>IF(OR(D70="",E70=""),"",ROUND((E70-D70)*24,2))</f>
        <v/>
      </c>
      <c r="G70" s="8" t="n"/>
      <c r="H70" s="8" t="n"/>
      <c r="I70" s="8" t="n"/>
      <c r="J70" s="8" t="n"/>
      <c r="K70" s="8" t="n"/>
      <c r="L70" s="8" t="n"/>
      <c r="M70" s="8" t="n"/>
      <c r="N70" s="8" t="n"/>
      <c r="O70" s="8" t="n"/>
      <c r="P70" s="9">
        <f>IF(O70="Successful","Success",IF(O70="Failed","Failure",IF(O70="Rolled Back","Rollback Required","Unknown")))</f>
        <v/>
      </c>
      <c r="Q70" s="8" t="n"/>
      <c r="R70" s="8" t="n"/>
      <c r="S70" s="8" t="n"/>
    </row>
    <row r="71">
      <c r="A71" s="8" t="n"/>
      <c r="B71" s="8" t="n"/>
      <c r="C71" s="8" t="n"/>
      <c r="D71" s="8" t="n"/>
      <c r="E71" s="8" t="n"/>
      <c r="F71" s="9">
        <f>IF(OR(D71="",E71=""),"",ROUND((E71-D71)*24,2))</f>
        <v/>
      </c>
      <c r="G71" s="8" t="n"/>
      <c r="H71" s="8" t="n"/>
      <c r="I71" s="8" t="n"/>
      <c r="J71" s="8" t="n"/>
      <c r="K71" s="8" t="n"/>
      <c r="L71" s="8" t="n"/>
      <c r="M71" s="8" t="n"/>
      <c r="N71" s="8" t="n"/>
      <c r="O71" s="8" t="n"/>
      <c r="P71" s="9">
        <f>IF(O71="Successful","Success",IF(O71="Failed","Failure",IF(O71="Rolled Back","Rollback Required","Unknown")))</f>
        <v/>
      </c>
      <c r="Q71" s="8" t="n"/>
      <c r="R71" s="8" t="n"/>
      <c r="S71" s="8" t="n"/>
    </row>
    <row r="72">
      <c r="A72" s="8" t="n"/>
      <c r="B72" s="8" t="n"/>
      <c r="C72" s="8" t="n"/>
      <c r="D72" s="8" t="n"/>
      <c r="E72" s="8" t="n"/>
      <c r="F72" s="9">
        <f>IF(OR(D72="",E72=""),"",ROUND((E72-D72)*24,2))</f>
        <v/>
      </c>
      <c r="G72" s="8" t="n"/>
      <c r="H72" s="8" t="n"/>
      <c r="I72" s="8" t="n"/>
      <c r="J72" s="8" t="n"/>
      <c r="K72" s="8" t="n"/>
      <c r="L72" s="8" t="n"/>
      <c r="M72" s="8" t="n"/>
      <c r="N72" s="8" t="n"/>
      <c r="O72" s="8" t="n"/>
      <c r="P72" s="9">
        <f>IF(O72="Successful","Success",IF(O72="Failed","Failure",IF(O72="Rolled Back","Rollback Required","Unknown")))</f>
        <v/>
      </c>
      <c r="Q72" s="8" t="n"/>
      <c r="R72" s="8" t="n"/>
      <c r="S72" s="8" t="n"/>
    </row>
    <row r="73">
      <c r="A73" s="8" t="n"/>
      <c r="B73" s="8" t="n"/>
      <c r="C73" s="8" t="n"/>
      <c r="D73" s="8" t="n"/>
      <c r="E73" s="8" t="n"/>
      <c r="F73" s="9">
        <f>IF(OR(D73="",E73=""),"",ROUND((E73-D73)*24,2))</f>
        <v/>
      </c>
      <c r="G73" s="8" t="n"/>
      <c r="H73" s="8" t="n"/>
      <c r="I73" s="8" t="n"/>
      <c r="J73" s="8" t="n"/>
      <c r="K73" s="8" t="n"/>
      <c r="L73" s="8" t="n"/>
      <c r="M73" s="8" t="n"/>
      <c r="N73" s="8" t="n"/>
      <c r="O73" s="8" t="n"/>
      <c r="P73" s="9">
        <f>IF(O73="Successful","Success",IF(O73="Failed","Failure",IF(O73="Rolled Back","Rollback Required","Unknown")))</f>
        <v/>
      </c>
      <c r="Q73" s="8" t="n"/>
      <c r="R73" s="8" t="n"/>
      <c r="S73" s="8" t="n"/>
    </row>
    <row r="74">
      <c r="A74" s="8" t="n"/>
      <c r="B74" s="8" t="n"/>
      <c r="C74" s="8" t="n"/>
      <c r="D74" s="8" t="n"/>
      <c r="E74" s="8" t="n"/>
      <c r="F74" s="9">
        <f>IF(OR(D74="",E74=""),"",ROUND((E74-D74)*24,2))</f>
        <v/>
      </c>
      <c r="G74" s="8" t="n"/>
      <c r="H74" s="8" t="n"/>
      <c r="I74" s="8" t="n"/>
      <c r="J74" s="8" t="n"/>
      <c r="K74" s="8" t="n"/>
      <c r="L74" s="8" t="n"/>
      <c r="M74" s="8" t="n"/>
      <c r="N74" s="8" t="n"/>
      <c r="O74" s="8" t="n"/>
      <c r="P74" s="9">
        <f>IF(O74="Successful","Success",IF(O74="Failed","Failure",IF(O74="Rolled Back","Rollback Required","Unknown")))</f>
        <v/>
      </c>
      <c r="Q74" s="8" t="n"/>
      <c r="R74" s="8" t="n"/>
      <c r="S74" s="8" t="n"/>
    </row>
    <row r="75">
      <c r="A75" s="8" t="n"/>
      <c r="B75" s="8" t="n"/>
      <c r="C75" s="8" t="n"/>
      <c r="D75" s="8" t="n"/>
      <c r="E75" s="8" t="n"/>
      <c r="F75" s="9">
        <f>IF(OR(D75="",E75=""),"",ROUND((E75-D75)*24,2))</f>
        <v/>
      </c>
      <c r="G75" s="8" t="n"/>
      <c r="H75" s="8" t="n"/>
      <c r="I75" s="8" t="n"/>
      <c r="J75" s="8" t="n"/>
      <c r="K75" s="8" t="n"/>
      <c r="L75" s="8" t="n"/>
      <c r="M75" s="8" t="n"/>
      <c r="N75" s="8" t="n"/>
      <c r="O75" s="8" t="n"/>
      <c r="P75" s="9">
        <f>IF(O75="Successful","Success",IF(O75="Failed","Failure",IF(O75="Rolled Back","Rollback Required","Unknown")))</f>
        <v/>
      </c>
      <c r="Q75" s="8" t="n"/>
      <c r="R75" s="8" t="n"/>
      <c r="S75" s="8" t="n"/>
    </row>
    <row r="76">
      <c r="A76" s="8" t="n"/>
      <c r="B76" s="8" t="n"/>
      <c r="C76" s="8" t="n"/>
      <c r="D76" s="8" t="n"/>
      <c r="E76" s="8" t="n"/>
      <c r="F76" s="9">
        <f>IF(OR(D76="",E76=""),"",ROUND((E76-D76)*24,2))</f>
        <v/>
      </c>
      <c r="G76" s="8" t="n"/>
      <c r="H76" s="8" t="n"/>
      <c r="I76" s="8" t="n"/>
      <c r="J76" s="8" t="n"/>
      <c r="K76" s="8" t="n"/>
      <c r="L76" s="8" t="n"/>
      <c r="M76" s="8" t="n"/>
      <c r="N76" s="8" t="n"/>
      <c r="O76" s="8" t="n"/>
      <c r="P76" s="9">
        <f>IF(O76="Successful","Success",IF(O76="Failed","Failure",IF(O76="Rolled Back","Rollback Required","Unknown")))</f>
        <v/>
      </c>
      <c r="Q76" s="8" t="n"/>
      <c r="R76" s="8" t="n"/>
      <c r="S76" s="8" t="n"/>
    </row>
    <row r="77">
      <c r="A77" s="8" t="n"/>
      <c r="B77" s="8" t="n"/>
      <c r="C77" s="8" t="n"/>
      <c r="D77" s="8" t="n"/>
      <c r="E77" s="8" t="n"/>
      <c r="F77" s="9">
        <f>IF(OR(D77="",E77=""),"",ROUND((E77-D77)*24,2))</f>
        <v/>
      </c>
      <c r="G77" s="8" t="n"/>
      <c r="H77" s="8" t="n"/>
      <c r="I77" s="8" t="n"/>
      <c r="J77" s="8" t="n"/>
      <c r="K77" s="8" t="n"/>
      <c r="L77" s="8" t="n"/>
      <c r="M77" s="8" t="n"/>
      <c r="N77" s="8" t="n"/>
      <c r="O77" s="8" t="n"/>
      <c r="P77" s="9">
        <f>IF(O77="Successful","Success",IF(O77="Failed","Failure",IF(O77="Rolled Back","Rollback Required","Unknown")))</f>
        <v/>
      </c>
      <c r="Q77" s="8" t="n"/>
      <c r="R77" s="8" t="n"/>
      <c r="S77" s="8" t="n"/>
    </row>
    <row r="78">
      <c r="A78" s="8" t="n"/>
      <c r="B78" s="8" t="n"/>
      <c r="C78" s="8" t="n"/>
      <c r="D78" s="8" t="n"/>
      <c r="E78" s="8" t="n"/>
      <c r="F78" s="9">
        <f>IF(OR(D78="",E78=""),"",ROUND((E78-D78)*24,2))</f>
        <v/>
      </c>
      <c r="G78" s="8" t="n"/>
      <c r="H78" s="8" t="n"/>
      <c r="I78" s="8" t="n"/>
      <c r="J78" s="8" t="n"/>
      <c r="K78" s="8" t="n"/>
      <c r="L78" s="8" t="n"/>
      <c r="M78" s="8" t="n"/>
      <c r="N78" s="8" t="n"/>
      <c r="O78" s="8" t="n"/>
      <c r="P78" s="9">
        <f>IF(O78="Successful","Success",IF(O78="Failed","Failure",IF(O78="Rolled Back","Rollback Required","Unknown")))</f>
        <v/>
      </c>
      <c r="Q78" s="8" t="n"/>
      <c r="R78" s="8" t="n"/>
      <c r="S78" s="8" t="n"/>
    </row>
    <row r="79">
      <c r="A79" s="8" t="n"/>
      <c r="B79" s="8" t="n"/>
      <c r="C79" s="8" t="n"/>
      <c r="D79" s="8" t="n"/>
      <c r="E79" s="8" t="n"/>
      <c r="F79" s="9">
        <f>IF(OR(D79="",E79=""),"",ROUND((E79-D79)*24,2))</f>
        <v/>
      </c>
      <c r="G79" s="8" t="n"/>
      <c r="H79" s="8" t="n"/>
      <c r="I79" s="8" t="n"/>
      <c r="J79" s="8" t="n"/>
      <c r="K79" s="8" t="n"/>
      <c r="L79" s="8" t="n"/>
      <c r="M79" s="8" t="n"/>
      <c r="N79" s="8" t="n"/>
      <c r="O79" s="8" t="n"/>
      <c r="P79" s="9">
        <f>IF(O79="Successful","Success",IF(O79="Failed","Failure",IF(O79="Rolled Back","Rollback Required","Unknown")))</f>
        <v/>
      </c>
      <c r="Q79" s="8" t="n"/>
      <c r="R79" s="8" t="n"/>
      <c r="S79" s="8" t="n"/>
    </row>
    <row r="80">
      <c r="A80" s="8" t="n"/>
      <c r="B80" s="8" t="n"/>
      <c r="C80" s="8" t="n"/>
      <c r="D80" s="8" t="n"/>
      <c r="E80" s="8" t="n"/>
      <c r="F80" s="9">
        <f>IF(OR(D80="",E80=""),"",ROUND((E80-D80)*24,2))</f>
        <v/>
      </c>
      <c r="G80" s="8" t="n"/>
      <c r="H80" s="8" t="n"/>
      <c r="I80" s="8" t="n"/>
      <c r="J80" s="8" t="n"/>
      <c r="K80" s="8" t="n"/>
      <c r="L80" s="8" t="n"/>
      <c r="M80" s="8" t="n"/>
      <c r="N80" s="8" t="n"/>
      <c r="O80" s="8" t="n"/>
      <c r="P80" s="9">
        <f>IF(O80="Successful","Success",IF(O80="Failed","Failure",IF(O80="Rolled Back","Rollback Required","Unknown")))</f>
        <v/>
      </c>
      <c r="Q80" s="8" t="n"/>
      <c r="R80" s="8" t="n"/>
      <c r="S80" s="8" t="n"/>
    </row>
    <row r="81">
      <c r="A81" s="8" t="n"/>
      <c r="B81" s="8" t="n"/>
      <c r="C81" s="8" t="n"/>
      <c r="D81" s="8" t="n"/>
      <c r="E81" s="8" t="n"/>
      <c r="F81" s="9">
        <f>IF(OR(D81="",E81=""),"",ROUND((E81-D81)*24,2))</f>
        <v/>
      </c>
      <c r="G81" s="8" t="n"/>
      <c r="H81" s="8" t="n"/>
      <c r="I81" s="8" t="n"/>
      <c r="J81" s="8" t="n"/>
      <c r="K81" s="8" t="n"/>
      <c r="L81" s="8" t="n"/>
      <c r="M81" s="8" t="n"/>
      <c r="N81" s="8" t="n"/>
      <c r="O81" s="8" t="n"/>
      <c r="P81" s="9">
        <f>IF(O81="Successful","Success",IF(O81="Failed","Failure",IF(O81="Rolled Back","Rollback Required","Unknown")))</f>
        <v/>
      </c>
      <c r="Q81" s="8" t="n"/>
      <c r="R81" s="8" t="n"/>
      <c r="S81" s="8" t="n"/>
    </row>
    <row r="82">
      <c r="A82" s="8" t="n"/>
      <c r="B82" s="8" t="n"/>
      <c r="C82" s="8" t="n"/>
      <c r="D82" s="8" t="n"/>
      <c r="E82" s="8" t="n"/>
      <c r="F82" s="9">
        <f>IF(OR(D82="",E82=""),"",ROUND((E82-D82)*24,2))</f>
        <v/>
      </c>
      <c r="G82" s="8" t="n"/>
      <c r="H82" s="8" t="n"/>
      <c r="I82" s="8" t="n"/>
      <c r="J82" s="8" t="n"/>
      <c r="K82" s="8" t="n"/>
      <c r="L82" s="8" t="n"/>
      <c r="M82" s="8" t="n"/>
      <c r="N82" s="8" t="n"/>
      <c r="O82" s="8" t="n"/>
      <c r="P82" s="9">
        <f>IF(O82="Successful","Success",IF(O82="Failed","Failure",IF(O82="Rolled Back","Rollback Required","Unknown")))</f>
        <v/>
      </c>
      <c r="Q82" s="8" t="n"/>
      <c r="R82" s="8" t="n"/>
      <c r="S82" s="8" t="n"/>
    </row>
    <row r="83">
      <c r="A83" s="8" t="n"/>
      <c r="B83" s="8" t="n"/>
      <c r="C83" s="8" t="n"/>
      <c r="D83" s="8" t="n"/>
      <c r="E83" s="8" t="n"/>
      <c r="F83" s="9">
        <f>IF(OR(D83="",E83=""),"",ROUND((E83-D83)*24,2))</f>
        <v/>
      </c>
      <c r="G83" s="8" t="n"/>
      <c r="H83" s="8" t="n"/>
      <c r="I83" s="8" t="n"/>
      <c r="J83" s="8" t="n"/>
      <c r="K83" s="8" t="n"/>
      <c r="L83" s="8" t="n"/>
      <c r="M83" s="8" t="n"/>
      <c r="N83" s="8" t="n"/>
      <c r="O83" s="8" t="n"/>
      <c r="P83" s="9">
        <f>IF(O83="Successful","Success",IF(O83="Failed","Failure",IF(O83="Rolled Back","Rollback Required","Unknown")))</f>
        <v/>
      </c>
      <c r="Q83" s="8" t="n"/>
      <c r="R83" s="8" t="n"/>
      <c r="S83" s="8" t="n"/>
    </row>
    <row r="84">
      <c r="A84" s="8" t="n"/>
      <c r="B84" s="8" t="n"/>
      <c r="C84" s="8" t="n"/>
      <c r="D84" s="8" t="n"/>
      <c r="E84" s="8" t="n"/>
      <c r="F84" s="9">
        <f>IF(OR(D84="",E84=""),"",ROUND((E84-D84)*24,2))</f>
        <v/>
      </c>
      <c r="G84" s="8" t="n"/>
      <c r="H84" s="8" t="n"/>
      <c r="I84" s="8" t="n"/>
      <c r="J84" s="8" t="n"/>
      <c r="K84" s="8" t="n"/>
      <c r="L84" s="8" t="n"/>
      <c r="M84" s="8" t="n"/>
      <c r="N84" s="8" t="n"/>
      <c r="O84" s="8" t="n"/>
      <c r="P84" s="9">
        <f>IF(O84="Successful","Success",IF(O84="Failed","Failure",IF(O84="Rolled Back","Rollback Required","Unknown")))</f>
        <v/>
      </c>
      <c r="Q84" s="8" t="n"/>
      <c r="R84" s="8" t="n"/>
      <c r="S84" s="8" t="n"/>
    </row>
    <row r="85">
      <c r="A85" s="8" t="n"/>
      <c r="B85" s="8" t="n"/>
      <c r="C85" s="8" t="n"/>
      <c r="D85" s="8" t="n"/>
      <c r="E85" s="8" t="n"/>
      <c r="F85" s="9">
        <f>IF(OR(D85="",E85=""),"",ROUND((E85-D85)*24,2))</f>
        <v/>
      </c>
      <c r="G85" s="8" t="n"/>
      <c r="H85" s="8" t="n"/>
      <c r="I85" s="8" t="n"/>
      <c r="J85" s="8" t="n"/>
      <c r="K85" s="8" t="n"/>
      <c r="L85" s="8" t="n"/>
      <c r="M85" s="8" t="n"/>
      <c r="N85" s="8" t="n"/>
      <c r="O85" s="8" t="n"/>
      <c r="P85" s="9">
        <f>IF(O85="Successful","Success",IF(O85="Failed","Failure",IF(O85="Rolled Back","Rollback Required","Unknown")))</f>
        <v/>
      </c>
      <c r="Q85" s="8" t="n"/>
      <c r="R85" s="8" t="n"/>
      <c r="S85" s="8" t="n"/>
    </row>
    <row r="86">
      <c r="A86" s="8" t="n"/>
      <c r="B86" s="8" t="n"/>
      <c r="C86" s="8" t="n"/>
      <c r="D86" s="8" t="n"/>
      <c r="E86" s="8" t="n"/>
      <c r="F86" s="9">
        <f>IF(OR(D86="",E86=""),"",ROUND((E86-D86)*24,2))</f>
        <v/>
      </c>
      <c r="G86" s="8" t="n"/>
      <c r="H86" s="8" t="n"/>
      <c r="I86" s="8" t="n"/>
      <c r="J86" s="8" t="n"/>
      <c r="K86" s="8" t="n"/>
      <c r="L86" s="8" t="n"/>
      <c r="M86" s="8" t="n"/>
      <c r="N86" s="8" t="n"/>
      <c r="O86" s="8" t="n"/>
      <c r="P86" s="9">
        <f>IF(O86="Successful","Success",IF(O86="Failed","Failure",IF(O86="Rolled Back","Rollback Required","Unknown")))</f>
        <v/>
      </c>
      <c r="Q86" s="8" t="n"/>
      <c r="R86" s="8" t="n"/>
      <c r="S86" s="8" t="n"/>
    </row>
    <row r="87">
      <c r="A87" s="8" t="n"/>
      <c r="B87" s="8" t="n"/>
      <c r="C87" s="8" t="n"/>
      <c r="D87" s="8" t="n"/>
      <c r="E87" s="8" t="n"/>
      <c r="F87" s="9">
        <f>IF(OR(D87="",E87=""),"",ROUND((E87-D87)*24,2))</f>
        <v/>
      </c>
      <c r="G87" s="8" t="n"/>
      <c r="H87" s="8" t="n"/>
      <c r="I87" s="8" t="n"/>
      <c r="J87" s="8" t="n"/>
      <c r="K87" s="8" t="n"/>
      <c r="L87" s="8" t="n"/>
      <c r="M87" s="8" t="n"/>
      <c r="N87" s="8" t="n"/>
      <c r="O87" s="8" t="n"/>
      <c r="P87" s="9">
        <f>IF(O87="Successful","Success",IF(O87="Failed","Failure",IF(O87="Rolled Back","Rollback Required","Unknown")))</f>
        <v/>
      </c>
      <c r="Q87" s="8" t="n"/>
      <c r="R87" s="8" t="n"/>
      <c r="S87" s="8" t="n"/>
    </row>
    <row r="88">
      <c r="A88" s="8" t="n"/>
      <c r="B88" s="8" t="n"/>
      <c r="C88" s="8" t="n"/>
      <c r="D88" s="8" t="n"/>
      <c r="E88" s="8" t="n"/>
      <c r="F88" s="9">
        <f>IF(OR(D88="",E88=""),"",ROUND((E88-D88)*24,2))</f>
        <v/>
      </c>
      <c r="G88" s="8" t="n"/>
      <c r="H88" s="8" t="n"/>
      <c r="I88" s="8" t="n"/>
      <c r="J88" s="8" t="n"/>
      <c r="K88" s="8" t="n"/>
      <c r="L88" s="8" t="n"/>
      <c r="M88" s="8" t="n"/>
      <c r="N88" s="8" t="n"/>
      <c r="O88" s="8" t="n"/>
      <c r="P88" s="9">
        <f>IF(O88="Successful","Success",IF(O88="Failed","Failure",IF(O88="Rolled Back","Rollback Required","Unknown")))</f>
        <v/>
      </c>
      <c r="Q88" s="8" t="n"/>
      <c r="R88" s="8" t="n"/>
      <c r="S88" s="8" t="n"/>
    </row>
    <row r="89">
      <c r="A89" s="8" t="n"/>
      <c r="B89" s="8" t="n"/>
      <c r="C89" s="8" t="n"/>
      <c r="D89" s="8" t="n"/>
      <c r="E89" s="8" t="n"/>
      <c r="F89" s="9">
        <f>IF(OR(D89="",E89=""),"",ROUND((E89-D89)*24,2))</f>
        <v/>
      </c>
      <c r="G89" s="8" t="n"/>
      <c r="H89" s="8" t="n"/>
      <c r="I89" s="8" t="n"/>
      <c r="J89" s="8" t="n"/>
      <c r="K89" s="8" t="n"/>
      <c r="L89" s="8" t="n"/>
      <c r="M89" s="8" t="n"/>
      <c r="N89" s="8" t="n"/>
      <c r="O89" s="8" t="n"/>
      <c r="P89" s="9">
        <f>IF(O89="Successful","Success",IF(O89="Failed","Failure",IF(O89="Rolled Back","Rollback Required","Unknown")))</f>
        <v/>
      </c>
      <c r="Q89" s="8" t="n"/>
      <c r="R89" s="8" t="n"/>
      <c r="S89" s="8" t="n"/>
    </row>
    <row r="90">
      <c r="A90" s="8" t="n"/>
      <c r="B90" s="8" t="n"/>
      <c r="C90" s="8" t="n"/>
      <c r="D90" s="8" t="n"/>
      <c r="E90" s="8" t="n"/>
      <c r="F90" s="9">
        <f>IF(OR(D90="",E90=""),"",ROUND((E90-D90)*24,2))</f>
        <v/>
      </c>
      <c r="G90" s="8" t="n"/>
      <c r="H90" s="8" t="n"/>
      <c r="I90" s="8" t="n"/>
      <c r="J90" s="8" t="n"/>
      <c r="K90" s="8" t="n"/>
      <c r="L90" s="8" t="n"/>
      <c r="M90" s="8" t="n"/>
      <c r="N90" s="8" t="n"/>
      <c r="O90" s="8" t="n"/>
      <c r="P90" s="9">
        <f>IF(O90="Successful","Success",IF(O90="Failed","Failure",IF(O90="Rolled Back","Rollback Required","Unknown")))</f>
        <v/>
      </c>
      <c r="Q90" s="8" t="n"/>
      <c r="R90" s="8" t="n"/>
      <c r="S90" s="8" t="n"/>
    </row>
    <row r="91">
      <c r="A91" s="8" t="n"/>
      <c r="B91" s="8" t="n"/>
      <c r="C91" s="8" t="n"/>
      <c r="D91" s="8" t="n"/>
      <c r="E91" s="8" t="n"/>
      <c r="F91" s="9">
        <f>IF(OR(D91="",E91=""),"",ROUND((E91-D91)*24,2))</f>
        <v/>
      </c>
      <c r="G91" s="8" t="n"/>
      <c r="H91" s="8" t="n"/>
      <c r="I91" s="8" t="n"/>
      <c r="J91" s="8" t="n"/>
      <c r="K91" s="8" t="n"/>
      <c r="L91" s="8" t="n"/>
      <c r="M91" s="8" t="n"/>
      <c r="N91" s="8" t="n"/>
      <c r="O91" s="8" t="n"/>
      <c r="P91" s="9">
        <f>IF(O91="Successful","Success",IF(O91="Failed","Failure",IF(O91="Rolled Back","Rollback Required","Unknown")))</f>
        <v/>
      </c>
      <c r="Q91" s="8" t="n"/>
      <c r="R91" s="8" t="n"/>
      <c r="S91" s="8" t="n"/>
    </row>
    <row r="92">
      <c r="A92" s="8" t="n"/>
      <c r="B92" s="8" t="n"/>
      <c r="C92" s="8" t="n"/>
      <c r="D92" s="8" t="n"/>
      <c r="E92" s="8" t="n"/>
      <c r="F92" s="9">
        <f>IF(OR(D92="",E92=""),"",ROUND((E92-D92)*24,2))</f>
        <v/>
      </c>
      <c r="G92" s="8" t="n"/>
      <c r="H92" s="8" t="n"/>
      <c r="I92" s="8" t="n"/>
      <c r="J92" s="8" t="n"/>
      <c r="K92" s="8" t="n"/>
      <c r="L92" s="8" t="n"/>
      <c r="M92" s="8" t="n"/>
      <c r="N92" s="8" t="n"/>
      <c r="O92" s="8" t="n"/>
      <c r="P92" s="9">
        <f>IF(O92="Successful","Success",IF(O92="Failed","Failure",IF(O92="Rolled Back","Rollback Required","Unknown")))</f>
        <v/>
      </c>
      <c r="Q92" s="8" t="n"/>
      <c r="R92" s="8" t="n"/>
      <c r="S92" s="8" t="n"/>
    </row>
    <row r="93">
      <c r="A93" s="8" t="n"/>
      <c r="B93" s="8" t="n"/>
      <c r="C93" s="8" t="n"/>
      <c r="D93" s="8" t="n"/>
      <c r="E93" s="8" t="n"/>
      <c r="F93" s="9">
        <f>IF(OR(D93="",E93=""),"",ROUND((E93-D93)*24,2))</f>
        <v/>
      </c>
      <c r="G93" s="8" t="n"/>
      <c r="H93" s="8" t="n"/>
      <c r="I93" s="8" t="n"/>
      <c r="J93" s="8" t="n"/>
      <c r="K93" s="8" t="n"/>
      <c r="L93" s="8" t="n"/>
      <c r="M93" s="8" t="n"/>
      <c r="N93" s="8" t="n"/>
      <c r="O93" s="8" t="n"/>
      <c r="P93" s="9">
        <f>IF(O93="Successful","Success",IF(O93="Failed","Failure",IF(O93="Rolled Back","Rollback Required","Unknown")))</f>
        <v/>
      </c>
      <c r="Q93" s="8" t="n"/>
      <c r="R93" s="8" t="n"/>
      <c r="S93" s="8" t="n"/>
    </row>
    <row r="94">
      <c r="A94" s="8" t="n"/>
      <c r="B94" s="8" t="n"/>
      <c r="C94" s="8" t="n"/>
      <c r="D94" s="8" t="n"/>
      <c r="E94" s="8" t="n"/>
      <c r="F94" s="9">
        <f>IF(OR(D94="",E94=""),"",ROUND((E94-D94)*24,2))</f>
        <v/>
      </c>
      <c r="G94" s="8" t="n"/>
      <c r="H94" s="8" t="n"/>
      <c r="I94" s="8" t="n"/>
      <c r="J94" s="8" t="n"/>
      <c r="K94" s="8" t="n"/>
      <c r="L94" s="8" t="n"/>
      <c r="M94" s="8" t="n"/>
      <c r="N94" s="8" t="n"/>
      <c r="O94" s="8" t="n"/>
      <c r="P94" s="9">
        <f>IF(O94="Successful","Success",IF(O94="Failed","Failure",IF(O94="Rolled Back","Rollback Required","Unknown")))</f>
        <v/>
      </c>
      <c r="Q94" s="8" t="n"/>
      <c r="R94" s="8" t="n"/>
      <c r="S94" s="8" t="n"/>
    </row>
    <row r="95">
      <c r="A95" s="8" t="n"/>
      <c r="B95" s="8" t="n"/>
      <c r="C95" s="8" t="n"/>
      <c r="D95" s="8" t="n"/>
      <c r="E95" s="8" t="n"/>
      <c r="F95" s="9">
        <f>IF(OR(D95="",E95=""),"",ROUND((E95-D95)*24,2))</f>
        <v/>
      </c>
      <c r="G95" s="8" t="n"/>
      <c r="H95" s="8" t="n"/>
      <c r="I95" s="8" t="n"/>
      <c r="J95" s="8" t="n"/>
      <c r="K95" s="8" t="n"/>
      <c r="L95" s="8" t="n"/>
      <c r="M95" s="8" t="n"/>
      <c r="N95" s="8" t="n"/>
      <c r="O95" s="8" t="n"/>
      <c r="P95" s="9">
        <f>IF(O95="Successful","Success",IF(O95="Failed","Failure",IF(O95="Rolled Back","Rollback Required","Unknown")))</f>
        <v/>
      </c>
      <c r="Q95" s="8" t="n"/>
      <c r="R95" s="8" t="n"/>
      <c r="S95" s="8" t="n"/>
    </row>
    <row r="96">
      <c r="A96" s="8" t="n"/>
      <c r="B96" s="8" t="n"/>
      <c r="C96" s="8" t="n"/>
      <c r="D96" s="8" t="n"/>
      <c r="E96" s="8" t="n"/>
      <c r="F96" s="9">
        <f>IF(OR(D96="",E96=""),"",ROUND((E96-D96)*24,2))</f>
        <v/>
      </c>
      <c r="G96" s="8" t="n"/>
      <c r="H96" s="8" t="n"/>
      <c r="I96" s="8" t="n"/>
      <c r="J96" s="8" t="n"/>
      <c r="K96" s="8" t="n"/>
      <c r="L96" s="8" t="n"/>
      <c r="M96" s="8" t="n"/>
      <c r="N96" s="8" t="n"/>
      <c r="O96" s="8" t="n"/>
      <c r="P96" s="9">
        <f>IF(O96="Successful","Success",IF(O96="Failed","Failure",IF(O96="Rolled Back","Rollback Required","Unknown")))</f>
        <v/>
      </c>
      <c r="Q96" s="8" t="n"/>
      <c r="R96" s="8" t="n"/>
      <c r="S96" s="8" t="n"/>
    </row>
    <row r="97">
      <c r="A97" s="8" t="n"/>
      <c r="B97" s="8" t="n"/>
      <c r="C97" s="8" t="n"/>
      <c r="D97" s="8" t="n"/>
      <c r="E97" s="8" t="n"/>
      <c r="F97" s="9">
        <f>IF(OR(D97="",E97=""),"",ROUND((E97-D97)*24,2))</f>
        <v/>
      </c>
      <c r="G97" s="8" t="n"/>
      <c r="H97" s="8" t="n"/>
      <c r="I97" s="8" t="n"/>
      <c r="J97" s="8" t="n"/>
      <c r="K97" s="8" t="n"/>
      <c r="L97" s="8" t="n"/>
      <c r="M97" s="8" t="n"/>
      <c r="N97" s="8" t="n"/>
      <c r="O97" s="8" t="n"/>
      <c r="P97" s="9">
        <f>IF(O97="Successful","Success",IF(O97="Failed","Failure",IF(O97="Rolled Back","Rollback Required","Unknown")))</f>
        <v/>
      </c>
      <c r="Q97" s="8" t="n"/>
      <c r="R97" s="8" t="n"/>
      <c r="S97" s="8" t="n"/>
    </row>
    <row r="98">
      <c r="A98" s="8" t="n"/>
      <c r="B98" s="8" t="n"/>
      <c r="C98" s="8" t="n"/>
      <c r="D98" s="8" t="n"/>
      <c r="E98" s="8" t="n"/>
      <c r="F98" s="9">
        <f>IF(OR(D98="",E98=""),"",ROUND((E98-D98)*24,2))</f>
        <v/>
      </c>
      <c r="G98" s="8" t="n"/>
      <c r="H98" s="8" t="n"/>
      <c r="I98" s="8" t="n"/>
      <c r="J98" s="8" t="n"/>
      <c r="K98" s="8" t="n"/>
      <c r="L98" s="8" t="n"/>
      <c r="M98" s="8" t="n"/>
      <c r="N98" s="8" t="n"/>
      <c r="O98" s="8" t="n"/>
      <c r="P98" s="9">
        <f>IF(O98="Successful","Success",IF(O98="Failed","Failure",IF(O98="Rolled Back","Rollback Required","Unknown")))</f>
        <v/>
      </c>
      <c r="Q98" s="8" t="n"/>
      <c r="R98" s="8" t="n"/>
      <c r="S98" s="8" t="n"/>
    </row>
    <row r="99">
      <c r="A99" s="8" t="n"/>
      <c r="B99" s="8" t="n"/>
      <c r="C99" s="8" t="n"/>
      <c r="D99" s="8" t="n"/>
      <c r="E99" s="8" t="n"/>
      <c r="F99" s="9">
        <f>IF(OR(D99="",E99=""),"",ROUND((E99-D99)*24,2))</f>
        <v/>
      </c>
      <c r="G99" s="8" t="n"/>
      <c r="H99" s="8" t="n"/>
      <c r="I99" s="8" t="n"/>
      <c r="J99" s="8" t="n"/>
      <c r="K99" s="8" t="n"/>
      <c r="L99" s="8" t="n"/>
      <c r="M99" s="8" t="n"/>
      <c r="N99" s="8" t="n"/>
      <c r="O99" s="8" t="n"/>
      <c r="P99" s="9">
        <f>IF(O99="Successful","Success",IF(O99="Failed","Failure",IF(O99="Rolled Back","Rollback Required","Unknown")))</f>
        <v/>
      </c>
      <c r="Q99" s="8" t="n"/>
      <c r="R99" s="8" t="n"/>
      <c r="S99" s="8" t="n"/>
    </row>
    <row r="100">
      <c r="A100" s="8" t="n"/>
      <c r="B100" s="8" t="n"/>
      <c r="C100" s="8" t="n"/>
      <c r="D100" s="8" t="n"/>
      <c r="E100" s="8" t="n"/>
      <c r="F100" s="9">
        <f>IF(OR(D100="",E100=""),"",ROUND((E100-D100)*24,2))</f>
        <v/>
      </c>
      <c r="G100" s="8" t="n"/>
      <c r="H100" s="8" t="n"/>
      <c r="I100" s="8" t="n"/>
      <c r="J100" s="8" t="n"/>
      <c r="K100" s="8" t="n"/>
      <c r="L100" s="8" t="n"/>
      <c r="M100" s="8" t="n"/>
      <c r="N100" s="8" t="n"/>
      <c r="O100" s="8" t="n"/>
      <c r="P100" s="9">
        <f>IF(O100="Successful","Success",IF(O100="Failed","Failure",IF(O100="Rolled Back","Rollback Required","Unknown")))</f>
        <v/>
      </c>
      <c r="Q100" s="8" t="n"/>
      <c r="R100" s="8" t="n"/>
      <c r="S100" s="8" t="n"/>
    </row>
    <row r="101">
      <c r="A101" s="8" t="n"/>
      <c r="B101" s="8" t="n"/>
      <c r="C101" s="8" t="n"/>
      <c r="D101" s="8" t="n"/>
      <c r="E101" s="8" t="n"/>
      <c r="F101" s="9">
        <f>IF(OR(D101="",E101=""),"",ROUND((E101-D101)*24,2))</f>
        <v/>
      </c>
      <c r="G101" s="8" t="n"/>
      <c r="H101" s="8" t="n"/>
      <c r="I101" s="8" t="n"/>
      <c r="J101" s="8" t="n"/>
      <c r="K101" s="8" t="n"/>
      <c r="L101" s="8" t="n"/>
      <c r="M101" s="8" t="n"/>
      <c r="N101" s="8" t="n"/>
      <c r="O101" s="8" t="n"/>
      <c r="P101" s="9">
        <f>IF(O101="Successful","Success",IF(O101="Failed","Failure",IF(O101="Rolled Back","Rollback Required","Unknown")))</f>
        <v/>
      </c>
      <c r="Q101" s="8" t="n"/>
      <c r="R101" s="8" t="n"/>
      <c r="S101" s="8" t="n"/>
    </row>
    <row r="102">
      <c r="A102" s="8" t="n"/>
      <c r="B102" s="8" t="n"/>
      <c r="C102" s="8" t="n"/>
      <c r="D102" s="8" t="n"/>
      <c r="E102" s="8" t="n"/>
      <c r="F102" s="9">
        <f>IF(OR(D102="",E102=""),"",ROUND((E102-D102)*24,2))</f>
        <v/>
      </c>
      <c r="G102" s="8" t="n"/>
      <c r="H102" s="8" t="n"/>
      <c r="I102" s="8" t="n"/>
      <c r="J102" s="8" t="n"/>
      <c r="K102" s="8" t="n"/>
      <c r="L102" s="8" t="n"/>
      <c r="M102" s="8" t="n"/>
      <c r="N102" s="8" t="n"/>
      <c r="O102" s="8" t="n"/>
      <c r="P102" s="9">
        <f>IF(O102="Successful","Success",IF(O102="Failed","Failure",IF(O102="Rolled Back","Rollback Required","Unknown")))</f>
        <v/>
      </c>
      <c r="Q102" s="8" t="n"/>
      <c r="R102" s="8" t="n"/>
      <c r="S102" s="8" t="n"/>
    </row>
  </sheetData>
  <mergeCells count="1">
    <mergeCell ref="A1:S1"/>
  </mergeCells>
  <conditionalFormatting sqref="O3:O102">
    <cfRule type="cellIs" priority="1" operator="equal" dxfId="8">
      <formula>"Successful"</formula>
    </cfRule>
    <cfRule type="cellIs" priority="2" operator="equal" dxfId="2">
      <formula>"Failed"</formula>
    </cfRule>
  </conditionalFormatting>
  <conditionalFormatting sqref="Q3:Q102">
    <cfRule type="cellIs" priority="3" operator="equal" dxfId="5">
      <formula>"Yes"</formula>
    </cfRule>
  </conditionalFormatting>
  <dataValidations count="5">
    <dataValidation sqref="H3:H102" showDropDown="0" showInputMessage="0" showErrorMessage="0" allowBlank="0" errorTitle="Invalid Entry" error="Invalid entry" promptTitle="Selection Required" prompt="Please select from the dropdown" type="list">
      <formula1>"Manual,Automated Script,Semi-Automated,Assisted (Vendor)"</formula1>
    </dataValidation>
    <dataValidation sqref="K3:K102" showDropDown="0" showInputMessage="0" showErrorMessage="0" allowBlank="0" errorTitle="Invalid Entry" error="Invalid entry" promptTitle="Selection Required" prompt="Please select from the dropdown" type="list">
      <formula1>"✅ Successful,⚠️ Partial Success,❌ Failed,❓ Not Verified"</formula1>
    </dataValidation>
    <dataValidation sqref="N3:N102" showDropDown="0" showInputMessage="0" showErrorMessage="0" allowBlank="1" errorTitle="Invalid Entry" error="Invalid entry" promptTitle="Selection Required" prompt="Please select from the dropdown" type="list">
      <formula1>"Yes,No,Partially,N/A"</formula1>
    </dataValidation>
    <dataValidation sqref="O3:O102" showDropDown="0" showInputMessage="0" showErrorMessage="0" allowBlank="0" errorTitle="Invalid Entry" error="Invalid entry" promptTitle="Selection Required" prompt="Please select from the dropdown" type="list">
      <formula1>"✅ Successful,❌ Failed,🔄 Rolled Back,⏳ In Progress"</formula1>
    </dataValidation>
    <dataValidation sqref="Q3:Q102"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18" customWidth="1" min="4" max="4"/>
    <col width="40" customWidth="1" min="5" max="5"/>
    <col width="35" customWidth="1" min="6" max="6"/>
    <col width="20" customWidth="1" min="7" max="7"/>
    <col width="18" customWidth="1" min="8" max="8"/>
    <col width="15" customWidth="1" min="9" max="9"/>
    <col width="20" customWidth="1" min="10" max="10"/>
    <col width="35" customWidth="1" min="11" max="11"/>
    <col width="18" customWidth="1" min="12" max="12"/>
    <col width="15" customWidth="1" min="13" max="13"/>
    <col width="25" customWidth="1" min="14" max="14"/>
    <col width="20" customWidth="1" min="15" max="15"/>
    <col width="18" customWidth="1" min="16" max="16"/>
    <col width="35" customWidth="1" min="17" max="17"/>
  </cols>
  <sheetData>
    <row r="1" ht="30" customHeight="1">
      <c r="A1" s="6" t="inlineStr">
        <is>
          <t>Rollback Capability Assessment</t>
        </is>
      </c>
    </row>
    <row r="2" ht="30" customHeight="1">
      <c r="A2" s="7" t="inlineStr">
        <is>
          <t>Change ID</t>
        </is>
      </c>
      <c r="B2" s="7" t="inlineStr">
        <is>
          <t>Change Title</t>
        </is>
      </c>
      <c r="C2" s="7" t="inlineStr">
        <is>
          <t>Rollback Required</t>
        </is>
      </c>
      <c r="D2" s="7" t="inlineStr">
        <is>
          <t>Rollback Procedure Documented</t>
        </is>
      </c>
      <c r="E2" s="7" t="inlineStr">
        <is>
          <t>Rollback Document Location</t>
        </is>
      </c>
      <c r="F2" s="7" t="inlineStr">
        <is>
          <t>Rollback Trigger Criteria</t>
        </is>
      </c>
      <c r="G2" s="7" t="inlineStr">
        <is>
          <t>Estimated Rollback Time</t>
        </is>
      </c>
      <c r="H2" s="7" t="inlineStr">
        <is>
          <t>Rollback Tested</t>
        </is>
      </c>
      <c r="I2" s="7" t="inlineStr">
        <is>
          <t>Rollback Test Date</t>
        </is>
      </c>
      <c r="J2" s="7" t="inlineStr">
        <is>
          <t>Rollback Test Results</t>
        </is>
      </c>
      <c r="K2" s="7" t="inlineStr">
        <is>
          <t>Rollback Dependencies</t>
        </is>
      </c>
      <c r="L2" s="7" t="inlineStr">
        <is>
          <t>Data Loss Risk on Rollback</t>
        </is>
      </c>
      <c r="M2" s="7" t="inlineStr">
        <is>
          <t>Data Backup Verified</t>
        </is>
      </c>
      <c r="N2" s="7" t="inlineStr">
        <is>
          <t>Rollback Approval Required</t>
        </is>
      </c>
      <c r="O2" s="7" t="inlineStr">
        <is>
          <t>Rollback Owner</t>
        </is>
      </c>
      <c r="P2" s="7" t="inlineStr">
        <is>
          <t>Rollback Readiness</t>
        </is>
      </c>
      <c r="Q2" s="7" t="inlineStr">
        <is>
          <t>Notes</t>
        </is>
      </c>
    </row>
    <row r="3">
      <c r="A3" s="8" t="n"/>
      <c r="B3" s="8" t="n"/>
      <c r="C3" s="8" t="n"/>
      <c r="D3" s="8" t="n"/>
      <c r="E3" s="8" t="n"/>
      <c r="F3" s="8" t="n"/>
      <c r="G3" s="8" t="n"/>
      <c r="H3" s="8" t="n"/>
      <c r="I3" s="8" t="n"/>
      <c r="J3" s="8" t="n"/>
      <c r="K3" s="8" t="n"/>
      <c r="L3" s="8" t="n"/>
      <c r="M3" s="8" t="n"/>
      <c r="N3" s="8" t="n"/>
      <c r="O3" s="8" t="n"/>
      <c r="P3" s="9">
        <f>IF(C3="No","N/A",IF(AND(D3="Yes",H3="Yes",J3="Successful",M3="Yes"),"Ready",IF(AND(D3="Yes",OR(H3="No",J3="Not Tested")),"Not Ready","Partially Ready")))</f>
        <v/>
      </c>
      <c r="Q3" s="8" t="n"/>
    </row>
    <row r="4">
      <c r="A4" s="8" t="n"/>
      <c r="B4" s="8" t="n"/>
      <c r="C4" s="8" t="n"/>
      <c r="D4" s="8" t="n"/>
      <c r="E4" s="8" t="n"/>
      <c r="F4" s="8" t="n"/>
      <c r="G4" s="8" t="n"/>
      <c r="H4" s="8" t="n"/>
      <c r="I4" s="8" t="n"/>
      <c r="J4" s="8" t="n"/>
      <c r="K4" s="8" t="n"/>
      <c r="L4" s="8" t="n"/>
      <c r="M4" s="8" t="n"/>
      <c r="N4" s="8" t="n"/>
      <c r="O4" s="8" t="n"/>
      <c r="P4" s="9">
        <f>IF(C4="No","N/A",IF(AND(D4="Yes",H4="Yes",J4="Successful",M4="Yes"),"Ready",IF(AND(D4="Yes",OR(H4="No",J4="Not Tested")),"Not Ready","Partially Ready")))</f>
        <v/>
      </c>
      <c r="Q4" s="8" t="n"/>
    </row>
    <row r="5">
      <c r="A5" s="8" t="n"/>
      <c r="B5" s="8" t="n"/>
      <c r="C5" s="8" t="n"/>
      <c r="D5" s="8" t="n"/>
      <c r="E5" s="8" t="n"/>
      <c r="F5" s="8" t="n"/>
      <c r="G5" s="8" t="n"/>
      <c r="H5" s="8" t="n"/>
      <c r="I5" s="8" t="n"/>
      <c r="J5" s="8" t="n"/>
      <c r="K5" s="8" t="n"/>
      <c r="L5" s="8" t="n"/>
      <c r="M5" s="8" t="n"/>
      <c r="N5" s="8" t="n"/>
      <c r="O5" s="8" t="n"/>
      <c r="P5" s="9">
        <f>IF(C5="No","N/A",IF(AND(D5="Yes",H5="Yes",J5="Successful",M5="Yes"),"Ready",IF(AND(D5="Yes",OR(H5="No",J5="Not Tested")),"Not Ready","Partially Ready")))</f>
        <v/>
      </c>
      <c r="Q5" s="8" t="n"/>
    </row>
    <row r="6">
      <c r="A6" s="8" t="n"/>
      <c r="B6" s="8" t="n"/>
      <c r="C6" s="8" t="n"/>
      <c r="D6" s="8" t="n"/>
      <c r="E6" s="8" t="n"/>
      <c r="F6" s="8" t="n"/>
      <c r="G6" s="8" t="n"/>
      <c r="H6" s="8" t="n"/>
      <c r="I6" s="8" t="n"/>
      <c r="J6" s="8" t="n"/>
      <c r="K6" s="8" t="n"/>
      <c r="L6" s="8" t="n"/>
      <c r="M6" s="8" t="n"/>
      <c r="N6" s="8" t="n"/>
      <c r="O6" s="8" t="n"/>
      <c r="P6" s="9">
        <f>IF(C6="No","N/A",IF(AND(D6="Yes",H6="Yes",J6="Successful",M6="Yes"),"Ready",IF(AND(D6="Yes",OR(H6="No",J6="Not Tested")),"Not Ready","Partially Ready")))</f>
        <v/>
      </c>
      <c r="Q6" s="8" t="n"/>
    </row>
    <row r="7">
      <c r="A7" s="8" t="n"/>
      <c r="B7" s="8" t="n"/>
      <c r="C7" s="8" t="n"/>
      <c r="D7" s="8" t="n"/>
      <c r="E7" s="8" t="n"/>
      <c r="F7" s="8" t="n"/>
      <c r="G7" s="8" t="n"/>
      <c r="H7" s="8" t="n"/>
      <c r="I7" s="8" t="n"/>
      <c r="J7" s="8" t="n"/>
      <c r="K7" s="8" t="n"/>
      <c r="L7" s="8" t="n"/>
      <c r="M7" s="8" t="n"/>
      <c r="N7" s="8" t="n"/>
      <c r="O7" s="8" t="n"/>
      <c r="P7" s="9">
        <f>IF(C7="No","N/A",IF(AND(D7="Yes",H7="Yes",J7="Successful",M7="Yes"),"Ready",IF(AND(D7="Yes",OR(H7="No",J7="Not Tested")),"Not Ready","Partially Ready")))</f>
        <v/>
      </c>
      <c r="Q7" s="8" t="n"/>
    </row>
    <row r="8">
      <c r="A8" s="8" t="n"/>
      <c r="B8" s="8" t="n"/>
      <c r="C8" s="8" t="n"/>
      <c r="D8" s="8" t="n"/>
      <c r="E8" s="8" t="n"/>
      <c r="F8" s="8" t="n"/>
      <c r="G8" s="8" t="n"/>
      <c r="H8" s="8" t="n"/>
      <c r="I8" s="8" t="n"/>
      <c r="J8" s="8" t="n"/>
      <c r="K8" s="8" t="n"/>
      <c r="L8" s="8" t="n"/>
      <c r="M8" s="8" t="n"/>
      <c r="N8" s="8" t="n"/>
      <c r="O8" s="8" t="n"/>
      <c r="P8" s="9">
        <f>IF(C8="No","N/A",IF(AND(D8="Yes",H8="Yes",J8="Successful",M8="Yes"),"Ready",IF(AND(D8="Yes",OR(H8="No",J8="Not Tested")),"Not Ready","Partially Ready")))</f>
        <v/>
      </c>
      <c r="Q8" s="8" t="n"/>
    </row>
    <row r="9">
      <c r="A9" s="8" t="n"/>
      <c r="B9" s="8" t="n"/>
      <c r="C9" s="8" t="n"/>
      <c r="D9" s="8" t="n"/>
      <c r="E9" s="8" t="n"/>
      <c r="F9" s="8" t="n"/>
      <c r="G9" s="8" t="n"/>
      <c r="H9" s="8" t="n"/>
      <c r="I9" s="8" t="n"/>
      <c r="J9" s="8" t="n"/>
      <c r="K9" s="8" t="n"/>
      <c r="L9" s="8" t="n"/>
      <c r="M9" s="8" t="n"/>
      <c r="N9" s="8" t="n"/>
      <c r="O9" s="8" t="n"/>
      <c r="P9" s="9">
        <f>IF(C9="No","N/A",IF(AND(D9="Yes",H9="Yes",J9="Successful",M9="Yes"),"Ready",IF(AND(D9="Yes",OR(H9="No",J9="Not Tested")),"Not Ready","Partially Ready")))</f>
        <v/>
      </c>
      <c r="Q9" s="8" t="n"/>
    </row>
    <row r="10">
      <c r="A10" s="8" t="n"/>
      <c r="B10" s="8" t="n"/>
      <c r="C10" s="8" t="n"/>
      <c r="D10" s="8" t="n"/>
      <c r="E10" s="8" t="n"/>
      <c r="F10" s="8" t="n"/>
      <c r="G10" s="8" t="n"/>
      <c r="H10" s="8" t="n"/>
      <c r="I10" s="8" t="n"/>
      <c r="J10" s="8" t="n"/>
      <c r="K10" s="8" t="n"/>
      <c r="L10" s="8" t="n"/>
      <c r="M10" s="8" t="n"/>
      <c r="N10" s="8" t="n"/>
      <c r="O10" s="8" t="n"/>
      <c r="P10" s="9">
        <f>IF(C10="No","N/A",IF(AND(D10="Yes",H10="Yes",J10="Successful",M10="Yes"),"Ready",IF(AND(D10="Yes",OR(H10="No",J10="Not Tested")),"Not Ready","Partially Ready")))</f>
        <v/>
      </c>
      <c r="Q10" s="8" t="n"/>
    </row>
    <row r="11">
      <c r="A11" s="8" t="n"/>
      <c r="B11" s="8" t="n"/>
      <c r="C11" s="8" t="n"/>
      <c r="D11" s="8" t="n"/>
      <c r="E11" s="8" t="n"/>
      <c r="F11" s="8" t="n"/>
      <c r="G11" s="8" t="n"/>
      <c r="H11" s="8" t="n"/>
      <c r="I11" s="8" t="n"/>
      <c r="J11" s="8" t="n"/>
      <c r="K11" s="8" t="n"/>
      <c r="L11" s="8" t="n"/>
      <c r="M11" s="8" t="n"/>
      <c r="N11" s="8" t="n"/>
      <c r="O11" s="8" t="n"/>
      <c r="P11" s="9">
        <f>IF(C11="No","N/A",IF(AND(D11="Yes",H11="Yes",J11="Successful",M11="Yes"),"Ready",IF(AND(D11="Yes",OR(H11="No",J11="Not Tested")),"Not Ready","Partially Ready")))</f>
        <v/>
      </c>
      <c r="Q11" s="8" t="n"/>
    </row>
    <row r="12">
      <c r="A12" s="8" t="n"/>
      <c r="B12" s="8" t="n"/>
      <c r="C12" s="8" t="n"/>
      <c r="D12" s="8" t="n"/>
      <c r="E12" s="8" t="n"/>
      <c r="F12" s="8" t="n"/>
      <c r="G12" s="8" t="n"/>
      <c r="H12" s="8" t="n"/>
      <c r="I12" s="8" t="n"/>
      <c r="J12" s="8" t="n"/>
      <c r="K12" s="8" t="n"/>
      <c r="L12" s="8" t="n"/>
      <c r="M12" s="8" t="n"/>
      <c r="N12" s="8" t="n"/>
      <c r="O12" s="8" t="n"/>
      <c r="P12" s="9">
        <f>IF(C12="No","N/A",IF(AND(D12="Yes",H12="Yes",J12="Successful",M12="Yes"),"Ready",IF(AND(D12="Yes",OR(H12="No",J12="Not Tested")),"Not Ready","Partially Ready")))</f>
        <v/>
      </c>
      <c r="Q12" s="8" t="n"/>
    </row>
    <row r="13">
      <c r="A13" s="8" t="n"/>
      <c r="B13" s="8" t="n"/>
      <c r="C13" s="8" t="n"/>
      <c r="D13" s="8" t="n"/>
      <c r="E13" s="8" t="n"/>
      <c r="F13" s="8" t="n"/>
      <c r="G13" s="8" t="n"/>
      <c r="H13" s="8" t="n"/>
      <c r="I13" s="8" t="n"/>
      <c r="J13" s="8" t="n"/>
      <c r="K13" s="8" t="n"/>
      <c r="L13" s="8" t="n"/>
      <c r="M13" s="8" t="n"/>
      <c r="N13" s="8" t="n"/>
      <c r="O13" s="8" t="n"/>
      <c r="P13" s="9">
        <f>IF(C13="No","N/A",IF(AND(D13="Yes",H13="Yes",J13="Successful",M13="Yes"),"Ready",IF(AND(D13="Yes",OR(H13="No",J13="Not Tested")),"Not Ready","Partially Ready")))</f>
        <v/>
      </c>
      <c r="Q13" s="8" t="n"/>
    </row>
    <row r="14">
      <c r="A14" s="8" t="n"/>
      <c r="B14" s="8" t="n"/>
      <c r="C14" s="8" t="n"/>
      <c r="D14" s="8" t="n"/>
      <c r="E14" s="8" t="n"/>
      <c r="F14" s="8" t="n"/>
      <c r="G14" s="8" t="n"/>
      <c r="H14" s="8" t="n"/>
      <c r="I14" s="8" t="n"/>
      <c r="J14" s="8" t="n"/>
      <c r="K14" s="8" t="n"/>
      <c r="L14" s="8" t="n"/>
      <c r="M14" s="8" t="n"/>
      <c r="N14" s="8" t="n"/>
      <c r="O14" s="8" t="n"/>
      <c r="P14" s="9">
        <f>IF(C14="No","N/A",IF(AND(D14="Yes",H14="Yes",J14="Successful",M14="Yes"),"Ready",IF(AND(D14="Yes",OR(H14="No",J14="Not Tested")),"Not Ready","Partially Ready")))</f>
        <v/>
      </c>
      <c r="Q14" s="8" t="n"/>
    </row>
    <row r="15">
      <c r="A15" s="8" t="n"/>
      <c r="B15" s="8" t="n"/>
      <c r="C15" s="8" t="n"/>
      <c r="D15" s="8" t="n"/>
      <c r="E15" s="8" t="n"/>
      <c r="F15" s="8" t="n"/>
      <c r="G15" s="8" t="n"/>
      <c r="H15" s="8" t="n"/>
      <c r="I15" s="8" t="n"/>
      <c r="J15" s="8" t="n"/>
      <c r="K15" s="8" t="n"/>
      <c r="L15" s="8" t="n"/>
      <c r="M15" s="8" t="n"/>
      <c r="N15" s="8" t="n"/>
      <c r="O15" s="8" t="n"/>
      <c r="P15" s="9">
        <f>IF(C15="No","N/A",IF(AND(D15="Yes",H15="Yes",J15="Successful",M15="Yes"),"Ready",IF(AND(D15="Yes",OR(H15="No",J15="Not Tested")),"Not Ready","Partially Ready")))</f>
        <v/>
      </c>
      <c r="Q15" s="8" t="n"/>
    </row>
    <row r="16">
      <c r="A16" s="8" t="n"/>
      <c r="B16" s="8" t="n"/>
      <c r="C16" s="8" t="n"/>
      <c r="D16" s="8" t="n"/>
      <c r="E16" s="8" t="n"/>
      <c r="F16" s="8" t="n"/>
      <c r="G16" s="8" t="n"/>
      <c r="H16" s="8" t="n"/>
      <c r="I16" s="8" t="n"/>
      <c r="J16" s="8" t="n"/>
      <c r="K16" s="8" t="n"/>
      <c r="L16" s="8" t="n"/>
      <c r="M16" s="8" t="n"/>
      <c r="N16" s="8" t="n"/>
      <c r="O16" s="8" t="n"/>
      <c r="P16" s="9">
        <f>IF(C16="No","N/A",IF(AND(D16="Yes",H16="Yes",J16="Successful",M16="Yes"),"Ready",IF(AND(D16="Yes",OR(H16="No",J16="Not Tested")),"Not Ready","Partially Ready")))</f>
        <v/>
      </c>
      <c r="Q16" s="8" t="n"/>
    </row>
    <row r="17">
      <c r="A17" s="8" t="n"/>
      <c r="B17" s="8" t="n"/>
      <c r="C17" s="8" t="n"/>
      <c r="D17" s="8" t="n"/>
      <c r="E17" s="8" t="n"/>
      <c r="F17" s="8" t="n"/>
      <c r="G17" s="8" t="n"/>
      <c r="H17" s="8" t="n"/>
      <c r="I17" s="8" t="n"/>
      <c r="J17" s="8" t="n"/>
      <c r="K17" s="8" t="n"/>
      <c r="L17" s="8" t="n"/>
      <c r="M17" s="8" t="n"/>
      <c r="N17" s="8" t="n"/>
      <c r="O17" s="8" t="n"/>
      <c r="P17" s="9">
        <f>IF(C17="No","N/A",IF(AND(D17="Yes",H17="Yes",J17="Successful",M17="Yes"),"Ready",IF(AND(D17="Yes",OR(H17="No",J17="Not Tested")),"Not Ready","Partially Ready")))</f>
        <v/>
      </c>
      <c r="Q17" s="8" t="n"/>
    </row>
    <row r="18">
      <c r="A18" s="8" t="n"/>
      <c r="B18" s="8" t="n"/>
      <c r="C18" s="8" t="n"/>
      <c r="D18" s="8" t="n"/>
      <c r="E18" s="8" t="n"/>
      <c r="F18" s="8" t="n"/>
      <c r="G18" s="8" t="n"/>
      <c r="H18" s="8" t="n"/>
      <c r="I18" s="8" t="n"/>
      <c r="J18" s="8" t="n"/>
      <c r="K18" s="8" t="n"/>
      <c r="L18" s="8" t="n"/>
      <c r="M18" s="8" t="n"/>
      <c r="N18" s="8" t="n"/>
      <c r="O18" s="8" t="n"/>
      <c r="P18" s="9">
        <f>IF(C18="No","N/A",IF(AND(D18="Yes",H18="Yes",J18="Successful",M18="Yes"),"Ready",IF(AND(D18="Yes",OR(H18="No",J18="Not Tested")),"Not Ready","Partially Ready")))</f>
        <v/>
      </c>
      <c r="Q18" s="8" t="n"/>
    </row>
    <row r="19">
      <c r="A19" s="8" t="n"/>
      <c r="B19" s="8" t="n"/>
      <c r="C19" s="8" t="n"/>
      <c r="D19" s="8" t="n"/>
      <c r="E19" s="8" t="n"/>
      <c r="F19" s="8" t="n"/>
      <c r="G19" s="8" t="n"/>
      <c r="H19" s="8" t="n"/>
      <c r="I19" s="8" t="n"/>
      <c r="J19" s="8" t="n"/>
      <c r="K19" s="8" t="n"/>
      <c r="L19" s="8" t="n"/>
      <c r="M19" s="8" t="n"/>
      <c r="N19" s="8" t="n"/>
      <c r="O19" s="8" t="n"/>
      <c r="P19" s="9">
        <f>IF(C19="No","N/A",IF(AND(D19="Yes",H19="Yes",J19="Successful",M19="Yes"),"Ready",IF(AND(D19="Yes",OR(H19="No",J19="Not Tested")),"Not Ready","Partially Ready")))</f>
        <v/>
      </c>
      <c r="Q19" s="8" t="n"/>
    </row>
    <row r="20">
      <c r="A20" s="8" t="n"/>
      <c r="B20" s="8" t="n"/>
      <c r="C20" s="8" t="n"/>
      <c r="D20" s="8" t="n"/>
      <c r="E20" s="8" t="n"/>
      <c r="F20" s="8" t="n"/>
      <c r="G20" s="8" t="n"/>
      <c r="H20" s="8" t="n"/>
      <c r="I20" s="8" t="n"/>
      <c r="J20" s="8" t="n"/>
      <c r="K20" s="8" t="n"/>
      <c r="L20" s="8" t="n"/>
      <c r="M20" s="8" t="n"/>
      <c r="N20" s="8" t="n"/>
      <c r="O20" s="8" t="n"/>
      <c r="P20" s="9">
        <f>IF(C20="No","N/A",IF(AND(D20="Yes",H20="Yes",J20="Successful",M20="Yes"),"Ready",IF(AND(D20="Yes",OR(H20="No",J20="Not Tested")),"Not Ready","Partially Ready")))</f>
        <v/>
      </c>
      <c r="Q20" s="8" t="n"/>
    </row>
    <row r="21">
      <c r="A21" s="8" t="n"/>
      <c r="B21" s="8" t="n"/>
      <c r="C21" s="8" t="n"/>
      <c r="D21" s="8" t="n"/>
      <c r="E21" s="8" t="n"/>
      <c r="F21" s="8" t="n"/>
      <c r="G21" s="8" t="n"/>
      <c r="H21" s="8" t="n"/>
      <c r="I21" s="8" t="n"/>
      <c r="J21" s="8" t="n"/>
      <c r="K21" s="8" t="n"/>
      <c r="L21" s="8" t="n"/>
      <c r="M21" s="8" t="n"/>
      <c r="N21" s="8" t="n"/>
      <c r="O21" s="8" t="n"/>
      <c r="P21" s="9">
        <f>IF(C21="No","N/A",IF(AND(D21="Yes",H21="Yes",J21="Successful",M21="Yes"),"Ready",IF(AND(D21="Yes",OR(H21="No",J21="Not Tested")),"Not Ready","Partially Ready")))</f>
        <v/>
      </c>
      <c r="Q21" s="8" t="n"/>
    </row>
    <row r="22">
      <c r="A22" s="8" t="n"/>
      <c r="B22" s="8" t="n"/>
      <c r="C22" s="8" t="n"/>
      <c r="D22" s="8" t="n"/>
      <c r="E22" s="8" t="n"/>
      <c r="F22" s="8" t="n"/>
      <c r="G22" s="8" t="n"/>
      <c r="H22" s="8" t="n"/>
      <c r="I22" s="8" t="n"/>
      <c r="J22" s="8" t="n"/>
      <c r="K22" s="8" t="n"/>
      <c r="L22" s="8" t="n"/>
      <c r="M22" s="8" t="n"/>
      <c r="N22" s="8" t="n"/>
      <c r="O22" s="8" t="n"/>
      <c r="P22" s="9">
        <f>IF(C22="No","N/A",IF(AND(D22="Yes",H22="Yes",J22="Successful",M22="Yes"),"Ready",IF(AND(D22="Yes",OR(H22="No",J22="Not Tested")),"Not Ready","Partially Ready")))</f>
        <v/>
      </c>
      <c r="Q22" s="8" t="n"/>
    </row>
    <row r="23">
      <c r="A23" s="8" t="n"/>
      <c r="B23" s="8" t="n"/>
      <c r="C23" s="8" t="n"/>
      <c r="D23" s="8" t="n"/>
      <c r="E23" s="8" t="n"/>
      <c r="F23" s="8" t="n"/>
      <c r="G23" s="8" t="n"/>
      <c r="H23" s="8" t="n"/>
      <c r="I23" s="8" t="n"/>
      <c r="J23" s="8" t="n"/>
      <c r="K23" s="8" t="n"/>
      <c r="L23" s="8" t="n"/>
      <c r="M23" s="8" t="n"/>
      <c r="N23" s="8" t="n"/>
      <c r="O23" s="8" t="n"/>
      <c r="P23" s="9">
        <f>IF(C23="No","N/A",IF(AND(D23="Yes",H23="Yes",J23="Successful",M23="Yes"),"Ready",IF(AND(D23="Yes",OR(H23="No",J23="Not Tested")),"Not Ready","Partially Ready")))</f>
        <v/>
      </c>
      <c r="Q23" s="8" t="n"/>
    </row>
    <row r="24">
      <c r="A24" s="8" t="n"/>
      <c r="B24" s="8" t="n"/>
      <c r="C24" s="8" t="n"/>
      <c r="D24" s="8" t="n"/>
      <c r="E24" s="8" t="n"/>
      <c r="F24" s="8" t="n"/>
      <c r="G24" s="8" t="n"/>
      <c r="H24" s="8" t="n"/>
      <c r="I24" s="8" t="n"/>
      <c r="J24" s="8" t="n"/>
      <c r="K24" s="8" t="n"/>
      <c r="L24" s="8" t="n"/>
      <c r="M24" s="8" t="n"/>
      <c r="N24" s="8" t="n"/>
      <c r="O24" s="8" t="n"/>
      <c r="P24" s="9">
        <f>IF(C24="No","N/A",IF(AND(D24="Yes",H24="Yes",J24="Successful",M24="Yes"),"Ready",IF(AND(D24="Yes",OR(H24="No",J24="Not Tested")),"Not Ready","Partially Ready")))</f>
        <v/>
      </c>
      <c r="Q24" s="8" t="n"/>
    </row>
    <row r="25">
      <c r="A25" s="8" t="n"/>
      <c r="B25" s="8" t="n"/>
      <c r="C25" s="8" t="n"/>
      <c r="D25" s="8" t="n"/>
      <c r="E25" s="8" t="n"/>
      <c r="F25" s="8" t="n"/>
      <c r="G25" s="8" t="n"/>
      <c r="H25" s="8" t="n"/>
      <c r="I25" s="8" t="n"/>
      <c r="J25" s="8" t="n"/>
      <c r="K25" s="8" t="n"/>
      <c r="L25" s="8" t="n"/>
      <c r="M25" s="8" t="n"/>
      <c r="N25" s="8" t="n"/>
      <c r="O25" s="8" t="n"/>
      <c r="P25" s="9">
        <f>IF(C25="No","N/A",IF(AND(D25="Yes",H25="Yes",J25="Successful",M25="Yes"),"Ready",IF(AND(D25="Yes",OR(H25="No",J25="Not Tested")),"Not Ready","Partially Ready")))</f>
        <v/>
      </c>
      <c r="Q25" s="8" t="n"/>
    </row>
    <row r="26">
      <c r="A26" s="8" t="n"/>
      <c r="B26" s="8" t="n"/>
      <c r="C26" s="8" t="n"/>
      <c r="D26" s="8" t="n"/>
      <c r="E26" s="8" t="n"/>
      <c r="F26" s="8" t="n"/>
      <c r="G26" s="8" t="n"/>
      <c r="H26" s="8" t="n"/>
      <c r="I26" s="8" t="n"/>
      <c r="J26" s="8" t="n"/>
      <c r="K26" s="8" t="n"/>
      <c r="L26" s="8" t="n"/>
      <c r="M26" s="8" t="n"/>
      <c r="N26" s="8" t="n"/>
      <c r="O26" s="8" t="n"/>
      <c r="P26" s="9">
        <f>IF(C26="No","N/A",IF(AND(D26="Yes",H26="Yes",J26="Successful",M26="Yes"),"Ready",IF(AND(D26="Yes",OR(H26="No",J26="Not Tested")),"Not Ready","Partially Ready")))</f>
        <v/>
      </c>
      <c r="Q26" s="8" t="n"/>
    </row>
    <row r="27">
      <c r="A27" s="8" t="n"/>
      <c r="B27" s="8" t="n"/>
      <c r="C27" s="8" t="n"/>
      <c r="D27" s="8" t="n"/>
      <c r="E27" s="8" t="n"/>
      <c r="F27" s="8" t="n"/>
      <c r="G27" s="8" t="n"/>
      <c r="H27" s="8" t="n"/>
      <c r="I27" s="8" t="n"/>
      <c r="J27" s="8" t="n"/>
      <c r="K27" s="8" t="n"/>
      <c r="L27" s="8" t="n"/>
      <c r="M27" s="8" t="n"/>
      <c r="N27" s="8" t="n"/>
      <c r="O27" s="8" t="n"/>
      <c r="P27" s="9">
        <f>IF(C27="No","N/A",IF(AND(D27="Yes",H27="Yes",J27="Successful",M27="Yes"),"Ready",IF(AND(D27="Yes",OR(H27="No",J27="Not Tested")),"Not Ready","Partially Ready")))</f>
        <v/>
      </c>
      <c r="Q27" s="8" t="n"/>
    </row>
    <row r="28">
      <c r="A28" s="8" t="n"/>
      <c r="B28" s="8" t="n"/>
      <c r="C28" s="8" t="n"/>
      <c r="D28" s="8" t="n"/>
      <c r="E28" s="8" t="n"/>
      <c r="F28" s="8" t="n"/>
      <c r="G28" s="8" t="n"/>
      <c r="H28" s="8" t="n"/>
      <c r="I28" s="8" t="n"/>
      <c r="J28" s="8" t="n"/>
      <c r="K28" s="8" t="n"/>
      <c r="L28" s="8" t="n"/>
      <c r="M28" s="8" t="n"/>
      <c r="N28" s="8" t="n"/>
      <c r="O28" s="8" t="n"/>
      <c r="P28" s="9">
        <f>IF(C28="No","N/A",IF(AND(D28="Yes",H28="Yes",J28="Successful",M28="Yes"),"Ready",IF(AND(D28="Yes",OR(H28="No",J28="Not Tested")),"Not Ready","Partially Ready")))</f>
        <v/>
      </c>
      <c r="Q28" s="8" t="n"/>
    </row>
    <row r="29">
      <c r="A29" s="8" t="n"/>
      <c r="B29" s="8" t="n"/>
      <c r="C29" s="8" t="n"/>
      <c r="D29" s="8" t="n"/>
      <c r="E29" s="8" t="n"/>
      <c r="F29" s="8" t="n"/>
      <c r="G29" s="8" t="n"/>
      <c r="H29" s="8" t="n"/>
      <c r="I29" s="8" t="n"/>
      <c r="J29" s="8" t="n"/>
      <c r="K29" s="8" t="n"/>
      <c r="L29" s="8" t="n"/>
      <c r="M29" s="8" t="n"/>
      <c r="N29" s="8" t="n"/>
      <c r="O29" s="8" t="n"/>
      <c r="P29" s="9">
        <f>IF(C29="No","N/A",IF(AND(D29="Yes",H29="Yes",J29="Successful",M29="Yes"),"Ready",IF(AND(D29="Yes",OR(H29="No",J29="Not Tested")),"Not Ready","Partially Ready")))</f>
        <v/>
      </c>
      <c r="Q29" s="8" t="n"/>
    </row>
    <row r="30">
      <c r="A30" s="8" t="n"/>
      <c r="B30" s="8" t="n"/>
      <c r="C30" s="8" t="n"/>
      <c r="D30" s="8" t="n"/>
      <c r="E30" s="8" t="n"/>
      <c r="F30" s="8" t="n"/>
      <c r="G30" s="8" t="n"/>
      <c r="H30" s="8" t="n"/>
      <c r="I30" s="8" t="n"/>
      <c r="J30" s="8" t="n"/>
      <c r="K30" s="8" t="n"/>
      <c r="L30" s="8" t="n"/>
      <c r="M30" s="8" t="n"/>
      <c r="N30" s="8" t="n"/>
      <c r="O30" s="8" t="n"/>
      <c r="P30" s="9">
        <f>IF(C30="No","N/A",IF(AND(D30="Yes",H30="Yes",J30="Successful",M30="Yes"),"Ready",IF(AND(D30="Yes",OR(H30="No",J30="Not Tested")),"Not Ready","Partially Ready")))</f>
        <v/>
      </c>
      <c r="Q30" s="8" t="n"/>
    </row>
    <row r="31">
      <c r="A31" s="8" t="n"/>
      <c r="B31" s="8" t="n"/>
      <c r="C31" s="8" t="n"/>
      <c r="D31" s="8" t="n"/>
      <c r="E31" s="8" t="n"/>
      <c r="F31" s="8" t="n"/>
      <c r="G31" s="8" t="n"/>
      <c r="H31" s="8" t="n"/>
      <c r="I31" s="8" t="n"/>
      <c r="J31" s="8" t="n"/>
      <c r="K31" s="8" t="n"/>
      <c r="L31" s="8" t="n"/>
      <c r="M31" s="8" t="n"/>
      <c r="N31" s="8" t="n"/>
      <c r="O31" s="8" t="n"/>
      <c r="P31" s="9">
        <f>IF(C31="No","N/A",IF(AND(D31="Yes",H31="Yes",J31="Successful",M31="Yes"),"Ready",IF(AND(D31="Yes",OR(H31="No",J31="Not Tested")),"Not Ready","Partially Ready")))</f>
        <v/>
      </c>
      <c r="Q31" s="8" t="n"/>
    </row>
    <row r="32">
      <c r="A32" s="8" t="n"/>
      <c r="B32" s="8" t="n"/>
      <c r="C32" s="8" t="n"/>
      <c r="D32" s="8" t="n"/>
      <c r="E32" s="8" t="n"/>
      <c r="F32" s="8" t="n"/>
      <c r="G32" s="8" t="n"/>
      <c r="H32" s="8" t="n"/>
      <c r="I32" s="8" t="n"/>
      <c r="J32" s="8" t="n"/>
      <c r="K32" s="8" t="n"/>
      <c r="L32" s="8" t="n"/>
      <c r="M32" s="8" t="n"/>
      <c r="N32" s="8" t="n"/>
      <c r="O32" s="8" t="n"/>
      <c r="P32" s="9">
        <f>IF(C32="No","N/A",IF(AND(D32="Yes",H32="Yes",J32="Successful",M32="Yes"),"Ready",IF(AND(D32="Yes",OR(H32="No",J32="Not Tested")),"Not Ready","Partially Ready")))</f>
        <v/>
      </c>
      <c r="Q32" s="8" t="n"/>
    </row>
    <row r="33">
      <c r="A33" s="8" t="n"/>
      <c r="B33" s="8" t="n"/>
      <c r="C33" s="8" t="n"/>
      <c r="D33" s="8" t="n"/>
      <c r="E33" s="8" t="n"/>
      <c r="F33" s="8" t="n"/>
      <c r="G33" s="8" t="n"/>
      <c r="H33" s="8" t="n"/>
      <c r="I33" s="8" t="n"/>
      <c r="J33" s="8" t="n"/>
      <c r="K33" s="8" t="n"/>
      <c r="L33" s="8" t="n"/>
      <c r="M33" s="8" t="n"/>
      <c r="N33" s="8" t="n"/>
      <c r="O33" s="8" t="n"/>
      <c r="P33" s="9">
        <f>IF(C33="No","N/A",IF(AND(D33="Yes",H33="Yes",J33="Successful",M33="Yes"),"Ready",IF(AND(D33="Yes",OR(H33="No",J33="Not Tested")),"Not Ready","Partially Ready")))</f>
        <v/>
      </c>
      <c r="Q33" s="8" t="n"/>
    </row>
    <row r="34">
      <c r="A34" s="8" t="n"/>
      <c r="B34" s="8" t="n"/>
      <c r="C34" s="8" t="n"/>
      <c r="D34" s="8" t="n"/>
      <c r="E34" s="8" t="n"/>
      <c r="F34" s="8" t="n"/>
      <c r="G34" s="8" t="n"/>
      <c r="H34" s="8" t="n"/>
      <c r="I34" s="8" t="n"/>
      <c r="J34" s="8" t="n"/>
      <c r="K34" s="8" t="n"/>
      <c r="L34" s="8" t="n"/>
      <c r="M34" s="8" t="n"/>
      <c r="N34" s="8" t="n"/>
      <c r="O34" s="8" t="n"/>
      <c r="P34" s="9">
        <f>IF(C34="No","N/A",IF(AND(D34="Yes",H34="Yes",J34="Successful",M34="Yes"),"Ready",IF(AND(D34="Yes",OR(H34="No",J34="Not Tested")),"Not Ready","Partially Ready")))</f>
        <v/>
      </c>
      <c r="Q34" s="8" t="n"/>
    </row>
    <row r="35">
      <c r="A35" s="8" t="n"/>
      <c r="B35" s="8" t="n"/>
      <c r="C35" s="8" t="n"/>
      <c r="D35" s="8" t="n"/>
      <c r="E35" s="8" t="n"/>
      <c r="F35" s="8" t="n"/>
      <c r="G35" s="8" t="n"/>
      <c r="H35" s="8" t="n"/>
      <c r="I35" s="8" t="n"/>
      <c r="J35" s="8" t="n"/>
      <c r="K35" s="8" t="n"/>
      <c r="L35" s="8" t="n"/>
      <c r="M35" s="8" t="n"/>
      <c r="N35" s="8" t="n"/>
      <c r="O35" s="8" t="n"/>
      <c r="P35" s="9">
        <f>IF(C35="No","N/A",IF(AND(D35="Yes",H35="Yes",J35="Successful",M35="Yes"),"Ready",IF(AND(D35="Yes",OR(H35="No",J35="Not Tested")),"Not Ready","Partially Ready")))</f>
        <v/>
      </c>
      <c r="Q35" s="8" t="n"/>
    </row>
    <row r="36">
      <c r="A36" s="8" t="n"/>
      <c r="B36" s="8" t="n"/>
      <c r="C36" s="8" t="n"/>
      <c r="D36" s="8" t="n"/>
      <c r="E36" s="8" t="n"/>
      <c r="F36" s="8" t="n"/>
      <c r="G36" s="8" t="n"/>
      <c r="H36" s="8" t="n"/>
      <c r="I36" s="8" t="n"/>
      <c r="J36" s="8" t="n"/>
      <c r="K36" s="8" t="n"/>
      <c r="L36" s="8" t="n"/>
      <c r="M36" s="8" t="n"/>
      <c r="N36" s="8" t="n"/>
      <c r="O36" s="8" t="n"/>
      <c r="P36" s="9">
        <f>IF(C36="No","N/A",IF(AND(D36="Yes",H36="Yes",J36="Successful",M36="Yes"),"Ready",IF(AND(D36="Yes",OR(H36="No",J36="Not Tested")),"Not Ready","Partially Ready")))</f>
        <v/>
      </c>
      <c r="Q36" s="8" t="n"/>
    </row>
    <row r="37">
      <c r="A37" s="8" t="n"/>
      <c r="B37" s="8" t="n"/>
      <c r="C37" s="8" t="n"/>
      <c r="D37" s="8" t="n"/>
      <c r="E37" s="8" t="n"/>
      <c r="F37" s="8" t="n"/>
      <c r="G37" s="8" t="n"/>
      <c r="H37" s="8" t="n"/>
      <c r="I37" s="8" t="n"/>
      <c r="J37" s="8" t="n"/>
      <c r="K37" s="8" t="n"/>
      <c r="L37" s="8" t="n"/>
      <c r="M37" s="8" t="n"/>
      <c r="N37" s="8" t="n"/>
      <c r="O37" s="8" t="n"/>
      <c r="P37" s="9">
        <f>IF(C37="No","N/A",IF(AND(D37="Yes",H37="Yes",J37="Successful",M37="Yes"),"Ready",IF(AND(D37="Yes",OR(H37="No",J37="Not Tested")),"Not Ready","Partially Ready")))</f>
        <v/>
      </c>
      <c r="Q37" s="8" t="n"/>
    </row>
    <row r="38">
      <c r="A38" s="8" t="n"/>
      <c r="B38" s="8" t="n"/>
      <c r="C38" s="8" t="n"/>
      <c r="D38" s="8" t="n"/>
      <c r="E38" s="8" t="n"/>
      <c r="F38" s="8" t="n"/>
      <c r="G38" s="8" t="n"/>
      <c r="H38" s="8" t="n"/>
      <c r="I38" s="8" t="n"/>
      <c r="J38" s="8" t="n"/>
      <c r="K38" s="8" t="n"/>
      <c r="L38" s="8" t="n"/>
      <c r="M38" s="8" t="n"/>
      <c r="N38" s="8" t="n"/>
      <c r="O38" s="8" t="n"/>
      <c r="P38" s="9">
        <f>IF(C38="No","N/A",IF(AND(D38="Yes",H38="Yes",J38="Successful",M38="Yes"),"Ready",IF(AND(D38="Yes",OR(H38="No",J38="Not Tested")),"Not Ready","Partially Ready")))</f>
        <v/>
      </c>
      <c r="Q38" s="8" t="n"/>
    </row>
    <row r="39">
      <c r="A39" s="8" t="n"/>
      <c r="B39" s="8" t="n"/>
      <c r="C39" s="8" t="n"/>
      <c r="D39" s="8" t="n"/>
      <c r="E39" s="8" t="n"/>
      <c r="F39" s="8" t="n"/>
      <c r="G39" s="8" t="n"/>
      <c r="H39" s="8" t="n"/>
      <c r="I39" s="8" t="n"/>
      <c r="J39" s="8" t="n"/>
      <c r="K39" s="8" t="n"/>
      <c r="L39" s="8" t="n"/>
      <c r="M39" s="8" t="n"/>
      <c r="N39" s="8" t="n"/>
      <c r="O39" s="8" t="n"/>
      <c r="P39" s="9">
        <f>IF(C39="No","N/A",IF(AND(D39="Yes",H39="Yes",J39="Successful",M39="Yes"),"Ready",IF(AND(D39="Yes",OR(H39="No",J39="Not Tested")),"Not Ready","Partially Ready")))</f>
        <v/>
      </c>
      <c r="Q39" s="8" t="n"/>
    </row>
    <row r="40">
      <c r="A40" s="8" t="n"/>
      <c r="B40" s="8" t="n"/>
      <c r="C40" s="8" t="n"/>
      <c r="D40" s="8" t="n"/>
      <c r="E40" s="8" t="n"/>
      <c r="F40" s="8" t="n"/>
      <c r="G40" s="8" t="n"/>
      <c r="H40" s="8" t="n"/>
      <c r="I40" s="8" t="n"/>
      <c r="J40" s="8" t="n"/>
      <c r="K40" s="8" t="n"/>
      <c r="L40" s="8" t="n"/>
      <c r="M40" s="8" t="n"/>
      <c r="N40" s="8" t="n"/>
      <c r="O40" s="8" t="n"/>
      <c r="P40" s="9">
        <f>IF(C40="No","N/A",IF(AND(D40="Yes",H40="Yes",J40="Successful",M40="Yes"),"Ready",IF(AND(D40="Yes",OR(H40="No",J40="Not Tested")),"Not Ready","Partially Ready")))</f>
        <v/>
      </c>
      <c r="Q40" s="8" t="n"/>
    </row>
    <row r="41">
      <c r="A41" s="8" t="n"/>
      <c r="B41" s="8" t="n"/>
      <c r="C41" s="8" t="n"/>
      <c r="D41" s="8" t="n"/>
      <c r="E41" s="8" t="n"/>
      <c r="F41" s="8" t="n"/>
      <c r="G41" s="8" t="n"/>
      <c r="H41" s="8" t="n"/>
      <c r="I41" s="8" t="n"/>
      <c r="J41" s="8" t="n"/>
      <c r="K41" s="8" t="n"/>
      <c r="L41" s="8" t="n"/>
      <c r="M41" s="8" t="n"/>
      <c r="N41" s="8" t="n"/>
      <c r="O41" s="8" t="n"/>
      <c r="P41" s="9">
        <f>IF(C41="No","N/A",IF(AND(D41="Yes",H41="Yes",J41="Successful",M41="Yes"),"Ready",IF(AND(D41="Yes",OR(H41="No",J41="Not Tested")),"Not Ready","Partially Ready")))</f>
        <v/>
      </c>
      <c r="Q41" s="8" t="n"/>
    </row>
    <row r="42">
      <c r="A42" s="8" t="n"/>
      <c r="B42" s="8" t="n"/>
      <c r="C42" s="8" t="n"/>
      <c r="D42" s="8" t="n"/>
      <c r="E42" s="8" t="n"/>
      <c r="F42" s="8" t="n"/>
      <c r="G42" s="8" t="n"/>
      <c r="H42" s="8" t="n"/>
      <c r="I42" s="8" t="n"/>
      <c r="J42" s="8" t="n"/>
      <c r="K42" s="8" t="n"/>
      <c r="L42" s="8" t="n"/>
      <c r="M42" s="8" t="n"/>
      <c r="N42" s="8" t="n"/>
      <c r="O42" s="8" t="n"/>
      <c r="P42" s="9">
        <f>IF(C42="No","N/A",IF(AND(D42="Yes",H42="Yes",J42="Successful",M42="Yes"),"Ready",IF(AND(D42="Yes",OR(H42="No",J42="Not Tested")),"Not Ready","Partially Ready")))</f>
        <v/>
      </c>
      <c r="Q42" s="8" t="n"/>
    </row>
    <row r="43">
      <c r="A43" s="8" t="n"/>
      <c r="B43" s="8" t="n"/>
      <c r="C43" s="8" t="n"/>
      <c r="D43" s="8" t="n"/>
      <c r="E43" s="8" t="n"/>
      <c r="F43" s="8" t="n"/>
      <c r="G43" s="8" t="n"/>
      <c r="H43" s="8" t="n"/>
      <c r="I43" s="8" t="n"/>
      <c r="J43" s="8" t="n"/>
      <c r="K43" s="8" t="n"/>
      <c r="L43" s="8" t="n"/>
      <c r="M43" s="8" t="n"/>
      <c r="N43" s="8" t="n"/>
      <c r="O43" s="8" t="n"/>
      <c r="P43" s="9">
        <f>IF(C43="No","N/A",IF(AND(D43="Yes",H43="Yes",J43="Successful",M43="Yes"),"Ready",IF(AND(D43="Yes",OR(H43="No",J43="Not Tested")),"Not Ready","Partially Ready")))</f>
        <v/>
      </c>
      <c r="Q43" s="8" t="n"/>
    </row>
    <row r="44">
      <c r="A44" s="8" t="n"/>
      <c r="B44" s="8" t="n"/>
      <c r="C44" s="8" t="n"/>
      <c r="D44" s="8" t="n"/>
      <c r="E44" s="8" t="n"/>
      <c r="F44" s="8" t="n"/>
      <c r="G44" s="8" t="n"/>
      <c r="H44" s="8" t="n"/>
      <c r="I44" s="8" t="n"/>
      <c r="J44" s="8" t="n"/>
      <c r="K44" s="8" t="n"/>
      <c r="L44" s="8" t="n"/>
      <c r="M44" s="8" t="n"/>
      <c r="N44" s="8" t="n"/>
      <c r="O44" s="8" t="n"/>
      <c r="P44" s="9">
        <f>IF(C44="No","N/A",IF(AND(D44="Yes",H44="Yes",J44="Successful",M44="Yes"),"Ready",IF(AND(D44="Yes",OR(H44="No",J44="Not Tested")),"Not Ready","Partially Ready")))</f>
        <v/>
      </c>
      <c r="Q44" s="8" t="n"/>
    </row>
    <row r="45">
      <c r="A45" s="8" t="n"/>
      <c r="B45" s="8" t="n"/>
      <c r="C45" s="8" t="n"/>
      <c r="D45" s="8" t="n"/>
      <c r="E45" s="8" t="n"/>
      <c r="F45" s="8" t="n"/>
      <c r="G45" s="8" t="n"/>
      <c r="H45" s="8" t="n"/>
      <c r="I45" s="8" t="n"/>
      <c r="J45" s="8" t="n"/>
      <c r="K45" s="8" t="n"/>
      <c r="L45" s="8" t="n"/>
      <c r="M45" s="8" t="n"/>
      <c r="N45" s="8" t="n"/>
      <c r="O45" s="8" t="n"/>
      <c r="P45" s="9">
        <f>IF(C45="No","N/A",IF(AND(D45="Yes",H45="Yes",J45="Successful",M45="Yes"),"Ready",IF(AND(D45="Yes",OR(H45="No",J45="Not Tested")),"Not Ready","Partially Ready")))</f>
        <v/>
      </c>
      <c r="Q45" s="8" t="n"/>
    </row>
    <row r="46">
      <c r="A46" s="8" t="n"/>
      <c r="B46" s="8" t="n"/>
      <c r="C46" s="8" t="n"/>
      <c r="D46" s="8" t="n"/>
      <c r="E46" s="8" t="n"/>
      <c r="F46" s="8" t="n"/>
      <c r="G46" s="8" t="n"/>
      <c r="H46" s="8" t="n"/>
      <c r="I46" s="8" t="n"/>
      <c r="J46" s="8" t="n"/>
      <c r="K46" s="8" t="n"/>
      <c r="L46" s="8" t="n"/>
      <c r="M46" s="8" t="n"/>
      <c r="N46" s="8" t="n"/>
      <c r="O46" s="8" t="n"/>
      <c r="P46" s="9">
        <f>IF(C46="No","N/A",IF(AND(D46="Yes",H46="Yes",J46="Successful",M46="Yes"),"Ready",IF(AND(D46="Yes",OR(H46="No",J46="Not Tested")),"Not Ready","Partially Ready")))</f>
        <v/>
      </c>
      <c r="Q46" s="8" t="n"/>
    </row>
    <row r="47">
      <c r="A47" s="8" t="n"/>
      <c r="B47" s="8" t="n"/>
      <c r="C47" s="8" t="n"/>
      <c r="D47" s="8" t="n"/>
      <c r="E47" s="8" t="n"/>
      <c r="F47" s="8" t="n"/>
      <c r="G47" s="8" t="n"/>
      <c r="H47" s="8" t="n"/>
      <c r="I47" s="8" t="n"/>
      <c r="J47" s="8" t="n"/>
      <c r="K47" s="8" t="n"/>
      <c r="L47" s="8" t="n"/>
      <c r="M47" s="8" t="n"/>
      <c r="N47" s="8" t="n"/>
      <c r="O47" s="8" t="n"/>
      <c r="P47" s="9">
        <f>IF(C47="No","N/A",IF(AND(D47="Yes",H47="Yes",J47="Successful",M47="Yes"),"Ready",IF(AND(D47="Yes",OR(H47="No",J47="Not Tested")),"Not Ready","Partially Ready")))</f>
        <v/>
      </c>
      <c r="Q47" s="8" t="n"/>
    </row>
    <row r="48">
      <c r="A48" s="8" t="n"/>
      <c r="B48" s="8" t="n"/>
      <c r="C48" s="8" t="n"/>
      <c r="D48" s="8" t="n"/>
      <c r="E48" s="8" t="n"/>
      <c r="F48" s="8" t="n"/>
      <c r="G48" s="8" t="n"/>
      <c r="H48" s="8" t="n"/>
      <c r="I48" s="8" t="n"/>
      <c r="J48" s="8" t="n"/>
      <c r="K48" s="8" t="n"/>
      <c r="L48" s="8" t="n"/>
      <c r="M48" s="8" t="n"/>
      <c r="N48" s="8" t="n"/>
      <c r="O48" s="8" t="n"/>
      <c r="P48" s="9">
        <f>IF(C48="No","N/A",IF(AND(D48="Yes",H48="Yes",J48="Successful",M48="Yes"),"Ready",IF(AND(D48="Yes",OR(H48="No",J48="Not Tested")),"Not Ready","Partially Ready")))</f>
        <v/>
      </c>
      <c r="Q48" s="8" t="n"/>
    </row>
    <row r="49">
      <c r="A49" s="8" t="n"/>
      <c r="B49" s="8" t="n"/>
      <c r="C49" s="8" t="n"/>
      <c r="D49" s="8" t="n"/>
      <c r="E49" s="8" t="n"/>
      <c r="F49" s="8" t="n"/>
      <c r="G49" s="8" t="n"/>
      <c r="H49" s="8" t="n"/>
      <c r="I49" s="8" t="n"/>
      <c r="J49" s="8" t="n"/>
      <c r="K49" s="8" t="n"/>
      <c r="L49" s="8" t="n"/>
      <c r="M49" s="8" t="n"/>
      <c r="N49" s="8" t="n"/>
      <c r="O49" s="8" t="n"/>
      <c r="P49" s="9">
        <f>IF(C49="No","N/A",IF(AND(D49="Yes",H49="Yes",J49="Successful",M49="Yes"),"Ready",IF(AND(D49="Yes",OR(H49="No",J49="Not Tested")),"Not Ready","Partially Ready")))</f>
        <v/>
      </c>
      <c r="Q49" s="8" t="n"/>
    </row>
    <row r="50">
      <c r="A50" s="8" t="n"/>
      <c r="B50" s="8" t="n"/>
      <c r="C50" s="8" t="n"/>
      <c r="D50" s="8" t="n"/>
      <c r="E50" s="8" t="n"/>
      <c r="F50" s="8" t="n"/>
      <c r="G50" s="8" t="n"/>
      <c r="H50" s="8" t="n"/>
      <c r="I50" s="8" t="n"/>
      <c r="J50" s="8" t="n"/>
      <c r="K50" s="8" t="n"/>
      <c r="L50" s="8" t="n"/>
      <c r="M50" s="8" t="n"/>
      <c r="N50" s="8" t="n"/>
      <c r="O50" s="8" t="n"/>
      <c r="P50" s="9">
        <f>IF(C50="No","N/A",IF(AND(D50="Yes",H50="Yes",J50="Successful",M50="Yes"),"Ready",IF(AND(D50="Yes",OR(H50="No",J50="Not Tested")),"Not Ready","Partially Ready")))</f>
        <v/>
      </c>
      <c r="Q50" s="8" t="n"/>
    </row>
    <row r="51">
      <c r="A51" s="8" t="n"/>
      <c r="B51" s="8" t="n"/>
      <c r="C51" s="8" t="n"/>
      <c r="D51" s="8" t="n"/>
      <c r="E51" s="8" t="n"/>
      <c r="F51" s="8" t="n"/>
      <c r="G51" s="8" t="n"/>
      <c r="H51" s="8" t="n"/>
      <c r="I51" s="8" t="n"/>
      <c r="J51" s="8" t="n"/>
      <c r="K51" s="8" t="n"/>
      <c r="L51" s="8" t="n"/>
      <c r="M51" s="8" t="n"/>
      <c r="N51" s="8" t="n"/>
      <c r="O51" s="8" t="n"/>
      <c r="P51" s="9">
        <f>IF(C51="No","N/A",IF(AND(D51="Yes",H51="Yes",J51="Successful",M51="Yes"),"Ready",IF(AND(D51="Yes",OR(H51="No",J51="Not Tested")),"Not Ready","Partially Ready")))</f>
        <v/>
      </c>
      <c r="Q51" s="8" t="n"/>
    </row>
    <row r="52">
      <c r="A52" s="8" t="n"/>
      <c r="B52" s="8" t="n"/>
      <c r="C52" s="8" t="n"/>
      <c r="D52" s="8" t="n"/>
      <c r="E52" s="8" t="n"/>
      <c r="F52" s="8" t="n"/>
      <c r="G52" s="8" t="n"/>
      <c r="H52" s="8" t="n"/>
      <c r="I52" s="8" t="n"/>
      <c r="J52" s="8" t="n"/>
      <c r="K52" s="8" t="n"/>
      <c r="L52" s="8" t="n"/>
      <c r="M52" s="8" t="n"/>
      <c r="N52" s="8" t="n"/>
      <c r="O52" s="8" t="n"/>
      <c r="P52" s="9">
        <f>IF(C52="No","N/A",IF(AND(D52="Yes",H52="Yes",J52="Successful",M52="Yes"),"Ready",IF(AND(D52="Yes",OR(H52="No",J52="Not Tested")),"Not Ready","Partially Ready")))</f>
        <v/>
      </c>
      <c r="Q52" s="8" t="n"/>
    </row>
    <row r="53">
      <c r="A53" s="8" t="n"/>
      <c r="B53" s="8" t="n"/>
      <c r="C53" s="8" t="n"/>
      <c r="D53" s="8" t="n"/>
      <c r="E53" s="8" t="n"/>
      <c r="F53" s="8" t="n"/>
      <c r="G53" s="8" t="n"/>
      <c r="H53" s="8" t="n"/>
      <c r="I53" s="8" t="n"/>
      <c r="J53" s="8" t="n"/>
      <c r="K53" s="8" t="n"/>
      <c r="L53" s="8" t="n"/>
      <c r="M53" s="8" t="n"/>
      <c r="N53" s="8" t="n"/>
      <c r="O53" s="8" t="n"/>
      <c r="P53" s="9">
        <f>IF(C53="No","N/A",IF(AND(D53="Yes",H53="Yes",J53="Successful",M53="Yes"),"Ready",IF(AND(D53="Yes",OR(H53="No",J53="Not Tested")),"Not Ready","Partially Ready")))</f>
        <v/>
      </c>
      <c r="Q53" s="8" t="n"/>
    </row>
    <row r="54">
      <c r="A54" s="8" t="n"/>
      <c r="B54" s="8" t="n"/>
      <c r="C54" s="8" t="n"/>
      <c r="D54" s="8" t="n"/>
      <c r="E54" s="8" t="n"/>
      <c r="F54" s="8" t="n"/>
      <c r="G54" s="8" t="n"/>
      <c r="H54" s="8" t="n"/>
      <c r="I54" s="8" t="n"/>
      <c r="J54" s="8" t="n"/>
      <c r="K54" s="8" t="n"/>
      <c r="L54" s="8" t="n"/>
      <c r="M54" s="8" t="n"/>
      <c r="N54" s="8" t="n"/>
      <c r="O54" s="8" t="n"/>
      <c r="P54" s="9">
        <f>IF(C54="No","N/A",IF(AND(D54="Yes",H54="Yes",J54="Successful",M54="Yes"),"Ready",IF(AND(D54="Yes",OR(H54="No",J54="Not Tested")),"Not Ready","Partially Ready")))</f>
        <v/>
      </c>
      <c r="Q54" s="8" t="n"/>
    </row>
    <row r="55">
      <c r="A55" s="8" t="n"/>
      <c r="B55" s="8" t="n"/>
      <c r="C55" s="8" t="n"/>
      <c r="D55" s="8" t="n"/>
      <c r="E55" s="8" t="n"/>
      <c r="F55" s="8" t="n"/>
      <c r="G55" s="8" t="n"/>
      <c r="H55" s="8" t="n"/>
      <c r="I55" s="8" t="n"/>
      <c r="J55" s="8" t="n"/>
      <c r="K55" s="8" t="n"/>
      <c r="L55" s="8" t="n"/>
      <c r="M55" s="8" t="n"/>
      <c r="N55" s="8" t="n"/>
      <c r="O55" s="8" t="n"/>
      <c r="P55" s="9">
        <f>IF(C55="No","N/A",IF(AND(D55="Yes",H55="Yes",J55="Successful",M55="Yes"),"Ready",IF(AND(D55="Yes",OR(H55="No",J55="Not Tested")),"Not Ready","Partially Ready")))</f>
        <v/>
      </c>
      <c r="Q55" s="8" t="n"/>
    </row>
    <row r="56">
      <c r="A56" s="8" t="n"/>
      <c r="B56" s="8" t="n"/>
      <c r="C56" s="8" t="n"/>
      <c r="D56" s="8" t="n"/>
      <c r="E56" s="8" t="n"/>
      <c r="F56" s="8" t="n"/>
      <c r="G56" s="8" t="n"/>
      <c r="H56" s="8" t="n"/>
      <c r="I56" s="8" t="n"/>
      <c r="J56" s="8" t="n"/>
      <c r="K56" s="8" t="n"/>
      <c r="L56" s="8" t="n"/>
      <c r="M56" s="8" t="n"/>
      <c r="N56" s="8" t="n"/>
      <c r="O56" s="8" t="n"/>
      <c r="P56" s="9">
        <f>IF(C56="No","N/A",IF(AND(D56="Yes",H56="Yes",J56="Successful",M56="Yes"),"Ready",IF(AND(D56="Yes",OR(H56="No",J56="Not Tested")),"Not Ready","Partially Ready")))</f>
        <v/>
      </c>
      <c r="Q56" s="8" t="n"/>
    </row>
    <row r="57">
      <c r="A57" s="8" t="n"/>
      <c r="B57" s="8" t="n"/>
      <c r="C57" s="8" t="n"/>
      <c r="D57" s="8" t="n"/>
      <c r="E57" s="8" t="n"/>
      <c r="F57" s="8" t="n"/>
      <c r="G57" s="8" t="n"/>
      <c r="H57" s="8" t="n"/>
      <c r="I57" s="8" t="n"/>
      <c r="J57" s="8" t="n"/>
      <c r="K57" s="8" t="n"/>
      <c r="L57" s="8" t="n"/>
      <c r="M57" s="8" t="n"/>
      <c r="N57" s="8" t="n"/>
      <c r="O57" s="8" t="n"/>
      <c r="P57" s="9">
        <f>IF(C57="No","N/A",IF(AND(D57="Yes",H57="Yes",J57="Successful",M57="Yes"),"Ready",IF(AND(D57="Yes",OR(H57="No",J57="Not Tested")),"Not Ready","Partially Ready")))</f>
        <v/>
      </c>
      <c r="Q57" s="8" t="n"/>
    </row>
    <row r="58">
      <c r="A58" s="8" t="n"/>
      <c r="B58" s="8" t="n"/>
      <c r="C58" s="8" t="n"/>
      <c r="D58" s="8" t="n"/>
      <c r="E58" s="8" t="n"/>
      <c r="F58" s="8" t="n"/>
      <c r="G58" s="8" t="n"/>
      <c r="H58" s="8" t="n"/>
      <c r="I58" s="8" t="n"/>
      <c r="J58" s="8" t="n"/>
      <c r="K58" s="8" t="n"/>
      <c r="L58" s="8" t="n"/>
      <c r="M58" s="8" t="n"/>
      <c r="N58" s="8" t="n"/>
      <c r="O58" s="8" t="n"/>
      <c r="P58" s="9">
        <f>IF(C58="No","N/A",IF(AND(D58="Yes",H58="Yes",J58="Successful",M58="Yes"),"Ready",IF(AND(D58="Yes",OR(H58="No",J58="Not Tested")),"Not Ready","Partially Ready")))</f>
        <v/>
      </c>
      <c r="Q58" s="8" t="n"/>
    </row>
    <row r="59">
      <c r="A59" s="8" t="n"/>
      <c r="B59" s="8" t="n"/>
      <c r="C59" s="8" t="n"/>
      <c r="D59" s="8" t="n"/>
      <c r="E59" s="8" t="n"/>
      <c r="F59" s="8" t="n"/>
      <c r="G59" s="8" t="n"/>
      <c r="H59" s="8" t="n"/>
      <c r="I59" s="8" t="n"/>
      <c r="J59" s="8" t="n"/>
      <c r="K59" s="8" t="n"/>
      <c r="L59" s="8" t="n"/>
      <c r="M59" s="8" t="n"/>
      <c r="N59" s="8" t="n"/>
      <c r="O59" s="8" t="n"/>
      <c r="P59" s="9">
        <f>IF(C59="No","N/A",IF(AND(D59="Yes",H59="Yes",J59="Successful",M59="Yes"),"Ready",IF(AND(D59="Yes",OR(H59="No",J59="Not Tested")),"Not Ready","Partially Ready")))</f>
        <v/>
      </c>
      <c r="Q59" s="8" t="n"/>
    </row>
    <row r="60">
      <c r="A60" s="8" t="n"/>
      <c r="B60" s="8" t="n"/>
      <c r="C60" s="8" t="n"/>
      <c r="D60" s="8" t="n"/>
      <c r="E60" s="8" t="n"/>
      <c r="F60" s="8" t="n"/>
      <c r="G60" s="8" t="n"/>
      <c r="H60" s="8" t="n"/>
      <c r="I60" s="8" t="n"/>
      <c r="J60" s="8" t="n"/>
      <c r="K60" s="8" t="n"/>
      <c r="L60" s="8" t="n"/>
      <c r="M60" s="8" t="n"/>
      <c r="N60" s="8" t="n"/>
      <c r="O60" s="8" t="n"/>
      <c r="P60" s="9">
        <f>IF(C60="No","N/A",IF(AND(D60="Yes",H60="Yes",J60="Successful",M60="Yes"),"Ready",IF(AND(D60="Yes",OR(H60="No",J60="Not Tested")),"Not Ready","Partially Ready")))</f>
        <v/>
      </c>
      <c r="Q60" s="8" t="n"/>
    </row>
    <row r="61">
      <c r="A61" s="8" t="n"/>
      <c r="B61" s="8" t="n"/>
      <c r="C61" s="8" t="n"/>
      <c r="D61" s="8" t="n"/>
      <c r="E61" s="8" t="n"/>
      <c r="F61" s="8" t="n"/>
      <c r="G61" s="8" t="n"/>
      <c r="H61" s="8" t="n"/>
      <c r="I61" s="8" t="n"/>
      <c r="J61" s="8" t="n"/>
      <c r="K61" s="8" t="n"/>
      <c r="L61" s="8" t="n"/>
      <c r="M61" s="8" t="n"/>
      <c r="N61" s="8" t="n"/>
      <c r="O61" s="8" t="n"/>
      <c r="P61" s="9">
        <f>IF(C61="No","N/A",IF(AND(D61="Yes",H61="Yes",J61="Successful",M61="Yes"),"Ready",IF(AND(D61="Yes",OR(H61="No",J61="Not Tested")),"Not Ready","Partially Ready")))</f>
        <v/>
      </c>
      <c r="Q61" s="8" t="n"/>
    </row>
    <row r="62">
      <c r="A62" s="8" t="n"/>
      <c r="B62" s="8" t="n"/>
      <c r="C62" s="8" t="n"/>
      <c r="D62" s="8" t="n"/>
      <c r="E62" s="8" t="n"/>
      <c r="F62" s="8" t="n"/>
      <c r="G62" s="8" t="n"/>
      <c r="H62" s="8" t="n"/>
      <c r="I62" s="8" t="n"/>
      <c r="J62" s="8" t="n"/>
      <c r="K62" s="8" t="n"/>
      <c r="L62" s="8" t="n"/>
      <c r="M62" s="8" t="n"/>
      <c r="N62" s="8" t="n"/>
      <c r="O62" s="8" t="n"/>
      <c r="P62" s="9">
        <f>IF(C62="No","N/A",IF(AND(D62="Yes",H62="Yes",J62="Successful",M62="Yes"),"Ready",IF(AND(D62="Yes",OR(H62="No",J62="Not Tested")),"Not Ready","Partially Ready")))</f>
        <v/>
      </c>
      <c r="Q62" s="8" t="n"/>
    </row>
    <row r="63">
      <c r="A63" s="8" t="n"/>
      <c r="B63" s="8" t="n"/>
      <c r="C63" s="8" t="n"/>
      <c r="D63" s="8" t="n"/>
      <c r="E63" s="8" t="n"/>
      <c r="F63" s="8" t="n"/>
      <c r="G63" s="8" t="n"/>
      <c r="H63" s="8" t="n"/>
      <c r="I63" s="8" t="n"/>
      <c r="J63" s="8" t="n"/>
      <c r="K63" s="8" t="n"/>
      <c r="L63" s="8" t="n"/>
      <c r="M63" s="8" t="n"/>
      <c r="N63" s="8" t="n"/>
      <c r="O63" s="8" t="n"/>
      <c r="P63" s="9">
        <f>IF(C63="No","N/A",IF(AND(D63="Yes",H63="Yes",J63="Successful",M63="Yes"),"Ready",IF(AND(D63="Yes",OR(H63="No",J63="Not Tested")),"Not Ready","Partially Ready")))</f>
        <v/>
      </c>
      <c r="Q63" s="8" t="n"/>
    </row>
    <row r="64">
      <c r="A64" s="8" t="n"/>
      <c r="B64" s="8" t="n"/>
      <c r="C64" s="8" t="n"/>
      <c r="D64" s="8" t="n"/>
      <c r="E64" s="8" t="n"/>
      <c r="F64" s="8" t="n"/>
      <c r="G64" s="8" t="n"/>
      <c r="H64" s="8" t="n"/>
      <c r="I64" s="8" t="n"/>
      <c r="J64" s="8" t="n"/>
      <c r="K64" s="8" t="n"/>
      <c r="L64" s="8" t="n"/>
      <c r="M64" s="8" t="n"/>
      <c r="N64" s="8" t="n"/>
      <c r="O64" s="8" t="n"/>
      <c r="P64" s="9">
        <f>IF(C64="No","N/A",IF(AND(D64="Yes",H64="Yes",J64="Successful",M64="Yes"),"Ready",IF(AND(D64="Yes",OR(H64="No",J64="Not Tested")),"Not Ready","Partially Ready")))</f>
        <v/>
      </c>
      <c r="Q64" s="8" t="n"/>
    </row>
    <row r="65">
      <c r="A65" s="8" t="n"/>
      <c r="B65" s="8" t="n"/>
      <c r="C65" s="8" t="n"/>
      <c r="D65" s="8" t="n"/>
      <c r="E65" s="8" t="n"/>
      <c r="F65" s="8" t="n"/>
      <c r="G65" s="8" t="n"/>
      <c r="H65" s="8" t="n"/>
      <c r="I65" s="8" t="n"/>
      <c r="J65" s="8" t="n"/>
      <c r="K65" s="8" t="n"/>
      <c r="L65" s="8" t="n"/>
      <c r="M65" s="8" t="n"/>
      <c r="N65" s="8" t="n"/>
      <c r="O65" s="8" t="n"/>
      <c r="P65" s="9">
        <f>IF(C65="No","N/A",IF(AND(D65="Yes",H65="Yes",J65="Successful",M65="Yes"),"Ready",IF(AND(D65="Yes",OR(H65="No",J65="Not Tested")),"Not Ready","Partially Ready")))</f>
        <v/>
      </c>
      <c r="Q65" s="8" t="n"/>
    </row>
    <row r="66">
      <c r="A66" s="8" t="n"/>
      <c r="B66" s="8" t="n"/>
      <c r="C66" s="8" t="n"/>
      <c r="D66" s="8" t="n"/>
      <c r="E66" s="8" t="n"/>
      <c r="F66" s="8" t="n"/>
      <c r="G66" s="8" t="n"/>
      <c r="H66" s="8" t="n"/>
      <c r="I66" s="8" t="n"/>
      <c r="J66" s="8" t="n"/>
      <c r="K66" s="8" t="n"/>
      <c r="L66" s="8" t="n"/>
      <c r="M66" s="8" t="n"/>
      <c r="N66" s="8" t="n"/>
      <c r="O66" s="8" t="n"/>
      <c r="P66" s="9">
        <f>IF(C66="No","N/A",IF(AND(D66="Yes",H66="Yes",J66="Successful",M66="Yes"),"Ready",IF(AND(D66="Yes",OR(H66="No",J66="Not Tested")),"Not Ready","Partially Ready")))</f>
        <v/>
      </c>
      <c r="Q66" s="8" t="n"/>
    </row>
    <row r="67">
      <c r="A67" s="8" t="n"/>
      <c r="B67" s="8" t="n"/>
      <c r="C67" s="8" t="n"/>
      <c r="D67" s="8" t="n"/>
      <c r="E67" s="8" t="n"/>
      <c r="F67" s="8" t="n"/>
      <c r="G67" s="8" t="n"/>
      <c r="H67" s="8" t="n"/>
      <c r="I67" s="8" t="n"/>
      <c r="J67" s="8" t="n"/>
      <c r="K67" s="8" t="n"/>
      <c r="L67" s="8" t="n"/>
      <c r="M67" s="8" t="n"/>
      <c r="N67" s="8" t="n"/>
      <c r="O67" s="8" t="n"/>
      <c r="P67" s="9">
        <f>IF(C67="No","N/A",IF(AND(D67="Yes",H67="Yes",J67="Successful",M67="Yes"),"Ready",IF(AND(D67="Yes",OR(H67="No",J67="Not Tested")),"Not Ready","Partially Ready")))</f>
        <v/>
      </c>
      <c r="Q67" s="8" t="n"/>
    </row>
    <row r="68">
      <c r="A68" s="8" t="n"/>
      <c r="B68" s="8" t="n"/>
      <c r="C68" s="8" t="n"/>
      <c r="D68" s="8" t="n"/>
      <c r="E68" s="8" t="n"/>
      <c r="F68" s="8" t="n"/>
      <c r="G68" s="8" t="n"/>
      <c r="H68" s="8" t="n"/>
      <c r="I68" s="8" t="n"/>
      <c r="J68" s="8" t="n"/>
      <c r="K68" s="8" t="n"/>
      <c r="L68" s="8" t="n"/>
      <c r="M68" s="8" t="n"/>
      <c r="N68" s="8" t="n"/>
      <c r="O68" s="8" t="n"/>
      <c r="P68" s="9">
        <f>IF(C68="No","N/A",IF(AND(D68="Yes",H68="Yes",J68="Successful",M68="Yes"),"Ready",IF(AND(D68="Yes",OR(H68="No",J68="Not Tested")),"Not Ready","Partially Ready")))</f>
        <v/>
      </c>
      <c r="Q68" s="8" t="n"/>
    </row>
    <row r="69">
      <c r="A69" s="8" t="n"/>
      <c r="B69" s="8" t="n"/>
      <c r="C69" s="8" t="n"/>
      <c r="D69" s="8" t="n"/>
      <c r="E69" s="8" t="n"/>
      <c r="F69" s="8" t="n"/>
      <c r="G69" s="8" t="n"/>
      <c r="H69" s="8" t="n"/>
      <c r="I69" s="8" t="n"/>
      <c r="J69" s="8" t="n"/>
      <c r="K69" s="8" t="n"/>
      <c r="L69" s="8" t="n"/>
      <c r="M69" s="8" t="n"/>
      <c r="N69" s="8" t="n"/>
      <c r="O69" s="8" t="n"/>
      <c r="P69" s="9">
        <f>IF(C69="No","N/A",IF(AND(D69="Yes",H69="Yes",J69="Successful",M69="Yes"),"Ready",IF(AND(D69="Yes",OR(H69="No",J69="Not Tested")),"Not Ready","Partially Ready")))</f>
        <v/>
      </c>
      <c r="Q69" s="8" t="n"/>
    </row>
    <row r="70">
      <c r="A70" s="8" t="n"/>
      <c r="B70" s="8" t="n"/>
      <c r="C70" s="8" t="n"/>
      <c r="D70" s="8" t="n"/>
      <c r="E70" s="8" t="n"/>
      <c r="F70" s="8" t="n"/>
      <c r="G70" s="8" t="n"/>
      <c r="H70" s="8" t="n"/>
      <c r="I70" s="8" t="n"/>
      <c r="J70" s="8" t="n"/>
      <c r="K70" s="8" t="n"/>
      <c r="L70" s="8" t="n"/>
      <c r="M70" s="8" t="n"/>
      <c r="N70" s="8" t="n"/>
      <c r="O70" s="8" t="n"/>
      <c r="P70" s="9">
        <f>IF(C70="No","N/A",IF(AND(D70="Yes",H70="Yes",J70="Successful",M70="Yes"),"Ready",IF(AND(D70="Yes",OR(H70="No",J70="Not Tested")),"Not Ready","Partially Ready")))</f>
        <v/>
      </c>
      <c r="Q70" s="8" t="n"/>
    </row>
    <row r="71">
      <c r="A71" s="8" t="n"/>
      <c r="B71" s="8" t="n"/>
      <c r="C71" s="8" t="n"/>
      <c r="D71" s="8" t="n"/>
      <c r="E71" s="8" t="n"/>
      <c r="F71" s="8" t="n"/>
      <c r="G71" s="8" t="n"/>
      <c r="H71" s="8" t="n"/>
      <c r="I71" s="8" t="n"/>
      <c r="J71" s="8" t="n"/>
      <c r="K71" s="8" t="n"/>
      <c r="L71" s="8" t="n"/>
      <c r="M71" s="8" t="n"/>
      <c r="N71" s="8" t="n"/>
      <c r="O71" s="8" t="n"/>
      <c r="P71" s="9">
        <f>IF(C71="No","N/A",IF(AND(D71="Yes",H71="Yes",J71="Successful",M71="Yes"),"Ready",IF(AND(D71="Yes",OR(H71="No",J71="Not Tested")),"Not Ready","Partially Ready")))</f>
        <v/>
      </c>
      <c r="Q71" s="8" t="n"/>
    </row>
    <row r="72">
      <c r="A72" s="8" t="n"/>
      <c r="B72" s="8" t="n"/>
      <c r="C72" s="8" t="n"/>
      <c r="D72" s="8" t="n"/>
      <c r="E72" s="8" t="n"/>
      <c r="F72" s="8" t="n"/>
      <c r="G72" s="8" t="n"/>
      <c r="H72" s="8" t="n"/>
      <c r="I72" s="8" t="n"/>
      <c r="J72" s="8" t="n"/>
      <c r="K72" s="8" t="n"/>
      <c r="L72" s="8" t="n"/>
      <c r="M72" s="8" t="n"/>
      <c r="N72" s="8" t="n"/>
      <c r="O72" s="8" t="n"/>
      <c r="P72" s="9">
        <f>IF(C72="No","N/A",IF(AND(D72="Yes",H72="Yes",J72="Successful",M72="Yes"),"Ready",IF(AND(D72="Yes",OR(H72="No",J72="Not Tested")),"Not Ready","Partially Ready")))</f>
        <v/>
      </c>
      <c r="Q72" s="8" t="n"/>
    </row>
    <row r="73">
      <c r="A73" s="8" t="n"/>
      <c r="B73" s="8" t="n"/>
      <c r="C73" s="8" t="n"/>
      <c r="D73" s="8" t="n"/>
      <c r="E73" s="8" t="n"/>
      <c r="F73" s="8" t="n"/>
      <c r="G73" s="8" t="n"/>
      <c r="H73" s="8" t="n"/>
      <c r="I73" s="8" t="n"/>
      <c r="J73" s="8" t="n"/>
      <c r="K73" s="8" t="n"/>
      <c r="L73" s="8" t="n"/>
      <c r="M73" s="8" t="n"/>
      <c r="N73" s="8" t="n"/>
      <c r="O73" s="8" t="n"/>
      <c r="P73" s="9">
        <f>IF(C73="No","N/A",IF(AND(D73="Yes",H73="Yes",J73="Successful",M73="Yes"),"Ready",IF(AND(D73="Yes",OR(H73="No",J73="Not Tested")),"Not Ready","Partially Ready")))</f>
        <v/>
      </c>
      <c r="Q73" s="8" t="n"/>
    </row>
    <row r="74">
      <c r="A74" s="8" t="n"/>
      <c r="B74" s="8" t="n"/>
      <c r="C74" s="8" t="n"/>
      <c r="D74" s="8" t="n"/>
      <c r="E74" s="8" t="n"/>
      <c r="F74" s="8" t="n"/>
      <c r="G74" s="8" t="n"/>
      <c r="H74" s="8" t="n"/>
      <c r="I74" s="8" t="n"/>
      <c r="J74" s="8" t="n"/>
      <c r="K74" s="8" t="n"/>
      <c r="L74" s="8" t="n"/>
      <c r="M74" s="8" t="n"/>
      <c r="N74" s="8" t="n"/>
      <c r="O74" s="8" t="n"/>
      <c r="P74" s="9">
        <f>IF(C74="No","N/A",IF(AND(D74="Yes",H74="Yes",J74="Successful",M74="Yes"),"Ready",IF(AND(D74="Yes",OR(H74="No",J74="Not Tested")),"Not Ready","Partially Ready")))</f>
        <v/>
      </c>
      <c r="Q74" s="8" t="n"/>
    </row>
    <row r="75">
      <c r="A75" s="8" t="n"/>
      <c r="B75" s="8" t="n"/>
      <c r="C75" s="8" t="n"/>
      <c r="D75" s="8" t="n"/>
      <c r="E75" s="8" t="n"/>
      <c r="F75" s="8" t="n"/>
      <c r="G75" s="8" t="n"/>
      <c r="H75" s="8" t="n"/>
      <c r="I75" s="8" t="n"/>
      <c r="J75" s="8" t="n"/>
      <c r="K75" s="8" t="n"/>
      <c r="L75" s="8" t="n"/>
      <c r="M75" s="8" t="n"/>
      <c r="N75" s="8" t="n"/>
      <c r="O75" s="8" t="n"/>
      <c r="P75" s="9">
        <f>IF(C75="No","N/A",IF(AND(D75="Yes",H75="Yes",J75="Successful",M75="Yes"),"Ready",IF(AND(D75="Yes",OR(H75="No",J75="Not Tested")),"Not Ready","Partially Ready")))</f>
        <v/>
      </c>
      <c r="Q75" s="8" t="n"/>
    </row>
    <row r="76">
      <c r="A76" s="8" t="n"/>
      <c r="B76" s="8" t="n"/>
      <c r="C76" s="8" t="n"/>
      <c r="D76" s="8" t="n"/>
      <c r="E76" s="8" t="n"/>
      <c r="F76" s="8" t="n"/>
      <c r="G76" s="8" t="n"/>
      <c r="H76" s="8" t="n"/>
      <c r="I76" s="8" t="n"/>
      <c r="J76" s="8" t="n"/>
      <c r="K76" s="8" t="n"/>
      <c r="L76" s="8" t="n"/>
      <c r="M76" s="8" t="n"/>
      <c r="N76" s="8" t="n"/>
      <c r="O76" s="8" t="n"/>
      <c r="P76" s="9">
        <f>IF(C76="No","N/A",IF(AND(D76="Yes",H76="Yes",J76="Successful",M76="Yes"),"Ready",IF(AND(D76="Yes",OR(H76="No",J76="Not Tested")),"Not Ready","Partially Ready")))</f>
        <v/>
      </c>
      <c r="Q76" s="8" t="n"/>
    </row>
    <row r="77">
      <c r="A77" s="8" t="n"/>
      <c r="B77" s="8" t="n"/>
      <c r="C77" s="8" t="n"/>
      <c r="D77" s="8" t="n"/>
      <c r="E77" s="8" t="n"/>
      <c r="F77" s="8" t="n"/>
      <c r="G77" s="8" t="n"/>
      <c r="H77" s="8" t="n"/>
      <c r="I77" s="8" t="n"/>
      <c r="J77" s="8" t="n"/>
      <c r="K77" s="8" t="n"/>
      <c r="L77" s="8" t="n"/>
      <c r="M77" s="8" t="n"/>
      <c r="N77" s="8" t="n"/>
      <c r="O77" s="8" t="n"/>
      <c r="P77" s="9">
        <f>IF(C77="No","N/A",IF(AND(D77="Yes",H77="Yes",J77="Successful",M77="Yes"),"Ready",IF(AND(D77="Yes",OR(H77="No",J77="Not Tested")),"Not Ready","Partially Ready")))</f>
        <v/>
      </c>
      <c r="Q77" s="8" t="n"/>
    </row>
    <row r="78">
      <c r="A78" s="8" t="n"/>
      <c r="B78" s="8" t="n"/>
      <c r="C78" s="8" t="n"/>
      <c r="D78" s="8" t="n"/>
      <c r="E78" s="8" t="n"/>
      <c r="F78" s="8" t="n"/>
      <c r="G78" s="8" t="n"/>
      <c r="H78" s="8" t="n"/>
      <c r="I78" s="8" t="n"/>
      <c r="J78" s="8" t="n"/>
      <c r="K78" s="8" t="n"/>
      <c r="L78" s="8" t="n"/>
      <c r="M78" s="8" t="n"/>
      <c r="N78" s="8" t="n"/>
      <c r="O78" s="8" t="n"/>
      <c r="P78" s="9">
        <f>IF(C78="No","N/A",IF(AND(D78="Yes",H78="Yes",J78="Successful",M78="Yes"),"Ready",IF(AND(D78="Yes",OR(H78="No",J78="Not Tested")),"Not Ready","Partially Ready")))</f>
        <v/>
      </c>
      <c r="Q78" s="8" t="n"/>
    </row>
    <row r="79">
      <c r="A79" s="8" t="n"/>
      <c r="B79" s="8" t="n"/>
      <c r="C79" s="8" t="n"/>
      <c r="D79" s="8" t="n"/>
      <c r="E79" s="8" t="n"/>
      <c r="F79" s="8" t="n"/>
      <c r="G79" s="8" t="n"/>
      <c r="H79" s="8" t="n"/>
      <c r="I79" s="8" t="n"/>
      <c r="J79" s="8" t="n"/>
      <c r="K79" s="8" t="n"/>
      <c r="L79" s="8" t="n"/>
      <c r="M79" s="8" t="n"/>
      <c r="N79" s="8" t="n"/>
      <c r="O79" s="8" t="n"/>
      <c r="P79" s="9">
        <f>IF(C79="No","N/A",IF(AND(D79="Yes",H79="Yes",J79="Successful",M79="Yes"),"Ready",IF(AND(D79="Yes",OR(H79="No",J79="Not Tested")),"Not Ready","Partially Ready")))</f>
        <v/>
      </c>
      <c r="Q79" s="8" t="n"/>
    </row>
    <row r="80">
      <c r="A80" s="8" t="n"/>
      <c r="B80" s="8" t="n"/>
      <c r="C80" s="8" t="n"/>
      <c r="D80" s="8" t="n"/>
      <c r="E80" s="8" t="n"/>
      <c r="F80" s="8" t="n"/>
      <c r="G80" s="8" t="n"/>
      <c r="H80" s="8" t="n"/>
      <c r="I80" s="8" t="n"/>
      <c r="J80" s="8" t="n"/>
      <c r="K80" s="8" t="n"/>
      <c r="L80" s="8" t="n"/>
      <c r="M80" s="8" t="n"/>
      <c r="N80" s="8" t="n"/>
      <c r="O80" s="8" t="n"/>
      <c r="P80" s="9">
        <f>IF(C80="No","N/A",IF(AND(D80="Yes",H80="Yes",J80="Successful",M80="Yes"),"Ready",IF(AND(D80="Yes",OR(H80="No",J80="Not Tested")),"Not Ready","Partially Ready")))</f>
        <v/>
      </c>
      <c r="Q80" s="8" t="n"/>
    </row>
    <row r="81">
      <c r="A81" s="8" t="n"/>
      <c r="B81" s="8" t="n"/>
      <c r="C81" s="8" t="n"/>
      <c r="D81" s="8" t="n"/>
      <c r="E81" s="8" t="n"/>
      <c r="F81" s="8" t="n"/>
      <c r="G81" s="8" t="n"/>
      <c r="H81" s="8" t="n"/>
      <c r="I81" s="8" t="n"/>
      <c r="J81" s="8" t="n"/>
      <c r="K81" s="8" t="n"/>
      <c r="L81" s="8" t="n"/>
      <c r="M81" s="8" t="n"/>
      <c r="N81" s="8" t="n"/>
      <c r="O81" s="8" t="n"/>
      <c r="P81" s="9">
        <f>IF(C81="No","N/A",IF(AND(D81="Yes",H81="Yes",J81="Successful",M81="Yes"),"Ready",IF(AND(D81="Yes",OR(H81="No",J81="Not Tested")),"Not Ready","Partially Ready")))</f>
        <v/>
      </c>
      <c r="Q81" s="8" t="n"/>
    </row>
    <row r="82">
      <c r="A82" s="8" t="n"/>
      <c r="B82" s="8" t="n"/>
      <c r="C82" s="8" t="n"/>
      <c r="D82" s="8" t="n"/>
      <c r="E82" s="8" t="n"/>
      <c r="F82" s="8" t="n"/>
      <c r="G82" s="8" t="n"/>
      <c r="H82" s="8" t="n"/>
      <c r="I82" s="8" t="n"/>
      <c r="J82" s="8" t="n"/>
      <c r="K82" s="8" t="n"/>
      <c r="L82" s="8" t="n"/>
      <c r="M82" s="8" t="n"/>
      <c r="N82" s="8" t="n"/>
      <c r="O82" s="8" t="n"/>
      <c r="P82" s="9">
        <f>IF(C82="No","N/A",IF(AND(D82="Yes",H82="Yes",J82="Successful",M82="Yes"),"Ready",IF(AND(D82="Yes",OR(H82="No",J82="Not Tested")),"Not Ready","Partially Ready")))</f>
        <v/>
      </c>
      <c r="Q82" s="8" t="n"/>
    </row>
    <row r="83">
      <c r="A83" s="8" t="n"/>
      <c r="B83" s="8" t="n"/>
      <c r="C83" s="8" t="n"/>
      <c r="D83" s="8" t="n"/>
      <c r="E83" s="8" t="n"/>
      <c r="F83" s="8" t="n"/>
      <c r="G83" s="8" t="n"/>
      <c r="H83" s="8" t="n"/>
      <c r="I83" s="8" t="n"/>
      <c r="J83" s="8" t="n"/>
      <c r="K83" s="8" t="n"/>
      <c r="L83" s="8" t="n"/>
      <c r="M83" s="8" t="n"/>
      <c r="N83" s="8" t="n"/>
      <c r="O83" s="8" t="n"/>
      <c r="P83" s="9">
        <f>IF(C83="No","N/A",IF(AND(D83="Yes",H83="Yes",J83="Successful",M83="Yes"),"Ready",IF(AND(D83="Yes",OR(H83="No",J83="Not Tested")),"Not Ready","Partially Ready")))</f>
        <v/>
      </c>
      <c r="Q83" s="8" t="n"/>
    </row>
    <row r="84">
      <c r="A84" s="8" t="n"/>
      <c r="B84" s="8" t="n"/>
      <c r="C84" s="8" t="n"/>
      <c r="D84" s="8" t="n"/>
      <c r="E84" s="8" t="n"/>
      <c r="F84" s="8" t="n"/>
      <c r="G84" s="8" t="n"/>
      <c r="H84" s="8" t="n"/>
      <c r="I84" s="8" t="n"/>
      <c r="J84" s="8" t="n"/>
      <c r="K84" s="8" t="n"/>
      <c r="L84" s="8" t="n"/>
      <c r="M84" s="8" t="n"/>
      <c r="N84" s="8" t="n"/>
      <c r="O84" s="8" t="n"/>
      <c r="P84" s="9">
        <f>IF(C84="No","N/A",IF(AND(D84="Yes",H84="Yes",J84="Successful",M84="Yes"),"Ready",IF(AND(D84="Yes",OR(H84="No",J84="Not Tested")),"Not Ready","Partially Ready")))</f>
        <v/>
      </c>
      <c r="Q84" s="8" t="n"/>
    </row>
    <row r="85">
      <c r="A85" s="8" t="n"/>
      <c r="B85" s="8" t="n"/>
      <c r="C85" s="8" t="n"/>
      <c r="D85" s="8" t="n"/>
      <c r="E85" s="8" t="n"/>
      <c r="F85" s="8" t="n"/>
      <c r="G85" s="8" t="n"/>
      <c r="H85" s="8" t="n"/>
      <c r="I85" s="8" t="n"/>
      <c r="J85" s="8" t="n"/>
      <c r="K85" s="8" t="n"/>
      <c r="L85" s="8" t="n"/>
      <c r="M85" s="8" t="n"/>
      <c r="N85" s="8" t="n"/>
      <c r="O85" s="8" t="n"/>
      <c r="P85" s="9">
        <f>IF(C85="No","N/A",IF(AND(D85="Yes",H85="Yes",J85="Successful",M85="Yes"),"Ready",IF(AND(D85="Yes",OR(H85="No",J85="Not Tested")),"Not Ready","Partially Ready")))</f>
        <v/>
      </c>
      <c r="Q85" s="8" t="n"/>
    </row>
    <row r="86">
      <c r="A86" s="8" t="n"/>
      <c r="B86" s="8" t="n"/>
      <c r="C86" s="8" t="n"/>
      <c r="D86" s="8" t="n"/>
      <c r="E86" s="8" t="n"/>
      <c r="F86" s="8" t="n"/>
      <c r="G86" s="8" t="n"/>
      <c r="H86" s="8" t="n"/>
      <c r="I86" s="8" t="n"/>
      <c r="J86" s="8" t="n"/>
      <c r="K86" s="8" t="n"/>
      <c r="L86" s="8" t="n"/>
      <c r="M86" s="8" t="n"/>
      <c r="N86" s="8" t="n"/>
      <c r="O86" s="8" t="n"/>
      <c r="P86" s="9">
        <f>IF(C86="No","N/A",IF(AND(D86="Yes",H86="Yes",J86="Successful",M86="Yes"),"Ready",IF(AND(D86="Yes",OR(H86="No",J86="Not Tested")),"Not Ready","Partially Ready")))</f>
        <v/>
      </c>
      <c r="Q86" s="8" t="n"/>
    </row>
    <row r="87">
      <c r="A87" s="8" t="n"/>
      <c r="B87" s="8" t="n"/>
      <c r="C87" s="8" t="n"/>
      <c r="D87" s="8" t="n"/>
      <c r="E87" s="8" t="n"/>
      <c r="F87" s="8" t="n"/>
      <c r="G87" s="8" t="n"/>
      <c r="H87" s="8" t="n"/>
      <c r="I87" s="8" t="n"/>
      <c r="J87" s="8" t="n"/>
      <c r="K87" s="8" t="n"/>
      <c r="L87" s="8" t="n"/>
      <c r="M87" s="8" t="n"/>
      <c r="N87" s="8" t="n"/>
      <c r="O87" s="8" t="n"/>
      <c r="P87" s="9">
        <f>IF(C87="No","N/A",IF(AND(D87="Yes",H87="Yes",J87="Successful",M87="Yes"),"Ready",IF(AND(D87="Yes",OR(H87="No",J87="Not Tested")),"Not Ready","Partially Ready")))</f>
        <v/>
      </c>
      <c r="Q87" s="8" t="n"/>
    </row>
    <row r="88">
      <c r="A88" s="8" t="n"/>
      <c r="B88" s="8" t="n"/>
      <c r="C88" s="8" t="n"/>
      <c r="D88" s="8" t="n"/>
      <c r="E88" s="8" t="n"/>
      <c r="F88" s="8" t="n"/>
      <c r="G88" s="8" t="n"/>
      <c r="H88" s="8" t="n"/>
      <c r="I88" s="8" t="n"/>
      <c r="J88" s="8" t="n"/>
      <c r="K88" s="8" t="n"/>
      <c r="L88" s="8" t="n"/>
      <c r="M88" s="8" t="n"/>
      <c r="N88" s="8" t="n"/>
      <c r="O88" s="8" t="n"/>
      <c r="P88" s="9">
        <f>IF(C88="No","N/A",IF(AND(D88="Yes",H88="Yes",J88="Successful",M88="Yes"),"Ready",IF(AND(D88="Yes",OR(H88="No",J88="Not Tested")),"Not Ready","Partially Ready")))</f>
        <v/>
      </c>
      <c r="Q88" s="8" t="n"/>
    </row>
    <row r="89">
      <c r="A89" s="8" t="n"/>
      <c r="B89" s="8" t="n"/>
      <c r="C89" s="8" t="n"/>
      <c r="D89" s="8" t="n"/>
      <c r="E89" s="8" t="n"/>
      <c r="F89" s="8" t="n"/>
      <c r="G89" s="8" t="n"/>
      <c r="H89" s="8" t="n"/>
      <c r="I89" s="8" t="n"/>
      <c r="J89" s="8" t="n"/>
      <c r="K89" s="8" t="n"/>
      <c r="L89" s="8" t="n"/>
      <c r="M89" s="8" t="n"/>
      <c r="N89" s="8" t="n"/>
      <c r="O89" s="8" t="n"/>
      <c r="P89" s="9">
        <f>IF(C89="No","N/A",IF(AND(D89="Yes",H89="Yes",J89="Successful",M89="Yes"),"Ready",IF(AND(D89="Yes",OR(H89="No",J89="Not Tested")),"Not Ready","Partially Ready")))</f>
        <v/>
      </c>
      <c r="Q89" s="8" t="n"/>
    </row>
    <row r="90">
      <c r="A90" s="8" t="n"/>
      <c r="B90" s="8" t="n"/>
      <c r="C90" s="8" t="n"/>
      <c r="D90" s="8" t="n"/>
      <c r="E90" s="8" t="n"/>
      <c r="F90" s="8" t="n"/>
      <c r="G90" s="8" t="n"/>
      <c r="H90" s="8" t="n"/>
      <c r="I90" s="8" t="n"/>
      <c r="J90" s="8" t="n"/>
      <c r="K90" s="8" t="n"/>
      <c r="L90" s="8" t="n"/>
      <c r="M90" s="8" t="n"/>
      <c r="N90" s="8" t="n"/>
      <c r="O90" s="8" t="n"/>
      <c r="P90" s="9">
        <f>IF(C90="No","N/A",IF(AND(D90="Yes",H90="Yes",J90="Successful",M90="Yes"),"Ready",IF(AND(D90="Yes",OR(H90="No",J90="Not Tested")),"Not Ready","Partially Ready")))</f>
        <v/>
      </c>
      <c r="Q90" s="8" t="n"/>
    </row>
    <row r="91">
      <c r="A91" s="8" t="n"/>
      <c r="B91" s="8" t="n"/>
      <c r="C91" s="8" t="n"/>
      <c r="D91" s="8" t="n"/>
      <c r="E91" s="8" t="n"/>
      <c r="F91" s="8" t="n"/>
      <c r="G91" s="8" t="n"/>
      <c r="H91" s="8" t="n"/>
      <c r="I91" s="8" t="n"/>
      <c r="J91" s="8" t="n"/>
      <c r="K91" s="8" t="n"/>
      <c r="L91" s="8" t="n"/>
      <c r="M91" s="8" t="n"/>
      <c r="N91" s="8" t="n"/>
      <c r="O91" s="8" t="n"/>
      <c r="P91" s="9">
        <f>IF(C91="No","N/A",IF(AND(D91="Yes",H91="Yes",J91="Successful",M91="Yes"),"Ready",IF(AND(D91="Yes",OR(H91="No",J91="Not Tested")),"Not Ready","Partially Ready")))</f>
        <v/>
      </c>
      <c r="Q91" s="8" t="n"/>
    </row>
    <row r="92">
      <c r="A92" s="8" t="n"/>
      <c r="B92" s="8" t="n"/>
      <c r="C92" s="8" t="n"/>
      <c r="D92" s="8" t="n"/>
      <c r="E92" s="8" t="n"/>
      <c r="F92" s="8" t="n"/>
      <c r="G92" s="8" t="n"/>
      <c r="H92" s="8" t="n"/>
      <c r="I92" s="8" t="n"/>
      <c r="J92" s="8" t="n"/>
      <c r="K92" s="8" t="n"/>
      <c r="L92" s="8" t="n"/>
      <c r="M92" s="8" t="n"/>
      <c r="N92" s="8" t="n"/>
      <c r="O92" s="8" t="n"/>
      <c r="P92" s="9">
        <f>IF(C92="No","N/A",IF(AND(D92="Yes",H92="Yes",J92="Successful",M92="Yes"),"Ready",IF(AND(D92="Yes",OR(H92="No",J92="Not Tested")),"Not Ready","Partially Ready")))</f>
        <v/>
      </c>
      <c r="Q92" s="8" t="n"/>
    </row>
    <row r="93">
      <c r="A93" s="8" t="n"/>
      <c r="B93" s="8" t="n"/>
      <c r="C93" s="8" t="n"/>
      <c r="D93" s="8" t="n"/>
      <c r="E93" s="8" t="n"/>
      <c r="F93" s="8" t="n"/>
      <c r="G93" s="8" t="n"/>
      <c r="H93" s="8" t="n"/>
      <c r="I93" s="8" t="n"/>
      <c r="J93" s="8" t="n"/>
      <c r="K93" s="8" t="n"/>
      <c r="L93" s="8" t="n"/>
      <c r="M93" s="8" t="n"/>
      <c r="N93" s="8" t="n"/>
      <c r="O93" s="8" t="n"/>
      <c r="P93" s="9">
        <f>IF(C93="No","N/A",IF(AND(D93="Yes",H93="Yes",J93="Successful",M93="Yes"),"Ready",IF(AND(D93="Yes",OR(H93="No",J93="Not Tested")),"Not Ready","Partially Ready")))</f>
        <v/>
      </c>
      <c r="Q93" s="8" t="n"/>
    </row>
    <row r="94">
      <c r="A94" s="8" t="n"/>
      <c r="B94" s="8" t="n"/>
      <c r="C94" s="8" t="n"/>
      <c r="D94" s="8" t="n"/>
      <c r="E94" s="8" t="n"/>
      <c r="F94" s="8" t="n"/>
      <c r="G94" s="8" t="n"/>
      <c r="H94" s="8" t="n"/>
      <c r="I94" s="8" t="n"/>
      <c r="J94" s="8" t="n"/>
      <c r="K94" s="8" t="n"/>
      <c r="L94" s="8" t="n"/>
      <c r="M94" s="8" t="n"/>
      <c r="N94" s="8" t="n"/>
      <c r="O94" s="8" t="n"/>
      <c r="P94" s="9">
        <f>IF(C94="No","N/A",IF(AND(D94="Yes",H94="Yes",J94="Successful",M94="Yes"),"Ready",IF(AND(D94="Yes",OR(H94="No",J94="Not Tested")),"Not Ready","Partially Ready")))</f>
        <v/>
      </c>
      <c r="Q94" s="8" t="n"/>
    </row>
    <row r="95">
      <c r="A95" s="8" t="n"/>
      <c r="B95" s="8" t="n"/>
      <c r="C95" s="8" t="n"/>
      <c r="D95" s="8" t="n"/>
      <c r="E95" s="8" t="n"/>
      <c r="F95" s="8" t="n"/>
      <c r="G95" s="8" t="n"/>
      <c r="H95" s="8" t="n"/>
      <c r="I95" s="8" t="n"/>
      <c r="J95" s="8" t="n"/>
      <c r="K95" s="8" t="n"/>
      <c r="L95" s="8" t="n"/>
      <c r="M95" s="8" t="n"/>
      <c r="N95" s="8" t="n"/>
      <c r="O95" s="8" t="n"/>
      <c r="P95" s="9">
        <f>IF(C95="No","N/A",IF(AND(D95="Yes",H95="Yes",J95="Successful",M95="Yes"),"Ready",IF(AND(D95="Yes",OR(H95="No",J95="Not Tested")),"Not Ready","Partially Ready")))</f>
        <v/>
      </c>
      <c r="Q95" s="8" t="n"/>
    </row>
    <row r="96">
      <c r="A96" s="8" t="n"/>
      <c r="B96" s="8" t="n"/>
      <c r="C96" s="8" t="n"/>
      <c r="D96" s="8" t="n"/>
      <c r="E96" s="8" t="n"/>
      <c r="F96" s="8" t="n"/>
      <c r="G96" s="8" t="n"/>
      <c r="H96" s="8" t="n"/>
      <c r="I96" s="8" t="n"/>
      <c r="J96" s="8" t="n"/>
      <c r="K96" s="8" t="n"/>
      <c r="L96" s="8" t="n"/>
      <c r="M96" s="8" t="n"/>
      <c r="N96" s="8" t="n"/>
      <c r="O96" s="8" t="n"/>
      <c r="P96" s="9">
        <f>IF(C96="No","N/A",IF(AND(D96="Yes",H96="Yes",J96="Successful",M96="Yes"),"Ready",IF(AND(D96="Yes",OR(H96="No",J96="Not Tested")),"Not Ready","Partially Ready")))</f>
        <v/>
      </c>
      <c r="Q96" s="8" t="n"/>
    </row>
    <row r="97">
      <c r="A97" s="8" t="n"/>
      <c r="B97" s="8" t="n"/>
      <c r="C97" s="8" t="n"/>
      <c r="D97" s="8" t="n"/>
      <c r="E97" s="8" t="n"/>
      <c r="F97" s="8" t="n"/>
      <c r="G97" s="8" t="n"/>
      <c r="H97" s="8" t="n"/>
      <c r="I97" s="8" t="n"/>
      <c r="J97" s="8" t="n"/>
      <c r="K97" s="8" t="n"/>
      <c r="L97" s="8" t="n"/>
      <c r="M97" s="8" t="n"/>
      <c r="N97" s="8" t="n"/>
      <c r="O97" s="8" t="n"/>
      <c r="P97" s="9">
        <f>IF(C97="No","N/A",IF(AND(D97="Yes",H97="Yes",J97="Successful",M97="Yes"),"Ready",IF(AND(D97="Yes",OR(H97="No",J97="Not Tested")),"Not Ready","Partially Ready")))</f>
        <v/>
      </c>
      <c r="Q97" s="8" t="n"/>
    </row>
    <row r="98">
      <c r="A98" s="8" t="n"/>
      <c r="B98" s="8" t="n"/>
      <c r="C98" s="8" t="n"/>
      <c r="D98" s="8" t="n"/>
      <c r="E98" s="8" t="n"/>
      <c r="F98" s="8" t="n"/>
      <c r="G98" s="8" t="n"/>
      <c r="H98" s="8" t="n"/>
      <c r="I98" s="8" t="n"/>
      <c r="J98" s="8" t="n"/>
      <c r="K98" s="8" t="n"/>
      <c r="L98" s="8" t="n"/>
      <c r="M98" s="8" t="n"/>
      <c r="N98" s="8" t="n"/>
      <c r="O98" s="8" t="n"/>
      <c r="P98" s="9">
        <f>IF(C98="No","N/A",IF(AND(D98="Yes",H98="Yes",J98="Successful",M98="Yes"),"Ready",IF(AND(D98="Yes",OR(H98="No",J98="Not Tested")),"Not Ready","Partially Ready")))</f>
        <v/>
      </c>
      <c r="Q98" s="8" t="n"/>
    </row>
    <row r="99">
      <c r="A99" s="8" t="n"/>
      <c r="B99" s="8" t="n"/>
      <c r="C99" s="8" t="n"/>
      <c r="D99" s="8" t="n"/>
      <c r="E99" s="8" t="n"/>
      <c r="F99" s="8" t="n"/>
      <c r="G99" s="8" t="n"/>
      <c r="H99" s="8" t="n"/>
      <c r="I99" s="8" t="n"/>
      <c r="J99" s="8" t="n"/>
      <c r="K99" s="8" t="n"/>
      <c r="L99" s="8" t="n"/>
      <c r="M99" s="8" t="n"/>
      <c r="N99" s="8" t="n"/>
      <c r="O99" s="8" t="n"/>
      <c r="P99" s="9">
        <f>IF(C99="No","N/A",IF(AND(D99="Yes",H99="Yes",J99="Successful",M99="Yes"),"Ready",IF(AND(D99="Yes",OR(H99="No",J99="Not Tested")),"Not Ready","Partially Ready")))</f>
        <v/>
      </c>
      <c r="Q99" s="8" t="n"/>
    </row>
    <row r="100">
      <c r="A100" s="8" t="n"/>
      <c r="B100" s="8" t="n"/>
      <c r="C100" s="8" t="n"/>
      <c r="D100" s="8" t="n"/>
      <c r="E100" s="8" t="n"/>
      <c r="F100" s="8" t="n"/>
      <c r="G100" s="8" t="n"/>
      <c r="H100" s="8" t="n"/>
      <c r="I100" s="8" t="n"/>
      <c r="J100" s="8" t="n"/>
      <c r="K100" s="8" t="n"/>
      <c r="L100" s="8" t="n"/>
      <c r="M100" s="8" t="n"/>
      <c r="N100" s="8" t="n"/>
      <c r="O100" s="8" t="n"/>
      <c r="P100" s="9">
        <f>IF(C100="No","N/A",IF(AND(D100="Yes",H100="Yes",J100="Successful",M100="Yes"),"Ready",IF(AND(D100="Yes",OR(H100="No",J100="Not Tested")),"Not Ready","Partially Ready")))</f>
        <v/>
      </c>
      <c r="Q100" s="8" t="n"/>
    </row>
    <row r="101">
      <c r="A101" s="8" t="n"/>
      <c r="B101" s="8" t="n"/>
      <c r="C101" s="8" t="n"/>
      <c r="D101" s="8" t="n"/>
      <c r="E101" s="8" t="n"/>
      <c r="F101" s="8" t="n"/>
      <c r="G101" s="8" t="n"/>
      <c r="H101" s="8" t="n"/>
      <c r="I101" s="8" t="n"/>
      <c r="J101" s="8" t="n"/>
      <c r="K101" s="8" t="n"/>
      <c r="L101" s="8" t="n"/>
      <c r="M101" s="8" t="n"/>
      <c r="N101" s="8" t="n"/>
      <c r="O101" s="8" t="n"/>
      <c r="P101" s="9">
        <f>IF(C101="No","N/A",IF(AND(D101="Yes",H101="Yes",J101="Successful",M101="Yes"),"Ready",IF(AND(D101="Yes",OR(H101="No",J101="Not Tested")),"Not Ready","Partially Ready")))</f>
        <v/>
      </c>
      <c r="Q101" s="8" t="n"/>
    </row>
    <row r="102">
      <c r="A102" s="8" t="n"/>
      <c r="B102" s="8" t="n"/>
      <c r="C102" s="8" t="n"/>
      <c r="D102" s="8" t="n"/>
      <c r="E102" s="8" t="n"/>
      <c r="F102" s="8" t="n"/>
      <c r="G102" s="8" t="n"/>
      <c r="H102" s="8" t="n"/>
      <c r="I102" s="8" t="n"/>
      <c r="J102" s="8" t="n"/>
      <c r="K102" s="8" t="n"/>
      <c r="L102" s="8" t="n"/>
      <c r="M102" s="8" t="n"/>
      <c r="N102" s="8" t="n"/>
      <c r="O102" s="8" t="n"/>
      <c r="P102" s="9">
        <f>IF(C102="No","N/A",IF(AND(D102="Yes",H102="Yes",J102="Successful",M102="Yes"),"Ready",IF(AND(D102="Yes",OR(H102="No",J102="Not Tested")),"Not Ready","Partially Ready")))</f>
        <v/>
      </c>
      <c r="Q102" s="8" t="n"/>
    </row>
  </sheetData>
  <mergeCells count="1">
    <mergeCell ref="A1:Q1"/>
  </mergeCells>
  <conditionalFormatting sqref="P3:P102">
    <cfRule type="cellIs" priority="1" operator="equal" dxfId="8">
      <formula>"Ready"</formula>
    </cfRule>
    <cfRule type="cellIs" priority="2" operator="equal" dxfId="2">
      <formula>"Not Ready"</formula>
    </cfRule>
    <cfRule type="cellIs" priority="3" operator="equal" dxfId="3">
      <formula>"Partially Ready"</formula>
    </cfRule>
  </conditionalFormatting>
  <conditionalFormatting sqref="J3:J102">
    <cfRule type="cellIs" priority="4" operator="equal" dxfId="4">
      <formula>"Successful"</formula>
    </cfRule>
    <cfRule type="cellIs" priority="5" operator="equal" dxfId="5">
      <formula>"Failed"</formula>
    </cfRule>
    <cfRule type="cellIs" priority="6" operator="equal" dxfId="5">
      <formula>"Not Tested"</formula>
    </cfRule>
  </conditionalFormatting>
  <conditionalFormatting sqref="L3:L102">
    <cfRule type="cellIs" priority="7" operator="equal" dxfId="5">
      <formula>"Significant"</formula>
    </cfRule>
    <cfRule type="cellIs" priority="8" operator="equal" dxfId="3">
      <formula>"Moderate"</formula>
    </cfRule>
  </conditionalFormatting>
  <dataValidations count="7">
    <dataValidation sqref="C3:C102" showDropDown="0" showInputMessage="0" showErrorMessage="0" allowBlank="0" errorTitle="Invalid Entry" error="Invalid entry" promptTitle="Selection Required" prompt="Please select from the dropdown" type="list">
      <formula1>"Yes,No"</formula1>
    </dataValidation>
    <dataValidation sqref="D3:D102" showDropDown="0" showInputMessage="0" showErrorMessage="0" allowBlank="0" errorTitle="Invalid Entry" error="Invalid entry" promptTitle="Selection Required" prompt="Please select from the dropdown" type="list">
      <formula1>"Yes,No,N/A"</formula1>
    </dataValidation>
    <dataValidation sqref="H3:H102" showDropDown="0" showInputMessage="0" showErrorMessage="0" allowBlank="0" errorTitle="Invalid Entry" error="Invalid entry" promptTitle="Selection Required" prompt="Please select from the dropdown" type="list">
      <formula1>"Yes,No,Partially,N/A"</formula1>
    </dataValidation>
    <dataValidation sqref="J3:J102" showDropDown="0" showInputMessage="0" showErrorMessage="0" allowBlank="1" errorTitle="Invalid Entry" error="Invalid entry" promptTitle="Selection Required" prompt="Please select from the dropdown" type="list">
      <formula1>"✅ Successful,❌ Failed,⚠️ Partially Successful,❓ Not Tested"</formula1>
    </dataValidation>
    <dataValidation sqref="L3:L102" showDropDown="0" showInputMessage="0" showErrorMessage="0" allowBlank="1" errorTitle="Invalid Entry" error="Invalid entry" promptTitle="Selection Required" prompt="Please select from the dropdown" type="list">
      <formula1>"None,Minimal,Moderate,Significant"</formula1>
    </dataValidation>
    <dataValidation sqref="M3:M102" showDropDown="0" showInputMessage="0" showErrorMessage="0" allowBlank="0" errorTitle="Invalid Entry" error="Invalid entry" promptTitle="Selection Required" prompt="Please select from the dropdown" type="list">
      <formula1>"Yes,No,N/A"</formula1>
    </dataValidation>
    <dataValidation sqref="N3:N102" showDropDown="0" showInputMessage="0" showErrorMessage="0" allowBlank="1" errorTitle="Invalid Entry" error="Invalid entry" promptTitle="Selection Required" prompt="Please select from the dropdown" type="list">
      <formula1>"Yes (same as forward),Yes (expedited),No (automatic)"</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5" customWidth="1" min="3" max="3"/>
    <col width="40" customWidth="1" min="4" max="4"/>
    <col width="20" customWidth="1" min="5" max="5"/>
    <col width="20" customWidth="1" min="6" max="6"/>
    <col width="20" customWidth="1" min="7" max="7"/>
    <col width="12" customWidth="1" min="8" max="8"/>
    <col width="25" customWidth="1" min="9" max="9"/>
    <col width="30" customWidth="1" min="10" max="10"/>
    <col width="20" customWidth="1" min="11" max="11"/>
    <col width="15" customWidth="1" min="12" max="12"/>
    <col width="25" customWidth="1" min="13" max="13"/>
    <col width="18" customWidth="1" min="14" max="14"/>
    <col width="18" customWidth="1" min="15" max="15"/>
    <col width="40" customWidth="1" min="16" max="16"/>
    <col width="40" customWidth="1" min="17" max="17"/>
    <col width="35" customWidth="1" min="18" max="18"/>
  </cols>
  <sheetData>
    <row r="1" ht="30" customHeight="1">
      <c r="A1" s="6" t="inlineStr">
        <is>
          <t>Emergency Changes - Expedited Process Tracking</t>
        </is>
      </c>
    </row>
    <row r="2" ht="30" customHeight="1">
      <c r="A2" s="7" t="inlineStr">
        <is>
          <t>Change ID</t>
        </is>
      </c>
      <c r="B2" s="7" t="inlineStr">
        <is>
          <t>Change Title</t>
        </is>
      </c>
      <c r="C2" s="7" t="inlineStr">
        <is>
          <t>Emergency Type</t>
        </is>
      </c>
      <c r="D2" s="7" t="inlineStr">
        <is>
          <t>Business Impact if Not Implemented</t>
        </is>
      </c>
      <c r="E2" s="7" t="inlineStr">
        <is>
          <t>Emergency Declared By</t>
        </is>
      </c>
      <c r="F2" s="7" t="inlineStr">
        <is>
          <t>Emergency Declaration Time</t>
        </is>
      </c>
      <c r="G2" s="7" t="inlineStr">
        <is>
          <t>Implementation Time</t>
        </is>
      </c>
      <c r="H2" s="7" t="inlineStr">
        <is>
          <t>Time to Implement (Hours)</t>
        </is>
      </c>
      <c r="I2" s="7" t="inlineStr">
        <is>
          <t>Emergency Approval Method</t>
        </is>
      </c>
      <c r="J2" s="7" t="inlineStr">
        <is>
          <t>Emergency Approvers</t>
        </is>
      </c>
      <c r="K2" s="7" t="inlineStr">
        <is>
          <t>Post-Implementation Documentation Completed</t>
        </is>
      </c>
      <c r="L2" s="7" t="inlineStr">
        <is>
          <t>CAB Retrospective Review Date</t>
        </is>
      </c>
      <c r="M2" s="7" t="inlineStr">
        <is>
          <t>CAB Review Outcome</t>
        </is>
      </c>
      <c r="N2" s="7" t="inlineStr">
        <is>
          <t>Justification Valid</t>
        </is>
      </c>
      <c r="O2" s="7" t="inlineStr">
        <is>
          <t>Process Abuse Indicator</t>
        </is>
      </c>
      <c r="P2" s="7" t="inlineStr">
        <is>
          <t>Lessons Learned</t>
        </is>
      </c>
      <c r="Q2" s="7" t="inlineStr">
        <is>
          <t>Remediation Actions</t>
        </is>
      </c>
      <c r="R2" s="7" t="inlineStr">
        <is>
          <t>Notes</t>
        </is>
      </c>
    </row>
    <row r="3">
      <c r="A3" s="8" t="n"/>
      <c r="B3" s="8" t="n"/>
      <c r="C3" s="8" t="n"/>
      <c r="D3" s="8" t="n"/>
      <c r="E3" s="8" t="n"/>
      <c r="F3" s="8" t="n"/>
      <c r="G3" s="8" t="n"/>
      <c r="H3" s="9">
        <f>IF(OR(F3="",G3=""),"",ROUND((G3-F3)*24,2))</f>
        <v/>
      </c>
      <c r="I3" s="8" t="n"/>
      <c r="J3" s="8" t="n"/>
      <c r="K3" s="8" t="n"/>
      <c r="L3" s="8" t="n"/>
      <c r="M3" s="8" t="n"/>
      <c r="N3" s="8" t="n"/>
      <c r="O3" s="9">
        <f>IF(AND(H3&gt;48,N3="Questionable"),"Likely Abuse",IF(OR(H3&gt;72,N3="No"),"Questionable","Legitimate"))</f>
        <v/>
      </c>
      <c r="P3" s="8" t="n"/>
      <c r="Q3" s="8" t="n"/>
      <c r="R3" s="8" t="n"/>
    </row>
    <row r="4">
      <c r="A4" s="8" t="n"/>
      <c r="B4" s="8" t="n"/>
      <c r="C4" s="8" t="n"/>
      <c r="D4" s="8" t="n"/>
      <c r="E4" s="8" t="n"/>
      <c r="F4" s="8" t="n"/>
      <c r="G4" s="8" t="n"/>
      <c r="H4" s="9">
        <f>IF(OR(F4="",G4=""),"",ROUND((G4-F4)*24,2))</f>
        <v/>
      </c>
      <c r="I4" s="8" t="n"/>
      <c r="J4" s="8" t="n"/>
      <c r="K4" s="8" t="n"/>
      <c r="L4" s="8" t="n"/>
      <c r="M4" s="8" t="n"/>
      <c r="N4" s="8" t="n"/>
      <c r="O4" s="9">
        <f>IF(AND(H4&gt;48,N4="Questionable"),"Likely Abuse",IF(OR(H4&gt;72,N4="No"),"Questionable","Legitimate"))</f>
        <v/>
      </c>
      <c r="P4" s="8" t="n"/>
      <c r="Q4" s="8" t="n"/>
      <c r="R4" s="8" t="n"/>
    </row>
    <row r="5">
      <c r="A5" s="8" t="n"/>
      <c r="B5" s="8" t="n"/>
      <c r="C5" s="8" t="n"/>
      <c r="D5" s="8" t="n"/>
      <c r="E5" s="8" t="n"/>
      <c r="F5" s="8" t="n"/>
      <c r="G5" s="8" t="n"/>
      <c r="H5" s="9">
        <f>IF(OR(F5="",G5=""),"",ROUND((G5-F5)*24,2))</f>
        <v/>
      </c>
      <c r="I5" s="8" t="n"/>
      <c r="J5" s="8" t="n"/>
      <c r="K5" s="8" t="n"/>
      <c r="L5" s="8" t="n"/>
      <c r="M5" s="8" t="n"/>
      <c r="N5" s="8" t="n"/>
      <c r="O5" s="9">
        <f>IF(AND(H5&gt;48,N5="Questionable"),"Likely Abuse",IF(OR(H5&gt;72,N5="No"),"Questionable","Legitimate"))</f>
        <v/>
      </c>
      <c r="P5" s="8" t="n"/>
      <c r="Q5" s="8" t="n"/>
      <c r="R5" s="8" t="n"/>
    </row>
    <row r="6">
      <c r="A6" s="8" t="n"/>
      <c r="B6" s="8" t="n"/>
      <c r="C6" s="8" t="n"/>
      <c r="D6" s="8" t="n"/>
      <c r="E6" s="8" t="n"/>
      <c r="F6" s="8" t="n"/>
      <c r="G6" s="8" t="n"/>
      <c r="H6" s="9">
        <f>IF(OR(F6="",G6=""),"",ROUND((G6-F6)*24,2))</f>
        <v/>
      </c>
      <c r="I6" s="8" t="n"/>
      <c r="J6" s="8" t="n"/>
      <c r="K6" s="8" t="n"/>
      <c r="L6" s="8" t="n"/>
      <c r="M6" s="8" t="n"/>
      <c r="N6" s="8" t="n"/>
      <c r="O6" s="9">
        <f>IF(AND(H6&gt;48,N6="Questionable"),"Likely Abuse",IF(OR(H6&gt;72,N6="No"),"Questionable","Legitimate"))</f>
        <v/>
      </c>
      <c r="P6" s="8" t="n"/>
      <c r="Q6" s="8" t="n"/>
      <c r="R6" s="8" t="n"/>
    </row>
    <row r="7">
      <c r="A7" s="8" t="n"/>
      <c r="B7" s="8" t="n"/>
      <c r="C7" s="8" t="n"/>
      <c r="D7" s="8" t="n"/>
      <c r="E7" s="8" t="n"/>
      <c r="F7" s="8" t="n"/>
      <c r="G7" s="8" t="n"/>
      <c r="H7" s="9">
        <f>IF(OR(F7="",G7=""),"",ROUND((G7-F7)*24,2))</f>
        <v/>
      </c>
      <c r="I7" s="8" t="n"/>
      <c r="J7" s="8" t="n"/>
      <c r="K7" s="8" t="n"/>
      <c r="L7" s="8" t="n"/>
      <c r="M7" s="8" t="n"/>
      <c r="N7" s="8" t="n"/>
      <c r="O7" s="9">
        <f>IF(AND(H7&gt;48,N7="Questionable"),"Likely Abuse",IF(OR(H7&gt;72,N7="No"),"Questionable","Legitimate"))</f>
        <v/>
      </c>
      <c r="P7" s="8" t="n"/>
      <c r="Q7" s="8" t="n"/>
      <c r="R7" s="8" t="n"/>
    </row>
    <row r="8">
      <c r="A8" s="8" t="n"/>
      <c r="B8" s="8" t="n"/>
      <c r="C8" s="8" t="n"/>
      <c r="D8" s="8" t="n"/>
      <c r="E8" s="8" t="n"/>
      <c r="F8" s="8" t="n"/>
      <c r="G8" s="8" t="n"/>
      <c r="H8" s="9">
        <f>IF(OR(F8="",G8=""),"",ROUND((G8-F8)*24,2))</f>
        <v/>
      </c>
      <c r="I8" s="8" t="n"/>
      <c r="J8" s="8" t="n"/>
      <c r="K8" s="8" t="n"/>
      <c r="L8" s="8" t="n"/>
      <c r="M8" s="8" t="n"/>
      <c r="N8" s="8" t="n"/>
      <c r="O8" s="9">
        <f>IF(AND(H8&gt;48,N8="Questionable"),"Likely Abuse",IF(OR(H8&gt;72,N8="No"),"Questionable","Legitimate"))</f>
        <v/>
      </c>
      <c r="P8" s="8" t="n"/>
      <c r="Q8" s="8" t="n"/>
      <c r="R8" s="8" t="n"/>
    </row>
    <row r="9">
      <c r="A9" s="8" t="n"/>
      <c r="B9" s="8" t="n"/>
      <c r="C9" s="8" t="n"/>
      <c r="D9" s="8" t="n"/>
      <c r="E9" s="8" t="n"/>
      <c r="F9" s="8" t="n"/>
      <c r="G9" s="8" t="n"/>
      <c r="H9" s="9">
        <f>IF(OR(F9="",G9=""),"",ROUND((G9-F9)*24,2))</f>
        <v/>
      </c>
      <c r="I9" s="8" t="n"/>
      <c r="J9" s="8" t="n"/>
      <c r="K9" s="8" t="n"/>
      <c r="L9" s="8" t="n"/>
      <c r="M9" s="8" t="n"/>
      <c r="N9" s="8" t="n"/>
      <c r="O9" s="9">
        <f>IF(AND(H9&gt;48,N9="Questionable"),"Likely Abuse",IF(OR(H9&gt;72,N9="No"),"Questionable","Legitimate"))</f>
        <v/>
      </c>
      <c r="P9" s="8" t="n"/>
      <c r="Q9" s="8" t="n"/>
      <c r="R9" s="8" t="n"/>
    </row>
    <row r="10">
      <c r="A10" s="8" t="n"/>
      <c r="B10" s="8" t="n"/>
      <c r="C10" s="8" t="n"/>
      <c r="D10" s="8" t="n"/>
      <c r="E10" s="8" t="n"/>
      <c r="F10" s="8" t="n"/>
      <c r="G10" s="8" t="n"/>
      <c r="H10" s="9">
        <f>IF(OR(F10="",G10=""),"",ROUND((G10-F10)*24,2))</f>
        <v/>
      </c>
      <c r="I10" s="8" t="n"/>
      <c r="J10" s="8" t="n"/>
      <c r="K10" s="8" t="n"/>
      <c r="L10" s="8" t="n"/>
      <c r="M10" s="8" t="n"/>
      <c r="N10" s="8" t="n"/>
      <c r="O10" s="9">
        <f>IF(AND(H10&gt;48,N10="Questionable"),"Likely Abuse",IF(OR(H10&gt;72,N10="No"),"Questionable","Legitimate"))</f>
        <v/>
      </c>
      <c r="P10" s="8" t="n"/>
      <c r="Q10" s="8" t="n"/>
      <c r="R10" s="8" t="n"/>
    </row>
    <row r="11">
      <c r="A11" s="8" t="n"/>
      <c r="B11" s="8" t="n"/>
      <c r="C11" s="8" t="n"/>
      <c r="D11" s="8" t="n"/>
      <c r="E11" s="8" t="n"/>
      <c r="F11" s="8" t="n"/>
      <c r="G11" s="8" t="n"/>
      <c r="H11" s="9">
        <f>IF(OR(F11="",G11=""),"",ROUND((G11-F11)*24,2))</f>
        <v/>
      </c>
      <c r="I11" s="8" t="n"/>
      <c r="J11" s="8" t="n"/>
      <c r="K11" s="8" t="n"/>
      <c r="L11" s="8" t="n"/>
      <c r="M11" s="8" t="n"/>
      <c r="N11" s="8" t="n"/>
      <c r="O11" s="9">
        <f>IF(AND(H11&gt;48,N11="Questionable"),"Likely Abuse",IF(OR(H11&gt;72,N11="No"),"Questionable","Legitimate"))</f>
        <v/>
      </c>
      <c r="P11" s="8" t="n"/>
      <c r="Q11" s="8" t="n"/>
      <c r="R11" s="8" t="n"/>
    </row>
    <row r="12">
      <c r="A12" s="8" t="n"/>
      <c r="B12" s="8" t="n"/>
      <c r="C12" s="8" t="n"/>
      <c r="D12" s="8" t="n"/>
      <c r="E12" s="8" t="n"/>
      <c r="F12" s="8" t="n"/>
      <c r="G12" s="8" t="n"/>
      <c r="H12" s="9">
        <f>IF(OR(F12="",G12=""),"",ROUND((G12-F12)*24,2))</f>
        <v/>
      </c>
      <c r="I12" s="8" t="n"/>
      <c r="J12" s="8" t="n"/>
      <c r="K12" s="8" t="n"/>
      <c r="L12" s="8" t="n"/>
      <c r="M12" s="8" t="n"/>
      <c r="N12" s="8" t="n"/>
      <c r="O12" s="9">
        <f>IF(AND(H12&gt;48,N12="Questionable"),"Likely Abuse",IF(OR(H12&gt;72,N12="No"),"Questionable","Legitimate"))</f>
        <v/>
      </c>
      <c r="P12" s="8" t="n"/>
      <c r="Q12" s="8" t="n"/>
      <c r="R12" s="8" t="n"/>
    </row>
    <row r="13">
      <c r="A13" s="8" t="n"/>
      <c r="B13" s="8" t="n"/>
      <c r="C13" s="8" t="n"/>
      <c r="D13" s="8" t="n"/>
      <c r="E13" s="8" t="n"/>
      <c r="F13" s="8" t="n"/>
      <c r="G13" s="8" t="n"/>
      <c r="H13" s="9">
        <f>IF(OR(F13="",G13=""),"",ROUND((G13-F13)*24,2))</f>
        <v/>
      </c>
      <c r="I13" s="8" t="n"/>
      <c r="J13" s="8" t="n"/>
      <c r="K13" s="8" t="n"/>
      <c r="L13" s="8" t="n"/>
      <c r="M13" s="8" t="n"/>
      <c r="N13" s="8" t="n"/>
      <c r="O13" s="9">
        <f>IF(AND(H13&gt;48,N13="Questionable"),"Likely Abuse",IF(OR(H13&gt;72,N13="No"),"Questionable","Legitimate"))</f>
        <v/>
      </c>
      <c r="P13" s="8" t="n"/>
      <c r="Q13" s="8" t="n"/>
      <c r="R13" s="8" t="n"/>
    </row>
    <row r="14">
      <c r="A14" s="8" t="n"/>
      <c r="B14" s="8" t="n"/>
      <c r="C14" s="8" t="n"/>
      <c r="D14" s="8" t="n"/>
      <c r="E14" s="8" t="n"/>
      <c r="F14" s="8" t="n"/>
      <c r="G14" s="8" t="n"/>
      <c r="H14" s="9">
        <f>IF(OR(F14="",G14=""),"",ROUND((G14-F14)*24,2))</f>
        <v/>
      </c>
      <c r="I14" s="8" t="n"/>
      <c r="J14" s="8" t="n"/>
      <c r="K14" s="8" t="n"/>
      <c r="L14" s="8" t="n"/>
      <c r="M14" s="8" t="n"/>
      <c r="N14" s="8" t="n"/>
      <c r="O14" s="9">
        <f>IF(AND(H14&gt;48,N14="Questionable"),"Likely Abuse",IF(OR(H14&gt;72,N14="No"),"Questionable","Legitimate"))</f>
        <v/>
      </c>
      <c r="P14" s="8" t="n"/>
      <c r="Q14" s="8" t="n"/>
      <c r="R14" s="8" t="n"/>
    </row>
    <row r="15">
      <c r="A15" s="8" t="n"/>
      <c r="B15" s="8" t="n"/>
      <c r="C15" s="8" t="n"/>
      <c r="D15" s="8" t="n"/>
      <c r="E15" s="8" t="n"/>
      <c r="F15" s="8" t="n"/>
      <c r="G15" s="8" t="n"/>
      <c r="H15" s="9">
        <f>IF(OR(F15="",G15=""),"",ROUND((G15-F15)*24,2))</f>
        <v/>
      </c>
      <c r="I15" s="8" t="n"/>
      <c r="J15" s="8" t="n"/>
      <c r="K15" s="8" t="n"/>
      <c r="L15" s="8" t="n"/>
      <c r="M15" s="8" t="n"/>
      <c r="N15" s="8" t="n"/>
      <c r="O15" s="9">
        <f>IF(AND(H15&gt;48,N15="Questionable"),"Likely Abuse",IF(OR(H15&gt;72,N15="No"),"Questionable","Legitimate"))</f>
        <v/>
      </c>
      <c r="P15" s="8" t="n"/>
      <c r="Q15" s="8" t="n"/>
      <c r="R15" s="8" t="n"/>
    </row>
    <row r="16">
      <c r="A16" s="8" t="n"/>
      <c r="B16" s="8" t="n"/>
      <c r="C16" s="8" t="n"/>
      <c r="D16" s="8" t="n"/>
      <c r="E16" s="8" t="n"/>
      <c r="F16" s="8" t="n"/>
      <c r="G16" s="8" t="n"/>
      <c r="H16" s="9">
        <f>IF(OR(F16="",G16=""),"",ROUND((G16-F16)*24,2))</f>
        <v/>
      </c>
      <c r="I16" s="8" t="n"/>
      <c r="J16" s="8" t="n"/>
      <c r="K16" s="8" t="n"/>
      <c r="L16" s="8" t="n"/>
      <c r="M16" s="8" t="n"/>
      <c r="N16" s="8" t="n"/>
      <c r="O16" s="9">
        <f>IF(AND(H16&gt;48,N16="Questionable"),"Likely Abuse",IF(OR(H16&gt;72,N16="No"),"Questionable","Legitimate"))</f>
        <v/>
      </c>
      <c r="P16" s="8" t="n"/>
      <c r="Q16" s="8" t="n"/>
      <c r="R16" s="8" t="n"/>
    </row>
    <row r="17">
      <c r="A17" s="8" t="n"/>
      <c r="B17" s="8" t="n"/>
      <c r="C17" s="8" t="n"/>
      <c r="D17" s="8" t="n"/>
      <c r="E17" s="8" t="n"/>
      <c r="F17" s="8" t="n"/>
      <c r="G17" s="8" t="n"/>
      <c r="H17" s="9">
        <f>IF(OR(F17="",G17=""),"",ROUND((G17-F17)*24,2))</f>
        <v/>
      </c>
      <c r="I17" s="8" t="n"/>
      <c r="J17" s="8" t="n"/>
      <c r="K17" s="8" t="n"/>
      <c r="L17" s="8" t="n"/>
      <c r="M17" s="8" t="n"/>
      <c r="N17" s="8" t="n"/>
      <c r="O17" s="9">
        <f>IF(AND(H17&gt;48,N17="Questionable"),"Likely Abuse",IF(OR(H17&gt;72,N17="No"),"Questionable","Legitimate"))</f>
        <v/>
      </c>
      <c r="P17" s="8" t="n"/>
      <c r="Q17" s="8" t="n"/>
      <c r="R17" s="8" t="n"/>
    </row>
    <row r="18">
      <c r="A18" s="8" t="n"/>
      <c r="B18" s="8" t="n"/>
      <c r="C18" s="8" t="n"/>
      <c r="D18" s="8" t="n"/>
      <c r="E18" s="8" t="n"/>
      <c r="F18" s="8" t="n"/>
      <c r="G18" s="8" t="n"/>
      <c r="H18" s="9">
        <f>IF(OR(F18="",G18=""),"",ROUND((G18-F18)*24,2))</f>
        <v/>
      </c>
      <c r="I18" s="8" t="n"/>
      <c r="J18" s="8" t="n"/>
      <c r="K18" s="8" t="n"/>
      <c r="L18" s="8" t="n"/>
      <c r="M18" s="8" t="n"/>
      <c r="N18" s="8" t="n"/>
      <c r="O18" s="9">
        <f>IF(AND(H18&gt;48,N18="Questionable"),"Likely Abuse",IF(OR(H18&gt;72,N18="No"),"Questionable","Legitimate"))</f>
        <v/>
      </c>
      <c r="P18" s="8" t="n"/>
      <c r="Q18" s="8" t="n"/>
      <c r="R18" s="8" t="n"/>
    </row>
    <row r="19">
      <c r="A19" s="8" t="n"/>
      <c r="B19" s="8" t="n"/>
      <c r="C19" s="8" t="n"/>
      <c r="D19" s="8" t="n"/>
      <c r="E19" s="8" t="n"/>
      <c r="F19" s="8" t="n"/>
      <c r="G19" s="8" t="n"/>
      <c r="H19" s="9">
        <f>IF(OR(F19="",G19=""),"",ROUND((G19-F19)*24,2))</f>
        <v/>
      </c>
      <c r="I19" s="8" t="n"/>
      <c r="J19" s="8" t="n"/>
      <c r="K19" s="8" t="n"/>
      <c r="L19" s="8" t="n"/>
      <c r="M19" s="8" t="n"/>
      <c r="N19" s="8" t="n"/>
      <c r="O19" s="9">
        <f>IF(AND(H19&gt;48,N19="Questionable"),"Likely Abuse",IF(OR(H19&gt;72,N19="No"),"Questionable","Legitimate"))</f>
        <v/>
      </c>
      <c r="P19" s="8" t="n"/>
      <c r="Q19" s="8" t="n"/>
      <c r="R19" s="8" t="n"/>
    </row>
    <row r="20">
      <c r="A20" s="8" t="n"/>
      <c r="B20" s="8" t="n"/>
      <c r="C20" s="8" t="n"/>
      <c r="D20" s="8" t="n"/>
      <c r="E20" s="8" t="n"/>
      <c r="F20" s="8" t="n"/>
      <c r="G20" s="8" t="n"/>
      <c r="H20" s="9">
        <f>IF(OR(F20="",G20=""),"",ROUND((G20-F20)*24,2))</f>
        <v/>
      </c>
      <c r="I20" s="8" t="n"/>
      <c r="J20" s="8" t="n"/>
      <c r="K20" s="8" t="n"/>
      <c r="L20" s="8" t="n"/>
      <c r="M20" s="8" t="n"/>
      <c r="N20" s="8" t="n"/>
      <c r="O20" s="9">
        <f>IF(AND(H20&gt;48,N20="Questionable"),"Likely Abuse",IF(OR(H20&gt;72,N20="No"),"Questionable","Legitimate"))</f>
        <v/>
      </c>
      <c r="P20" s="8" t="n"/>
      <c r="Q20" s="8" t="n"/>
      <c r="R20" s="8" t="n"/>
    </row>
    <row r="21">
      <c r="A21" s="8" t="n"/>
      <c r="B21" s="8" t="n"/>
      <c r="C21" s="8" t="n"/>
      <c r="D21" s="8" t="n"/>
      <c r="E21" s="8" t="n"/>
      <c r="F21" s="8" t="n"/>
      <c r="G21" s="8" t="n"/>
      <c r="H21" s="9">
        <f>IF(OR(F21="",G21=""),"",ROUND((G21-F21)*24,2))</f>
        <v/>
      </c>
      <c r="I21" s="8" t="n"/>
      <c r="J21" s="8" t="n"/>
      <c r="K21" s="8" t="n"/>
      <c r="L21" s="8" t="n"/>
      <c r="M21" s="8" t="n"/>
      <c r="N21" s="8" t="n"/>
      <c r="O21" s="9">
        <f>IF(AND(H21&gt;48,N21="Questionable"),"Likely Abuse",IF(OR(H21&gt;72,N21="No"),"Questionable","Legitimate"))</f>
        <v/>
      </c>
      <c r="P21" s="8" t="n"/>
      <c r="Q21" s="8" t="n"/>
      <c r="R21" s="8" t="n"/>
    </row>
    <row r="22">
      <c r="A22" s="8" t="n"/>
      <c r="B22" s="8" t="n"/>
      <c r="C22" s="8" t="n"/>
      <c r="D22" s="8" t="n"/>
      <c r="E22" s="8" t="n"/>
      <c r="F22" s="8" t="n"/>
      <c r="G22" s="8" t="n"/>
      <c r="H22" s="9">
        <f>IF(OR(F22="",G22=""),"",ROUND((G22-F22)*24,2))</f>
        <v/>
      </c>
      <c r="I22" s="8" t="n"/>
      <c r="J22" s="8" t="n"/>
      <c r="K22" s="8" t="n"/>
      <c r="L22" s="8" t="n"/>
      <c r="M22" s="8" t="n"/>
      <c r="N22" s="8" t="n"/>
      <c r="O22" s="9">
        <f>IF(AND(H22&gt;48,N22="Questionable"),"Likely Abuse",IF(OR(H22&gt;72,N22="No"),"Questionable","Legitimate"))</f>
        <v/>
      </c>
      <c r="P22" s="8" t="n"/>
      <c r="Q22" s="8" t="n"/>
      <c r="R22" s="8" t="n"/>
    </row>
    <row r="23">
      <c r="A23" s="8" t="n"/>
      <c r="B23" s="8" t="n"/>
      <c r="C23" s="8" t="n"/>
      <c r="D23" s="8" t="n"/>
      <c r="E23" s="8" t="n"/>
      <c r="F23" s="8" t="n"/>
      <c r="G23" s="8" t="n"/>
      <c r="H23" s="9">
        <f>IF(OR(F23="",G23=""),"",ROUND((G23-F23)*24,2))</f>
        <v/>
      </c>
      <c r="I23" s="8" t="n"/>
      <c r="J23" s="8" t="n"/>
      <c r="K23" s="8" t="n"/>
      <c r="L23" s="8" t="n"/>
      <c r="M23" s="8" t="n"/>
      <c r="N23" s="8" t="n"/>
      <c r="O23" s="9">
        <f>IF(AND(H23&gt;48,N23="Questionable"),"Likely Abuse",IF(OR(H23&gt;72,N23="No"),"Questionable","Legitimate"))</f>
        <v/>
      </c>
      <c r="P23" s="8" t="n"/>
      <c r="Q23" s="8" t="n"/>
      <c r="R23" s="8" t="n"/>
    </row>
    <row r="24">
      <c r="A24" s="8" t="n"/>
      <c r="B24" s="8" t="n"/>
      <c r="C24" s="8" t="n"/>
      <c r="D24" s="8" t="n"/>
      <c r="E24" s="8" t="n"/>
      <c r="F24" s="8" t="n"/>
      <c r="G24" s="8" t="n"/>
      <c r="H24" s="9">
        <f>IF(OR(F24="",G24=""),"",ROUND((G24-F24)*24,2))</f>
        <v/>
      </c>
      <c r="I24" s="8" t="n"/>
      <c r="J24" s="8" t="n"/>
      <c r="K24" s="8" t="n"/>
      <c r="L24" s="8" t="n"/>
      <c r="M24" s="8" t="n"/>
      <c r="N24" s="8" t="n"/>
      <c r="O24" s="9">
        <f>IF(AND(H24&gt;48,N24="Questionable"),"Likely Abuse",IF(OR(H24&gt;72,N24="No"),"Questionable","Legitimate"))</f>
        <v/>
      </c>
      <c r="P24" s="8" t="n"/>
      <c r="Q24" s="8" t="n"/>
      <c r="R24" s="8" t="n"/>
    </row>
    <row r="25">
      <c r="A25" s="8" t="n"/>
      <c r="B25" s="8" t="n"/>
      <c r="C25" s="8" t="n"/>
      <c r="D25" s="8" t="n"/>
      <c r="E25" s="8" t="n"/>
      <c r="F25" s="8" t="n"/>
      <c r="G25" s="8" t="n"/>
      <c r="H25" s="9">
        <f>IF(OR(F25="",G25=""),"",ROUND((G25-F25)*24,2))</f>
        <v/>
      </c>
      <c r="I25" s="8" t="n"/>
      <c r="J25" s="8" t="n"/>
      <c r="K25" s="8" t="n"/>
      <c r="L25" s="8" t="n"/>
      <c r="M25" s="8" t="n"/>
      <c r="N25" s="8" t="n"/>
      <c r="O25" s="9">
        <f>IF(AND(H25&gt;48,N25="Questionable"),"Likely Abuse",IF(OR(H25&gt;72,N25="No"),"Questionable","Legitimate"))</f>
        <v/>
      </c>
      <c r="P25" s="8" t="n"/>
      <c r="Q25" s="8" t="n"/>
      <c r="R25" s="8" t="n"/>
    </row>
    <row r="26">
      <c r="A26" s="8" t="n"/>
      <c r="B26" s="8" t="n"/>
      <c r="C26" s="8" t="n"/>
      <c r="D26" s="8" t="n"/>
      <c r="E26" s="8" t="n"/>
      <c r="F26" s="8" t="n"/>
      <c r="G26" s="8" t="n"/>
      <c r="H26" s="9">
        <f>IF(OR(F26="",G26=""),"",ROUND((G26-F26)*24,2))</f>
        <v/>
      </c>
      <c r="I26" s="8" t="n"/>
      <c r="J26" s="8" t="n"/>
      <c r="K26" s="8" t="n"/>
      <c r="L26" s="8" t="n"/>
      <c r="M26" s="8" t="n"/>
      <c r="N26" s="8" t="n"/>
      <c r="O26" s="9">
        <f>IF(AND(H26&gt;48,N26="Questionable"),"Likely Abuse",IF(OR(H26&gt;72,N26="No"),"Questionable","Legitimate"))</f>
        <v/>
      </c>
      <c r="P26" s="8" t="n"/>
      <c r="Q26" s="8" t="n"/>
      <c r="R26" s="8" t="n"/>
    </row>
    <row r="27">
      <c r="A27" s="8" t="n"/>
      <c r="B27" s="8" t="n"/>
      <c r="C27" s="8" t="n"/>
      <c r="D27" s="8" t="n"/>
      <c r="E27" s="8" t="n"/>
      <c r="F27" s="8" t="n"/>
      <c r="G27" s="8" t="n"/>
      <c r="H27" s="9">
        <f>IF(OR(F27="",G27=""),"",ROUND((G27-F27)*24,2))</f>
        <v/>
      </c>
      <c r="I27" s="8" t="n"/>
      <c r="J27" s="8" t="n"/>
      <c r="K27" s="8" t="n"/>
      <c r="L27" s="8" t="n"/>
      <c r="M27" s="8" t="n"/>
      <c r="N27" s="8" t="n"/>
      <c r="O27" s="9">
        <f>IF(AND(H27&gt;48,N27="Questionable"),"Likely Abuse",IF(OR(H27&gt;72,N27="No"),"Questionable","Legitimate"))</f>
        <v/>
      </c>
      <c r="P27" s="8" t="n"/>
      <c r="Q27" s="8" t="n"/>
      <c r="R27" s="8" t="n"/>
    </row>
    <row r="28">
      <c r="A28" s="8" t="n"/>
      <c r="B28" s="8" t="n"/>
      <c r="C28" s="8" t="n"/>
      <c r="D28" s="8" t="n"/>
      <c r="E28" s="8" t="n"/>
      <c r="F28" s="8" t="n"/>
      <c r="G28" s="8" t="n"/>
      <c r="H28" s="9">
        <f>IF(OR(F28="",G28=""),"",ROUND((G28-F28)*24,2))</f>
        <v/>
      </c>
      <c r="I28" s="8" t="n"/>
      <c r="J28" s="8" t="n"/>
      <c r="K28" s="8" t="n"/>
      <c r="L28" s="8" t="n"/>
      <c r="M28" s="8" t="n"/>
      <c r="N28" s="8" t="n"/>
      <c r="O28" s="9">
        <f>IF(AND(H28&gt;48,N28="Questionable"),"Likely Abuse",IF(OR(H28&gt;72,N28="No"),"Questionable","Legitimate"))</f>
        <v/>
      </c>
      <c r="P28" s="8" t="n"/>
      <c r="Q28" s="8" t="n"/>
      <c r="R28" s="8" t="n"/>
    </row>
    <row r="29">
      <c r="A29" s="8" t="n"/>
      <c r="B29" s="8" t="n"/>
      <c r="C29" s="8" t="n"/>
      <c r="D29" s="8" t="n"/>
      <c r="E29" s="8" t="n"/>
      <c r="F29" s="8" t="n"/>
      <c r="G29" s="8" t="n"/>
      <c r="H29" s="9">
        <f>IF(OR(F29="",G29=""),"",ROUND((G29-F29)*24,2))</f>
        <v/>
      </c>
      <c r="I29" s="8" t="n"/>
      <c r="J29" s="8" t="n"/>
      <c r="K29" s="8" t="n"/>
      <c r="L29" s="8" t="n"/>
      <c r="M29" s="8" t="n"/>
      <c r="N29" s="8" t="n"/>
      <c r="O29" s="9">
        <f>IF(AND(H29&gt;48,N29="Questionable"),"Likely Abuse",IF(OR(H29&gt;72,N29="No"),"Questionable","Legitimate"))</f>
        <v/>
      </c>
      <c r="P29" s="8" t="n"/>
      <c r="Q29" s="8" t="n"/>
      <c r="R29" s="8" t="n"/>
    </row>
    <row r="30">
      <c r="A30" s="8" t="n"/>
      <c r="B30" s="8" t="n"/>
      <c r="C30" s="8" t="n"/>
      <c r="D30" s="8" t="n"/>
      <c r="E30" s="8" t="n"/>
      <c r="F30" s="8" t="n"/>
      <c r="G30" s="8" t="n"/>
      <c r="H30" s="9">
        <f>IF(OR(F30="",G30=""),"",ROUND((G30-F30)*24,2))</f>
        <v/>
      </c>
      <c r="I30" s="8" t="n"/>
      <c r="J30" s="8" t="n"/>
      <c r="K30" s="8" t="n"/>
      <c r="L30" s="8" t="n"/>
      <c r="M30" s="8" t="n"/>
      <c r="N30" s="8" t="n"/>
      <c r="O30" s="9">
        <f>IF(AND(H30&gt;48,N30="Questionable"),"Likely Abuse",IF(OR(H30&gt;72,N30="No"),"Questionable","Legitimate"))</f>
        <v/>
      </c>
      <c r="P30" s="8" t="n"/>
      <c r="Q30" s="8" t="n"/>
      <c r="R30" s="8" t="n"/>
    </row>
    <row r="31">
      <c r="A31" s="8" t="n"/>
      <c r="B31" s="8" t="n"/>
      <c r="C31" s="8" t="n"/>
      <c r="D31" s="8" t="n"/>
      <c r="E31" s="8" t="n"/>
      <c r="F31" s="8" t="n"/>
      <c r="G31" s="8" t="n"/>
      <c r="H31" s="9">
        <f>IF(OR(F31="",G31=""),"",ROUND((G31-F31)*24,2))</f>
        <v/>
      </c>
      <c r="I31" s="8" t="n"/>
      <c r="J31" s="8" t="n"/>
      <c r="K31" s="8" t="n"/>
      <c r="L31" s="8" t="n"/>
      <c r="M31" s="8" t="n"/>
      <c r="N31" s="8" t="n"/>
      <c r="O31" s="9">
        <f>IF(AND(H31&gt;48,N31="Questionable"),"Likely Abuse",IF(OR(H31&gt;72,N31="No"),"Questionable","Legitimate"))</f>
        <v/>
      </c>
      <c r="P31" s="8" t="n"/>
      <c r="Q31" s="8" t="n"/>
      <c r="R31" s="8" t="n"/>
    </row>
    <row r="32">
      <c r="A32" s="8" t="n"/>
      <c r="B32" s="8" t="n"/>
      <c r="C32" s="8" t="n"/>
      <c r="D32" s="8" t="n"/>
      <c r="E32" s="8" t="n"/>
      <c r="F32" s="8" t="n"/>
      <c r="G32" s="8" t="n"/>
      <c r="H32" s="9">
        <f>IF(OR(F32="",G32=""),"",ROUND((G32-F32)*24,2))</f>
        <v/>
      </c>
      <c r="I32" s="8" t="n"/>
      <c r="J32" s="8" t="n"/>
      <c r="K32" s="8" t="n"/>
      <c r="L32" s="8" t="n"/>
      <c r="M32" s="8" t="n"/>
      <c r="N32" s="8" t="n"/>
      <c r="O32" s="9">
        <f>IF(AND(H32&gt;48,N32="Questionable"),"Likely Abuse",IF(OR(H32&gt;72,N32="No"),"Questionable","Legitimate"))</f>
        <v/>
      </c>
      <c r="P32" s="8" t="n"/>
      <c r="Q32" s="8" t="n"/>
      <c r="R32" s="8" t="n"/>
    </row>
    <row r="33">
      <c r="A33" s="8" t="n"/>
      <c r="B33" s="8" t="n"/>
      <c r="C33" s="8" t="n"/>
      <c r="D33" s="8" t="n"/>
      <c r="E33" s="8" t="n"/>
      <c r="F33" s="8" t="n"/>
      <c r="G33" s="8" t="n"/>
      <c r="H33" s="9">
        <f>IF(OR(F33="",G33=""),"",ROUND((G33-F33)*24,2))</f>
        <v/>
      </c>
      <c r="I33" s="8" t="n"/>
      <c r="J33" s="8" t="n"/>
      <c r="K33" s="8" t="n"/>
      <c r="L33" s="8" t="n"/>
      <c r="M33" s="8" t="n"/>
      <c r="N33" s="8" t="n"/>
      <c r="O33" s="9">
        <f>IF(AND(H33&gt;48,N33="Questionable"),"Likely Abuse",IF(OR(H33&gt;72,N33="No"),"Questionable","Legitimate"))</f>
        <v/>
      </c>
      <c r="P33" s="8" t="n"/>
      <c r="Q33" s="8" t="n"/>
      <c r="R33" s="8" t="n"/>
    </row>
    <row r="34">
      <c r="A34" s="8" t="n"/>
      <c r="B34" s="8" t="n"/>
      <c r="C34" s="8" t="n"/>
      <c r="D34" s="8" t="n"/>
      <c r="E34" s="8" t="n"/>
      <c r="F34" s="8" t="n"/>
      <c r="G34" s="8" t="n"/>
      <c r="H34" s="9">
        <f>IF(OR(F34="",G34=""),"",ROUND((G34-F34)*24,2))</f>
        <v/>
      </c>
      <c r="I34" s="8" t="n"/>
      <c r="J34" s="8" t="n"/>
      <c r="K34" s="8" t="n"/>
      <c r="L34" s="8" t="n"/>
      <c r="M34" s="8" t="n"/>
      <c r="N34" s="8" t="n"/>
      <c r="O34" s="9">
        <f>IF(AND(H34&gt;48,N34="Questionable"),"Likely Abuse",IF(OR(H34&gt;72,N34="No"),"Questionable","Legitimate"))</f>
        <v/>
      </c>
      <c r="P34" s="8" t="n"/>
      <c r="Q34" s="8" t="n"/>
      <c r="R34" s="8" t="n"/>
    </row>
    <row r="35">
      <c r="A35" s="8" t="n"/>
      <c r="B35" s="8" t="n"/>
      <c r="C35" s="8" t="n"/>
      <c r="D35" s="8" t="n"/>
      <c r="E35" s="8" t="n"/>
      <c r="F35" s="8" t="n"/>
      <c r="G35" s="8" t="n"/>
      <c r="H35" s="9">
        <f>IF(OR(F35="",G35=""),"",ROUND((G35-F35)*24,2))</f>
        <v/>
      </c>
      <c r="I35" s="8" t="n"/>
      <c r="J35" s="8" t="n"/>
      <c r="K35" s="8" t="n"/>
      <c r="L35" s="8" t="n"/>
      <c r="M35" s="8" t="n"/>
      <c r="N35" s="8" t="n"/>
      <c r="O35" s="9">
        <f>IF(AND(H35&gt;48,N35="Questionable"),"Likely Abuse",IF(OR(H35&gt;72,N35="No"),"Questionable","Legitimate"))</f>
        <v/>
      </c>
      <c r="P35" s="8" t="n"/>
      <c r="Q35" s="8" t="n"/>
      <c r="R35" s="8" t="n"/>
    </row>
    <row r="36">
      <c r="A36" s="8" t="n"/>
      <c r="B36" s="8" t="n"/>
      <c r="C36" s="8" t="n"/>
      <c r="D36" s="8" t="n"/>
      <c r="E36" s="8" t="n"/>
      <c r="F36" s="8" t="n"/>
      <c r="G36" s="8" t="n"/>
      <c r="H36" s="9">
        <f>IF(OR(F36="",G36=""),"",ROUND((G36-F36)*24,2))</f>
        <v/>
      </c>
      <c r="I36" s="8" t="n"/>
      <c r="J36" s="8" t="n"/>
      <c r="K36" s="8" t="n"/>
      <c r="L36" s="8" t="n"/>
      <c r="M36" s="8" t="n"/>
      <c r="N36" s="8" t="n"/>
      <c r="O36" s="9">
        <f>IF(AND(H36&gt;48,N36="Questionable"),"Likely Abuse",IF(OR(H36&gt;72,N36="No"),"Questionable","Legitimate"))</f>
        <v/>
      </c>
      <c r="P36" s="8" t="n"/>
      <c r="Q36" s="8" t="n"/>
      <c r="R36" s="8" t="n"/>
    </row>
    <row r="37">
      <c r="A37" s="8" t="n"/>
      <c r="B37" s="8" t="n"/>
      <c r="C37" s="8" t="n"/>
      <c r="D37" s="8" t="n"/>
      <c r="E37" s="8" t="n"/>
      <c r="F37" s="8" t="n"/>
      <c r="G37" s="8" t="n"/>
      <c r="H37" s="9">
        <f>IF(OR(F37="",G37=""),"",ROUND((G37-F37)*24,2))</f>
        <v/>
      </c>
      <c r="I37" s="8" t="n"/>
      <c r="J37" s="8" t="n"/>
      <c r="K37" s="8" t="n"/>
      <c r="L37" s="8" t="n"/>
      <c r="M37" s="8" t="n"/>
      <c r="N37" s="8" t="n"/>
      <c r="O37" s="9">
        <f>IF(AND(H37&gt;48,N37="Questionable"),"Likely Abuse",IF(OR(H37&gt;72,N37="No"),"Questionable","Legitimate"))</f>
        <v/>
      </c>
      <c r="P37" s="8" t="n"/>
      <c r="Q37" s="8" t="n"/>
      <c r="R37" s="8" t="n"/>
    </row>
    <row r="38">
      <c r="A38" s="8" t="n"/>
      <c r="B38" s="8" t="n"/>
      <c r="C38" s="8" t="n"/>
      <c r="D38" s="8" t="n"/>
      <c r="E38" s="8" t="n"/>
      <c r="F38" s="8" t="n"/>
      <c r="G38" s="8" t="n"/>
      <c r="H38" s="9">
        <f>IF(OR(F38="",G38=""),"",ROUND((G38-F38)*24,2))</f>
        <v/>
      </c>
      <c r="I38" s="8" t="n"/>
      <c r="J38" s="8" t="n"/>
      <c r="K38" s="8" t="n"/>
      <c r="L38" s="8" t="n"/>
      <c r="M38" s="8" t="n"/>
      <c r="N38" s="8" t="n"/>
      <c r="O38" s="9">
        <f>IF(AND(H38&gt;48,N38="Questionable"),"Likely Abuse",IF(OR(H38&gt;72,N38="No"),"Questionable","Legitimate"))</f>
        <v/>
      </c>
      <c r="P38" s="8" t="n"/>
      <c r="Q38" s="8" t="n"/>
      <c r="R38" s="8" t="n"/>
    </row>
    <row r="39">
      <c r="A39" s="8" t="n"/>
      <c r="B39" s="8" t="n"/>
      <c r="C39" s="8" t="n"/>
      <c r="D39" s="8" t="n"/>
      <c r="E39" s="8" t="n"/>
      <c r="F39" s="8" t="n"/>
      <c r="G39" s="8" t="n"/>
      <c r="H39" s="9">
        <f>IF(OR(F39="",G39=""),"",ROUND((G39-F39)*24,2))</f>
        <v/>
      </c>
      <c r="I39" s="8" t="n"/>
      <c r="J39" s="8" t="n"/>
      <c r="K39" s="8" t="n"/>
      <c r="L39" s="8" t="n"/>
      <c r="M39" s="8" t="n"/>
      <c r="N39" s="8" t="n"/>
      <c r="O39" s="9">
        <f>IF(AND(H39&gt;48,N39="Questionable"),"Likely Abuse",IF(OR(H39&gt;72,N39="No"),"Questionable","Legitimate"))</f>
        <v/>
      </c>
      <c r="P39" s="8" t="n"/>
      <c r="Q39" s="8" t="n"/>
      <c r="R39" s="8" t="n"/>
    </row>
    <row r="40">
      <c r="A40" s="8" t="n"/>
      <c r="B40" s="8" t="n"/>
      <c r="C40" s="8" t="n"/>
      <c r="D40" s="8" t="n"/>
      <c r="E40" s="8" t="n"/>
      <c r="F40" s="8" t="n"/>
      <c r="G40" s="8" t="n"/>
      <c r="H40" s="9">
        <f>IF(OR(F40="",G40=""),"",ROUND((G40-F40)*24,2))</f>
        <v/>
      </c>
      <c r="I40" s="8" t="n"/>
      <c r="J40" s="8" t="n"/>
      <c r="K40" s="8" t="n"/>
      <c r="L40" s="8" t="n"/>
      <c r="M40" s="8" t="n"/>
      <c r="N40" s="8" t="n"/>
      <c r="O40" s="9">
        <f>IF(AND(H40&gt;48,N40="Questionable"),"Likely Abuse",IF(OR(H40&gt;72,N40="No"),"Questionable","Legitimate"))</f>
        <v/>
      </c>
      <c r="P40" s="8" t="n"/>
      <c r="Q40" s="8" t="n"/>
      <c r="R40" s="8" t="n"/>
    </row>
    <row r="41">
      <c r="A41" s="8" t="n"/>
      <c r="B41" s="8" t="n"/>
      <c r="C41" s="8" t="n"/>
      <c r="D41" s="8" t="n"/>
      <c r="E41" s="8" t="n"/>
      <c r="F41" s="8" t="n"/>
      <c r="G41" s="8" t="n"/>
      <c r="H41" s="9">
        <f>IF(OR(F41="",G41=""),"",ROUND((G41-F41)*24,2))</f>
        <v/>
      </c>
      <c r="I41" s="8" t="n"/>
      <c r="J41" s="8" t="n"/>
      <c r="K41" s="8" t="n"/>
      <c r="L41" s="8" t="n"/>
      <c r="M41" s="8" t="n"/>
      <c r="N41" s="8" t="n"/>
      <c r="O41" s="9">
        <f>IF(AND(H41&gt;48,N41="Questionable"),"Likely Abuse",IF(OR(H41&gt;72,N41="No"),"Questionable","Legitimate"))</f>
        <v/>
      </c>
      <c r="P41" s="8" t="n"/>
      <c r="Q41" s="8" t="n"/>
      <c r="R41" s="8" t="n"/>
    </row>
    <row r="42">
      <c r="A42" s="8" t="n"/>
      <c r="B42" s="8" t="n"/>
      <c r="C42" s="8" t="n"/>
      <c r="D42" s="8" t="n"/>
      <c r="E42" s="8" t="n"/>
      <c r="F42" s="8" t="n"/>
      <c r="G42" s="8" t="n"/>
      <c r="H42" s="9">
        <f>IF(OR(F42="",G42=""),"",ROUND((G42-F42)*24,2))</f>
        <v/>
      </c>
      <c r="I42" s="8" t="n"/>
      <c r="J42" s="8" t="n"/>
      <c r="K42" s="8" t="n"/>
      <c r="L42" s="8" t="n"/>
      <c r="M42" s="8" t="n"/>
      <c r="N42" s="8" t="n"/>
      <c r="O42" s="9">
        <f>IF(AND(H42&gt;48,N42="Questionable"),"Likely Abuse",IF(OR(H42&gt;72,N42="No"),"Questionable","Legitimate"))</f>
        <v/>
      </c>
      <c r="P42" s="8" t="n"/>
      <c r="Q42" s="8" t="n"/>
      <c r="R42" s="8" t="n"/>
    </row>
    <row r="43">
      <c r="A43" s="8" t="n"/>
      <c r="B43" s="8" t="n"/>
      <c r="C43" s="8" t="n"/>
      <c r="D43" s="8" t="n"/>
      <c r="E43" s="8" t="n"/>
      <c r="F43" s="8" t="n"/>
      <c r="G43" s="8" t="n"/>
      <c r="H43" s="9">
        <f>IF(OR(F43="",G43=""),"",ROUND((G43-F43)*24,2))</f>
        <v/>
      </c>
      <c r="I43" s="8" t="n"/>
      <c r="J43" s="8" t="n"/>
      <c r="K43" s="8" t="n"/>
      <c r="L43" s="8" t="n"/>
      <c r="M43" s="8" t="n"/>
      <c r="N43" s="8" t="n"/>
      <c r="O43" s="9">
        <f>IF(AND(H43&gt;48,N43="Questionable"),"Likely Abuse",IF(OR(H43&gt;72,N43="No"),"Questionable","Legitimate"))</f>
        <v/>
      </c>
      <c r="P43" s="8" t="n"/>
      <c r="Q43" s="8" t="n"/>
      <c r="R43" s="8" t="n"/>
    </row>
    <row r="44">
      <c r="A44" s="8" t="n"/>
      <c r="B44" s="8" t="n"/>
      <c r="C44" s="8" t="n"/>
      <c r="D44" s="8" t="n"/>
      <c r="E44" s="8" t="n"/>
      <c r="F44" s="8" t="n"/>
      <c r="G44" s="8" t="n"/>
      <c r="H44" s="9">
        <f>IF(OR(F44="",G44=""),"",ROUND((G44-F44)*24,2))</f>
        <v/>
      </c>
      <c r="I44" s="8" t="n"/>
      <c r="J44" s="8" t="n"/>
      <c r="K44" s="8" t="n"/>
      <c r="L44" s="8" t="n"/>
      <c r="M44" s="8" t="n"/>
      <c r="N44" s="8" t="n"/>
      <c r="O44" s="9">
        <f>IF(AND(H44&gt;48,N44="Questionable"),"Likely Abuse",IF(OR(H44&gt;72,N44="No"),"Questionable","Legitimate"))</f>
        <v/>
      </c>
      <c r="P44" s="8" t="n"/>
      <c r="Q44" s="8" t="n"/>
      <c r="R44" s="8" t="n"/>
    </row>
    <row r="45">
      <c r="A45" s="8" t="n"/>
      <c r="B45" s="8" t="n"/>
      <c r="C45" s="8" t="n"/>
      <c r="D45" s="8" t="n"/>
      <c r="E45" s="8" t="n"/>
      <c r="F45" s="8" t="n"/>
      <c r="G45" s="8" t="n"/>
      <c r="H45" s="9">
        <f>IF(OR(F45="",G45=""),"",ROUND((G45-F45)*24,2))</f>
        <v/>
      </c>
      <c r="I45" s="8" t="n"/>
      <c r="J45" s="8" t="n"/>
      <c r="K45" s="8" t="n"/>
      <c r="L45" s="8" t="n"/>
      <c r="M45" s="8" t="n"/>
      <c r="N45" s="8" t="n"/>
      <c r="O45" s="9">
        <f>IF(AND(H45&gt;48,N45="Questionable"),"Likely Abuse",IF(OR(H45&gt;72,N45="No"),"Questionable","Legitimate"))</f>
        <v/>
      </c>
      <c r="P45" s="8" t="n"/>
      <c r="Q45" s="8" t="n"/>
      <c r="R45" s="8" t="n"/>
    </row>
    <row r="46">
      <c r="A46" s="8" t="n"/>
      <c r="B46" s="8" t="n"/>
      <c r="C46" s="8" t="n"/>
      <c r="D46" s="8" t="n"/>
      <c r="E46" s="8" t="n"/>
      <c r="F46" s="8" t="n"/>
      <c r="G46" s="8" t="n"/>
      <c r="H46" s="9">
        <f>IF(OR(F46="",G46=""),"",ROUND((G46-F46)*24,2))</f>
        <v/>
      </c>
      <c r="I46" s="8" t="n"/>
      <c r="J46" s="8" t="n"/>
      <c r="K46" s="8" t="n"/>
      <c r="L46" s="8" t="n"/>
      <c r="M46" s="8" t="n"/>
      <c r="N46" s="8" t="n"/>
      <c r="O46" s="9">
        <f>IF(AND(H46&gt;48,N46="Questionable"),"Likely Abuse",IF(OR(H46&gt;72,N46="No"),"Questionable","Legitimate"))</f>
        <v/>
      </c>
      <c r="P46" s="8" t="n"/>
      <c r="Q46" s="8" t="n"/>
      <c r="R46" s="8" t="n"/>
    </row>
    <row r="47">
      <c r="A47" s="8" t="n"/>
      <c r="B47" s="8" t="n"/>
      <c r="C47" s="8" t="n"/>
      <c r="D47" s="8" t="n"/>
      <c r="E47" s="8" t="n"/>
      <c r="F47" s="8" t="n"/>
      <c r="G47" s="8" t="n"/>
      <c r="H47" s="9">
        <f>IF(OR(F47="",G47=""),"",ROUND((G47-F47)*24,2))</f>
        <v/>
      </c>
      <c r="I47" s="8" t="n"/>
      <c r="J47" s="8" t="n"/>
      <c r="K47" s="8" t="n"/>
      <c r="L47" s="8" t="n"/>
      <c r="M47" s="8" t="n"/>
      <c r="N47" s="8" t="n"/>
      <c r="O47" s="9">
        <f>IF(AND(H47&gt;48,N47="Questionable"),"Likely Abuse",IF(OR(H47&gt;72,N47="No"),"Questionable","Legitimate"))</f>
        <v/>
      </c>
      <c r="P47" s="8" t="n"/>
      <c r="Q47" s="8" t="n"/>
      <c r="R47" s="8" t="n"/>
    </row>
    <row r="48">
      <c r="A48" s="8" t="n"/>
      <c r="B48" s="8" t="n"/>
      <c r="C48" s="8" t="n"/>
      <c r="D48" s="8" t="n"/>
      <c r="E48" s="8" t="n"/>
      <c r="F48" s="8" t="n"/>
      <c r="G48" s="8" t="n"/>
      <c r="H48" s="9">
        <f>IF(OR(F48="",G48=""),"",ROUND((G48-F48)*24,2))</f>
        <v/>
      </c>
      <c r="I48" s="8" t="n"/>
      <c r="J48" s="8" t="n"/>
      <c r="K48" s="8" t="n"/>
      <c r="L48" s="8" t="n"/>
      <c r="M48" s="8" t="n"/>
      <c r="N48" s="8" t="n"/>
      <c r="O48" s="9">
        <f>IF(AND(H48&gt;48,N48="Questionable"),"Likely Abuse",IF(OR(H48&gt;72,N48="No"),"Questionable","Legitimate"))</f>
        <v/>
      </c>
      <c r="P48" s="8" t="n"/>
      <c r="Q48" s="8" t="n"/>
      <c r="R48" s="8" t="n"/>
    </row>
    <row r="49">
      <c r="A49" s="8" t="n"/>
      <c r="B49" s="8" t="n"/>
      <c r="C49" s="8" t="n"/>
      <c r="D49" s="8" t="n"/>
      <c r="E49" s="8" t="n"/>
      <c r="F49" s="8" t="n"/>
      <c r="G49" s="8" t="n"/>
      <c r="H49" s="9">
        <f>IF(OR(F49="",G49=""),"",ROUND((G49-F49)*24,2))</f>
        <v/>
      </c>
      <c r="I49" s="8" t="n"/>
      <c r="J49" s="8" t="n"/>
      <c r="K49" s="8" t="n"/>
      <c r="L49" s="8" t="n"/>
      <c r="M49" s="8" t="n"/>
      <c r="N49" s="8" t="n"/>
      <c r="O49" s="9">
        <f>IF(AND(H49&gt;48,N49="Questionable"),"Likely Abuse",IF(OR(H49&gt;72,N49="No"),"Questionable","Legitimate"))</f>
        <v/>
      </c>
      <c r="P49" s="8" t="n"/>
      <c r="Q49" s="8" t="n"/>
      <c r="R49" s="8" t="n"/>
    </row>
    <row r="50">
      <c r="A50" s="8" t="n"/>
      <c r="B50" s="8" t="n"/>
      <c r="C50" s="8" t="n"/>
      <c r="D50" s="8" t="n"/>
      <c r="E50" s="8" t="n"/>
      <c r="F50" s="8" t="n"/>
      <c r="G50" s="8" t="n"/>
      <c r="H50" s="9">
        <f>IF(OR(F50="",G50=""),"",ROUND((G50-F50)*24,2))</f>
        <v/>
      </c>
      <c r="I50" s="8" t="n"/>
      <c r="J50" s="8" t="n"/>
      <c r="K50" s="8" t="n"/>
      <c r="L50" s="8" t="n"/>
      <c r="M50" s="8" t="n"/>
      <c r="N50" s="8" t="n"/>
      <c r="O50" s="9">
        <f>IF(AND(H50&gt;48,N50="Questionable"),"Likely Abuse",IF(OR(H50&gt;72,N50="No"),"Questionable","Legitimate"))</f>
        <v/>
      </c>
      <c r="P50" s="8" t="n"/>
      <c r="Q50" s="8" t="n"/>
      <c r="R50" s="8" t="n"/>
    </row>
    <row r="51">
      <c r="A51" s="8" t="n"/>
      <c r="B51" s="8" t="n"/>
      <c r="C51" s="8" t="n"/>
      <c r="D51" s="8" t="n"/>
      <c r="E51" s="8" t="n"/>
      <c r="F51" s="8" t="n"/>
      <c r="G51" s="8" t="n"/>
      <c r="H51" s="9">
        <f>IF(OR(F51="",G51=""),"",ROUND((G51-F51)*24,2))</f>
        <v/>
      </c>
      <c r="I51" s="8" t="n"/>
      <c r="J51" s="8" t="n"/>
      <c r="K51" s="8" t="n"/>
      <c r="L51" s="8" t="n"/>
      <c r="M51" s="8" t="n"/>
      <c r="N51" s="8" t="n"/>
      <c r="O51" s="9">
        <f>IF(AND(H51&gt;48,N51="Questionable"),"Likely Abuse",IF(OR(H51&gt;72,N51="No"),"Questionable","Legitimate"))</f>
        <v/>
      </c>
      <c r="P51" s="8" t="n"/>
      <c r="Q51" s="8" t="n"/>
      <c r="R51" s="8" t="n"/>
    </row>
    <row r="52">
      <c r="A52" s="8" t="n"/>
      <c r="B52" s="8" t="n"/>
      <c r="C52" s="8" t="n"/>
      <c r="D52" s="8" t="n"/>
      <c r="E52" s="8" t="n"/>
      <c r="F52" s="8" t="n"/>
      <c r="G52" s="8" t="n"/>
      <c r="H52" s="9">
        <f>IF(OR(F52="",G52=""),"",ROUND((G52-F52)*24,2))</f>
        <v/>
      </c>
      <c r="I52" s="8" t="n"/>
      <c r="J52" s="8" t="n"/>
      <c r="K52" s="8" t="n"/>
      <c r="L52" s="8" t="n"/>
      <c r="M52" s="8" t="n"/>
      <c r="N52" s="8" t="n"/>
      <c r="O52" s="9">
        <f>IF(AND(H52&gt;48,N52="Questionable"),"Likely Abuse",IF(OR(H52&gt;72,N52="No"),"Questionable","Legitimate"))</f>
        <v/>
      </c>
      <c r="P52" s="8" t="n"/>
      <c r="Q52" s="8" t="n"/>
      <c r="R52" s="8" t="n"/>
    </row>
  </sheetData>
  <mergeCells count="1">
    <mergeCell ref="A1:R1"/>
  </mergeCells>
  <conditionalFormatting sqref="M3:M52">
    <cfRule type="cellIs" priority="1" operator="equal" dxfId="4">
      <formula>"Approved"</formula>
    </cfRule>
    <cfRule type="cellIs" priority="2" operator="equal" dxfId="2">
      <formula>"Disapproved (requires reversal)"</formula>
    </cfRule>
    <cfRule type="cellIs" priority="3" operator="equal" dxfId="3">
      <formula>"Not Yet Reviewed"</formula>
    </cfRule>
  </conditionalFormatting>
  <conditionalFormatting sqref="O3:O52">
    <cfRule type="cellIs" priority="4" operator="equal" dxfId="9">
      <formula>"Legitimate"</formula>
    </cfRule>
    <cfRule type="cellIs" priority="5" operator="equal" dxfId="10">
      <formula>"Questionable"</formula>
    </cfRule>
    <cfRule type="cellIs" priority="6" operator="equal" dxfId="1">
      <formula>"Likely Abuse"</formula>
    </cfRule>
  </conditionalFormatting>
  <conditionalFormatting sqref="K3:K52">
    <cfRule type="cellIs" priority="7" operator="equal" dxfId="5">
      <formula>"No"</formula>
    </cfRule>
    <cfRule type="cellIs" priority="8" operator="equal" dxfId="4">
      <formula>"Yes"</formula>
    </cfRule>
  </conditionalFormatting>
  <dataValidations count="5">
    <dataValidation sqref="C3:C52" showDropDown="0" showInputMessage="0" showErrorMessage="0" allowBlank="0" errorTitle="Invalid Entry" error="Invalid entry" promptTitle="Selection Required" prompt="Please select from the dropdown" type="list">
      <formula1>"Security Incident,Service Outage,Critical Bug,Vulnerability Remediation,Other"</formula1>
    </dataValidation>
    <dataValidation sqref="I3:I52" showDropDown="0" showInputMessage="0" showErrorMessage="0" allowBlank="0" errorTitle="Invalid Entry" error="Invalid entry" promptTitle="Selection Required" prompt="Please select from the dropdown" type="list">
      <formula1>"Verbal (CIO/CISO),Email (Expedited),CAB Chair Authorization"</formula1>
    </dataValidation>
    <dataValidation sqref="K3:K52" showDropDown="0" showInputMessage="0" showErrorMessage="0" allowBlank="0" errorTitle="Invalid Entry" error="Invalid entry" promptTitle="Selection Required" prompt="Please select from the dropdown" type="list">
      <formula1>"Yes,No,In Progress"</formula1>
    </dataValidation>
    <dataValidation sqref="M3:M52" showDropDown="0" showInputMessage="0" showErrorMessage="0" allowBlank="0" errorTitle="Invalid Entry" error="Invalid entry" promptTitle="Selection Required" prompt="Please select from the dropdown" type="list">
      <formula1>"✅ Approved,⚠️ Approved with Remediation,❌ Disapproved (requires reversal),⏳ Not Yet Reviewed"</formula1>
    </dataValidation>
    <dataValidation sqref="N3:N52" showDropDown="0" showInputMessage="0" showErrorMessage="0" allowBlank="1" errorTitle="Invalid Entry" error="Invalid entry" promptTitle="Selection Required" prompt="Please select from the dropdown" type="list">
      <formula1>"Yes,No,Questionable"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6" t="inlineStr">
        <is>
          <t>Change Success Metrics Dashboard</t>
        </is>
      </c>
    </row>
    <row r="3" ht="25" customHeight="1">
      <c r="A3" s="4" t="inlineStr">
        <is>
          <t>OVERALL CHANGE METRICS</t>
        </is>
      </c>
    </row>
    <row r="4">
      <c r="A4" s="7" t="inlineStr">
        <is>
          <t>Metric</t>
        </is>
      </c>
      <c r="B4" s="7" t="inlineStr">
        <is>
          <t>Value</t>
        </is>
      </c>
      <c r="C4" s="7" t="inlineStr">
        <is>
          <t>Target</t>
        </is>
      </c>
      <c r="D4" s="7" t="inlineStr">
        <is>
          <t>Status</t>
        </is>
      </c>
    </row>
    <row r="5">
      <c r="A5" s="11" t="inlineStr">
        <is>
          <t>Total Changes (All Types)</t>
        </is>
      </c>
      <c r="B5" s="9">
        <f>COUNTA(Change_Request_Register!A3:A102)-COUNTBLANK(Change_Request_Register!A3:A102)</f>
        <v/>
      </c>
      <c r="C5" s="12" t="inlineStr">
        <is>
          <t>N/A</t>
        </is>
      </c>
    </row>
    <row r="6">
      <c r="A6" s="11" t="inlineStr">
        <is>
          <t>Completed Changes</t>
        </is>
      </c>
      <c r="B6" s="9">
        <f>COUNTIF(Change_Request_Register!J3:J102,"Completed")</f>
        <v/>
      </c>
      <c r="C6" s="12" t="inlineStr">
        <is>
          <t>N/A</t>
        </is>
      </c>
    </row>
    <row r="7">
      <c r="A7" s="11" t="inlineStr">
        <is>
          <t>Failed Changes</t>
        </is>
      </c>
      <c r="B7" s="9">
        <f>COUNTIF(Change_Request_Register!J3:J102,"Failed")</f>
        <v/>
      </c>
      <c r="C7" s="12" t="inlineStr">
        <is>
          <t>&lt;5%</t>
        </is>
      </c>
      <c r="D7" s="9">
        <f>IF(B7=0,"N/A",IF(B7/B5*100&lt;5,"✓ Within Target","✗ Exceeds Target"))</f>
        <v/>
      </c>
    </row>
    <row r="8">
      <c r="A8" s="11" t="inlineStr">
        <is>
          <t>Rolled Back Changes</t>
        </is>
      </c>
      <c r="B8" s="9">
        <f>COUNTIF(Change_Request_Register!J3:J102,"Rolled Back")</f>
        <v/>
      </c>
      <c r="C8" s="12" t="inlineStr">
        <is>
          <t>&lt;3%</t>
        </is>
      </c>
      <c r="D8" s="9">
        <f>IF(B8=0,"N/A",IF(B8/B5*100&lt;3,"✓ Within Target","✗ Exceeds Target"))</f>
        <v/>
      </c>
    </row>
    <row r="9">
      <c r="A9" s="11" t="inlineStr">
        <is>
          <t>Changes in Progress</t>
        </is>
      </c>
      <c r="B9" s="9">
        <f>COUNTIF(Change_Request_Register!J3:J102,"Implementing")+COUNTIF(Change_Request_Register!J3:J102,"Scheduled")</f>
        <v/>
      </c>
      <c r="C9" s="12" t="inlineStr">
        <is>
          <t>N/A</t>
        </is>
      </c>
    </row>
    <row r="10">
      <c r="A10" s="11" t="inlineStr">
        <is>
          <t>Overall Success Rate %</t>
        </is>
      </c>
      <c r="B10" s="10">
        <f>IF((B6+B7+B8)=0,0,B6/(B6+B7+B8)*100)</f>
        <v/>
      </c>
      <c r="C10" s="12" t="inlineStr">
        <is>
          <t>≥95%</t>
        </is>
      </c>
      <c r="D10" s="9">
        <f>IF(B10&gt;=95,"✓ Compliant",IF(B10&gt;=90,"⚠ Partial","✗ Non-Compliant"))</f>
        <v/>
      </c>
    </row>
    <row r="12" ht="25" customHeight="1">
      <c r="A12" s="4" t="inlineStr">
        <is>
          <t>CHANGE TYPE DISTRIBUTION</t>
        </is>
      </c>
    </row>
    <row r="13">
      <c r="A13" s="7" t="inlineStr">
        <is>
          <t>Change Type</t>
        </is>
      </c>
      <c r="B13" s="7" t="inlineStr">
        <is>
          <t>Count</t>
        </is>
      </c>
      <c r="C13" s="7" t="inlineStr">
        <is>
          <t>Percentage</t>
        </is>
      </c>
      <c r="D13" s="7" t="inlineStr">
        <is>
          <t>Target %</t>
        </is>
      </c>
    </row>
    <row r="14">
      <c r="A14" s="11" t="inlineStr">
        <is>
          <t>Standard</t>
        </is>
      </c>
      <c r="B14" s="9">
        <f>COUNTIF(Change_Request_Register!C3:C102,"Standard")</f>
        <v/>
      </c>
      <c r="C14" s="10">
        <f>IF($B$5=0,0,B14/$B$5*100)</f>
        <v/>
      </c>
      <c r="D14" s="11" t="inlineStr">
        <is>
          <t>40-50%</t>
        </is>
      </c>
    </row>
    <row r="15">
      <c r="A15" s="11" t="inlineStr">
        <is>
          <t>Normal</t>
        </is>
      </c>
      <c r="B15" s="9">
        <f>COUNTIF(Change_Request_Register!C3:C102,"Normal")</f>
        <v/>
      </c>
      <c r="C15" s="10">
        <f>IF($B$5=0,0,B15/$B$5*100)</f>
        <v/>
      </c>
      <c r="D15" s="11" t="inlineStr">
        <is>
          <t>40-50%</t>
        </is>
      </c>
    </row>
    <row r="16">
      <c r="A16" s="11" t="inlineStr">
        <is>
          <t>Emergency</t>
        </is>
      </c>
      <c r="B16" s="9">
        <f>COUNTIF(Change_Request_Register!C3:C102,"Emergency")</f>
        <v/>
      </c>
      <c r="C16" s="10">
        <f>IF($B$5=0,0,B16/$B$5*100)</f>
        <v/>
      </c>
      <c r="D16" s="11" t="inlineStr">
        <is>
          <t>&lt;8%</t>
        </is>
      </c>
    </row>
    <row r="17">
      <c r="A17" s="11" t="inlineStr">
        <is>
          <t>Hot Fix</t>
        </is>
      </c>
      <c r="B17" s="9">
        <f>COUNTIF(Change_Request_Register!C3:C102,"Hot Fix")</f>
        <v/>
      </c>
      <c r="C17" s="10">
        <f>IF($B$5=0,0,B17/$B$5*100)</f>
        <v/>
      </c>
      <c r="D17" s="11" t="inlineStr">
        <is>
          <t>&lt;2%</t>
        </is>
      </c>
    </row>
    <row r="19" ht="25" customHeight="1">
      <c r="A19" s="4" t="inlineStr">
        <is>
          <t>SUCCESS RATE BY CHANGE TYPE</t>
        </is>
      </c>
    </row>
    <row r="20">
      <c r="A20" s="7" t="inlineStr">
        <is>
          <t>Change Type</t>
        </is>
      </c>
      <c r="B20" s="7" t="inlineStr">
        <is>
          <t>Total</t>
        </is>
      </c>
      <c r="C20" s="7" t="inlineStr">
        <is>
          <t>Successful</t>
        </is>
      </c>
      <c r="D20" s="7" t="inlineStr">
        <is>
          <t>Success Rate %</t>
        </is>
      </c>
    </row>
    <row r="21">
      <c r="A21" s="11" t="inlineStr">
        <is>
          <t>Standard</t>
        </is>
      </c>
      <c r="B21" s="9">
        <f>COUNTIF(Change_Request_Register!C3:C102,"Standard")</f>
        <v/>
      </c>
      <c r="C21" s="9">
        <f>COUNTIFS(Change_Request_Register!C3:C102,"Standard",Change_Request_Register!J3:J102,"Completed")</f>
        <v/>
      </c>
      <c r="D21" s="10">
        <f>IF(B21=0,0,C21/B21*100)</f>
        <v/>
      </c>
    </row>
    <row r="22">
      <c r="A22" s="11" t="inlineStr">
        <is>
          <t>Normal</t>
        </is>
      </c>
      <c r="B22" s="9">
        <f>COUNTIF(Change_Request_Register!C3:C102,"Normal")</f>
        <v/>
      </c>
      <c r="C22" s="9">
        <f>COUNTIFS(Change_Request_Register!C3:C102,"Normal",Change_Request_Register!J3:J102,"Completed")</f>
        <v/>
      </c>
      <c r="D22" s="10">
        <f>IF(B22=0,0,C22/B22*100)</f>
        <v/>
      </c>
    </row>
    <row r="23">
      <c r="A23" s="11" t="inlineStr">
        <is>
          <t>Emergency</t>
        </is>
      </c>
      <c r="B23" s="9">
        <f>COUNTIF(Change_Request_Register!C3:C102,"Emergency")</f>
        <v/>
      </c>
      <c r="C23" s="9">
        <f>COUNTIFS(Change_Request_Register!C3:C102,"Emergency",Change_Request_Register!J3:J102,"Completed")</f>
        <v/>
      </c>
      <c r="D23" s="10">
        <f>IF(B23=0,0,C23/B23*100)</f>
        <v/>
      </c>
    </row>
    <row r="24">
      <c r="A24" s="11" t="inlineStr">
        <is>
          <t>Hot Fix</t>
        </is>
      </c>
      <c r="B24" s="9">
        <f>COUNTIF(Change_Request_Register!C3:C102,"Hot Fix")</f>
        <v/>
      </c>
      <c r="C24" s="9">
        <f>COUNTIFS(Change_Request_Register!C3:C102,"Hot Fix",Change_Request_Register!J3:J102,"Completed")</f>
        <v/>
      </c>
      <c r="D24" s="10">
        <f>IF(B24=0,0,C24/B24*100)</f>
        <v/>
      </c>
    </row>
    <row r="26" ht="25" customHeight="1">
      <c r="A26" s="4" t="inlineStr">
        <is>
          <t>EMERGENCY CHANGE ANALYSIS</t>
        </is>
      </c>
    </row>
    <row r="27">
      <c r="A27" s="7" t="inlineStr">
        <is>
          <t>Metric</t>
        </is>
      </c>
      <c r="B27" s="7" t="inlineStr">
        <is>
          <t>Value</t>
        </is>
      </c>
      <c r="C27" s="7" t="inlineStr">
        <is>
          <t>Target</t>
        </is>
      </c>
      <c r="D27" s="7" t="inlineStr">
        <is>
          <t>Status</t>
        </is>
      </c>
    </row>
    <row r="28">
      <c r="A28" s="11" t="inlineStr">
        <is>
          <t>Total Emergency Changes</t>
        </is>
      </c>
      <c r="B28" s="9">
        <f>COUNTA(Emergency_Changes!A3:A52)-COUNTBLANK(Emergency_Changes!A3:A52)</f>
        <v/>
      </c>
      <c r="C28" s="12" t="inlineStr">
        <is>
          <t>N/A</t>
        </is>
      </c>
      <c r="D28" s="9" t="inlineStr"/>
    </row>
    <row r="29">
      <c r="A29" s="11" t="inlineStr">
        <is>
          <t>Emergency Changes %</t>
        </is>
      </c>
      <c r="B29" s="10">
        <f>IF($B$5=0,0,B29/$B$5*100)</f>
        <v/>
      </c>
      <c r="C29" s="12" t="inlineStr">
        <is>
          <t>&lt;10%</t>
        </is>
      </c>
      <c r="D29" s="9">
        <f>IF(B29&lt;10,"✓ Within Target",IF(B29&lt;15,"⚠ Warning","✗ Critical"))</f>
        <v/>
      </c>
    </row>
    <row r="30">
      <c r="A30" s="11" t="inlineStr">
        <is>
          <t>Emergency Changes Not Reviewed</t>
        </is>
      </c>
      <c r="B30" s="9">
        <f>COUNTIF(Emergency_Changes!M3:M52,"Not Yet Reviewed")</f>
        <v/>
      </c>
      <c r="C30" s="12" t="inlineStr">
        <is>
          <t>0</t>
        </is>
      </c>
      <c r="D30" s="9">
        <f>IF(B30=0,"✓ All Reviewed","✗ "&amp;B30&amp;" Pending")</f>
        <v/>
      </c>
    </row>
    <row r="31">
      <c r="A31" s="11" t="inlineStr">
        <is>
          <t>Process Abuse Flagged</t>
        </is>
      </c>
      <c r="B31" s="9">
        <f>COUNTIF(Emergency_Changes!O3:O52,"Likely Abuse")</f>
        <v/>
      </c>
      <c r="C31" s="12" t="inlineStr">
        <is>
          <t>0</t>
        </is>
      </c>
      <c r="D31" s="9">
        <f>IF(B31=0,"✓ None","✗ "&amp;B31&amp;" Flagged")</f>
        <v/>
      </c>
    </row>
    <row r="34">
      <c r="A34" s="13" t="inlineStr">
        <is>
          <t>NOTE: All metrics auto-calculated. Review monthly. Target: ≥95% success rate, &lt;10% emergency changes.</t>
        </is>
      </c>
    </row>
  </sheetData>
  <mergeCells count="6">
    <mergeCell ref="A1:D1"/>
    <mergeCell ref="A34:D34"/>
    <mergeCell ref="A12:D12"/>
    <mergeCell ref="A26:D26"/>
    <mergeCell ref="A3:D3"/>
    <mergeCell ref="A19:D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 width="15" customWidth="1" min="5" max="5"/>
  </cols>
  <sheetData>
    <row r="1" ht="35" customHeight="1">
      <c r="A1" s="6" t="inlineStr">
        <is>
          <t>Change Control Compliance Dashboard</t>
        </is>
      </c>
    </row>
    <row r="3" ht="25" customHeight="1">
      <c r="A3" s="4" t="inlineStr">
        <is>
          <t>APPROVAL COMPLIANCE</t>
        </is>
      </c>
    </row>
    <row r="4">
      <c r="A4" s="7" t="inlineStr">
        <is>
          <t>Compliance Check</t>
        </is>
      </c>
      <c r="B4" s="7" t="inlineStr">
        <is>
          <t>Compliant</t>
        </is>
      </c>
      <c r="C4" s="7" t="inlineStr">
        <is>
          <t>Non-Compliant</t>
        </is>
      </c>
      <c r="D4" s="7" t="inlineStr">
        <is>
          <t>Compliance %</t>
        </is>
      </c>
      <c r="E4" s="7" t="inlineStr">
        <is>
          <t>Target</t>
        </is>
      </c>
    </row>
    <row r="5">
      <c r="A5" s="11" t="inlineStr">
        <is>
          <t>All Changes Have Approval Records</t>
        </is>
      </c>
      <c r="B5" s="9">
        <f>COUNTIF(Change_Approval_Workflow!O3:O102,"Approved")+COUNTIF(Change_Approval_Workflow!O3:O102,"Rejected")</f>
        <v/>
      </c>
      <c r="C5" s="9">
        <f>COUNTA(Change_Request_Register!A3:A102)-COUNTBLANK(Change_Request_Register!A3:A102)-B5</f>
        <v/>
      </c>
      <c r="D5" s="10">
        <f>IF((B5+C5)=0,0,B5/(B5+C5)*100)</f>
        <v/>
      </c>
      <c r="E5" s="11" t="inlineStr">
        <is>
          <t>100%</t>
        </is>
      </c>
    </row>
    <row r="6">
      <c r="A6" s="11" t="inlineStr">
        <is>
          <t>Emergency Changes Have Post-Facto Review</t>
        </is>
      </c>
      <c r="B6" s="9">
        <f>COUNTIFS(Emergency_Changes!M3:M52,"Approved")+COUNTIFS(Emergency_Changes!M3:M52,"Approved with Remediation")</f>
        <v/>
      </c>
      <c r="C6" s="9">
        <f>COUNTA(Emergency_Changes!A3:A52)-COUNTBLANK(Emergency_Changes!A3:A52)-B6</f>
        <v/>
      </c>
      <c r="D6" s="10">
        <f>IF((B6+C6)=0,0,B6/(B6+C6)*100)</f>
        <v/>
      </c>
      <c r="E6" s="11" t="inlineStr">
        <is>
          <t>100%</t>
        </is>
      </c>
    </row>
    <row r="8" ht="25" customHeight="1">
      <c r="A8" s="4" t="inlineStr">
        <is>
          <t>TESTING COMPLIANCE</t>
        </is>
      </c>
    </row>
    <row r="9">
      <c r="A9" s="7" t="inlineStr">
        <is>
          <t>Compliance Check</t>
        </is>
      </c>
      <c r="B9" s="7" t="inlineStr">
        <is>
          <t>Compliant</t>
        </is>
      </c>
      <c r="C9" s="7" t="inlineStr">
        <is>
          <t>Non-Compliant</t>
        </is>
      </c>
      <c r="D9" s="7" t="inlineStr">
        <is>
          <t>Compliance %</t>
        </is>
      </c>
      <c r="E9" s="7" t="inlineStr">
        <is>
          <t>Target</t>
        </is>
      </c>
    </row>
    <row r="10">
      <c r="A10" s="11" t="inlineStr">
        <is>
          <t>Normal Changes Have Testing</t>
        </is>
      </c>
      <c r="B10" s="9">
        <f>COUNTIFS(Change_Request_Register!C3:C102,"Normal",Testing_Validation!C3:C102,"Yes")</f>
        <v/>
      </c>
      <c r="C10" s="9">
        <f>COUNTIF(Change_Request_Register!C3:C102,"Normal")-B10</f>
        <v/>
      </c>
      <c r="D10" s="10">
        <f>IF((B10+C10)=0,0,B10/(B10+C10)*100)</f>
        <v/>
      </c>
      <c r="E10" s="11" t="inlineStr">
        <is>
          <t>100%</t>
        </is>
      </c>
    </row>
    <row r="11">
      <c r="A11" s="11" t="inlineStr">
        <is>
          <t>Test Pass Rate ≥95%</t>
        </is>
      </c>
      <c r="B11" s="9">
        <f>COUNTIF(Testing_Validation!L3:L102,"&gt;=95")</f>
        <v/>
      </c>
      <c r="C11" s="9">
        <f>COUNTIF(Testing_Validation!L3:L102,"&lt;95")</f>
        <v/>
      </c>
      <c r="D11" s="10">
        <f>IF((B11+C11)=0,0,B11/(B11+C11)*100)</f>
        <v/>
      </c>
      <c r="E11" s="11" t="inlineStr">
        <is>
          <t>95%</t>
        </is>
      </c>
    </row>
    <row r="12">
      <c r="A12" s="11" t="inlineStr">
        <is>
          <t>Go/No-Go Decision Documented</t>
        </is>
      </c>
      <c r="B12" s="9">
        <f>COUNTIF(Testing_Validation!P3:P102,"Go")+COUNTIF(Testing_Validation!P3:P102,"No-Go")</f>
        <v/>
      </c>
      <c r="C12" s="9">
        <f>COUNTA(Testing_Validation!A3:A102)-COUNTBLANK(Testing_Validation!A3:A102)-B12</f>
        <v/>
      </c>
      <c r="D12" s="10">
        <f>IF((B12+C12)=0,0,B12/(B12+C12)*100)</f>
        <v/>
      </c>
      <c r="E12" s="11" t="inlineStr">
        <is>
          <t>100%</t>
        </is>
      </c>
    </row>
    <row r="14" ht="25" customHeight="1">
      <c r="A14" s="4" t="inlineStr">
        <is>
          <t>ROLLBACK COMPLIANCE</t>
        </is>
      </c>
    </row>
    <row r="15">
      <c r="A15" s="7" t="inlineStr">
        <is>
          <t>Compliance Check</t>
        </is>
      </c>
      <c r="B15" s="7" t="inlineStr">
        <is>
          <t>Compliant</t>
        </is>
      </c>
      <c r="C15" s="7" t="inlineStr">
        <is>
          <t>Non-Compliant</t>
        </is>
      </c>
      <c r="D15" s="7" t="inlineStr">
        <is>
          <t>Compliance %</t>
        </is>
      </c>
      <c r="E15" s="7" t="inlineStr">
        <is>
          <t>Target</t>
        </is>
      </c>
    </row>
    <row r="16">
      <c r="A16" s="11" t="inlineStr">
        <is>
          <t>High-Risk Changes Have Rollback Plan</t>
        </is>
      </c>
      <c r="B16" s="9">
        <f>COUNTIFS(Impact_Assessment!H3:H102,"High",Rollback_Capability!C3:C102,"Yes")+COUNTIFS(Impact_Assessment!H3:H102,"Critical",Rollback_Capability!C3:C102,"Yes")</f>
        <v/>
      </c>
      <c r="C16" s="9">
        <f>(COUNTIF(Impact_Assessment!H3:H102,"High")+COUNTIF(Impact_Assessment!H3:H102,"Critical"))-B16</f>
        <v/>
      </c>
      <c r="D16" s="10">
        <f>IF((B16+C16)=0,0,B16/(B16+C16)*100)</f>
        <v/>
      </c>
      <c r="E16" s="11" t="inlineStr">
        <is>
          <t>100%</t>
        </is>
      </c>
    </row>
    <row r="17">
      <c r="A17" s="11" t="inlineStr">
        <is>
          <t>Rollback Procedures Tested</t>
        </is>
      </c>
      <c r="B17" s="9">
        <f>COUNTIF(Rollback_Capability!P3:P102,"Ready")</f>
        <v/>
      </c>
      <c r="C17" s="9">
        <f>COUNTIF(Rollback_Capability!P3:P102,"Not Ready")</f>
        <v/>
      </c>
      <c r="D17" s="10">
        <f>IF((B17+C17)=0,0,B17/(B17+C17)*100)</f>
        <v/>
      </c>
      <c r="E17" s="11" t="inlineStr">
        <is>
          <t>100%</t>
        </is>
      </c>
    </row>
    <row r="19" ht="25" customHeight="1">
      <c r="A19" s="4" t="inlineStr">
        <is>
          <t>OVERALL COMPLIANCE SUMMARY</t>
        </is>
      </c>
    </row>
    <row r="20">
      <c r="A20" s="7" t="inlineStr">
        <is>
          <t>Category</t>
        </is>
      </c>
      <c r="D20" s="7" t="inlineStr">
        <is>
          <t>Compliance %</t>
        </is>
      </c>
      <c r="E20" s="7" t="inlineStr">
        <is>
          <t>Status</t>
        </is>
      </c>
    </row>
    <row r="21">
      <c r="A21" t="inlineStr">
        <is>
          <t>Approval Process</t>
        </is>
      </c>
      <c r="D21" s="10">
        <f>AVERAGE(D6:D7)</f>
        <v/>
      </c>
      <c r="E21" s="9">
        <f>IF(D21&gt;=95,"✓ Compliant",IF(D21&gt;=90,"⚠ Partial","✗ Non-Compliant"))</f>
        <v/>
      </c>
    </row>
    <row r="22">
      <c r="A22" t="inlineStr">
        <is>
          <t>Testing Process</t>
        </is>
      </c>
      <c r="D22" s="10">
        <f>AVERAGE(D11:D13)</f>
        <v/>
      </c>
      <c r="E22" s="9">
        <f>IF(D22&gt;=95,"✓ Compliant",IF(D22&gt;=90,"⚠ Partial","✗ Non-Compliant"))</f>
        <v/>
      </c>
    </row>
    <row r="23">
      <c r="A23" t="inlineStr">
        <is>
          <t>Rollback Readiness</t>
        </is>
      </c>
      <c r="D23" s="10">
        <f>AVERAGE(D17:D18)</f>
        <v/>
      </c>
      <c r="E23" s="9">
        <f>IF(D23&gt;=95,"✓ Compliant",IF(D23&gt;=90,"⚠ Partial","✗ Non-Compliant"))</f>
        <v/>
      </c>
    </row>
    <row r="24">
      <c r="A24" s="14" t="inlineStr">
        <is>
          <t>OVERALL COMPLIANCE</t>
        </is>
      </c>
      <c r="D24" s="10">
        <f>AVERAGE(D21:D23)</f>
        <v/>
      </c>
      <c r="E24" s="9">
        <f>IF(D24&gt;=95,"✓ COMPLIANT",IF(D24&gt;=90,"⚠ PARTIAL","✗ NON-COMPLIANT"))</f>
        <v/>
      </c>
    </row>
  </sheetData>
  <mergeCells count="5">
    <mergeCell ref="A19:E19"/>
    <mergeCell ref="A8:E8"/>
    <mergeCell ref="A1:E1"/>
    <mergeCell ref="A14:E14"/>
    <mergeCell ref="A3:E3"/>
  </mergeCells>
  <conditionalFormatting sqref="D6:D24">
    <cfRule type="cellIs" priority="1" operator="greaterThanOrEqual" dxfId="4">
      <formula>95</formula>
    </cfRule>
    <cfRule type="cellIs" priority="2" operator="between" dxfId="3">
      <formula>90</formula>
      <formula>94.9</formula>
    </cfRule>
    <cfRule type="cellIs" priority="3" operator="lessThan" dxfId="5">
      <formula>90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40" customWidth="1" min="3" max="3"/>
    <col width="20" customWidth="1" min="4" max="4"/>
    <col width="15" customWidth="1" min="5" max="5"/>
    <col width="40" customWidth="1" min="6" max="6"/>
    <col width="20" customWidth="1" min="7" max="7"/>
    <col width="15" customWidth="1" min="8" max="8"/>
    <col width="15" customWidth="1" min="9" max="9"/>
    <col width="15" customWidth="1" min="10" max="10"/>
    <col width="18" customWidth="1" min="11" max="11"/>
    <col width="25" customWidth="1" min="12" max="12"/>
    <col width="35" customWidth="1" min="13" max="13"/>
  </cols>
  <sheetData>
    <row r="1" ht="30" customHeight="1">
      <c r="A1" s="6" t="inlineStr">
        <is>
          <t>Evidence Register - Change Control Assessment</t>
        </is>
      </c>
    </row>
    <row r="2" ht="30" customHeight="1">
      <c r="A2" s="7" t="inlineStr">
        <is>
          <t>Evidence ID</t>
        </is>
      </c>
      <c r="B2" s="7" t="inlineStr">
        <is>
          <t>Evidence Type</t>
        </is>
      </c>
      <c r="C2" s="7" t="inlineStr">
        <is>
          <t>Evidence Description</t>
        </is>
      </c>
      <c r="D2" s="7" t="inlineStr">
        <is>
          <t>Related Change ID(s)</t>
        </is>
      </c>
      <c r="E2" s="7" t="inlineStr">
        <is>
          <t>Evidence Date</t>
        </is>
      </c>
      <c r="F2" s="7" t="inlineStr">
        <is>
          <t>Evidence Location</t>
        </is>
      </c>
      <c r="G2" s="7" t="inlineStr">
        <is>
          <t>Evidence Owner</t>
        </is>
      </c>
      <c r="H2" s="7" t="inlineStr">
        <is>
          <t>Evidence Classification</t>
        </is>
      </c>
      <c r="I2" s="7" t="inlineStr">
        <is>
          <t>Retention Period</t>
        </is>
      </c>
      <c r="J2" s="7" t="inlineStr">
        <is>
          <t>Last Verified Date</t>
        </is>
      </c>
      <c r="K2" s="7" t="inlineStr">
        <is>
          <t>Verification Status</t>
        </is>
      </c>
      <c r="L2" s="7" t="inlineStr">
        <is>
          <t>Linked Control Requirement</t>
        </is>
      </c>
      <c r="M2" s="7" t="inlineStr">
        <is>
          <t>Notes</t>
        </is>
      </c>
    </row>
    <row r="3">
      <c r="A3" s="8" t="n"/>
      <c r="B3" s="8" t="n"/>
      <c r="C3" s="8" t="n"/>
      <c r="D3" s="8" t="n"/>
      <c r="E3" s="8" t="n"/>
      <c r="F3" s="8" t="n"/>
      <c r="G3" s="8" t="n"/>
      <c r="H3" s="8" t="n"/>
      <c r="I3" s="8" t="n"/>
      <c r="J3" s="8" t="n"/>
      <c r="K3" s="8" t="n"/>
      <c r="L3" s="8" t="n"/>
      <c r="M3" s="8" t="n"/>
    </row>
    <row r="4">
      <c r="A4" s="8" t="n"/>
      <c r="B4" s="8" t="n"/>
      <c r="C4" s="8" t="n"/>
      <c r="D4" s="8" t="n"/>
      <c r="E4" s="8" t="n"/>
      <c r="F4" s="8" t="n"/>
      <c r="G4" s="8" t="n"/>
      <c r="H4" s="8" t="n"/>
      <c r="I4" s="8" t="n"/>
      <c r="J4" s="8" t="n"/>
      <c r="K4" s="8" t="n"/>
      <c r="L4" s="8" t="n"/>
      <c r="M4" s="8" t="n"/>
    </row>
    <row r="5">
      <c r="A5" s="8" t="n"/>
      <c r="B5" s="8" t="n"/>
      <c r="C5" s="8" t="n"/>
      <c r="D5" s="8" t="n"/>
      <c r="E5" s="8" t="n"/>
      <c r="F5" s="8" t="n"/>
      <c r="G5" s="8" t="n"/>
      <c r="H5" s="8" t="n"/>
      <c r="I5" s="8" t="n"/>
      <c r="J5" s="8" t="n"/>
      <c r="K5" s="8" t="n"/>
      <c r="L5" s="8" t="n"/>
      <c r="M5" s="8" t="n"/>
    </row>
    <row r="6">
      <c r="A6" s="8" t="n"/>
      <c r="B6" s="8" t="n"/>
      <c r="C6" s="8" t="n"/>
      <c r="D6" s="8" t="n"/>
      <c r="E6" s="8" t="n"/>
      <c r="F6" s="8" t="n"/>
      <c r="G6" s="8" t="n"/>
      <c r="H6" s="8" t="n"/>
      <c r="I6" s="8" t="n"/>
      <c r="J6" s="8" t="n"/>
      <c r="K6" s="8" t="n"/>
      <c r="L6" s="8" t="n"/>
      <c r="M6" s="8" t="n"/>
    </row>
    <row r="7">
      <c r="A7" s="8" t="n"/>
      <c r="B7" s="8" t="n"/>
      <c r="C7" s="8" t="n"/>
      <c r="D7" s="8" t="n"/>
      <c r="E7" s="8" t="n"/>
      <c r="F7" s="8" t="n"/>
      <c r="G7" s="8" t="n"/>
      <c r="H7" s="8" t="n"/>
      <c r="I7" s="8" t="n"/>
      <c r="J7" s="8" t="n"/>
      <c r="K7" s="8" t="n"/>
      <c r="L7" s="8" t="n"/>
      <c r="M7" s="8" t="n"/>
    </row>
    <row r="8">
      <c r="A8" s="8" t="n"/>
      <c r="B8" s="8" t="n"/>
      <c r="C8" s="8" t="n"/>
      <c r="D8" s="8" t="n"/>
      <c r="E8" s="8" t="n"/>
      <c r="F8" s="8" t="n"/>
      <c r="G8" s="8" t="n"/>
      <c r="H8" s="8" t="n"/>
      <c r="I8" s="8" t="n"/>
      <c r="J8" s="8" t="n"/>
      <c r="K8" s="8" t="n"/>
      <c r="L8" s="8" t="n"/>
      <c r="M8" s="8" t="n"/>
    </row>
    <row r="9">
      <c r="A9" s="8" t="n"/>
      <c r="B9" s="8" t="n"/>
      <c r="C9" s="8" t="n"/>
      <c r="D9" s="8" t="n"/>
      <c r="E9" s="8" t="n"/>
      <c r="F9" s="8" t="n"/>
      <c r="G9" s="8" t="n"/>
      <c r="H9" s="8" t="n"/>
      <c r="I9" s="8" t="n"/>
      <c r="J9" s="8" t="n"/>
      <c r="K9" s="8" t="n"/>
      <c r="L9" s="8" t="n"/>
      <c r="M9" s="8" t="n"/>
    </row>
    <row r="10">
      <c r="A10" s="8" t="n"/>
      <c r="B10" s="8" t="n"/>
      <c r="C10" s="8" t="n"/>
      <c r="D10" s="8" t="n"/>
      <c r="E10" s="8" t="n"/>
      <c r="F10" s="8" t="n"/>
      <c r="G10" s="8" t="n"/>
      <c r="H10" s="8" t="n"/>
      <c r="I10" s="8" t="n"/>
      <c r="J10" s="8" t="n"/>
      <c r="K10" s="8" t="n"/>
      <c r="L10" s="8" t="n"/>
      <c r="M10" s="8" t="n"/>
    </row>
    <row r="11">
      <c r="A11" s="8" t="n"/>
      <c r="B11" s="8" t="n"/>
      <c r="C11" s="8" t="n"/>
      <c r="D11" s="8" t="n"/>
      <c r="E11" s="8" t="n"/>
      <c r="F11" s="8" t="n"/>
      <c r="G11" s="8" t="n"/>
      <c r="H11" s="8" t="n"/>
      <c r="I11" s="8" t="n"/>
      <c r="J11" s="8" t="n"/>
      <c r="K11" s="8" t="n"/>
      <c r="L11" s="8" t="n"/>
      <c r="M11" s="8" t="n"/>
    </row>
    <row r="12">
      <c r="A12" s="8" t="n"/>
      <c r="B12" s="8" t="n"/>
      <c r="C12" s="8" t="n"/>
      <c r="D12" s="8" t="n"/>
      <c r="E12" s="8" t="n"/>
      <c r="F12" s="8" t="n"/>
      <c r="G12" s="8" t="n"/>
      <c r="H12" s="8" t="n"/>
      <c r="I12" s="8" t="n"/>
      <c r="J12" s="8" t="n"/>
      <c r="K12" s="8" t="n"/>
      <c r="L12" s="8" t="n"/>
      <c r="M12" s="8" t="n"/>
    </row>
    <row r="13">
      <c r="A13" s="8" t="n"/>
      <c r="B13" s="8" t="n"/>
      <c r="C13" s="8" t="n"/>
      <c r="D13" s="8" t="n"/>
      <c r="E13" s="8" t="n"/>
      <c r="F13" s="8" t="n"/>
      <c r="G13" s="8" t="n"/>
      <c r="H13" s="8" t="n"/>
      <c r="I13" s="8" t="n"/>
      <c r="J13" s="8" t="n"/>
      <c r="K13" s="8" t="n"/>
      <c r="L13" s="8" t="n"/>
      <c r="M13" s="8" t="n"/>
    </row>
    <row r="14">
      <c r="A14" s="8" t="n"/>
      <c r="B14" s="8" t="n"/>
      <c r="C14" s="8" t="n"/>
      <c r="D14" s="8" t="n"/>
      <c r="E14" s="8" t="n"/>
      <c r="F14" s="8" t="n"/>
      <c r="G14" s="8" t="n"/>
      <c r="H14" s="8" t="n"/>
      <c r="I14" s="8" t="n"/>
      <c r="J14" s="8" t="n"/>
      <c r="K14" s="8" t="n"/>
      <c r="L14" s="8" t="n"/>
      <c r="M14" s="8" t="n"/>
    </row>
    <row r="15">
      <c r="A15" s="8" t="n"/>
      <c r="B15" s="8" t="n"/>
      <c r="C15" s="8" t="n"/>
      <c r="D15" s="8" t="n"/>
      <c r="E15" s="8" t="n"/>
      <c r="F15" s="8" t="n"/>
      <c r="G15" s="8" t="n"/>
      <c r="H15" s="8" t="n"/>
      <c r="I15" s="8" t="n"/>
      <c r="J15" s="8" t="n"/>
      <c r="K15" s="8" t="n"/>
      <c r="L15" s="8" t="n"/>
      <c r="M15" s="8" t="n"/>
    </row>
    <row r="16">
      <c r="A16" s="8" t="n"/>
      <c r="B16" s="8" t="n"/>
      <c r="C16" s="8" t="n"/>
      <c r="D16" s="8" t="n"/>
      <c r="E16" s="8" t="n"/>
      <c r="F16" s="8" t="n"/>
      <c r="G16" s="8" t="n"/>
      <c r="H16" s="8" t="n"/>
      <c r="I16" s="8" t="n"/>
      <c r="J16" s="8" t="n"/>
      <c r="K16" s="8" t="n"/>
      <c r="L16" s="8" t="n"/>
      <c r="M16" s="8" t="n"/>
    </row>
    <row r="17">
      <c r="A17" s="8" t="n"/>
      <c r="B17" s="8" t="n"/>
      <c r="C17" s="8" t="n"/>
      <c r="D17" s="8" t="n"/>
      <c r="E17" s="8" t="n"/>
      <c r="F17" s="8" t="n"/>
      <c r="G17" s="8" t="n"/>
      <c r="H17" s="8" t="n"/>
      <c r="I17" s="8" t="n"/>
      <c r="J17" s="8" t="n"/>
      <c r="K17" s="8" t="n"/>
      <c r="L17" s="8" t="n"/>
      <c r="M17" s="8" t="n"/>
    </row>
    <row r="18">
      <c r="A18" s="8" t="n"/>
      <c r="B18" s="8" t="n"/>
      <c r="C18" s="8" t="n"/>
      <c r="D18" s="8" t="n"/>
      <c r="E18" s="8" t="n"/>
      <c r="F18" s="8" t="n"/>
      <c r="G18" s="8" t="n"/>
      <c r="H18" s="8" t="n"/>
      <c r="I18" s="8" t="n"/>
      <c r="J18" s="8" t="n"/>
      <c r="K18" s="8" t="n"/>
      <c r="L18" s="8" t="n"/>
      <c r="M18" s="8" t="n"/>
    </row>
    <row r="19">
      <c r="A19" s="8" t="n"/>
      <c r="B19" s="8" t="n"/>
      <c r="C19" s="8" t="n"/>
      <c r="D19" s="8" t="n"/>
      <c r="E19" s="8" t="n"/>
      <c r="F19" s="8" t="n"/>
      <c r="G19" s="8" t="n"/>
      <c r="H19" s="8" t="n"/>
      <c r="I19" s="8" t="n"/>
      <c r="J19" s="8" t="n"/>
      <c r="K19" s="8" t="n"/>
      <c r="L19" s="8" t="n"/>
      <c r="M19" s="8" t="n"/>
    </row>
    <row r="20">
      <c r="A20" s="8" t="n"/>
      <c r="B20" s="8" t="n"/>
      <c r="C20" s="8" t="n"/>
      <c r="D20" s="8" t="n"/>
      <c r="E20" s="8" t="n"/>
      <c r="F20" s="8" t="n"/>
      <c r="G20" s="8" t="n"/>
      <c r="H20" s="8" t="n"/>
      <c r="I20" s="8" t="n"/>
      <c r="J20" s="8" t="n"/>
      <c r="K20" s="8" t="n"/>
      <c r="L20" s="8" t="n"/>
      <c r="M20" s="8" t="n"/>
    </row>
    <row r="21">
      <c r="A21" s="8" t="n"/>
      <c r="B21" s="8" t="n"/>
      <c r="C21" s="8" t="n"/>
      <c r="D21" s="8" t="n"/>
      <c r="E21" s="8" t="n"/>
      <c r="F21" s="8" t="n"/>
      <c r="G21" s="8" t="n"/>
      <c r="H21" s="8" t="n"/>
      <c r="I21" s="8" t="n"/>
      <c r="J21" s="8" t="n"/>
      <c r="K21" s="8" t="n"/>
      <c r="L21" s="8" t="n"/>
      <c r="M21" s="8" t="n"/>
    </row>
    <row r="22">
      <c r="A22" s="8" t="n"/>
      <c r="B22" s="8" t="n"/>
      <c r="C22" s="8" t="n"/>
      <c r="D22" s="8" t="n"/>
      <c r="E22" s="8" t="n"/>
      <c r="F22" s="8" t="n"/>
      <c r="G22" s="8" t="n"/>
      <c r="H22" s="8" t="n"/>
      <c r="I22" s="8" t="n"/>
      <c r="J22" s="8" t="n"/>
      <c r="K22" s="8" t="n"/>
      <c r="L22" s="8" t="n"/>
      <c r="M22" s="8" t="n"/>
    </row>
    <row r="23">
      <c r="A23" s="8" t="n"/>
      <c r="B23" s="8" t="n"/>
      <c r="C23" s="8" t="n"/>
      <c r="D23" s="8" t="n"/>
      <c r="E23" s="8" t="n"/>
      <c r="F23" s="8" t="n"/>
      <c r="G23" s="8" t="n"/>
      <c r="H23" s="8" t="n"/>
      <c r="I23" s="8" t="n"/>
      <c r="J23" s="8" t="n"/>
      <c r="K23" s="8" t="n"/>
      <c r="L23" s="8" t="n"/>
      <c r="M23" s="8" t="n"/>
    </row>
    <row r="24">
      <c r="A24" s="8" t="n"/>
      <c r="B24" s="8" t="n"/>
      <c r="C24" s="8" t="n"/>
      <c r="D24" s="8" t="n"/>
      <c r="E24" s="8" t="n"/>
      <c r="F24" s="8" t="n"/>
      <c r="G24" s="8" t="n"/>
      <c r="H24" s="8" t="n"/>
      <c r="I24" s="8" t="n"/>
      <c r="J24" s="8" t="n"/>
      <c r="K24" s="8" t="n"/>
      <c r="L24" s="8" t="n"/>
      <c r="M24" s="8" t="n"/>
    </row>
    <row r="25">
      <c r="A25" s="8" t="n"/>
      <c r="B25" s="8" t="n"/>
      <c r="C25" s="8" t="n"/>
      <c r="D25" s="8" t="n"/>
      <c r="E25" s="8" t="n"/>
      <c r="F25" s="8" t="n"/>
      <c r="G25" s="8" t="n"/>
      <c r="H25" s="8" t="n"/>
      <c r="I25" s="8" t="n"/>
      <c r="J25" s="8" t="n"/>
      <c r="K25" s="8" t="n"/>
      <c r="L25" s="8" t="n"/>
      <c r="M25" s="8" t="n"/>
    </row>
    <row r="26">
      <c r="A26" s="8" t="n"/>
      <c r="B26" s="8" t="n"/>
      <c r="C26" s="8" t="n"/>
      <c r="D26" s="8" t="n"/>
      <c r="E26" s="8" t="n"/>
      <c r="F26" s="8" t="n"/>
      <c r="G26" s="8" t="n"/>
      <c r="H26" s="8" t="n"/>
      <c r="I26" s="8" t="n"/>
      <c r="J26" s="8" t="n"/>
      <c r="K26" s="8" t="n"/>
      <c r="L26" s="8" t="n"/>
      <c r="M26" s="8" t="n"/>
    </row>
    <row r="27">
      <c r="A27" s="8" t="n"/>
      <c r="B27" s="8" t="n"/>
      <c r="C27" s="8" t="n"/>
      <c r="D27" s="8" t="n"/>
      <c r="E27" s="8" t="n"/>
      <c r="F27" s="8" t="n"/>
      <c r="G27" s="8" t="n"/>
      <c r="H27" s="8" t="n"/>
      <c r="I27" s="8" t="n"/>
      <c r="J27" s="8" t="n"/>
      <c r="K27" s="8" t="n"/>
      <c r="L27" s="8" t="n"/>
      <c r="M27" s="8" t="n"/>
    </row>
    <row r="28">
      <c r="A28" s="8" t="n"/>
      <c r="B28" s="8" t="n"/>
      <c r="C28" s="8" t="n"/>
      <c r="D28" s="8" t="n"/>
      <c r="E28" s="8" t="n"/>
      <c r="F28" s="8" t="n"/>
      <c r="G28" s="8" t="n"/>
      <c r="H28" s="8" t="n"/>
      <c r="I28" s="8" t="n"/>
      <c r="J28" s="8" t="n"/>
      <c r="K28" s="8" t="n"/>
      <c r="L28" s="8" t="n"/>
      <c r="M28" s="8" t="n"/>
    </row>
    <row r="29">
      <c r="A29" s="8" t="n"/>
      <c r="B29" s="8" t="n"/>
      <c r="C29" s="8" t="n"/>
      <c r="D29" s="8" t="n"/>
      <c r="E29" s="8" t="n"/>
      <c r="F29" s="8" t="n"/>
      <c r="G29" s="8" t="n"/>
      <c r="H29" s="8" t="n"/>
      <c r="I29" s="8" t="n"/>
      <c r="J29" s="8" t="n"/>
      <c r="K29" s="8" t="n"/>
      <c r="L29" s="8" t="n"/>
      <c r="M29" s="8" t="n"/>
    </row>
    <row r="30">
      <c r="A30" s="8" t="n"/>
      <c r="B30" s="8" t="n"/>
      <c r="C30" s="8" t="n"/>
      <c r="D30" s="8" t="n"/>
      <c r="E30" s="8" t="n"/>
      <c r="F30" s="8" t="n"/>
      <c r="G30" s="8" t="n"/>
      <c r="H30" s="8" t="n"/>
      <c r="I30" s="8" t="n"/>
      <c r="J30" s="8" t="n"/>
      <c r="K30" s="8" t="n"/>
      <c r="L30" s="8" t="n"/>
      <c r="M30" s="8" t="n"/>
    </row>
    <row r="31">
      <c r="A31" s="8" t="n"/>
      <c r="B31" s="8" t="n"/>
      <c r="C31" s="8" t="n"/>
      <c r="D31" s="8" t="n"/>
      <c r="E31" s="8" t="n"/>
      <c r="F31" s="8" t="n"/>
      <c r="G31" s="8" t="n"/>
      <c r="H31" s="8" t="n"/>
      <c r="I31" s="8" t="n"/>
      <c r="J31" s="8" t="n"/>
      <c r="K31" s="8" t="n"/>
      <c r="L31" s="8" t="n"/>
      <c r="M31" s="8" t="n"/>
    </row>
    <row r="32">
      <c r="A32" s="8" t="n"/>
      <c r="B32" s="8" t="n"/>
      <c r="C32" s="8" t="n"/>
      <c r="D32" s="8" t="n"/>
      <c r="E32" s="8" t="n"/>
      <c r="F32" s="8" t="n"/>
      <c r="G32" s="8" t="n"/>
      <c r="H32" s="8" t="n"/>
      <c r="I32" s="8" t="n"/>
      <c r="J32" s="8" t="n"/>
      <c r="K32" s="8" t="n"/>
      <c r="L32" s="8" t="n"/>
      <c r="M32" s="8" t="n"/>
    </row>
    <row r="33">
      <c r="A33" s="8" t="n"/>
      <c r="B33" s="8" t="n"/>
      <c r="C33" s="8" t="n"/>
      <c r="D33" s="8" t="n"/>
      <c r="E33" s="8" t="n"/>
      <c r="F33" s="8" t="n"/>
      <c r="G33" s="8" t="n"/>
      <c r="H33" s="8" t="n"/>
      <c r="I33" s="8" t="n"/>
      <c r="J33" s="8" t="n"/>
      <c r="K33" s="8" t="n"/>
      <c r="L33" s="8" t="n"/>
      <c r="M33" s="8" t="n"/>
    </row>
    <row r="34">
      <c r="A34" s="8" t="n"/>
      <c r="B34" s="8" t="n"/>
      <c r="C34" s="8" t="n"/>
      <c r="D34" s="8" t="n"/>
      <c r="E34" s="8" t="n"/>
      <c r="F34" s="8" t="n"/>
      <c r="G34" s="8" t="n"/>
      <c r="H34" s="8" t="n"/>
      <c r="I34" s="8" t="n"/>
      <c r="J34" s="8" t="n"/>
      <c r="K34" s="8" t="n"/>
      <c r="L34" s="8" t="n"/>
      <c r="M34" s="8" t="n"/>
    </row>
    <row r="35">
      <c r="A35" s="8" t="n"/>
      <c r="B35" s="8" t="n"/>
      <c r="C35" s="8" t="n"/>
      <c r="D35" s="8" t="n"/>
      <c r="E35" s="8" t="n"/>
      <c r="F35" s="8" t="n"/>
      <c r="G35" s="8" t="n"/>
      <c r="H35" s="8" t="n"/>
      <c r="I35" s="8" t="n"/>
      <c r="J35" s="8" t="n"/>
      <c r="K35" s="8" t="n"/>
      <c r="L35" s="8" t="n"/>
      <c r="M35" s="8" t="n"/>
    </row>
    <row r="36">
      <c r="A36" s="8" t="n"/>
      <c r="B36" s="8" t="n"/>
      <c r="C36" s="8" t="n"/>
      <c r="D36" s="8" t="n"/>
      <c r="E36" s="8" t="n"/>
      <c r="F36" s="8" t="n"/>
      <c r="G36" s="8" t="n"/>
      <c r="H36" s="8" t="n"/>
      <c r="I36" s="8" t="n"/>
      <c r="J36" s="8" t="n"/>
      <c r="K36" s="8" t="n"/>
      <c r="L36" s="8" t="n"/>
      <c r="M36" s="8" t="n"/>
    </row>
    <row r="37">
      <c r="A37" s="8" t="n"/>
      <c r="B37" s="8" t="n"/>
      <c r="C37" s="8" t="n"/>
      <c r="D37" s="8" t="n"/>
      <c r="E37" s="8" t="n"/>
      <c r="F37" s="8" t="n"/>
      <c r="G37" s="8" t="n"/>
      <c r="H37" s="8" t="n"/>
      <c r="I37" s="8" t="n"/>
      <c r="J37" s="8" t="n"/>
      <c r="K37" s="8" t="n"/>
      <c r="L37" s="8" t="n"/>
      <c r="M37" s="8" t="n"/>
    </row>
    <row r="38">
      <c r="A38" s="8" t="n"/>
      <c r="B38" s="8" t="n"/>
      <c r="C38" s="8" t="n"/>
      <c r="D38" s="8" t="n"/>
      <c r="E38" s="8" t="n"/>
      <c r="F38" s="8" t="n"/>
      <c r="G38" s="8" t="n"/>
      <c r="H38" s="8" t="n"/>
      <c r="I38" s="8" t="n"/>
      <c r="J38" s="8" t="n"/>
      <c r="K38" s="8" t="n"/>
      <c r="L38" s="8" t="n"/>
      <c r="M38" s="8" t="n"/>
    </row>
    <row r="39">
      <c r="A39" s="8" t="n"/>
      <c r="B39" s="8" t="n"/>
      <c r="C39" s="8" t="n"/>
      <c r="D39" s="8" t="n"/>
      <c r="E39" s="8" t="n"/>
      <c r="F39" s="8" t="n"/>
      <c r="G39" s="8" t="n"/>
      <c r="H39" s="8" t="n"/>
      <c r="I39" s="8" t="n"/>
      <c r="J39" s="8" t="n"/>
      <c r="K39" s="8" t="n"/>
      <c r="L39" s="8" t="n"/>
      <c r="M39" s="8" t="n"/>
    </row>
    <row r="40">
      <c r="A40" s="8" t="n"/>
      <c r="B40" s="8" t="n"/>
      <c r="C40" s="8" t="n"/>
      <c r="D40" s="8" t="n"/>
      <c r="E40" s="8" t="n"/>
      <c r="F40" s="8" t="n"/>
      <c r="G40" s="8" t="n"/>
      <c r="H40" s="8" t="n"/>
      <c r="I40" s="8" t="n"/>
      <c r="J40" s="8" t="n"/>
      <c r="K40" s="8" t="n"/>
      <c r="L40" s="8" t="n"/>
      <c r="M40" s="8" t="n"/>
    </row>
    <row r="41">
      <c r="A41" s="8" t="n"/>
      <c r="B41" s="8" t="n"/>
      <c r="C41" s="8" t="n"/>
      <c r="D41" s="8" t="n"/>
      <c r="E41" s="8" t="n"/>
      <c r="F41" s="8" t="n"/>
      <c r="G41" s="8" t="n"/>
      <c r="H41" s="8" t="n"/>
      <c r="I41" s="8" t="n"/>
      <c r="J41" s="8" t="n"/>
      <c r="K41" s="8" t="n"/>
      <c r="L41" s="8" t="n"/>
      <c r="M41" s="8" t="n"/>
    </row>
    <row r="42">
      <c r="A42" s="8" t="n"/>
      <c r="B42" s="8" t="n"/>
      <c r="C42" s="8" t="n"/>
      <c r="D42" s="8" t="n"/>
      <c r="E42" s="8" t="n"/>
      <c r="F42" s="8" t="n"/>
      <c r="G42" s="8" t="n"/>
      <c r="H42" s="8" t="n"/>
      <c r="I42" s="8" t="n"/>
      <c r="J42" s="8" t="n"/>
      <c r="K42" s="8" t="n"/>
      <c r="L42" s="8" t="n"/>
      <c r="M42" s="8" t="n"/>
    </row>
    <row r="43">
      <c r="A43" s="8" t="n"/>
      <c r="B43" s="8" t="n"/>
      <c r="C43" s="8" t="n"/>
      <c r="D43" s="8" t="n"/>
      <c r="E43" s="8" t="n"/>
      <c r="F43" s="8" t="n"/>
      <c r="G43" s="8" t="n"/>
      <c r="H43" s="8" t="n"/>
      <c r="I43" s="8" t="n"/>
      <c r="J43" s="8" t="n"/>
      <c r="K43" s="8" t="n"/>
      <c r="L43" s="8" t="n"/>
      <c r="M43" s="8" t="n"/>
    </row>
    <row r="44">
      <c r="A44" s="8" t="n"/>
      <c r="B44" s="8" t="n"/>
      <c r="C44" s="8" t="n"/>
      <c r="D44" s="8" t="n"/>
      <c r="E44" s="8" t="n"/>
      <c r="F44" s="8" t="n"/>
      <c r="G44" s="8" t="n"/>
      <c r="H44" s="8" t="n"/>
      <c r="I44" s="8" t="n"/>
      <c r="J44" s="8" t="n"/>
      <c r="K44" s="8" t="n"/>
      <c r="L44" s="8" t="n"/>
      <c r="M44" s="8" t="n"/>
    </row>
    <row r="45">
      <c r="A45" s="8" t="n"/>
      <c r="B45" s="8" t="n"/>
      <c r="C45" s="8" t="n"/>
      <c r="D45" s="8" t="n"/>
      <c r="E45" s="8" t="n"/>
      <c r="F45" s="8" t="n"/>
      <c r="G45" s="8" t="n"/>
      <c r="H45" s="8" t="n"/>
      <c r="I45" s="8" t="n"/>
      <c r="J45" s="8" t="n"/>
      <c r="K45" s="8" t="n"/>
      <c r="L45" s="8" t="n"/>
      <c r="M45" s="8" t="n"/>
    </row>
    <row r="46">
      <c r="A46" s="8" t="n"/>
      <c r="B46" s="8" t="n"/>
      <c r="C46" s="8" t="n"/>
      <c r="D46" s="8" t="n"/>
      <c r="E46" s="8" t="n"/>
      <c r="F46" s="8" t="n"/>
      <c r="G46" s="8" t="n"/>
      <c r="H46" s="8" t="n"/>
      <c r="I46" s="8" t="n"/>
      <c r="J46" s="8" t="n"/>
      <c r="K46" s="8" t="n"/>
      <c r="L46" s="8" t="n"/>
      <c r="M46" s="8" t="n"/>
    </row>
    <row r="47">
      <c r="A47" s="8" t="n"/>
      <c r="B47" s="8" t="n"/>
      <c r="C47" s="8" t="n"/>
      <c r="D47" s="8" t="n"/>
      <c r="E47" s="8" t="n"/>
      <c r="F47" s="8" t="n"/>
      <c r="G47" s="8" t="n"/>
      <c r="H47" s="8" t="n"/>
      <c r="I47" s="8" t="n"/>
      <c r="J47" s="8" t="n"/>
      <c r="K47" s="8" t="n"/>
      <c r="L47" s="8" t="n"/>
      <c r="M47" s="8" t="n"/>
    </row>
    <row r="48">
      <c r="A48" s="8" t="n"/>
      <c r="B48" s="8" t="n"/>
      <c r="C48" s="8" t="n"/>
      <c r="D48" s="8" t="n"/>
      <c r="E48" s="8" t="n"/>
      <c r="F48" s="8" t="n"/>
      <c r="G48" s="8" t="n"/>
      <c r="H48" s="8" t="n"/>
      <c r="I48" s="8" t="n"/>
      <c r="J48" s="8" t="n"/>
      <c r="K48" s="8" t="n"/>
      <c r="L48" s="8" t="n"/>
      <c r="M48" s="8" t="n"/>
    </row>
    <row r="49">
      <c r="A49" s="8" t="n"/>
      <c r="B49" s="8" t="n"/>
      <c r="C49" s="8" t="n"/>
      <c r="D49" s="8" t="n"/>
      <c r="E49" s="8" t="n"/>
      <c r="F49" s="8" t="n"/>
      <c r="G49" s="8" t="n"/>
      <c r="H49" s="8" t="n"/>
      <c r="I49" s="8" t="n"/>
      <c r="J49" s="8" t="n"/>
      <c r="K49" s="8" t="n"/>
      <c r="L49" s="8" t="n"/>
      <c r="M49" s="8" t="n"/>
    </row>
    <row r="50">
      <c r="A50" s="8" t="n"/>
      <c r="B50" s="8" t="n"/>
      <c r="C50" s="8" t="n"/>
      <c r="D50" s="8" t="n"/>
      <c r="E50" s="8" t="n"/>
      <c r="F50" s="8" t="n"/>
      <c r="G50" s="8" t="n"/>
      <c r="H50" s="8" t="n"/>
      <c r="I50" s="8" t="n"/>
      <c r="J50" s="8" t="n"/>
      <c r="K50" s="8" t="n"/>
      <c r="L50" s="8" t="n"/>
      <c r="M50" s="8" t="n"/>
    </row>
    <row r="51">
      <c r="A51" s="8" t="n"/>
      <c r="B51" s="8" t="n"/>
      <c r="C51" s="8" t="n"/>
      <c r="D51" s="8" t="n"/>
      <c r="E51" s="8" t="n"/>
      <c r="F51" s="8" t="n"/>
      <c r="G51" s="8" t="n"/>
      <c r="H51" s="8" t="n"/>
      <c r="I51" s="8" t="n"/>
      <c r="J51" s="8" t="n"/>
      <c r="K51" s="8" t="n"/>
      <c r="L51" s="8" t="n"/>
      <c r="M51" s="8" t="n"/>
    </row>
    <row r="52">
      <c r="A52" s="8" t="n"/>
      <c r="B52" s="8" t="n"/>
      <c r="C52" s="8" t="n"/>
      <c r="D52" s="8" t="n"/>
      <c r="E52" s="8" t="n"/>
      <c r="F52" s="8" t="n"/>
      <c r="G52" s="8" t="n"/>
      <c r="H52" s="8" t="n"/>
      <c r="I52" s="8" t="n"/>
      <c r="J52" s="8" t="n"/>
      <c r="K52" s="8" t="n"/>
      <c r="L52" s="8" t="n"/>
      <c r="M52" s="8" t="n"/>
    </row>
    <row r="53">
      <c r="A53" s="8" t="n"/>
      <c r="B53" s="8" t="n"/>
      <c r="C53" s="8" t="n"/>
      <c r="D53" s="8" t="n"/>
      <c r="E53" s="8" t="n"/>
      <c r="F53" s="8" t="n"/>
      <c r="G53" s="8" t="n"/>
      <c r="H53" s="8" t="n"/>
      <c r="I53" s="8" t="n"/>
      <c r="J53" s="8" t="n"/>
      <c r="K53" s="8" t="n"/>
      <c r="L53" s="8" t="n"/>
      <c r="M53" s="8" t="n"/>
    </row>
    <row r="54">
      <c r="A54" s="8" t="n"/>
      <c r="B54" s="8" t="n"/>
      <c r="C54" s="8" t="n"/>
      <c r="D54" s="8" t="n"/>
      <c r="E54" s="8" t="n"/>
      <c r="F54" s="8" t="n"/>
      <c r="G54" s="8" t="n"/>
      <c r="H54" s="8" t="n"/>
      <c r="I54" s="8" t="n"/>
      <c r="J54" s="8" t="n"/>
      <c r="K54" s="8" t="n"/>
      <c r="L54" s="8" t="n"/>
      <c r="M54" s="8" t="n"/>
    </row>
    <row r="55">
      <c r="A55" s="8" t="n"/>
      <c r="B55" s="8" t="n"/>
      <c r="C55" s="8" t="n"/>
      <c r="D55" s="8" t="n"/>
      <c r="E55" s="8" t="n"/>
      <c r="F55" s="8" t="n"/>
      <c r="G55" s="8" t="n"/>
      <c r="H55" s="8" t="n"/>
      <c r="I55" s="8" t="n"/>
      <c r="J55" s="8" t="n"/>
      <c r="K55" s="8" t="n"/>
      <c r="L55" s="8" t="n"/>
      <c r="M55" s="8" t="n"/>
    </row>
    <row r="56">
      <c r="A56" s="8" t="n"/>
      <c r="B56" s="8" t="n"/>
      <c r="C56" s="8" t="n"/>
      <c r="D56" s="8" t="n"/>
      <c r="E56" s="8" t="n"/>
      <c r="F56" s="8" t="n"/>
      <c r="G56" s="8" t="n"/>
      <c r="H56" s="8" t="n"/>
      <c r="I56" s="8" t="n"/>
      <c r="J56" s="8" t="n"/>
      <c r="K56" s="8" t="n"/>
      <c r="L56" s="8" t="n"/>
      <c r="M56" s="8" t="n"/>
    </row>
    <row r="57">
      <c r="A57" s="8" t="n"/>
      <c r="B57" s="8" t="n"/>
      <c r="C57" s="8" t="n"/>
      <c r="D57" s="8" t="n"/>
      <c r="E57" s="8" t="n"/>
      <c r="F57" s="8" t="n"/>
      <c r="G57" s="8" t="n"/>
      <c r="H57" s="8" t="n"/>
      <c r="I57" s="8" t="n"/>
      <c r="J57" s="8" t="n"/>
      <c r="K57" s="8" t="n"/>
      <c r="L57" s="8" t="n"/>
      <c r="M57" s="8" t="n"/>
    </row>
    <row r="58">
      <c r="A58" s="8" t="n"/>
      <c r="B58" s="8" t="n"/>
      <c r="C58" s="8" t="n"/>
      <c r="D58" s="8" t="n"/>
      <c r="E58" s="8" t="n"/>
      <c r="F58" s="8" t="n"/>
      <c r="G58" s="8" t="n"/>
      <c r="H58" s="8" t="n"/>
      <c r="I58" s="8" t="n"/>
      <c r="J58" s="8" t="n"/>
      <c r="K58" s="8" t="n"/>
      <c r="L58" s="8" t="n"/>
      <c r="M58" s="8" t="n"/>
    </row>
    <row r="59">
      <c r="A59" s="8" t="n"/>
      <c r="B59" s="8" t="n"/>
      <c r="C59" s="8" t="n"/>
      <c r="D59" s="8" t="n"/>
      <c r="E59" s="8" t="n"/>
      <c r="F59" s="8" t="n"/>
      <c r="G59" s="8" t="n"/>
      <c r="H59" s="8" t="n"/>
      <c r="I59" s="8" t="n"/>
      <c r="J59" s="8" t="n"/>
      <c r="K59" s="8" t="n"/>
      <c r="L59" s="8" t="n"/>
      <c r="M59" s="8" t="n"/>
    </row>
    <row r="60">
      <c r="A60" s="8" t="n"/>
      <c r="B60" s="8" t="n"/>
      <c r="C60" s="8" t="n"/>
      <c r="D60" s="8" t="n"/>
      <c r="E60" s="8" t="n"/>
      <c r="F60" s="8" t="n"/>
      <c r="G60" s="8" t="n"/>
      <c r="H60" s="8" t="n"/>
      <c r="I60" s="8" t="n"/>
      <c r="J60" s="8" t="n"/>
      <c r="K60" s="8" t="n"/>
      <c r="L60" s="8" t="n"/>
      <c r="M60" s="8" t="n"/>
    </row>
    <row r="61">
      <c r="A61" s="8" t="n"/>
      <c r="B61" s="8" t="n"/>
      <c r="C61" s="8" t="n"/>
      <c r="D61" s="8" t="n"/>
      <c r="E61" s="8" t="n"/>
      <c r="F61" s="8" t="n"/>
      <c r="G61" s="8" t="n"/>
      <c r="H61" s="8" t="n"/>
      <c r="I61" s="8" t="n"/>
      <c r="J61" s="8" t="n"/>
      <c r="K61" s="8" t="n"/>
      <c r="L61" s="8" t="n"/>
      <c r="M61" s="8" t="n"/>
    </row>
    <row r="62">
      <c r="A62" s="8" t="n"/>
      <c r="B62" s="8" t="n"/>
      <c r="C62" s="8" t="n"/>
      <c r="D62" s="8" t="n"/>
      <c r="E62" s="8" t="n"/>
      <c r="F62" s="8" t="n"/>
      <c r="G62" s="8" t="n"/>
      <c r="H62" s="8" t="n"/>
      <c r="I62" s="8" t="n"/>
      <c r="J62" s="8" t="n"/>
      <c r="K62" s="8" t="n"/>
      <c r="L62" s="8" t="n"/>
      <c r="M62" s="8" t="n"/>
    </row>
    <row r="63">
      <c r="A63" s="8" t="n"/>
      <c r="B63" s="8" t="n"/>
      <c r="C63" s="8" t="n"/>
      <c r="D63" s="8" t="n"/>
      <c r="E63" s="8" t="n"/>
      <c r="F63" s="8" t="n"/>
      <c r="G63" s="8" t="n"/>
      <c r="H63" s="8" t="n"/>
      <c r="I63" s="8" t="n"/>
      <c r="J63" s="8" t="n"/>
      <c r="K63" s="8" t="n"/>
      <c r="L63" s="8" t="n"/>
      <c r="M63" s="8" t="n"/>
    </row>
    <row r="64">
      <c r="A64" s="8" t="n"/>
      <c r="B64" s="8" t="n"/>
      <c r="C64" s="8" t="n"/>
      <c r="D64" s="8" t="n"/>
      <c r="E64" s="8" t="n"/>
      <c r="F64" s="8" t="n"/>
      <c r="G64" s="8" t="n"/>
      <c r="H64" s="8" t="n"/>
      <c r="I64" s="8" t="n"/>
      <c r="J64" s="8" t="n"/>
      <c r="K64" s="8" t="n"/>
      <c r="L64" s="8" t="n"/>
      <c r="M64" s="8" t="n"/>
    </row>
    <row r="65">
      <c r="A65" s="8" t="n"/>
      <c r="B65" s="8" t="n"/>
      <c r="C65" s="8" t="n"/>
      <c r="D65" s="8" t="n"/>
      <c r="E65" s="8" t="n"/>
      <c r="F65" s="8" t="n"/>
      <c r="G65" s="8" t="n"/>
      <c r="H65" s="8" t="n"/>
      <c r="I65" s="8" t="n"/>
      <c r="J65" s="8" t="n"/>
      <c r="K65" s="8" t="n"/>
      <c r="L65" s="8" t="n"/>
      <c r="M65" s="8" t="n"/>
    </row>
    <row r="66">
      <c r="A66" s="8" t="n"/>
      <c r="B66" s="8" t="n"/>
      <c r="C66" s="8" t="n"/>
      <c r="D66" s="8" t="n"/>
      <c r="E66" s="8" t="n"/>
      <c r="F66" s="8" t="n"/>
      <c r="G66" s="8" t="n"/>
      <c r="H66" s="8" t="n"/>
      <c r="I66" s="8" t="n"/>
      <c r="J66" s="8" t="n"/>
      <c r="K66" s="8" t="n"/>
      <c r="L66" s="8" t="n"/>
      <c r="M66" s="8" t="n"/>
    </row>
    <row r="67">
      <c r="A67" s="8" t="n"/>
      <c r="B67" s="8" t="n"/>
      <c r="C67" s="8" t="n"/>
      <c r="D67" s="8" t="n"/>
      <c r="E67" s="8" t="n"/>
      <c r="F67" s="8" t="n"/>
      <c r="G67" s="8" t="n"/>
      <c r="H67" s="8" t="n"/>
      <c r="I67" s="8" t="n"/>
      <c r="J67" s="8" t="n"/>
      <c r="K67" s="8" t="n"/>
      <c r="L67" s="8" t="n"/>
      <c r="M67" s="8" t="n"/>
    </row>
    <row r="68">
      <c r="A68" s="8" t="n"/>
      <c r="B68" s="8" t="n"/>
      <c r="C68" s="8" t="n"/>
      <c r="D68" s="8" t="n"/>
      <c r="E68" s="8" t="n"/>
      <c r="F68" s="8" t="n"/>
      <c r="G68" s="8" t="n"/>
      <c r="H68" s="8" t="n"/>
      <c r="I68" s="8" t="n"/>
      <c r="J68" s="8" t="n"/>
      <c r="K68" s="8" t="n"/>
      <c r="L68" s="8" t="n"/>
      <c r="M68" s="8" t="n"/>
    </row>
    <row r="69">
      <c r="A69" s="8" t="n"/>
      <c r="B69" s="8" t="n"/>
      <c r="C69" s="8" t="n"/>
      <c r="D69" s="8" t="n"/>
      <c r="E69" s="8" t="n"/>
      <c r="F69" s="8" t="n"/>
      <c r="G69" s="8" t="n"/>
      <c r="H69" s="8" t="n"/>
      <c r="I69" s="8" t="n"/>
      <c r="J69" s="8" t="n"/>
      <c r="K69" s="8" t="n"/>
      <c r="L69" s="8" t="n"/>
      <c r="M69" s="8" t="n"/>
    </row>
    <row r="70">
      <c r="A70" s="8" t="n"/>
      <c r="B70" s="8" t="n"/>
      <c r="C70" s="8" t="n"/>
      <c r="D70" s="8" t="n"/>
      <c r="E70" s="8" t="n"/>
      <c r="F70" s="8" t="n"/>
      <c r="G70" s="8" t="n"/>
      <c r="H70" s="8" t="n"/>
      <c r="I70" s="8" t="n"/>
      <c r="J70" s="8" t="n"/>
      <c r="K70" s="8" t="n"/>
      <c r="L70" s="8" t="n"/>
      <c r="M70" s="8" t="n"/>
    </row>
    <row r="71">
      <c r="A71" s="8" t="n"/>
      <c r="B71" s="8" t="n"/>
      <c r="C71" s="8" t="n"/>
      <c r="D71" s="8" t="n"/>
      <c r="E71" s="8" t="n"/>
      <c r="F71" s="8" t="n"/>
      <c r="G71" s="8" t="n"/>
      <c r="H71" s="8" t="n"/>
      <c r="I71" s="8" t="n"/>
      <c r="J71" s="8" t="n"/>
      <c r="K71" s="8" t="n"/>
      <c r="L71" s="8" t="n"/>
      <c r="M71" s="8" t="n"/>
    </row>
    <row r="72">
      <c r="A72" s="8" t="n"/>
      <c r="B72" s="8" t="n"/>
      <c r="C72" s="8" t="n"/>
      <c r="D72" s="8" t="n"/>
      <c r="E72" s="8" t="n"/>
      <c r="F72" s="8" t="n"/>
      <c r="G72" s="8" t="n"/>
      <c r="H72" s="8" t="n"/>
      <c r="I72" s="8" t="n"/>
      <c r="J72" s="8" t="n"/>
      <c r="K72" s="8" t="n"/>
      <c r="L72" s="8" t="n"/>
      <c r="M72" s="8" t="n"/>
    </row>
    <row r="73">
      <c r="A73" s="8" t="n"/>
      <c r="B73" s="8" t="n"/>
      <c r="C73" s="8" t="n"/>
      <c r="D73" s="8" t="n"/>
      <c r="E73" s="8" t="n"/>
      <c r="F73" s="8" t="n"/>
      <c r="G73" s="8" t="n"/>
      <c r="H73" s="8" t="n"/>
      <c r="I73" s="8" t="n"/>
      <c r="J73" s="8" t="n"/>
      <c r="K73" s="8" t="n"/>
      <c r="L73" s="8" t="n"/>
      <c r="M73" s="8" t="n"/>
    </row>
    <row r="74">
      <c r="A74" s="8" t="n"/>
      <c r="B74" s="8" t="n"/>
      <c r="C74" s="8" t="n"/>
      <c r="D74" s="8" t="n"/>
      <c r="E74" s="8" t="n"/>
      <c r="F74" s="8" t="n"/>
      <c r="G74" s="8" t="n"/>
      <c r="H74" s="8" t="n"/>
      <c r="I74" s="8" t="n"/>
      <c r="J74" s="8" t="n"/>
      <c r="K74" s="8" t="n"/>
      <c r="L74" s="8" t="n"/>
      <c r="M74" s="8" t="n"/>
    </row>
    <row r="75">
      <c r="A75" s="8" t="n"/>
      <c r="B75" s="8" t="n"/>
      <c r="C75" s="8" t="n"/>
      <c r="D75" s="8" t="n"/>
      <c r="E75" s="8" t="n"/>
      <c r="F75" s="8" t="n"/>
      <c r="G75" s="8" t="n"/>
      <c r="H75" s="8" t="n"/>
      <c r="I75" s="8" t="n"/>
      <c r="J75" s="8" t="n"/>
      <c r="K75" s="8" t="n"/>
      <c r="L75" s="8" t="n"/>
      <c r="M75" s="8" t="n"/>
    </row>
    <row r="76">
      <c r="A76" s="8" t="n"/>
      <c r="B76" s="8" t="n"/>
      <c r="C76" s="8" t="n"/>
      <c r="D76" s="8" t="n"/>
      <c r="E76" s="8" t="n"/>
      <c r="F76" s="8" t="n"/>
      <c r="G76" s="8" t="n"/>
      <c r="H76" s="8" t="n"/>
      <c r="I76" s="8" t="n"/>
      <c r="J76" s="8" t="n"/>
      <c r="K76" s="8" t="n"/>
      <c r="L76" s="8" t="n"/>
      <c r="M76" s="8" t="n"/>
    </row>
    <row r="77">
      <c r="A77" s="8" t="n"/>
      <c r="B77" s="8" t="n"/>
      <c r="C77" s="8" t="n"/>
      <c r="D77" s="8" t="n"/>
      <c r="E77" s="8" t="n"/>
      <c r="F77" s="8" t="n"/>
      <c r="G77" s="8" t="n"/>
      <c r="H77" s="8" t="n"/>
      <c r="I77" s="8" t="n"/>
      <c r="J77" s="8" t="n"/>
      <c r="K77" s="8" t="n"/>
      <c r="L77" s="8" t="n"/>
      <c r="M77" s="8" t="n"/>
    </row>
    <row r="78">
      <c r="A78" s="8" t="n"/>
      <c r="B78" s="8" t="n"/>
      <c r="C78" s="8" t="n"/>
      <c r="D78" s="8" t="n"/>
      <c r="E78" s="8" t="n"/>
      <c r="F78" s="8" t="n"/>
      <c r="G78" s="8" t="n"/>
      <c r="H78" s="8" t="n"/>
      <c r="I78" s="8" t="n"/>
      <c r="J78" s="8" t="n"/>
      <c r="K78" s="8" t="n"/>
      <c r="L78" s="8" t="n"/>
      <c r="M78" s="8" t="n"/>
    </row>
    <row r="79">
      <c r="A79" s="8" t="n"/>
      <c r="B79" s="8" t="n"/>
      <c r="C79" s="8" t="n"/>
      <c r="D79" s="8" t="n"/>
      <c r="E79" s="8" t="n"/>
      <c r="F79" s="8" t="n"/>
      <c r="G79" s="8" t="n"/>
      <c r="H79" s="8" t="n"/>
      <c r="I79" s="8" t="n"/>
      <c r="J79" s="8" t="n"/>
      <c r="K79" s="8" t="n"/>
      <c r="L79" s="8" t="n"/>
      <c r="M79" s="8" t="n"/>
    </row>
    <row r="80">
      <c r="A80" s="8" t="n"/>
      <c r="B80" s="8" t="n"/>
      <c r="C80" s="8" t="n"/>
      <c r="D80" s="8" t="n"/>
      <c r="E80" s="8" t="n"/>
      <c r="F80" s="8" t="n"/>
      <c r="G80" s="8" t="n"/>
      <c r="H80" s="8" t="n"/>
      <c r="I80" s="8" t="n"/>
      <c r="J80" s="8" t="n"/>
      <c r="K80" s="8" t="n"/>
      <c r="L80" s="8" t="n"/>
      <c r="M80" s="8" t="n"/>
    </row>
    <row r="81">
      <c r="A81" s="8" t="n"/>
      <c r="B81" s="8" t="n"/>
      <c r="C81" s="8" t="n"/>
      <c r="D81" s="8" t="n"/>
      <c r="E81" s="8" t="n"/>
      <c r="F81" s="8" t="n"/>
      <c r="G81" s="8" t="n"/>
      <c r="H81" s="8" t="n"/>
      <c r="I81" s="8" t="n"/>
      <c r="J81" s="8" t="n"/>
      <c r="K81" s="8" t="n"/>
      <c r="L81" s="8" t="n"/>
      <c r="M81" s="8" t="n"/>
    </row>
    <row r="82">
      <c r="A82" s="8" t="n"/>
      <c r="B82" s="8" t="n"/>
      <c r="C82" s="8" t="n"/>
      <c r="D82" s="8" t="n"/>
      <c r="E82" s="8" t="n"/>
      <c r="F82" s="8" t="n"/>
      <c r="G82" s="8" t="n"/>
      <c r="H82" s="8" t="n"/>
      <c r="I82" s="8" t="n"/>
      <c r="J82" s="8" t="n"/>
      <c r="K82" s="8" t="n"/>
      <c r="L82" s="8" t="n"/>
      <c r="M82" s="8" t="n"/>
    </row>
    <row r="83">
      <c r="A83" s="8" t="n"/>
      <c r="B83" s="8" t="n"/>
      <c r="C83" s="8" t="n"/>
      <c r="D83" s="8" t="n"/>
      <c r="E83" s="8" t="n"/>
      <c r="F83" s="8" t="n"/>
      <c r="G83" s="8" t="n"/>
      <c r="H83" s="8" t="n"/>
      <c r="I83" s="8" t="n"/>
      <c r="J83" s="8" t="n"/>
      <c r="K83" s="8" t="n"/>
      <c r="L83" s="8" t="n"/>
      <c r="M83" s="8" t="n"/>
    </row>
    <row r="84">
      <c r="A84" s="8" t="n"/>
      <c r="B84" s="8" t="n"/>
      <c r="C84" s="8" t="n"/>
      <c r="D84" s="8" t="n"/>
      <c r="E84" s="8" t="n"/>
      <c r="F84" s="8" t="n"/>
      <c r="G84" s="8" t="n"/>
      <c r="H84" s="8" t="n"/>
      <c r="I84" s="8" t="n"/>
      <c r="J84" s="8" t="n"/>
      <c r="K84" s="8" t="n"/>
      <c r="L84" s="8" t="n"/>
      <c r="M84" s="8" t="n"/>
    </row>
    <row r="85">
      <c r="A85" s="8" t="n"/>
      <c r="B85" s="8" t="n"/>
      <c r="C85" s="8" t="n"/>
      <c r="D85" s="8" t="n"/>
      <c r="E85" s="8" t="n"/>
      <c r="F85" s="8" t="n"/>
      <c r="G85" s="8" t="n"/>
      <c r="H85" s="8" t="n"/>
      <c r="I85" s="8" t="n"/>
      <c r="J85" s="8" t="n"/>
      <c r="K85" s="8" t="n"/>
      <c r="L85" s="8" t="n"/>
      <c r="M85" s="8" t="n"/>
    </row>
    <row r="86">
      <c r="A86" s="8" t="n"/>
      <c r="B86" s="8" t="n"/>
      <c r="C86" s="8" t="n"/>
      <c r="D86" s="8" t="n"/>
      <c r="E86" s="8" t="n"/>
      <c r="F86" s="8" t="n"/>
      <c r="G86" s="8" t="n"/>
      <c r="H86" s="8" t="n"/>
      <c r="I86" s="8" t="n"/>
      <c r="J86" s="8" t="n"/>
      <c r="K86" s="8" t="n"/>
      <c r="L86" s="8" t="n"/>
      <c r="M86" s="8" t="n"/>
    </row>
    <row r="87">
      <c r="A87" s="8" t="n"/>
      <c r="B87" s="8" t="n"/>
      <c r="C87" s="8" t="n"/>
      <c r="D87" s="8" t="n"/>
      <c r="E87" s="8" t="n"/>
      <c r="F87" s="8" t="n"/>
      <c r="G87" s="8" t="n"/>
      <c r="H87" s="8" t="n"/>
      <c r="I87" s="8" t="n"/>
      <c r="J87" s="8" t="n"/>
      <c r="K87" s="8" t="n"/>
      <c r="L87" s="8" t="n"/>
      <c r="M87" s="8" t="n"/>
    </row>
    <row r="88">
      <c r="A88" s="8" t="n"/>
      <c r="B88" s="8" t="n"/>
      <c r="C88" s="8" t="n"/>
      <c r="D88" s="8" t="n"/>
      <c r="E88" s="8" t="n"/>
      <c r="F88" s="8" t="n"/>
      <c r="G88" s="8" t="n"/>
      <c r="H88" s="8" t="n"/>
      <c r="I88" s="8" t="n"/>
      <c r="J88" s="8" t="n"/>
      <c r="K88" s="8" t="n"/>
      <c r="L88" s="8" t="n"/>
      <c r="M88" s="8" t="n"/>
    </row>
    <row r="89">
      <c r="A89" s="8" t="n"/>
      <c r="B89" s="8" t="n"/>
      <c r="C89" s="8" t="n"/>
      <c r="D89" s="8" t="n"/>
      <c r="E89" s="8" t="n"/>
      <c r="F89" s="8" t="n"/>
      <c r="G89" s="8" t="n"/>
      <c r="H89" s="8" t="n"/>
      <c r="I89" s="8" t="n"/>
      <c r="J89" s="8" t="n"/>
      <c r="K89" s="8" t="n"/>
      <c r="L89" s="8" t="n"/>
      <c r="M89" s="8" t="n"/>
    </row>
    <row r="90">
      <c r="A90" s="8" t="n"/>
      <c r="B90" s="8" t="n"/>
      <c r="C90" s="8" t="n"/>
      <c r="D90" s="8" t="n"/>
      <c r="E90" s="8" t="n"/>
      <c r="F90" s="8" t="n"/>
      <c r="G90" s="8" t="n"/>
      <c r="H90" s="8" t="n"/>
      <c r="I90" s="8" t="n"/>
      <c r="J90" s="8" t="n"/>
      <c r="K90" s="8" t="n"/>
      <c r="L90" s="8" t="n"/>
      <c r="M90" s="8" t="n"/>
    </row>
    <row r="91">
      <c r="A91" s="8" t="n"/>
      <c r="B91" s="8" t="n"/>
      <c r="C91" s="8" t="n"/>
      <c r="D91" s="8" t="n"/>
      <c r="E91" s="8" t="n"/>
      <c r="F91" s="8" t="n"/>
      <c r="G91" s="8" t="n"/>
      <c r="H91" s="8" t="n"/>
      <c r="I91" s="8" t="n"/>
      <c r="J91" s="8" t="n"/>
      <c r="K91" s="8" t="n"/>
      <c r="L91" s="8" t="n"/>
      <c r="M91" s="8" t="n"/>
    </row>
    <row r="92">
      <c r="A92" s="8" t="n"/>
      <c r="B92" s="8" t="n"/>
      <c r="C92" s="8" t="n"/>
      <c r="D92" s="8" t="n"/>
      <c r="E92" s="8" t="n"/>
      <c r="F92" s="8" t="n"/>
      <c r="G92" s="8" t="n"/>
      <c r="H92" s="8" t="n"/>
      <c r="I92" s="8" t="n"/>
      <c r="J92" s="8" t="n"/>
      <c r="K92" s="8" t="n"/>
      <c r="L92" s="8" t="n"/>
      <c r="M92" s="8" t="n"/>
    </row>
    <row r="93">
      <c r="A93" s="8" t="n"/>
      <c r="B93" s="8" t="n"/>
      <c r="C93" s="8" t="n"/>
      <c r="D93" s="8" t="n"/>
      <c r="E93" s="8" t="n"/>
      <c r="F93" s="8" t="n"/>
      <c r="G93" s="8" t="n"/>
      <c r="H93" s="8" t="n"/>
      <c r="I93" s="8" t="n"/>
      <c r="J93" s="8" t="n"/>
      <c r="K93" s="8" t="n"/>
      <c r="L93" s="8" t="n"/>
      <c r="M93" s="8" t="n"/>
    </row>
    <row r="94">
      <c r="A94" s="8" t="n"/>
      <c r="B94" s="8" t="n"/>
      <c r="C94" s="8" t="n"/>
      <c r="D94" s="8" t="n"/>
      <c r="E94" s="8" t="n"/>
      <c r="F94" s="8" t="n"/>
      <c r="G94" s="8" t="n"/>
      <c r="H94" s="8" t="n"/>
      <c r="I94" s="8" t="n"/>
      <c r="J94" s="8" t="n"/>
      <c r="K94" s="8" t="n"/>
      <c r="L94" s="8" t="n"/>
      <c r="M94" s="8" t="n"/>
    </row>
    <row r="95">
      <c r="A95" s="8" t="n"/>
      <c r="B95" s="8" t="n"/>
      <c r="C95" s="8" t="n"/>
      <c r="D95" s="8" t="n"/>
      <c r="E95" s="8" t="n"/>
      <c r="F95" s="8" t="n"/>
      <c r="G95" s="8" t="n"/>
      <c r="H95" s="8" t="n"/>
      <c r="I95" s="8" t="n"/>
      <c r="J95" s="8" t="n"/>
      <c r="K95" s="8" t="n"/>
      <c r="L95" s="8" t="n"/>
      <c r="M95" s="8" t="n"/>
    </row>
    <row r="96">
      <c r="A96" s="8" t="n"/>
      <c r="B96" s="8" t="n"/>
      <c r="C96" s="8" t="n"/>
      <c r="D96" s="8" t="n"/>
      <c r="E96" s="8" t="n"/>
      <c r="F96" s="8" t="n"/>
      <c r="G96" s="8" t="n"/>
      <c r="H96" s="8" t="n"/>
      <c r="I96" s="8" t="n"/>
      <c r="J96" s="8" t="n"/>
      <c r="K96" s="8" t="n"/>
      <c r="L96" s="8" t="n"/>
      <c r="M96" s="8" t="n"/>
    </row>
    <row r="97">
      <c r="A97" s="8" t="n"/>
      <c r="B97" s="8" t="n"/>
      <c r="C97" s="8" t="n"/>
      <c r="D97" s="8" t="n"/>
      <c r="E97" s="8" t="n"/>
      <c r="F97" s="8" t="n"/>
      <c r="G97" s="8" t="n"/>
      <c r="H97" s="8" t="n"/>
      <c r="I97" s="8" t="n"/>
      <c r="J97" s="8" t="n"/>
      <c r="K97" s="8" t="n"/>
      <c r="L97" s="8" t="n"/>
      <c r="M97" s="8" t="n"/>
    </row>
    <row r="98">
      <c r="A98" s="8" t="n"/>
      <c r="B98" s="8" t="n"/>
      <c r="C98" s="8" t="n"/>
      <c r="D98" s="8" t="n"/>
      <c r="E98" s="8" t="n"/>
      <c r="F98" s="8" t="n"/>
      <c r="G98" s="8" t="n"/>
      <c r="H98" s="8" t="n"/>
      <c r="I98" s="8" t="n"/>
      <c r="J98" s="8" t="n"/>
      <c r="K98" s="8" t="n"/>
      <c r="L98" s="8" t="n"/>
      <c r="M98" s="8" t="n"/>
    </row>
    <row r="99">
      <c r="A99" s="8" t="n"/>
      <c r="B99" s="8" t="n"/>
      <c r="C99" s="8" t="n"/>
      <c r="D99" s="8" t="n"/>
      <c r="E99" s="8" t="n"/>
      <c r="F99" s="8" t="n"/>
      <c r="G99" s="8" t="n"/>
      <c r="H99" s="8" t="n"/>
      <c r="I99" s="8" t="n"/>
      <c r="J99" s="8" t="n"/>
      <c r="K99" s="8" t="n"/>
      <c r="L99" s="8" t="n"/>
      <c r="M99" s="8" t="n"/>
    </row>
    <row r="100">
      <c r="A100" s="8" t="n"/>
      <c r="B100" s="8" t="n"/>
      <c r="C100" s="8" t="n"/>
      <c r="D100" s="8" t="n"/>
      <c r="E100" s="8" t="n"/>
      <c r="F100" s="8" t="n"/>
      <c r="G100" s="8" t="n"/>
      <c r="H100" s="8" t="n"/>
      <c r="I100" s="8" t="n"/>
      <c r="J100" s="8" t="n"/>
      <c r="K100" s="8" t="n"/>
      <c r="L100" s="8" t="n"/>
      <c r="M100" s="8" t="n"/>
    </row>
    <row r="101">
      <c r="A101" s="8" t="n"/>
      <c r="B101" s="8" t="n"/>
      <c r="C101" s="8" t="n"/>
      <c r="D101" s="8" t="n"/>
      <c r="E101" s="8" t="n"/>
      <c r="F101" s="8" t="n"/>
      <c r="G101" s="8" t="n"/>
      <c r="H101" s="8" t="n"/>
      <c r="I101" s="8" t="n"/>
      <c r="J101" s="8" t="n"/>
      <c r="K101" s="8" t="n"/>
      <c r="L101" s="8" t="n"/>
      <c r="M101" s="8" t="n"/>
    </row>
    <row r="102">
      <c r="A102" s="8" t="n"/>
      <c r="B102" s="8" t="n"/>
      <c r="C102" s="8" t="n"/>
      <c r="D102" s="8" t="n"/>
      <c r="E102" s="8" t="n"/>
      <c r="F102" s="8" t="n"/>
      <c r="G102" s="8" t="n"/>
      <c r="H102" s="8" t="n"/>
      <c r="I102" s="8" t="n"/>
      <c r="J102" s="8" t="n"/>
      <c r="K102" s="8" t="n"/>
      <c r="L102" s="8" t="n"/>
      <c r="M102" s="8" t="n"/>
    </row>
  </sheetData>
  <mergeCells count="1">
    <mergeCell ref="A1:M1"/>
  </mergeCells>
  <conditionalFormatting sqref="K3:K102">
    <cfRule type="cellIs" priority="1" operator="equal" dxfId="4">
      <formula>"Verified"</formula>
    </cfRule>
    <cfRule type="cellIs" priority="2" operator="equal" dxfId="2">
      <formula>"Missing"</formula>
    </cfRule>
  </conditionalFormatting>
  <conditionalFormatting sqref="H3:H102">
    <cfRule type="cellIs" priority="3" operator="equal" dxfId="11">
      <formula>"Restricted"</formula>
    </cfRule>
  </conditionalFormatting>
  <dataValidations count="4">
    <dataValidation sqref="B3:B102" showDropDown="0" showInputMessage="0" showErrorMessage="0" allowBlank="0" errorTitle="Invalid Entry" error="Invalid entry" promptTitle="Selection Required" prompt="Please select from the dropdown" type="list">
      <formula1>"Approval Record,Test Results,Implementation Log,Rollback Test,CAB Minutes,Email Approval,Change Request,Other"</formula1>
    </dataValidation>
    <dataValidation sqref="H3:H102" showDropDown="0" showInputMessage="0" showErrorMessage="0" allowBlank="0" errorTitle="Invalid Entry" error="Invalid entry" promptTitle="Selection Required" prompt="Please select from the dropdown" type="list">
      <formula1>"Public,Internal,Confidential,Restricted"</formula1>
    </dataValidation>
    <dataValidation sqref="I3:I102" showDropDown="0" showInputMessage="0" showErrorMessage="0" allowBlank="0" errorTitle="Invalid Entry" error="Invalid entry" promptTitle="Selection Required" prompt="Please select from the dropdown" type="list">
      <formula1>"1 Year,3 Years,5 Years,7 Years,Indefinite"</formula1>
    </dataValidation>
    <dataValidation sqref="K3:K102" showDropDown="0" showInputMessage="0" showErrorMessage="0" allowBlank="0" errorTitle="Invalid Entry" error="Invalid entry" promptTitle="Selection Required" prompt="Please select from the dropdown" type="list">
      <formula1>"✅ Verified,🔍 Needs Verification,❌ Missing,⏰ Outdated"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5" customWidth="1" min="1" max="1"/>
    <col width="60" customWidth="1" min="2" max="2"/>
  </cols>
  <sheetData>
    <row r="1" ht="35" customHeight="1">
      <c r="A1" s="6" t="inlineStr">
        <is>
          <t>Assessment Approval Sign-Off</t>
        </is>
      </c>
    </row>
    <row r="3" ht="25" customHeight="1">
      <c r="A3" s="4" t="inlineStr">
        <is>
          <t>DOCUMENT INFORMATION</t>
        </is>
      </c>
    </row>
    <row r="4">
      <c r="A4" s="15" t="inlineStr">
        <is>
          <t>Assessment Title</t>
        </is>
      </c>
      <c r="B4" s="11" t="inlineStr">
        <is>
          <t>Change Control Assessment - Control A.8.9</t>
        </is>
      </c>
    </row>
    <row r="5">
      <c r="A5" s="15" t="inlineStr">
        <is>
          <t>Assessment Period</t>
        </is>
      </c>
      <c r="B5" s="11" t="inlineStr">
        <is>
          <t>[Start Date DD.MM.YYYY] to [End Date DD.MM.YYYY]</t>
        </is>
      </c>
    </row>
    <row r="6">
      <c r="A6" s="15" t="inlineStr">
        <is>
          <t>Document ID</t>
        </is>
      </c>
      <c r="B6" s="11" t="inlineStr">
        <is>
          <t>ISMS-IMP-A.8.9.2</t>
        </is>
      </c>
    </row>
    <row r="7">
      <c r="A7" s="15" t="inlineStr">
        <is>
          <t>Version</t>
        </is>
      </c>
      <c r="B7" s="11" t="inlineStr">
        <is>
          <t>1.0</t>
        </is>
      </c>
    </row>
    <row r="8">
      <c r="A8" s="15" t="inlineStr">
        <is>
          <t>Assessment Date</t>
        </is>
      </c>
      <c r="B8" s="11" t="inlineStr">
        <is>
          <t>08.02.2026</t>
        </is>
      </c>
    </row>
    <row r="10" ht="25" customHeight="1">
      <c r="A10" s="4" t="inlineStr">
        <is>
          <t>PREPARER SIGN-OFF</t>
        </is>
      </c>
    </row>
    <row r="11">
      <c r="A11" s="15" t="inlineStr">
        <is>
          <t>Preparer Name</t>
        </is>
      </c>
      <c r="B11" s="11" t="inlineStr"/>
    </row>
    <row r="12">
      <c r="A12" s="15" t="inlineStr">
        <is>
          <t>Preparer Role</t>
        </is>
      </c>
      <c r="B12" s="11" t="inlineStr"/>
    </row>
    <row r="13">
      <c r="A13" s="15" t="inlineStr">
        <is>
          <t>Preparer Signature</t>
        </is>
      </c>
      <c r="B13" s="11" t="inlineStr"/>
    </row>
    <row r="14">
      <c r="A14" s="15" t="inlineStr">
        <is>
          <t>Date Prepared</t>
        </is>
      </c>
      <c r="B14" s="11" t="inlineStr"/>
    </row>
    <row r="15" ht="40" customHeight="1">
      <c r="A15" s="15" t="inlineStr">
        <is>
          <t>Completeness Attestation</t>
        </is>
      </c>
      <c r="B15" s="16" t="inlineStr">
        <is>
          <t>I attest that all configuration changes have been documented accurately and change control procedures have been followed.</t>
        </is>
      </c>
    </row>
    <row r="17" ht="25" customHeight="1">
      <c r="A17" s="4" t="inlineStr">
        <is>
          <t>REVIEWER SIGN-OFF</t>
        </is>
      </c>
    </row>
    <row r="18">
      <c r="A18" s="15" t="inlineStr">
        <is>
          <t>Reviewer Name</t>
        </is>
      </c>
      <c r="B18" s="11" t="inlineStr"/>
    </row>
    <row r="19">
      <c r="A19" s="15" t="inlineStr">
        <is>
          <t>Reviewer Role</t>
        </is>
      </c>
      <c r="B19" s="11" t="inlineStr"/>
    </row>
    <row r="20">
      <c r="A20" s="15" t="inlineStr">
        <is>
          <t>Reviewer Signature</t>
        </is>
      </c>
      <c r="B20" s="11" t="inlineStr"/>
    </row>
    <row r="21">
      <c r="A21" s="15" t="inlineStr">
        <is>
          <t>Date Reviewed</t>
        </is>
      </c>
      <c r="B21" s="11" t="inlineStr"/>
    </row>
    <row r="22" ht="30" customHeight="1">
      <c r="A22" s="15" t="inlineStr">
        <is>
          <t>Review Findings</t>
        </is>
      </c>
      <c r="B22" s="17" t="inlineStr"/>
    </row>
    <row r="23" ht="30" customHeight="1">
      <c r="A23" s="15" t="inlineStr">
        <is>
          <t>Gaps Identified</t>
        </is>
      </c>
      <c r="B23" s="17" t="inlineStr"/>
    </row>
    <row r="24" ht="40" customHeight="1">
      <c r="A24" s="15" t="inlineStr">
        <is>
          <t>Review Attestation</t>
        </is>
      </c>
      <c r="B24" s="16" t="inlineStr">
        <is>
          <t>I have reviewed this assessment and verified change control process compliance. Process improvement opportunities have been identified.</t>
        </is>
      </c>
    </row>
    <row r="26" ht="25" customHeight="1">
      <c r="A26" s="4" t="inlineStr">
        <is>
          <t>APPROVER SIGN-OFF</t>
        </is>
      </c>
    </row>
    <row r="27">
      <c r="A27" s="15" t="inlineStr">
        <is>
          <t>Approver Name</t>
        </is>
      </c>
      <c r="B27" s="11" t="inlineStr"/>
    </row>
    <row r="28">
      <c r="A28" s="15" t="inlineStr">
        <is>
          <t>Approver Role</t>
        </is>
      </c>
      <c r="B28" s="11" t="inlineStr"/>
    </row>
    <row r="29">
      <c r="A29" s="15" t="inlineStr">
        <is>
          <t>Approver Signature</t>
        </is>
      </c>
      <c r="B29" s="11" t="inlineStr"/>
    </row>
    <row r="30">
      <c r="A30" s="15" t="inlineStr">
        <is>
          <t>Date Approved</t>
        </is>
      </c>
      <c r="B30" s="11" t="inlineStr"/>
    </row>
    <row r="31">
      <c r="A31" s="15" t="inlineStr">
        <is>
          <t>Approval Decision</t>
        </is>
      </c>
      <c r="B31" s="11" t="inlineStr"/>
    </row>
    <row r="32" ht="30" customHeight="1">
      <c r="A32" s="15" t="inlineStr">
        <is>
          <t>Conditions/Comments</t>
        </is>
      </c>
      <c r="B32" s="17" t="inlineStr"/>
    </row>
    <row r="33">
      <c r="A33" s="15" t="inlineStr">
        <is>
          <t>Next Assessment Due</t>
        </is>
      </c>
      <c r="B33" s="11" t="inlineStr"/>
    </row>
    <row r="34" ht="40" customHeight="1">
      <c r="A34" s="15" t="inlineStr">
        <is>
          <t>Approver Attestation</t>
        </is>
      </c>
      <c r="B34" s="16" t="inlineStr">
        <is>
          <t>I approve this change control assessment and authorize remediation activities for identified gaps.</t>
        </is>
      </c>
    </row>
  </sheetData>
  <mergeCells count="5">
    <mergeCell ref="A26:B26"/>
    <mergeCell ref="A10:B10"/>
    <mergeCell ref="A1:B1"/>
    <mergeCell ref="A17:B17"/>
    <mergeCell ref="A3:B3"/>
  </mergeCells>
  <conditionalFormatting sqref="B31">
    <cfRule type="cellIs" priority="1" operator="equal" dxfId="4">
      <formula>"Approved"</formula>
    </cfRule>
    <cfRule type="cellIs" priority="2" operator="equal" dxfId="3">
      <formula>"Approved with Conditions"</formula>
    </cfRule>
    <cfRule type="cellIs" priority="3" operator="equal" dxfId="5">
      <formula>"Not Approved - Revisions Required"</formula>
    </cfRule>
  </conditionalFormatting>
  <dataValidations count="1">
    <dataValidation sqref="B31" showDropDown="0" showInputMessage="0" showErrorMessage="0" allowBlank="1" errorTitle="Invalid Entry" error="Invalid entry" promptTitle="Selection Required" prompt="Please select from the dropdown" type="list">
      <formula1>"Approved,Approved with Conditions,Not Approved - Revisions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[Organization] ISMS Implementation Team</dc:creator>
  <dc:title xmlns:dc="http://purl.org/dc/elements/1.1/">Change Control Assessment</dc:title>
  <dc:description xmlns:dc="http://purl.org/dc/elements/1.1/">Assessment workbook for ISO 27001:2022 Control A.8.9 Change Control requirements</dc:description>
  <dc:subject xmlns:dc="http://purl.org/dc/elements/1.1/">ISMS Control A.8.9 - Change Control Assessment</dc:subject>
  <dcterms:created xmlns:dcterms="http://purl.org/dc/terms/" xmlns:xsi="http://www.w3.org/2001/XMLSchema-instance" xsi:type="dcterms:W3CDTF">2026-02-08T11:50:12Z</dcterms:created>
  <dcterms:modified xmlns:dcterms="http://purl.org/dc/terms/" xmlns:xsi="http://www.w3.org/2001/XMLSchema-instance" xsi:type="dcterms:W3CDTF">2026-02-08T10:50:12Z</dcterms:modified>
</cp:coreProperties>
</file>