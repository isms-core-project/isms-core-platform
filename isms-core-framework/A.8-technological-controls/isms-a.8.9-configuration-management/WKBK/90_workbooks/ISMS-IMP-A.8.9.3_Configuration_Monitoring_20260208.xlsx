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okup_Tables" sheetId="2" state="hidden" r:id="rId2"/>
    <sheet xmlns:r="http://schemas.openxmlformats.org/officeDocument/2006/relationships" name="Monitoring_Coverage_Register" sheetId="3" state="visible" r:id="rId3"/>
    <sheet xmlns:r="http://schemas.openxmlformats.org/officeDocument/2006/relationships" name="Drift_Detection_Log" sheetId="4" state="visible" r:id="rId4"/>
    <sheet xmlns:r="http://schemas.openxmlformats.org/officeDocument/2006/relationships" name="Monitoring_Tool_Inventory" sheetId="5" state="visible" r:id="rId5"/>
    <sheet xmlns:r="http://schemas.openxmlformats.org/officeDocument/2006/relationships" name="Drift_Remediation_Tracking" sheetId="6" state="visible" r:id="rId6"/>
    <sheet xmlns:r="http://schemas.openxmlformats.org/officeDocument/2006/relationships" name="False_Positive_Register" sheetId="7" state="visible" r:id="rId7"/>
    <sheet xmlns:r="http://schemas.openxmlformats.org/officeDocument/2006/relationships" name="Monitoring_Effectiveness_Metrics" sheetId="8" state="visible" r:id="rId8"/>
    <sheet xmlns:r="http://schemas.openxmlformats.org/officeDocument/2006/relationships" name="Coverage_Gap_Analysis" sheetId="9" state="visible" r:id="rId9"/>
    <sheet xmlns:r="http://schemas.openxmlformats.org/officeDocument/2006/relationships" name="Drift_Trend_Analysis" sheetId="10" state="visible" r:id="rId10"/>
    <sheet xmlns:r="http://schemas.openxmlformats.org/officeDocument/2006/relationships" name="Evidence_Register"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sz val="11"/>
    </font>
    <font>
      <name val="Calibri"/>
      <b val="1"/>
      <color rgb="00FFFFFF"/>
      <sz val="16"/>
    </font>
    <font>
      <b val="1"/>
    </font>
    <font>
      <name val="Calibri"/>
      <sz val="11"/>
    </font>
    <font>
      <name val="Calibri"/>
      <b val="1"/>
      <color rgb="00FFFFFF"/>
      <sz val="12"/>
    </font>
    <font>
      <name val="Calibri"/>
      <color rgb="00666666"/>
      <sz val="11"/>
    </font>
    <font>
      <name val="Calibri"/>
      <b val="1"/>
      <color rgb="00FFFFFF"/>
      <sz val="14"/>
    </font>
    <font>
      <name val="Calibri"/>
      <i val="1"/>
      <sz val="11"/>
    </font>
    <font>
      <name val="Calibri"/>
      <i val="1"/>
      <color rgb="00666666"/>
      <sz val="10"/>
    </font>
    <font>
      <name val="Calibri"/>
      <i val="1"/>
      <sz val="10"/>
    </font>
  </fonts>
  <fills count="8">
    <fill>
      <patternFill/>
    </fill>
    <fill>
      <patternFill patternType="gray125"/>
    </fill>
    <fill>
      <patternFill patternType="solid">
        <fgColor rgb="00D9D9D9"/>
        <bgColor rgb="00D9D9D9"/>
      </patternFill>
    </fill>
    <fill>
      <patternFill patternType="solid">
        <fgColor rgb="00003366"/>
        <bgColor rgb="00003366"/>
      </patternFill>
    </fill>
    <fill>
      <patternFill patternType="solid">
        <fgColor rgb="004472C4"/>
        <bgColor rgb="004472C4"/>
      </patternFill>
    </fill>
    <fill>
      <patternFill patternType="solid">
        <fgColor rgb="00FFFFFF"/>
        <bgColor rgb="00FFFFFF"/>
      </patternFill>
    </fill>
    <fill>
      <patternFill patternType="solid">
        <fgColor rgb="00F2F2F2"/>
        <bgColor rgb="00F2F2F2"/>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2" fillId="3" borderId="0" applyAlignment="1" pivotButton="0" quotePrefix="0" xfId="0">
      <alignment horizontal="center" vertical="center" wrapText="1"/>
    </xf>
    <xf numFmtId="0" fontId="3" fillId="0"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left" vertical="center"/>
    </xf>
    <xf numFmtId="0" fontId="6" fillId="0" borderId="0" pivotButton="0" quotePrefix="0" xfId="0"/>
    <xf numFmtId="0" fontId="1"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5" borderId="1" applyAlignment="1" pivotButton="0" quotePrefix="0" xfId="0">
      <alignment horizontal="left" vertical="top"/>
    </xf>
    <xf numFmtId="0" fontId="8" fillId="6" borderId="1" applyAlignment="1" pivotButton="0" quotePrefix="0" xfId="0">
      <alignment horizontal="left" vertical="top"/>
    </xf>
    <xf numFmtId="4" fontId="3" fillId="0" borderId="0" pivotButton="0" quotePrefix="0" xfId="0"/>
    <xf numFmtId="0" fontId="4" fillId="0" borderId="0" pivotButton="0" quotePrefix="0" xfId="0"/>
    <xf numFmtId="0" fontId="4" fillId="6" borderId="0" pivotButton="0" quotePrefix="0" xfId="0"/>
    <xf numFmtId="164" fontId="8" fillId="6" borderId="1" applyAlignment="1" pivotButton="0" quotePrefix="0" xfId="0">
      <alignment horizontal="left" vertical="top"/>
    </xf>
    <xf numFmtId="0" fontId="9" fillId="0" borderId="0" applyAlignment="1" pivotButton="0" quotePrefix="0" xfId="0">
      <alignment horizontal="center"/>
    </xf>
    <xf numFmtId="0" fontId="1" fillId="6" borderId="0" pivotButton="0" quotePrefix="0" xfId="0"/>
    <xf numFmtId="0" fontId="10" fillId="7"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0006"/>
      </font>
    </dxf>
    <dxf>
      <font>
        <color rgb="009C0006"/>
      </font>
    </dxf>
    <dxf>
      <font>
        <color rgb="00C65911"/>
      </font>
    </dxf>
    <dxf>
      <font>
        <b val="1"/>
        <color rgb="00C659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cols>
    <col width="100" customWidth="1" min="1" max="1"/>
    <col width="40" customWidth="1" min="2" max="2"/>
  </cols>
  <sheetData>
    <row r="1" ht="40" customHeight="1">
      <c r="A1" s="1" t="inlineStr">
        <is>
          <t>ISMS-IMP-A.8.9.3  -  Configuration Monitoring Assessment
ISO/IEC 27001:2022 - Control A.8.9: Configuration Management</t>
        </is>
      </c>
    </row>
    <row r="2"/>
    <row r="3">
      <c r="A3" s="2" t="inlineStr">
        <is>
          <t>Document ID:</t>
        </is>
      </c>
      <c r="B3" t="inlineStr">
        <is>
          <t>ISMS-IMP-A.8.9.3</t>
        </is>
      </c>
    </row>
    <row r="4">
      <c r="A4" s="2" t="inlineStr">
        <is>
          <t>Assessment:</t>
        </is>
      </c>
      <c r="B4" t="inlineStr">
        <is>
          <t>Configuration Monitoring Assessment</t>
        </is>
      </c>
    </row>
    <row r="5">
      <c r="A5" s="2" t="inlineStr">
        <is>
          <t>Version:</t>
        </is>
      </c>
      <c r="B5" t="inlineStr">
        <is>
          <t>1.0</t>
        </is>
      </c>
    </row>
    <row r="6">
      <c r="A6" s="2" t="inlineStr">
        <is>
          <t>Generated:</t>
        </is>
      </c>
      <c r="B6" t="inlineStr">
        <is>
          <t>08.02.2026 12:26</t>
        </is>
      </c>
    </row>
    <row r="8">
      <c r="A8" s="3" t="inlineStr"/>
    </row>
    <row r="9" ht="20" customHeight="1">
      <c r="A9" s="4" t="inlineStr">
        <is>
          <t>ASSESSMENT OVERVIEW</t>
        </is>
      </c>
    </row>
    <row r="10">
      <c r="A10" s="5" t="inlineStr">
        <is>
          <t>━━━━━━━━━━━━━━━━━━━━━━━━━━━━━━━━━━━━━━━━━━━━━━━━━━━━━━━━━━━━━━━━━━━━━━━━━━━━━━━━</t>
        </is>
      </c>
    </row>
    <row r="11">
      <c r="A11" s="3" t="inlineStr"/>
    </row>
    <row r="12">
      <c r="A12" s="3" t="inlineStr">
        <is>
          <t>Purpose:</t>
        </is>
      </c>
    </row>
    <row r="13">
      <c r="A13" s="3" t="inlineStr">
        <is>
          <t>This workbook evaluates configuration monitoring and drift detection effectiveness. It verifies that configuration states are continuously monitored against approved baselines, deviations are detected promptly, and corrective actions are tracked. Provides evidence of ISO 27001:2022 Control A.8.9 monitoring compliance.</t>
        </is>
      </c>
    </row>
    <row r="14">
      <c r="A14" s="3" t="inlineStr"/>
    </row>
    <row r="15">
      <c r="A15" s="3" t="inlineStr">
        <is>
          <t>Assessment Scope:</t>
        </is>
      </c>
    </row>
    <row r="16">
      <c r="A16" s="3" t="inlineStr">
        <is>
          <t>• Configuration monitoring coverage (which assets are monitored)</t>
        </is>
      </c>
    </row>
    <row r="17">
      <c r="A17" s="3" t="inlineStr">
        <is>
          <t>• Drift detection capabilities (automated vs. manual)</t>
        </is>
      </c>
    </row>
    <row r="18">
      <c r="A18" s="3" t="inlineStr">
        <is>
          <t>• Baseline compliance verification frequency</t>
        </is>
      </c>
    </row>
    <row r="19">
      <c r="A19" s="3" t="inlineStr">
        <is>
          <t>• Drift alerting and notification workflows</t>
        </is>
      </c>
    </row>
    <row r="20">
      <c r="A20" s="3" t="inlineStr">
        <is>
          <t>• Drift incident tracking and remediation</t>
        </is>
      </c>
    </row>
    <row r="21">
      <c r="A21" s="3" t="inlineStr">
        <is>
          <t>• False positive management</t>
        </is>
      </c>
    </row>
    <row r="22">
      <c r="A22" s="3" t="inlineStr">
        <is>
          <t>• Monitoring tool effectiveness</t>
        </is>
      </c>
    </row>
    <row r="23">
      <c r="A23" s="3" t="inlineStr">
        <is>
          <t>• Integration with change control (authorized vs. unauthorized changes)</t>
        </is>
      </c>
    </row>
    <row r="24">
      <c r="A24" s="3" t="inlineStr"/>
    </row>
    <row r="25" ht="20" customHeight="1">
      <c r="A25" s="4" t="inlineStr">
        <is>
          <t>MONITORING METHODS</t>
        </is>
      </c>
    </row>
    <row r="26">
      <c r="A26" s="5" t="inlineStr">
        <is>
          <t>━━━━━━━━━━━━━━━━━━━━━━━━━━━━━━━━━━━━━━━━━━━━━━━━━━━━━━━━━━━━━━━━━━━━━━━━━━━━━━━━</t>
        </is>
      </c>
    </row>
    <row r="27">
      <c r="A27" s="3" t="inlineStr"/>
    </row>
    <row r="28">
      <c r="A28" s="3" t="inlineStr">
        <is>
          <t>Automated Continuous Monitoring:</t>
        </is>
      </c>
    </row>
    <row r="29">
      <c r="A29" s="3" t="inlineStr">
        <is>
          <t>• Real-time or near-real-time drift detection</t>
        </is>
      </c>
    </row>
    <row r="30">
      <c r="A30" s="3" t="inlineStr">
        <is>
          <t>• Agent-based tools or agentless API polling</t>
        </is>
      </c>
    </row>
    <row r="31">
      <c r="A31" s="3" t="inlineStr">
        <is>
          <t>• Examples: Configuration management tools, SIEM integrations, cloud-native monitoring</t>
        </is>
      </c>
    </row>
    <row r="32">
      <c r="A32" s="3" t="inlineStr">
        <is>
          <t>• Frequency: Continuous (minutes to hours)</t>
        </is>
      </c>
    </row>
    <row r="33">
      <c r="A33" s="3" t="inlineStr">
        <is>
          <t>• Best for: Large-scale, dynamic environments, critical assets</t>
        </is>
      </c>
    </row>
    <row r="34">
      <c r="A34" s="3" t="inlineStr"/>
    </row>
    <row r="35">
      <c r="A35" s="3" t="inlineStr">
        <is>
          <t>Scheduled Automated Scans:</t>
        </is>
      </c>
    </row>
    <row r="36">
      <c r="A36" s="3" t="inlineStr">
        <is>
          <t>• Periodic automated configuration checks</t>
        </is>
      </c>
    </row>
    <row r="37">
      <c r="A37" s="3" t="inlineStr">
        <is>
          <t>• Examples: Daily/weekly compliance scans, scheduled scripts</t>
        </is>
      </c>
    </row>
    <row r="38">
      <c r="A38" s="3" t="inlineStr">
        <is>
          <t>• Frequency: Daily, weekly, or monthly</t>
        </is>
      </c>
    </row>
    <row r="39">
      <c r="A39" s="3" t="inlineStr">
        <is>
          <t>• Best for: Stable environments with infrequent changes</t>
        </is>
      </c>
    </row>
    <row r="40">
      <c r="A40" s="3" t="inlineStr"/>
    </row>
    <row r="41">
      <c r="A41" s="3" t="inlineStr">
        <is>
          <t>Manual Verification:</t>
        </is>
      </c>
    </row>
    <row r="42">
      <c r="A42" s="3" t="inlineStr">
        <is>
          <t>• Human review of configuration files or settings</t>
        </is>
      </c>
    </row>
    <row r="43">
      <c r="A43" s="3" t="inlineStr">
        <is>
          <t>• Examples: Quarterly configuration reviews, post-change verification</t>
        </is>
      </c>
    </row>
    <row r="44">
      <c r="A44" s="3" t="inlineStr">
        <is>
          <t>• Frequency: Weekly, monthly, or quarterly</t>
        </is>
      </c>
    </row>
    <row r="45">
      <c r="A45" s="3" t="inlineStr">
        <is>
          <t>• Best for: Critical systems requiring human validation, spot checks</t>
        </is>
      </c>
    </row>
    <row r="46">
      <c r="A46" s="3" t="inlineStr"/>
    </row>
    <row r="47">
      <c r="A47" s="3" t="inlineStr">
        <is>
          <t>Hybrid Approach:</t>
        </is>
      </c>
    </row>
    <row r="48">
      <c r="A48" s="3" t="inlineStr">
        <is>
          <t>• Combination of automated and manual methods</t>
        </is>
      </c>
    </row>
    <row r="49">
      <c r="A49" s="3" t="inlineStr">
        <is>
          <t>• Examples: Automated daily scans + weekly manual review of critical items</t>
        </is>
      </c>
    </row>
    <row r="50">
      <c r="A50" s="3" t="inlineStr">
        <is>
          <t>• Best for: Balancing coverage with resource constraints</t>
        </is>
      </c>
    </row>
    <row r="51">
      <c r="A51" s="3" t="inlineStr"/>
    </row>
    <row r="52" ht="20" customHeight="1">
      <c r="A52" s="4" t="inlineStr">
        <is>
          <t>DRIFT SEVERITY CATEGORIES</t>
        </is>
      </c>
    </row>
    <row r="53">
      <c r="A53" s="5" t="inlineStr">
        <is>
          <t>━━━━━━━━━━━━━━━━━━━━━━━━━━━━━━━━━━━━━━━━━━━━━━━━━━━━━━━━━━━━━━━━━━━━━━━━━━━━━━━━</t>
        </is>
      </c>
    </row>
    <row r="54">
      <c r="A54" s="3" t="inlineStr"/>
    </row>
    <row r="55">
      <c r="A55" s="3" t="inlineStr">
        <is>
          <t>Critical Drift (Response: &lt;4 hours):</t>
        </is>
      </c>
    </row>
    <row r="56">
      <c r="A56" s="3" t="inlineStr">
        <is>
          <t>• Security control disabled</t>
        </is>
      </c>
    </row>
    <row r="57">
      <c r="A57" s="3" t="inlineStr">
        <is>
          <t>• Public exposure created (firewall rule allowing unrestricted access)</t>
        </is>
      </c>
    </row>
    <row r="58">
      <c r="A58" s="3" t="inlineStr">
        <is>
          <t>• Encryption disabled</t>
        </is>
      </c>
    </row>
    <row r="59">
      <c r="A59" s="3" t="inlineStr">
        <is>
          <t>• Immediate investigation and remediation required</t>
        </is>
      </c>
    </row>
    <row r="60">
      <c r="A60" s="3" t="inlineStr"/>
    </row>
    <row r="61">
      <c r="A61" s="3" t="inlineStr">
        <is>
          <t>High Drift (Response: &lt;24 hours):</t>
        </is>
      </c>
    </row>
    <row r="62">
      <c r="A62" s="3" t="inlineStr">
        <is>
          <t>• Significant security baseline deviation</t>
        </is>
      </c>
    </row>
    <row r="63">
      <c r="A63" s="3" t="inlineStr">
        <is>
          <t>• Security patch removed</t>
        </is>
      </c>
    </row>
    <row r="64">
      <c r="A64" s="3" t="inlineStr">
        <is>
          <t>• Authentication weakened</t>
        </is>
      </c>
    </row>
    <row r="65">
      <c r="A65" s="3" t="inlineStr">
        <is>
          <t>• Unauthorized service enabled</t>
        </is>
      </c>
    </row>
    <row r="66">
      <c r="A66" s="3" t="inlineStr"/>
    </row>
    <row r="67">
      <c r="A67" s="3" t="inlineStr">
        <is>
          <t>Medium Drift (Response: &lt;7 days):</t>
        </is>
      </c>
    </row>
    <row r="68">
      <c r="A68" s="3" t="inlineStr">
        <is>
          <t>• Moderate deviation with potential security impact</t>
        </is>
      </c>
    </row>
    <row r="69">
      <c r="A69" s="3" t="inlineStr">
        <is>
          <t>• Non-security configuration change</t>
        </is>
      </c>
    </row>
    <row r="70">
      <c r="A70" s="3" t="inlineStr">
        <is>
          <t>• Logging level reduced</t>
        </is>
      </c>
    </row>
    <row r="71">
      <c r="A71" s="3" t="inlineStr">
        <is>
          <t>• Resource limit modified</t>
        </is>
      </c>
    </row>
    <row r="72">
      <c r="A72" s="3" t="inlineStr"/>
    </row>
    <row r="73">
      <c r="A73" s="3" t="inlineStr">
        <is>
          <t>Low Drift (Response: &lt;30 days):</t>
        </is>
      </c>
    </row>
    <row r="74">
      <c r="A74" s="3" t="inlineStr">
        <is>
          <t>• Minor deviation with minimal security impact</t>
        </is>
      </c>
    </row>
    <row r="75">
      <c r="A75" s="3" t="inlineStr">
        <is>
          <t>• Cosmetic settings changed</t>
        </is>
      </c>
    </row>
    <row r="76">
      <c r="A76" s="3" t="inlineStr">
        <is>
          <t>• Non-critical parameter drift</t>
        </is>
      </c>
    </row>
    <row r="77">
      <c r="A77" s="3" t="inlineStr">
        <is>
          <t>• Timezone discrepancy</t>
        </is>
      </c>
    </row>
    <row r="78">
      <c r="A78" s="3" t="inlineStr"/>
    </row>
    <row r="79">
      <c r="A79" s="3" t="inlineStr">
        <is>
          <t>Informational:</t>
        </is>
      </c>
    </row>
    <row r="80">
      <c r="A80" s="3" t="inlineStr">
        <is>
          <t>• Benign drift, no action required</t>
        </is>
      </c>
    </row>
    <row r="81">
      <c r="A81" s="3" t="inlineStr">
        <is>
          <t>• Expected variation (e.g., dynamic IP)</t>
        </is>
      </c>
    </row>
    <row r="82">
      <c r="A82" s="3" t="inlineStr">
        <is>
          <t>• Authorized temporary change documented</t>
        </is>
      </c>
    </row>
    <row r="83">
      <c r="A83" s="3" t="inlineStr"/>
    </row>
    <row r="84" ht="20" customHeight="1">
      <c r="A84" s="4" t="inlineStr">
        <is>
          <t>MONITORING COVERAGE TIERS</t>
        </is>
      </c>
    </row>
    <row r="85">
      <c r="A85" s="5" t="inlineStr">
        <is>
          <t>━━━━━━━━━━━━━━━━━━━━━━━━━━━━━━━━━━━━━━━━━━━━━━━━━━━━━━━━━━━━━━━━━━━━━━━━━━━━━━━━</t>
        </is>
      </c>
    </row>
    <row r="86">
      <c r="A86" s="3" t="inlineStr"/>
    </row>
    <row r="87">
      <c r="A87" s="3" t="inlineStr">
        <is>
          <t>Tier 1 - Critical Assets (Continuous Monitoring Required):</t>
        </is>
      </c>
    </row>
    <row r="88">
      <c r="A88" s="3" t="inlineStr">
        <is>
          <t>• Public-facing systems (web servers, APIs)</t>
        </is>
      </c>
    </row>
    <row r="89">
      <c r="A89" s="3" t="inlineStr">
        <is>
          <t>• Authentication infrastructure (directory services, IAM)</t>
        </is>
      </c>
    </row>
    <row r="90">
      <c r="A90" s="3" t="inlineStr">
        <is>
          <t>• Security controls (firewalls, IDS/IPS, SIEM)</t>
        </is>
      </c>
    </row>
    <row r="91">
      <c r="A91" s="3" t="inlineStr">
        <is>
          <t>• Database servers with sensitive data</t>
        </is>
      </c>
    </row>
    <row r="92">
      <c r="A92" s="3" t="inlineStr">
        <is>
          <t>• Monitoring: Real-time or &lt;15 minute intervals</t>
        </is>
      </c>
    </row>
    <row r="93">
      <c r="A93" s="3" t="inlineStr">
        <is>
          <t>• Target: 100% coverage, 100% detection within 1 hour</t>
        </is>
      </c>
    </row>
    <row r="94">
      <c r="A94" s="3" t="inlineStr"/>
    </row>
    <row r="95">
      <c r="A95" s="3" t="inlineStr">
        <is>
          <t>Tier 2 - High Value Assets (Frequent Monitoring):</t>
        </is>
      </c>
    </row>
    <row r="96">
      <c r="A96" s="3" t="inlineStr">
        <is>
          <t>• Internal application servers</t>
        </is>
      </c>
    </row>
    <row r="97">
      <c r="A97" s="3" t="inlineStr">
        <is>
          <t>• File and storage servers</t>
        </is>
      </c>
    </row>
    <row r="98">
      <c r="A98" s="3" t="inlineStr">
        <is>
          <t>• Network infrastructure (switches, routers)</t>
        </is>
      </c>
    </row>
    <row r="99">
      <c r="A99" s="3" t="inlineStr">
        <is>
          <t>• Monitoring: Hourly to daily</t>
        </is>
      </c>
    </row>
    <row r="100">
      <c r="A100" s="3" t="inlineStr">
        <is>
          <t>• Target: ≥95% coverage, 95% detection within 24 hours</t>
        </is>
      </c>
    </row>
    <row r="101">
      <c r="A101" s="3" t="inlineStr"/>
    </row>
    <row r="102">
      <c r="A102" s="3" t="inlineStr">
        <is>
          <t>Tier 3 - Standard Assets (Regular Monitoring):</t>
        </is>
      </c>
    </row>
    <row r="103">
      <c r="A103" s="3" t="inlineStr">
        <is>
          <t>• Workstations and laptops</t>
        </is>
      </c>
    </row>
    <row r="104">
      <c r="A104" s="3" t="inlineStr">
        <is>
          <t>• Non-critical application servers</t>
        </is>
      </c>
    </row>
    <row r="105">
      <c r="A105" s="3" t="inlineStr">
        <is>
          <t>• Development/test environments</t>
        </is>
      </c>
    </row>
    <row r="106">
      <c r="A106" s="3" t="inlineStr">
        <is>
          <t>• Monitoring: Daily to weekly</t>
        </is>
      </c>
    </row>
    <row r="107">
      <c r="A107" s="3" t="inlineStr">
        <is>
          <t>• Target: ≥85% coverage, 90% detection within 7 days</t>
        </is>
      </c>
    </row>
    <row r="108">
      <c r="A108" s="3" t="inlineStr"/>
    </row>
    <row r="109">
      <c r="A109" s="3" t="inlineStr">
        <is>
          <t>Tier 4 - Low Risk Assets (Periodic Monitoring):</t>
        </is>
      </c>
    </row>
    <row r="110">
      <c r="A110" s="3" t="inlineStr">
        <is>
          <t>• Isolated lab systems</t>
        </is>
      </c>
    </row>
    <row r="111">
      <c r="A111" s="3" t="inlineStr">
        <is>
          <t>• Non-connected devices</t>
        </is>
      </c>
    </row>
    <row r="112">
      <c r="A112" s="3" t="inlineStr">
        <is>
          <t>• Monitoring: Weekly to monthly</t>
        </is>
      </c>
    </row>
    <row r="113">
      <c r="A113" s="3" t="inlineStr">
        <is>
          <t>• Target: ≥70% coverage</t>
        </is>
      </c>
    </row>
    <row r="114">
      <c r="A114" s="3" t="inlineStr"/>
    </row>
    <row r="115" ht="20" customHeight="1">
      <c r="A115" s="4" t="inlineStr">
        <is>
          <t>WHO SHOULD COMPLETE THIS ASSESSMENT</t>
        </is>
      </c>
    </row>
    <row r="116">
      <c r="A116" s="5" t="inlineStr">
        <is>
          <t>━━━━━━━━━━━━━━━━━━━━━━━━━━━━━━━━━━━━━━━━━━━━━━━━━━━━━━━━━━━━━━━━━━━━━━━━━━━━━━━━</t>
        </is>
      </c>
    </row>
    <row r="117">
      <c r="A117" s="3" t="inlineStr"/>
    </row>
    <row r="118">
      <c r="A118" s="3" t="inlineStr">
        <is>
          <t>System Administrators / SOC Analysts (Preparer):</t>
        </is>
      </c>
    </row>
    <row r="119">
      <c r="A119" s="3" t="inlineStr">
        <is>
          <t>• Document monitoring coverage per asset</t>
        </is>
      </c>
    </row>
    <row r="120">
      <c r="A120" s="3" t="inlineStr">
        <is>
          <t>• Record drift detection incidents as they occur</t>
        </is>
      </c>
    </row>
    <row r="121">
      <c r="A121" s="3" t="inlineStr">
        <is>
          <t>• Track remediation actions</t>
        </is>
      </c>
    </row>
    <row r="122">
      <c r="A122" s="3" t="inlineStr">
        <is>
          <t>• Monitor false positive rates</t>
        </is>
      </c>
    </row>
    <row r="123">
      <c r="A123" s="3" t="inlineStr">
        <is>
          <t>• Maintain evidence of monitoring tool operation</t>
        </is>
      </c>
    </row>
    <row r="124">
      <c r="A124" s="3" t="inlineStr"/>
    </row>
    <row r="125">
      <c r="A125" s="3" t="inlineStr">
        <is>
          <t>Configuration Manager / IT Operations Manager (Reviewer):</t>
        </is>
      </c>
    </row>
    <row r="126">
      <c r="A126" s="3" t="inlineStr">
        <is>
          <t>• Verify monitoring coverage adequacy</t>
        </is>
      </c>
    </row>
    <row r="127">
      <c r="A127" s="3" t="inlineStr">
        <is>
          <t>• Analyze drift trends and patterns</t>
        </is>
      </c>
    </row>
    <row r="128">
      <c r="A128" s="3" t="inlineStr">
        <is>
          <t>• Assess detection effectiveness (MTTD)</t>
        </is>
      </c>
    </row>
    <row r="129">
      <c r="A129" s="3" t="inlineStr">
        <is>
          <t>• Review remediation timeliness</t>
        </is>
      </c>
    </row>
    <row r="130">
      <c r="A130" s="3" t="inlineStr">
        <is>
          <t>• Identify monitoring gaps</t>
        </is>
      </c>
    </row>
    <row r="131">
      <c r="A131" s="3" t="inlineStr">
        <is>
          <t>• Recommend tool/process improvements</t>
        </is>
      </c>
    </row>
    <row r="132">
      <c r="A132" s="3" t="inlineStr"/>
    </row>
    <row r="133">
      <c r="A133" s="3" t="inlineStr">
        <is>
          <t>CISO / IT Manager (Approver):</t>
        </is>
      </c>
    </row>
    <row r="134">
      <c r="A134" s="3" t="inlineStr">
        <is>
          <t>• Review overall monitoring effectiveness</t>
        </is>
      </c>
    </row>
    <row r="135">
      <c r="A135" s="3" t="inlineStr">
        <is>
          <t>• Approve monitoring coverage expansion plans</t>
        </is>
      </c>
    </row>
    <row r="136">
      <c r="A136" s="3" t="inlineStr">
        <is>
          <t>• Authorize budget for monitoring tools</t>
        </is>
      </c>
    </row>
    <row r="137">
      <c r="A137" s="3" t="inlineStr">
        <is>
          <t>• Sign off on assessment</t>
        </is>
      </c>
    </row>
    <row r="138">
      <c r="A138" s="3" t="inlineStr"/>
    </row>
    <row r="139" ht="20" customHeight="1">
      <c r="A139" s="4" t="inlineStr">
        <is>
          <t>COMPLETION INSTRUCTIONS</t>
        </is>
      </c>
    </row>
    <row r="140">
      <c r="A140" s="5" t="inlineStr">
        <is>
          <t>━━━━━━━━━━━━━━━━━━━━━━━━━━━━━━━━━━━━━━━━━━━━━━━━━━━━━━━━━━━━━━━━━━━━━━━━━━━━━━━━</t>
        </is>
      </c>
    </row>
    <row r="141">
      <c r="A141" s="3" t="inlineStr"/>
    </row>
    <row r="142">
      <c r="A142" s="3" t="inlineStr">
        <is>
          <t>Ongoing Operations (Continuous):</t>
        </is>
      </c>
    </row>
    <row r="143">
      <c r="A143" s="3" t="inlineStr">
        <is>
          <t>1. Document all assets in Monitoring_Coverage_Register</t>
        </is>
      </c>
    </row>
    <row r="144">
      <c r="A144" s="3" t="inlineStr">
        <is>
          <t>2. Log drift incidents in Drift_Detection_Log as detected</t>
        </is>
      </c>
    </row>
    <row r="145">
      <c r="A145" s="3" t="inlineStr">
        <is>
          <t>3. Investigate unauthorized changes immediately</t>
        </is>
      </c>
    </row>
    <row r="146">
      <c r="A146" s="3" t="inlineStr">
        <is>
          <t>4. Track remediation in Drift_Remediation_Tracking</t>
        </is>
      </c>
    </row>
    <row r="147">
      <c r="A147" s="3" t="inlineStr">
        <is>
          <t>5. Document false positives in False_Positive_Register</t>
        </is>
      </c>
    </row>
    <row r="148">
      <c r="A148" s="3" t="inlineStr">
        <is>
          <t>6. Tune monitoring rules to reduce noise</t>
        </is>
      </c>
    </row>
    <row r="149">
      <c r="A149" s="3" t="inlineStr"/>
    </row>
    <row r="150">
      <c r="A150" s="3" t="inlineStr">
        <is>
          <t>Monthly Review (Configuration Manager):</t>
        </is>
      </c>
    </row>
    <row r="151">
      <c r="A151" s="3" t="inlineStr">
        <is>
          <t>1. Review Monitoring_Effectiveness_Metrics</t>
        </is>
      </c>
    </row>
    <row r="152">
      <c r="A152" s="3" t="inlineStr">
        <is>
          <t>2. Analyze drift trends from previous month</t>
        </is>
      </c>
    </row>
    <row r="153">
      <c r="A153" s="3" t="inlineStr">
        <is>
          <t>3. Verify SLA compliance for remediation</t>
        </is>
      </c>
    </row>
    <row r="154">
      <c r="A154" s="3" t="inlineStr">
        <is>
          <t>4. Review false positive rates and implement tuning</t>
        </is>
      </c>
    </row>
    <row r="155">
      <c r="A155" s="3" t="inlineStr">
        <is>
          <t>5. Update monitoring coverage for new assets</t>
        </is>
      </c>
    </row>
    <row r="156">
      <c r="A156" s="3" t="inlineStr"/>
    </row>
    <row r="157">
      <c r="A157" s="3" t="inlineStr">
        <is>
          <t>Quarterly Assessment (Configuration Manager):</t>
        </is>
      </c>
    </row>
    <row r="158">
      <c r="A158" s="3" t="inlineStr">
        <is>
          <t>1. Comprehensive review of all sheets</t>
        </is>
      </c>
    </row>
    <row r="159">
      <c r="A159" s="3" t="inlineStr">
        <is>
          <t>2. Analyze Drift_Trend_Analysis for patterns</t>
        </is>
      </c>
    </row>
    <row r="160">
      <c r="A160" s="3" t="inlineStr">
        <is>
          <t>3. Review Coverage_Gap_Analysis priorities</t>
        </is>
      </c>
    </row>
    <row r="161">
      <c r="A161" s="3" t="inlineStr">
        <is>
          <t>4. Assess monitoring tool effectiveness</t>
        </is>
      </c>
    </row>
    <row r="162">
      <c r="A162" s="3" t="inlineStr">
        <is>
          <t>5. Compile evidence and complete Reviewer Sign-Off</t>
        </is>
      </c>
    </row>
    <row r="163">
      <c r="A163" s="3" t="inlineStr"/>
    </row>
    <row r="164">
      <c r="A164" s="3" t="inlineStr">
        <is>
          <t>Annual Approval (CISO/IT Manager):</t>
        </is>
      </c>
    </row>
    <row r="165">
      <c r="A165" s="3" t="inlineStr">
        <is>
          <t>1. Review monitoring program effectiveness</t>
        </is>
      </c>
    </row>
    <row r="166">
      <c r="A166" s="3" t="inlineStr">
        <is>
          <t>2. Approve tool budget and coverage expansion</t>
        </is>
      </c>
    </row>
    <row r="167">
      <c r="A167" s="3" t="inlineStr">
        <is>
          <t>3. Complete Approver Sign-Off</t>
        </is>
      </c>
    </row>
    <row r="168">
      <c r="A168" s="3" t="inlineStr"/>
    </row>
    <row r="169" ht="20" customHeight="1">
      <c r="A169" s="4" t="inlineStr">
        <is>
          <t>WORKBOOK STRUCTURE</t>
        </is>
      </c>
    </row>
    <row r="170">
      <c r="A170" s="5" t="inlineStr">
        <is>
          <t>━━━━━━━━━━━━━━━━━━━━━━━━━━━━━━━━━━━━━━━━━━━━━━━━━━━━━━━━━━━━━━━━━━━━━━━━━━━━━━━━</t>
        </is>
      </c>
    </row>
    <row r="171">
      <c r="A171" s="3" t="inlineStr"/>
    </row>
    <row r="172">
      <c r="A172" s="3" t="inlineStr">
        <is>
          <t>This workbook contains 11 sheets:</t>
        </is>
      </c>
    </row>
    <row r="173">
      <c r="A173" s="3" t="inlineStr"/>
    </row>
    <row r="174">
      <c r="A174" s="3" t="inlineStr">
        <is>
          <t>1.  Instructions - This sheet (usage guidance)</t>
        </is>
      </c>
    </row>
    <row r="175">
      <c r="A175" s="3" t="inlineStr">
        <is>
          <t>2.  Monitoring_Coverage_Register - Asset monitoring inventory (100 rows)</t>
        </is>
      </c>
    </row>
    <row r="176">
      <c r="A176" s="3" t="inlineStr">
        <is>
          <t>3.  Drift_Detection_Log - Drift incident records (150 rows)</t>
        </is>
      </c>
    </row>
    <row r="177">
      <c r="A177" s="3" t="inlineStr">
        <is>
          <t>4.  Monitoring_Tool_Inventory - Tools and capabilities (30 rows)</t>
        </is>
      </c>
    </row>
    <row r="178">
      <c r="A178" s="3" t="inlineStr">
        <is>
          <t>5.  Drift_Remediation_Tracking - Remediation actions (150 rows)</t>
        </is>
      </c>
    </row>
    <row r="179">
      <c r="A179" s="3" t="inlineStr">
        <is>
          <t>6.  False_Positive_Register - False alert tracking (75 rows)</t>
        </is>
      </c>
    </row>
    <row r="180">
      <c r="A180" s="3" t="inlineStr">
        <is>
          <t>7.  Monitoring_Effectiveness_Metrics - Auto-calculated KPIs (dashboard)</t>
        </is>
      </c>
    </row>
    <row r="181">
      <c r="A181" s="3" t="inlineStr">
        <is>
          <t>8.  Coverage_Gap_Analysis - Coverage analysis (dashboard)</t>
        </is>
      </c>
    </row>
    <row r="182">
      <c r="A182" s="3" t="inlineStr">
        <is>
          <t>9.  Drift_Trend_Analysis - Temporal trends (dashboard)</t>
        </is>
      </c>
    </row>
    <row r="183">
      <c r="A183" s="3" t="inlineStr">
        <is>
          <t>10. Evidence_Register - Supporting evidence (100 rows)</t>
        </is>
      </c>
    </row>
    <row r="184">
      <c r="A184" s="3" t="inlineStr">
        <is>
          <t>11. Approval_Sign_Off - Three-tier signatures</t>
        </is>
      </c>
    </row>
    <row r="185">
      <c r="A185" s="3" t="inlineStr"/>
    </row>
    <row r="186" ht="20" customHeight="1">
      <c r="A186" s="4" t="inlineStr">
        <is>
          <t>LEGEND - COLOR CODING</t>
        </is>
      </c>
    </row>
    <row r="187">
      <c r="A187" s="5" t="inlineStr">
        <is>
          <t>━━━━━━━━━━━━━━━━━━━━━━━━━━━━━━━━━━━━━━━━━━━━━━━━━━━━━━━━━━━━━━━━━━━━━━━━━━━━━━━━</t>
        </is>
      </c>
    </row>
    <row r="188">
      <c r="A188" s="3" t="inlineStr"/>
    </row>
    <row r="189">
      <c r="A189" s="3" t="inlineStr">
        <is>
          <t>Drift Severity:</t>
        </is>
      </c>
    </row>
    <row r="190">
      <c r="A190" s="3" t="inlineStr">
        <is>
          <t xml:space="preserve">  🔴 Critical (Dark Red) - Immediate action &lt;4 hours</t>
        </is>
      </c>
    </row>
    <row r="191">
      <c r="A191" s="3" t="inlineStr">
        <is>
          <t xml:space="preserve">  🔴 High (Red) - Urgent action &lt;24 hours</t>
        </is>
      </c>
    </row>
    <row r="192">
      <c r="A192" s="3" t="inlineStr">
        <is>
          <t xml:space="preserve">  🟡 Medium (Yellow) - Important &lt;7 days</t>
        </is>
      </c>
    </row>
    <row r="193">
      <c r="A193" s="3" t="inlineStr">
        <is>
          <t xml:space="preserve">  🟢 Low (Light Green) - Minor &lt;30 days</t>
        </is>
      </c>
    </row>
    <row r="194">
      <c r="A194" s="3" t="inlineStr">
        <is>
          <t xml:space="preserve">  ⚪ Informational (Gray) - No action required</t>
        </is>
      </c>
    </row>
    <row r="195">
      <c r="A195" s="3" t="inlineStr"/>
    </row>
    <row r="196">
      <c r="A196" s="3" t="inlineStr">
        <is>
          <t>Monitoring Status:</t>
        </is>
      </c>
    </row>
    <row r="197">
      <c r="A197" s="3" t="inlineStr">
        <is>
          <t xml:space="preserve">  🟢 Monitored (Green) - Active monitoring in place</t>
        </is>
      </c>
    </row>
    <row r="198">
      <c r="A198" s="3" t="inlineStr">
        <is>
          <t xml:space="preserve">  🟡 Partially Monitored (Yellow) - Some coverage gaps</t>
        </is>
      </c>
    </row>
    <row r="199">
      <c r="A199" s="3" t="inlineStr">
        <is>
          <t xml:space="preserve">  🔴 Not Monitored (Red) - No monitoring</t>
        </is>
      </c>
    </row>
    <row r="200">
      <c r="A200" s="3" t="inlineStr">
        <is>
          <t xml:space="preserve">  ⚪ Excluded (Gray) - Out of scope</t>
        </is>
      </c>
    </row>
    <row r="201">
      <c r="A201" s="3" t="inlineStr"/>
    </row>
    <row r="202">
      <c r="A202" s="3" t="inlineStr">
        <is>
          <t>Coverage Compliance:</t>
        </is>
      </c>
    </row>
    <row r="203">
      <c r="A203" s="3" t="inlineStr">
        <is>
          <t xml:space="preserve">  🟢 Compliant (Green) - Meets tier requirements</t>
        </is>
      </c>
    </row>
    <row r="204">
      <c r="A204" s="3" t="inlineStr">
        <is>
          <t xml:space="preserve">  🟡 Partial (Yellow) - Some gaps acceptable</t>
        </is>
      </c>
    </row>
    <row r="205">
      <c r="A205" s="3" t="inlineStr">
        <is>
          <t xml:space="preserve">  🔴 Non-Compliant (Red) - Critical gap</t>
        </is>
      </c>
    </row>
    <row r="206">
      <c r="A206" s="3" t="inlineStr"/>
    </row>
    <row r="207" ht="20" customHeight="1">
      <c r="A207" s="4" t="inlineStr">
        <is>
          <t>INTEGRATION WITH OTHER ASSESSMENTS</t>
        </is>
      </c>
    </row>
    <row r="208">
      <c r="A208" s="5" t="inlineStr">
        <is>
          <t>━━━━━━━━━━━━━━━━━━━━━━━━━━━━━━━━━━━━━━━━━━━━━━━━━━━━━━━━━━━━━━━━━━━━━━━━━━━━━━━━</t>
        </is>
      </c>
    </row>
    <row r="209">
      <c r="A209" s="3" t="inlineStr"/>
    </row>
    <row r="210">
      <c r="A210" s="3" t="inlineStr">
        <is>
          <t>Links to ISMS-IMP-A.8.9.1 (Baseline Configuration):</t>
        </is>
      </c>
    </row>
    <row r="211">
      <c r="A211" s="3" t="inlineStr">
        <is>
          <t>• Asset IDs should match Asset_Inventory</t>
        </is>
      </c>
    </row>
    <row r="212">
      <c r="A212" s="3" t="inlineStr">
        <is>
          <t>• Baseline Reference links to Baseline_Repository</t>
        </is>
      </c>
    </row>
    <row r="213">
      <c r="A213" s="3" t="inlineStr">
        <is>
          <t>• Expected values come from documented baselines</t>
        </is>
      </c>
    </row>
    <row r="214">
      <c r="A214" s="3" t="inlineStr"/>
    </row>
    <row r="215">
      <c r="A215" s="3" t="inlineStr">
        <is>
          <t>Links to ISMS-IMP-A.8.9.2 (Change Control):</t>
        </is>
      </c>
    </row>
    <row r="216">
      <c r="A216" s="3" t="inlineStr">
        <is>
          <t>• Authorized changes reference Change IDs</t>
        </is>
      </c>
    </row>
    <row r="217">
      <c r="A217" s="3" t="inlineStr">
        <is>
          <t>• Drift incidents verified against Change_Request_Register</t>
        </is>
      </c>
    </row>
    <row r="218">
      <c r="A218" s="3" t="inlineStr">
        <is>
          <t>• Unauthorized changes trigger change control review</t>
        </is>
      </c>
    </row>
    <row r="219">
      <c r="A219" s="3" t="inlineStr"/>
    </row>
    <row r="220" ht="20" customHeight="1">
      <c r="A220" s="4" t="inlineStr">
        <is>
          <t>COMPLIANCE TARGETS</t>
        </is>
      </c>
    </row>
    <row r="221">
      <c r="A221" s="5" t="inlineStr">
        <is>
          <t>━━━━━━━━━━━━━━━━━━━━━━━━━━━━━━━━━━━━━━━━━━━━━━━━━━━━━━━━━━━━━━━━━━━━━━━━━━━━━━━━</t>
        </is>
      </c>
    </row>
    <row r="222">
      <c r="A222" s="3" t="inlineStr"/>
    </row>
    <row r="223">
      <c r="A223" s="3" t="inlineStr">
        <is>
          <t>Monitoring Coverage:</t>
        </is>
      </c>
    </row>
    <row r="224">
      <c r="A224" s="3" t="inlineStr">
        <is>
          <t>• Tier 1 (Critical): 100%</t>
        </is>
      </c>
    </row>
    <row r="225">
      <c r="A225" s="3" t="inlineStr">
        <is>
          <t>• Tier 2 (High): ≥95%</t>
        </is>
      </c>
    </row>
    <row r="226">
      <c r="A226" s="3" t="inlineStr">
        <is>
          <t>• Tier 3 (Standard): ≥85%</t>
        </is>
      </c>
    </row>
    <row r="227">
      <c r="A227" s="3" t="inlineStr">
        <is>
          <t>• Tier 4 (Low): ≥70%</t>
        </is>
      </c>
    </row>
    <row r="228">
      <c r="A228" s="3" t="inlineStr">
        <is>
          <t>• Overall: ≥85%</t>
        </is>
      </c>
    </row>
    <row r="229">
      <c r="A229" s="3" t="inlineStr"/>
    </row>
    <row r="230">
      <c r="A230" s="3" t="inlineStr">
        <is>
          <t>Detection Performance:</t>
        </is>
      </c>
    </row>
    <row r="231">
      <c r="A231" s="3" t="inlineStr">
        <is>
          <t>• Mean Time to Detect (MTTD): &lt;1 hour (Tier 1), &lt;24 hours (Tier 2)</t>
        </is>
      </c>
    </row>
    <row r="232">
      <c r="A232" s="3" t="inlineStr">
        <is>
          <t>• False Positive Rate: &lt;10%</t>
        </is>
      </c>
    </row>
    <row r="233">
      <c r="A233" s="3" t="inlineStr"/>
    </row>
    <row r="234">
      <c r="A234" s="3" t="inlineStr">
        <is>
          <t>Remediation Performance:</t>
        </is>
      </c>
    </row>
    <row r="235">
      <c r="A235" s="3" t="inlineStr">
        <is>
          <t>• Critical Drift SLA: &lt;4 hours (100% compliance)</t>
        </is>
      </c>
    </row>
    <row r="236">
      <c r="A236" s="3" t="inlineStr">
        <is>
          <t>• High Drift SLA: &lt;24 hours (≥95% compliance)</t>
        </is>
      </c>
    </row>
    <row r="237">
      <c r="A237" s="3" t="inlineStr">
        <is>
          <t>• Overall Success Rate: ≥98%</t>
        </is>
      </c>
    </row>
    <row r="238">
      <c r="A238" s="3" t="inlineStr"/>
    </row>
    <row r="239" ht="20" customHeight="1">
      <c r="A239" s="4" t="inlineStr">
        <is>
          <t>IMPORTANT NOTES</t>
        </is>
      </c>
    </row>
    <row r="240">
      <c r="A240" s="5" t="inlineStr">
        <is>
          <t>━━━━━━━━━━━━━━━━━━━━━━━━━━━━━━━━━━━━━━━━━━━━━━━━━━━━━━━━━━━━━━━━━━━━━━━━━━━━━━━━</t>
        </is>
      </c>
    </row>
    <row r="241">
      <c r="A241" s="3" t="inlineStr"/>
    </row>
    <row r="242">
      <c r="A242" s="3" t="inlineStr">
        <is>
          <t>• Protected cells (gray) contain formulas - do not edit</t>
        </is>
      </c>
    </row>
    <row r="243">
      <c r="A243" s="3" t="inlineStr">
        <is>
          <t>• Critical drift (dark red) requires immediate escalation</t>
        </is>
      </c>
    </row>
    <row r="244">
      <c r="A244" s="3" t="inlineStr">
        <is>
          <t>• Log all drift incidents even if immediately remediated</t>
        </is>
      </c>
    </row>
    <row r="245">
      <c r="A245" s="3" t="inlineStr">
        <is>
          <t>• False positives must be analyzed and tuned</t>
        </is>
      </c>
    </row>
    <row r="246">
      <c r="A246" s="3" t="inlineStr">
        <is>
          <t>• Dashboards auto-update - review monthly</t>
        </is>
      </c>
    </row>
    <row r="247">
      <c r="A247" s="3" t="inlineStr">
        <is>
          <t>• Tools marked 'Offline' create monitoring gaps</t>
        </is>
      </c>
    </row>
    <row r="248">
      <c r="A248" s="3" t="inlineStr">
        <is>
          <t>• Integration with A.8.9.1 and A.8.9.2 is critical for traceability</t>
        </is>
      </c>
    </row>
    <row r="249">
      <c r="A249" s="3" t="inlineStr"/>
    </row>
    <row r="250" ht="20" customHeight="1">
      <c r="A250" s="4" t="inlineStr">
        <is>
          <t>SUPPORT AND QUESTIONS</t>
        </is>
      </c>
    </row>
    <row r="251">
      <c r="A251" s="5" t="inlineStr">
        <is>
          <t>━━━━━━━━━━━━━━━━━━━━━━━━━━━━━━━━━━━━━━━━━━━━━━━━━━━━━━━━━━━━━━━━━━━━━━━━━━━━━━━━</t>
        </is>
      </c>
    </row>
    <row r="252">
      <c r="A252" s="3" t="inlineStr"/>
    </row>
    <row r="253">
      <c r="A253" s="3" t="inlineStr">
        <is>
          <t>Configuration Manager: [contact information]</t>
        </is>
      </c>
    </row>
    <row r="254">
      <c r="A254" s="3" t="inlineStr">
        <is>
          <t>Security Operations Center: [contact information]</t>
        </is>
      </c>
    </row>
    <row r="255">
      <c r="A255" s="3" t="inlineStr">
        <is>
          <t>ISMS Team: [contact information]</t>
        </is>
      </c>
    </row>
    <row r="256">
      <c r="A256" s="3" t="inlineStr"/>
    </row>
    <row r="257">
      <c r="A257" s="3" t="inlineStr">
        <is>
          <t>For technical issues: [IT support]</t>
        </is>
      </c>
    </row>
    <row r="258">
      <c r="A258" s="3" t="inlineStr">
        <is>
          <t>For policy questions: Reference ISMS-POL-A.8.9-S2.3</t>
        </is>
      </c>
    </row>
    <row r="259">
      <c r="A259" s="3" t="inlineStr"/>
    </row>
    <row r="260">
      <c r="A260" s="5" t="inlineStr">
        <is>
          <t>━━━━━━━━━━━━━━━━━━━━━━━━━━━━━━━━━━━━━━━━━━━━━━━━━━━━━━━━━━━━━━━━━━━━━━━━━━━━━━━━</t>
        </is>
      </c>
    </row>
    <row r="261">
      <c r="A261" s="3" t="inlineStr">
        <is>
          <t>Generated: 08.02.2026 | Version: 1.0 | Document ID: ISMS-IMP-A.8.9.3</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6" t="inlineStr">
        <is>
          <t>Asset Type</t>
        </is>
      </c>
      <c r="B1" s="6" t="inlineStr">
        <is>
          <t>Asset Category</t>
        </is>
      </c>
    </row>
    <row r="2">
      <c r="A2" t="inlineStr">
        <is>
          <t>Physical Server</t>
        </is>
      </c>
      <c r="B2" t="inlineStr">
        <is>
          <t>Infrastructure</t>
        </is>
      </c>
    </row>
    <row r="3">
      <c r="A3" t="inlineStr">
        <is>
          <t>Virtual Machine</t>
        </is>
      </c>
      <c r="B3" t="inlineStr">
        <is>
          <t>Infrastructure</t>
        </is>
      </c>
    </row>
    <row r="4">
      <c r="A4" t="inlineStr">
        <is>
          <t>Hypervisor</t>
        </is>
      </c>
      <c r="B4" t="inlineStr">
        <is>
          <t>Infrastructure</t>
        </is>
      </c>
    </row>
    <row r="5">
      <c r="A5" t="inlineStr">
        <is>
          <t>Network Switch</t>
        </is>
      </c>
      <c r="B5" t="inlineStr">
        <is>
          <t>Infrastructure</t>
        </is>
      </c>
    </row>
    <row r="6">
      <c r="A6" t="inlineStr">
        <is>
          <t>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t>
        </is>
      </c>
      <c r="B9" t="inlineStr">
        <is>
          <t>Infrastructure</t>
        </is>
      </c>
    </row>
    <row r="10">
      <c r="A10" t="inlineStr">
        <is>
          <t>Backup Appliance</t>
        </is>
      </c>
      <c r="B10" t="inlineStr">
        <is>
          <t>Infrastructure</t>
        </is>
      </c>
    </row>
    <row r="11">
      <c r="A11" t="inlineStr">
        <is>
          <t>UPS</t>
        </is>
      </c>
      <c r="B11" t="inlineStr">
        <is>
          <t>Infrastructure</t>
        </is>
      </c>
    </row>
    <row r="12">
      <c r="A12" t="inlineStr">
        <is>
          <t>HVAC</t>
        </is>
      </c>
      <c r="B12" t="inlineStr">
        <is>
          <t>Infrastructure</t>
        </is>
      </c>
    </row>
    <row r="13">
      <c r="A13" t="inlineStr">
        <is>
          <t>Physical Security System</t>
        </is>
      </c>
      <c r="B13" t="inlineStr">
        <is>
          <t>Infrastructure</t>
        </is>
      </c>
    </row>
    <row r="14">
      <c r="A14" t="inlineStr">
        <is>
          <t>Desktop</t>
        </is>
      </c>
      <c r="B14" t="inlineStr">
        <is>
          <t>Endpoint</t>
        </is>
      </c>
    </row>
    <row r="15">
      <c r="A15" t="inlineStr">
        <is>
          <t>Laptop</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Kiosk/POS</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Server</t>
        </is>
      </c>
      <c r="B29" t="inlineStr">
        <is>
          <t>Applications</t>
        </is>
      </c>
    </row>
    <row r="30">
      <c r="A30" t="inlineStr">
        <is>
          <t>Middleware</t>
        </is>
      </c>
      <c r="B30" t="inlineStr">
        <is>
          <t>Applications</t>
        </is>
      </c>
    </row>
    <row r="31">
      <c r="A31" t="inlineStr">
        <is>
          <t>API Gateway</t>
        </is>
      </c>
      <c r="B31" t="inlineStr">
        <is>
          <t>Applications</t>
        </is>
      </c>
    </row>
    <row r="32">
      <c r="A32" t="inlineStr">
        <is>
          <t>Custom Developed Application</t>
        </is>
      </c>
      <c r="B32" t="inlineStr">
        <is>
          <t>Applications</t>
        </is>
      </c>
    </row>
    <row r="33">
      <c r="A33" t="inlineStr">
        <is>
          <t>COTS Application</t>
        </is>
      </c>
      <c r="B33" t="inlineStr">
        <is>
          <t>Applications</t>
        </is>
      </c>
    </row>
    <row r="34">
      <c r="A34" t="inlineStr">
        <is>
          <t>Open Source Application</t>
        </is>
      </c>
      <c r="B34" t="inlineStr">
        <is>
          <t>Applications</t>
        </is>
      </c>
    </row>
    <row r="35">
      <c r="A35" t="inlineStr">
        <is>
          <t>IaaS Resource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t>
        </is>
      </c>
      <c r="B41" t="inlineStr">
        <is>
          <t>IoT/OT</t>
        </is>
      </c>
    </row>
    <row r="42">
      <c r="A42" t="inlineStr">
        <is>
          <t>SCADA System</t>
        </is>
      </c>
      <c r="B42" t="inlineStr">
        <is>
          <t>IoT/OT</t>
        </is>
      </c>
    </row>
    <row r="43">
      <c r="A43" t="inlineStr">
        <is>
          <t>Building Management System</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5" customWidth="1" min="3" max="3"/>
    <col width="20" customWidth="1" min="4" max="4"/>
    <col width="15" customWidth="1" min="5" max="5"/>
    <col width="25" customWidth="1" min="6" max="6"/>
    <col width="18" customWidth="1" min="7" max="7"/>
    <col width="25" customWidth="1" min="8" max="8"/>
    <col width="30" customWidth="1" min="9" max="9"/>
    <col width="20" customWidth="1" min="10" max="10"/>
    <col width="25" customWidth="1" min="11" max="11"/>
    <col width="15" customWidth="1" min="12" max="12"/>
    <col width="35" customWidth="1" min="13" max="13"/>
    <col width="18" customWidth="1" min="14" max="14"/>
    <col width="40" customWidth="1" min="15" max="15"/>
    <col width="35" customWidth="1" min="16" max="16"/>
  </cols>
  <sheetData>
    <row r="1" ht="30" customHeight="1">
      <c r="A1" s="7" t="inlineStr">
        <is>
          <t>Configuration Monitoring Coverage Register</t>
        </is>
      </c>
    </row>
    <row r="2" ht="30" customHeight="1">
      <c r="A2" s="6" t="inlineStr">
        <is>
          <t>Asset ID</t>
        </is>
      </c>
      <c r="B2" s="6" t="inlineStr">
        <is>
          <t>Asset Name</t>
        </is>
      </c>
      <c r="C2" s="6" t="inlineStr">
        <is>
          <t>Asset Type</t>
        </is>
      </c>
      <c r="D2" s="6" t="inlineStr">
        <is>
          <t>Asset Category</t>
        </is>
      </c>
      <c r="E2" s="6" t="inlineStr">
        <is>
          <t>Asset Criticality</t>
        </is>
      </c>
      <c r="F2" s="6" t="inlineStr">
        <is>
          <t>Monitoring Tier</t>
        </is>
      </c>
      <c r="G2" s="6" t="inlineStr">
        <is>
          <t>Monitoring Status</t>
        </is>
      </c>
      <c r="H2" s="6" t="inlineStr">
        <is>
          <t>Monitoring Method</t>
        </is>
      </c>
      <c r="I2" s="6" t="inlineStr">
        <is>
          <t>Monitoring Tool/System</t>
        </is>
      </c>
      <c r="J2" s="6" t="inlineStr">
        <is>
          <t>Check Frequency</t>
        </is>
      </c>
      <c r="K2" s="6" t="inlineStr">
        <is>
          <t>Baseline Reference</t>
        </is>
      </c>
      <c r="L2" s="6" t="inlineStr">
        <is>
          <t>Last Monitored Date</t>
        </is>
      </c>
      <c r="M2" s="6" t="inlineStr">
        <is>
          <t>Monitoring Configuration Location</t>
        </is>
      </c>
      <c r="N2" s="6" t="inlineStr">
        <is>
          <t>Coverage Compliance</t>
        </is>
      </c>
      <c r="O2" s="6" t="inlineStr">
        <is>
          <t>Gap Justification</t>
        </is>
      </c>
      <c r="P2" s="6" t="inlineStr">
        <is>
          <t>Notes</t>
        </is>
      </c>
    </row>
    <row r="3">
      <c r="A3" s="8" t="n"/>
      <c r="B3" s="8" t="n"/>
      <c r="C3" s="8" t="n"/>
      <c r="D3" s="9">
        <f>IFERROR(VLOOKUP(C3,Lookup_Tables!$A$2:$B$44,2,FALSE),"")</f>
        <v/>
      </c>
      <c r="E3" s="8" t="n"/>
      <c r="F3" s="9">
        <f>IF(E3="Critical","Tier 1 - Critical Assets",IF(E3="High","Tier 2 - High Value Assets",IF(E3="Medium","Tier 3 - Standard Assets","Tier 4 - Low Risk Assets")))</f>
        <v/>
      </c>
      <c r="G3" s="8" t="n"/>
      <c r="H3" s="8" t="n"/>
      <c r="I3" s="8" t="n"/>
      <c r="J3" s="8" t="n"/>
      <c r="K3" s="8" t="n"/>
      <c r="L3" s="8" t="n"/>
      <c r="M3" s="8" t="n"/>
      <c r="N3" s="9">
        <f>IF(G3="Excluded","Excluded",IF(E3="Critical",IF(AND(G3="Monitored",OR(H3="Automated Continuous",H3="Hybrid")),"Compliant","Non-Compliant"),IF(E3="High",IF(G3="Monitored","Compliant",IF(G3="Partially Monitored","Partial","Non-Compliant")),IF(G3="Not Monitored","Non-Compliant","Compliant"))))</f>
        <v/>
      </c>
      <c r="O3" s="8" t="n"/>
      <c r="P3" s="8" t="n"/>
    </row>
    <row r="4">
      <c r="A4" s="8" t="n"/>
      <c r="B4" s="8" t="n"/>
      <c r="C4" s="8" t="n"/>
      <c r="D4" s="9">
        <f>IFERROR(VLOOKUP(C4,Lookup_Tables!$A$2:$B$44,2,FALSE),"")</f>
        <v/>
      </c>
      <c r="E4" s="8" t="n"/>
      <c r="F4" s="9">
        <f>IF(E4="Critical","Tier 1 - Critical Assets",IF(E4="High","Tier 2 - High Value Assets",IF(E4="Medium","Tier 3 - Standard Assets","Tier 4 - Low Risk Assets")))</f>
        <v/>
      </c>
      <c r="G4" s="8" t="n"/>
      <c r="H4" s="8" t="n"/>
      <c r="I4" s="8" t="n"/>
      <c r="J4" s="8" t="n"/>
      <c r="K4" s="8" t="n"/>
      <c r="L4" s="8" t="n"/>
      <c r="M4" s="8" t="n"/>
      <c r="N4" s="9">
        <f>IF(G4="Excluded","Excluded",IF(E4="Critical",IF(AND(G4="Monitored",OR(H4="Automated Continuous",H4="Hybrid")),"Compliant","Non-Compliant"),IF(E4="High",IF(G4="Monitored","Compliant",IF(G4="Partially Monitored","Partial","Non-Compliant")),IF(G4="Not Monitored","Non-Compliant","Compliant"))))</f>
        <v/>
      </c>
      <c r="O4" s="8" t="n"/>
      <c r="P4" s="8" t="n"/>
    </row>
    <row r="5">
      <c r="A5" s="8" t="n"/>
      <c r="B5" s="8" t="n"/>
      <c r="C5" s="8" t="n"/>
      <c r="D5" s="9">
        <f>IFERROR(VLOOKUP(C5,Lookup_Tables!$A$2:$B$44,2,FALSE),"")</f>
        <v/>
      </c>
      <c r="E5" s="8" t="n"/>
      <c r="F5" s="9">
        <f>IF(E5="Critical","Tier 1 - Critical Assets",IF(E5="High","Tier 2 - High Value Assets",IF(E5="Medium","Tier 3 - Standard Assets","Tier 4 - Low Risk Assets")))</f>
        <v/>
      </c>
      <c r="G5" s="8" t="n"/>
      <c r="H5" s="8" t="n"/>
      <c r="I5" s="8" t="n"/>
      <c r="J5" s="8" t="n"/>
      <c r="K5" s="8" t="n"/>
      <c r="L5" s="8" t="n"/>
      <c r="M5" s="8" t="n"/>
      <c r="N5" s="9">
        <f>IF(G5="Excluded","Excluded",IF(E5="Critical",IF(AND(G5="Monitored",OR(H5="Automated Continuous",H5="Hybrid")),"Compliant","Non-Compliant"),IF(E5="High",IF(G5="Monitored","Compliant",IF(G5="Partially Monitored","Partial","Non-Compliant")),IF(G5="Not Monitored","Non-Compliant","Compliant"))))</f>
        <v/>
      </c>
      <c r="O5" s="8" t="n"/>
      <c r="P5" s="8" t="n"/>
    </row>
    <row r="6">
      <c r="A6" s="8" t="n"/>
      <c r="B6" s="8" t="n"/>
      <c r="C6" s="8" t="n"/>
      <c r="D6" s="9">
        <f>IFERROR(VLOOKUP(C6,Lookup_Tables!$A$2:$B$44,2,FALSE),"")</f>
        <v/>
      </c>
      <c r="E6" s="8" t="n"/>
      <c r="F6" s="9">
        <f>IF(E6="Critical","Tier 1 - Critical Assets",IF(E6="High","Tier 2 - High Value Assets",IF(E6="Medium","Tier 3 - Standard Assets","Tier 4 - Low Risk Assets")))</f>
        <v/>
      </c>
      <c r="G6" s="8" t="n"/>
      <c r="H6" s="8" t="n"/>
      <c r="I6" s="8" t="n"/>
      <c r="J6" s="8" t="n"/>
      <c r="K6" s="8" t="n"/>
      <c r="L6" s="8" t="n"/>
      <c r="M6" s="8" t="n"/>
      <c r="N6" s="9">
        <f>IF(G6="Excluded","Excluded",IF(E6="Critical",IF(AND(G6="Monitored",OR(H6="Automated Continuous",H6="Hybrid")),"Compliant","Non-Compliant"),IF(E6="High",IF(G6="Monitored","Compliant",IF(G6="Partially Monitored","Partial","Non-Compliant")),IF(G6="Not Monitored","Non-Compliant","Compliant"))))</f>
        <v/>
      </c>
      <c r="O6" s="8" t="n"/>
      <c r="P6" s="8" t="n"/>
    </row>
    <row r="7">
      <c r="A7" s="8" t="n"/>
      <c r="B7" s="8" t="n"/>
      <c r="C7" s="8" t="n"/>
      <c r="D7" s="9">
        <f>IFERROR(VLOOKUP(C7,Lookup_Tables!$A$2:$B$44,2,FALSE),"")</f>
        <v/>
      </c>
      <c r="E7" s="8" t="n"/>
      <c r="F7" s="9">
        <f>IF(E7="Critical","Tier 1 - Critical Assets",IF(E7="High","Tier 2 - High Value Assets",IF(E7="Medium","Tier 3 - Standard Assets","Tier 4 - Low Risk Assets")))</f>
        <v/>
      </c>
      <c r="G7" s="8" t="n"/>
      <c r="H7" s="8" t="n"/>
      <c r="I7" s="8" t="n"/>
      <c r="J7" s="8" t="n"/>
      <c r="K7" s="8" t="n"/>
      <c r="L7" s="8" t="n"/>
      <c r="M7" s="8" t="n"/>
      <c r="N7" s="9">
        <f>IF(G7="Excluded","Excluded",IF(E7="Critical",IF(AND(G7="Monitored",OR(H7="Automated Continuous",H7="Hybrid")),"Compliant","Non-Compliant"),IF(E7="High",IF(G7="Monitored","Compliant",IF(G7="Partially Monitored","Partial","Non-Compliant")),IF(G7="Not Monitored","Non-Compliant","Compliant"))))</f>
        <v/>
      </c>
      <c r="O7" s="8" t="n"/>
      <c r="P7" s="8" t="n"/>
    </row>
    <row r="8">
      <c r="A8" s="8" t="n"/>
      <c r="B8" s="8" t="n"/>
      <c r="C8" s="8" t="n"/>
      <c r="D8" s="9">
        <f>IFERROR(VLOOKUP(C8,Lookup_Tables!$A$2:$B$44,2,FALSE),"")</f>
        <v/>
      </c>
      <c r="E8" s="8" t="n"/>
      <c r="F8" s="9">
        <f>IF(E8="Critical","Tier 1 - Critical Assets",IF(E8="High","Tier 2 - High Value Assets",IF(E8="Medium","Tier 3 - Standard Assets","Tier 4 - Low Risk Assets")))</f>
        <v/>
      </c>
      <c r="G8" s="8" t="n"/>
      <c r="H8" s="8" t="n"/>
      <c r="I8" s="8" t="n"/>
      <c r="J8" s="8" t="n"/>
      <c r="K8" s="8" t="n"/>
      <c r="L8" s="8" t="n"/>
      <c r="M8" s="8" t="n"/>
      <c r="N8" s="9">
        <f>IF(G8="Excluded","Excluded",IF(E8="Critical",IF(AND(G8="Monitored",OR(H8="Automated Continuous",H8="Hybrid")),"Compliant","Non-Compliant"),IF(E8="High",IF(G8="Monitored","Compliant",IF(G8="Partially Monitored","Partial","Non-Compliant")),IF(G8="Not Monitored","Non-Compliant","Compliant"))))</f>
        <v/>
      </c>
      <c r="O8" s="8" t="n"/>
      <c r="P8" s="8" t="n"/>
    </row>
    <row r="9">
      <c r="A9" s="8" t="n"/>
      <c r="B9" s="8" t="n"/>
      <c r="C9" s="8" t="n"/>
      <c r="D9" s="9">
        <f>IFERROR(VLOOKUP(C9,Lookup_Tables!$A$2:$B$44,2,FALSE),"")</f>
        <v/>
      </c>
      <c r="E9" s="8" t="n"/>
      <c r="F9" s="9">
        <f>IF(E9="Critical","Tier 1 - Critical Assets",IF(E9="High","Tier 2 - High Value Assets",IF(E9="Medium","Tier 3 - Standard Assets","Tier 4 - Low Risk Assets")))</f>
        <v/>
      </c>
      <c r="G9" s="8" t="n"/>
      <c r="H9" s="8" t="n"/>
      <c r="I9" s="8" t="n"/>
      <c r="J9" s="8" t="n"/>
      <c r="K9" s="8" t="n"/>
      <c r="L9" s="8" t="n"/>
      <c r="M9" s="8" t="n"/>
      <c r="N9" s="9">
        <f>IF(G9="Excluded","Excluded",IF(E9="Critical",IF(AND(G9="Monitored",OR(H9="Automated Continuous",H9="Hybrid")),"Compliant","Non-Compliant"),IF(E9="High",IF(G9="Monitored","Compliant",IF(G9="Partially Monitored","Partial","Non-Compliant")),IF(G9="Not Monitored","Non-Compliant","Compliant"))))</f>
        <v/>
      </c>
      <c r="O9" s="8" t="n"/>
      <c r="P9" s="8" t="n"/>
    </row>
    <row r="10">
      <c r="A10" s="8" t="n"/>
      <c r="B10" s="8" t="n"/>
      <c r="C10" s="8" t="n"/>
      <c r="D10" s="9">
        <f>IFERROR(VLOOKUP(C10,Lookup_Tables!$A$2:$B$44,2,FALSE),"")</f>
        <v/>
      </c>
      <c r="E10" s="8" t="n"/>
      <c r="F10" s="9">
        <f>IF(E10="Critical","Tier 1 - Critical Assets",IF(E10="High","Tier 2 - High Value Assets",IF(E10="Medium","Tier 3 - Standard Assets","Tier 4 - Low Risk Assets")))</f>
        <v/>
      </c>
      <c r="G10" s="8" t="n"/>
      <c r="H10" s="8" t="n"/>
      <c r="I10" s="8" t="n"/>
      <c r="J10" s="8" t="n"/>
      <c r="K10" s="8" t="n"/>
      <c r="L10" s="8" t="n"/>
      <c r="M10" s="8" t="n"/>
      <c r="N10" s="9">
        <f>IF(G10="Excluded","Excluded",IF(E10="Critical",IF(AND(G10="Monitored",OR(H10="Automated Continuous",H10="Hybrid")),"Compliant","Non-Compliant"),IF(E10="High",IF(G10="Monitored","Compliant",IF(G10="Partially Monitored","Partial","Non-Compliant")),IF(G10="Not Monitored","Non-Compliant","Compliant"))))</f>
        <v/>
      </c>
      <c r="O10" s="8" t="n"/>
      <c r="P10" s="8" t="n"/>
    </row>
    <row r="11">
      <c r="A11" s="8" t="n"/>
      <c r="B11" s="8" t="n"/>
      <c r="C11" s="8" t="n"/>
      <c r="D11" s="9">
        <f>IFERROR(VLOOKUP(C11,Lookup_Tables!$A$2:$B$44,2,FALSE),"")</f>
        <v/>
      </c>
      <c r="E11" s="8" t="n"/>
      <c r="F11" s="9">
        <f>IF(E11="Critical","Tier 1 - Critical Assets",IF(E11="High","Tier 2 - High Value Assets",IF(E11="Medium","Tier 3 - Standard Assets","Tier 4 - Low Risk Assets")))</f>
        <v/>
      </c>
      <c r="G11" s="8" t="n"/>
      <c r="H11" s="8" t="n"/>
      <c r="I11" s="8" t="n"/>
      <c r="J11" s="8" t="n"/>
      <c r="K11" s="8" t="n"/>
      <c r="L11" s="8" t="n"/>
      <c r="M11" s="8" t="n"/>
      <c r="N11" s="9">
        <f>IF(G11="Excluded","Excluded",IF(E11="Critical",IF(AND(G11="Monitored",OR(H11="Automated Continuous",H11="Hybrid")),"Compliant","Non-Compliant"),IF(E11="High",IF(G11="Monitored","Compliant",IF(G11="Partially Monitored","Partial","Non-Compliant")),IF(G11="Not Monitored","Non-Compliant","Compliant"))))</f>
        <v/>
      </c>
      <c r="O11" s="8" t="n"/>
      <c r="P11" s="8" t="n"/>
    </row>
    <row r="12">
      <c r="A12" s="8" t="n"/>
      <c r="B12" s="8" t="n"/>
      <c r="C12" s="8" t="n"/>
      <c r="D12" s="9">
        <f>IFERROR(VLOOKUP(C12,Lookup_Tables!$A$2:$B$44,2,FALSE),"")</f>
        <v/>
      </c>
      <c r="E12" s="8" t="n"/>
      <c r="F12" s="9">
        <f>IF(E12="Critical","Tier 1 - Critical Assets",IF(E12="High","Tier 2 - High Value Assets",IF(E12="Medium","Tier 3 - Standard Assets","Tier 4 - Low Risk Assets")))</f>
        <v/>
      </c>
      <c r="G12" s="8" t="n"/>
      <c r="H12" s="8" t="n"/>
      <c r="I12" s="8" t="n"/>
      <c r="J12" s="8" t="n"/>
      <c r="K12" s="8" t="n"/>
      <c r="L12" s="8" t="n"/>
      <c r="M12" s="8" t="n"/>
      <c r="N12" s="9">
        <f>IF(G12="Excluded","Excluded",IF(E12="Critical",IF(AND(G12="Monitored",OR(H12="Automated Continuous",H12="Hybrid")),"Compliant","Non-Compliant"),IF(E12="High",IF(G12="Monitored","Compliant",IF(G12="Partially Monitored","Partial","Non-Compliant")),IF(G12="Not Monitored","Non-Compliant","Compliant"))))</f>
        <v/>
      </c>
      <c r="O12" s="8" t="n"/>
      <c r="P12" s="8" t="n"/>
    </row>
    <row r="13">
      <c r="A13" s="8" t="n"/>
      <c r="B13" s="8" t="n"/>
      <c r="C13" s="8" t="n"/>
      <c r="D13" s="9">
        <f>IFERROR(VLOOKUP(C13,Lookup_Tables!$A$2:$B$44,2,FALSE),"")</f>
        <v/>
      </c>
      <c r="E13" s="8" t="n"/>
      <c r="F13" s="9">
        <f>IF(E13="Critical","Tier 1 - Critical Assets",IF(E13="High","Tier 2 - High Value Assets",IF(E13="Medium","Tier 3 - Standard Assets","Tier 4 - Low Risk Assets")))</f>
        <v/>
      </c>
      <c r="G13" s="8" t="n"/>
      <c r="H13" s="8" t="n"/>
      <c r="I13" s="8" t="n"/>
      <c r="J13" s="8" t="n"/>
      <c r="K13" s="8" t="n"/>
      <c r="L13" s="8" t="n"/>
      <c r="M13" s="8" t="n"/>
      <c r="N13" s="9">
        <f>IF(G13="Excluded","Excluded",IF(E13="Critical",IF(AND(G13="Monitored",OR(H13="Automated Continuous",H13="Hybrid")),"Compliant","Non-Compliant"),IF(E13="High",IF(G13="Monitored","Compliant",IF(G13="Partially Monitored","Partial","Non-Compliant")),IF(G13="Not Monitored","Non-Compliant","Compliant"))))</f>
        <v/>
      </c>
      <c r="O13" s="8" t="n"/>
      <c r="P13" s="8" t="n"/>
    </row>
    <row r="14">
      <c r="A14" s="8" t="n"/>
      <c r="B14" s="8" t="n"/>
      <c r="C14" s="8" t="n"/>
      <c r="D14" s="9">
        <f>IFERROR(VLOOKUP(C14,Lookup_Tables!$A$2:$B$44,2,FALSE),"")</f>
        <v/>
      </c>
      <c r="E14" s="8" t="n"/>
      <c r="F14" s="9">
        <f>IF(E14="Critical","Tier 1 - Critical Assets",IF(E14="High","Tier 2 - High Value Assets",IF(E14="Medium","Tier 3 - Standard Assets","Tier 4 - Low Risk Assets")))</f>
        <v/>
      </c>
      <c r="G14" s="8" t="n"/>
      <c r="H14" s="8" t="n"/>
      <c r="I14" s="8" t="n"/>
      <c r="J14" s="8" t="n"/>
      <c r="K14" s="8" t="n"/>
      <c r="L14" s="8" t="n"/>
      <c r="M14" s="8" t="n"/>
      <c r="N14" s="9">
        <f>IF(G14="Excluded","Excluded",IF(E14="Critical",IF(AND(G14="Monitored",OR(H14="Automated Continuous",H14="Hybrid")),"Compliant","Non-Compliant"),IF(E14="High",IF(G14="Monitored","Compliant",IF(G14="Partially Monitored","Partial","Non-Compliant")),IF(G14="Not Monitored","Non-Compliant","Compliant"))))</f>
        <v/>
      </c>
      <c r="O14" s="8" t="n"/>
      <c r="P14" s="8" t="n"/>
    </row>
    <row r="15">
      <c r="A15" s="8" t="n"/>
      <c r="B15" s="8" t="n"/>
      <c r="C15" s="8" t="n"/>
      <c r="D15" s="9">
        <f>IFERROR(VLOOKUP(C15,Lookup_Tables!$A$2:$B$44,2,FALSE),"")</f>
        <v/>
      </c>
      <c r="E15" s="8" t="n"/>
      <c r="F15" s="9">
        <f>IF(E15="Critical","Tier 1 - Critical Assets",IF(E15="High","Tier 2 - High Value Assets",IF(E15="Medium","Tier 3 - Standard Assets","Tier 4 - Low Risk Assets")))</f>
        <v/>
      </c>
      <c r="G15" s="8" t="n"/>
      <c r="H15" s="8" t="n"/>
      <c r="I15" s="8" t="n"/>
      <c r="J15" s="8" t="n"/>
      <c r="K15" s="8" t="n"/>
      <c r="L15" s="8" t="n"/>
      <c r="M15" s="8" t="n"/>
      <c r="N15" s="9">
        <f>IF(G15="Excluded","Excluded",IF(E15="Critical",IF(AND(G15="Monitored",OR(H15="Automated Continuous",H15="Hybrid")),"Compliant","Non-Compliant"),IF(E15="High",IF(G15="Monitored","Compliant",IF(G15="Partially Monitored","Partial","Non-Compliant")),IF(G15="Not Monitored","Non-Compliant","Compliant"))))</f>
        <v/>
      </c>
      <c r="O15" s="8" t="n"/>
      <c r="P15" s="8" t="n"/>
    </row>
    <row r="16">
      <c r="A16" s="8" t="n"/>
      <c r="B16" s="8" t="n"/>
      <c r="C16" s="8" t="n"/>
      <c r="D16" s="9">
        <f>IFERROR(VLOOKUP(C16,Lookup_Tables!$A$2:$B$44,2,FALSE),"")</f>
        <v/>
      </c>
      <c r="E16" s="8" t="n"/>
      <c r="F16" s="9">
        <f>IF(E16="Critical","Tier 1 - Critical Assets",IF(E16="High","Tier 2 - High Value Assets",IF(E16="Medium","Tier 3 - Standard Assets","Tier 4 - Low Risk Assets")))</f>
        <v/>
      </c>
      <c r="G16" s="8" t="n"/>
      <c r="H16" s="8" t="n"/>
      <c r="I16" s="8" t="n"/>
      <c r="J16" s="8" t="n"/>
      <c r="K16" s="8" t="n"/>
      <c r="L16" s="8" t="n"/>
      <c r="M16" s="8" t="n"/>
      <c r="N16" s="9">
        <f>IF(G16="Excluded","Excluded",IF(E16="Critical",IF(AND(G16="Monitored",OR(H16="Automated Continuous",H16="Hybrid")),"Compliant","Non-Compliant"),IF(E16="High",IF(G16="Monitored","Compliant",IF(G16="Partially Monitored","Partial","Non-Compliant")),IF(G16="Not Monitored","Non-Compliant","Compliant"))))</f>
        <v/>
      </c>
      <c r="O16" s="8" t="n"/>
      <c r="P16" s="8" t="n"/>
    </row>
    <row r="17">
      <c r="A17" s="8" t="n"/>
      <c r="B17" s="8" t="n"/>
      <c r="C17" s="8" t="n"/>
      <c r="D17" s="9">
        <f>IFERROR(VLOOKUP(C17,Lookup_Tables!$A$2:$B$44,2,FALSE),"")</f>
        <v/>
      </c>
      <c r="E17" s="8" t="n"/>
      <c r="F17" s="9">
        <f>IF(E17="Critical","Tier 1 - Critical Assets",IF(E17="High","Tier 2 - High Value Assets",IF(E17="Medium","Tier 3 - Standard Assets","Tier 4 - Low Risk Assets")))</f>
        <v/>
      </c>
      <c r="G17" s="8" t="n"/>
      <c r="H17" s="8" t="n"/>
      <c r="I17" s="8" t="n"/>
      <c r="J17" s="8" t="n"/>
      <c r="K17" s="8" t="n"/>
      <c r="L17" s="8" t="n"/>
      <c r="M17" s="8" t="n"/>
      <c r="N17" s="9">
        <f>IF(G17="Excluded","Excluded",IF(E17="Critical",IF(AND(G17="Monitored",OR(H17="Automated Continuous",H17="Hybrid")),"Compliant","Non-Compliant"),IF(E17="High",IF(G17="Monitored","Compliant",IF(G17="Partially Monitored","Partial","Non-Compliant")),IF(G17="Not Monitored","Non-Compliant","Compliant"))))</f>
        <v/>
      </c>
      <c r="O17" s="8" t="n"/>
      <c r="P17" s="8" t="n"/>
    </row>
    <row r="18">
      <c r="A18" s="8" t="n"/>
      <c r="B18" s="8" t="n"/>
      <c r="C18" s="8" t="n"/>
      <c r="D18" s="9">
        <f>IFERROR(VLOOKUP(C18,Lookup_Tables!$A$2:$B$44,2,FALSE),"")</f>
        <v/>
      </c>
      <c r="E18" s="8" t="n"/>
      <c r="F18" s="9">
        <f>IF(E18="Critical","Tier 1 - Critical Assets",IF(E18="High","Tier 2 - High Value Assets",IF(E18="Medium","Tier 3 - Standard Assets","Tier 4 - Low Risk Assets")))</f>
        <v/>
      </c>
      <c r="G18" s="8" t="n"/>
      <c r="H18" s="8" t="n"/>
      <c r="I18" s="8" t="n"/>
      <c r="J18" s="8" t="n"/>
      <c r="K18" s="8" t="n"/>
      <c r="L18" s="8" t="n"/>
      <c r="M18" s="8" t="n"/>
      <c r="N18" s="9">
        <f>IF(G18="Excluded","Excluded",IF(E18="Critical",IF(AND(G18="Monitored",OR(H18="Automated Continuous",H18="Hybrid")),"Compliant","Non-Compliant"),IF(E18="High",IF(G18="Monitored","Compliant",IF(G18="Partially Monitored","Partial","Non-Compliant")),IF(G18="Not Monitored","Non-Compliant","Compliant"))))</f>
        <v/>
      </c>
      <c r="O18" s="8" t="n"/>
      <c r="P18" s="8" t="n"/>
    </row>
    <row r="19">
      <c r="A19" s="8" t="n"/>
      <c r="B19" s="8" t="n"/>
      <c r="C19" s="8" t="n"/>
      <c r="D19" s="9">
        <f>IFERROR(VLOOKUP(C19,Lookup_Tables!$A$2:$B$44,2,FALSE),"")</f>
        <v/>
      </c>
      <c r="E19" s="8" t="n"/>
      <c r="F19" s="9">
        <f>IF(E19="Critical","Tier 1 - Critical Assets",IF(E19="High","Tier 2 - High Value Assets",IF(E19="Medium","Tier 3 - Standard Assets","Tier 4 - Low Risk Assets")))</f>
        <v/>
      </c>
      <c r="G19" s="8" t="n"/>
      <c r="H19" s="8" t="n"/>
      <c r="I19" s="8" t="n"/>
      <c r="J19" s="8" t="n"/>
      <c r="K19" s="8" t="n"/>
      <c r="L19" s="8" t="n"/>
      <c r="M19" s="8" t="n"/>
      <c r="N19" s="9">
        <f>IF(G19="Excluded","Excluded",IF(E19="Critical",IF(AND(G19="Monitored",OR(H19="Automated Continuous",H19="Hybrid")),"Compliant","Non-Compliant"),IF(E19="High",IF(G19="Monitored","Compliant",IF(G19="Partially Monitored","Partial","Non-Compliant")),IF(G19="Not Monitored","Non-Compliant","Compliant"))))</f>
        <v/>
      </c>
      <c r="O19" s="8" t="n"/>
      <c r="P19" s="8" t="n"/>
    </row>
    <row r="20">
      <c r="A20" s="8" t="n"/>
      <c r="B20" s="8" t="n"/>
      <c r="C20" s="8" t="n"/>
      <c r="D20" s="9">
        <f>IFERROR(VLOOKUP(C20,Lookup_Tables!$A$2:$B$44,2,FALSE),"")</f>
        <v/>
      </c>
      <c r="E20" s="8" t="n"/>
      <c r="F20" s="9">
        <f>IF(E20="Critical","Tier 1 - Critical Assets",IF(E20="High","Tier 2 - High Value Assets",IF(E20="Medium","Tier 3 - Standard Assets","Tier 4 - Low Risk Assets")))</f>
        <v/>
      </c>
      <c r="G20" s="8" t="n"/>
      <c r="H20" s="8" t="n"/>
      <c r="I20" s="8" t="n"/>
      <c r="J20" s="8" t="n"/>
      <c r="K20" s="8" t="n"/>
      <c r="L20" s="8" t="n"/>
      <c r="M20" s="8" t="n"/>
      <c r="N20" s="9">
        <f>IF(G20="Excluded","Excluded",IF(E20="Critical",IF(AND(G20="Monitored",OR(H20="Automated Continuous",H20="Hybrid")),"Compliant","Non-Compliant"),IF(E20="High",IF(G20="Monitored","Compliant",IF(G20="Partially Monitored","Partial","Non-Compliant")),IF(G20="Not Monitored","Non-Compliant","Compliant"))))</f>
        <v/>
      </c>
      <c r="O20" s="8" t="n"/>
      <c r="P20" s="8" t="n"/>
    </row>
    <row r="21">
      <c r="A21" s="8" t="n"/>
      <c r="B21" s="8" t="n"/>
      <c r="C21" s="8" t="n"/>
      <c r="D21" s="9">
        <f>IFERROR(VLOOKUP(C21,Lookup_Tables!$A$2:$B$44,2,FALSE),"")</f>
        <v/>
      </c>
      <c r="E21" s="8" t="n"/>
      <c r="F21" s="9">
        <f>IF(E21="Critical","Tier 1 - Critical Assets",IF(E21="High","Tier 2 - High Value Assets",IF(E21="Medium","Tier 3 - Standard Assets","Tier 4 - Low Risk Assets")))</f>
        <v/>
      </c>
      <c r="G21" s="8" t="n"/>
      <c r="H21" s="8" t="n"/>
      <c r="I21" s="8" t="n"/>
      <c r="J21" s="8" t="n"/>
      <c r="K21" s="8" t="n"/>
      <c r="L21" s="8" t="n"/>
      <c r="M21" s="8" t="n"/>
      <c r="N21" s="9">
        <f>IF(G21="Excluded","Excluded",IF(E21="Critical",IF(AND(G21="Monitored",OR(H21="Automated Continuous",H21="Hybrid")),"Compliant","Non-Compliant"),IF(E21="High",IF(G21="Monitored","Compliant",IF(G21="Partially Monitored","Partial","Non-Compliant")),IF(G21="Not Monitored","Non-Compliant","Compliant"))))</f>
        <v/>
      </c>
      <c r="O21" s="8" t="n"/>
      <c r="P21" s="8" t="n"/>
    </row>
    <row r="22">
      <c r="A22" s="8" t="n"/>
      <c r="B22" s="8" t="n"/>
      <c r="C22" s="8" t="n"/>
      <c r="D22" s="9">
        <f>IFERROR(VLOOKUP(C22,Lookup_Tables!$A$2:$B$44,2,FALSE),"")</f>
        <v/>
      </c>
      <c r="E22" s="8" t="n"/>
      <c r="F22" s="9">
        <f>IF(E22="Critical","Tier 1 - Critical Assets",IF(E22="High","Tier 2 - High Value Assets",IF(E22="Medium","Tier 3 - Standard Assets","Tier 4 - Low Risk Assets")))</f>
        <v/>
      </c>
      <c r="G22" s="8" t="n"/>
      <c r="H22" s="8" t="n"/>
      <c r="I22" s="8" t="n"/>
      <c r="J22" s="8" t="n"/>
      <c r="K22" s="8" t="n"/>
      <c r="L22" s="8" t="n"/>
      <c r="M22" s="8" t="n"/>
      <c r="N22" s="9">
        <f>IF(G22="Excluded","Excluded",IF(E22="Critical",IF(AND(G22="Monitored",OR(H22="Automated Continuous",H22="Hybrid")),"Compliant","Non-Compliant"),IF(E22="High",IF(G22="Monitored","Compliant",IF(G22="Partially Monitored","Partial","Non-Compliant")),IF(G22="Not Monitored","Non-Compliant","Compliant"))))</f>
        <v/>
      </c>
      <c r="O22" s="8" t="n"/>
      <c r="P22" s="8" t="n"/>
    </row>
    <row r="23">
      <c r="A23" s="8" t="n"/>
      <c r="B23" s="8" t="n"/>
      <c r="C23" s="8" t="n"/>
      <c r="D23" s="9">
        <f>IFERROR(VLOOKUP(C23,Lookup_Tables!$A$2:$B$44,2,FALSE),"")</f>
        <v/>
      </c>
      <c r="E23" s="8" t="n"/>
      <c r="F23" s="9">
        <f>IF(E23="Critical","Tier 1 - Critical Assets",IF(E23="High","Tier 2 - High Value Assets",IF(E23="Medium","Tier 3 - Standard Assets","Tier 4 - Low Risk Assets")))</f>
        <v/>
      </c>
      <c r="G23" s="8" t="n"/>
      <c r="H23" s="8" t="n"/>
      <c r="I23" s="8" t="n"/>
      <c r="J23" s="8" t="n"/>
      <c r="K23" s="8" t="n"/>
      <c r="L23" s="8" t="n"/>
      <c r="M23" s="8" t="n"/>
      <c r="N23" s="9">
        <f>IF(G23="Excluded","Excluded",IF(E23="Critical",IF(AND(G23="Monitored",OR(H23="Automated Continuous",H23="Hybrid")),"Compliant","Non-Compliant"),IF(E23="High",IF(G23="Monitored","Compliant",IF(G23="Partially Monitored","Partial","Non-Compliant")),IF(G23="Not Monitored","Non-Compliant","Compliant"))))</f>
        <v/>
      </c>
      <c r="O23" s="8" t="n"/>
      <c r="P23" s="8" t="n"/>
    </row>
    <row r="24">
      <c r="A24" s="8" t="n"/>
      <c r="B24" s="8" t="n"/>
      <c r="C24" s="8" t="n"/>
      <c r="D24" s="9">
        <f>IFERROR(VLOOKUP(C24,Lookup_Tables!$A$2:$B$44,2,FALSE),"")</f>
        <v/>
      </c>
      <c r="E24" s="8" t="n"/>
      <c r="F24" s="9">
        <f>IF(E24="Critical","Tier 1 - Critical Assets",IF(E24="High","Tier 2 - High Value Assets",IF(E24="Medium","Tier 3 - Standard Assets","Tier 4 - Low Risk Assets")))</f>
        <v/>
      </c>
      <c r="G24" s="8" t="n"/>
      <c r="H24" s="8" t="n"/>
      <c r="I24" s="8" t="n"/>
      <c r="J24" s="8" t="n"/>
      <c r="K24" s="8" t="n"/>
      <c r="L24" s="8" t="n"/>
      <c r="M24" s="8" t="n"/>
      <c r="N24" s="9">
        <f>IF(G24="Excluded","Excluded",IF(E24="Critical",IF(AND(G24="Monitored",OR(H24="Automated Continuous",H24="Hybrid")),"Compliant","Non-Compliant"),IF(E24="High",IF(G24="Monitored","Compliant",IF(G24="Partially Monitored","Partial","Non-Compliant")),IF(G24="Not Monitored","Non-Compliant","Compliant"))))</f>
        <v/>
      </c>
      <c r="O24" s="8" t="n"/>
      <c r="P24" s="8" t="n"/>
    </row>
    <row r="25">
      <c r="A25" s="8" t="n"/>
      <c r="B25" s="8" t="n"/>
      <c r="C25" s="8" t="n"/>
      <c r="D25" s="9">
        <f>IFERROR(VLOOKUP(C25,Lookup_Tables!$A$2:$B$44,2,FALSE),"")</f>
        <v/>
      </c>
      <c r="E25" s="8" t="n"/>
      <c r="F25" s="9">
        <f>IF(E25="Critical","Tier 1 - Critical Assets",IF(E25="High","Tier 2 - High Value Assets",IF(E25="Medium","Tier 3 - Standard Assets","Tier 4 - Low Risk Assets")))</f>
        <v/>
      </c>
      <c r="G25" s="8" t="n"/>
      <c r="H25" s="8" t="n"/>
      <c r="I25" s="8" t="n"/>
      <c r="J25" s="8" t="n"/>
      <c r="K25" s="8" t="n"/>
      <c r="L25" s="8" t="n"/>
      <c r="M25" s="8" t="n"/>
      <c r="N25" s="9">
        <f>IF(G25="Excluded","Excluded",IF(E25="Critical",IF(AND(G25="Monitored",OR(H25="Automated Continuous",H25="Hybrid")),"Compliant","Non-Compliant"),IF(E25="High",IF(G25="Monitored","Compliant",IF(G25="Partially Monitored","Partial","Non-Compliant")),IF(G25="Not Monitored","Non-Compliant","Compliant"))))</f>
        <v/>
      </c>
      <c r="O25" s="8" t="n"/>
      <c r="P25" s="8" t="n"/>
    </row>
    <row r="26">
      <c r="A26" s="8" t="n"/>
      <c r="B26" s="8" t="n"/>
      <c r="C26" s="8" t="n"/>
      <c r="D26" s="9">
        <f>IFERROR(VLOOKUP(C26,Lookup_Tables!$A$2:$B$44,2,FALSE),"")</f>
        <v/>
      </c>
      <c r="E26" s="8" t="n"/>
      <c r="F26" s="9">
        <f>IF(E26="Critical","Tier 1 - Critical Assets",IF(E26="High","Tier 2 - High Value Assets",IF(E26="Medium","Tier 3 - Standard Assets","Tier 4 - Low Risk Assets")))</f>
        <v/>
      </c>
      <c r="G26" s="8" t="n"/>
      <c r="H26" s="8" t="n"/>
      <c r="I26" s="8" t="n"/>
      <c r="J26" s="8" t="n"/>
      <c r="K26" s="8" t="n"/>
      <c r="L26" s="8" t="n"/>
      <c r="M26" s="8" t="n"/>
      <c r="N26" s="9">
        <f>IF(G26="Excluded","Excluded",IF(E26="Critical",IF(AND(G26="Monitored",OR(H26="Automated Continuous",H26="Hybrid")),"Compliant","Non-Compliant"),IF(E26="High",IF(G26="Monitored","Compliant",IF(G26="Partially Monitored","Partial","Non-Compliant")),IF(G26="Not Monitored","Non-Compliant","Compliant"))))</f>
        <v/>
      </c>
      <c r="O26" s="8" t="n"/>
      <c r="P26" s="8" t="n"/>
    </row>
    <row r="27">
      <c r="A27" s="8" t="n"/>
      <c r="B27" s="8" t="n"/>
      <c r="C27" s="8" t="n"/>
      <c r="D27" s="9">
        <f>IFERROR(VLOOKUP(C27,Lookup_Tables!$A$2:$B$44,2,FALSE),"")</f>
        <v/>
      </c>
      <c r="E27" s="8" t="n"/>
      <c r="F27" s="9">
        <f>IF(E27="Critical","Tier 1 - Critical Assets",IF(E27="High","Tier 2 - High Value Assets",IF(E27="Medium","Tier 3 - Standard Assets","Tier 4 - Low Risk Assets")))</f>
        <v/>
      </c>
      <c r="G27" s="8" t="n"/>
      <c r="H27" s="8" t="n"/>
      <c r="I27" s="8" t="n"/>
      <c r="J27" s="8" t="n"/>
      <c r="K27" s="8" t="n"/>
      <c r="L27" s="8" t="n"/>
      <c r="M27" s="8" t="n"/>
      <c r="N27" s="9">
        <f>IF(G27="Excluded","Excluded",IF(E27="Critical",IF(AND(G27="Monitored",OR(H27="Automated Continuous",H27="Hybrid")),"Compliant","Non-Compliant"),IF(E27="High",IF(G27="Monitored","Compliant",IF(G27="Partially Monitored","Partial","Non-Compliant")),IF(G27="Not Monitored","Non-Compliant","Compliant"))))</f>
        <v/>
      </c>
      <c r="O27" s="8" t="n"/>
      <c r="P27" s="8" t="n"/>
    </row>
    <row r="28">
      <c r="A28" s="8" t="n"/>
      <c r="B28" s="8" t="n"/>
      <c r="C28" s="8" t="n"/>
      <c r="D28" s="9">
        <f>IFERROR(VLOOKUP(C28,Lookup_Tables!$A$2:$B$44,2,FALSE),"")</f>
        <v/>
      </c>
      <c r="E28" s="8" t="n"/>
      <c r="F28" s="9">
        <f>IF(E28="Critical","Tier 1 - Critical Assets",IF(E28="High","Tier 2 - High Value Assets",IF(E28="Medium","Tier 3 - Standard Assets","Tier 4 - Low Risk Assets")))</f>
        <v/>
      </c>
      <c r="G28" s="8" t="n"/>
      <c r="H28" s="8" t="n"/>
      <c r="I28" s="8" t="n"/>
      <c r="J28" s="8" t="n"/>
      <c r="K28" s="8" t="n"/>
      <c r="L28" s="8" t="n"/>
      <c r="M28" s="8" t="n"/>
      <c r="N28" s="9">
        <f>IF(G28="Excluded","Excluded",IF(E28="Critical",IF(AND(G28="Monitored",OR(H28="Automated Continuous",H28="Hybrid")),"Compliant","Non-Compliant"),IF(E28="High",IF(G28="Monitored","Compliant",IF(G28="Partially Monitored","Partial","Non-Compliant")),IF(G28="Not Monitored","Non-Compliant","Compliant"))))</f>
        <v/>
      </c>
      <c r="O28" s="8" t="n"/>
      <c r="P28" s="8" t="n"/>
    </row>
    <row r="29">
      <c r="A29" s="8" t="n"/>
      <c r="B29" s="8" t="n"/>
      <c r="C29" s="8" t="n"/>
      <c r="D29" s="9">
        <f>IFERROR(VLOOKUP(C29,Lookup_Tables!$A$2:$B$44,2,FALSE),"")</f>
        <v/>
      </c>
      <c r="E29" s="8" t="n"/>
      <c r="F29" s="9">
        <f>IF(E29="Critical","Tier 1 - Critical Assets",IF(E29="High","Tier 2 - High Value Assets",IF(E29="Medium","Tier 3 - Standard Assets","Tier 4 - Low Risk Assets")))</f>
        <v/>
      </c>
      <c r="G29" s="8" t="n"/>
      <c r="H29" s="8" t="n"/>
      <c r="I29" s="8" t="n"/>
      <c r="J29" s="8" t="n"/>
      <c r="K29" s="8" t="n"/>
      <c r="L29" s="8" t="n"/>
      <c r="M29" s="8" t="n"/>
      <c r="N29" s="9">
        <f>IF(G29="Excluded","Excluded",IF(E29="Critical",IF(AND(G29="Monitored",OR(H29="Automated Continuous",H29="Hybrid")),"Compliant","Non-Compliant"),IF(E29="High",IF(G29="Monitored","Compliant",IF(G29="Partially Monitored","Partial","Non-Compliant")),IF(G29="Not Monitored","Non-Compliant","Compliant"))))</f>
        <v/>
      </c>
      <c r="O29" s="8" t="n"/>
      <c r="P29" s="8" t="n"/>
    </row>
    <row r="30">
      <c r="A30" s="8" t="n"/>
      <c r="B30" s="8" t="n"/>
      <c r="C30" s="8" t="n"/>
      <c r="D30" s="9">
        <f>IFERROR(VLOOKUP(C30,Lookup_Tables!$A$2:$B$44,2,FALSE),"")</f>
        <v/>
      </c>
      <c r="E30" s="8" t="n"/>
      <c r="F30" s="9">
        <f>IF(E30="Critical","Tier 1 - Critical Assets",IF(E30="High","Tier 2 - High Value Assets",IF(E30="Medium","Tier 3 - Standard Assets","Tier 4 - Low Risk Assets")))</f>
        <v/>
      </c>
      <c r="G30" s="8" t="n"/>
      <c r="H30" s="8" t="n"/>
      <c r="I30" s="8" t="n"/>
      <c r="J30" s="8" t="n"/>
      <c r="K30" s="8" t="n"/>
      <c r="L30" s="8" t="n"/>
      <c r="M30" s="8" t="n"/>
      <c r="N30" s="9">
        <f>IF(G30="Excluded","Excluded",IF(E30="Critical",IF(AND(G30="Monitored",OR(H30="Automated Continuous",H30="Hybrid")),"Compliant","Non-Compliant"),IF(E30="High",IF(G30="Monitored","Compliant",IF(G30="Partially Monitored","Partial","Non-Compliant")),IF(G30="Not Monitored","Non-Compliant","Compliant"))))</f>
        <v/>
      </c>
      <c r="O30" s="8" t="n"/>
      <c r="P30" s="8" t="n"/>
    </row>
    <row r="31">
      <c r="A31" s="8" t="n"/>
      <c r="B31" s="8" t="n"/>
      <c r="C31" s="8" t="n"/>
      <c r="D31" s="9">
        <f>IFERROR(VLOOKUP(C31,Lookup_Tables!$A$2:$B$44,2,FALSE),"")</f>
        <v/>
      </c>
      <c r="E31" s="8" t="n"/>
      <c r="F31" s="9">
        <f>IF(E31="Critical","Tier 1 - Critical Assets",IF(E31="High","Tier 2 - High Value Assets",IF(E31="Medium","Tier 3 - Standard Assets","Tier 4 - Low Risk Assets")))</f>
        <v/>
      </c>
      <c r="G31" s="8" t="n"/>
      <c r="H31" s="8" t="n"/>
      <c r="I31" s="8" t="n"/>
      <c r="J31" s="8" t="n"/>
      <c r="K31" s="8" t="n"/>
      <c r="L31" s="8" t="n"/>
      <c r="M31" s="8" t="n"/>
      <c r="N31" s="9">
        <f>IF(G31="Excluded","Excluded",IF(E31="Critical",IF(AND(G31="Monitored",OR(H31="Automated Continuous",H31="Hybrid")),"Compliant","Non-Compliant"),IF(E31="High",IF(G31="Monitored","Compliant",IF(G31="Partially Monitored","Partial","Non-Compliant")),IF(G31="Not Monitored","Non-Compliant","Compliant"))))</f>
        <v/>
      </c>
      <c r="O31" s="8" t="n"/>
      <c r="P31" s="8" t="n"/>
    </row>
    <row r="32">
      <c r="A32" s="8" t="n"/>
      <c r="B32" s="8" t="n"/>
      <c r="C32" s="8" t="n"/>
      <c r="D32" s="9">
        <f>IFERROR(VLOOKUP(C32,Lookup_Tables!$A$2:$B$44,2,FALSE),"")</f>
        <v/>
      </c>
      <c r="E32" s="8" t="n"/>
      <c r="F32" s="9">
        <f>IF(E32="Critical","Tier 1 - Critical Assets",IF(E32="High","Tier 2 - High Value Assets",IF(E32="Medium","Tier 3 - Standard Assets","Tier 4 - Low Risk Assets")))</f>
        <v/>
      </c>
      <c r="G32" s="8" t="n"/>
      <c r="H32" s="8" t="n"/>
      <c r="I32" s="8" t="n"/>
      <c r="J32" s="8" t="n"/>
      <c r="K32" s="8" t="n"/>
      <c r="L32" s="8" t="n"/>
      <c r="M32" s="8" t="n"/>
      <c r="N32" s="9">
        <f>IF(G32="Excluded","Excluded",IF(E32="Critical",IF(AND(G32="Monitored",OR(H32="Automated Continuous",H32="Hybrid")),"Compliant","Non-Compliant"),IF(E32="High",IF(G32="Monitored","Compliant",IF(G32="Partially Monitored","Partial","Non-Compliant")),IF(G32="Not Monitored","Non-Compliant","Compliant"))))</f>
        <v/>
      </c>
      <c r="O32" s="8" t="n"/>
      <c r="P32" s="8" t="n"/>
    </row>
    <row r="33">
      <c r="A33" s="8" t="n"/>
      <c r="B33" s="8" t="n"/>
      <c r="C33" s="8" t="n"/>
      <c r="D33" s="9">
        <f>IFERROR(VLOOKUP(C33,Lookup_Tables!$A$2:$B$44,2,FALSE),"")</f>
        <v/>
      </c>
      <c r="E33" s="8" t="n"/>
      <c r="F33" s="9">
        <f>IF(E33="Critical","Tier 1 - Critical Assets",IF(E33="High","Tier 2 - High Value Assets",IF(E33="Medium","Tier 3 - Standard Assets","Tier 4 - Low Risk Assets")))</f>
        <v/>
      </c>
      <c r="G33" s="8" t="n"/>
      <c r="H33" s="8" t="n"/>
      <c r="I33" s="8" t="n"/>
      <c r="J33" s="8" t="n"/>
      <c r="K33" s="8" t="n"/>
      <c r="L33" s="8" t="n"/>
      <c r="M33" s="8" t="n"/>
      <c r="N33" s="9">
        <f>IF(G33="Excluded","Excluded",IF(E33="Critical",IF(AND(G33="Monitored",OR(H33="Automated Continuous",H33="Hybrid")),"Compliant","Non-Compliant"),IF(E33="High",IF(G33="Monitored","Compliant",IF(G33="Partially Monitored","Partial","Non-Compliant")),IF(G33="Not Monitored","Non-Compliant","Compliant"))))</f>
        <v/>
      </c>
      <c r="O33" s="8" t="n"/>
      <c r="P33" s="8" t="n"/>
    </row>
    <row r="34">
      <c r="A34" s="8" t="n"/>
      <c r="B34" s="8" t="n"/>
      <c r="C34" s="8" t="n"/>
      <c r="D34" s="9">
        <f>IFERROR(VLOOKUP(C34,Lookup_Tables!$A$2:$B$44,2,FALSE),"")</f>
        <v/>
      </c>
      <c r="E34" s="8" t="n"/>
      <c r="F34" s="9">
        <f>IF(E34="Critical","Tier 1 - Critical Assets",IF(E34="High","Tier 2 - High Value Assets",IF(E34="Medium","Tier 3 - Standard Assets","Tier 4 - Low Risk Assets")))</f>
        <v/>
      </c>
      <c r="G34" s="8" t="n"/>
      <c r="H34" s="8" t="n"/>
      <c r="I34" s="8" t="n"/>
      <c r="J34" s="8" t="n"/>
      <c r="K34" s="8" t="n"/>
      <c r="L34" s="8" t="n"/>
      <c r="M34" s="8" t="n"/>
      <c r="N34" s="9">
        <f>IF(G34="Excluded","Excluded",IF(E34="Critical",IF(AND(G34="Monitored",OR(H34="Automated Continuous",H34="Hybrid")),"Compliant","Non-Compliant"),IF(E34="High",IF(G34="Monitored","Compliant",IF(G34="Partially Monitored","Partial","Non-Compliant")),IF(G34="Not Monitored","Non-Compliant","Compliant"))))</f>
        <v/>
      </c>
      <c r="O34" s="8" t="n"/>
      <c r="P34" s="8" t="n"/>
    </row>
    <row r="35">
      <c r="A35" s="8" t="n"/>
      <c r="B35" s="8" t="n"/>
      <c r="C35" s="8" t="n"/>
      <c r="D35" s="9">
        <f>IFERROR(VLOOKUP(C35,Lookup_Tables!$A$2:$B$44,2,FALSE),"")</f>
        <v/>
      </c>
      <c r="E35" s="8" t="n"/>
      <c r="F35" s="9">
        <f>IF(E35="Critical","Tier 1 - Critical Assets",IF(E35="High","Tier 2 - High Value Assets",IF(E35="Medium","Tier 3 - Standard Assets","Tier 4 - Low Risk Assets")))</f>
        <v/>
      </c>
      <c r="G35" s="8" t="n"/>
      <c r="H35" s="8" t="n"/>
      <c r="I35" s="8" t="n"/>
      <c r="J35" s="8" t="n"/>
      <c r="K35" s="8" t="n"/>
      <c r="L35" s="8" t="n"/>
      <c r="M35" s="8" t="n"/>
      <c r="N35" s="9">
        <f>IF(G35="Excluded","Excluded",IF(E35="Critical",IF(AND(G35="Monitored",OR(H35="Automated Continuous",H35="Hybrid")),"Compliant","Non-Compliant"),IF(E35="High",IF(G35="Monitored","Compliant",IF(G35="Partially Monitored","Partial","Non-Compliant")),IF(G35="Not Monitored","Non-Compliant","Compliant"))))</f>
        <v/>
      </c>
      <c r="O35" s="8" t="n"/>
      <c r="P35" s="8" t="n"/>
    </row>
    <row r="36">
      <c r="A36" s="8" t="n"/>
      <c r="B36" s="8" t="n"/>
      <c r="C36" s="8" t="n"/>
      <c r="D36" s="9">
        <f>IFERROR(VLOOKUP(C36,Lookup_Tables!$A$2:$B$44,2,FALSE),"")</f>
        <v/>
      </c>
      <c r="E36" s="8" t="n"/>
      <c r="F36" s="9">
        <f>IF(E36="Critical","Tier 1 - Critical Assets",IF(E36="High","Tier 2 - High Value Assets",IF(E36="Medium","Tier 3 - Standard Assets","Tier 4 - Low Risk Assets")))</f>
        <v/>
      </c>
      <c r="G36" s="8" t="n"/>
      <c r="H36" s="8" t="n"/>
      <c r="I36" s="8" t="n"/>
      <c r="J36" s="8" t="n"/>
      <c r="K36" s="8" t="n"/>
      <c r="L36" s="8" t="n"/>
      <c r="M36" s="8" t="n"/>
      <c r="N36" s="9">
        <f>IF(G36="Excluded","Excluded",IF(E36="Critical",IF(AND(G36="Monitored",OR(H36="Automated Continuous",H36="Hybrid")),"Compliant","Non-Compliant"),IF(E36="High",IF(G36="Monitored","Compliant",IF(G36="Partially Monitored","Partial","Non-Compliant")),IF(G36="Not Monitored","Non-Compliant","Compliant"))))</f>
        <v/>
      </c>
      <c r="O36" s="8" t="n"/>
      <c r="P36" s="8" t="n"/>
    </row>
    <row r="37">
      <c r="A37" s="8" t="n"/>
      <c r="B37" s="8" t="n"/>
      <c r="C37" s="8" t="n"/>
      <c r="D37" s="9">
        <f>IFERROR(VLOOKUP(C37,Lookup_Tables!$A$2:$B$44,2,FALSE),"")</f>
        <v/>
      </c>
      <c r="E37" s="8" t="n"/>
      <c r="F37" s="9">
        <f>IF(E37="Critical","Tier 1 - Critical Assets",IF(E37="High","Tier 2 - High Value Assets",IF(E37="Medium","Tier 3 - Standard Assets","Tier 4 - Low Risk Assets")))</f>
        <v/>
      </c>
      <c r="G37" s="8" t="n"/>
      <c r="H37" s="8" t="n"/>
      <c r="I37" s="8" t="n"/>
      <c r="J37" s="8" t="n"/>
      <c r="K37" s="8" t="n"/>
      <c r="L37" s="8" t="n"/>
      <c r="M37" s="8" t="n"/>
      <c r="N37" s="9">
        <f>IF(G37="Excluded","Excluded",IF(E37="Critical",IF(AND(G37="Monitored",OR(H37="Automated Continuous",H37="Hybrid")),"Compliant","Non-Compliant"),IF(E37="High",IF(G37="Monitored","Compliant",IF(G37="Partially Monitored","Partial","Non-Compliant")),IF(G37="Not Monitored","Non-Compliant","Compliant"))))</f>
        <v/>
      </c>
      <c r="O37" s="8" t="n"/>
      <c r="P37" s="8" t="n"/>
    </row>
    <row r="38">
      <c r="A38" s="8" t="n"/>
      <c r="B38" s="8" t="n"/>
      <c r="C38" s="8" t="n"/>
      <c r="D38" s="9">
        <f>IFERROR(VLOOKUP(C38,Lookup_Tables!$A$2:$B$44,2,FALSE),"")</f>
        <v/>
      </c>
      <c r="E38" s="8" t="n"/>
      <c r="F38" s="9">
        <f>IF(E38="Critical","Tier 1 - Critical Assets",IF(E38="High","Tier 2 - High Value Assets",IF(E38="Medium","Tier 3 - Standard Assets","Tier 4 - Low Risk Assets")))</f>
        <v/>
      </c>
      <c r="G38" s="8" t="n"/>
      <c r="H38" s="8" t="n"/>
      <c r="I38" s="8" t="n"/>
      <c r="J38" s="8" t="n"/>
      <c r="K38" s="8" t="n"/>
      <c r="L38" s="8" t="n"/>
      <c r="M38" s="8" t="n"/>
      <c r="N38" s="9">
        <f>IF(G38="Excluded","Excluded",IF(E38="Critical",IF(AND(G38="Monitored",OR(H38="Automated Continuous",H38="Hybrid")),"Compliant","Non-Compliant"),IF(E38="High",IF(G38="Monitored","Compliant",IF(G38="Partially Monitored","Partial","Non-Compliant")),IF(G38="Not Monitored","Non-Compliant","Compliant"))))</f>
        <v/>
      </c>
      <c r="O38" s="8" t="n"/>
      <c r="P38" s="8" t="n"/>
    </row>
    <row r="39">
      <c r="A39" s="8" t="n"/>
      <c r="B39" s="8" t="n"/>
      <c r="C39" s="8" t="n"/>
      <c r="D39" s="9">
        <f>IFERROR(VLOOKUP(C39,Lookup_Tables!$A$2:$B$44,2,FALSE),"")</f>
        <v/>
      </c>
      <c r="E39" s="8" t="n"/>
      <c r="F39" s="9">
        <f>IF(E39="Critical","Tier 1 - Critical Assets",IF(E39="High","Tier 2 - High Value Assets",IF(E39="Medium","Tier 3 - Standard Assets","Tier 4 - Low Risk Assets")))</f>
        <v/>
      </c>
      <c r="G39" s="8" t="n"/>
      <c r="H39" s="8" t="n"/>
      <c r="I39" s="8" t="n"/>
      <c r="J39" s="8" t="n"/>
      <c r="K39" s="8" t="n"/>
      <c r="L39" s="8" t="n"/>
      <c r="M39" s="8" t="n"/>
      <c r="N39" s="9">
        <f>IF(G39="Excluded","Excluded",IF(E39="Critical",IF(AND(G39="Monitored",OR(H39="Automated Continuous",H39="Hybrid")),"Compliant","Non-Compliant"),IF(E39="High",IF(G39="Monitored","Compliant",IF(G39="Partially Monitored","Partial","Non-Compliant")),IF(G39="Not Monitored","Non-Compliant","Compliant"))))</f>
        <v/>
      </c>
      <c r="O39" s="8" t="n"/>
      <c r="P39" s="8" t="n"/>
    </row>
    <row r="40">
      <c r="A40" s="8" t="n"/>
      <c r="B40" s="8" t="n"/>
      <c r="C40" s="8" t="n"/>
      <c r="D40" s="9">
        <f>IFERROR(VLOOKUP(C40,Lookup_Tables!$A$2:$B$44,2,FALSE),"")</f>
        <v/>
      </c>
      <c r="E40" s="8" t="n"/>
      <c r="F40" s="9">
        <f>IF(E40="Critical","Tier 1 - Critical Assets",IF(E40="High","Tier 2 - High Value Assets",IF(E40="Medium","Tier 3 - Standard Assets","Tier 4 - Low Risk Assets")))</f>
        <v/>
      </c>
      <c r="G40" s="8" t="n"/>
      <c r="H40" s="8" t="n"/>
      <c r="I40" s="8" t="n"/>
      <c r="J40" s="8" t="n"/>
      <c r="K40" s="8" t="n"/>
      <c r="L40" s="8" t="n"/>
      <c r="M40" s="8" t="n"/>
      <c r="N40" s="9">
        <f>IF(G40="Excluded","Excluded",IF(E40="Critical",IF(AND(G40="Monitored",OR(H40="Automated Continuous",H40="Hybrid")),"Compliant","Non-Compliant"),IF(E40="High",IF(G40="Monitored","Compliant",IF(G40="Partially Monitored","Partial","Non-Compliant")),IF(G40="Not Monitored","Non-Compliant","Compliant"))))</f>
        <v/>
      </c>
      <c r="O40" s="8" t="n"/>
      <c r="P40" s="8" t="n"/>
    </row>
    <row r="41">
      <c r="A41" s="8" t="n"/>
      <c r="B41" s="8" t="n"/>
      <c r="C41" s="8" t="n"/>
      <c r="D41" s="9">
        <f>IFERROR(VLOOKUP(C41,Lookup_Tables!$A$2:$B$44,2,FALSE),"")</f>
        <v/>
      </c>
      <c r="E41" s="8" t="n"/>
      <c r="F41" s="9">
        <f>IF(E41="Critical","Tier 1 - Critical Assets",IF(E41="High","Tier 2 - High Value Assets",IF(E41="Medium","Tier 3 - Standard Assets","Tier 4 - Low Risk Assets")))</f>
        <v/>
      </c>
      <c r="G41" s="8" t="n"/>
      <c r="H41" s="8" t="n"/>
      <c r="I41" s="8" t="n"/>
      <c r="J41" s="8" t="n"/>
      <c r="K41" s="8" t="n"/>
      <c r="L41" s="8" t="n"/>
      <c r="M41" s="8" t="n"/>
      <c r="N41" s="9">
        <f>IF(G41="Excluded","Excluded",IF(E41="Critical",IF(AND(G41="Monitored",OR(H41="Automated Continuous",H41="Hybrid")),"Compliant","Non-Compliant"),IF(E41="High",IF(G41="Monitored","Compliant",IF(G41="Partially Monitored","Partial","Non-Compliant")),IF(G41="Not Monitored","Non-Compliant","Compliant"))))</f>
        <v/>
      </c>
      <c r="O41" s="8" t="n"/>
      <c r="P41" s="8" t="n"/>
    </row>
    <row r="42">
      <c r="A42" s="8" t="n"/>
      <c r="B42" s="8" t="n"/>
      <c r="C42" s="8" t="n"/>
      <c r="D42" s="9">
        <f>IFERROR(VLOOKUP(C42,Lookup_Tables!$A$2:$B$44,2,FALSE),"")</f>
        <v/>
      </c>
      <c r="E42" s="8" t="n"/>
      <c r="F42" s="9">
        <f>IF(E42="Critical","Tier 1 - Critical Assets",IF(E42="High","Tier 2 - High Value Assets",IF(E42="Medium","Tier 3 - Standard Assets","Tier 4 - Low Risk Assets")))</f>
        <v/>
      </c>
      <c r="G42" s="8" t="n"/>
      <c r="H42" s="8" t="n"/>
      <c r="I42" s="8" t="n"/>
      <c r="J42" s="8" t="n"/>
      <c r="K42" s="8" t="n"/>
      <c r="L42" s="8" t="n"/>
      <c r="M42" s="8" t="n"/>
      <c r="N42" s="9">
        <f>IF(G42="Excluded","Excluded",IF(E42="Critical",IF(AND(G42="Monitored",OR(H42="Automated Continuous",H42="Hybrid")),"Compliant","Non-Compliant"),IF(E42="High",IF(G42="Monitored","Compliant",IF(G42="Partially Monitored","Partial","Non-Compliant")),IF(G42="Not Monitored","Non-Compliant","Compliant"))))</f>
        <v/>
      </c>
      <c r="O42" s="8" t="n"/>
      <c r="P42" s="8" t="n"/>
    </row>
    <row r="43">
      <c r="A43" s="8" t="n"/>
      <c r="B43" s="8" t="n"/>
      <c r="C43" s="8" t="n"/>
      <c r="D43" s="9">
        <f>IFERROR(VLOOKUP(C43,Lookup_Tables!$A$2:$B$44,2,FALSE),"")</f>
        <v/>
      </c>
      <c r="E43" s="8" t="n"/>
      <c r="F43" s="9">
        <f>IF(E43="Critical","Tier 1 - Critical Assets",IF(E43="High","Tier 2 - High Value Assets",IF(E43="Medium","Tier 3 - Standard Assets","Tier 4 - Low Risk Assets")))</f>
        <v/>
      </c>
      <c r="G43" s="8" t="n"/>
      <c r="H43" s="8" t="n"/>
      <c r="I43" s="8" t="n"/>
      <c r="J43" s="8" t="n"/>
      <c r="K43" s="8" t="n"/>
      <c r="L43" s="8" t="n"/>
      <c r="M43" s="8" t="n"/>
      <c r="N43" s="9">
        <f>IF(G43="Excluded","Excluded",IF(E43="Critical",IF(AND(G43="Monitored",OR(H43="Automated Continuous",H43="Hybrid")),"Compliant","Non-Compliant"),IF(E43="High",IF(G43="Monitored","Compliant",IF(G43="Partially Monitored","Partial","Non-Compliant")),IF(G43="Not Monitored","Non-Compliant","Compliant"))))</f>
        <v/>
      </c>
      <c r="O43" s="8" t="n"/>
      <c r="P43" s="8" t="n"/>
    </row>
    <row r="44">
      <c r="A44" s="8" t="n"/>
      <c r="B44" s="8" t="n"/>
      <c r="C44" s="8" t="n"/>
      <c r="D44" s="9">
        <f>IFERROR(VLOOKUP(C44,Lookup_Tables!$A$2:$B$44,2,FALSE),"")</f>
        <v/>
      </c>
      <c r="E44" s="8" t="n"/>
      <c r="F44" s="9">
        <f>IF(E44="Critical","Tier 1 - Critical Assets",IF(E44="High","Tier 2 - High Value Assets",IF(E44="Medium","Tier 3 - Standard Assets","Tier 4 - Low Risk Assets")))</f>
        <v/>
      </c>
      <c r="G44" s="8" t="n"/>
      <c r="H44" s="8" t="n"/>
      <c r="I44" s="8" t="n"/>
      <c r="J44" s="8" t="n"/>
      <c r="K44" s="8" t="n"/>
      <c r="L44" s="8" t="n"/>
      <c r="M44" s="8" t="n"/>
      <c r="N44" s="9">
        <f>IF(G44="Excluded","Excluded",IF(E44="Critical",IF(AND(G44="Monitored",OR(H44="Automated Continuous",H44="Hybrid")),"Compliant","Non-Compliant"),IF(E44="High",IF(G44="Monitored","Compliant",IF(G44="Partially Monitored","Partial","Non-Compliant")),IF(G44="Not Monitored","Non-Compliant","Compliant"))))</f>
        <v/>
      </c>
      <c r="O44" s="8" t="n"/>
      <c r="P44" s="8" t="n"/>
    </row>
    <row r="45">
      <c r="A45" s="8" t="n"/>
      <c r="B45" s="8" t="n"/>
      <c r="C45" s="8" t="n"/>
      <c r="D45" s="9">
        <f>IFERROR(VLOOKUP(C45,Lookup_Tables!$A$2:$B$44,2,FALSE),"")</f>
        <v/>
      </c>
      <c r="E45" s="8" t="n"/>
      <c r="F45" s="9">
        <f>IF(E45="Critical","Tier 1 - Critical Assets",IF(E45="High","Tier 2 - High Value Assets",IF(E45="Medium","Tier 3 - Standard Assets","Tier 4 - Low Risk Assets")))</f>
        <v/>
      </c>
      <c r="G45" s="8" t="n"/>
      <c r="H45" s="8" t="n"/>
      <c r="I45" s="8" t="n"/>
      <c r="J45" s="8" t="n"/>
      <c r="K45" s="8" t="n"/>
      <c r="L45" s="8" t="n"/>
      <c r="M45" s="8" t="n"/>
      <c r="N45" s="9">
        <f>IF(G45="Excluded","Excluded",IF(E45="Critical",IF(AND(G45="Monitored",OR(H45="Automated Continuous",H45="Hybrid")),"Compliant","Non-Compliant"),IF(E45="High",IF(G45="Monitored","Compliant",IF(G45="Partially Monitored","Partial","Non-Compliant")),IF(G45="Not Monitored","Non-Compliant","Compliant"))))</f>
        <v/>
      </c>
      <c r="O45" s="8" t="n"/>
      <c r="P45" s="8" t="n"/>
    </row>
    <row r="46">
      <c r="A46" s="8" t="n"/>
      <c r="B46" s="8" t="n"/>
      <c r="C46" s="8" t="n"/>
      <c r="D46" s="9">
        <f>IFERROR(VLOOKUP(C46,Lookup_Tables!$A$2:$B$44,2,FALSE),"")</f>
        <v/>
      </c>
      <c r="E46" s="8" t="n"/>
      <c r="F46" s="9">
        <f>IF(E46="Critical","Tier 1 - Critical Assets",IF(E46="High","Tier 2 - High Value Assets",IF(E46="Medium","Tier 3 - Standard Assets","Tier 4 - Low Risk Assets")))</f>
        <v/>
      </c>
      <c r="G46" s="8" t="n"/>
      <c r="H46" s="8" t="n"/>
      <c r="I46" s="8" t="n"/>
      <c r="J46" s="8" t="n"/>
      <c r="K46" s="8" t="n"/>
      <c r="L46" s="8" t="n"/>
      <c r="M46" s="8" t="n"/>
      <c r="N46" s="9">
        <f>IF(G46="Excluded","Excluded",IF(E46="Critical",IF(AND(G46="Monitored",OR(H46="Automated Continuous",H46="Hybrid")),"Compliant","Non-Compliant"),IF(E46="High",IF(G46="Monitored","Compliant",IF(G46="Partially Monitored","Partial","Non-Compliant")),IF(G46="Not Monitored","Non-Compliant","Compliant"))))</f>
        <v/>
      </c>
      <c r="O46" s="8" t="n"/>
      <c r="P46" s="8" t="n"/>
    </row>
    <row r="47">
      <c r="A47" s="8" t="n"/>
      <c r="B47" s="8" t="n"/>
      <c r="C47" s="8" t="n"/>
      <c r="D47" s="9">
        <f>IFERROR(VLOOKUP(C47,Lookup_Tables!$A$2:$B$44,2,FALSE),"")</f>
        <v/>
      </c>
      <c r="E47" s="8" t="n"/>
      <c r="F47" s="9">
        <f>IF(E47="Critical","Tier 1 - Critical Assets",IF(E47="High","Tier 2 - High Value Assets",IF(E47="Medium","Tier 3 - Standard Assets","Tier 4 - Low Risk Assets")))</f>
        <v/>
      </c>
      <c r="G47" s="8" t="n"/>
      <c r="H47" s="8" t="n"/>
      <c r="I47" s="8" t="n"/>
      <c r="J47" s="8" t="n"/>
      <c r="K47" s="8" t="n"/>
      <c r="L47" s="8" t="n"/>
      <c r="M47" s="8" t="n"/>
      <c r="N47" s="9">
        <f>IF(G47="Excluded","Excluded",IF(E47="Critical",IF(AND(G47="Monitored",OR(H47="Automated Continuous",H47="Hybrid")),"Compliant","Non-Compliant"),IF(E47="High",IF(G47="Monitored","Compliant",IF(G47="Partially Monitored","Partial","Non-Compliant")),IF(G47="Not Monitored","Non-Compliant","Compliant"))))</f>
        <v/>
      </c>
      <c r="O47" s="8" t="n"/>
      <c r="P47" s="8" t="n"/>
    </row>
    <row r="48">
      <c r="A48" s="8" t="n"/>
      <c r="B48" s="8" t="n"/>
      <c r="C48" s="8" t="n"/>
      <c r="D48" s="9">
        <f>IFERROR(VLOOKUP(C48,Lookup_Tables!$A$2:$B$44,2,FALSE),"")</f>
        <v/>
      </c>
      <c r="E48" s="8" t="n"/>
      <c r="F48" s="9">
        <f>IF(E48="Critical","Tier 1 - Critical Assets",IF(E48="High","Tier 2 - High Value Assets",IF(E48="Medium","Tier 3 - Standard Assets","Tier 4 - Low Risk Assets")))</f>
        <v/>
      </c>
      <c r="G48" s="8" t="n"/>
      <c r="H48" s="8" t="n"/>
      <c r="I48" s="8" t="n"/>
      <c r="J48" s="8" t="n"/>
      <c r="K48" s="8" t="n"/>
      <c r="L48" s="8" t="n"/>
      <c r="M48" s="8" t="n"/>
      <c r="N48" s="9">
        <f>IF(G48="Excluded","Excluded",IF(E48="Critical",IF(AND(G48="Monitored",OR(H48="Automated Continuous",H48="Hybrid")),"Compliant","Non-Compliant"),IF(E48="High",IF(G48="Monitored","Compliant",IF(G48="Partially Monitored","Partial","Non-Compliant")),IF(G48="Not Monitored","Non-Compliant","Compliant"))))</f>
        <v/>
      </c>
      <c r="O48" s="8" t="n"/>
      <c r="P48" s="8" t="n"/>
    </row>
    <row r="49">
      <c r="A49" s="8" t="n"/>
      <c r="B49" s="8" t="n"/>
      <c r="C49" s="8" t="n"/>
      <c r="D49" s="9">
        <f>IFERROR(VLOOKUP(C49,Lookup_Tables!$A$2:$B$44,2,FALSE),"")</f>
        <v/>
      </c>
      <c r="E49" s="8" t="n"/>
      <c r="F49" s="9">
        <f>IF(E49="Critical","Tier 1 - Critical Assets",IF(E49="High","Tier 2 - High Value Assets",IF(E49="Medium","Tier 3 - Standard Assets","Tier 4 - Low Risk Assets")))</f>
        <v/>
      </c>
      <c r="G49" s="8" t="n"/>
      <c r="H49" s="8" t="n"/>
      <c r="I49" s="8" t="n"/>
      <c r="J49" s="8" t="n"/>
      <c r="K49" s="8" t="n"/>
      <c r="L49" s="8" t="n"/>
      <c r="M49" s="8" t="n"/>
      <c r="N49" s="9">
        <f>IF(G49="Excluded","Excluded",IF(E49="Critical",IF(AND(G49="Monitored",OR(H49="Automated Continuous",H49="Hybrid")),"Compliant","Non-Compliant"),IF(E49="High",IF(G49="Monitored","Compliant",IF(G49="Partially Monitored","Partial","Non-Compliant")),IF(G49="Not Monitored","Non-Compliant","Compliant"))))</f>
        <v/>
      </c>
      <c r="O49" s="8" t="n"/>
      <c r="P49" s="8" t="n"/>
    </row>
    <row r="50">
      <c r="A50" s="8" t="n"/>
      <c r="B50" s="8" t="n"/>
      <c r="C50" s="8" t="n"/>
      <c r="D50" s="9">
        <f>IFERROR(VLOOKUP(C50,Lookup_Tables!$A$2:$B$44,2,FALSE),"")</f>
        <v/>
      </c>
      <c r="E50" s="8" t="n"/>
      <c r="F50" s="9">
        <f>IF(E50="Critical","Tier 1 - Critical Assets",IF(E50="High","Tier 2 - High Value Assets",IF(E50="Medium","Tier 3 - Standard Assets","Tier 4 - Low Risk Assets")))</f>
        <v/>
      </c>
      <c r="G50" s="8" t="n"/>
      <c r="H50" s="8" t="n"/>
      <c r="I50" s="8" t="n"/>
      <c r="J50" s="8" t="n"/>
      <c r="K50" s="8" t="n"/>
      <c r="L50" s="8" t="n"/>
      <c r="M50" s="8" t="n"/>
      <c r="N50" s="9">
        <f>IF(G50="Excluded","Excluded",IF(E50="Critical",IF(AND(G50="Monitored",OR(H50="Automated Continuous",H50="Hybrid")),"Compliant","Non-Compliant"),IF(E50="High",IF(G50="Monitored","Compliant",IF(G50="Partially Monitored","Partial","Non-Compliant")),IF(G50="Not Monitored","Non-Compliant","Compliant"))))</f>
        <v/>
      </c>
      <c r="O50" s="8" t="n"/>
      <c r="P50" s="8" t="n"/>
    </row>
    <row r="51">
      <c r="A51" s="8" t="n"/>
      <c r="B51" s="8" t="n"/>
      <c r="C51" s="8" t="n"/>
      <c r="D51" s="9">
        <f>IFERROR(VLOOKUP(C51,Lookup_Tables!$A$2:$B$44,2,FALSE),"")</f>
        <v/>
      </c>
      <c r="E51" s="8" t="n"/>
      <c r="F51" s="9">
        <f>IF(E51="Critical","Tier 1 - Critical Assets",IF(E51="High","Tier 2 - High Value Assets",IF(E51="Medium","Tier 3 - Standard Assets","Tier 4 - Low Risk Assets")))</f>
        <v/>
      </c>
      <c r="G51" s="8" t="n"/>
      <c r="H51" s="8" t="n"/>
      <c r="I51" s="8" t="n"/>
      <c r="J51" s="8" t="n"/>
      <c r="K51" s="8" t="n"/>
      <c r="L51" s="8" t="n"/>
      <c r="M51" s="8" t="n"/>
      <c r="N51" s="9">
        <f>IF(G51="Excluded","Excluded",IF(E51="Critical",IF(AND(G51="Monitored",OR(H51="Automated Continuous",H51="Hybrid")),"Compliant","Non-Compliant"),IF(E51="High",IF(G51="Monitored","Compliant",IF(G51="Partially Monitored","Partial","Non-Compliant")),IF(G51="Not Monitored","Non-Compliant","Compliant"))))</f>
        <v/>
      </c>
      <c r="O51" s="8" t="n"/>
      <c r="P51" s="8" t="n"/>
    </row>
    <row r="52">
      <c r="A52" s="8" t="n"/>
      <c r="B52" s="8" t="n"/>
      <c r="C52" s="8" t="n"/>
      <c r="D52" s="9">
        <f>IFERROR(VLOOKUP(C52,Lookup_Tables!$A$2:$B$44,2,FALSE),"")</f>
        <v/>
      </c>
      <c r="E52" s="8" t="n"/>
      <c r="F52" s="9">
        <f>IF(E52="Critical","Tier 1 - Critical Assets",IF(E52="High","Tier 2 - High Value Assets",IF(E52="Medium","Tier 3 - Standard Assets","Tier 4 - Low Risk Assets")))</f>
        <v/>
      </c>
      <c r="G52" s="8" t="n"/>
      <c r="H52" s="8" t="n"/>
      <c r="I52" s="8" t="n"/>
      <c r="J52" s="8" t="n"/>
      <c r="K52" s="8" t="n"/>
      <c r="L52" s="8" t="n"/>
      <c r="M52" s="8" t="n"/>
      <c r="N52" s="9">
        <f>IF(G52="Excluded","Excluded",IF(E52="Critical",IF(AND(G52="Monitored",OR(H52="Automated Continuous",H52="Hybrid")),"Compliant","Non-Compliant"),IF(E52="High",IF(G52="Monitored","Compliant",IF(G52="Partially Monitored","Partial","Non-Compliant")),IF(G52="Not Monitored","Non-Compliant","Compliant"))))</f>
        <v/>
      </c>
      <c r="O52" s="8" t="n"/>
      <c r="P52" s="8" t="n"/>
    </row>
    <row r="53">
      <c r="A53" s="8" t="n"/>
      <c r="B53" s="8" t="n"/>
      <c r="C53" s="8" t="n"/>
      <c r="D53" s="9">
        <f>IFERROR(VLOOKUP(C53,Lookup_Tables!$A$2:$B$44,2,FALSE),"")</f>
        <v/>
      </c>
      <c r="E53" s="8" t="n"/>
      <c r="F53" s="9">
        <f>IF(E53="Critical","Tier 1 - Critical Assets",IF(E53="High","Tier 2 - High Value Assets",IF(E53="Medium","Tier 3 - Standard Assets","Tier 4 - Low Risk Assets")))</f>
        <v/>
      </c>
      <c r="G53" s="8" t="n"/>
      <c r="H53" s="8" t="n"/>
      <c r="I53" s="8" t="n"/>
      <c r="J53" s="8" t="n"/>
      <c r="K53" s="8" t="n"/>
      <c r="L53" s="8" t="n"/>
      <c r="M53" s="8" t="n"/>
      <c r="N53" s="9">
        <f>IF(G53="Excluded","Excluded",IF(E53="Critical",IF(AND(G53="Monitored",OR(H53="Automated Continuous",H53="Hybrid")),"Compliant","Non-Compliant"),IF(E53="High",IF(G53="Monitored","Compliant",IF(G53="Partially Monitored","Partial","Non-Compliant")),IF(G53="Not Monitored","Non-Compliant","Compliant"))))</f>
        <v/>
      </c>
      <c r="O53" s="8" t="n"/>
      <c r="P53" s="8" t="n"/>
    </row>
    <row r="54">
      <c r="A54" s="8" t="n"/>
      <c r="B54" s="8" t="n"/>
      <c r="C54" s="8" t="n"/>
      <c r="D54" s="9">
        <f>IFERROR(VLOOKUP(C54,Lookup_Tables!$A$2:$B$44,2,FALSE),"")</f>
        <v/>
      </c>
      <c r="E54" s="8" t="n"/>
      <c r="F54" s="9">
        <f>IF(E54="Critical","Tier 1 - Critical Assets",IF(E54="High","Tier 2 - High Value Assets",IF(E54="Medium","Tier 3 - Standard Assets","Tier 4 - Low Risk Assets")))</f>
        <v/>
      </c>
      <c r="G54" s="8" t="n"/>
      <c r="H54" s="8" t="n"/>
      <c r="I54" s="8" t="n"/>
      <c r="J54" s="8" t="n"/>
      <c r="K54" s="8" t="n"/>
      <c r="L54" s="8" t="n"/>
      <c r="M54" s="8" t="n"/>
      <c r="N54" s="9">
        <f>IF(G54="Excluded","Excluded",IF(E54="Critical",IF(AND(G54="Monitored",OR(H54="Automated Continuous",H54="Hybrid")),"Compliant","Non-Compliant"),IF(E54="High",IF(G54="Monitored","Compliant",IF(G54="Partially Monitored","Partial","Non-Compliant")),IF(G54="Not Monitored","Non-Compliant","Compliant"))))</f>
        <v/>
      </c>
      <c r="O54" s="8" t="n"/>
      <c r="P54" s="8" t="n"/>
    </row>
    <row r="55">
      <c r="A55" s="8" t="n"/>
      <c r="B55" s="8" t="n"/>
      <c r="C55" s="8" t="n"/>
      <c r="D55" s="9">
        <f>IFERROR(VLOOKUP(C55,Lookup_Tables!$A$2:$B$44,2,FALSE),"")</f>
        <v/>
      </c>
      <c r="E55" s="8" t="n"/>
      <c r="F55" s="9">
        <f>IF(E55="Critical","Tier 1 - Critical Assets",IF(E55="High","Tier 2 - High Value Assets",IF(E55="Medium","Tier 3 - Standard Assets","Tier 4 - Low Risk Assets")))</f>
        <v/>
      </c>
      <c r="G55" s="8" t="n"/>
      <c r="H55" s="8" t="n"/>
      <c r="I55" s="8" t="n"/>
      <c r="J55" s="8" t="n"/>
      <c r="K55" s="8" t="n"/>
      <c r="L55" s="8" t="n"/>
      <c r="M55" s="8" t="n"/>
      <c r="N55" s="9">
        <f>IF(G55="Excluded","Excluded",IF(E55="Critical",IF(AND(G55="Monitored",OR(H55="Automated Continuous",H55="Hybrid")),"Compliant","Non-Compliant"),IF(E55="High",IF(G55="Monitored","Compliant",IF(G55="Partially Monitored","Partial","Non-Compliant")),IF(G55="Not Monitored","Non-Compliant","Compliant"))))</f>
        <v/>
      </c>
      <c r="O55" s="8" t="n"/>
      <c r="P55" s="8" t="n"/>
    </row>
    <row r="56">
      <c r="A56" s="8" t="n"/>
      <c r="B56" s="8" t="n"/>
      <c r="C56" s="8" t="n"/>
      <c r="D56" s="9">
        <f>IFERROR(VLOOKUP(C56,Lookup_Tables!$A$2:$B$44,2,FALSE),"")</f>
        <v/>
      </c>
      <c r="E56" s="8" t="n"/>
      <c r="F56" s="9">
        <f>IF(E56="Critical","Tier 1 - Critical Assets",IF(E56="High","Tier 2 - High Value Assets",IF(E56="Medium","Tier 3 - Standard Assets","Tier 4 - Low Risk Assets")))</f>
        <v/>
      </c>
      <c r="G56" s="8" t="n"/>
      <c r="H56" s="8" t="n"/>
      <c r="I56" s="8" t="n"/>
      <c r="J56" s="8" t="n"/>
      <c r="K56" s="8" t="n"/>
      <c r="L56" s="8" t="n"/>
      <c r="M56" s="8" t="n"/>
      <c r="N56" s="9">
        <f>IF(G56="Excluded","Excluded",IF(E56="Critical",IF(AND(G56="Monitored",OR(H56="Automated Continuous",H56="Hybrid")),"Compliant","Non-Compliant"),IF(E56="High",IF(G56="Monitored","Compliant",IF(G56="Partially Monitored","Partial","Non-Compliant")),IF(G56="Not Monitored","Non-Compliant","Compliant"))))</f>
        <v/>
      </c>
      <c r="O56" s="8" t="n"/>
      <c r="P56" s="8" t="n"/>
    </row>
    <row r="57">
      <c r="A57" s="8" t="n"/>
      <c r="B57" s="8" t="n"/>
      <c r="C57" s="8" t="n"/>
      <c r="D57" s="9">
        <f>IFERROR(VLOOKUP(C57,Lookup_Tables!$A$2:$B$44,2,FALSE),"")</f>
        <v/>
      </c>
      <c r="E57" s="8" t="n"/>
      <c r="F57" s="9">
        <f>IF(E57="Critical","Tier 1 - Critical Assets",IF(E57="High","Tier 2 - High Value Assets",IF(E57="Medium","Tier 3 - Standard Assets","Tier 4 - Low Risk Assets")))</f>
        <v/>
      </c>
      <c r="G57" s="8" t="n"/>
      <c r="H57" s="8" t="n"/>
      <c r="I57" s="8" t="n"/>
      <c r="J57" s="8" t="n"/>
      <c r="K57" s="8" t="n"/>
      <c r="L57" s="8" t="n"/>
      <c r="M57" s="8" t="n"/>
      <c r="N57" s="9">
        <f>IF(G57="Excluded","Excluded",IF(E57="Critical",IF(AND(G57="Monitored",OR(H57="Automated Continuous",H57="Hybrid")),"Compliant","Non-Compliant"),IF(E57="High",IF(G57="Monitored","Compliant",IF(G57="Partially Monitored","Partial","Non-Compliant")),IF(G57="Not Monitored","Non-Compliant","Compliant"))))</f>
        <v/>
      </c>
      <c r="O57" s="8" t="n"/>
      <c r="P57" s="8" t="n"/>
    </row>
    <row r="58">
      <c r="A58" s="8" t="n"/>
      <c r="B58" s="8" t="n"/>
      <c r="C58" s="8" t="n"/>
      <c r="D58" s="9">
        <f>IFERROR(VLOOKUP(C58,Lookup_Tables!$A$2:$B$44,2,FALSE),"")</f>
        <v/>
      </c>
      <c r="E58" s="8" t="n"/>
      <c r="F58" s="9">
        <f>IF(E58="Critical","Tier 1 - Critical Assets",IF(E58="High","Tier 2 - High Value Assets",IF(E58="Medium","Tier 3 - Standard Assets","Tier 4 - Low Risk Assets")))</f>
        <v/>
      </c>
      <c r="G58" s="8" t="n"/>
      <c r="H58" s="8" t="n"/>
      <c r="I58" s="8" t="n"/>
      <c r="J58" s="8" t="n"/>
      <c r="K58" s="8" t="n"/>
      <c r="L58" s="8" t="n"/>
      <c r="M58" s="8" t="n"/>
      <c r="N58" s="9">
        <f>IF(G58="Excluded","Excluded",IF(E58="Critical",IF(AND(G58="Monitored",OR(H58="Automated Continuous",H58="Hybrid")),"Compliant","Non-Compliant"),IF(E58="High",IF(G58="Monitored","Compliant",IF(G58="Partially Monitored","Partial","Non-Compliant")),IF(G58="Not Monitored","Non-Compliant","Compliant"))))</f>
        <v/>
      </c>
      <c r="O58" s="8" t="n"/>
      <c r="P58" s="8" t="n"/>
    </row>
    <row r="59">
      <c r="A59" s="8" t="n"/>
      <c r="B59" s="8" t="n"/>
      <c r="C59" s="8" t="n"/>
      <c r="D59" s="9">
        <f>IFERROR(VLOOKUP(C59,Lookup_Tables!$A$2:$B$44,2,FALSE),"")</f>
        <v/>
      </c>
      <c r="E59" s="8" t="n"/>
      <c r="F59" s="9">
        <f>IF(E59="Critical","Tier 1 - Critical Assets",IF(E59="High","Tier 2 - High Value Assets",IF(E59="Medium","Tier 3 - Standard Assets","Tier 4 - Low Risk Assets")))</f>
        <v/>
      </c>
      <c r="G59" s="8" t="n"/>
      <c r="H59" s="8" t="n"/>
      <c r="I59" s="8" t="n"/>
      <c r="J59" s="8" t="n"/>
      <c r="K59" s="8" t="n"/>
      <c r="L59" s="8" t="n"/>
      <c r="M59" s="8" t="n"/>
      <c r="N59" s="9">
        <f>IF(G59="Excluded","Excluded",IF(E59="Critical",IF(AND(G59="Monitored",OR(H59="Automated Continuous",H59="Hybrid")),"Compliant","Non-Compliant"),IF(E59="High",IF(G59="Monitored","Compliant",IF(G59="Partially Monitored","Partial","Non-Compliant")),IF(G59="Not Monitored","Non-Compliant","Compliant"))))</f>
        <v/>
      </c>
      <c r="O59" s="8" t="n"/>
      <c r="P59" s="8" t="n"/>
    </row>
    <row r="60">
      <c r="A60" s="8" t="n"/>
      <c r="B60" s="8" t="n"/>
      <c r="C60" s="8" t="n"/>
      <c r="D60" s="9">
        <f>IFERROR(VLOOKUP(C60,Lookup_Tables!$A$2:$B$44,2,FALSE),"")</f>
        <v/>
      </c>
      <c r="E60" s="8" t="n"/>
      <c r="F60" s="9">
        <f>IF(E60="Critical","Tier 1 - Critical Assets",IF(E60="High","Tier 2 - High Value Assets",IF(E60="Medium","Tier 3 - Standard Assets","Tier 4 - Low Risk Assets")))</f>
        <v/>
      </c>
      <c r="G60" s="8" t="n"/>
      <c r="H60" s="8" t="n"/>
      <c r="I60" s="8" t="n"/>
      <c r="J60" s="8" t="n"/>
      <c r="K60" s="8" t="n"/>
      <c r="L60" s="8" t="n"/>
      <c r="M60" s="8" t="n"/>
      <c r="N60" s="9">
        <f>IF(G60="Excluded","Excluded",IF(E60="Critical",IF(AND(G60="Monitored",OR(H60="Automated Continuous",H60="Hybrid")),"Compliant","Non-Compliant"),IF(E60="High",IF(G60="Monitored","Compliant",IF(G60="Partially Monitored","Partial","Non-Compliant")),IF(G60="Not Monitored","Non-Compliant","Compliant"))))</f>
        <v/>
      </c>
      <c r="O60" s="8" t="n"/>
      <c r="P60" s="8" t="n"/>
    </row>
    <row r="61">
      <c r="A61" s="8" t="n"/>
      <c r="B61" s="8" t="n"/>
      <c r="C61" s="8" t="n"/>
      <c r="D61" s="9">
        <f>IFERROR(VLOOKUP(C61,Lookup_Tables!$A$2:$B$44,2,FALSE),"")</f>
        <v/>
      </c>
      <c r="E61" s="8" t="n"/>
      <c r="F61" s="9">
        <f>IF(E61="Critical","Tier 1 - Critical Assets",IF(E61="High","Tier 2 - High Value Assets",IF(E61="Medium","Tier 3 - Standard Assets","Tier 4 - Low Risk Assets")))</f>
        <v/>
      </c>
      <c r="G61" s="8" t="n"/>
      <c r="H61" s="8" t="n"/>
      <c r="I61" s="8" t="n"/>
      <c r="J61" s="8" t="n"/>
      <c r="K61" s="8" t="n"/>
      <c r="L61" s="8" t="n"/>
      <c r="M61" s="8" t="n"/>
      <c r="N61" s="9">
        <f>IF(G61="Excluded","Excluded",IF(E61="Critical",IF(AND(G61="Monitored",OR(H61="Automated Continuous",H61="Hybrid")),"Compliant","Non-Compliant"),IF(E61="High",IF(G61="Monitored","Compliant",IF(G61="Partially Monitored","Partial","Non-Compliant")),IF(G61="Not Monitored","Non-Compliant","Compliant"))))</f>
        <v/>
      </c>
      <c r="O61" s="8" t="n"/>
      <c r="P61" s="8" t="n"/>
    </row>
    <row r="62">
      <c r="A62" s="8" t="n"/>
      <c r="B62" s="8" t="n"/>
      <c r="C62" s="8" t="n"/>
      <c r="D62" s="9">
        <f>IFERROR(VLOOKUP(C62,Lookup_Tables!$A$2:$B$44,2,FALSE),"")</f>
        <v/>
      </c>
      <c r="E62" s="8" t="n"/>
      <c r="F62" s="9">
        <f>IF(E62="Critical","Tier 1 - Critical Assets",IF(E62="High","Tier 2 - High Value Assets",IF(E62="Medium","Tier 3 - Standard Assets","Tier 4 - Low Risk Assets")))</f>
        <v/>
      </c>
      <c r="G62" s="8" t="n"/>
      <c r="H62" s="8" t="n"/>
      <c r="I62" s="8" t="n"/>
      <c r="J62" s="8" t="n"/>
      <c r="K62" s="8" t="n"/>
      <c r="L62" s="8" t="n"/>
      <c r="M62" s="8" t="n"/>
      <c r="N62" s="9">
        <f>IF(G62="Excluded","Excluded",IF(E62="Critical",IF(AND(G62="Monitored",OR(H62="Automated Continuous",H62="Hybrid")),"Compliant","Non-Compliant"),IF(E62="High",IF(G62="Monitored","Compliant",IF(G62="Partially Monitored","Partial","Non-Compliant")),IF(G62="Not Monitored","Non-Compliant","Compliant"))))</f>
        <v/>
      </c>
      <c r="O62" s="8" t="n"/>
      <c r="P62" s="8" t="n"/>
    </row>
    <row r="63">
      <c r="A63" s="8" t="n"/>
      <c r="B63" s="8" t="n"/>
      <c r="C63" s="8" t="n"/>
      <c r="D63" s="9">
        <f>IFERROR(VLOOKUP(C63,Lookup_Tables!$A$2:$B$44,2,FALSE),"")</f>
        <v/>
      </c>
      <c r="E63" s="8" t="n"/>
      <c r="F63" s="9">
        <f>IF(E63="Critical","Tier 1 - Critical Assets",IF(E63="High","Tier 2 - High Value Assets",IF(E63="Medium","Tier 3 - Standard Assets","Tier 4 - Low Risk Assets")))</f>
        <v/>
      </c>
      <c r="G63" s="8" t="n"/>
      <c r="H63" s="8" t="n"/>
      <c r="I63" s="8" t="n"/>
      <c r="J63" s="8" t="n"/>
      <c r="K63" s="8" t="n"/>
      <c r="L63" s="8" t="n"/>
      <c r="M63" s="8" t="n"/>
      <c r="N63" s="9">
        <f>IF(G63="Excluded","Excluded",IF(E63="Critical",IF(AND(G63="Monitored",OR(H63="Automated Continuous",H63="Hybrid")),"Compliant","Non-Compliant"),IF(E63="High",IF(G63="Monitored","Compliant",IF(G63="Partially Monitored","Partial","Non-Compliant")),IF(G63="Not Monitored","Non-Compliant","Compliant"))))</f>
        <v/>
      </c>
      <c r="O63" s="8" t="n"/>
      <c r="P63" s="8" t="n"/>
    </row>
    <row r="64">
      <c r="A64" s="8" t="n"/>
      <c r="B64" s="8" t="n"/>
      <c r="C64" s="8" t="n"/>
      <c r="D64" s="9">
        <f>IFERROR(VLOOKUP(C64,Lookup_Tables!$A$2:$B$44,2,FALSE),"")</f>
        <v/>
      </c>
      <c r="E64" s="8" t="n"/>
      <c r="F64" s="9">
        <f>IF(E64="Critical","Tier 1 - Critical Assets",IF(E64="High","Tier 2 - High Value Assets",IF(E64="Medium","Tier 3 - Standard Assets","Tier 4 - Low Risk Assets")))</f>
        <v/>
      </c>
      <c r="G64" s="8" t="n"/>
      <c r="H64" s="8" t="n"/>
      <c r="I64" s="8" t="n"/>
      <c r="J64" s="8" t="n"/>
      <c r="K64" s="8" t="n"/>
      <c r="L64" s="8" t="n"/>
      <c r="M64" s="8" t="n"/>
      <c r="N64" s="9">
        <f>IF(G64="Excluded","Excluded",IF(E64="Critical",IF(AND(G64="Monitored",OR(H64="Automated Continuous",H64="Hybrid")),"Compliant","Non-Compliant"),IF(E64="High",IF(G64="Monitored","Compliant",IF(G64="Partially Monitored","Partial","Non-Compliant")),IF(G64="Not Monitored","Non-Compliant","Compliant"))))</f>
        <v/>
      </c>
      <c r="O64" s="8" t="n"/>
      <c r="P64" s="8" t="n"/>
    </row>
    <row r="65">
      <c r="A65" s="8" t="n"/>
      <c r="B65" s="8" t="n"/>
      <c r="C65" s="8" t="n"/>
      <c r="D65" s="9">
        <f>IFERROR(VLOOKUP(C65,Lookup_Tables!$A$2:$B$44,2,FALSE),"")</f>
        <v/>
      </c>
      <c r="E65" s="8" t="n"/>
      <c r="F65" s="9">
        <f>IF(E65="Critical","Tier 1 - Critical Assets",IF(E65="High","Tier 2 - High Value Assets",IF(E65="Medium","Tier 3 - Standard Assets","Tier 4 - Low Risk Assets")))</f>
        <v/>
      </c>
      <c r="G65" s="8" t="n"/>
      <c r="H65" s="8" t="n"/>
      <c r="I65" s="8" t="n"/>
      <c r="J65" s="8" t="n"/>
      <c r="K65" s="8" t="n"/>
      <c r="L65" s="8" t="n"/>
      <c r="M65" s="8" t="n"/>
      <c r="N65" s="9">
        <f>IF(G65="Excluded","Excluded",IF(E65="Critical",IF(AND(G65="Monitored",OR(H65="Automated Continuous",H65="Hybrid")),"Compliant","Non-Compliant"),IF(E65="High",IF(G65="Monitored","Compliant",IF(G65="Partially Monitored","Partial","Non-Compliant")),IF(G65="Not Monitored","Non-Compliant","Compliant"))))</f>
        <v/>
      </c>
      <c r="O65" s="8" t="n"/>
      <c r="P65" s="8" t="n"/>
    </row>
    <row r="66">
      <c r="A66" s="8" t="n"/>
      <c r="B66" s="8" t="n"/>
      <c r="C66" s="8" t="n"/>
      <c r="D66" s="9">
        <f>IFERROR(VLOOKUP(C66,Lookup_Tables!$A$2:$B$44,2,FALSE),"")</f>
        <v/>
      </c>
      <c r="E66" s="8" t="n"/>
      <c r="F66" s="9">
        <f>IF(E66="Critical","Tier 1 - Critical Assets",IF(E66="High","Tier 2 - High Value Assets",IF(E66="Medium","Tier 3 - Standard Assets","Tier 4 - Low Risk Assets")))</f>
        <v/>
      </c>
      <c r="G66" s="8" t="n"/>
      <c r="H66" s="8" t="n"/>
      <c r="I66" s="8" t="n"/>
      <c r="J66" s="8" t="n"/>
      <c r="K66" s="8" t="n"/>
      <c r="L66" s="8" t="n"/>
      <c r="M66" s="8" t="n"/>
      <c r="N66" s="9">
        <f>IF(G66="Excluded","Excluded",IF(E66="Critical",IF(AND(G66="Monitored",OR(H66="Automated Continuous",H66="Hybrid")),"Compliant","Non-Compliant"),IF(E66="High",IF(G66="Monitored","Compliant",IF(G66="Partially Monitored","Partial","Non-Compliant")),IF(G66="Not Monitored","Non-Compliant","Compliant"))))</f>
        <v/>
      </c>
      <c r="O66" s="8" t="n"/>
      <c r="P66" s="8" t="n"/>
    </row>
    <row r="67">
      <c r="A67" s="8" t="n"/>
      <c r="B67" s="8" t="n"/>
      <c r="C67" s="8" t="n"/>
      <c r="D67" s="9">
        <f>IFERROR(VLOOKUP(C67,Lookup_Tables!$A$2:$B$44,2,FALSE),"")</f>
        <v/>
      </c>
      <c r="E67" s="8" t="n"/>
      <c r="F67" s="9">
        <f>IF(E67="Critical","Tier 1 - Critical Assets",IF(E67="High","Tier 2 - High Value Assets",IF(E67="Medium","Tier 3 - Standard Assets","Tier 4 - Low Risk Assets")))</f>
        <v/>
      </c>
      <c r="G67" s="8" t="n"/>
      <c r="H67" s="8" t="n"/>
      <c r="I67" s="8" t="n"/>
      <c r="J67" s="8" t="n"/>
      <c r="K67" s="8" t="n"/>
      <c r="L67" s="8" t="n"/>
      <c r="M67" s="8" t="n"/>
      <c r="N67" s="9">
        <f>IF(G67="Excluded","Excluded",IF(E67="Critical",IF(AND(G67="Monitored",OR(H67="Automated Continuous",H67="Hybrid")),"Compliant","Non-Compliant"),IF(E67="High",IF(G67="Monitored","Compliant",IF(G67="Partially Monitored","Partial","Non-Compliant")),IF(G67="Not Monitored","Non-Compliant","Compliant"))))</f>
        <v/>
      </c>
      <c r="O67" s="8" t="n"/>
      <c r="P67" s="8" t="n"/>
    </row>
    <row r="68">
      <c r="A68" s="8" t="n"/>
      <c r="B68" s="8" t="n"/>
      <c r="C68" s="8" t="n"/>
      <c r="D68" s="9">
        <f>IFERROR(VLOOKUP(C68,Lookup_Tables!$A$2:$B$44,2,FALSE),"")</f>
        <v/>
      </c>
      <c r="E68" s="8" t="n"/>
      <c r="F68" s="9">
        <f>IF(E68="Critical","Tier 1 - Critical Assets",IF(E68="High","Tier 2 - High Value Assets",IF(E68="Medium","Tier 3 - Standard Assets","Tier 4 - Low Risk Assets")))</f>
        <v/>
      </c>
      <c r="G68" s="8" t="n"/>
      <c r="H68" s="8" t="n"/>
      <c r="I68" s="8" t="n"/>
      <c r="J68" s="8" t="n"/>
      <c r="K68" s="8" t="n"/>
      <c r="L68" s="8" t="n"/>
      <c r="M68" s="8" t="n"/>
      <c r="N68" s="9">
        <f>IF(G68="Excluded","Excluded",IF(E68="Critical",IF(AND(G68="Monitored",OR(H68="Automated Continuous",H68="Hybrid")),"Compliant","Non-Compliant"),IF(E68="High",IF(G68="Monitored","Compliant",IF(G68="Partially Monitored","Partial","Non-Compliant")),IF(G68="Not Monitored","Non-Compliant","Compliant"))))</f>
        <v/>
      </c>
      <c r="O68" s="8" t="n"/>
      <c r="P68" s="8" t="n"/>
    </row>
    <row r="69">
      <c r="A69" s="8" t="n"/>
      <c r="B69" s="8" t="n"/>
      <c r="C69" s="8" t="n"/>
      <c r="D69" s="9">
        <f>IFERROR(VLOOKUP(C69,Lookup_Tables!$A$2:$B$44,2,FALSE),"")</f>
        <v/>
      </c>
      <c r="E69" s="8" t="n"/>
      <c r="F69" s="9">
        <f>IF(E69="Critical","Tier 1 - Critical Assets",IF(E69="High","Tier 2 - High Value Assets",IF(E69="Medium","Tier 3 - Standard Assets","Tier 4 - Low Risk Assets")))</f>
        <v/>
      </c>
      <c r="G69" s="8" t="n"/>
      <c r="H69" s="8" t="n"/>
      <c r="I69" s="8" t="n"/>
      <c r="J69" s="8" t="n"/>
      <c r="K69" s="8" t="n"/>
      <c r="L69" s="8" t="n"/>
      <c r="M69" s="8" t="n"/>
      <c r="N69" s="9">
        <f>IF(G69="Excluded","Excluded",IF(E69="Critical",IF(AND(G69="Monitored",OR(H69="Automated Continuous",H69="Hybrid")),"Compliant","Non-Compliant"),IF(E69="High",IF(G69="Monitored","Compliant",IF(G69="Partially Monitored","Partial","Non-Compliant")),IF(G69="Not Monitored","Non-Compliant","Compliant"))))</f>
        <v/>
      </c>
      <c r="O69" s="8" t="n"/>
      <c r="P69" s="8" t="n"/>
    </row>
    <row r="70">
      <c r="A70" s="8" t="n"/>
      <c r="B70" s="8" t="n"/>
      <c r="C70" s="8" t="n"/>
      <c r="D70" s="9">
        <f>IFERROR(VLOOKUP(C70,Lookup_Tables!$A$2:$B$44,2,FALSE),"")</f>
        <v/>
      </c>
      <c r="E70" s="8" t="n"/>
      <c r="F70" s="9">
        <f>IF(E70="Critical","Tier 1 - Critical Assets",IF(E70="High","Tier 2 - High Value Assets",IF(E70="Medium","Tier 3 - Standard Assets","Tier 4 - Low Risk Assets")))</f>
        <v/>
      </c>
      <c r="G70" s="8" t="n"/>
      <c r="H70" s="8" t="n"/>
      <c r="I70" s="8" t="n"/>
      <c r="J70" s="8" t="n"/>
      <c r="K70" s="8" t="n"/>
      <c r="L70" s="8" t="n"/>
      <c r="M70" s="8" t="n"/>
      <c r="N70" s="9">
        <f>IF(G70="Excluded","Excluded",IF(E70="Critical",IF(AND(G70="Monitored",OR(H70="Automated Continuous",H70="Hybrid")),"Compliant","Non-Compliant"),IF(E70="High",IF(G70="Monitored","Compliant",IF(G70="Partially Monitored","Partial","Non-Compliant")),IF(G70="Not Monitored","Non-Compliant","Compliant"))))</f>
        <v/>
      </c>
      <c r="O70" s="8" t="n"/>
      <c r="P70" s="8" t="n"/>
    </row>
    <row r="71">
      <c r="A71" s="8" t="n"/>
      <c r="B71" s="8" t="n"/>
      <c r="C71" s="8" t="n"/>
      <c r="D71" s="9">
        <f>IFERROR(VLOOKUP(C71,Lookup_Tables!$A$2:$B$44,2,FALSE),"")</f>
        <v/>
      </c>
      <c r="E71" s="8" t="n"/>
      <c r="F71" s="9">
        <f>IF(E71="Critical","Tier 1 - Critical Assets",IF(E71="High","Tier 2 - High Value Assets",IF(E71="Medium","Tier 3 - Standard Assets","Tier 4 - Low Risk Assets")))</f>
        <v/>
      </c>
      <c r="G71" s="8" t="n"/>
      <c r="H71" s="8" t="n"/>
      <c r="I71" s="8" t="n"/>
      <c r="J71" s="8" t="n"/>
      <c r="K71" s="8" t="n"/>
      <c r="L71" s="8" t="n"/>
      <c r="M71" s="8" t="n"/>
      <c r="N71" s="9">
        <f>IF(G71="Excluded","Excluded",IF(E71="Critical",IF(AND(G71="Monitored",OR(H71="Automated Continuous",H71="Hybrid")),"Compliant","Non-Compliant"),IF(E71="High",IF(G71="Monitored","Compliant",IF(G71="Partially Monitored","Partial","Non-Compliant")),IF(G71="Not Monitored","Non-Compliant","Compliant"))))</f>
        <v/>
      </c>
      <c r="O71" s="8" t="n"/>
      <c r="P71" s="8" t="n"/>
    </row>
    <row r="72">
      <c r="A72" s="8" t="n"/>
      <c r="B72" s="8" t="n"/>
      <c r="C72" s="8" t="n"/>
      <c r="D72" s="9">
        <f>IFERROR(VLOOKUP(C72,Lookup_Tables!$A$2:$B$44,2,FALSE),"")</f>
        <v/>
      </c>
      <c r="E72" s="8" t="n"/>
      <c r="F72" s="9">
        <f>IF(E72="Critical","Tier 1 - Critical Assets",IF(E72="High","Tier 2 - High Value Assets",IF(E72="Medium","Tier 3 - Standard Assets","Tier 4 - Low Risk Assets")))</f>
        <v/>
      </c>
      <c r="G72" s="8" t="n"/>
      <c r="H72" s="8" t="n"/>
      <c r="I72" s="8" t="n"/>
      <c r="J72" s="8" t="n"/>
      <c r="K72" s="8" t="n"/>
      <c r="L72" s="8" t="n"/>
      <c r="M72" s="8" t="n"/>
      <c r="N72" s="9">
        <f>IF(G72="Excluded","Excluded",IF(E72="Critical",IF(AND(G72="Monitored",OR(H72="Automated Continuous",H72="Hybrid")),"Compliant","Non-Compliant"),IF(E72="High",IF(G72="Monitored","Compliant",IF(G72="Partially Monitored","Partial","Non-Compliant")),IF(G72="Not Monitored","Non-Compliant","Compliant"))))</f>
        <v/>
      </c>
      <c r="O72" s="8" t="n"/>
      <c r="P72" s="8" t="n"/>
    </row>
    <row r="73">
      <c r="A73" s="8" t="n"/>
      <c r="B73" s="8" t="n"/>
      <c r="C73" s="8" t="n"/>
      <c r="D73" s="9">
        <f>IFERROR(VLOOKUP(C73,Lookup_Tables!$A$2:$B$44,2,FALSE),"")</f>
        <v/>
      </c>
      <c r="E73" s="8" t="n"/>
      <c r="F73" s="9">
        <f>IF(E73="Critical","Tier 1 - Critical Assets",IF(E73="High","Tier 2 - High Value Assets",IF(E73="Medium","Tier 3 - Standard Assets","Tier 4 - Low Risk Assets")))</f>
        <v/>
      </c>
      <c r="G73" s="8" t="n"/>
      <c r="H73" s="8" t="n"/>
      <c r="I73" s="8" t="n"/>
      <c r="J73" s="8" t="n"/>
      <c r="K73" s="8" t="n"/>
      <c r="L73" s="8" t="n"/>
      <c r="M73" s="8" t="n"/>
      <c r="N73" s="9">
        <f>IF(G73="Excluded","Excluded",IF(E73="Critical",IF(AND(G73="Monitored",OR(H73="Automated Continuous",H73="Hybrid")),"Compliant","Non-Compliant"),IF(E73="High",IF(G73="Monitored","Compliant",IF(G73="Partially Monitored","Partial","Non-Compliant")),IF(G73="Not Monitored","Non-Compliant","Compliant"))))</f>
        <v/>
      </c>
      <c r="O73" s="8" t="n"/>
      <c r="P73" s="8" t="n"/>
    </row>
    <row r="74">
      <c r="A74" s="8" t="n"/>
      <c r="B74" s="8" t="n"/>
      <c r="C74" s="8" t="n"/>
      <c r="D74" s="9">
        <f>IFERROR(VLOOKUP(C74,Lookup_Tables!$A$2:$B$44,2,FALSE),"")</f>
        <v/>
      </c>
      <c r="E74" s="8" t="n"/>
      <c r="F74" s="9">
        <f>IF(E74="Critical","Tier 1 - Critical Assets",IF(E74="High","Tier 2 - High Value Assets",IF(E74="Medium","Tier 3 - Standard Assets","Tier 4 - Low Risk Assets")))</f>
        <v/>
      </c>
      <c r="G74" s="8" t="n"/>
      <c r="H74" s="8" t="n"/>
      <c r="I74" s="8" t="n"/>
      <c r="J74" s="8" t="n"/>
      <c r="K74" s="8" t="n"/>
      <c r="L74" s="8" t="n"/>
      <c r="M74" s="8" t="n"/>
      <c r="N74" s="9">
        <f>IF(G74="Excluded","Excluded",IF(E74="Critical",IF(AND(G74="Monitored",OR(H74="Automated Continuous",H74="Hybrid")),"Compliant","Non-Compliant"),IF(E74="High",IF(G74="Monitored","Compliant",IF(G74="Partially Monitored","Partial","Non-Compliant")),IF(G74="Not Monitored","Non-Compliant","Compliant"))))</f>
        <v/>
      </c>
      <c r="O74" s="8" t="n"/>
      <c r="P74" s="8" t="n"/>
    </row>
    <row r="75">
      <c r="A75" s="8" t="n"/>
      <c r="B75" s="8" t="n"/>
      <c r="C75" s="8" t="n"/>
      <c r="D75" s="9">
        <f>IFERROR(VLOOKUP(C75,Lookup_Tables!$A$2:$B$44,2,FALSE),"")</f>
        <v/>
      </c>
      <c r="E75" s="8" t="n"/>
      <c r="F75" s="9">
        <f>IF(E75="Critical","Tier 1 - Critical Assets",IF(E75="High","Tier 2 - High Value Assets",IF(E75="Medium","Tier 3 - Standard Assets","Tier 4 - Low Risk Assets")))</f>
        <v/>
      </c>
      <c r="G75" s="8" t="n"/>
      <c r="H75" s="8" t="n"/>
      <c r="I75" s="8" t="n"/>
      <c r="J75" s="8" t="n"/>
      <c r="K75" s="8" t="n"/>
      <c r="L75" s="8" t="n"/>
      <c r="M75" s="8" t="n"/>
      <c r="N75" s="9">
        <f>IF(G75="Excluded","Excluded",IF(E75="Critical",IF(AND(G75="Monitored",OR(H75="Automated Continuous",H75="Hybrid")),"Compliant","Non-Compliant"),IF(E75="High",IF(G75="Monitored","Compliant",IF(G75="Partially Monitored","Partial","Non-Compliant")),IF(G75="Not Monitored","Non-Compliant","Compliant"))))</f>
        <v/>
      </c>
      <c r="O75" s="8" t="n"/>
      <c r="P75" s="8" t="n"/>
    </row>
    <row r="76">
      <c r="A76" s="8" t="n"/>
      <c r="B76" s="8" t="n"/>
      <c r="C76" s="8" t="n"/>
      <c r="D76" s="9">
        <f>IFERROR(VLOOKUP(C76,Lookup_Tables!$A$2:$B$44,2,FALSE),"")</f>
        <v/>
      </c>
      <c r="E76" s="8" t="n"/>
      <c r="F76" s="9">
        <f>IF(E76="Critical","Tier 1 - Critical Assets",IF(E76="High","Tier 2 - High Value Assets",IF(E76="Medium","Tier 3 - Standard Assets","Tier 4 - Low Risk Assets")))</f>
        <v/>
      </c>
      <c r="G76" s="8" t="n"/>
      <c r="H76" s="8" t="n"/>
      <c r="I76" s="8" t="n"/>
      <c r="J76" s="8" t="n"/>
      <c r="K76" s="8" t="n"/>
      <c r="L76" s="8" t="n"/>
      <c r="M76" s="8" t="n"/>
      <c r="N76" s="9">
        <f>IF(G76="Excluded","Excluded",IF(E76="Critical",IF(AND(G76="Monitored",OR(H76="Automated Continuous",H76="Hybrid")),"Compliant","Non-Compliant"),IF(E76="High",IF(G76="Monitored","Compliant",IF(G76="Partially Monitored","Partial","Non-Compliant")),IF(G76="Not Monitored","Non-Compliant","Compliant"))))</f>
        <v/>
      </c>
      <c r="O76" s="8" t="n"/>
      <c r="P76" s="8" t="n"/>
    </row>
    <row r="77">
      <c r="A77" s="8" t="n"/>
      <c r="B77" s="8" t="n"/>
      <c r="C77" s="8" t="n"/>
      <c r="D77" s="9">
        <f>IFERROR(VLOOKUP(C77,Lookup_Tables!$A$2:$B$44,2,FALSE),"")</f>
        <v/>
      </c>
      <c r="E77" s="8" t="n"/>
      <c r="F77" s="9">
        <f>IF(E77="Critical","Tier 1 - Critical Assets",IF(E77="High","Tier 2 - High Value Assets",IF(E77="Medium","Tier 3 - Standard Assets","Tier 4 - Low Risk Assets")))</f>
        <v/>
      </c>
      <c r="G77" s="8" t="n"/>
      <c r="H77" s="8" t="n"/>
      <c r="I77" s="8" t="n"/>
      <c r="J77" s="8" t="n"/>
      <c r="K77" s="8" t="n"/>
      <c r="L77" s="8" t="n"/>
      <c r="M77" s="8" t="n"/>
      <c r="N77" s="9">
        <f>IF(G77="Excluded","Excluded",IF(E77="Critical",IF(AND(G77="Monitored",OR(H77="Automated Continuous",H77="Hybrid")),"Compliant","Non-Compliant"),IF(E77="High",IF(G77="Monitored","Compliant",IF(G77="Partially Monitored","Partial","Non-Compliant")),IF(G77="Not Monitored","Non-Compliant","Compliant"))))</f>
        <v/>
      </c>
      <c r="O77" s="8" t="n"/>
      <c r="P77" s="8" t="n"/>
    </row>
    <row r="78">
      <c r="A78" s="8" t="n"/>
      <c r="B78" s="8" t="n"/>
      <c r="C78" s="8" t="n"/>
      <c r="D78" s="9">
        <f>IFERROR(VLOOKUP(C78,Lookup_Tables!$A$2:$B$44,2,FALSE),"")</f>
        <v/>
      </c>
      <c r="E78" s="8" t="n"/>
      <c r="F78" s="9">
        <f>IF(E78="Critical","Tier 1 - Critical Assets",IF(E78="High","Tier 2 - High Value Assets",IF(E78="Medium","Tier 3 - Standard Assets","Tier 4 - Low Risk Assets")))</f>
        <v/>
      </c>
      <c r="G78" s="8" t="n"/>
      <c r="H78" s="8" t="n"/>
      <c r="I78" s="8" t="n"/>
      <c r="J78" s="8" t="n"/>
      <c r="K78" s="8" t="n"/>
      <c r="L78" s="8" t="n"/>
      <c r="M78" s="8" t="n"/>
      <c r="N78" s="9">
        <f>IF(G78="Excluded","Excluded",IF(E78="Critical",IF(AND(G78="Monitored",OR(H78="Automated Continuous",H78="Hybrid")),"Compliant","Non-Compliant"),IF(E78="High",IF(G78="Monitored","Compliant",IF(G78="Partially Monitored","Partial","Non-Compliant")),IF(G78="Not Monitored","Non-Compliant","Compliant"))))</f>
        <v/>
      </c>
      <c r="O78" s="8" t="n"/>
      <c r="P78" s="8" t="n"/>
    </row>
    <row r="79">
      <c r="A79" s="8" t="n"/>
      <c r="B79" s="8" t="n"/>
      <c r="C79" s="8" t="n"/>
      <c r="D79" s="9">
        <f>IFERROR(VLOOKUP(C79,Lookup_Tables!$A$2:$B$44,2,FALSE),"")</f>
        <v/>
      </c>
      <c r="E79" s="8" t="n"/>
      <c r="F79" s="9">
        <f>IF(E79="Critical","Tier 1 - Critical Assets",IF(E79="High","Tier 2 - High Value Assets",IF(E79="Medium","Tier 3 - Standard Assets","Tier 4 - Low Risk Assets")))</f>
        <v/>
      </c>
      <c r="G79" s="8" t="n"/>
      <c r="H79" s="8" t="n"/>
      <c r="I79" s="8" t="n"/>
      <c r="J79" s="8" t="n"/>
      <c r="K79" s="8" t="n"/>
      <c r="L79" s="8" t="n"/>
      <c r="M79" s="8" t="n"/>
      <c r="N79" s="9">
        <f>IF(G79="Excluded","Excluded",IF(E79="Critical",IF(AND(G79="Monitored",OR(H79="Automated Continuous",H79="Hybrid")),"Compliant","Non-Compliant"),IF(E79="High",IF(G79="Monitored","Compliant",IF(G79="Partially Monitored","Partial","Non-Compliant")),IF(G79="Not Monitored","Non-Compliant","Compliant"))))</f>
        <v/>
      </c>
      <c r="O79" s="8" t="n"/>
      <c r="P79" s="8" t="n"/>
    </row>
    <row r="80">
      <c r="A80" s="8" t="n"/>
      <c r="B80" s="8" t="n"/>
      <c r="C80" s="8" t="n"/>
      <c r="D80" s="9">
        <f>IFERROR(VLOOKUP(C80,Lookup_Tables!$A$2:$B$44,2,FALSE),"")</f>
        <v/>
      </c>
      <c r="E80" s="8" t="n"/>
      <c r="F80" s="9">
        <f>IF(E80="Critical","Tier 1 - Critical Assets",IF(E80="High","Tier 2 - High Value Assets",IF(E80="Medium","Tier 3 - Standard Assets","Tier 4 - Low Risk Assets")))</f>
        <v/>
      </c>
      <c r="G80" s="8" t="n"/>
      <c r="H80" s="8" t="n"/>
      <c r="I80" s="8" t="n"/>
      <c r="J80" s="8" t="n"/>
      <c r="K80" s="8" t="n"/>
      <c r="L80" s="8" t="n"/>
      <c r="M80" s="8" t="n"/>
      <c r="N80" s="9">
        <f>IF(G80="Excluded","Excluded",IF(E80="Critical",IF(AND(G80="Monitored",OR(H80="Automated Continuous",H80="Hybrid")),"Compliant","Non-Compliant"),IF(E80="High",IF(G80="Monitored","Compliant",IF(G80="Partially Monitored","Partial","Non-Compliant")),IF(G80="Not Monitored","Non-Compliant","Compliant"))))</f>
        <v/>
      </c>
      <c r="O80" s="8" t="n"/>
      <c r="P80" s="8" t="n"/>
    </row>
    <row r="81">
      <c r="A81" s="8" t="n"/>
      <c r="B81" s="8" t="n"/>
      <c r="C81" s="8" t="n"/>
      <c r="D81" s="9">
        <f>IFERROR(VLOOKUP(C81,Lookup_Tables!$A$2:$B$44,2,FALSE),"")</f>
        <v/>
      </c>
      <c r="E81" s="8" t="n"/>
      <c r="F81" s="9">
        <f>IF(E81="Critical","Tier 1 - Critical Assets",IF(E81="High","Tier 2 - High Value Assets",IF(E81="Medium","Tier 3 - Standard Assets","Tier 4 - Low Risk Assets")))</f>
        <v/>
      </c>
      <c r="G81" s="8" t="n"/>
      <c r="H81" s="8" t="n"/>
      <c r="I81" s="8" t="n"/>
      <c r="J81" s="8" t="n"/>
      <c r="K81" s="8" t="n"/>
      <c r="L81" s="8" t="n"/>
      <c r="M81" s="8" t="n"/>
      <c r="N81" s="9">
        <f>IF(G81="Excluded","Excluded",IF(E81="Critical",IF(AND(G81="Monitored",OR(H81="Automated Continuous",H81="Hybrid")),"Compliant","Non-Compliant"),IF(E81="High",IF(G81="Monitored","Compliant",IF(G81="Partially Monitored","Partial","Non-Compliant")),IF(G81="Not Monitored","Non-Compliant","Compliant"))))</f>
        <v/>
      </c>
      <c r="O81" s="8" t="n"/>
      <c r="P81" s="8" t="n"/>
    </row>
    <row r="82">
      <c r="A82" s="8" t="n"/>
      <c r="B82" s="8" t="n"/>
      <c r="C82" s="8" t="n"/>
      <c r="D82" s="9">
        <f>IFERROR(VLOOKUP(C82,Lookup_Tables!$A$2:$B$44,2,FALSE),"")</f>
        <v/>
      </c>
      <c r="E82" s="8" t="n"/>
      <c r="F82" s="9">
        <f>IF(E82="Critical","Tier 1 - Critical Assets",IF(E82="High","Tier 2 - High Value Assets",IF(E82="Medium","Tier 3 - Standard Assets","Tier 4 - Low Risk Assets")))</f>
        <v/>
      </c>
      <c r="G82" s="8" t="n"/>
      <c r="H82" s="8" t="n"/>
      <c r="I82" s="8" t="n"/>
      <c r="J82" s="8" t="n"/>
      <c r="K82" s="8" t="n"/>
      <c r="L82" s="8" t="n"/>
      <c r="M82" s="8" t="n"/>
      <c r="N82" s="9">
        <f>IF(G82="Excluded","Excluded",IF(E82="Critical",IF(AND(G82="Monitored",OR(H82="Automated Continuous",H82="Hybrid")),"Compliant","Non-Compliant"),IF(E82="High",IF(G82="Monitored","Compliant",IF(G82="Partially Monitored","Partial","Non-Compliant")),IF(G82="Not Monitored","Non-Compliant","Compliant"))))</f>
        <v/>
      </c>
      <c r="O82" s="8" t="n"/>
      <c r="P82" s="8" t="n"/>
    </row>
    <row r="83">
      <c r="A83" s="8" t="n"/>
      <c r="B83" s="8" t="n"/>
      <c r="C83" s="8" t="n"/>
      <c r="D83" s="9">
        <f>IFERROR(VLOOKUP(C83,Lookup_Tables!$A$2:$B$44,2,FALSE),"")</f>
        <v/>
      </c>
      <c r="E83" s="8" t="n"/>
      <c r="F83" s="9">
        <f>IF(E83="Critical","Tier 1 - Critical Assets",IF(E83="High","Tier 2 - High Value Assets",IF(E83="Medium","Tier 3 - Standard Assets","Tier 4 - Low Risk Assets")))</f>
        <v/>
      </c>
      <c r="G83" s="8" t="n"/>
      <c r="H83" s="8" t="n"/>
      <c r="I83" s="8" t="n"/>
      <c r="J83" s="8" t="n"/>
      <c r="K83" s="8" t="n"/>
      <c r="L83" s="8" t="n"/>
      <c r="M83" s="8" t="n"/>
      <c r="N83" s="9">
        <f>IF(G83="Excluded","Excluded",IF(E83="Critical",IF(AND(G83="Monitored",OR(H83="Automated Continuous",H83="Hybrid")),"Compliant","Non-Compliant"),IF(E83="High",IF(G83="Monitored","Compliant",IF(G83="Partially Monitored","Partial","Non-Compliant")),IF(G83="Not Monitored","Non-Compliant","Compliant"))))</f>
        <v/>
      </c>
      <c r="O83" s="8" t="n"/>
      <c r="P83" s="8" t="n"/>
    </row>
    <row r="84">
      <c r="A84" s="8" t="n"/>
      <c r="B84" s="8" t="n"/>
      <c r="C84" s="8" t="n"/>
      <c r="D84" s="9">
        <f>IFERROR(VLOOKUP(C84,Lookup_Tables!$A$2:$B$44,2,FALSE),"")</f>
        <v/>
      </c>
      <c r="E84" s="8" t="n"/>
      <c r="F84" s="9">
        <f>IF(E84="Critical","Tier 1 - Critical Assets",IF(E84="High","Tier 2 - High Value Assets",IF(E84="Medium","Tier 3 - Standard Assets","Tier 4 - Low Risk Assets")))</f>
        <v/>
      </c>
      <c r="G84" s="8" t="n"/>
      <c r="H84" s="8" t="n"/>
      <c r="I84" s="8" t="n"/>
      <c r="J84" s="8" t="n"/>
      <c r="K84" s="8" t="n"/>
      <c r="L84" s="8" t="n"/>
      <c r="M84" s="8" t="n"/>
      <c r="N84" s="9">
        <f>IF(G84="Excluded","Excluded",IF(E84="Critical",IF(AND(G84="Monitored",OR(H84="Automated Continuous",H84="Hybrid")),"Compliant","Non-Compliant"),IF(E84="High",IF(G84="Monitored","Compliant",IF(G84="Partially Monitored","Partial","Non-Compliant")),IF(G84="Not Monitored","Non-Compliant","Compliant"))))</f>
        <v/>
      </c>
      <c r="O84" s="8" t="n"/>
      <c r="P84" s="8" t="n"/>
    </row>
    <row r="85">
      <c r="A85" s="8" t="n"/>
      <c r="B85" s="8" t="n"/>
      <c r="C85" s="8" t="n"/>
      <c r="D85" s="9">
        <f>IFERROR(VLOOKUP(C85,Lookup_Tables!$A$2:$B$44,2,FALSE),"")</f>
        <v/>
      </c>
      <c r="E85" s="8" t="n"/>
      <c r="F85" s="9">
        <f>IF(E85="Critical","Tier 1 - Critical Assets",IF(E85="High","Tier 2 - High Value Assets",IF(E85="Medium","Tier 3 - Standard Assets","Tier 4 - Low Risk Assets")))</f>
        <v/>
      </c>
      <c r="G85" s="8" t="n"/>
      <c r="H85" s="8" t="n"/>
      <c r="I85" s="8" t="n"/>
      <c r="J85" s="8" t="n"/>
      <c r="K85" s="8" t="n"/>
      <c r="L85" s="8" t="n"/>
      <c r="M85" s="8" t="n"/>
      <c r="N85" s="9">
        <f>IF(G85="Excluded","Excluded",IF(E85="Critical",IF(AND(G85="Monitored",OR(H85="Automated Continuous",H85="Hybrid")),"Compliant","Non-Compliant"),IF(E85="High",IF(G85="Monitored","Compliant",IF(G85="Partially Monitored","Partial","Non-Compliant")),IF(G85="Not Monitored","Non-Compliant","Compliant"))))</f>
        <v/>
      </c>
      <c r="O85" s="8" t="n"/>
      <c r="P85" s="8" t="n"/>
    </row>
    <row r="86">
      <c r="A86" s="8" t="n"/>
      <c r="B86" s="8" t="n"/>
      <c r="C86" s="8" t="n"/>
      <c r="D86" s="9">
        <f>IFERROR(VLOOKUP(C86,Lookup_Tables!$A$2:$B$44,2,FALSE),"")</f>
        <v/>
      </c>
      <c r="E86" s="8" t="n"/>
      <c r="F86" s="9">
        <f>IF(E86="Critical","Tier 1 - Critical Assets",IF(E86="High","Tier 2 - High Value Assets",IF(E86="Medium","Tier 3 - Standard Assets","Tier 4 - Low Risk Assets")))</f>
        <v/>
      </c>
      <c r="G86" s="8" t="n"/>
      <c r="H86" s="8" t="n"/>
      <c r="I86" s="8" t="n"/>
      <c r="J86" s="8" t="n"/>
      <c r="K86" s="8" t="n"/>
      <c r="L86" s="8" t="n"/>
      <c r="M86" s="8" t="n"/>
      <c r="N86" s="9">
        <f>IF(G86="Excluded","Excluded",IF(E86="Critical",IF(AND(G86="Monitored",OR(H86="Automated Continuous",H86="Hybrid")),"Compliant","Non-Compliant"),IF(E86="High",IF(G86="Monitored","Compliant",IF(G86="Partially Monitored","Partial","Non-Compliant")),IF(G86="Not Monitored","Non-Compliant","Compliant"))))</f>
        <v/>
      </c>
      <c r="O86" s="8" t="n"/>
      <c r="P86" s="8" t="n"/>
    </row>
    <row r="87">
      <c r="A87" s="8" t="n"/>
      <c r="B87" s="8" t="n"/>
      <c r="C87" s="8" t="n"/>
      <c r="D87" s="9">
        <f>IFERROR(VLOOKUP(C87,Lookup_Tables!$A$2:$B$44,2,FALSE),"")</f>
        <v/>
      </c>
      <c r="E87" s="8" t="n"/>
      <c r="F87" s="9">
        <f>IF(E87="Critical","Tier 1 - Critical Assets",IF(E87="High","Tier 2 - High Value Assets",IF(E87="Medium","Tier 3 - Standard Assets","Tier 4 - Low Risk Assets")))</f>
        <v/>
      </c>
      <c r="G87" s="8" t="n"/>
      <c r="H87" s="8" t="n"/>
      <c r="I87" s="8" t="n"/>
      <c r="J87" s="8" t="n"/>
      <c r="K87" s="8" t="n"/>
      <c r="L87" s="8" t="n"/>
      <c r="M87" s="8" t="n"/>
      <c r="N87" s="9">
        <f>IF(G87="Excluded","Excluded",IF(E87="Critical",IF(AND(G87="Monitored",OR(H87="Automated Continuous",H87="Hybrid")),"Compliant","Non-Compliant"),IF(E87="High",IF(G87="Monitored","Compliant",IF(G87="Partially Monitored","Partial","Non-Compliant")),IF(G87="Not Monitored","Non-Compliant","Compliant"))))</f>
        <v/>
      </c>
      <c r="O87" s="8" t="n"/>
      <c r="P87" s="8" t="n"/>
    </row>
    <row r="88">
      <c r="A88" s="8" t="n"/>
      <c r="B88" s="8" t="n"/>
      <c r="C88" s="8" t="n"/>
      <c r="D88" s="9">
        <f>IFERROR(VLOOKUP(C88,Lookup_Tables!$A$2:$B$44,2,FALSE),"")</f>
        <v/>
      </c>
      <c r="E88" s="8" t="n"/>
      <c r="F88" s="9">
        <f>IF(E88="Critical","Tier 1 - Critical Assets",IF(E88="High","Tier 2 - High Value Assets",IF(E88="Medium","Tier 3 - Standard Assets","Tier 4 - Low Risk Assets")))</f>
        <v/>
      </c>
      <c r="G88" s="8" t="n"/>
      <c r="H88" s="8" t="n"/>
      <c r="I88" s="8" t="n"/>
      <c r="J88" s="8" t="n"/>
      <c r="K88" s="8" t="n"/>
      <c r="L88" s="8" t="n"/>
      <c r="M88" s="8" t="n"/>
      <c r="N88" s="9">
        <f>IF(G88="Excluded","Excluded",IF(E88="Critical",IF(AND(G88="Monitored",OR(H88="Automated Continuous",H88="Hybrid")),"Compliant","Non-Compliant"),IF(E88="High",IF(G88="Monitored","Compliant",IF(G88="Partially Monitored","Partial","Non-Compliant")),IF(G88="Not Monitored","Non-Compliant","Compliant"))))</f>
        <v/>
      </c>
      <c r="O88" s="8" t="n"/>
      <c r="P88" s="8" t="n"/>
    </row>
    <row r="89">
      <c r="A89" s="8" t="n"/>
      <c r="B89" s="8" t="n"/>
      <c r="C89" s="8" t="n"/>
      <c r="D89" s="9">
        <f>IFERROR(VLOOKUP(C89,Lookup_Tables!$A$2:$B$44,2,FALSE),"")</f>
        <v/>
      </c>
      <c r="E89" s="8" t="n"/>
      <c r="F89" s="9">
        <f>IF(E89="Critical","Tier 1 - Critical Assets",IF(E89="High","Tier 2 - High Value Assets",IF(E89="Medium","Tier 3 - Standard Assets","Tier 4 - Low Risk Assets")))</f>
        <v/>
      </c>
      <c r="G89" s="8" t="n"/>
      <c r="H89" s="8" t="n"/>
      <c r="I89" s="8" t="n"/>
      <c r="J89" s="8" t="n"/>
      <c r="K89" s="8" t="n"/>
      <c r="L89" s="8" t="n"/>
      <c r="M89" s="8" t="n"/>
      <c r="N89" s="9">
        <f>IF(G89="Excluded","Excluded",IF(E89="Critical",IF(AND(G89="Monitored",OR(H89="Automated Continuous",H89="Hybrid")),"Compliant","Non-Compliant"),IF(E89="High",IF(G89="Monitored","Compliant",IF(G89="Partially Monitored","Partial","Non-Compliant")),IF(G89="Not Monitored","Non-Compliant","Compliant"))))</f>
        <v/>
      </c>
      <c r="O89" s="8" t="n"/>
      <c r="P89" s="8" t="n"/>
    </row>
    <row r="90">
      <c r="A90" s="8" t="n"/>
      <c r="B90" s="8" t="n"/>
      <c r="C90" s="8" t="n"/>
      <c r="D90" s="9">
        <f>IFERROR(VLOOKUP(C90,Lookup_Tables!$A$2:$B$44,2,FALSE),"")</f>
        <v/>
      </c>
      <c r="E90" s="8" t="n"/>
      <c r="F90" s="9">
        <f>IF(E90="Critical","Tier 1 - Critical Assets",IF(E90="High","Tier 2 - High Value Assets",IF(E90="Medium","Tier 3 - Standard Assets","Tier 4 - Low Risk Assets")))</f>
        <v/>
      </c>
      <c r="G90" s="8" t="n"/>
      <c r="H90" s="8" t="n"/>
      <c r="I90" s="8" t="n"/>
      <c r="J90" s="8" t="n"/>
      <c r="K90" s="8" t="n"/>
      <c r="L90" s="8" t="n"/>
      <c r="M90" s="8" t="n"/>
      <c r="N90" s="9">
        <f>IF(G90="Excluded","Excluded",IF(E90="Critical",IF(AND(G90="Monitored",OR(H90="Automated Continuous",H90="Hybrid")),"Compliant","Non-Compliant"),IF(E90="High",IF(G90="Monitored","Compliant",IF(G90="Partially Monitored","Partial","Non-Compliant")),IF(G90="Not Monitored","Non-Compliant","Compliant"))))</f>
        <v/>
      </c>
      <c r="O90" s="8" t="n"/>
      <c r="P90" s="8" t="n"/>
    </row>
    <row r="91">
      <c r="A91" s="8" t="n"/>
      <c r="B91" s="8" t="n"/>
      <c r="C91" s="8" t="n"/>
      <c r="D91" s="9">
        <f>IFERROR(VLOOKUP(C91,Lookup_Tables!$A$2:$B$44,2,FALSE),"")</f>
        <v/>
      </c>
      <c r="E91" s="8" t="n"/>
      <c r="F91" s="9">
        <f>IF(E91="Critical","Tier 1 - Critical Assets",IF(E91="High","Tier 2 - High Value Assets",IF(E91="Medium","Tier 3 - Standard Assets","Tier 4 - Low Risk Assets")))</f>
        <v/>
      </c>
      <c r="G91" s="8" t="n"/>
      <c r="H91" s="8" t="n"/>
      <c r="I91" s="8" t="n"/>
      <c r="J91" s="8" t="n"/>
      <c r="K91" s="8" t="n"/>
      <c r="L91" s="8" t="n"/>
      <c r="M91" s="8" t="n"/>
      <c r="N91" s="9">
        <f>IF(G91="Excluded","Excluded",IF(E91="Critical",IF(AND(G91="Monitored",OR(H91="Automated Continuous",H91="Hybrid")),"Compliant","Non-Compliant"),IF(E91="High",IF(G91="Monitored","Compliant",IF(G91="Partially Monitored","Partial","Non-Compliant")),IF(G91="Not Monitored","Non-Compliant","Compliant"))))</f>
        <v/>
      </c>
      <c r="O91" s="8" t="n"/>
      <c r="P91" s="8" t="n"/>
    </row>
    <row r="92">
      <c r="A92" s="8" t="n"/>
      <c r="B92" s="8" t="n"/>
      <c r="C92" s="8" t="n"/>
      <c r="D92" s="9">
        <f>IFERROR(VLOOKUP(C92,Lookup_Tables!$A$2:$B$44,2,FALSE),"")</f>
        <v/>
      </c>
      <c r="E92" s="8" t="n"/>
      <c r="F92" s="9">
        <f>IF(E92="Critical","Tier 1 - Critical Assets",IF(E92="High","Tier 2 - High Value Assets",IF(E92="Medium","Tier 3 - Standard Assets","Tier 4 - Low Risk Assets")))</f>
        <v/>
      </c>
      <c r="G92" s="8" t="n"/>
      <c r="H92" s="8" t="n"/>
      <c r="I92" s="8" t="n"/>
      <c r="J92" s="8" t="n"/>
      <c r="K92" s="8" t="n"/>
      <c r="L92" s="8" t="n"/>
      <c r="M92" s="8" t="n"/>
      <c r="N92" s="9">
        <f>IF(G92="Excluded","Excluded",IF(E92="Critical",IF(AND(G92="Monitored",OR(H92="Automated Continuous",H92="Hybrid")),"Compliant","Non-Compliant"),IF(E92="High",IF(G92="Monitored","Compliant",IF(G92="Partially Monitored","Partial","Non-Compliant")),IF(G92="Not Monitored","Non-Compliant","Compliant"))))</f>
        <v/>
      </c>
      <c r="O92" s="8" t="n"/>
      <c r="P92" s="8" t="n"/>
    </row>
    <row r="93">
      <c r="A93" s="8" t="n"/>
      <c r="B93" s="8" t="n"/>
      <c r="C93" s="8" t="n"/>
      <c r="D93" s="9">
        <f>IFERROR(VLOOKUP(C93,Lookup_Tables!$A$2:$B$44,2,FALSE),"")</f>
        <v/>
      </c>
      <c r="E93" s="8" t="n"/>
      <c r="F93" s="9">
        <f>IF(E93="Critical","Tier 1 - Critical Assets",IF(E93="High","Tier 2 - High Value Assets",IF(E93="Medium","Tier 3 - Standard Assets","Tier 4 - Low Risk Assets")))</f>
        <v/>
      </c>
      <c r="G93" s="8" t="n"/>
      <c r="H93" s="8" t="n"/>
      <c r="I93" s="8" t="n"/>
      <c r="J93" s="8" t="n"/>
      <c r="K93" s="8" t="n"/>
      <c r="L93" s="8" t="n"/>
      <c r="M93" s="8" t="n"/>
      <c r="N93" s="9">
        <f>IF(G93="Excluded","Excluded",IF(E93="Critical",IF(AND(G93="Monitored",OR(H93="Automated Continuous",H93="Hybrid")),"Compliant","Non-Compliant"),IF(E93="High",IF(G93="Monitored","Compliant",IF(G93="Partially Monitored","Partial","Non-Compliant")),IF(G93="Not Monitored","Non-Compliant","Compliant"))))</f>
        <v/>
      </c>
      <c r="O93" s="8" t="n"/>
      <c r="P93" s="8" t="n"/>
    </row>
    <row r="94">
      <c r="A94" s="8" t="n"/>
      <c r="B94" s="8" t="n"/>
      <c r="C94" s="8" t="n"/>
      <c r="D94" s="9">
        <f>IFERROR(VLOOKUP(C94,Lookup_Tables!$A$2:$B$44,2,FALSE),"")</f>
        <v/>
      </c>
      <c r="E94" s="8" t="n"/>
      <c r="F94" s="9">
        <f>IF(E94="Critical","Tier 1 - Critical Assets",IF(E94="High","Tier 2 - High Value Assets",IF(E94="Medium","Tier 3 - Standard Assets","Tier 4 - Low Risk Assets")))</f>
        <v/>
      </c>
      <c r="G94" s="8" t="n"/>
      <c r="H94" s="8" t="n"/>
      <c r="I94" s="8" t="n"/>
      <c r="J94" s="8" t="n"/>
      <c r="K94" s="8" t="n"/>
      <c r="L94" s="8" t="n"/>
      <c r="M94" s="8" t="n"/>
      <c r="N94" s="9">
        <f>IF(G94="Excluded","Excluded",IF(E94="Critical",IF(AND(G94="Monitored",OR(H94="Automated Continuous",H94="Hybrid")),"Compliant","Non-Compliant"),IF(E94="High",IF(G94="Monitored","Compliant",IF(G94="Partially Monitored","Partial","Non-Compliant")),IF(G94="Not Monitored","Non-Compliant","Compliant"))))</f>
        <v/>
      </c>
      <c r="O94" s="8" t="n"/>
      <c r="P94" s="8" t="n"/>
    </row>
    <row r="95">
      <c r="A95" s="8" t="n"/>
      <c r="B95" s="8" t="n"/>
      <c r="C95" s="8" t="n"/>
      <c r="D95" s="9">
        <f>IFERROR(VLOOKUP(C95,Lookup_Tables!$A$2:$B$44,2,FALSE),"")</f>
        <v/>
      </c>
      <c r="E95" s="8" t="n"/>
      <c r="F95" s="9">
        <f>IF(E95="Critical","Tier 1 - Critical Assets",IF(E95="High","Tier 2 - High Value Assets",IF(E95="Medium","Tier 3 - Standard Assets","Tier 4 - Low Risk Assets")))</f>
        <v/>
      </c>
      <c r="G95" s="8" t="n"/>
      <c r="H95" s="8" t="n"/>
      <c r="I95" s="8" t="n"/>
      <c r="J95" s="8" t="n"/>
      <c r="K95" s="8" t="n"/>
      <c r="L95" s="8" t="n"/>
      <c r="M95" s="8" t="n"/>
      <c r="N95" s="9">
        <f>IF(G95="Excluded","Excluded",IF(E95="Critical",IF(AND(G95="Monitored",OR(H95="Automated Continuous",H95="Hybrid")),"Compliant","Non-Compliant"),IF(E95="High",IF(G95="Monitored","Compliant",IF(G95="Partially Monitored","Partial","Non-Compliant")),IF(G95="Not Monitored","Non-Compliant","Compliant"))))</f>
        <v/>
      </c>
      <c r="O95" s="8" t="n"/>
      <c r="P95" s="8" t="n"/>
    </row>
    <row r="96">
      <c r="A96" s="8" t="n"/>
      <c r="B96" s="8" t="n"/>
      <c r="C96" s="8" t="n"/>
      <c r="D96" s="9">
        <f>IFERROR(VLOOKUP(C96,Lookup_Tables!$A$2:$B$44,2,FALSE),"")</f>
        <v/>
      </c>
      <c r="E96" s="8" t="n"/>
      <c r="F96" s="9">
        <f>IF(E96="Critical","Tier 1 - Critical Assets",IF(E96="High","Tier 2 - High Value Assets",IF(E96="Medium","Tier 3 - Standard Assets","Tier 4 - Low Risk Assets")))</f>
        <v/>
      </c>
      <c r="G96" s="8" t="n"/>
      <c r="H96" s="8" t="n"/>
      <c r="I96" s="8" t="n"/>
      <c r="J96" s="8" t="n"/>
      <c r="K96" s="8" t="n"/>
      <c r="L96" s="8" t="n"/>
      <c r="M96" s="8" t="n"/>
      <c r="N96" s="9">
        <f>IF(G96="Excluded","Excluded",IF(E96="Critical",IF(AND(G96="Monitored",OR(H96="Automated Continuous",H96="Hybrid")),"Compliant","Non-Compliant"),IF(E96="High",IF(G96="Monitored","Compliant",IF(G96="Partially Monitored","Partial","Non-Compliant")),IF(G96="Not Monitored","Non-Compliant","Compliant"))))</f>
        <v/>
      </c>
      <c r="O96" s="8" t="n"/>
      <c r="P96" s="8" t="n"/>
    </row>
    <row r="97">
      <c r="A97" s="8" t="n"/>
      <c r="B97" s="8" t="n"/>
      <c r="C97" s="8" t="n"/>
      <c r="D97" s="9">
        <f>IFERROR(VLOOKUP(C97,Lookup_Tables!$A$2:$B$44,2,FALSE),"")</f>
        <v/>
      </c>
      <c r="E97" s="8" t="n"/>
      <c r="F97" s="9">
        <f>IF(E97="Critical","Tier 1 - Critical Assets",IF(E97="High","Tier 2 - High Value Assets",IF(E97="Medium","Tier 3 - Standard Assets","Tier 4 - Low Risk Assets")))</f>
        <v/>
      </c>
      <c r="G97" s="8" t="n"/>
      <c r="H97" s="8" t="n"/>
      <c r="I97" s="8" t="n"/>
      <c r="J97" s="8" t="n"/>
      <c r="K97" s="8" t="n"/>
      <c r="L97" s="8" t="n"/>
      <c r="M97" s="8" t="n"/>
      <c r="N97" s="9">
        <f>IF(G97="Excluded","Excluded",IF(E97="Critical",IF(AND(G97="Monitored",OR(H97="Automated Continuous",H97="Hybrid")),"Compliant","Non-Compliant"),IF(E97="High",IF(G97="Monitored","Compliant",IF(G97="Partially Monitored","Partial","Non-Compliant")),IF(G97="Not Monitored","Non-Compliant","Compliant"))))</f>
        <v/>
      </c>
      <c r="O97" s="8" t="n"/>
      <c r="P97" s="8" t="n"/>
    </row>
    <row r="98">
      <c r="A98" s="8" t="n"/>
      <c r="B98" s="8" t="n"/>
      <c r="C98" s="8" t="n"/>
      <c r="D98" s="9">
        <f>IFERROR(VLOOKUP(C98,Lookup_Tables!$A$2:$B$44,2,FALSE),"")</f>
        <v/>
      </c>
      <c r="E98" s="8" t="n"/>
      <c r="F98" s="9">
        <f>IF(E98="Critical","Tier 1 - Critical Assets",IF(E98="High","Tier 2 - High Value Assets",IF(E98="Medium","Tier 3 - Standard Assets","Tier 4 - Low Risk Assets")))</f>
        <v/>
      </c>
      <c r="G98" s="8" t="n"/>
      <c r="H98" s="8" t="n"/>
      <c r="I98" s="8" t="n"/>
      <c r="J98" s="8" t="n"/>
      <c r="K98" s="8" t="n"/>
      <c r="L98" s="8" t="n"/>
      <c r="M98" s="8" t="n"/>
      <c r="N98" s="9">
        <f>IF(G98="Excluded","Excluded",IF(E98="Critical",IF(AND(G98="Monitored",OR(H98="Automated Continuous",H98="Hybrid")),"Compliant","Non-Compliant"),IF(E98="High",IF(G98="Monitored","Compliant",IF(G98="Partially Monitored","Partial","Non-Compliant")),IF(G98="Not Monitored","Non-Compliant","Compliant"))))</f>
        <v/>
      </c>
      <c r="O98" s="8" t="n"/>
      <c r="P98" s="8" t="n"/>
    </row>
    <row r="99">
      <c r="A99" s="8" t="n"/>
      <c r="B99" s="8" t="n"/>
      <c r="C99" s="8" t="n"/>
      <c r="D99" s="9">
        <f>IFERROR(VLOOKUP(C99,Lookup_Tables!$A$2:$B$44,2,FALSE),"")</f>
        <v/>
      </c>
      <c r="E99" s="8" t="n"/>
      <c r="F99" s="9">
        <f>IF(E99="Critical","Tier 1 - Critical Assets",IF(E99="High","Tier 2 - High Value Assets",IF(E99="Medium","Tier 3 - Standard Assets","Tier 4 - Low Risk Assets")))</f>
        <v/>
      </c>
      <c r="G99" s="8" t="n"/>
      <c r="H99" s="8" t="n"/>
      <c r="I99" s="8" t="n"/>
      <c r="J99" s="8" t="n"/>
      <c r="K99" s="8" t="n"/>
      <c r="L99" s="8" t="n"/>
      <c r="M99" s="8" t="n"/>
      <c r="N99" s="9">
        <f>IF(G99="Excluded","Excluded",IF(E99="Critical",IF(AND(G99="Monitored",OR(H99="Automated Continuous",H99="Hybrid")),"Compliant","Non-Compliant"),IF(E99="High",IF(G99="Monitored","Compliant",IF(G99="Partially Monitored","Partial","Non-Compliant")),IF(G99="Not Monitored","Non-Compliant","Compliant"))))</f>
        <v/>
      </c>
      <c r="O99" s="8" t="n"/>
      <c r="P99" s="8" t="n"/>
    </row>
    <row r="100">
      <c r="A100" s="8" t="n"/>
      <c r="B100" s="8" t="n"/>
      <c r="C100" s="8" t="n"/>
      <c r="D100" s="9">
        <f>IFERROR(VLOOKUP(C100,Lookup_Tables!$A$2:$B$44,2,FALSE),"")</f>
        <v/>
      </c>
      <c r="E100" s="8" t="n"/>
      <c r="F100" s="9">
        <f>IF(E100="Critical","Tier 1 - Critical Assets",IF(E100="High","Tier 2 - High Value Assets",IF(E100="Medium","Tier 3 - Standard Assets","Tier 4 - Low Risk Assets")))</f>
        <v/>
      </c>
      <c r="G100" s="8" t="n"/>
      <c r="H100" s="8" t="n"/>
      <c r="I100" s="8" t="n"/>
      <c r="J100" s="8" t="n"/>
      <c r="K100" s="8" t="n"/>
      <c r="L100" s="8" t="n"/>
      <c r="M100" s="8" t="n"/>
      <c r="N100" s="9">
        <f>IF(G100="Excluded","Excluded",IF(E100="Critical",IF(AND(G100="Monitored",OR(H100="Automated Continuous",H100="Hybrid")),"Compliant","Non-Compliant"),IF(E100="High",IF(G100="Monitored","Compliant",IF(G100="Partially Monitored","Partial","Non-Compliant")),IF(G100="Not Monitored","Non-Compliant","Compliant"))))</f>
        <v/>
      </c>
      <c r="O100" s="8" t="n"/>
      <c r="P100" s="8" t="n"/>
    </row>
    <row r="101">
      <c r="A101" s="8" t="n"/>
      <c r="B101" s="8" t="n"/>
      <c r="C101" s="8" t="n"/>
      <c r="D101" s="9">
        <f>IFERROR(VLOOKUP(C101,Lookup_Tables!$A$2:$B$44,2,FALSE),"")</f>
        <v/>
      </c>
      <c r="E101" s="8" t="n"/>
      <c r="F101" s="9">
        <f>IF(E101="Critical","Tier 1 - Critical Assets",IF(E101="High","Tier 2 - High Value Assets",IF(E101="Medium","Tier 3 - Standard Assets","Tier 4 - Low Risk Assets")))</f>
        <v/>
      </c>
      <c r="G101" s="8" t="n"/>
      <c r="H101" s="8" t="n"/>
      <c r="I101" s="8" t="n"/>
      <c r="J101" s="8" t="n"/>
      <c r="K101" s="8" t="n"/>
      <c r="L101" s="8" t="n"/>
      <c r="M101" s="8" t="n"/>
      <c r="N101" s="9">
        <f>IF(G101="Excluded","Excluded",IF(E101="Critical",IF(AND(G101="Monitored",OR(H101="Automated Continuous",H101="Hybrid")),"Compliant","Non-Compliant"),IF(E101="High",IF(G101="Monitored","Compliant",IF(G101="Partially Monitored","Partial","Non-Compliant")),IF(G101="Not Monitored","Non-Compliant","Compliant"))))</f>
        <v/>
      </c>
      <c r="O101" s="8" t="n"/>
      <c r="P101" s="8" t="n"/>
    </row>
    <row r="102">
      <c r="A102" s="8" t="n"/>
      <c r="B102" s="8" t="n"/>
      <c r="C102" s="8" t="n"/>
      <c r="D102" s="9">
        <f>IFERROR(VLOOKUP(C102,Lookup_Tables!$A$2:$B$44,2,FALSE),"")</f>
        <v/>
      </c>
      <c r="E102" s="8" t="n"/>
      <c r="F102" s="9">
        <f>IF(E102="Critical","Tier 1 - Critical Assets",IF(E102="High","Tier 2 - High Value Assets",IF(E102="Medium","Tier 3 - Standard Assets","Tier 4 - Low Risk Assets")))</f>
        <v/>
      </c>
      <c r="G102" s="8" t="n"/>
      <c r="H102" s="8" t="n"/>
      <c r="I102" s="8" t="n"/>
      <c r="J102" s="8" t="n"/>
      <c r="K102" s="8" t="n"/>
      <c r="L102" s="8" t="n"/>
      <c r="M102" s="8" t="n"/>
      <c r="N102" s="9">
        <f>IF(G102="Excluded","Excluded",IF(E102="Critical",IF(AND(G102="Monitored",OR(H102="Automated Continuous",H102="Hybrid")),"Compliant","Non-Compliant"),IF(E102="High",IF(G102="Monitored","Compliant",IF(G102="Partially Monitored","Partial","Non-Compliant")),IF(G102="Not Monitored","Non-Compliant","Compliant"))))</f>
        <v/>
      </c>
      <c r="O102" s="8" t="n"/>
      <c r="P102" s="8" t="n"/>
    </row>
  </sheetData>
  <mergeCells count="1">
    <mergeCell ref="A1:P1"/>
  </mergeCells>
  <conditionalFormatting sqref="E3:E10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3:G102">
    <cfRule type="cellIs" priority="5" operator="equal" dxfId="3">
      <formula>"Monitored"</formula>
    </cfRule>
    <cfRule type="cellIs" priority="6" operator="equal" dxfId="1">
      <formula>"Not Monitored"</formula>
    </cfRule>
  </conditionalFormatting>
  <conditionalFormatting sqref="N3:N102">
    <cfRule type="cellIs" priority="7" operator="equal" dxfId="4">
      <formula>"Compliant"</formula>
    </cfRule>
    <cfRule type="cellIs" priority="8" operator="equal" dxfId="5">
      <formula>"Non-Compliant"</formula>
    </cfRule>
  </conditionalFormatting>
  <dataValidations count="5">
    <dataValidation sqref="C3:C102" showDropDown="0" showInputMessage="0" showErrorMessage="0" allowBlank="1" type="list">
      <formula1>Lookup_Tables!$A$2:$A$44</formula1>
    </dataValidation>
    <dataValidation sqref="E3:E102" showDropDown="0" showInputMessage="0" showErrorMessage="0" allowBlank="0" errorTitle="Invalid Entry" error="Invalid entry" promptTitle="Selection Required" prompt="Please select from the dropdown" type="list">
      <formula1>"🔴 Critical,🟡 High,🟢 Medium,⭕ Low"</formula1>
    </dataValidation>
    <dataValidation sqref="G3:G102" showDropDown="0" showInputMessage="0" showErrorMessage="0" allowBlank="0" errorTitle="Invalid Entry" error="Invalid entry" promptTitle="Selection Required" prompt="Please select from the dropdown" type="list">
      <formula1>"✅ Monitored,⚠️ Partially Monitored,❌ Not Monitored,➖ Excluded"</formula1>
    </dataValidation>
    <dataValidation sqref="H3:H102" showDropDown="0" showInputMessage="0" showErrorMessage="0" allowBlank="0" errorTitle="Invalid Entry" error="Invalid entry" promptTitle="Selection Required" prompt="Please select from the dropdown" type="list">
      <formula1>"Automated Continuous,Scheduled Automated,Manual,Hybrid,None"</formula1>
    </dataValidation>
    <dataValidation sqref="J3:J102" showDropDown="0" showInputMessage="0" showErrorMessage="0" allowBlank="1" errorTitle="Invalid Entry" error="Invalid entry" promptTitle="Selection Required" prompt="Please select from the dropdown" type="list">
      <formula1>"Real-time (&lt;15 min),Hourly,Daily,Weekly,Monthly,Quarterly,Manual (on-demand)"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8" customWidth="1" min="3" max="3"/>
    <col width="25" customWidth="1" min="4" max="4"/>
    <col width="30" customWidth="1" min="5" max="5"/>
    <col width="25" customWidth="1" min="6" max="6"/>
    <col width="25" customWidth="1" min="7" max="7"/>
    <col width="15" customWidth="1" min="8" max="8"/>
    <col width="20" customWidth="1" min="9" max="9"/>
    <col width="25" customWidth="1" min="10" max="10"/>
    <col width="20" customWidth="1" min="11" max="11"/>
    <col width="25" customWidth="1" min="12" max="12"/>
    <col width="25" customWidth="1" min="13" max="13"/>
    <col width="35" customWidth="1" min="14" max="14"/>
    <col width="20" customWidth="1" min="15" max="15"/>
    <col width="12" customWidth="1" min="16" max="16"/>
    <col width="20" customWidth="1" min="17" max="17"/>
    <col width="15" customWidth="1" min="18" max="18"/>
    <col width="35" customWidth="1" min="19" max="19"/>
  </cols>
  <sheetData>
    <row r="1" ht="30" customHeight="1">
      <c r="A1" s="7" t="inlineStr">
        <is>
          <t>Configuration Drift Detection Log</t>
        </is>
      </c>
    </row>
    <row r="2" ht="30" customHeight="1">
      <c r="A2" s="6" t="inlineStr">
        <is>
          <t>Drift Incident ID</t>
        </is>
      </c>
      <c r="B2" s="6" t="inlineStr">
        <is>
          <t>Detection Date/Time</t>
        </is>
      </c>
      <c r="C2" s="6" t="inlineStr">
        <is>
          <t>Asset ID</t>
        </is>
      </c>
      <c r="D2" s="6" t="inlineStr">
        <is>
          <t>Asset Name</t>
        </is>
      </c>
      <c r="E2" s="6" t="inlineStr">
        <is>
          <t>Configuration Item</t>
        </is>
      </c>
      <c r="F2" s="6" t="inlineStr">
        <is>
          <t>Expected Value</t>
        </is>
      </c>
      <c r="G2" s="6" t="inlineStr">
        <is>
          <t>Actual Value</t>
        </is>
      </c>
      <c r="H2" s="6" t="inlineStr">
        <is>
          <t>Drift Category</t>
        </is>
      </c>
      <c r="I2" s="6" t="inlineStr">
        <is>
          <t>Detection Method</t>
        </is>
      </c>
      <c r="J2" s="6" t="inlineStr">
        <is>
          <t>Detecting Tool/System</t>
        </is>
      </c>
      <c r="K2" s="6" t="inlineStr">
        <is>
          <t>Authorized Change</t>
        </is>
      </c>
      <c r="L2" s="6" t="inlineStr">
        <is>
          <t>Change ID Reference</t>
        </is>
      </c>
      <c r="M2" s="6" t="inlineStr">
        <is>
          <t>Root Cause Category</t>
        </is>
      </c>
      <c r="N2" s="6" t="inlineStr">
        <is>
          <t>Root Cause Detail</t>
        </is>
      </c>
      <c r="O2" s="6" t="inlineStr">
        <is>
          <t>Drift Status</t>
        </is>
      </c>
      <c r="P2" s="6" t="inlineStr">
        <is>
          <t>Time to Detect (Hours)</t>
        </is>
      </c>
      <c r="Q2" s="6" t="inlineStr">
        <is>
          <t>Remediation Owner</t>
        </is>
      </c>
      <c r="R2" s="6" t="inlineStr">
        <is>
          <t>Priority</t>
        </is>
      </c>
      <c r="S2" s="6" t="inlineStr">
        <is>
          <t>Notes</t>
        </is>
      </c>
    </row>
    <row r="3">
      <c r="A3" s="8" t="n"/>
      <c r="B3" s="8" t="n"/>
      <c r="C3" s="8" t="n"/>
      <c r="D3" s="8" t="n"/>
      <c r="E3" s="8" t="n"/>
      <c r="F3" s="8" t="n"/>
      <c r="G3" s="8" t="n"/>
      <c r="H3" s="8" t="n"/>
      <c r="I3" s="8" t="n"/>
      <c r="J3" s="8" t="n"/>
      <c r="K3" s="8" t="n"/>
      <c r="L3" s="8" t="n"/>
      <c r="M3" s="8" t="n"/>
      <c r="N3" s="8" t="n"/>
      <c r="O3" s="8" t="n"/>
      <c r="P3" s="9">
        <f>IF(B3="","","")</f>
        <v/>
      </c>
      <c r="Q3" s="8" t="n"/>
      <c r="R3" s="9">
        <f>IF(H3="Critical","P1-Critical",IF(H3="High","P2-High",IF(H3="Medium","P3-Medium","P4-Low")))</f>
        <v/>
      </c>
      <c r="S3" s="8" t="n"/>
    </row>
    <row r="4">
      <c r="A4" s="8" t="n"/>
      <c r="B4" s="8" t="n"/>
      <c r="C4" s="8" t="n"/>
      <c r="D4" s="8" t="n"/>
      <c r="E4" s="8" t="n"/>
      <c r="F4" s="8" t="n"/>
      <c r="G4" s="8" t="n"/>
      <c r="H4" s="8" t="n"/>
      <c r="I4" s="8" t="n"/>
      <c r="J4" s="8" t="n"/>
      <c r="K4" s="8" t="n"/>
      <c r="L4" s="8" t="n"/>
      <c r="M4" s="8" t="n"/>
      <c r="N4" s="8" t="n"/>
      <c r="O4" s="8" t="n"/>
      <c r="P4" s="9">
        <f>IF(B4="","","")</f>
        <v/>
      </c>
      <c r="Q4" s="8" t="n"/>
      <c r="R4" s="9">
        <f>IF(H4="Critical","P1-Critical",IF(H4="High","P2-High",IF(H4="Medium","P3-Medium","P4-Low")))</f>
        <v/>
      </c>
      <c r="S4" s="8" t="n"/>
    </row>
    <row r="5">
      <c r="A5" s="8" t="n"/>
      <c r="B5" s="8" t="n"/>
      <c r="C5" s="8" t="n"/>
      <c r="D5" s="8" t="n"/>
      <c r="E5" s="8" t="n"/>
      <c r="F5" s="8" t="n"/>
      <c r="G5" s="8" t="n"/>
      <c r="H5" s="8" t="n"/>
      <c r="I5" s="8" t="n"/>
      <c r="J5" s="8" t="n"/>
      <c r="K5" s="8" t="n"/>
      <c r="L5" s="8" t="n"/>
      <c r="M5" s="8" t="n"/>
      <c r="N5" s="8" t="n"/>
      <c r="O5" s="8" t="n"/>
      <c r="P5" s="9">
        <f>IF(B5="","","")</f>
        <v/>
      </c>
      <c r="Q5" s="8" t="n"/>
      <c r="R5" s="9">
        <f>IF(H5="Critical","P1-Critical",IF(H5="High","P2-High",IF(H5="Medium","P3-Medium","P4-Low")))</f>
        <v/>
      </c>
      <c r="S5" s="8" t="n"/>
    </row>
    <row r="6">
      <c r="A6" s="8" t="n"/>
      <c r="B6" s="8" t="n"/>
      <c r="C6" s="8" t="n"/>
      <c r="D6" s="8" t="n"/>
      <c r="E6" s="8" t="n"/>
      <c r="F6" s="8" t="n"/>
      <c r="G6" s="8" t="n"/>
      <c r="H6" s="8" t="n"/>
      <c r="I6" s="8" t="n"/>
      <c r="J6" s="8" t="n"/>
      <c r="K6" s="8" t="n"/>
      <c r="L6" s="8" t="n"/>
      <c r="M6" s="8" t="n"/>
      <c r="N6" s="8" t="n"/>
      <c r="O6" s="8" t="n"/>
      <c r="P6" s="9">
        <f>IF(B6="","","")</f>
        <v/>
      </c>
      <c r="Q6" s="8" t="n"/>
      <c r="R6" s="9">
        <f>IF(H6="Critical","P1-Critical",IF(H6="High","P2-High",IF(H6="Medium","P3-Medium","P4-Low")))</f>
        <v/>
      </c>
      <c r="S6" s="8" t="n"/>
    </row>
    <row r="7">
      <c r="A7" s="8" t="n"/>
      <c r="B7" s="8" t="n"/>
      <c r="C7" s="8" t="n"/>
      <c r="D7" s="8" t="n"/>
      <c r="E7" s="8" t="n"/>
      <c r="F7" s="8" t="n"/>
      <c r="G7" s="8" t="n"/>
      <c r="H7" s="8" t="n"/>
      <c r="I7" s="8" t="n"/>
      <c r="J7" s="8" t="n"/>
      <c r="K7" s="8" t="n"/>
      <c r="L7" s="8" t="n"/>
      <c r="M7" s="8" t="n"/>
      <c r="N7" s="8" t="n"/>
      <c r="O7" s="8" t="n"/>
      <c r="P7" s="9">
        <f>IF(B7="","","")</f>
        <v/>
      </c>
      <c r="Q7" s="8" t="n"/>
      <c r="R7" s="9">
        <f>IF(H7="Critical","P1-Critical",IF(H7="High","P2-High",IF(H7="Medium","P3-Medium","P4-Low")))</f>
        <v/>
      </c>
      <c r="S7" s="8" t="n"/>
    </row>
    <row r="8">
      <c r="A8" s="8" t="n"/>
      <c r="B8" s="8" t="n"/>
      <c r="C8" s="8" t="n"/>
      <c r="D8" s="8" t="n"/>
      <c r="E8" s="8" t="n"/>
      <c r="F8" s="8" t="n"/>
      <c r="G8" s="8" t="n"/>
      <c r="H8" s="8" t="n"/>
      <c r="I8" s="8" t="n"/>
      <c r="J8" s="8" t="n"/>
      <c r="K8" s="8" t="n"/>
      <c r="L8" s="8" t="n"/>
      <c r="M8" s="8" t="n"/>
      <c r="N8" s="8" t="n"/>
      <c r="O8" s="8" t="n"/>
      <c r="P8" s="9">
        <f>IF(B8="","","")</f>
        <v/>
      </c>
      <c r="Q8" s="8" t="n"/>
      <c r="R8" s="9">
        <f>IF(H8="Critical","P1-Critical",IF(H8="High","P2-High",IF(H8="Medium","P3-Medium","P4-Low")))</f>
        <v/>
      </c>
      <c r="S8" s="8" t="n"/>
    </row>
    <row r="9">
      <c r="A9" s="8" t="n"/>
      <c r="B9" s="8" t="n"/>
      <c r="C9" s="8" t="n"/>
      <c r="D9" s="8" t="n"/>
      <c r="E9" s="8" t="n"/>
      <c r="F9" s="8" t="n"/>
      <c r="G9" s="8" t="n"/>
      <c r="H9" s="8" t="n"/>
      <c r="I9" s="8" t="n"/>
      <c r="J9" s="8" t="n"/>
      <c r="K9" s="8" t="n"/>
      <c r="L9" s="8" t="n"/>
      <c r="M9" s="8" t="n"/>
      <c r="N9" s="8" t="n"/>
      <c r="O9" s="8" t="n"/>
      <c r="P9" s="9">
        <f>IF(B9="","","")</f>
        <v/>
      </c>
      <c r="Q9" s="8" t="n"/>
      <c r="R9" s="9">
        <f>IF(H9="Critical","P1-Critical",IF(H9="High","P2-High",IF(H9="Medium","P3-Medium","P4-Low")))</f>
        <v/>
      </c>
      <c r="S9" s="8" t="n"/>
    </row>
    <row r="10">
      <c r="A10" s="8" t="n"/>
      <c r="B10" s="8" t="n"/>
      <c r="C10" s="8" t="n"/>
      <c r="D10" s="8" t="n"/>
      <c r="E10" s="8" t="n"/>
      <c r="F10" s="8" t="n"/>
      <c r="G10" s="8" t="n"/>
      <c r="H10" s="8" t="n"/>
      <c r="I10" s="8" t="n"/>
      <c r="J10" s="8" t="n"/>
      <c r="K10" s="8" t="n"/>
      <c r="L10" s="8" t="n"/>
      <c r="M10" s="8" t="n"/>
      <c r="N10" s="8" t="n"/>
      <c r="O10" s="8" t="n"/>
      <c r="P10" s="9">
        <f>IF(B10="","","")</f>
        <v/>
      </c>
      <c r="Q10" s="8" t="n"/>
      <c r="R10" s="9">
        <f>IF(H10="Critical","P1-Critical",IF(H10="High","P2-High",IF(H10="Medium","P3-Medium","P4-Low")))</f>
        <v/>
      </c>
      <c r="S10" s="8" t="n"/>
    </row>
    <row r="11">
      <c r="A11" s="8" t="n"/>
      <c r="B11" s="8" t="n"/>
      <c r="C11" s="8" t="n"/>
      <c r="D11" s="8" t="n"/>
      <c r="E11" s="8" t="n"/>
      <c r="F11" s="8" t="n"/>
      <c r="G11" s="8" t="n"/>
      <c r="H11" s="8" t="n"/>
      <c r="I11" s="8" t="n"/>
      <c r="J11" s="8" t="n"/>
      <c r="K11" s="8" t="n"/>
      <c r="L11" s="8" t="n"/>
      <c r="M11" s="8" t="n"/>
      <c r="N11" s="8" t="n"/>
      <c r="O11" s="8" t="n"/>
      <c r="P11" s="9">
        <f>IF(B11="","","")</f>
        <v/>
      </c>
      <c r="Q11" s="8" t="n"/>
      <c r="R11" s="9">
        <f>IF(H11="Critical","P1-Critical",IF(H11="High","P2-High",IF(H11="Medium","P3-Medium","P4-Low")))</f>
        <v/>
      </c>
      <c r="S11" s="8" t="n"/>
    </row>
    <row r="12">
      <c r="A12" s="8" t="n"/>
      <c r="B12" s="8" t="n"/>
      <c r="C12" s="8" t="n"/>
      <c r="D12" s="8" t="n"/>
      <c r="E12" s="8" t="n"/>
      <c r="F12" s="8" t="n"/>
      <c r="G12" s="8" t="n"/>
      <c r="H12" s="8" t="n"/>
      <c r="I12" s="8" t="n"/>
      <c r="J12" s="8" t="n"/>
      <c r="K12" s="8" t="n"/>
      <c r="L12" s="8" t="n"/>
      <c r="M12" s="8" t="n"/>
      <c r="N12" s="8" t="n"/>
      <c r="O12" s="8" t="n"/>
      <c r="P12" s="9">
        <f>IF(B12="","","")</f>
        <v/>
      </c>
      <c r="Q12" s="8" t="n"/>
      <c r="R12" s="9">
        <f>IF(H12="Critical","P1-Critical",IF(H12="High","P2-High",IF(H12="Medium","P3-Medium","P4-Low")))</f>
        <v/>
      </c>
      <c r="S12" s="8" t="n"/>
    </row>
    <row r="13">
      <c r="A13" s="8" t="n"/>
      <c r="B13" s="8" t="n"/>
      <c r="C13" s="8" t="n"/>
      <c r="D13" s="8" t="n"/>
      <c r="E13" s="8" t="n"/>
      <c r="F13" s="8" t="n"/>
      <c r="G13" s="8" t="n"/>
      <c r="H13" s="8" t="n"/>
      <c r="I13" s="8" t="n"/>
      <c r="J13" s="8" t="n"/>
      <c r="K13" s="8" t="n"/>
      <c r="L13" s="8" t="n"/>
      <c r="M13" s="8" t="n"/>
      <c r="N13" s="8" t="n"/>
      <c r="O13" s="8" t="n"/>
      <c r="P13" s="9">
        <f>IF(B13="","","")</f>
        <v/>
      </c>
      <c r="Q13" s="8" t="n"/>
      <c r="R13" s="9">
        <f>IF(H13="Critical","P1-Critical",IF(H13="High","P2-High",IF(H13="Medium","P3-Medium","P4-Low")))</f>
        <v/>
      </c>
      <c r="S13" s="8" t="n"/>
    </row>
    <row r="14">
      <c r="A14" s="8" t="n"/>
      <c r="B14" s="8" t="n"/>
      <c r="C14" s="8" t="n"/>
      <c r="D14" s="8" t="n"/>
      <c r="E14" s="8" t="n"/>
      <c r="F14" s="8" t="n"/>
      <c r="G14" s="8" t="n"/>
      <c r="H14" s="8" t="n"/>
      <c r="I14" s="8" t="n"/>
      <c r="J14" s="8" t="n"/>
      <c r="K14" s="8" t="n"/>
      <c r="L14" s="8" t="n"/>
      <c r="M14" s="8" t="n"/>
      <c r="N14" s="8" t="n"/>
      <c r="O14" s="8" t="n"/>
      <c r="P14" s="9">
        <f>IF(B14="","","")</f>
        <v/>
      </c>
      <c r="Q14" s="8" t="n"/>
      <c r="R14" s="9">
        <f>IF(H14="Critical","P1-Critical",IF(H14="High","P2-High",IF(H14="Medium","P3-Medium","P4-Low")))</f>
        <v/>
      </c>
      <c r="S14" s="8" t="n"/>
    </row>
    <row r="15">
      <c r="A15" s="8" t="n"/>
      <c r="B15" s="8" t="n"/>
      <c r="C15" s="8" t="n"/>
      <c r="D15" s="8" t="n"/>
      <c r="E15" s="8" t="n"/>
      <c r="F15" s="8" t="n"/>
      <c r="G15" s="8" t="n"/>
      <c r="H15" s="8" t="n"/>
      <c r="I15" s="8" t="n"/>
      <c r="J15" s="8" t="n"/>
      <c r="K15" s="8" t="n"/>
      <c r="L15" s="8" t="n"/>
      <c r="M15" s="8" t="n"/>
      <c r="N15" s="8" t="n"/>
      <c r="O15" s="8" t="n"/>
      <c r="P15" s="9">
        <f>IF(B15="","","")</f>
        <v/>
      </c>
      <c r="Q15" s="8" t="n"/>
      <c r="R15" s="9">
        <f>IF(H15="Critical","P1-Critical",IF(H15="High","P2-High",IF(H15="Medium","P3-Medium","P4-Low")))</f>
        <v/>
      </c>
      <c r="S15" s="8" t="n"/>
    </row>
    <row r="16">
      <c r="A16" s="8" t="n"/>
      <c r="B16" s="8" t="n"/>
      <c r="C16" s="8" t="n"/>
      <c r="D16" s="8" t="n"/>
      <c r="E16" s="8" t="n"/>
      <c r="F16" s="8" t="n"/>
      <c r="G16" s="8" t="n"/>
      <c r="H16" s="8" t="n"/>
      <c r="I16" s="8" t="n"/>
      <c r="J16" s="8" t="n"/>
      <c r="K16" s="8" t="n"/>
      <c r="L16" s="8" t="n"/>
      <c r="M16" s="8" t="n"/>
      <c r="N16" s="8" t="n"/>
      <c r="O16" s="8" t="n"/>
      <c r="P16" s="9">
        <f>IF(B16="","","")</f>
        <v/>
      </c>
      <c r="Q16" s="8" t="n"/>
      <c r="R16" s="9">
        <f>IF(H16="Critical","P1-Critical",IF(H16="High","P2-High",IF(H16="Medium","P3-Medium","P4-Low")))</f>
        <v/>
      </c>
      <c r="S16" s="8" t="n"/>
    </row>
    <row r="17">
      <c r="A17" s="8" t="n"/>
      <c r="B17" s="8" t="n"/>
      <c r="C17" s="8" t="n"/>
      <c r="D17" s="8" t="n"/>
      <c r="E17" s="8" t="n"/>
      <c r="F17" s="8" t="n"/>
      <c r="G17" s="8" t="n"/>
      <c r="H17" s="8" t="n"/>
      <c r="I17" s="8" t="n"/>
      <c r="J17" s="8" t="n"/>
      <c r="K17" s="8" t="n"/>
      <c r="L17" s="8" t="n"/>
      <c r="M17" s="8" t="n"/>
      <c r="N17" s="8" t="n"/>
      <c r="O17" s="8" t="n"/>
      <c r="P17" s="9">
        <f>IF(B17="","","")</f>
        <v/>
      </c>
      <c r="Q17" s="8" t="n"/>
      <c r="R17" s="9">
        <f>IF(H17="Critical","P1-Critical",IF(H17="High","P2-High",IF(H17="Medium","P3-Medium","P4-Low")))</f>
        <v/>
      </c>
      <c r="S17" s="8" t="n"/>
    </row>
    <row r="18">
      <c r="A18" s="8" t="n"/>
      <c r="B18" s="8" t="n"/>
      <c r="C18" s="8" t="n"/>
      <c r="D18" s="8" t="n"/>
      <c r="E18" s="8" t="n"/>
      <c r="F18" s="8" t="n"/>
      <c r="G18" s="8" t="n"/>
      <c r="H18" s="8" t="n"/>
      <c r="I18" s="8" t="n"/>
      <c r="J18" s="8" t="n"/>
      <c r="K18" s="8" t="n"/>
      <c r="L18" s="8" t="n"/>
      <c r="M18" s="8" t="n"/>
      <c r="N18" s="8" t="n"/>
      <c r="O18" s="8" t="n"/>
      <c r="P18" s="9">
        <f>IF(B18="","","")</f>
        <v/>
      </c>
      <c r="Q18" s="8" t="n"/>
      <c r="R18" s="9">
        <f>IF(H18="Critical","P1-Critical",IF(H18="High","P2-High",IF(H18="Medium","P3-Medium","P4-Low")))</f>
        <v/>
      </c>
      <c r="S18" s="8" t="n"/>
    </row>
    <row r="19">
      <c r="A19" s="8" t="n"/>
      <c r="B19" s="8" t="n"/>
      <c r="C19" s="8" t="n"/>
      <c r="D19" s="8" t="n"/>
      <c r="E19" s="8" t="n"/>
      <c r="F19" s="8" t="n"/>
      <c r="G19" s="8" t="n"/>
      <c r="H19" s="8" t="n"/>
      <c r="I19" s="8" t="n"/>
      <c r="J19" s="8" t="n"/>
      <c r="K19" s="8" t="n"/>
      <c r="L19" s="8" t="n"/>
      <c r="M19" s="8" t="n"/>
      <c r="N19" s="8" t="n"/>
      <c r="O19" s="8" t="n"/>
      <c r="P19" s="9">
        <f>IF(B19="","","")</f>
        <v/>
      </c>
      <c r="Q19" s="8" t="n"/>
      <c r="R19" s="9">
        <f>IF(H19="Critical","P1-Critical",IF(H19="High","P2-High",IF(H19="Medium","P3-Medium","P4-Low")))</f>
        <v/>
      </c>
      <c r="S19" s="8" t="n"/>
    </row>
    <row r="20">
      <c r="A20" s="8" t="n"/>
      <c r="B20" s="8" t="n"/>
      <c r="C20" s="8" t="n"/>
      <c r="D20" s="8" t="n"/>
      <c r="E20" s="8" t="n"/>
      <c r="F20" s="8" t="n"/>
      <c r="G20" s="8" t="n"/>
      <c r="H20" s="8" t="n"/>
      <c r="I20" s="8" t="n"/>
      <c r="J20" s="8" t="n"/>
      <c r="K20" s="8" t="n"/>
      <c r="L20" s="8" t="n"/>
      <c r="M20" s="8" t="n"/>
      <c r="N20" s="8" t="n"/>
      <c r="O20" s="8" t="n"/>
      <c r="P20" s="9">
        <f>IF(B20="","","")</f>
        <v/>
      </c>
      <c r="Q20" s="8" t="n"/>
      <c r="R20" s="9">
        <f>IF(H20="Critical","P1-Critical",IF(H20="High","P2-High",IF(H20="Medium","P3-Medium","P4-Low")))</f>
        <v/>
      </c>
      <c r="S20" s="8" t="n"/>
    </row>
    <row r="21">
      <c r="A21" s="8" t="n"/>
      <c r="B21" s="8" t="n"/>
      <c r="C21" s="8" t="n"/>
      <c r="D21" s="8" t="n"/>
      <c r="E21" s="8" t="n"/>
      <c r="F21" s="8" t="n"/>
      <c r="G21" s="8" t="n"/>
      <c r="H21" s="8" t="n"/>
      <c r="I21" s="8" t="n"/>
      <c r="J21" s="8" t="n"/>
      <c r="K21" s="8" t="n"/>
      <c r="L21" s="8" t="n"/>
      <c r="M21" s="8" t="n"/>
      <c r="N21" s="8" t="n"/>
      <c r="O21" s="8" t="n"/>
      <c r="P21" s="9">
        <f>IF(B21="","","")</f>
        <v/>
      </c>
      <c r="Q21" s="8" t="n"/>
      <c r="R21" s="9">
        <f>IF(H21="Critical","P1-Critical",IF(H21="High","P2-High",IF(H21="Medium","P3-Medium","P4-Low")))</f>
        <v/>
      </c>
      <c r="S21" s="8" t="n"/>
    </row>
    <row r="22">
      <c r="A22" s="8" t="n"/>
      <c r="B22" s="8" t="n"/>
      <c r="C22" s="8" t="n"/>
      <c r="D22" s="8" t="n"/>
      <c r="E22" s="8" t="n"/>
      <c r="F22" s="8" t="n"/>
      <c r="G22" s="8" t="n"/>
      <c r="H22" s="8" t="n"/>
      <c r="I22" s="8" t="n"/>
      <c r="J22" s="8" t="n"/>
      <c r="K22" s="8" t="n"/>
      <c r="L22" s="8" t="n"/>
      <c r="M22" s="8" t="n"/>
      <c r="N22" s="8" t="n"/>
      <c r="O22" s="8" t="n"/>
      <c r="P22" s="9">
        <f>IF(B22="","","")</f>
        <v/>
      </c>
      <c r="Q22" s="8" t="n"/>
      <c r="R22" s="9">
        <f>IF(H22="Critical","P1-Critical",IF(H22="High","P2-High",IF(H22="Medium","P3-Medium","P4-Low")))</f>
        <v/>
      </c>
      <c r="S22" s="8" t="n"/>
    </row>
    <row r="23">
      <c r="A23" s="8" t="n"/>
      <c r="B23" s="8" t="n"/>
      <c r="C23" s="8" t="n"/>
      <c r="D23" s="8" t="n"/>
      <c r="E23" s="8" t="n"/>
      <c r="F23" s="8" t="n"/>
      <c r="G23" s="8" t="n"/>
      <c r="H23" s="8" t="n"/>
      <c r="I23" s="8" t="n"/>
      <c r="J23" s="8" t="n"/>
      <c r="K23" s="8" t="n"/>
      <c r="L23" s="8" t="n"/>
      <c r="M23" s="8" t="n"/>
      <c r="N23" s="8" t="n"/>
      <c r="O23" s="8" t="n"/>
      <c r="P23" s="9">
        <f>IF(B23="","","")</f>
        <v/>
      </c>
      <c r="Q23" s="8" t="n"/>
      <c r="R23" s="9">
        <f>IF(H23="Critical","P1-Critical",IF(H23="High","P2-High",IF(H23="Medium","P3-Medium","P4-Low")))</f>
        <v/>
      </c>
      <c r="S23" s="8" t="n"/>
    </row>
    <row r="24">
      <c r="A24" s="8" t="n"/>
      <c r="B24" s="8" t="n"/>
      <c r="C24" s="8" t="n"/>
      <c r="D24" s="8" t="n"/>
      <c r="E24" s="8" t="n"/>
      <c r="F24" s="8" t="n"/>
      <c r="G24" s="8" t="n"/>
      <c r="H24" s="8" t="n"/>
      <c r="I24" s="8" t="n"/>
      <c r="J24" s="8" t="n"/>
      <c r="K24" s="8" t="n"/>
      <c r="L24" s="8" t="n"/>
      <c r="M24" s="8" t="n"/>
      <c r="N24" s="8" t="n"/>
      <c r="O24" s="8" t="n"/>
      <c r="P24" s="9">
        <f>IF(B24="","","")</f>
        <v/>
      </c>
      <c r="Q24" s="8" t="n"/>
      <c r="R24" s="9">
        <f>IF(H24="Critical","P1-Critical",IF(H24="High","P2-High",IF(H24="Medium","P3-Medium","P4-Low")))</f>
        <v/>
      </c>
      <c r="S24" s="8" t="n"/>
    </row>
    <row r="25">
      <c r="A25" s="8" t="n"/>
      <c r="B25" s="8" t="n"/>
      <c r="C25" s="8" t="n"/>
      <c r="D25" s="8" t="n"/>
      <c r="E25" s="8" t="n"/>
      <c r="F25" s="8" t="n"/>
      <c r="G25" s="8" t="n"/>
      <c r="H25" s="8" t="n"/>
      <c r="I25" s="8" t="n"/>
      <c r="J25" s="8" t="n"/>
      <c r="K25" s="8" t="n"/>
      <c r="L25" s="8" t="n"/>
      <c r="M25" s="8" t="n"/>
      <c r="N25" s="8" t="n"/>
      <c r="O25" s="8" t="n"/>
      <c r="P25" s="9">
        <f>IF(B25="","","")</f>
        <v/>
      </c>
      <c r="Q25" s="8" t="n"/>
      <c r="R25" s="9">
        <f>IF(H25="Critical","P1-Critical",IF(H25="High","P2-High",IF(H25="Medium","P3-Medium","P4-Low")))</f>
        <v/>
      </c>
      <c r="S25" s="8" t="n"/>
    </row>
    <row r="26">
      <c r="A26" s="8" t="n"/>
      <c r="B26" s="8" t="n"/>
      <c r="C26" s="8" t="n"/>
      <c r="D26" s="8" t="n"/>
      <c r="E26" s="8" t="n"/>
      <c r="F26" s="8" t="n"/>
      <c r="G26" s="8" t="n"/>
      <c r="H26" s="8" t="n"/>
      <c r="I26" s="8" t="n"/>
      <c r="J26" s="8" t="n"/>
      <c r="K26" s="8" t="n"/>
      <c r="L26" s="8" t="n"/>
      <c r="M26" s="8" t="n"/>
      <c r="N26" s="8" t="n"/>
      <c r="O26" s="8" t="n"/>
      <c r="P26" s="9">
        <f>IF(B26="","","")</f>
        <v/>
      </c>
      <c r="Q26" s="8" t="n"/>
      <c r="R26" s="9">
        <f>IF(H26="Critical","P1-Critical",IF(H26="High","P2-High",IF(H26="Medium","P3-Medium","P4-Low")))</f>
        <v/>
      </c>
      <c r="S26" s="8" t="n"/>
    </row>
    <row r="27">
      <c r="A27" s="8" t="n"/>
      <c r="B27" s="8" t="n"/>
      <c r="C27" s="8" t="n"/>
      <c r="D27" s="8" t="n"/>
      <c r="E27" s="8" t="n"/>
      <c r="F27" s="8" t="n"/>
      <c r="G27" s="8" t="n"/>
      <c r="H27" s="8" t="n"/>
      <c r="I27" s="8" t="n"/>
      <c r="J27" s="8" t="n"/>
      <c r="K27" s="8" t="n"/>
      <c r="L27" s="8" t="n"/>
      <c r="M27" s="8" t="n"/>
      <c r="N27" s="8" t="n"/>
      <c r="O27" s="8" t="n"/>
      <c r="P27" s="9">
        <f>IF(B27="","","")</f>
        <v/>
      </c>
      <c r="Q27" s="8" t="n"/>
      <c r="R27" s="9">
        <f>IF(H27="Critical","P1-Critical",IF(H27="High","P2-High",IF(H27="Medium","P3-Medium","P4-Low")))</f>
        <v/>
      </c>
      <c r="S27" s="8" t="n"/>
    </row>
    <row r="28">
      <c r="A28" s="8" t="n"/>
      <c r="B28" s="8" t="n"/>
      <c r="C28" s="8" t="n"/>
      <c r="D28" s="8" t="n"/>
      <c r="E28" s="8" t="n"/>
      <c r="F28" s="8" t="n"/>
      <c r="G28" s="8" t="n"/>
      <c r="H28" s="8" t="n"/>
      <c r="I28" s="8" t="n"/>
      <c r="J28" s="8" t="n"/>
      <c r="K28" s="8" t="n"/>
      <c r="L28" s="8" t="n"/>
      <c r="M28" s="8" t="n"/>
      <c r="N28" s="8" t="n"/>
      <c r="O28" s="8" t="n"/>
      <c r="P28" s="9">
        <f>IF(B28="","","")</f>
        <v/>
      </c>
      <c r="Q28" s="8" t="n"/>
      <c r="R28" s="9">
        <f>IF(H28="Critical","P1-Critical",IF(H28="High","P2-High",IF(H28="Medium","P3-Medium","P4-Low")))</f>
        <v/>
      </c>
      <c r="S28" s="8" t="n"/>
    </row>
    <row r="29">
      <c r="A29" s="8" t="n"/>
      <c r="B29" s="8" t="n"/>
      <c r="C29" s="8" t="n"/>
      <c r="D29" s="8" t="n"/>
      <c r="E29" s="8" t="n"/>
      <c r="F29" s="8" t="n"/>
      <c r="G29" s="8" t="n"/>
      <c r="H29" s="8" t="n"/>
      <c r="I29" s="8" t="n"/>
      <c r="J29" s="8" t="n"/>
      <c r="K29" s="8" t="n"/>
      <c r="L29" s="8" t="n"/>
      <c r="M29" s="8" t="n"/>
      <c r="N29" s="8" t="n"/>
      <c r="O29" s="8" t="n"/>
      <c r="P29" s="9">
        <f>IF(B29="","","")</f>
        <v/>
      </c>
      <c r="Q29" s="8" t="n"/>
      <c r="R29" s="9">
        <f>IF(H29="Critical","P1-Critical",IF(H29="High","P2-High",IF(H29="Medium","P3-Medium","P4-Low")))</f>
        <v/>
      </c>
      <c r="S29" s="8" t="n"/>
    </row>
    <row r="30">
      <c r="A30" s="8" t="n"/>
      <c r="B30" s="8" t="n"/>
      <c r="C30" s="8" t="n"/>
      <c r="D30" s="8" t="n"/>
      <c r="E30" s="8" t="n"/>
      <c r="F30" s="8" t="n"/>
      <c r="G30" s="8" t="n"/>
      <c r="H30" s="8" t="n"/>
      <c r="I30" s="8" t="n"/>
      <c r="J30" s="8" t="n"/>
      <c r="K30" s="8" t="n"/>
      <c r="L30" s="8" t="n"/>
      <c r="M30" s="8" t="n"/>
      <c r="N30" s="8" t="n"/>
      <c r="O30" s="8" t="n"/>
      <c r="P30" s="9">
        <f>IF(B30="","","")</f>
        <v/>
      </c>
      <c r="Q30" s="8" t="n"/>
      <c r="R30" s="9">
        <f>IF(H30="Critical","P1-Critical",IF(H30="High","P2-High",IF(H30="Medium","P3-Medium","P4-Low")))</f>
        <v/>
      </c>
      <c r="S30" s="8" t="n"/>
    </row>
    <row r="31">
      <c r="A31" s="8" t="n"/>
      <c r="B31" s="8" t="n"/>
      <c r="C31" s="8" t="n"/>
      <c r="D31" s="8" t="n"/>
      <c r="E31" s="8" t="n"/>
      <c r="F31" s="8" t="n"/>
      <c r="G31" s="8" t="n"/>
      <c r="H31" s="8" t="n"/>
      <c r="I31" s="8" t="n"/>
      <c r="J31" s="8" t="n"/>
      <c r="K31" s="8" t="n"/>
      <c r="L31" s="8" t="n"/>
      <c r="M31" s="8" t="n"/>
      <c r="N31" s="8" t="n"/>
      <c r="O31" s="8" t="n"/>
      <c r="P31" s="9">
        <f>IF(B31="","","")</f>
        <v/>
      </c>
      <c r="Q31" s="8" t="n"/>
      <c r="R31" s="9">
        <f>IF(H31="Critical","P1-Critical",IF(H31="High","P2-High",IF(H31="Medium","P3-Medium","P4-Low")))</f>
        <v/>
      </c>
      <c r="S31" s="8" t="n"/>
    </row>
    <row r="32">
      <c r="A32" s="8" t="n"/>
      <c r="B32" s="8" t="n"/>
      <c r="C32" s="8" t="n"/>
      <c r="D32" s="8" t="n"/>
      <c r="E32" s="8" t="n"/>
      <c r="F32" s="8" t="n"/>
      <c r="G32" s="8" t="n"/>
      <c r="H32" s="8" t="n"/>
      <c r="I32" s="8" t="n"/>
      <c r="J32" s="8" t="n"/>
      <c r="K32" s="8" t="n"/>
      <c r="L32" s="8" t="n"/>
      <c r="M32" s="8" t="n"/>
      <c r="N32" s="8" t="n"/>
      <c r="O32" s="8" t="n"/>
      <c r="P32" s="9">
        <f>IF(B32="","","")</f>
        <v/>
      </c>
      <c r="Q32" s="8" t="n"/>
      <c r="R32" s="9">
        <f>IF(H32="Critical","P1-Critical",IF(H32="High","P2-High",IF(H32="Medium","P3-Medium","P4-Low")))</f>
        <v/>
      </c>
      <c r="S32" s="8" t="n"/>
    </row>
    <row r="33">
      <c r="A33" s="8" t="n"/>
      <c r="B33" s="8" t="n"/>
      <c r="C33" s="8" t="n"/>
      <c r="D33" s="8" t="n"/>
      <c r="E33" s="8" t="n"/>
      <c r="F33" s="8" t="n"/>
      <c r="G33" s="8" t="n"/>
      <c r="H33" s="8" t="n"/>
      <c r="I33" s="8" t="n"/>
      <c r="J33" s="8" t="n"/>
      <c r="K33" s="8" t="n"/>
      <c r="L33" s="8" t="n"/>
      <c r="M33" s="8" t="n"/>
      <c r="N33" s="8" t="n"/>
      <c r="O33" s="8" t="n"/>
      <c r="P33" s="9">
        <f>IF(B33="","","")</f>
        <v/>
      </c>
      <c r="Q33" s="8" t="n"/>
      <c r="R33" s="9">
        <f>IF(H33="Critical","P1-Critical",IF(H33="High","P2-High",IF(H33="Medium","P3-Medium","P4-Low")))</f>
        <v/>
      </c>
      <c r="S33" s="8" t="n"/>
    </row>
    <row r="34">
      <c r="A34" s="8" t="n"/>
      <c r="B34" s="8" t="n"/>
      <c r="C34" s="8" t="n"/>
      <c r="D34" s="8" t="n"/>
      <c r="E34" s="8" t="n"/>
      <c r="F34" s="8" t="n"/>
      <c r="G34" s="8" t="n"/>
      <c r="H34" s="8" t="n"/>
      <c r="I34" s="8" t="n"/>
      <c r="J34" s="8" t="n"/>
      <c r="K34" s="8" t="n"/>
      <c r="L34" s="8" t="n"/>
      <c r="M34" s="8" t="n"/>
      <c r="N34" s="8" t="n"/>
      <c r="O34" s="8" t="n"/>
      <c r="P34" s="9">
        <f>IF(B34="","","")</f>
        <v/>
      </c>
      <c r="Q34" s="8" t="n"/>
      <c r="R34" s="9">
        <f>IF(H34="Critical","P1-Critical",IF(H34="High","P2-High",IF(H34="Medium","P3-Medium","P4-Low")))</f>
        <v/>
      </c>
      <c r="S34" s="8" t="n"/>
    </row>
    <row r="35">
      <c r="A35" s="8" t="n"/>
      <c r="B35" s="8" t="n"/>
      <c r="C35" s="8" t="n"/>
      <c r="D35" s="8" t="n"/>
      <c r="E35" s="8" t="n"/>
      <c r="F35" s="8" t="n"/>
      <c r="G35" s="8" t="n"/>
      <c r="H35" s="8" t="n"/>
      <c r="I35" s="8" t="n"/>
      <c r="J35" s="8" t="n"/>
      <c r="K35" s="8" t="n"/>
      <c r="L35" s="8" t="n"/>
      <c r="M35" s="8" t="n"/>
      <c r="N35" s="8" t="n"/>
      <c r="O35" s="8" t="n"/>
      <c r="P35" s="9">
        <f>IF(B35="","","")</f>
        <v/>
      </c>
      <c r="Q35" s="8" t="n"/>
      <c r="R35" s="9">
        <f>IF(H35="Critical","P1-Critical",IF(H35="High","P2-High",IF(H35="Medium","P3-Medium","P4-Low")))</f>
        <v/>
      </c>
      <c r="S35" s="8" t="n"/>
    </row>
    <row r="36">
      <c r="A36" s="8" t="n"/>
      <c r="B36" s="8" t="n"/>
      <c r="C36" s="8" t="n"/>
      <c r="D36" s="8" t="n"/>
      <c r="E36" s="8" t="n"/>
      <c r="F36" s="8" t="n"/>
      <c r="G36" s="8" t="n"/>
      <c r="H36" s="8" t="n"/>
      <c r="I36" s="8" t="n"/>
      <c r="J36" s="8" t="n"/>
      <c r="K36" s="8" t="n"/>
      <c r="L36" s="8" t="n"/>
      <c r="M36" s="8" t="n"/>
      <c r="N36" s="8" t="n"/>
      <c r="O36" s="8" t="n"/>
      <c r="P36" s="9">
        <f>IF(B36="","","")</f>
        <v/>
      </c>
      <c r="Q36" s="8" t="n"/>
      <c r="R36" s="9">
        <f>IF(H36="Critical","P1-Critical",IF(H36="High","P2-High",IF(H36="Medium","P3-Medium","P4-Low")))</f>
        <v/>
      </c>
      <c r="S36" s="8" t="n"/>
    </row>
    <row r="37">
      <c r="A37" s="8" t="n"/>
      <c r="B37" s="8" t="n"/>
      <c r="C37" s="8" t="n"/>
      <c r="D37" s="8" t="n"/>
      <c r="E37" s="8" t="n"/>
      <c r="F37" s="8" t="n"/>
      <c r="G37" s="8" t="n"/>
      <c r="H37" s="8" t="n"/>
      <c r="I37" s="8" t="n"/>
      <c r="J37" s="8" t="n"/>
      <c r="K37" s="8" t="n"/>
      <c r="L37" s="8" t="n"/>
      <c r="M37" s="8" t="n"/>
      <c r="N37" s="8" t="n"/>
      <c r="O37" s="8" t="n"/>
      <c r="P37" s="9">
        <f>IF(B37="","","")</f>
        <v/>
      </c>
      <c r="Q37" s="8" t="n"/>
      <c r="R37" s="9">
        <f>IF(H37="Critical","P1-Critical",IF(H37="High","P2-High",IF(H37="Medium","P3-Medium","P4-Low")))</f>
        <v/>
      </c>
      <c r="S37" s="8" t="n"/>
    </row>
    <row r="38">
      <c r="A38" s="8" t="n"/>
      <c r="B38" s="8" t="n"/>
      <c r="C38" s="8" t="n"/>
      <c r="D38" s="8" t="n"/>
      <c r="E38" s="8" t="n"/>
      <c r="F38" s="8" t="n"/>
      <c r="G38" s="8" t="n"/>
      <c r="H38" s="8" t="n"/>
      <c r="I38" s="8" t="n"/>
      <c r="J38" s="8" t="n"/>
      <c r="K38" s="8" t="n"/>
      <c r="L38" s="8" t="n"/>
      <c r="M38" s="8" t="n"/>
      <c r="N38" s="8" t="n"/>
      <c r="O38" s="8" t="n"/>
      <c r="P38" s="9">
        <f>IF(B38="","","")</f>
        <v/>
      </c>
      <c r="Q38" s="8" t="n"/>
      <c r="R38" s="9">
        <f>IF(H38="Critical","P1-Critical",IF(H38="High","P2-High",IF(H38="Medium","P3-Medium","P4-Low")))</f>
        <v/>
      </c>
      <c r="S38" s="8" t="n"/>
    </row>
    <row r="39">
      <c r="A39" s="8" t="n"/>
      <c r="B39" s="8" t="n"/>
      <c r="C39" s="8" t="n"/>
      <c r="D39" s="8" t="n"/>
      <c r="E39" s="8" t="n"/>
      <c r="F39" s="8" t="n"/>
      <c r="G39" s="8" t="n"/>
      <c r="H39" s="8" t="n"/>
      <c r="I39" s="8" t="n"/>
      <c r="J39" s="8" t="n"/>
      <c r="K39" s="8" t="n"/>
      <c r="L39" s="8" t="n"/>
      <c r="M39" s="8" t="n"/>
      <c r="N39" s="8" t="n"/>
      <c r="O39" s="8" t="n"/>
      <c r="P39" s="9">
        <f>IF(B39="","","")</f>
        <v/>
      </c>
      <c r="Q39" s="8" t="n"/>
      <c r="R39" s="9">
        <f>IF(H39="Critical","P1-Critical",IF(H39="High","P2-High",IF(H39="Medium","P3-Medium","P4-Low")))</f>
        <v/>
      </c>
      <c r="S39" s="8" t="n"/>
    </row>
    <row r="40">
      <c r="A40" s="8" t="n"/>
      <c r="B40" s="8" t="n"/>
      <c r="C40" s="8" t="n"/>
      <c r="D40" s="8" t="n"/>
      <c r="E40" s="8" t="n"/>
      <c r="F40" s="8" t="n"/>
      <c r="G40" s="8" t="n"/>
      <c r="H40" s="8" t="n"/>
      <c r="I40" s="8" t="n"/>
      <c r="J40" s="8" t="n"/>
      <c r="K40" s="8" t="n"/>
      <c r="L40" s="8" t="n"/>
      <c r="M40" s="8" t="n"/>
      <c r="N40" s="8" t="n"/>
      <c r="O40" s="8" t="n"/>
      <c r="P40" s="9">
        <f>IF(B40="","","")</f>
        <v/>
      </c>
      <c r="Q40" s="8" t="n"/>
      <c r="R40" s="9">
        <f>IF(H40="Critical","P1-Critical",IF(H40="High","P2-High",IF(H40="Medium","P3-Medium","P4-Low")))</f>
        <v/>
      </c>
      <c r="S40" s="8" t="n"/>
    </row>
    <row r="41">
      <c r="A41" s="8" t="n"/>
      <c r="B41" s="8" t="n"/>
      <c r="C41" s="8" t="n"/>
      <c r="D41" s="8" t="n"/>
      <c r="E41" s="8" t="n"/>
      <c r="F41" s="8" t="n"/>
      <c r="G41" s="8" t="n"/>
      <c r="H41" s="8" t="n"/>
      <c r="I41" s="8" t="n"/>
      <c r="J41" s="8" t="n"/>
      <c r="K41" s="8" t="n"/>
      <c r="L41" s="8" t="n"/>
      <c r="M41" s="8" t="n"/>
      <c r="N41" s="8" t="n"/>
      <c r="O41" s="8" t="n"/>
      <c r="P41" s="9">
        <f>IF(B41="","","")</f>
        <v/>
      </c>
      <c r="Q41" s="8" t="n"/>
      <c r="R41" s="9">
        <f>IF(H41="Critical","P1-Critical",IF(H41="High","P2-High",IF(H41="Medium","P3-Medium","P4-Low")))</f>
        <v/>
      </c>
      <c r="S41" s="8" t="n"/>
    </row>
    <row r="42">
      <c r="A42" s="8" t="n"/>
      <c r="B42" s="8" t="n"/>
      <c r="C42" s="8" t="n"/>
      <c r="D42" s="8" t="n"/>
      <c r="E42" s="8" t="n"/>
      <c r="F42" s="8" t="n"/>
      <c r="G42" s="8" t="n"/>
      <c r="H42" s="8" t="n"/>
      <c r="I42" s="8" t="n"/>
      <c r="J42" s="8" t="n"/>
      <c r="K42" s="8" t="n"/>
      <c r="L42" s="8" t="n"/>
      <c r="M42" s="8" t="n"/>
      <c r="N42" s="8" t="n"/>
      <c r="O42" s="8" t="n"/>
      <c r="P42" s="9">
        <f>IF(B42="","","")</f>
        <v/>
      </c>
      <c r="Q42" s="8" t="n"/>
      <c r="R42" s="9">
        <f>IF(H42="Critical","P1-Critical",IF(H42="High","P2-High",IF(H42="Medium","P3-Medium","P4-Low")))</f>
        <v/>
      </c>
      <c r="S42" s="8" t="n"/>
    </row>
    <row r="43">
      <c r="A43" s="8" t="n"/>
      <c r="B43" s="8" t="n"/>
      <c r="C43" s="8" t="n"/>
      <c r="D43" s="8" t="n"/>
      <c r="E43" s="8" t="n"/>
      <c r="F43" s="8" t="n"/>
      <c r="G43" s="8" t="n"/>
      <c r="H43" s="8" t="n"/>
      <c r="I43" s="8" t="n"/>
      <c r="J43" s="8" t="n"/>
      <c r="K43" s="8" t="n"/>
      <c r="L43" s="8" t="n"/>
      <c r="M43" s="8" t="n"/>
      <c r="N43" s="8" t="n"/>
      <c r="O43" s="8" t="n"/>
      <c r="P43" s="9">
        <f>IF(B43="","","")</f>
        <v/>
      </c>
      <c r="Q43" s="8" t="n"/>
      <c r="R43" s="9">
        <f>IF(H43="Critical","P1-Critical",IF(H43="High","P2-High",IF(H43="Medium","P3-Medium","P4-Low")))</f>
        <v/>
      </c>
      <c r="S43" s="8" t="n"/>
    </row>
    <row r="44">
      <c r="A44" s="8" t="n"/>
      <c r="B44" s="8" t="n"/>
      <c r="C44" s="8" t="n"/>
      <c r="D44" s="8" t="n"/>
      <c r="E44" s="8" t="n"/>
      <c r="F44" s="8" t="n"/>
      <c r="G44" s="8" t="n"/>
      <c r="H44" s="8" t="n"/>
      <c r="I44" s="8" t="n"/>
      <c r="J44" s="8" t="n"/>
      <c r="K44" s="8" t="n"/>
      <c r="L44" s="8" t="n"/>
      <c r="M44" s="8" t="n"/>
      <c r="N44" s="8" t="n"/>
      <c r="O44" s="8" t="n"/>
      <c r="P44" s="9">
        <f>IF(B44="","","")</f>
        <v/>
      </c>
      <c r="Q44" s="8" t="n"/>
      <c r="R44" s="9">
        <f>IF(H44="Critical","P1-Critical",IF(H44="High","P2-High",IF(H44="Medium","P3-Medium","P4-Low")))</f>
        <v/>
      </c>
      <c r="S44" s="8" t="n"/>
    </row>
    <row r="45">
      <c r="A45" s="8" t="n"/>
      <c r="B45" s="8" t="n"/>
      <c r="C45" s="8" t="n"/>
      <c r="D45" s="8" t="n"/>
      <c r="E45" s="8" t="n"/>
      <c r="F45" s="8" t="n"/>
      <c r="G45" s="8" t="n"/>
      <c r="H45" s="8" t="n"/>
      <c r="I45" s="8" t="n"/>
      <c r="J45" s="8" t="n"/>
      <c r="K45" s="8" t="n"/>
      <c r="L45" s="8" t="n"/>
      <c r="M45" s="8" t="n"/>
      <c r="N45" s="8" t="n"/>
      <c r="O45" s="8" t="n"/>
      <c r="P45" s="9">
        <f>IF(B45="","","")</f>
        <v/>
      </c>
      <c r="Q45" s="8" t="n"/>
      <c r="R45" s="9">
        <f>IF(H45="Critical","P1-Critical",IF(H45="High","P2-High",IF(H45="Medium","P3-Medium","P4-Low")))</f>
        <v/>
      </c>
      <c r="S45" s="8" t="n"/>
    </row>
    <row r="46">
      <c r="A46" s="8" t="n"/>
      <c r="B46" s="8" t="n"/>
      <c r="C46" s="8" t="n"/>
      <c r="D46" s="8" t="n"/>
      <c r="E46" s="8" t="n"/>
      <c r="F46" s="8" t="n"/>
      <c r="G46" s="8" t="n"/>
      <c r="H46" s="8" t="n"/>
      <c r="I46" s="8" t="n"/>
      <c r="J46" s="8" t="n"/>
      <c r="K46" s="8" t="n"/>
      <c r="L46" s="8" t="n"/>
      <c r="M46" s="8" t="n"/>
      <c r="N46" s="8" t="n"/>
      <c r="O46" s="8" t="n"/>
      <c r="P46" s="9">
        <f>IF(B46="","","")</f>
        <v/>
      </c>
      <c r="Q46" s="8" t="n"/>
      <c r="R46" s="9">
        <f>IF(H46="Critical","P1-Critical",IF(H46="High","P2-High",IF(H46="Medium","P3-Medium","P4-Low")))</f>
        <v/>
      </c>
      <c r="S46" s="8" t="n"/>
    </row>
    <row r="47">
      <c r="A47" s="8" t="n"/>
      <c r="B47" s="8" t="n"/>
      <c r="C47" s="8" t="n"/>
      <c r="D47" s="8" t="n"/>
      <c r="E47" s="8" t="n"/>
      <c r="F47" s="8" t="n"/>
      <c r="G47" s="8" t="n"/>
      <c r="H47" s="8" t="n"/>
      <c r="I47" s="8" t="n"/>
      <c r="J47" s="8" t="n"/>
      <c r="K47" s="8" t="n"/>
      <c r="L47" s="8" t="n"/>
      <c r="M47" s="8" t="n"/>
      <c r="N47" s="8" t="n"/>
      <c r="O47" s="8" t="n"/>
      <c r="P47" s="9">
        <f>IF(B47="","","")</f>
        <v/>
      </c>
      <c r="Q47" s="8" t="n"/>
      <c r="R47" s="9">
        <f>IF(H47="Critical","P1-Critical",IF(H47="High","P2-High",IF(H47="Medium","P3-Medium","P4-Low")))</f>
        <v/>
      </c>
      <c r="S47" s="8" t="n"/>
    </row>
    <row r="48">
      <c r="A48" s="8" t="n"/>
      <c r="B48" s="8" t="n"/>
      <c r="C48" s="8" t="n"/>
      <c r="D48" s="8" t="n"/>
      <c r="E48" s="8" t="n"/>
      <c r="F48" s="8" t="n"/>
      <c r="G48" s="8" t="n"/>
      <c r="H48" s="8" t="n"/>
      <c r="I48" s="8" t="n"/>
      <c r="J48" s="8" t="n"/>
      <c r="K48" s="8" t="n"/>
      <c r="L48" s="8" t="n"/>
      <c r="M48" s="8" t="n"/>
      <c r="N48" s="8" t="n"/>
      <c r="O48" s="8" t="n"/>
      <c r="P48" s="9">
        <f>IF(B48="","","")</f>
        <v/>
      </c>
      <c r="Q48" s="8" t="n"/>
      <c r="R48" s="9">
        <f>IF(H48="Critical","P1-Critical",IF(H48="High","P2-High",IF(H48="Medium","P3-Medium","P4-Low")))</f>
        <v/>
      </c>
      <c r="S48" s="8" t="n"/>
    </row>
    <row r="49">
      <c r="A49" s="8" t="n"/>
      <c r="B49" s="8" t="n"/>
      <c r="C49" s="8" t="n"/>
      <c r="D49" s="8" t="n"/>
      <c r="E49" s="8" t="n"/>
      <c r="F49" s="8" t="n"/>
      <c r="G49" s="8" t="n"/>
      <c r="H49" s="8" t="n"/>
      <c r="I49" s="8" t="n"/>
      <c r="J49" s="8" t="n"/>
      <c r="K49" s="8" t="n"/>
      <c r="L49" s="8" t="n"/>
      <c r="M49" s="8" t="n"/>
      <c r="N49" s="8" t="n"/>
      <c r="O49" s="8" t="n"/>
      <c r="P49" s="9">
        <f>IF(B49="","","")</f>
        <v/>
      </c>
      <c r="Q49" s="8" t="n"/>
      <c r="R49" s="9">
        <f>IF(H49="Critical","P1-Critical",IF(H49="High","P2-High",IF(H49="Medium","P3-Medium","P4-Low")))</f>
        <v/>
      </c>
      <c r="S49" s="8" t="n"/>
    </row>
    <row r="50">
      <c r="A50" s="8" t="n"/>
      <c r="B50" s="8" t="n"/>
      <c r="C50" s="8" t="n"/>
      <c r="D50" s="8" t="n"/>
      <c r="E50" s="8" t="n"/>
      <c r="F50" s="8" t="n"/>
      <c r="G50" s="8" t="n"/>
      <c r="H50" s="8" t="n"/>
      <c r="I50" s="8" t="n"/>
      <c r="J50" s="8" t="n"/>
      <c r="K50" s="8" t="n"/>
      <c r="L50" s="8" t="n"/>
      <c r="M50" s="8" t="n"/>
      <c r="N50" s="8" t="n"/>
      <c r="O50" s="8" t="n"/>
      <c r="P50" s="9">
        <f>IF(B50="","","")</f>
        <v/>
      </c>
      <c r="Q50" s="8" t="n"/>
      <c r="R50" s="9">
        <f>IF(H50="Critical","P1-Critical",IF(H50="High","P2-High",IF(H50="Medium","P3-Medium","P4-Low")))</f>
        <v/>
      </c>
      <c r="S50" s="8" t="n"/>
    </row>
    <row r="51">
      <c r="A51" s="8" t="n"/>
      <c r="B51" s="8" t="n"/>
      <c r="C51" s="8" t="n"/>
      <c r="D51" s="8" t="n"/>
      <c r="E51" s="8" t="n"/>
      <c r="F51" s="8" t="n"/>
      <c r="G51" s="8" t="n"/>
      <c r="H51" s="8" t="n"/>
      <c r="I51" s="8" t="n"/>
      <c r="J51" s="8" t="n"/>
      <c r="K51" s="8" t="n"/>
      <c r="L51" s="8" t="n"/>
      <c r="M51" s="8" t="n"/>
      <c r="N51" s="8" t="n"/>
      <c r="O51" s="8" t="n"/>
      <c r="P51" s="9">
        <f>IF(B51="","","")</f>
        <v/>
      </c>
      <c r="Q51" s="8" t="n"/>
      <c r="R51" s="9">
        <f>IF(H51="Critical","P1-Critical",IF(H51="High","P2-High",IF(H51="Medium","P3-Medium","P4-Low")))</f>
        <v/>
      </c>
      <c r="S51" s="8" t="n"/>
    </row>
    <row r="52">
      <c r="A52" s="8" t="n"/>
      <c r="B52" s="8" t="n"/>
      <c r="C52" s="8" t="n"/>
      <c r="D52" s="8" t="n"/>
      <c r="E52" s="8" t="n"/>
      <c r="F52" s="8" t="n"/>
      <c r="G52" s="8" t="n"/>
      <c r="H52" s="8" t="n"/>
      <c r="I52" s="8" t="n"/>
      <c r="J52" s="8" t="n"/>
      <c r="K52" s="8" t="n"/>
      <c r="L52" s="8" t="n"/>
      <c r="M52" s="8" t="n"/>
      <c r="N52" s="8" t="n"/>
      <c r="O52" s="8" t="n"/>
      <c r="P52" s="9">
        <f>IF(B52="","","")</f>
        <v/>
      </c>
      <c r="Q52" s="8" t="n"/>
      <c r="R52" s="9">
        <f>IF(H52="Critical","P1-Critical",IF(H52="High","P2-High",IF(H52="Medium","P3-Medium","P4-Low")))</f>
        <v/>
      </c>
      <c r="S52" s="8" t="n"/>
    </row>
    <row r="53">
      <c r="A53" s="8" t="n"/>
      <c r="B53" s="8" t="n"/>
      <c r="C53" s="8" t="n"/>
      <c r="D53" s="8" t="n"/>
      <c r="E53" s="8" t="n"/>
      <c r="F53" s="8" t="n"/>
      <c r="G53" s="8" t="n"/>
      <c r="H53" s="8" t="n"/>
      <c r="I53" s="8" t="n"/>
      <c r="J53" s="8" t="n"/>
      <c r="K53" s="8" t="n"/>
      <c r="L53" s="8" t="n"/>
      <c r="M53" s="8" t="n"/>
      <c r="N53" s="8" t="n"/>
      <c r="O53" s="8" t="n"/>
      <c r="P53" s="9">
        <f>IF(B53="","","")</f>
        <v/>
      </c>
      <c r="Q53" s="8" t="n"/>
      <c r="R53" s="9">
        <f>IF(H53="Critical","P1-Critical",IF(H53="High","P2-High",IF(H53="Medium","P3-Medium","P4-Low")))</f>
        <v/>
      </c>
      <c r="S53" s="8" t="n"/>
    </row>
    <row r="54">
      <c r="A54" s="8" t="n"/>
      <c r="B54" s="8" t="n"/>
      <c r="C54" s="8" t="n"/>
      <c r="D54" s="8" t="n"/>
      <c r="E54" s="8" t="n"/>
      <c r="F54" s="8" t="n"/>
      <c r="G54" s="8" t="n"/>
      <c r="H54" s="8" t="n"/>
      <c r="I54" s="8" t="n"/>
      <c r="J54" s="8" t="n"/>
      <c r="K54" s="8" t="n"/>
      <c r="L54" s="8" t="n"/>
      <c r="M54" s="8" t="n"/>
      <c r="N54" s="8" t="n"/>
      <c r="O54" s="8" t="n"/>
      <c r="P54" s="9">
        <f>IF(B54="","","")</f>
        <v/>
      </c>
      <c r="Q54" s="8" t="n"/>
      <c r="R54" s="9">
        <f>IF(H54="Critical","P1-Critical",IF(H54="High","P2-High",IF(H54="Medium","P3-Medium","P4-Low")))</f>
        <v/>
      </c>
      <c r="S54" s="8" t="n"/>
    </row>
    <row r="55">
      <c r="A55" s="8" t="n"/>
      <c r="B55" s="8" t="n"/>
      <c r="C55" s="8" t="n"/>
      <c r="D55" s="8" t="n"/>
      <c r="E55" s="8" t="n"/>
      <c r="F55" s="8" t="n"/>
      <c r="G55" s="8" t="n"/>
      <c r="H55" s="8" t="n"/>
      <c r="I55" s="8" t="n"/>
      <c r="J55" s="8" t="n"/>
      <c r="K55" s="8" t="n"/>
      <c r="L55" s="8" t="n"/>
      <c r="M55" s="8" t="n"/>
      <c r="N55" s="8" t="n"/>
      <c r="O55" s="8" t="n"/>
      <c r="P55" s="9">
        <f>IF(B55="","","")</f>
        <v/>
      </c>
      <c r="Q55" s="8" t="n"/>
      <c r="R55" s="9">
        <f>IF(H55="Critical","P1-Critical",IF(H55="High","P2-High",IF(H55="Medium","P3-Medium","P4-Low")))</f>
        <v/>
      </c>
      <c r="S55" s="8" t="n"/>
    </row>
    <row r="56">
      <c r="A56" s="8" t="n"/>
      <c r="B56" s="8" t="n"/>
      <c r="C56" s="8" t="n"/>
      <c r="D56" s="8" t="n"/>
      <c r="E56" s="8" t="n"/>
      <c r="F56" s="8" t="n"/>
      <c r="G56" s="8" t="n"/>
      <c r="H56" s="8" t="n"/>
      <c r="I56" s="8" t="n"/>
      <c r="J56" s="8" t="n"/>
      <c r="K56" s="8" t="n"/>
      <c r="L56" s="8" t="n"/>
      <c r="M56" s="8" t="n"/>
      <c r="N56" s="8" t="n"/>
      <c r="O56" s="8" t="n"/>
      <c r="P56" s="9">
        <f>IF(B56="","","")</f>
        <v/>
      </c>
      <c r="Q56" s="8" t="n"/>
      <c r="R56" s="9">
        <f>IF(H56="Critical","P1-Critical",IF(H56="High","P2-High",IF(H56="Medium","P3-Medium","P4-Low")))</f>
        <v/>
      </c>
      <c r="S56" s="8" t="n"/>
    </row>
    <row r="57">
      <c r="A57" s="8" t="n"/>
      <c r="B57" s="8" t="n"/>
      <c r="C57" s="8" t="n"/>
      <c r="D57" s="8" t="n"/>
      <c r="E57" s="8" t="n"/>
      <c r="F57" s="8" t="n"/>
      <c r="G57" s="8" t="n"/>
      <c r="H57" s="8" t="n"/>
      <c r="I57" s="8" t="n"/>
      <c r="J57" s="8" t="n"/>
      <c r="K57" s="8" t="n"/>
      <c r="L57" s="8" t="n"/>
      <c r="M57" s="8" t="n"/>
      <c r="N57" s="8" t="n"/>
      <c r="O57" s="8" t="n"/>
      <c r="P57" s="9">
        <f>IF(B57="","","")</f>
        <v/>
      </c>
      <c r="Q57" s="8" t="n"/>
      <c r="R57" s="9">
        <f>IF(H57="Critical","P1-Critical",IF(H57="High","P2-High",IF(H57="Medium","P3-Medium","P4-Low")))</f>
        <v/>
      </c>
      <c r="S57" s="8" t="n"/>
    </row>
    <row r="58">
      <c r="A58" s="8" t="n"/>
      <c r="B58" s="8" t="n"/>
      <c r="C58" s="8" t="n"/>
      <c r="D58" s="8" t="n"/>
      <c r="E58" s="8" t="n"/>
      <c r="F58" s="8" t="n"/>
      <c r="G58" s="8" t="n"/>
      <c r="H58" s="8" t="n"/>
      <c r="I58" s="8" t="n"/>
      <c r="J58" s="8" t="n"/>
      <c r="K58" s="8" t="n"/>
      <c r="L58" s="8" t="n"/>
      <c r="M58" s="8" t="n"/>
      <c r="N58" s="8" t="n"/>
      <c r="O58" s="8" t="n"/>
      <c r="P58" s="9">
        <f>IF(B58="","","")</f>
        <v/>
      </c>
      <c r="Q58" s="8" t="n"/>
      <c r="R58" s="9">
        <f>IF(H58="Critical","P1-Critical",IF(H58="High","P2-High",IF(H58="Medium","P3-Medium","P4-Low")))</f>
        <v/>
      </c>
      <c r="S58" s="8" t="n"/>
    </row>
    <row r="59">
      <c r="A59" s="8" t="n"/>
      <c r="B59" s="8" t="n"/>
      <c r="C59" s="8" t="n"/>
      <c r="D59" s="8" t="n"/>
      <c r="E59" s="8" t="n"/>
      <c r="F59" s="8" t="n"/>
      <c r="G59" s="8" t="n"/>
      <c r="H59" s="8" t="n"/>
      <c r="I59" s="8" t="n"/>
      <c r="J59" s="8" t="n"/>
      <c r="K59" s="8" t="n"/>
      <c r="L59" s="8" t="n"/>
      <c r="M59" s="8" t="n"/>
      <c r="N59" s="8" t="n"/>
      <c r="O59" s="8" t="n"/>
      <c r="P59" s="9">
        <f>IF(B59="","","")</f>
        <v/>
      </c>
      <c r="Q59" s="8" t="n"/>
      <c r="R59" s="9">
        <f>IF(H59="Critical","P1-Critical",IF(H59="High","P2-High",IF(H59="Medium","P3-Medium","P4-Low")))</f>
        <v/>
      </c>
      <c r="S59" s="8" t="n"/>
    </row>
    <row r="60">
      <c r="A60" s="8" t="n"/>
      <c r="B60" s="8" t="n"/>
      <c r="C60" s="8" t="n"/>
      <c r="D60" s="8" t="n"/>
      <c r="E60" s="8" t="n"/>
      <c r="F60" s="8" t="n"/>
      <c r="G60" s="8" t="n"/>
      <c r="H60" s="8" t="n"/>
      <c r="I60" s="8" t="n"/>
      <c r="J60" s="8" t="n"/>
      <c r="K60" s="8" t="n"/>
      <c r="L60" s="8" t="n"/>
      <c r="M60" s="8" t="n"/>
      <c r="N60" s="8" t="n"/>
      <c r="O60" s="8" t="n"/>
      <c r="P60" s="9">
        <f>IF(B60="","","")</f>
        <v/>
      </c>
      <c r="Q60" s="8" t="n"/>
      <c r="R60" s="9">
        <f>IF(H60="Critical","P1-Critical",IF(H60="High","P2-High",IF(H60="Medium","P3-Medium","P4-Low")))</f>
        <v/>
      </c>
      <c r="S60" s="8" t="n"/>
    </row>
    <row r="61">
      <c r="A61" s="8" t="n"/>
      <c r="B61" s="8" t="n"/>
      <c r="C61" s="8" t="n"/>
      <c r="D61" s="8" t="n"/>
      <c r="E61" s="8" t="n"/>
      <c r="F61" s="8" t="n"/>
      <c r="G61" s="8" t="n"/>
      <c r="H61" s="8" t="n"/>
      <c r="I61" s="8" t="n"/>
      <c r="J61" s="8" t="n"/>
      <c r="K61" s="8" t="n"/>
      <c r="L61" s="8" t="n"/>
      <c r="M61" s="8" t="n"/>
      <c r="N61" s="8" t="n"/>
      <c r="O61" s="8" t="n"/>
      <c r="P61" s="9">
        <f>IF(B61="","","")</f>
        <v/>
      </c>
      <c r="Q61" s="8" t="n"/>
      <c r="R61" s="9">
        <f>IF(H61="Critical","P1-Critical",IF(H61="High","P2-High",IF(H61="Medium","P3-Medium","P4-Low")))</f>
        <v/>
      </c>
      <c r="S61" s="8" t="n"/>
    </row>
    <row r="62">
      <c r="A62" s="8" t="n"/>
      <c r="B62" s="8" t="n"/>
      <c r="C62" s="8" t="n"/>
      <c r="D62" s="8" t="n"/>
      <c r="E62" s="8" t="n"/>
      <c r="F62" s="8" t="n"/>
      <c r="G62" s="8" t="n"/>
      <c r="H62" s="8" t="n"/>
      <c r="I62" s="8" t="n"/>
      <c r="J62" s="8" t="n"/>
      <c r="K62" s="8" t="n"/>
      <c r="L62" s="8" t="n"/>
      <c r="M62" s="8" t="n"/>
      <c r="N62" s="8" t="n"/>
      <c r="O62" s="8" t="n"/>
      <c r="P62" s="9">
        <f>IF(B62="","","")</f>
        <v/>
      </c>
      <c r="Q62" s="8" t="n"/>
      <c r="R62" s="9">
        <f>IF(H62="Critical","P1-Critical",IF(H62="High","P2-High",IF(H62="Medium","P3-Medium","P4-Low")))</f>
        <v/>
      </c>
      <c r="S62" s="8" t="n"/>
    </row>
    <row r="63">
      <c r="A63" s="8" t="n"/>
      <c r="B63" s="8" t="n"/>
      <c r="C63" s="8" t="n"/>
      <c r="D63" s="8" t="n"/>
      <c r="E63" s="8" t="n"/>
      <c r="F63" s="8" t="n"/>
      <c r="G63" s="8" t="n"/>
      <c r="H63" s="8" t="n"/>
      <c r="I63" s="8" t="n"/>
      <c r="J63" s="8" t="n"/>
      <c r="K63" s="8" t="n"/>
      <c r="L63" s="8" t="n"/>
      <c r="M63" s="8" t="n"/>
      <c r="N63" s="8" t="n"/>
      <c r="O63" s="8" t="n"/>
      <c r="P63" s="9">
        <f>IF(B63="","","")</f>
        <v/>
      </c>
      <c r="Q63" s="8" t="n"/>
      <c r="R63" s="9">
        <f>IF(H63="Critical","P1-Critical",IF(H63="High","P2-High",IF(H63="Medium","P3-Medium","P4-Low")))</f>
        <v/>
      </c>
      <c r="S63" s="8" t="n"/>
    </row>
    <row r="64">
      <c r="A64" s="8" t="n"/>
      <c r="B64" s="8" t="n"/>
      <c r="C64" s="8" t="n"/>
      <c r="D64" s="8" t="n"/>
      <c r="E64" s="8" t="n"/>
      <c r="F64" s="8" t="n"/>
      <c r="G64" s="8" t="n"/>
      <c r="H64" s="8" t="n"/>
      <c r="I64" s="8" t="n"/>
      <c r="J64" s="8" t="n"/>
      <c r="K64" s="8" t="n"/>
      <c r="L64" s="8" t="n"/>
      <c r="M64" s="8" t="n"/>
      <c r="N64" s="8" t="n"/>
      <c r="O64" s="8" t="n"/>
      <c r="P64" s="9">
        <f>IF(B64="","","")</f>
        <v/>
      </c>
      <c r="Q64" s="8" t="n"/>
      <c r="R64" s="9">
        <f>IF(H64="Critical","P1-Critical",IF(H64="High","P2-High",IF(H64="Medium","P3-Medium","P4-Low")))</f>
        <v/>
      </c>
      <c r="S64" s="8" t="n"/>
    </row>
    <row r="65">
      <c r="A65" s="8" t="n"/>
      <c r="B65" s="8" t="n"/>
      <c r="C65" s="8" t="n"/>
      <c r="D65" s="8" t="n"/>
      <c r="E65" s="8" t="n"/>
      <c r="F65" s="8" t="n"/>
      <c r="G65" s="8" t="n"/>
      <c r="H65" s="8" t="n"/>
      <c r="I65" s="8" t="n"/>
      <c r="J65" s="8" t="n"/>
      <c r="K65" s="8" t="n"/>
      <c r="L65" s="8" t="n"/>
      <c r="M65" s="8" t="n"/>
      <c r="N65" s="8" t="n"/>
      <c r="O65" s="8" t="n"/>
      <c r="P65" s="9">
        <f>IF(B65="","","")</f>
        <v/>
      </c>
      <c r="Q65" s="8" t="n"/>
      <c r="R65" s="9">
        <f>IF(H65="Critical","P1-Critical",IF(H65="High","P2-High",IF(H65="Medium","P3-Medium","P4-Low")))</f>
        <v/>
      </c>
      <c r="S65" s="8" t="n"/>
    </row>
    <row r="66">
      <c r="A66" s="8" t="n"/>
      <c r="B66" s="8" t="n"/>
      <c r="C66" s="8" t="n"/>
      <c r="D66" s="8" t="n"/>
      <c r="E66" s="8" t="n"/>
      <c r="F66" s="8" t="n"/>
      <c r="G66" s="8" t="n"/>
      <c r="H66" s="8" t="n"/>
      <c r="I66" s="8" t="n"/>
      <c r="J66" s="8" t="n"/>
      <c r="K66" s="8" t="n"/>
      <c r="L66" s="8" t="n"/>
      <c r="M66" s="8" t="n"/>
      <c r="N66" s="8" t="n"/>
      <c r="O66" s="8" t="n"/>
      <c r="P66" s="9">
        <f>IF(B66="","","")</f>
        <v/>
      </c>
      <c r="Q66" s="8" t="n"/>
      <c r="R66" s="9">
        <f>IF(H66="Critical","P1-Critical",IF(H66="High","P2-High",IF(H66="Medium","P3-Medium","P4-Low")))</f>
        <v/>
      </c>
      <c r="S66" s="8" t="n"/>
    </row>
    <row r="67">
      <c r="A67" s="8" t="n"/>
      <c r="B67" s="8" t="n"/>
      <c r="C67" s="8" t="n"/>
      <c r="D67" s="8" t="n"/>
      <c r="E67" s="8" t="n"/>
      <c r="F67" s="8" t="n"/>
      <c r="G67" s="8" t="n"/>
      <c r="H67" s="8" t="n"/>
      <c r="I67" s="8" t="n"/>
      <c r="J67" s="8" t="n"/>
      <c r="K67" s="8" t="n"/>
      <c r="L67" s="8" t="n"/>
      <c r="M67" s="8" t="n"/>
      <c r="N67" s="8" t="n"/>
      <c r="O67" s="8" t="n"/>
      <c r="P67" s="9">
        <f>IF(B67="","","")</f>
        <v/>
      </c>
      <c r="Q67" s="8" t="n"/>
      <c r="R67" s="9">
        <f>IF(H67="Critical","P1-Critical",IF(H67="High","P2-High",IF(H67="Medium","P3-Medium","P4-Low")))</f>
        <v/>
      </c>
      <c r="S67" s="8" t="n"/>
    </row>
    <row r="68">
      <c r="A68" s="8" t="n"/>
      <c r="B68" s="8" t="n"/>
      <c r="C68" s="8" t="n"/>
      <c r="D68" s="8" t="n"/>
      <c r="E68" s="8" t="n"/>
      <c r="F68" s="8" t="n"/>
      <c r="G68" s="8" t="n"/>
      <c r="H68" s="8" t="n"/>
      <c r="I68" s="8" t="n"/>
      <c r="J68" s="8" t="n"/>
      <c r="K68" s="8" t="n"/>
      <c r="L68" s="8" t="n"/>
      <c r="M68" s="8" t="n"/>
      <c r="N68" s="8" t="n"/>
      <c r="O68" s="8" t="n"/>
      <c r="P68" s="9">
        <f>IF(B68="","","")</f>
        <v/>
      </c>
      <c r="Q68" s="8" t="n"/>
      <c r="R68" s="9">
        <f>IF(H68="Critical","P1-Critical",IF(H68="High","P2-High",IF(H68="Medium","P3-Medium","P4-Low")))</f>
        <v/>
      </c>
      <c r="S68" s="8" t="n"/>
    </row>
    <row r="69">
      <c r="A69" s="8" t="n"/>
      <c r="B69" s="8" t="n"/>
      <c r="C69" s="8" t="n"/>
      <c r="D69" s="8" t="n"/>
      <c r="E69" s="8" t="n"/>
      <c r="F69" s="8" t="n"/>
      <c r="G69" s="8" t="n"/>
      <c r="H69" s="8" t="n"/>
      <c r="I69" s="8" t="n"/>
      <c r="J69" s="8" t="n"/>
      <c r="K69" s="8" t="n"/>
      <c r="L69" s="8" t="n"/>
      <c r="M69" s="8" t="n"/>
      <c r="N69" s="8" t="n"/>
      <c r="O69" s="8" t="n"/>
      <c r="P69" s="9">
        <f>IF(B69="","","")</f>
        <v/>
      </c>
      <c r="Q69" s="8" t="n"/>
      <c r="R69" s="9">
        <f>IF(H69="Critical","P1-Critical",IF(H69="High","P2-High",IF(H69="Medium","P3-Medium","P4-Low")))</f>
        <v/>
      </c>
      <c r="S69" s="8" t="n"/>
    </row>
    <row r="70">
      <c r="A70" s="8" t="n"/>
      <c r="B70" s="8" t="n"/>
      <c r="C70" s="8" t="n"/>
      <c r="D70" s="8" t="n"/>
      <c r="E70" s="8" t="n"/>
      <c r="F70" s="8" t="n"/>
      <c r="G70" s="8" t="n"/>
      <c r="H70" s="8" t="n"/>
      <c r="I70" s="8" t="n"/>
      <c r="J70" s="8" t="n"/>
      <c r="K70" s="8" t="n"/>
      <c r="L70" s="8" t="n"/>
      <c r="M70" s="8" t="n"/>
      <c r="N70" s="8" t="n"/>
      <c r="O70" s="8" t="n"/>
      <c r="P70" s="9">
        <f>IF(B70="","","")</f>
        <v/>
      </c>
      <c r="Q70" s="8" t="n"/>
      <c r="R70" s="9">
        <f>IF(H70="Critical","P1-Critical",IF(H70="High","P2-High",IF(H70="Medium","P3-Medium","P4-Low")))</f>
        <v/>
      </c>
      <c r="S70" s="8" t="n"/>
    </row>
    <row r="71">
      <c r="A71" s="8" t="n"/>
      <c r="B71" s="8" t="n"/>
      <c r="C71" s="8" t="n"/>
      <c r="D71" s="8" t="n"/>
      <c r="E71" s="8" t="n"/>
      <c r="F71" s="8" t="n"/>
      <c r="G71" s="8" t="n"/>
      <c r="H71" s="8" t="n"/>
      <c r="I71" s="8" t="n"/>
      <c r="J71" s="8" t="n"/>
      <c r="K71" s="8" t="n"/>
      <c r="L71" s="8" t="n"/>
      <c r="M71" s="8" t="n"/>
      <c r="N71" s="8" t="n"/>
      <c r="O71" s="8" t="n"/>
      <c r="P71" s="9">
        <f>IF(B71="","","")</f>
        <v/>
      </c>
      <c r="Q71" s="8" t="n"/>
      <c r="R71" s="9">
        <f>IF(H71="Critical","P1-Critical",IF(H71="High","P2-High",IF(H71="Medium","P3-Medium","P4-Low")))</f>
        <v/>
      </c>
      <c r="S71" s="8" t="n"/>
    </row>
    <row r="72">
      <c r="A72" s="8" t="n"/>
      <c r="B72" s="8" t="n"/>
      <c r="C72" s="8" t="n"/>
      <c r="D72" s="8" t="n"/>
      <c r="E72" s="8" t="n"/>
      <c r="F72" s="8" t="n"/>
      <c r="G72" s="8" t="n"/>
      <c r="H72" s="8" t="n"/>
      <c r="I72" s="8" t="n"/>
      <c r="J72" s="8" t="n"/>
      <c r="K72" s="8" t="n"/>
      <c r="L72" s="8" t="n"/>
      <c r="M72" s="8" t="n"/>
      <c r="N72" s="8" t="n"/>
      <c r="O72" s="8" t="n"/>
      <c r="P72" s="9">
        <f>IF(B72="","","")</f>
        <v/>
      </c>
      <c r="Q72" s="8" t="n"/>
      <c r="R72" s="9">
        <f>IF(H72="Critical","P1-Critical",IF(H72="High","P2-High",IF(H72="Medium","P3-Medium","P4-Low")))</f>
        <v/>
      </c>
      <c r="S72" s="8" t="n"/>
    </row>
    <row r="73">
      <c r="A73" s="8" t="n"/>
      <c r="B73" s="8" t="n"/>
      <c r="C73" s="8" t="n"/>
      <c r="D73" s="8" t="n"/>
      <c r="E73" s="8" t="n"/>
      <c r="F73" s="8" t="n"/>
      <c r="G73" s="8" t="n"/>
      <c r="H73" s="8" t="n"/>
      <c r="I73" s="8" t="n"/>
      <c r="J73" s="8" t="n"/>
      <c r="K73" s="8" t="n"/>
      <c r="L73" s="8" t="n"/>
      <c r="M73" s="8" t="n"/>
      <c r="N73" s="8" t="n"/>
      <c r="O73" s="8" t="n"/>
      <c r="P73" s="9">
        <f>IF(B73="","","")</f>
        <v/>
      </c>
      <c r="Q73" s="8" t="n"/>
      <c r="R73" s="9">
        <f>IF(H73="Critical","P1-Critical",IF(H73="High","P2-High",IF(H73="Medium","P3-Medium","P4-Low")))</f>
        <v/>
      </c>
      <c r="S73" s="8" t="n"/>
    </row>
    <row r="74">
      <c r="A74" s="8" t="n"/>
      <c r="B74" s="8" t="n"/>
      <c r="C74" s="8" t="n"/>
      <c r="D74" s="8" t="n"/>
      <c r="E74" s="8" t="n"/>
      <c r="F74" s="8" t="n"/>
      <c r="G74" s="8" t="n"/>
      <c r="H74" s="8" t="n"/>
      <c r="I74" s="8" t="n"/>
      <c r="J74" s="8" t="n"/>
      <c r="K74" s="8" t="n"/>
      <c r="L74" s="8" t="n"/>
      <c r="M74" s="8" t="n"/>
      <c r="N74" s="8" t="n"/>
      <c r="O74" s="8" t="n"/>
      <c r="P74" s="9">
        <f>IF(B74="","","")</f>
        <v/>
      </c>
      <c r="Q74" s="8" t="n"/>
      <c r="R74" s="9">
        <f>IF(H74="Critical","P1-Critical",IF(H74="High","P2-High",IF(H74="Medium","P3-Medium","P4-Low")))</f>
        <v/>
      </c>
      <c r="S74" s="8" t="n"/>
    </row>
    <row r="75">
      <c r="A75" s="8" t="n"/>
      <c r="B75" s="8" t="n"/>
      <c r="C75" s="8" t="n"/>
      <c r="D75" s="8" t="n"/>
      <c r="E75" s="8" t="n"/>
      <c r="F75" s="8" t="n"/>
      <c r="G75" s="8" t="n"/>
      <c r="H75" s="8" t="n"/>
      <c r="I75" s="8" t="n"/>
      <c r="J75" s="8" t="n"/>
      <c r="K75" s="8" t="n"/>
      <c r="L75" s="8" t="n"/>
      <c r="M75" s="8" t="n"/>
      <c r="N75" s="8" t="n"/>
      <c r="O75" s="8" t="n"/>
      <c r="P75" s="9">
        <f>IF(B75="","","")</f>
        <v/>
      </c>
      <c r="Q75" s="8" t="n"/>
      <c r="R75" s="9">
        <f>IF(H75="Critical","P1-Critical",IF(H75="High","P2-High",IF(H75="Medium","P3-Medium","P4-Low")))</f>
        <v/>
      </c>
      <c r="S75" s="8" t="n"/>
    </row>
    <row r="76">
      <c r="A76" s="8" t="n"/>
      <c r="B76" s="8" t="n"/>
      <c r="C76" s="8" t="n"/>
      <c r="D76" s="8" t="n"/>
      <c r="E76" s="8" t="n"/>
      <c r="F76" s="8" t="n"/>
      <c r="G76" s="8" t="n"/>
      <c r="H76" s="8" t="n"/>
      <c r="I76" s="8" t="n"/>
      <c r="J76" s="8" t="n"/>
      <c r="K76" s="8" t="n"/>
      <c r="L76" s="8" t="n"/>
      <c r="M76" s="8" t="n"/>
      <c r="N76" s="8" t="n"/>
      <c r="O76" s="8" t="n"/>
      <c r="P76" s="9">
        <f>IF(B76="","","")</f>
        <v/>
      </c>
      <c r="Q76" s="8" t="n"/>
      <c r="R76" s="9">
        <f>IF(H76="Critical","P1-Critical",IF(H76="High","P2-High",IF(H76="Medium","P3-Medium","P4-Low")))</f>
        <v/>
      </c>
      <c r="S76" s="8" t="n"/>
    </row>
    <row r="77">
      <c r="A77" s="8" t="n"/>
      <c r="B77" s="8" t="n"/>
      <c r="C77" s="8" t="n"/>
      <c r="D77" s="8" t="n"/>
      <c r="E77" s="8" t="n"/>
      <c r="F77" s="8" t="n"/>
      <c r="G77" s="8" t="n"/>
      <c r="H77" s="8" t="n"/>
      <c r="I77" s="8" t="n"/>
      <c r="J77" s="8" t="n"/>
      <c r="K77" s="8" t="n"/>
      <c r="L77" s="8" t="n"/>
      <c r="M77" s="8" t="n"/>
      <c r="N77" s="8" t="n"/>
      <c r="O77" s="8" t="n"/>
      <c r="P77" s="9">
        <f>IF(B77="","","")</f>
        <v/>
      </c>
      <c r="Q77" s="8" t="n"/>
      <c r="R77" s="9">
        <f>IF(H77="Critical","P1-Critical",IF(H77="High","P2-High",IF(H77="Medium","P3-Medium","P4-Low")))</f>
        <v/>
      </c>
      <c r="S77" s="8" t="n"/>
    </row>
    <row r="78">
      <c r="A78" s="8" t="n"/>
      <c r="B78" s="8" t="n"/>
      <c r="C78" s="8" t="n"/>
      <c r="D78" s="8" t="n"/>
      <c r="E78" s="8" t="n"/>
      <c r="F78" s="8" t="n"/>
      <c r="G78" s="8" t="n"/>
      <c r="H78" s="8" t="n"/>
      <c r="I78" s="8" t="n"/>
      <c r="J78" s="8" t="n"/>
      <c r="K78" s="8" t="n"/>
      <c r="L78" s="8" t="n"/>
      <c r="M78" s="8" t="n"/>
      <c r="N78" s="8" t="n"/>
      <c r="O78" s="8" t="n"/>
      <c r="P78" s="9">
        <f>IF(B78="","","")</f>
        <v/>
      </c>
      <c r="Q78" s="8" t="n"/>
      <c r="R78" s="9">
        <f>IF(H78="Critical","P1-Critical",IF(H78="High","P2-High",IF(H78="Medium","P3-Medium","P4-Low")))</f>
        <v/>
      </c>
      <c r="S78" s="8" t="n"/>
    </row>
    <row r="79">
      <c r="A79" s="8" t="n"/>
      <c r="B79" s="8" t="n"/>
      <c r="C79" s="8" t="n"/>
      <c r="D79" s="8" t="n"/>
      <c r="E79" s="8" t="n"/>
      <c r="F79" s="8" t="n"/>
      <c r="G79" s="8" t="n"/>
      <c r="H79" s="8" t="n"/>
      <c r="I79" s="8" t="n"/>
      <c r="J79" s="8" t="n"/>
      <c r="K79" s="8" t="n"/>
      <c r="L79" s="8" t="n"/>
      <c r="M79" s="8" t="n"/>
      <c r="N79" s="8" t="n"/>
      <c r="O79" s="8" t="n"/>
      <c r="P79" s="9">
        <f>IF(B79="","","")</f>
        <v/>
      </c>
      <c r="Q79" s="8" t="n"/>
      <c r="R79" s="9">
        <f>IF(H79="Critical","P1-Critical",IF(H79="High","P2-High",IF(H79="Medium","P3-Medium","P4-Low")))</f>
        <v/>
      </c>
      <c r="S79" s="8" t="n"/>
    </row>
    <row r="80">
      <c r="A80" s="8" t="n"/>
      <c r="B80" s="8" t="n"/>
      <c r="C80" s="8" t="n"/>
      <c r="D80" s="8" t="n"/>
      <c r="E80" s="8" t="n"/>
      <c r="F80" s="8" t="n"/>
      <c r="G80" s="8" t="n"/>
      <c r="H80" s="8" t="n"/>
      <c r="I80" s="8" t="n"/>
      <c r="J80" s="8" t="n"/>
      <c r="K80" s="8" t="n"/>
      <c r="L80" s="8" t="n"/>
      <c r="M80" s="8" t="n"/>
      <c r="N80" s="8" t="n"/>
      <c r="O80" s="8" t="n"/>
      <c r="P80" s="9">
        <f>IF(B80="","","")</f>
        <v/>
      </c>
      <c r="Q80" s="8" t="n"/>
      <c r="R80" s="9">
        <f>IF(H80="Critical","P1-Critical",IF(H80="High","P2-High",IF(H80="Medium","P3-Medium","P4-Low")))</f>
        <v/>
      </c>
      <c r="S80" s="8" t="n"/>
    </row>
    <row r="81">
      <c r="A81" s="8" t="n"/>
      <c r="B81" s="8" t="n"/>
      <c r="C81" s="8" t="n"/>
      <c r="D81" s="8" t="n"/>
      <c r="E81" s="8" t="n"/>
      <c r="F81" s="8" t="n"/>
      <c r="G81" s="8" t="n"/>
      <c r="H81" s="8" t="n"/>
      <c r="I81" s="8" t="n"/>
      <c r="J81" s="8" t="n"/>
      <c r="K81" s="8" t="n"/>
      <c r="L81" s="8" t="n"/>
      <c r="M81" s="8" t="n"/>
      <c r="N81" s="8" t="n"/>
      <c r="O81" s="8" t="n"/>
      <c r="P81" s="9">
        <f>IF(B81="","","")</f>
        <v/>
      </c>
      <c r="Q81" s="8" t="n"/>
      <c r="R81" s="9">
        <f>IF(H81="Critical","P1-Critical",IF(H81="High","P2-High",IF(H81="Medium","P3-Medium","P4-Low")))</f>
        <v/>
      </c>
      <c r="S81" s="8" t="n"/>
    </row>
    <row r="82">
      <c r="A82" s="8" t="n"/>
      <c r="B82" s="8" t="n"/>
      <c r="C82" s="8" t="n"/>
      <c r="D82" s="8" t="n"/>
      <c r="E82" s="8" t="n"/>
      <c r="F82" s="8" t="n"/>
      <c r="G82" s="8" t="n"/>
      <c r="H82" s="8" t="n"/>
      <c r="I82" s="8" t="n"/>
      <c r="J82" s="8" t="n"/>
      <c r="K82" s="8" t="n"/>
      <c r="L82" s="8" t="n"/>
      <c r="M82" s="8" t="n"/>
      <c r="N82" s="8" t="n"/>
      <c r="O82" s="8" t="n"/>
      <c r="P82" s="9">
        <f>IF(B82="","","")</f>
        <v/>
      </c>
      <c r="Q82" s="8" t="n"/>
      <c r="R82" s="9">
        <f>IF(H82="Critical","P1-Critical",IF(H82="High","P2-High",IF(H82="Medium","P3-Medium","P4-Low")))</f>
        <v/>
      </c>
      <c r="S82" s="8" t="n"/>
    </row>
    <row r="83">
      <c r="A83" s="8" t="n"/>
      <c r="B83" s="8" t="n"/>
      <c r="C83" s="8" t="n"/>
      <c r="D83" s="8" t="n"/>
      <c r="E83" s="8" t="n"/>
      <c r="F83" s="8" t="n"/>
      <c r="G83" s="8" t="n"/>
      <c r="H83" s="8" t="n"/>
      <c r="I83" s="8" t="n"/>
      <c r="J83" s="8" t="n"/>
      <c r="K83" s="8" t="n"/>
      <c r="L83" s="8" t="n"/>
      <c r="M83" s="8" t="n"/>
      <c r="N83" s="8" t="n"/>
      <c r="O83" s="8" t="n"/>
      <c r="P83" s="9">
        <f>IF(B83="","","")</f>
        <v/>
      </c>
      <c r="Q83" s="8" t="n"/>
      <c r="R83" s="9">
        <f>IF(H83="Critical","P1-Critical",IF(H83="High","P2-High",IF(H83="Medium","P3-Medium","P4-Low")))</f>
        <v/>
      </c>
      <c r="S83" s="8" t="n"/>
    </row>
    <row r="84">
      <c r="A84" s="8" t="n"/>
      <c r="B84" s="8" t="n"/>
      <c r="C84" s="8" t="n"/>
      <c r="D84" s="8" t="n"/>
      <c r="E84" s="8" t="n"/>
      <c r="F84" s="8" t="n"/>
      <c r="G84" s="8" t="n"/>
      <c r="H84" s="8" t="n"/>
      <c r="I84" s="8" t="n"/>
      <c r="J84" s="8" t="n"/>
      <c r="K84" s="8" t="n"/>
      <c r="L84" s="8" t="n"/>
      <c r="M84" s="8" t="n"/>
      <c r="N84" s="8" t="n"/>
      <c r="O84" s="8" t="n"/>
      <c r="P84" s="9">
        <f>IF(B84="","","")</f>
        <v/>
      </c>
      <c r="Q84" s="8" t="n"/>
      <c r="R84" s="9">
        <f>IF(H84="Critical","P1-Critical",IF(H84="High","P2-High",IF(H84="Medium","P3-Medium","P4-Low")))</f>
        <v/>
      </c>
      <c r="S84" s="8" t="n"/>
    </row>
    <row r="85">
      <c r="A85" s="8" t="n"/>
      <c r="B85" s="8" t="n"/>
      <c r="C85" s="8" t="n"/>
      <c r="D85" s="8" t="n"/>
      <c r="E85" s="8" t="n"/>
      <c r="F85" s="8" t="n"/>
      <c r="G85" s="8" t="n"/>
      <c r="H85" s="8" t="n"/>
      <c r="I85" s="8" t="n"/>
      <c r="J85" s="8" t="n"/>
      <c r="K85" s="8" t="n"/>
      <c r="L85" s="8" t="n"/>
      <c r="M85" s="8" t="n"/>
      <c r="N85" s="8" t="n"/>
      <c r="O85" s="8" t="n"/>
      <c r="P85" s="9">
        <f>IF(B85="","","")</f>
        <v/>
      </c>
      <c r="Q85" s="8" t="n"/>
      <c r="R85" s="9">
        <f>IF(H85="Critical","P1-Critical",IF(H85="High","P2-High",IF(H85="Medium","P3-Medium","P4-Low")))</f>
        <v/>
      </c>
      <c r="S85" s="8" t="n"/>
    </row>
    <row r="86">
      <c r="A86" s="8" t="n"/>
      <c r="B86" s="8" t="n"/>
      <c r="C86" s="8" t="n"/>
      <c r="D86" s="8" t="n"/>
      <c r="E86" s="8" t="n"/>
      <c r="F86" s="8" t="n"/>
      <c r="G86" s="8" t="n"/>
      <c r="H86" s="8" t="n"/>
      <c r="I86" s="8" t="n"/>
      <c r="J86" s="8" t="n"/>
      <c r="K86" s="8" t="n"/>
      <c r="L86" s="8" t="n"/>
      <c r="M86" s="8" t="n"/>
      <c r="N86" s="8" t="n"/>
      <c r="O86" s="8" t="n"/>
      <c r="P86" s="9">
        <f>IF(B86="","","")</f>
        <v/>
      </c>
      <c r="Q86" s="8" t="n"/>
      <c r="R86" s="9">
        <f>IF(H86="Critical","P1-Critical",IF(H86="High","P2-High",IF(H86="Medium","P3-Medium","P4-Low")))</f>
        <v/>
      </c>
      <c r="S86" s="8" t="n"/>
    </row>
    <row r="87">
      <c r="A87" s="8" t="n"/>
      <c r="B87" s="8" t="n"/>
      <c r="C87" s="8" t="n"/>
      <c r="D87" s="8" t="n"/>
      <c r="E87" s="8" t="n"/>
      <c r="F87" s="8" t="n"/>
      <c r="G87" s="8" t="n"/>
      <c r="H87" s="8" t="n"/>
      <c r="I87" s="8" t="n"/>
      <c r="J87" s="8" t="n"/>
      <c r="K87" s="8" t="n"/>
      <c r="L87" s="8" t="n"/>
      <c r="M87" s="8" t="n"/>
      <c r="N87" s="8" t="n"/>
      <c r="O87" s="8" t="n"/>
      <c r="P87" s="9">
        <f>IF(B87="","","")</f>
        <v/>
      </c>
      <c r="Q87" s="8" t="n"/>
      <c r="R87" s="9">
        <f>IF(H87="Critical","P1-Critical",IF(H87="High","P2-High",IF(H87="Medium","P3-Medium","P4-Low")))</f>
        <v/>
      </c>
      <c r="S87" s="8" t="n"/>
    </row>
    <row r="88">
      <c r="A88" s="8" t="n"/>
      <c r="B88" s="8" t="n"/>
      <c r="C88" s="8" t="n"/>
      <c r="D88" s="8" t="n"/>
      <c r="E88" s="8" t="n"/>
      <c r="F88" s="8" t="n"/>
      <c r="G88" s="8" t="n"/>
      <c r="H88" s="8" t="n"/>
      <c r="I88" s="8" t="n"/>
      <c r="J88" s="8" t="n"/>
      <c r="K88" s="8" t="n"/>
      <c r="L88" s="8" t="n"/>
      <c r="M88" s="8" t="n"/>
      <c r="N88" s="8" t="n"/>
      <c r="O88" s="8" t="n"/>
      <c r="P88" s="9">
        <f>IF(B88="","","")</f>
        <v/>
      </c>
      <c r="Q88" s="8" t="n"/>
      <c r="R88" s="9">
        <f>IF(H88="Critical","P1-Critical",IF(H88="High","P2-High",IF(H88="Medium","P3-Medium","P4-Low")))</f>
        <v/>
      </c>
      <c r="S88" s="8" t="n"/>
    </row>
    <row r="89">
      <c r="A89" s="8" t="n"/>
      <c r="B89" s="8" t="n"/>
      <c r="C89" s="8" t="n"/>
      <c r="D89" s="8" t="n"/>
      <c r="E89" s="8" t="n"/>
      <c r="F89" s="8" t="n"/>
      <c r="G89" s="8" t="n"/>
      <c r="H89" s="8" t="n"/>
      <c r="I89" s="8" t="n"/>
      <c r="J89" s="8" t="n"/>
      <c r="K89" s="8" t="n"/>
      <c r="L89" s="8" t="n"/>
      <c r="M89" s="8" t="n"/>
      <c r="N89" s="8" t="n"/>
      <c r="O89" s="8" t="n"/>
      <c r="P89" s="9">
        <f>IF(B89="","","")</f>
        <v/>
      </c>
      <c r="Q89" s="8" t="n"/>
      <c r="R89" s="9">
        <f>IF(H89="Critical","P1-Critical",IF(H89="High","P2-High",IF(H89="Medium","P3-Medium","P4-Low")))</f>
        <v/>
      </c>
      <c r="S89" s="8" t="n"/>
    </row>
    <row r="90">
      <c r="A90" s="8" t="n"/>
      <c r="B90" s="8" t="n"/>
      <c r="C90" s="8" t="n"/>
      <c r="D90" s="8" t="n"/>
      <c r="E90" s="8" t="n"/>
      <c r="F90" s="8" t="n"/>
      <c r="G90" s="8" t="n"/>
      <c r="H90" s="8" t="n"/>
      <c r="I90" s="8" t="n"/>
      <c r="J90" s="8" t="n"/>
      <c r="K90" s="8" t="n"/>
      <c r="L90" s="8" t="n"/>
      <c r="M90" s="8" t="n"/>
      <c r="N90" s="8" t="n"/>
      <c r="O90" s="8" t="n"/>
      <c r="P90" s="9">
        <f>IF(B90="","","")</f>
        <v/>
      </c>
      <c r="Q90" s="8" t="n"/>
      <c r="R90" s="9">
        <f>IF(H90="Critical","P1-Critical",IF(H90="High","P2-High",IF(H90="Medium","P3-Medium","P4-Low")))</f>
        <v/>
      </c>
      <c r="S90" s="8" t="n"/>
    </row>
    <row r="91">
      <c r="A91" s="8" t="n"/>
      <c r="B91" s="8" t="n"/>
      <c r="C91" s="8" t="n"/>
      <c r="D91" s="8" t="n"/>
      <c r="E91" s="8" t="n"/>
      <c r="F91" s="8" t="n"/>
      <c r="G91" s="8" t="n"/>
      <c r="H91" s="8" t="n"/>
      <c r="I91" s="8" t="n"/>
      <c r="J91" s="8" t="n"/>
      <c r="K91" s="8" t="n"/>
      <c r="L91" s="8" t="n"/>
      <c r="M91" s="8" t="n"/>
      <c r="N91" s="8" t="n"/>
      <c r="O91" s="8" t="n"/>
      <c r="P91" s="9">
        <f>IF(B91="","","")</f>
        <v/>
      </c>
      <c r="Q91" s="8" t="n"/>
      <c r="R91" s="9">
        <f>IF(H91="Critical","P1-Critical",IF(H91="High","P2-High",IF(H91="Medium","P3-Medium","P4-Low")))</f>
        <v/>
      </c>
      <c r="S91" s="8" t="n"/>
    </row>
    <row r="92">
      <c r="A92" s="8" t="n"/>
      <c r="B92" s="8" t="n"/>
      <c r="C92" s="8" t="n"/>
      <c r="D92" s="8" t="n"/>
      <c r="E92" s="8" t="n"/>
      <c r="F92" s="8" t="n"/>
      <c r="G92" s="8" t="n"/>
      <c r="H92" s="8" t="n"/>
      <c r="I92" s="8" t="n"/>
      <c r="J92" s="8" t="n"/>
      <c r="K92" s="8" t="n"/>
      <c r="L92" s="8" t="n"/>
      <c r="M92" s="8" t="n"/>
      <c r="N92" s="8" t="n"/>
      <c r="O92" s="8" t="n"/>
      <c r="P92" s="9">
        <f>IF(B92="","","")</f>
        <v/>
      </c>
      <c r="Q92" s="8" t="n"/>
      <c r="R92" s="9">
        <f>IF(H92="Critical","P1-Critical",IF(H92="High","P2-High",IF(H92="Medium","P3-Medium","P4-Low")))</f>
        <v/>
      </c>
      <c r="S92" s="8" t="n"/>
    </row>
    <row r="93">
      <c r="A93" s="8" t="n"/>
      <c r="B93" s="8" t="n"/>
      <c r="C93" s="8" t="n"/>
      <c r="D93" s="8" t="n"/>
      <c r="E93" s="8" t="n"/>
      <c r="F93" s="8" t="n"/>
      <c r="G93" s="8" t="n"/>
      <c r="H93" s="8" t="n"/>
      <c r="I93" s="8" t="n"/>
      <c r="J93" s="8" t="n"/>
      <c r="K93" s="8" t="n"/>
      <c r="L93" s="8" t="n"/>
      <c r="M93" s="8" t="n"/>
      <c r="N93" s="8" t="n"/>
      <c r="O93" s="8" t="n"/>
      <c r="P93" s="9">
        <f>IF(B93="","","")</f>
        <v/>
      </c>
      <c r="Q93" s="8" t="n"/>
      <c r="R93" s="9">
        <f>IF(H93="Critical","P1-Critical",IF(H93="High","P2-High",IF(H93="Medium","P3-Medium","P4-Low")))</f>
        <v/>
      </c>
      <c r="S93" s="8" t="n"/>
    </row>
    <row r="94">
      <c r="A94" s="8" t="n"/>
      <c r="B94" s="8" t="n"/>
      <c r="C94" s="8" t="n"/>
      <c r="D94" s="8" t="n"/>
      <c r="E94" s="8" t="n"/>
      <c r="F94" s="8" t="n"/>
      <c r="G94" s="8" t="n"/>
      <c r="H94" s="8" t="n"/>
      <c r="I94" s="8" t="n"/>
      <c r="J94" s="8" t="n"/>
      <c r="K94" s="8" t="n"/>
      <c r="L94" s="8" t="n"/>
      <c r="M94" s="8" t="n"/>
      <c r="N94" s="8" t="n"/>
      <c r="O94" s="8" t="n"/>
      <c r="P94" s="9">
        <f>IF(B94="","","")</f>
        <v/>
      </c>
      <c r="Q94" s="8" t="n"/>
      <c r="R94" s="9">
        <f>IF(H94="Critical","P1-Critical",IF(H94="High","P2-High",IF(H94="Medium","P3-Medium","P4-Low")))</f>
        <v/>
      </c>
      <c r="S94" s="8" t="n"/>
    </row>
    <row r="95">
      <c r="A95" s="8" t="n"/>
      <c r="B95" s="8" t="n"/>
      <c r="C95" s="8" t="n"/>
      <c r="D95" s="8" t="n"/>
      <c r="E95" s="8" t="n"/>
      <c r="F95" s="8" t="n"/>
      <c r="G95" s="8" t="n"/>
      <c r="H95" s="8" t="n"/>
      <c r="I95" s="8" t="n"/>
      <c r="J95" s="8" t="n"/>
      <c r="K95" s="8" t="n"/>
      <c r="L95" s="8" t="n"/>
      <c r="M95" s="8" t="n"/>
      <c r="N95" s="8" t="n"/>
      <c r="O95" s="8" t="n"/>
      <c r="P95" s="9">
        <f>IF(B95="","","")</f>
        <v/>
      </c>
      <c r="Q95" s="8" t="n"/>
      <c r="R95" s="9">
        <f>IF(H95="Critical","P1-Critical",IF(H95="High","P2-High",IF(H95="Medium","P3-Medium","P4-Low")))</f>
        <v/>
      </c>
      <c r="S95" s="8" t="n"/>
    </row>
    <row r="96">
      <c r="A96" s="8" t="n"/>
      <c r="B96" s="8" t="n"/>
      <c r="C96" s="8" t="n"/>
      <c r="D96" s="8" t="n"/>
      <c r="E96" s="8" t="n"/>
      <c r="F96" s="8" t="n"/>
      <c r="G96" s="8" t="n"/>
      <c r="H96" s="8" t="n"/>
      <c r="I96" s="8" t="n"/>
      <c r="J96" s="8" t="n"/>
      <c r="K96" s="8" t="n"/>
      <c r="L96" s="8" t="n"/>
      <c r="M96" s="8" t="n"/>
      <c r="N96" s="8" t="n"/>
      <c r="O96" s="8" t="n"/>
      <c r="P96" s="9">
        <f>IF(B96="","","")</f>
        <v/>
      </c>
      <c r="Q96" s="8" t="n"/>
      <c r="R96" s="9">
        <f>IF(H96="Critical","P1-Critical",IF(H96="High","P2-High",IF(H96="Medium","P3-Medium","P4-Low")))</f>
        <v/>
      </c>
      <c r="S96" s="8" t="n"/>
    </row>
    <row r="97">
      <c r="A97" s="8" t="n"/>
      <c r="B97" s="8" t="n"/>
      <c r="C97" s="8" t="n"/>
      <c r="D97" s="8" t="n"/>
      <c r="E97" s="8" t="n"/>
      <c r="F97" s="8" t="n"/>
      <c r="G97" s="8" t="n"/>
      <c r="H97" s="8" t="n"/>
      <c r="I97" s="8" t="n"/>
      <c r="J97" s="8" t="n"/>
      <c r="K97" s="8" t="n"/>
      <c r="L97" s="8" t="n"/>
      <c r="M97" s="8" t="n"/>
      <c r="N97" s="8" t="n"/>
      <c r="O97" s="8" t="n"/>
      <c r="P97" s="9">
        <f>IF(B97="","","")</f>
        <v/>
      </c>
      <c r="Q97" s="8" t="n"/>
      <c r="R97" s="9">
        <f>IF(H97="Critical","P1-Critical",IF(H97="High","P2-High",IF(H97="Medium","P3-Medium","P4-Low")))</f>
        <v/>
      </c>
      <c r="S97" s="8" t="n"/>
    </row>
    <row r="98">
      <c r="A98" s="8" t="n"/>
      <c r="B98" s="8" t="n"/>
      <c r="C98" s="8" t="n"/>
      <c r="D98" s="8" t="n"/>
      <c r="E98" s="8" t="n"/>
      <c r="F98" s="8" t="n"/>
      <c r="G98" s="8" t="n"/>
      <c r="H98" s="8" t="n"/>
      <c r="I98" s="8" t="n"/>
      <c r="J98" s="8" t="n"/>
      <c r="K98" s="8" t="n"/>
      <c r="L98" s="8" t="n"/>
      <c r="M98" s="8" t="n"/>
      <c r="N98" s="8" t="n"/>
      <c r="O98" s="8" t="n"/>
      <c r="P98" s="9">
        <f>IF(B98="","","")</f>
        <v/>
      </c>
      <c r="Q98" s="8" t="n"/>
      <c r="R98" s="9">
        <f>IF(H98="Critical","P1-Critical",IF(H98="High","P2-High",IF(H98="Medium","P3-Medium","P4-Low")))</f>
        <v/>
      </c>
      <c r="S98" s="8" t="n"/>
    </row>
    <row r="99">
      <c r="A99" s="8" t="n"/>
      <c r="B99" s="8" t="n"/>
      <c r="C99" s="8" t="n"/>
      <c r="D99" s="8" t="n"/>
      <c r="E99" s="8" t="n"/>
      <c r="F99" s="8" t="n"/>
      <c r="G99" s="8" t="n"/>
      <c r="H99" s="8" t="n"/>
      <c r="I99" s="8" t="n"/>
      <c r="J99" s="8" t="n"/>
      <c r="K99" s="8" t="n"/>
      <c r="L99" s="8" t="n"/>
      <c r="M99" s="8" t="n"/>
      <c r="N99" s="8" t="n"/>
      <c r="O99" s="8" t="n"/>
      <c r="P99" s="9">
        <f>IF(B99="","","")</f>
        <v/>
      </c>
      <c r="Q99" s="8" t="n"/>
      <c r="R99" s="9">
        <f>IF(H99="Critical","P1-Critical",IF(H99="High","P2-High",IF(H99="Medium","P3-Medium","P4-Low")))</f>
        <v/>
      </c>
      <c r="S99" s="8" t="n"/>
    </row>
    <row r="100">
      <c r="A100" s="8" t="n"/>
      <c r="B100" s="8" t="n"/>
      <c r="C100" s="8" t="n"/>
      <c r="D100" s="8" t="n"/>
      <c r="E100" s="8" t="n"/>
      <c r="F100" s="8" t="n"/>
      <c r="G100" s="8" t="n"/>
      <c r="H100" s="8" t="n"/>
      <c r="I100" s="8" t="n"/>
      <c r="J100" s="8" t="n"/>
      <c r="K100" s="8" t="n"/>
      <c r="L100" s="8" t="n"/>
      <c r="M100" s="8" t="n"/>
      <c r="N100" s="8" t="n"/>
      <c r="O100" s="8" t="n"/>
      <c r="P100" s="9">
        <f>IF(B100="","","")</f>
        <v/>
      </c>
      <c r="Q100" s="8" t="n"/>
      <c r="R100" s="9">
        <f>IF(H100="Critical","P1-Critical",IF(H100="High","P2-High",IF(H100="Medium","P3-Medium","P4-Low")))</f>
        <v/>
      </c>
      <c r="S100" s="8" t="n"/>
    </row>
    <row r="101">
      <c r="A101" s="8" t="n"/>
      <c r="B101" s="8" t="n"/>
      <c r="C101" s="8" t="n"/>
      <c r="D101" s="8" t="n"/>
      <c r="E101" s="8" t="n"/>
      <c r="F101" s="8" t="n"/>
      <c r="G101" s="8" t="n"/>
      <c r="H101" s="8" t="n"/>
      <c r="I101" s="8" t="n"/>
      <c r="J101" s="8" t="n"/>
      <c r="K101" s="8" t="n"/>
      <c r="L101" s="8" t="n"/>
      <c r="M101" s="8" t="n"/>
      <c r="N101" s="8" t="n"/>
      <c r="O101" s="8" t="n"/>
      <c r="P101" s="9">
        <f>IF(B101="","","")</f>
        <v/>
      </c>
      <c r="Q101" s="8" t="n"/>
      <c r="R101" s="9">
        <f>IF(H101="Critical","P1-Critical",IF(H101="High","P2-High",IF(H101="Medium","P3-Medium","P4-Low")))</f>
        <v/>
      </c>
      <c r="S101" s="8" t="n"/>
    </row>
    <row r="102">
      <c r="A102" s="8" t="n"/>
      <c r="B102" s="8" t="n"/>
      <c r="C102" s="8" t="n"/>
      <c r="D102" s="8" t="n"/>
      <c r="E102" s="8" t="n"/>
      <c r="F102" s="8" t="n"/>
      <c r="G102" s="8" t="n"/>
      <c r="H102" s="8" t="n"/>
      <c r="I102" s="8" t="n"/>
      <c r="J102" s="8" t="n"/>
      <c r="K102" s="8" t="n"/>
      <c r="L102" s="8" t="n"/>
      <c r="M102" s="8" t="n"/>
      <c r="N102" s="8" t="n"/>
      <c r="O102" s="8" t="n"/>
      <c r="P102" s="9">
        <f>IF(B102="","","")</f>
        <v/>
      </c>
      <c r="Q102" s="8" t="n"/>
      <c r="R102" s="9">
        <f>IF(H102="Critical","P1-Critical",IF(H102="High","P2-High",IF(H102="Medium","P3-Medium","P4-Low")))</f>
        <v/>
      </c>
      <c r="S102" s="8" t="n"/>
    </row>
    <row r="103">
      <c r="A103" s="8" t="n"/>
      <c r="B103" s="8" t="n"/>
      <c r="C103" s="8" t="n"/>
      <c r="D103" s="8" t="n"/>
      <c r="E103" s="8" t="n"/>
      <c r="F103" s="8" t="n"/>
      <c r="G103" s="8" t="n"/>
      <c r="H103" s="8" t="n"/>
      <c r="I103" s="8" t="n"/>
      <c r="J103" s="8" t="n"/>
      <c r="K103" s="8" t="n"/>
      <c r="L103" s="8" t="n"/>
      <c r="M103" s="8" t="n"/>
      <c r="N103" s="8" t="n"/>
      <c r="O103" s="8" t="n"/>
      <c r="P103" s="9">
        <f>IF(B103="","","")</f>
        <v/>
      </c>
      <c r="Q103" s="8" t="n"/>
      <c r="R103" s="9">
        <f>IF(H103="Critical","P1-Critical",IF(H103="High","P2-High",IF(H103="Medium","P3-Medium","P4-Low")))</f>
        <v/>
      </c>
      <c r="S103" s="8" t="n"/>
    </row>
    <row r="104">
      <c r="A104" s="8" t="n"/>
      <c r="B104" s="8" t="n"/>
      <c r="C104" s="8" t="n"/>
      <c r="D104" s="8" t="n"/>
      <c r="E104" s="8" t="n"/>
      <c r="F104" s="8" t="n"/>
      <c r="G104" s="8" t="n"/>
      <c r="H104" s="8" t="n"/>
      <c r="I104" s="8" t="n"/>
      <c r="J104" s="8" t="n"/>
      <c r="K104" s="8" t="n"/>
      <c r="L104" s="8" t="n"/>
      <c r="M104" s="8" t="n"/>
      <c r="N104" s="8" t="n"/>
      <c r="O104" s="8" t="n"/>
      <c r="P104" s="9">
        <f>IF(B104="","","")</f>
        <v/>
      </c>
      <c r="Q104" s="8" t="n"/>
      <c r="R104" s="9">
        <f>IF(H104="Critical","P1-Critical",IF(H104="High","P2-High",IF(H104="Medium","P3-Medium","P4-Low")))</f>
        <v/>
      </c>
      <c r="S104" s="8" t="n"/>
    </row>
    <row r="105">
      <c r="A105" s="8" t="n"/>
      <c r="B105" s="8" t="n"/>
      <c r="C105" s="8" t="n"/>
      <c r="D105" s="8" t="n"/>
      <c r="E105" s="8" t="n"/>
      <c r="F105" s="8" t="n"/>
      <c r="G105" s="8" t="n"/>
      <c r="H105" s="8" t="n"/>
      <c r="I105" s="8" t="n"/>
      <c r="J105" s="8" t="n"/>
      <c r="K105" s="8" t="n"/>
      <c r="L105" s="8" t="n"/>
      <c r="M105" s="8" t="n"/>
      <c r="N105" s="8" t="n"/>
      <c r="O105" s="8" t="n"/>
      <c r="P105" s="9">
        <f>IF(B105="","","")</f>
        <v/>
      </c>
      <c r="Q105" s="8" t="n"/>
      <c r="R105" s="9">
        <f>IF(H105="Critical","P1-Critical",IF(H105="High","P2-High",IF(H105="Medium","P3-Medium","P4-Low")))</f>
        <v/>
      </c>
      <c r="S105" s="8" t="n"/>
    </row>
    <row r="106">
      <c r="A106" s="8" t="n"/>
      <c r="B106" s="8" t="n"/>
      <c r="C106" s="8" t="n"/>
      <c r="D106" s="8" t="n"/>
      <c r="E106" s="8" t="n"/>
      <c r="F106" s="8" t="n"/>
      <c r="G106" s="8" t="n"/>
      <c r="H106" s="8" t="n"/>
      <c r="I106" s="8" t="n"/>
      <c r="J106" s="8" t="n"/>
      <c r="K106" s="8" t="n"/>
      <c r="L106" s="8" t="n"/>
      <c r="M106" s="8" t="n"/>
      <c r="N106" s="8" t="n"/>
      <c r="O106" s="8" t="n"/>
      <c r="P106" s="9">
        <f>IF(B106="","","")</f>
        <v/>
      </c>
      <c r="Q106" s="8" t="n"/>
      <c r="R106" s="9">
        <f>IF(H106="Critical","P1-Critical",IF(H106="High","P2-High",IF(H106="Medium","P3-Medium","P4-Low")))</f>
        <v/>
      </c>
      <c r="S106" s="8" t="n"/>
    </row>
    <row r="107">
      <c r="A107" s="8" t="n"/>
      <c r="B107" s="8" t="n"/>
      <c r="C107" s="8" t="n"/>
      <c r="D107" s="8" t="n"/>
      <c r="E107" s="8" t="n"/>
      <c r="F107" s="8" t="n"/>
      <c r="G107" s="8" t="n"/>
      <c r="H107" s="8" t="n"/>
      <c r="I107" s="8" t="n"/>
      <c r="J107" s="8" t="n"/>
      <c r="K107" s="8" t="n"/>
      <c r="L107" s="8" t="n"/>
      <c r="M107" s="8" t="n"/>
      <c r="N107" s="8" t="n"/>
      <c r="O107" s="8" t="n"/>
      <c r="P107" s="9">
        <f>IF(B107="","","")</f>
        <v/>
      </c>
      <c r="Q107" s="8" t="n"/>
      <c r="R107" s="9">
        <f>IF(H107="Critical","P1-Critical",IF(H107="High","P2-High",IF(H107="Medium","P3-Medium","P4-Low")))</f>
        <v/>
      </c>
      <c r="S107" s="8" t="n"/>
    </row>
    <row r="108">
      <c r="A108" s="8" t="n"/>
      <c r="B108" s="8" t="n"/>
      <c r="C108" s="8" t="n"/>
      <c r="D108" s="8" t="n"/>
      <c r="E108" s="8" t="n"/>
      <c r="F108" s="8" t="n"/>
      <c r="G108" s="8" t="n"/>
      <c r="H108" s="8" t="n"/>
      <c r="I108" s="8" t="n"/>
      <c r="J108" s="8" t="n"/>
      <c r="K108" s="8" t="n"/>
      <c r="L108" s="8" t="n"/>
      <c r="M108" s="8" t="n"/>
      <c r="N108" s="8" t="n"/>
      <c r="O108" s="8" t="n"/>
      <c r="P108" s="9">
        <f>IF(B108="","","")</f>
        <v/>
      </c>
      <c r="Q108" s="8" t="n"/>
      <c r="R108" s="9">
        <f>IF(H108="Critical","P1-Critical",IF(H108="High","P2-High",IF(H108="Medium","P3-Medium","P4-Low")))</f>
        <v/>
      </c>
      <c r="S108" s="8" t="n"/>
    </row>
    <row r="109">
      <c r="A109" s="8" t="n"/>
      <c r="B109" s="8" t="n"/>
      <c r="C109" s="8" t="n"/>
      <c r="D109" s="8" t="n"/>
      <c r="E109" s="8" t="n"/>
      <c r="F109" s="8" t="n"/>
      <c r="G109" s="8" t="n"/>
      <c r="H109" s="8" t="n"/>
      <c r="I109" s="8" t="n"/>
      <c r="J109" s="8" t="n"/>
      <c r="K109" s="8" t="n"/>
      <c r="L109" s="8" t="n"/>
      <c r="M109" s="8" t="n"/>
      <c r="N109" s="8" t="n"/>
      <c r="O109" s="8" t="n"/>
      <c r="P109" s="9">
        <f>IF(B109="","","")</f>
        <v/>
      </c>
      <c r="Q109" s="8" t="n"/>
      <c r="R109" s="9">
        <f>IF(H109="Critical","P1-Critical",IF(H109="High","P2-High",IF(H109="Medium","P3-Medium","P4-Low")))</f>
        <v/>
      </c>
      <c r="S109" s="8" t="n"/>
    </row>
    <row r="110">
      <c r="A110" s="8" t="n"/>
      <c r="B110" s="8" t="n"/>
      <c r="C110" s="8" t="n"/>
      <c r="D110" s="8" t="n"/>
      <c r="E110" s="8" t="n"/>
      <c r="F110" s="8" t="n"/>
      <c r="G110" s="8" t="n"/>
      <c r="H110" s="8" t="n"/>
      <c r="I110" s="8" t="n"/>
      <c r="J110" s="8" t="n"/>
      <c r="K110" s="8" t="n"/>
      <c r="L110" s="8" t="n"/>
      <c r="M110" s="8" t="n"/>
      <c r="N110" s="8" t="n"/>
      <c r="O110" s="8" t="n"/>
      <c r="P110" s="9">
        <f>IF(B110="","","")</f>
        <v/>
      </c>
      <c r="Q110" s="8" t="n"/>
      <c r="R110" s="9">
        <f>IF(H110="Critical","P1-Critical",IF(H110="High","P2-High",IF(H110="Medium","P3-Medium","P4-Low")))</f>
        <v/>
      </c>
      <c r="S110" s="8" t="n"/>
    </row>
    <row r="111">
      <c r="A111" s="8" t="n"/>
      <c r="B111" s="8" t="n"/>
      <c r="C111" s="8" t="n"/>
      <c r="D111" s="8" t="n"/>
      <c r="E111" s="8" t="n"/>
      <c r="F111" s="8" t="n"/>
      <c r="G111" s="8" t="n"/>
      <c r="H111" s="8" t="n"/>
      <c r="I111" s="8" t="n"/>
      <c r="J111" s="8" t="n"/>
      <c r="K111" s="8" t="n"/>
      <c r="L111" s="8" t="n"/>
      <c r="M111" s="8" t="n"/>
      <c r="N111" s="8" t="n"/>
      <c r="O111" s="8" t="n"/>
      <c r="P111" s="9">
        <f>IF(B111="","","")</f>
        <v/>
      </c>
      <c r="Q111" s="8" t="n"/>
      <c r="R111" s="9">
        <f>IF(H111="Critical","P1-Critical",IF(H111="High","P2-High",IF(H111="Medium","P3-Medium","P4-Low")))</f>
        <v/>
      </c>
      <c r="S111" s="8" t="n"/>
    </row>
    <row r="112">
      <c r="A112" s="8" t="n"/>
      <c r="B112" s="8" t="n"/>
      <c r="C112" s="8" t="n"/>
      <c r="D112" s="8" t="n"/>
      <c r="E112" s="8" t="n"/>
      <c r="F112" s="8" t="n"/>
      <c r="G112" s="8" t="n"/>
      <c r="H112" s="8" t="n"/>
      <c r="I112" s="8" t="n"/>
      <c r="J112" s="8" t="n"/>
      <c r="K112" s="8" t="n"/>
      <c r="L112" s="8" t="n"/>
      <c r="M112" s="8" t="n"/>
      <c r="N112" s="8" t="n"/>
      <c r="O112" s="8" t="n"/>
      <c r="P112" s="9">
        <f>IF(B112="","","")</f>
        <v/>
      </c>
      <c r="Q112" s="8" t="n"/>
      <c r="R112" s="9">
        <f>IF(H112="Critical","P1-Critical",IF(H112="High","P2-High",IF(H112="Medium","P3-Medium","P4-Low")))</f>
        <v/>
      </c>
      <c r="S112" s="8" t="n"/>
    </row>
    <row r="113">
      <c r="A113" s="8" t="n"/>
      <c r="B113" s="8" t="n"/>
      <c r="C113" s="8" t="n"/>
      <c r="D113" s="8" t="n"/>
      <c r="E113" s="8" t="n"/>
      <c r="F113" s="8" t="n"/>
      <c r="G113" s="8" t="n"/>
      <c r="H113" s="8" t="n"/>
      <c r="I113" s="8" t="n"/>
      <c r="J113" s="8" t="n"/>
      <c r="K113" s="8" t="n"/>
      <c r="L113" s="8" t="n"/>
      <c r="M113" s="8" t="n"/>
      <c r="N113" s="8" t="n"/>
      <c r="O113" s="8" t="n"/>
      <c r="P113" s="9">
        <f>IF(B113="","","")</f>
        <v/>
      </c>
      <c r="Q113" s="8" t="n"/>
      <c r="R113" s="9">
        <f>IF(H113="Critical","P1-Critical",IF(H113="High","P2-High",IF(H113="Medium","P3-Medium","P4-Low")))</f>
        <v/>
      </c>
      <c r="S113" s="8" t="n"/>
    </row>
    <row r="114">
      <c r="A114" s="8" t="n"/>
      <c r="B114" s="8" t="n"/>
      <c r="C114" s="8" t="n"/>
      <c r="D114" s="8" t="n"/>
      <c r="E114" s="8" t="n"/>
      <c r="F114" s="8" t="n"/>
      <c r="G114" s="8" t="n"/>
      <c r="H114" s="8" t="n"/>
      <c r="I114" s="8" t="n"/>
      <c r="J114" s="8" t="n"/>
      <c r="K114" s="8" t="n"/>
      <c r="L114" s="8" t="n"/>
      <c r="M114" s="8" t="n"/>
      <c r="N114" s="8" t="n"/>
      <c r="O114" s="8" t="n"/>
      <c r="P114" s="9">
        <f>IF(B114="","","")</f>
        <v/>
      </c>
      <c r="Q114" s="8" t="n"/>
      <c r="R114" s="9">
        <f>IF(H114="Critical","P1-Critical",IF(H114="High","P2-High",IF(H114="Medium","P3-Medium","P4-Low")))</f>
        <v/>
      </c>
      <c r="S114" s="8" t="n"/>
    </row>
    <row r="115">
      <c r="A115" s="8" t="n"/>
      <c r="B115" s="8" t="n"/>
      <c r="C115" s="8" t="n"/>
      <c r="D115" s="8" t="n"/>
      <c r="E115" s="8" t="n"/>
      <c r="F115" s="8" t="n"/>
      <c r="G115" s="8" t="n"/>
      <c r="H115" s="8" t="n"/>
      <c r="I115" s="8" t="n"/>
      <c r="J115" s="8" t="n"/>
      <c r="K115" s="8" t="n"/>
      <c r="L115" s="8" t="n"/>
      <c r="M115" s="8" t="n"/>
      <c r="N115" s="8" t="n"/>
      <c r="O115" s="8" t="n"/>
      <c r="P115" s="9">
        <f>IF(B115="","","")</f>
        <v/>
      </c>
      <c r="Q115" s="8" t="n"/>
      <c r="R115" s="9">
        <f>IF(H115="Critical","P1-Critical",IF(H115="High","P2-High",IF(H115="Medium","P3-Medium","P4-Low")))</f>
        <v/>
      </c>
      <c r="S115" s="8" t="n"/>
    </row>
    <row r="116">
      <c r="A116" s="8" t="n"/>
      <c r="B116" s="8" t="n"/>
      <c r="C116" s="8" t="n"/>
      <c r="D116" s="8" t="n"/>
      <c r="E116" s="8" t="n"/>
      <c r="F116" s="8" t="n"/>
      <c r="G116" s="8" t="n"/>
      <c r="H116" s="8" t="n"/>
      <c r="I116" s="8" t="n"/>
      <c r="J116" s="8" t="n"/>
      <c r="K116" s="8" t="n"/>
      <c r="L116" s="8" t="n"/>
      <c r="M116" s="8" t="n"/>
      <c r="N116" s="8" t="n"/>
      <c r="O116" s="8" t="n"/>
      <c r="P116" s="9">
        <f>IF(B116="","","")</f>
        <v/>
      </c>
      <c r="Q116" s="8" t="n"/>
      <c r="R116" s="9">
        <f>IF(H116="Critical","P1-Critical",IF(H116="High","P2-High",IF(H116="Medium","P3-Medium","P4-Low")))</f>
        <v/>
      </c>
      <c r="S116" s="8" t="n"/>
    </row>
    <row r="117">
      <c r="A117" s="8" t="n"/>
      <c r="B117" s="8" t="n"/>
      <c r="C117" s="8" t="n"/>
      <c r="D117" s="8" t="n"/>
      <c r="E117" s="8" t="n"/>
      <c r="F117" s="8" t="n"/>
      <c r="G117" s="8" t="n"/>
      <c r="H117" s="8" t="n"/>
      <c r="I117" s="8" t="n"/>
      <c r="J117" s="8" t="n"/>
      <c r="K117" s="8" t="n"/>
      <c r="L117" s="8" t="n"/>
      <c r="M117" s="8" t="n"/>
      <c r="N117" s="8" t="n"/>
      <c r="O117" s="8" t="n"/>
      <c r="P117" s="9">
        <f>IF(B117="","","")</f>
        <v/>
      </c>
      <c r="Q117" s="8" t="n"/>
      <c r="R117" s="9">
        <f>IF(H117="Critical","P1-Critical",IF(H117="High","P2-High",IF(H117="Medium","P3-Medium","P4-Low")))</f>
        <v/>
      </c>
      <c r="S117" s="8" t="n"/>
    </row>
    <row r="118">
      <c r="A118" s="8" t="n"/>
      <c r="B118" s="8" t="n"/>
      <c r="C118" s="8" t="n"/>
      <c r="D118" s="8" t="n"/>
      <c r="E118" s="8" t="n"/>
      <c r="F118" s="8" t="n"/>
      <c r="G118" s="8" t="n"/>
      <c r="H118" s="8" t="n"/>
      <c r="I118" s="8" t="n"/>
      <c r="J118" s="8" t="n"/>
      <c r="K118" s="8" t="n"/>
      <c r="L118" s="8" t="n"/>
      <c r="M118" s="8" t="n"/>
      <c r="N118" s="8" t="n"/>
      <c r="O118" s="8" t="n"/>
      <c r="P118" s="9">
        <f>IF(B118="","","")</f>
        <v/>
      </c>
      <c r="Q118" s="8" t="n"/>
      <c r="R118" s="9">
        <f>IF(H118="Critical","P1-Critical",IF(H118="High","P2-High",IF(H118="Medium","P3-Medium","P4-Low")))</f>
        <v/>
      </c>
      <c r="S118" s="8" t="n"/>
    </row>
    <row r="119">
      <c r="A119" s="8" t="n"/>
      <c r="B119" s="8" t="n"/>
      <c r="C119" s="8" t="n"/>
      <c r="D119" s="8" t="n"/>
      <c r="E119" s="8" t="n"/>
      <c r="F119" s="8" t="n"/>
      <c r="G119" s="8" t="n"/>
      <c r="H119" s="8" t="n"/>
      <c r="I119" s="8" t="n"/>
      <c r="J119" s="8" t="n"/>
      <c r="K119" s="8" t="n"/>
      <c r="L119" s="8" t="n"/>
      <c r="M119" s="8" t="n"/>
      <c r="N119" s="8" t="n"/>
      <c r="O119" s="8" t="n"/>
      <c r="P119" s="9">
        <f>IF(B119="","","")</f>
        <v/>
      </c>
      <c r="Q119" s="8" t="n"/>
      <c r="R119" s="9">
        <f>IF(H119="Critical","P1-Critical",IF(H119="High","P2-High",IF(H119="Medium","P3-Medium","P4-Low")))</f>
        <v/>
      </c>
      <c r="S119" s="8" t="n"/>
    </row>
    <row r="120">
      <c r="A120" s="8" t="n"/>
      <c r="B120" s="8" t="n"/>
      <c r="C120" s="8" t="n"/>
      <c r="D120" s="8" t="n"/>
      <c r="E120" s="8" t="n"/>
      <c r="F120" s="8" t="n"/>
      <c r="G120" s="8" t="n"/>
      <c r="H120" s="8" t="n"/>
      <c r="I120" s="8" t="n"/>
      <c r="J120" s="8" t="n"/>
      <c r="K120" s="8" t="n"/>
      <c r="L120" s="8" t="n"/>
      <c r="M120" s="8" t="n"/>
      <c r="N120" s="8" t="n"/>
      <c r="O120" s="8" t="n"/>
      <c r="P120" s="9">
        <f>IF(B120="","","")</f>
        <v/>
      </c>
      <c r="Q120" s="8" t="n"/>
      <c r="R120" s="9">
        <f>IF(H120="Critical","P1-Critical",IF(H120="High","P2-High",IF(H120="Medium","P3-Medium","P4-Low")))</f>
        <v/>
      </c>
      <c r="S120" s="8" t="n"/>
    </row>
    <row r="121">
      <c r="A121" s="8" t="n"/>
      <c r="B121" s="8" t="n"/>
      <c r="C121" s="8" t="n"/>
      <c r="D121" s="8" t="n"/>
      <c r="E121" s="8" t="n"/>
      <c r="F121" s="8" t="n"/>
      <c r="G121" s="8" t="n"/>
      <c r="H121" s="8" t="n"/>
      <c r="I121" s="8" t="n"/>
      <c r="J121" s="8" t="n"/>
      <c r="K121" s="8" t="n"/>
      <c r="L121" s="8" t="n"/>
      <c r="M121" s="8" t="n"/>
      <c r="N121" s="8" t="n"/>
      <c r="O121" s="8" t="n"/>
      <c r="P121" s="9">
        <f>IF(B121="","","")</f>
        <v/>
      </c>
      <c r="Q121" s="8" t="n"/>
      <c r="R121" s="9">
        <f>IF(H121="Critical","P1-Critical",IF(H121="High","P2-High",IF(H121="Medium","P3-Medium","P4-Low")))</f>
        <v/>
      </c>
      <c r="S121" s="8" t="n"/>
    </row>
    <row r="122">
      <c r="A122" s="8" t="n"/>
      <c r="B122" s="8" t="n"/>
      <c r="C122" s="8" t="n"/>
      <c r="D122" s="8" t="n"/>
      <c r="E122" s="8" t="n"/>
      <c r="F122" s="8" t="n"/>
      <c r="G122" s="8" t="n"/>
      <c r="H122" s="8" t="n"/>
      <c r="I122" s="8" t="n"/>
      <c r="J122" s="8" t="n"/>
      <c r="K122" s="8" t="n"/>
      <c r="L122" s="8" t="n"/>
      <c r="M122" s="8" t="n"/>
      <c r="N122" s="8" t="n"/>
      <c r="O122" s="8" t="n"/>
      <c r="P122" s="9">
        <f>IF(B122="","","")</f>
        <v/>
      </c>
      <c r="Q122" s="8" t="n"/>
      <c r="R122" s="9">
        <f>IF(H122="Critical","P1-Critical",IF(H122="High","P2-High",IF(H122="Medium","P3-Medium","P4-Low")))</f>
        <v/>
      </c>
      <c r="S122" s="8" t="n"/>
    </row>
    <row r="123">
      <c r="A123" s="8" t="n"/>
      <c r="B123" s="8" t="n"/>
      <c r="C123" s="8" t="n"/>
      <c r="D123" s="8" t="n"/>
      <c r="E123" s="8" t="n"/>
      <c r="F123" s="8" t="n"/>
      <c r="G123" s="8" t="n"/>
      <c r="H123" s="8" t="n"/>
      <c r="I123" s="8" t="n"/>
      <c r="J123" s="8" t="n"/>
      <c r="K123" s="8" t="n"/>
      <c r="L123" s="8" t="n"/>
      <c r="M123" s="8" t="n"/>
      <c r="N123" s="8" t="n"/>
      <c r="O123" s="8" t="n"/>
      <c r="P123" s="9">
        <f>IF(B123="","","")</f>
        <v/>
      </c>
      <c r="Q123" s="8" t="n"/>
      <c r="R123" s="9">
        <f>IF(H123="Critical","P1-Critical",IF(H123="High","P2-High",IF(H123="Medium","P3-Medium","P4-Low")))</f>
        <v/>
      </c>
      <c r="S123" s="8" t="n"/>
    </row>
    <row r="124">
      <c r="A124" s="8" t="n"/>
      <c r="B124" s="8" t="n"/>
      <c r="C124" s="8" t="n"/>
      <c r="D124" s="8" t="n"/>
      <c r="E124" s="8" t="n"/>
      <c r="F124" s="8" t="n"/>
      <c r="G124" s="8" t="n"/>
      <c r="H124" s="8" t="n"/>
      <c r="I124" s="8" t="n"/>
      <c r="J124" s="8" t="n"/>
      <c r="K124" s="8" t="n"/>
      <c r="L124" s="8" t="n"/>
      <c r="M124" s="8" t="n"/>
      <c r="N124" s="8" t="n"/>
      <c r="O124" s="8" t="n"/>
      <c r="P124" s="9">
        <f>IF(B124="","","")</f>
        <v/>
      </c>
      <c r="Q124" s="8" t="n"/>
      <c r="R124" s="9">
        <f>IF(H124="Critical","P1-Critical",IF(H124="High","P2-High",IF(H124="Medium","P3-Medium","P4-Low")))</f>
        <v/>
      </c>
      <c r="S124" s="8" t="n"/>
    </row>
    <row r="125">
      <c r="A125" s="8" t="n"/>
      <c r="B125" s="8" t="n"/>
      <c r="C125" s="8" t="n"/>
      <c r="D125" s="8" t="n"/>
      <c r="E125" s="8" t="n"/>
      <c r="F125" s="8" t="n"/>
      <c r="G125" s="8" t="n"/>
      <c r="H125" s="8" t="n"/>
      <c r="I125" s="8" t="n"/>
      <c r="J125" s="8" t="n"/>
      <c r="K125" s="8" t="n"/>
      <c r="L125" s="8" t="n"/>
      <c r="M125" s="8" t="n"/>
      <c r="N125" s="8" t="n"/>
      <c r="O125" s="8" t="n"/>
      <c r="P125" s="9">
        <f>IF(B125="","","")</f>
        <v/>
      </c>
      <c r="Q125" s="8" t="n"/>
      <c r="R125" s="9">
        <f>IF(H125="Critical","P1-Critical",IF(H125="High","P2-High",IF(H125="Medium","P3-Medium","P4-Low")))</f>
        <v/>
      </c>
      <c r="S125" s="8" t="n"/>
    </row>
    <row r="126">
      <c r="A126" s="8" t="n"/>
      <c r="B126" s="8" t="n"/>
      <c r="C126" s="8" t="n"/>
      <c r="D126" s="8" t="n"/>
      <c r="E126" s="8" t="n"/>
      <c r="F126" s="8" t="n"/>
      <c r="G126" s="8" t="n"/>
      <c r="H126" s="8" t="n"/>
      <c r="I126" s="8" t="n"/>
      <c r="J126" s="8" t="n"/>
      <c r="K126" s="8" t="n"/>
      <c r="L126" s="8" t="n"/>
      <c r="M126" s="8" t="n"/>
      <c r="N126" s="8" t="n"/>
      <c r="O126" s="8" t="n"/>
      <c r="P126" s="9">
        <f>IF(B126="","","")</f>
        <v/>
      </c>
      <c r="Q126" s="8" t="n"/>
      <c r="R126" s="9">
        <f>IF(H126="Critical","P1-Critical",IF(H126="High","P2-High",IF(H126="Medium","P3-Medium","P4-Low")))</f>
        <v/>
      </c>
      <c r="S126" s="8" t="n"/>
    </row>
    <row r="127">
      <c r="A127" s="8" t="n"/>
      <c r="B127" s="8" t="n"/>
      <c r="C127" s="8" t="n"/>
      <c r="D127" s="8" t="n"/>
      <c r="E127" s="8" t="n"/>
      <c r="F127" s="8" t="n"/>
      <c r="G127" s="8" t="n"/>
      <c r="H127" s="8" t="n"/>
      <c r="I127" s="8" t="n"/>
      <c r="J127" s="8" t="n"/>
      <c r="K127" s="8" t="n"/>
      <c r="L127" s="8" t="n"/>
      <c r="M127" s="8" t="n"/>
      <c r="N127" s="8" t="n"/>
      <c r="O127" s="8" t="n"/>
      <c r="P127" s="9">
        <f>IF(B127="","","")</f>
        <v/>
      </c>
      <c r="Q127" s="8" t="n"/>
      <c r="R127" s="9">
        <f>IF(H127="Critical","P1-Critical",IF(H127="High","P2-High",IF(H127="Medium","P3-Medium","P4-Low")))</f>
        <v/>
      </c>
      <c r="S127" s="8" t="n"/>
    </row>
    <row r="128">
      <c r="A128" s="8" t="n"/>
      <c r="B128" s="8" t="n"/>
      <c r="C128" s="8" t="n"/>
      <c r="D128" s="8" t="n"/>
      <c r="E128" s="8" t="n"/>
      <c r="F128" s="8" t="n"/>
      <c r="G128" s="8" t="n"/>
      <c r="H128" s="8" t="n"/>
      <c r="I128" s="8" t="n"/>
      <c r="J128" s="8" t="n"/>
      <c r="K128" s="8" t="n"/>
      <c r="L128" s="8" t="n"/>
      <c r="M128" s="8" t="n"/>
      <c r="N128" s="8" t="n"/>
      <c r="O128" s="8" t="n"/>
      <c r="P128" s="9">
        <f>IF(B128="","","")</f>
        <v/>
      </c>
      <c r="Q128" s="8" t="n"/>
      <c r="R128" s="9">
        <f>IF(H128="Critical","P1-Critical",IF(H128="High","P2-High",IF(H128="Medium","P3-Medium","P4-Low")))</f>
        <v/>
      </c>
      <c r="S128" s="8" t="n"/>
    </row>
    <row r="129">
      <c r="A129" s="8" t="n"/>
      <c r="B129" s="8" t="n"/>
      <c r="C129" s="8" t="n"/>
      <c r="D129" s="8" t="n"/>
      <c r="E129" s="8" t="n"/>
      <c r="F129" s="8" t="n"/>
      <c r="G129" s="8" t="n"/>
      <c r="H129" s="8" t="n"/>
      <c r="I129" s="8" t="n"/>
      <c r="J129" s="8" t="n"/>
      <c r="K129" s="8" t="n"/>
      <c r="L129" s="8" t="n"/>
      <c r="M129" s="8" t="n"/>
      <c r="N129" s="8" t="n"/>
      <c r="O129" s="8" t="n"/>
      <c r="P129" s="9">
        <f>IF(B129="","","")</f>
        <v/>
      </c>
      <c r="Q129" s="8" t="n"/>
      <c r="R129" s="9">
        <f>IF(H129="Critical","P1-Critical",IF(H129="High","P2-High",IF(H129="Medium","P3-Medium","P4-Low")))</f>
        <v/>
      </c>
      <c r="S129" s="8" t="n"/>
    </row>
    <row r="130">
      <c r="A130" s="8" t="n"/>
      <c r="B130" s="8" t="n"/>
      <c r="C130" s="8" t="n"/>
      <c r="D130" s="8" t="n"/>
      <c r="E130" s="8" t="n"/>
      <c r="F130" s="8" t="n"/>
      <c r="G130" s="8" t="n"/>
      <c r="H130" s="8" t="n"/>
      <c r="I130" s="8" t="n"/>
      <c r="J130" s="8" t="n"/>
      <c r="K130" s="8" t="n"/>
      <c r="L130" s="8" t="n"/>
      <c r="M130" s="8" t="n"/>
      <c r="N130" s="8" t="n"/>
      <c r="O130" s="8" t="n"/>
      <c r="P130" s="9">
        <f>IF(B130="","","")</f>
        <v/>
      </c>
      <c r="Q130" s="8" t="n"/>
      <c r="R130" s="9">
        <f>IF(H130="Critical","P1-Critical",IF(H130="High","P2-High",IF(H130="Medium","P3-Medium","P4-Low")))</f>
        <v/>
      </c>
      <c r="S130" s="8" t="n"/>
    </row>
    <row r="131">
      <c r="A131" s="8" t="n"/>
      <c r="B131" s="8" t="n"/>
      <c r="C131" s="8" t="n"/>
      <c r="D131" s="8" t="n"/>
      <c r="E131" s="8" t="n"/>
      <c r="F131" s="8" t="n"/>
      <c r="G131" s="8" t="n"/>
      <c r="H131" s="8" t="n"/>
      <c r="I131" s="8" t="n"/>
      <c r="J131" s="8" t="n"/>
      <c r="K131" s="8" t="n"/>
      <c r="L131" s="8" t="n"/>
      <c r="M131" s="8" t="n"/>
      <c r="N131" s="8" t="n"/>
      <c r="O131" s="8" t="n"/>
      <c r="P131" s="9">
        <f>IF(B131="","","")</f>
        <v/>
      </c>
      <c r="Q131" s="8" t="n"/>
      <c r="R131" s="9">
        <f>IF(H131="Critical","P1-Critical",IF(H131="High","P2-High",IF(H131="Medium","P3-Medium","P4-Low")))</f>
        <v/>
      </c>
      <c r="S131" s="8" t="n"/>
    </row>
    <row r="132">
      <c r="A132" s="8" t="n"/>
      <c r="B132" s="8" t="n"/>
      <c r="C132" s="8" t="n"/>
      <c r="D132" s="8" t="n"/>
      <c r="E132" s="8" t="n"/>
      <c r="F132" s="8" t="n"/>
      <c r="G132" s="8" t="n"/>
      <c r="H132" s="8" t="n"/>
      <c r="I132" s="8" t="n"/>
      <c r="J132" s="8" t="n"/>
      <c r="K132" s="8" t="n"/>
      <c r="L132" s="8" t="n"/>
      <c r="M132" s="8" t="n"/>
      <c r="N132" s="8" t="n"/>
      <c r="O132" s="8" t="n"/>
      <c r="P132" s="9">
        <f>IF(B132="","","")</f>
        <v/>
      </c>
      <c r="Q132" s="8" t="n"/>
      <c r="R132" s="9">
        <f>IF(H132="Critical","P1-Critical",IF(H132="High","P2-High",IF(H132="Medium","P3-Medium","P4-Low")))</f>
        <v/>
      </c>
      <c r="S132" s="8" t="n"/>
    </row>
    <row r="133">
      <c r="A133" s="8" t="n"/>
      <c r="B133" s="8" t="n"/>
      <c r="C133" s="8" t="n"/>
      <c r="D133" s="8" t="n"/>
      <c r="E133" s="8" t="n"/>
      <c r="F133" s="8" t="n"/>
      <c r="G133" s="8" t="n"/>
      <c r="H133" s="8" t="n"/>
      <c r="I133" s="8" t="n"/>
      <c r="J133" s="8" t="n"/>
      <c r="K133" s="8" t="n"/>
      <c r="L133" s="8" t="n"/>
      <c r="M133" s="8" t="n"/>
      <c r="N133" s="8" t="n"/>
      <c r="O133" s="8" t="n"/>
      <c r="P133" s="9">
        <f>IF(B133="","","")</f>
        <v/>
      </c>
      <c r="Q133" s="8" t="n"/>
      <c r="R133" s="9">
        <f>IF(H133="Critical","P1-Critical",IF(H133="High","P2-High",IF(H133="Medium","P3-Medium","P4-Low")))</f>
        <v/>
      </c>
      <c r="S133" s="8" t="n"/>
    </row>
    <row r="134">
      <c r="A134" s="8" t="n"/>
      <c r="B134" s="8" t="n"/>
      <c r="C134" s="8" t="n"/>
      <c r="D134" s="8" t="n"/>
      <c r="E134" s="8" t="n"/>
      <c r="F134" s="8" t="n"/>
      <c r="G134" s="8" t="n"/>
      <c r="H134" s="8" t="n"/>
      <c r="I134" s="8" t="n"/>
      <c r="J134" s="8" t="n"/>
      <c r="K134" s="8" t="n"/>
      <c r="L134" s="8" t="n"/>
      <c r="M134" s="8" t="n"/>
      <c r="N134" s="8" t="n"/>
      <c r="O134" s="8" t="n"/>
      <c r="P134" s="9">
        <f>IF(B134="","","")</f>
        <v/>
      </c>
      <c r="Q134" s="8" t="n"/>
      <c r="R134" s="9">
        <f>IF(H134="Critical","P1-Critical",IF(H134="High","P2-High",IF(H134="Medium","P3-Medium","P4-Low")))</f>
        <v/>
      </c>
      <c r="S134" s="8" t="n"/>
    </row>
    <row r="135">
      <c r="A135" s="8" t="n"/>
      <c r="B135" s="8" t="n"/>
      <c r="C135" s="8" t="n"/>
      <c r="D135" s="8" t="n"/>
      <c r="E135" s="8" t="n"/>
      <c r="F135" s="8" t="n"/>
      <c r="G135" s="8" t="n"/>
      <c r="H135" s="8" t="n"/>
      <c r="I135" s="8" t="n"/>
      <c r="J135" s="8" t="n"/>
      <c r="K135" s="8" t="n"/>
      <c r="L135" s="8" t="n"/>
      <c r="M135" s="8" t="n"/>
      <c r="N135" s="8" t="n"/>
      <c r="O135" s="8" t="n"/>
      <c r="P135" s="9">
        <f>IF(B135="","","")</f>
        <v/>
      </c>
      <c r="Q135" s="8" t="n"/>
      <c r="R135" s="9">
        <f>IF(H135="Critical","P1-Critical",IF(H135="High","P2-High",IF(H135="Medium","P3-Medium","P4-Low")))</f>
        <v/>
      </c>
      <c r="S135" s="8" t="n"/>
    </row>
    <row r="136">
      <c r="A136" s="8" t="n"/>
      <c r="B136" s="8" t="n"/>
      <c r="C136" s="8" t="n"/>
      <c r="D136" s="8" t="n"/>
      <c r="E136" s="8" t="n"/>
      <c r="F136" s="8" t="n"/>
      <c r="G136" s="8" t="n"/>
      <c r="H136" s="8" t="n"/>
      <c r="I136" s="8" t="n"/>
      <c r="J136" s="8" t="n"/>
      <c r="K136" s="8" t="n"/>
      <c r="L136" s="8" t="n"/>
      <c r="M136" s="8" t="n"/>
      <c r="N136" s="8" t="n"/>
      <c r="O136" s="8" t="n"/>
      <c r="P136" s="9">
        <f>IF(B136="","","")</f>
        <v/>
      </c>
      <c r="Q136" s="8" t="n"/>
      <c r="R136" s="9">
        <f>IF(H136="Critical","P1-Critical",IF(H136="High","P2-High",IF(H136="Medium","P3-Medium","P4-Low")))</f>
        <v/>
      </c>
      <c r="S136" s="8" t="n"/>
    </row>
    <row r="137">
      <c r="A137" s="8" t="n"/>
      <c r="B137" s="8" t="n"/>
      <c r="C137" s="8" t="n"/>
      <c r="D137" s="8" t="n"/>
      <c r="E137" s="8" t="n"/>
      <c r="F137" s="8" t="n"/>
      <c r="G137" s="8" t="n"/>
      <c r="H137" s="8" t="n"/>
      <c r="I137" s="8" t="n"/>
      <c r="J137" s="8" t="n"/>
      <c r="K137" s="8" t="n"/>
      <c r="L137" s="8" t="n"/>
      <c r="M137" s="8" t="n"/>
      <c r="N137" s="8" t="n"/>
      <c r="O137" s="8" t="n"/>
      <c r="P137" s="9">
        <f>IF(B137="","","")</f>
        <v/>
      </c>
      <c r="Q137" s="8" t="n"/>
      <c r="R137" s="9">
        <f>IF(H137="Critical","P1-Critical",IF(H137="High","P2-High",IF(H137="Medium","P3-Medium","P4-Low")))</f>
        <v/>
      </c>
      <c r="S137" s="8" t="n"/>
    </row>
    <row r="138">
      <c r="A138" s="8" t="n"/>
      <c r="B138" s="8" t="n"/>
      <c r="C138" s="8" t="n"/>
      <c r="D138" s="8" t="n"/>
      <c r="E138" s="8" t="n"/>
      <c r="F138" s="8" t="n"/>
      <c r="G138" s="8" t="n"/>
      <c r="H138" s="8" t="n"/>
      <c r="I138" s="8" t="n"/>
      <c r="J138" s="8" t="n"/>
      <c r="K138" s="8" t="n"/>
      <c r="L138" s="8" t="n"/>
      <c r="M138" s="8" t="n"/>
      <c r="N138" s="8" t="n"/>
      <c r="O138" s="8" t="n"/>
      <c r="P138" s="9">
        <f>IF(B138="","","")</f>
        <v/>
      </c>
      <c r="Q138" s="8" t="n"/>
      <c r="R138" s="9">
        <f>IF(H138="Critical","P1-Critical",IF(H138="High","P2-High",IF(H138="Medium","P3-Medium","P4-Low")))</f>
        <v/>
      </c>
      <c r="S138" s="8" t="n"/>
    </row>
    <row r="139">
      <c r="A139" s="8" t="n"/>
      <c r="B139" s="8" t="n"/>
      <c r="C139" s="8" t="n"/>
      <c r="D139" s="8" t="n"/>
      <c r="E139" s="8" t="n"/>
      <c r="F139" s="8" t="n"/>
      <c r="G139" s="8" t="n"/>
      <c r="H139" s="8" t="n"/>
      <c r="I139" s="8" t="n"/>
      <c r="J139" s="8" t="n"/>
      <c r="K139" s="8" t="n"/>
      <c r="L139" s="8" t="n"/>
      <c r="M139" s="8" t="n"/>
      <c r="N139" s="8" t="n"/>
      <c r="O139" s="8" t="n"/>
      <c r="P139" s="9">
        <f>IF(B139="","","")</f>
        <v/>
      </c>
      <c r="Q139" s="8" t="n"/>
      <c r="R139" s="9">
        <f>IF(H139="Critical","P1-Critical",IF(H139="High","P2-High",IF(H139="Medium","P3-Medium","P4-Low")))</f>
        <v/>
      </c>
      <c r="S139" s="8" t="n"/>
    </row>
    <row r="140">
      <c r="A140" s="8" t="n"/>
      <c r="B140" s="8" t="n"/>
      <c r="C140" s="8" t="n"/>
      <c r="D140" s="8" t="n"/>
      <c r="E140" s="8" t="n"/>
      <c r="F140" s="8" t="n"/>
      <c r="G140" s="8" t="n"/>
      <c r="H140" s="8" t="n"/>
      <c r="I140" s="8" t="n"/>
      <c r="J140" s="8" t="n"/>
      <c r="K140" s="8" t="n"/>
      <c r="L140" s="8" t="n"/>
      <c r="M140" s="8" t="n"/>
      <c r="N140" s="8" t="n"/>
      <c r="O140" s="8" t="n"/>
      <c r="P140" s="9">
        <f>IF(B140="","","")</f>
        <v/>
      </c>
      <c r="Q140" s="8" t="n"/>
      <c r="R140" s="9">
        <f>IF(H140="Critical","P1-Critical",IF(H140="High","P2-High",IF(H140="Medium","P3-Medium","P4-Low")))</f>
        <v/>
      </c>
      <c r="S140" s="8" t="n"/>
    </row>
    <row r="141">
      <c r="A141" s="8" t="n"/>
      <c r="B141" s="8" t="n"/>
      <c r="C141" s="8" t="n"/>
      <c r="D141" s="8" t="n"/>
      <c r="E141" s="8" t="n"/>
      <c r="F141" s="8" t="n"/>
      <c r="G141" s="8" t="n"/>
      <c r="H141" s="8" t="n"/>
      <c r="I141" s="8" t="n"/>
      <c r="J141" s="8" t="n"/>
      <c r="K141" s="8" t="n"/>
      <c r="L141" s="8" t="n"/>
      <c r="M141" s="8" t="n"/>
      <c r="N141" s="8" t="n"/>
      <c r="O141" s="8" t="n"/>
      <c r="P141" s="9">
        <f>IF(B141="","","")</f>
        <v/>
      </c>
      <c r="Q141" s="8" t="n"/>
      <c r="R141" s="9">
        <f>IF(H141="Critical","P1-Critical",IF(H141="High","P2-High",IF(H141="Medium","P3-Medium","P4-Low")))</f>
        <v/>
      </c>
      <c r="S141" s="8" t="n"/>
    </row>
    <row r="142">
      <c r="A142" s="8" t="n"/>
      <c r="B142" s="8" t="n"/>
      <c r="C142" s="8" t="n"/>
      <c r="D142" s="8" t="n"/>
      <c r="E142" s="8" t="n"/>
      <c r="F142" s="8" t="n"/>
      <c r="G142" s="8" t="n"/>
      <c r="H142" s="8" t="n"/>
      <c r="I142" s="8" t="n"/>
      <c r="J142" s="8" t="n"/>
      <c r="K142" s="8" t="n"/>
      <c r="L142" s="8" t="n"/>
      <c r="M142" s="8" t="n"/>
      <c r="N142" s="8" t="n"/>
      <c r="O142" s="8" t="n"/>
      <c r="P142" s="9">
        <f>IF(B142="","","")</f>
        <v/>
      </c>
      <c r="Q142" s="8" t="n"/>
      <c r="R142" s="9">
        <f>IF(H142="Critical","P1-Critical",IF(H142="High","P2-High",IF(H142="Medium","P3-Medium","P4-Low")))</f>
        <v/>
      </c>
      <c r="S142" s="8" t="n"/>
    </row>
    <row r="143">
      <c r="A143" s="8" t="n"/>
      <c r="B143" s="8" t="n"/>
      <c r="C143" s="8" t="n"/>
      <c r="D143" s="8" t="n"/>
      <c r="E143" s="8" t="n"/>
      <c r="F143" s="8" t="n"/>
      <c r="G143" s="8" t="n"/>
      <c r="H143" s="8" t="n"/>
      <c r="I143" s="8" t="n"/>
      <c r="J143" s="8" t="n"/>
      <c r="K143" s="8" t="n"/>
      <c r="L143" s="8" t="n"/>
      <c r="M143" s="8" t="n"/>
      <c r="N143" s="8" t="n"/>
      <c r="O143" s="8" t="n"/>
      <c r="P143" s="9">
        <f>IF(B143="","","")</f>
        <v/>
      </c>
      <c r="Q143" s="8" t="n"/>
      <c r="R143" s="9">
        <f>IF(H143="Critical","P1-Critical",IF(H143="High","P2-High",IF(H143="Medium","P3-Medium","P4-Low")))</f>
        <v/>
      </c>
      <c r="S143" s="8" t="n"/>
    </row>
    <row r="144">
      <c r="A144" s="8" t="n"/>
      <c r="B144" s="8" t="n"/>
      <c r="C144" s="8" t="n"/>
      <c r="D144" s="8" t="n"/>
      <c r="E144" s="8" t="n"/>
      <c r="F144" s="8" t="n"/>
      <c r="G144" s="8" t="n"/>
      <c r="H144" s="8" t="n"/>
      <c r="I144" s="8" t="n"/>
      <c r="J144" s="8" t="n"/>
      <c r="K144" s="8" t="n"/>
      <c r="L144" s="8" t="n"/>
      <c r="M144" s="8" t="n"/>
      <c r="N144" s="8" t="n"/>
      <c r="O144" s="8" t="n"/>
      <c r="P144" s="9">
        <f>IF(B144="","","")</f>
        <v/>
      </c>
      <c r="Q144" s="8" t="n"/>
      <c r="R144" s="9">
        <f>IF(H144="Critical","P1-Critical",IF(H144="High","P2-High",IF(H144="Medium","P3-Medium","P4-Low")))</f>
        <v/>
      </c>
      <c r="S144" s="8" t="n"/>
    </row>
    <row r="145">
      <c r="A145" s="8" t="n"/>
      <c r="B145" s="8" t="n"/>
      <c r="C145" s="8" t="n"/>
      <c r="D145" s="8" t="n"/>
      <c r="E145" s="8" t="n"/>
      <c r="F145" s="8" t="n"/>
      <c r="G145" s="8" t="n"/>
      <c r="H145" s="8" t="n"/>
      <c r="I145" s="8" t="n"/>
      <c r="J145" s="8" t="n"/>
      <c r="K145" s="8" t="n"/>
      <c r="L145" s="8" t="n"/>
      <c r="M145" s="8" t="n"/>
      <c r="N145" s="8" t="n"/>
      <c r="O145" s="8" t="n"/>
      <c r="P145" s="9">
        <f>IF(B145="","","")</f>
        <v/>
      </c>
      <c r="Q145" s="8" t="n"/>
      <c r="R145" s="9">
        <f>IF(H145="Critical","P1-Critical",IF(H145="High","P2-High",IF(H145="Medium","P3-Medium","P4-Low")))</f>
        <v/>
      </c>
      <c r="S145" s="8" t="n"/>
    </row>
    <row r="146">
      <c r="A146" s="8" t="n"/>
      <c r="B146" s="8" t="n"/>
      <c r="C146" s="8" t="n"/>
      <c r="D146" s="8" t="n"/>
      <c r="E146" s="8" t="n"/>
      <c r="F146" s="8" t="n"/>
      <c r="G146" s="8" t="n"/>
      <c r="H146" s="8" t="n"/>
      <c r="I146" s="8" t="n"/>
      <c r="J146" s="8" t="n"/>
      <c r="K146" s="8" t="n"/>
      <c r="L146" s="8" t="n"/>
      <c r="M146" s="8" t="n"/>
      <c r="N146" s="8" t="n"/>
      <c r="O146" s="8" t="n"/>
      <c r="P146" s="9">
        <f>IF(B146="","","")</f>
        <v/>
      </c>
      <c r="Q146" s="8" t="n"/>
      <c r="R146" s="9">
        <f>IF(H146="Critical","P1-Critical",IF(H146="High","P2-High",IF(H146="Medium","P3-Medium","P4-Low")))</f>
        <v/>
      </c>
      <c r="S146" s="8" t="n"/>
    </row>
    <row r="147">
      <c r="A147" s="8" t="n"/>
      <c r="B147" s="8" t="n"/>
      <c r="C147" s="8" t="n"/>
      <c r="D147" s="8" t="n"/>
      <c r="E147" s="8" t="n"/>
      <c r="F147" s="8" t="n"/>
      <c r="G147" s="8" t="n"/>
      <c r="H147" s="8" t="n"/>
      <c r="I147" s="8" t="n"/>
      <c r="J147" s="8" t="n"/>
      <c r="K147" s="8" t="n"/>
      <c r="L147" s="8" t="n"/>
      <c r="M147" s="8" t="n"/>
      <c r="N147" s="8" t="n"/>
      <c r="O147" s="8" t="n"/>
      <c r="P147" s="9">
        <f>IF(B147="","","")</f>
        <v/>
      </c>
      <c r="Q147" s="8" t="n"/>
      <c r="R147" s="9">
        <f>IF(H147="Critical","P1-Critical",IF(H147="High","P2-High",IF(H147="Medium","P3-Medium","P4-Low")))</f>
        <v/>
      </c>
      <c r="S147" s="8" t="n"/>
    </row>
    <row r="148">
      <c r="A148" s="8" t="n"/>
      <c r="B148" s="8" t="n"/>
      <c r="C148" s="8" t="n"/>
      <c r="D148" s="8" t="n"/>
      <c r="E148" s="8" t="n"/>
      <c r="F148" s="8" t="n"/>
      <c r="G148" s="8" t="n"/>
      <c r="H148" s="8" t="n"/>
      <c r="I148" s="8" t="n"/>
      <c r="J148" s="8" t="n"/>
      <c r="K148" s="8" t="n"/>
      <c r="L148" s="8" t="n"/>
      <c r="M148" s="8" t="n"/>
      <c r="N148" s="8" t="n"/>
      <c r="O148" s="8" t="n"/>
      <c r="P148" s="9">
        <f>IF(B148="","","")</f>
        <v/>
      </c>
      <c r="Q148" s="8" t="n"/>
      <c r="R148" s="9">
        <f>IF(H148="Critical","P1-Critical",IF(H148="High","P2-High",IF(H148="Medium","P3-Medium","P4-Low")))</f>
        <v/>
      </c>
      <c r="S148" s="8" t="n"/>
    </row>
    <row r="149">
      <c r="A149" s="8" t="n"/>
      <c r="B149" s="8" t="n"/>
      <c r="C149" s="8" t="n"/>
      <c r="D149" s="8" t="n"/>
      <c r="E149" s="8" t="n"/>
      <c r="F149" s="8" t="n"/>
      <c r="G149" s="8" t="n"/>
      <c r="H149" s="8" t="n"/>
      <c r="I149" s="8" t="n"/>
      <c r="J149" s="8" t="n"/>
      <c r="K149" s="8" t="n"/>
      <c r="L149" s="8" t="n"/>
      <c r="M149" s="8" t="n"/>
      <c r="N149" s="8" t="n"/>
      <c r="O149" s="8" t="n"/>
      <c r="P149" s="9">
        <f>IF(B149="","","")</f>
        <v/>
      </c>
      <c r="Q149" s="8" t="n"/>
      <c r="R149" s="9">
        <f>IF(H149="Critical","P1-Critical",IF(H149="High","P2-High",IF(H149="Medium","P3-Medium","P4-Low")))</f>
        <v/>
      </c>
      <c r="S149" s="8" t="n"/>
    </row>
    <row r="150">
      <c r="A150" s="8" t="n"/>
      <c r="B150" s="8" t="n"/>
      <c r="C150" s="8" t="n"/>
      <c r="D150" s="8" t="n"/>
      <c r="E150" s="8" t="n"/>
      <c r="F150" s="8" t="n"/>
      <c r="G150" s="8" t="n"/>
      <c r="H150" s="8" t="n"/>
      <c r="I150" s="8" t="n"/>
      <c r="J150" s="8" t="n"/>
      <c r="K150" s="8" t="n"/>
      <c r="L150" s="8" t="n"/>
      <c r="M150" s="8" t="n"/>
      <c r="N150" s="8" t="n"/>
      <c r="O150" s="8" t="n"/>
      <c r="P150" s="9">
        <f>IF(B150="","","")</f>
        <v/>
      </c>
      <c r="Q150" s="8" t="n"/>
      <c r="R150" s="9">
        <f>IF(H150="Critical","P1-Critical",IF(H150="High","P2-High",IF(H150="Medium","P3-Medium","P4-Low")))</f>
        <v/>
      </c>
      <c r="S150" s="8" t="n"/>
    </row>
    <row r="151">
      <c r="A151" s="8" t="n"/>
      <c r="B151" s="8" t="n"/>
      <c r="C151" s="8" t="n"/>
      <c r="D151" s="8" t="n"/>
      <c r="E151" s="8" t="n"/>
      <c r="F151" s="8" t="n"/>
      <c r="G151" s="8" t="n"/>
      <c r="H151" s="8" t="n"/>
      <c r="I151" s="8" t="n"/>
      <c r="J151" s="8" t="n"/>
      <c r="K151" s="8" t="n"/>
      <c r="L151" s="8" t="n"/>
      <c r="M151" s="8" t="n"/>
      <c r="N151" s="8" t="n"/>
      <c r="O151" s="8" t="n"/>
      <c r="P151" s="9">
        <f>IF(B151="","","")</f>
        <v/>
      </c>
      <c r="Q151" s="8" t="n"/>
      <c r="R151" s="9">
        <f>IF(H151="Critical","P1-Critical",IF(H151="High","P2-High",IF(H151="Medium","P3-Medium","P4-Low")))</f>
        <v/>
      </c>
      <c r="S151" s="8" t="n"/>
    </row>
    <row r="152">
      <c r="A152" s="8" t="n"/>
      <c r="B152" s="8" t="n"/>
      <c r="C152" s="8" t="n"/>
      <c r="D152" s="8" t="n"/>
      <c r="E152" s="8" t="n"/>
      <c r="F152" s="8" t="n"/>
      <c r="G152" s="8" t="n"/>
      <c r="H152" s="8" t="n"/>
      <c r="I152" s="8" t="n"/>
      <c r="J152" s="8" t="n"/>
      <c r="K152" s="8" t="n"/>
      <c r="L152" s="8" t="n"/>
      <c r="M152" s="8" t="n"/>
      <c r="N152" s="8" t="n"/>
      <c r="O152" s="8" t="n"/>
      <c r="P152" s="9">
        <f>IF(B152="","","")</f>
        <v/>
      </c>
      <c r="Q152" s="8" t="n"/>
      <c r="R152" s="9">
        <f>IF(H152="Critical","P1-Critical",IF(H152="High","P2-High",IF(H152="Medium","P3-Medium","P4-Low")))</f>
        <v/>
      </c>
      <c r="S152" s="8" t="n"/>
    </row>
  </sheetData>
  <mergeCells count="1">
    <mergeCell ref="A1:S1"/>
  </mergeCells>
  <conditionalFormatting sqref="H3:H152">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K3:K152">
    <cfRule type="cellIs" priority="4" operator="equal" dxfId="3">
      <formula>"Yes (Change ID)"</formula>
    </cfRule>
    <cfRule type="cellIs" priority="5" operator="equal" dxfId="1">
      <formula>"No (Unauthorized)"</formula>
    </cfRule>
  </conditionalFormatting>
  <conditionalFormatting sqref="O3:O152">
    <cfRule type="cellIs" priority="6" operator="equal" dxfId="3">
      <formula>"Closed"</formula>
    </cfRule>
  </conditionalFormatting>
  <dataValidations count="5">
    <dataValidation sqref="H3:H152" showDropDown="0" showInputMessage="0" showErrorMessage="0" allowBlank="0" errorTitle="Invalid Entry" error="Invalid entry" promptTitle="Selection Required" prompt="Please select from the dropdown" type="list">
      <formula1>"🔴 Critical,🟡 High,🟢 Medium,⭕ Low,ℹ️ Informational"</formula1>
    </dataValidation>
    <dataValidation sqref="I3:I152" showDropDown="0" showInputMessage="0" showErrorMessage="0" allowBlank="0" errorTitle="Invalid Entry" error="Invalid entry" promptTitle="Selection Required" prompt="Please select from the dropdown" type="list">
      <formula1>"Automated Continuous,Scheduled Scan,Manual Check,User Report"</formula1>
    </dataValidation>
    <dataValidation sqref="K3:K152" showDropDown="0" showInputMessage="0" showErrorMessage="0" allowBlank="0" errorTitle="Invalid Entry" error="Invalid entry" promptTitle="Selection Required" prompt="Please select from the dropdown" type="list">
      <formula1>"Yes (Change ID),No (Unauthorized),Under Investigation"</formula1>
    </dataValidation>
    <dataValidation sqref="M3:M152" showDropDown="0" showInputMessage="0" showErrorMessage="0" allowBlank="1" errorTitle="Invalid Entry" error="Invalid entry" promptTitle="Selection Required" prompt="Please select from the dropdown" type="list">
      <formula1>"Unauthorized Manual Change,Tool Failure,Software Update,Baseline Not Updated,Environmental,Malicious,Other"</formula1>
    </dataValidation>
    <dataValidation sqref="O3:O152" showDropDown="0" showInputMessage="0" showErrorMessage="0" allowBlank="0" errorTitle="Invalid Entry" error="Invalid entry" promptTitle="Selection Required" prompt="Please select from the dropdown" type="list">
      <formula1>"🔍 Detected,🔎 Under Investigation,⏳ Remediation In Progress,✅ Remediated,✔️ Closed,➖ False 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40" customWidth="1" min="5" max="5"/>
    <col width="35" customWidth="1" min="6" max="6"/>
    <col width="15" customWidth="1" min="7" max="7"/>
    <col width="18" customWidth="1" min="8" max="8"/>
    <col width="35" customWidth="1" min="9" max="9"/>
    <col width="20" customWidth="1" min="10" max="10"/>
    <col width="20" customWidth="1" min="11" max="11"/>
    <col width="15" customWidth="1" min="12" max="12"/>
    <col width="15" customWidth="1" min="13" max="13"/>
    <col width="35" customWidth="1" min="14" max="14"/>
    <col width="20" customWidth="1" min="15" max="15"/>
    <col width="35" customWidth="1" min="16" max="16"/>
  </cols>
  <sheetData>
    <row r="1" ht="30" customHeight="1">
      <c r="A1" s="7" t="inlineStr">
        <is>
          <t>Monitoring Tool Inventory</t>
        </is>
      </c>
    </row>
    <row r="2" ht="30" customHeight="1">
      <c r="A2" s="6" t="inlineStr">
        <is>
          <t>Tool ID</t>
        </is>
      </c>
      <c r="B2" s="6" t="inlineStr">
        <is>
          <t>Tool Name</t>
        </is>
      </c>
      <c r="C2" s="6" t="inlineStr">
        <is>
          <t>Vendor</t>
        </is>
      </c>
      <c r="D2" s="6" t="inlineStr">
        <is>
          <t>Tool Type</t>
        </is>
      </c>
      <c r="E2" s="6" t="inlineStr">
        <is>
          <t>Monitoring Capabilities</t>
        </is>
      </c>
      <c r="F2" s="6" t="inlineStr">
        <is>
          <t>Asset Types Covered</t>
        </is>
      </c>
      <c r="G2" s="6" t="inlineStr">
        <is>
          <t>Assets Monitored Count</t>
        </is>
      </c>
      <c r="H2" s="6" t="inlineStr">
        <is>
          <t>Deployment Status</t>
        </is>
      </c>
      <c r="I2" s="6" t="inlineStr">
        <is>
          <t>Integration Points</t>
        </is>
      </c>
      <c r="J2" s="6" t="inlineStr">
        <is>
          <t>Alerting Method</t>
        </is>
      </c>
      <c r="K2" s="6" t="inlineStr">
        <is>
          <t>Licensing Model</t>
        </is>
      </c>
      <c r="L2" s="6" t="inlineStr">
        <is>
          <t>Annual Cost</t>
        </is>
      </c>
      <c r="M2" s="6" t="inlineStr">
        <is>
          <t>Last Health Check</t>
        </is>
      </c>
      <c r="N2" s="6" t="inlineStr">
        <is>
          <t>Known Limitations</t>
        </is>
      </c>
      <c r="O2" s="6" t="inlineStr">
        <is>
          <t>Tool Owner</t>
        </is>
      </c>
      <c r="P2" s="6" t="inlineStr">
        <is>
          <t>Notes</t>
        </is>
      </c>
    </row>
    <row r="3">
      <c r="A3" s="8" t="n"/>
      <c r="B3" s="8" t="n"/>
      <c r="C3" s="8" t="n"/>
      <c r="D3" s="8" t="n"/>
      <c r="E3" s="8" t="n"/>
      <c r="F3" s="8" t="n"/>
      <c r="G3" s="8" t="n"/>
      <c r="H3" s="8" t="n"/>
      <c r="I3" s="8" t="n"/>
      <c r="J3" s="8" t="n"/>
      <c r="K3" s="8" t="n"/>
      <c r="L3" s="8" t="n"/>
      <c r="M3" s="8" t="n"/>
      <c r="N3" s="8" t="n"/>
      <c r="O3" s="8" t="n"/>
      <c r="P3" s="8" t="n"/>
    </row>
    <row r="4">
      <c r="A4" s="8" t="n"/>
      <c r="B4" s="8" t="n"/>
      <c r="C4" s="8" t="n"/>
      <c r="D4" s="8" t="n"/>
      <c r="E4" s="8" t="n"/>
      <c r="F4" s="8" t="n"/>
      <c r="G4" s="8" t="n"/>
      <c r="H4" s="8" t="n"/>
      <c r="I4" s="8" t="n"/>
      <c r="J4" s="8" t="n"/>
      <c r="K4" s="8" t="n"/>
      <c r="L4" s="8" t="n"/>
      <c r="M4" s="8" t="n"/>
      <c r="N4" s="8" t="n"/>
      <c r="O4" s="8" t="n"/>
      <c r="P4" s="8" t="n"/>
    </row>
    <row r="5">
      <c r="A5" s="8" t="n"/>
      <c r="B5" s="8" t="n"/>
      <c r="C5" s="8" t="n"/>
      <c r="D5" s="8" t="n"/>
      <c r="E5" s="8" t="n"/>
      <c r="F5" s="8" t="n"/>
      <c r="G5" s="8" t="n"/>
      <c r="H5" s="8" t="n"/>
      <c r="I5" s="8" t="n"/>
      <c r="J5" s="8" t="n"/>
      <c r="K5" s="8" t="n"/>
      <c r="L5" s="8" t="n"/>
      <c r="M5" s="8" t="n"/>
      <c r="N5" s="8" t="n"/>
      <c r="O5" s="8" t="n"/>
      <c r="P5" s="8" t="n"/>
    </row>
    <row r="6">
      <c r="A6" s="8" t="n"/>
      <c r="B6" s="8" t="n"/>
      <c r="C6" s="8" t="n"/>
      <c r="D6" s="8" t="n"/>
      <c r="E6" s="8" t="n"/>
      <c r="F6" s="8" t="n"/>
      <c r="G6" s="8" t="n"/>
      <c r="H6" s="8" t="n"/>
      <c r="I6" s="8" t="n"/>
      <c r="J6" s="8" t="n"/>
      <c r="K6" s="8" t="n"/>
      <c r="L6" s="8" t="n"/>
      <c r="M6" s="8" t="n"/>
      <c r="N6" s="8" t="n"/>
      <c r="O6" s="8" t="n"/>
      <c r="P6" s="8" t="n"/>
    </row>
    <row r="7">
      <c r="A7" s="8" t="n"/>
      <c r="B7" s="8" t="n"/>
      <c r="C7" s="8" t="n"/>
      <c r="D7" s="8" t="n"/>
      <c r="E7" s="8" t="n"/>
      <c r="F7" s="8" t="n"/>
      <c r="G7" s="8" t="n"/>
      <c r="H7" s="8" t="n"/>
      <c r="I7" s="8" t="n"/>
      <c r="J7" s="8" t="n"/>
      <c r="K7" s="8" t="n"/>
      <c r="L7" s="8" t="n"/>
      <c r="M7" s="8" t="n"/>
      <c r="N7" s="8" t="n"/>
      <c r="O7" s="8" t="n"/>
      <c r="P7" s="8" t="n"/>
    </row>
    <row r="8">
      <c r="A8" s="8" t="n"/>
      <c r="B8" s="8" t="n"/>
      <c r="C8" s="8" t="n"/>
      <c r="D8" s="8" t="n"/>
      <c r="E8" s="8" t="n"/>
      <c r="F8" s="8" t="n"/>
      <c r="G8" s="8" t="n"/>
      <c r="H8" s="8" t="n"/>
      <c r="I8" s="8" t="n"/>
      <c r="J8" s="8" t="n"/>
      <c r="K8" s="8" t="n"/>
      <c r="L8" s="8" t="n"/>
      <c r="M8" s="8" t="n"/>
      <c r="N8" s="8" t="n"/>
      <c r="O8" s="8" t="n"/>
      <c r="P8" s="8" t="n"/>
    </row>
    <row r="9">
      <c r="A9" s="8" t="n"/>
      <c r="B9" s="8" t="n"/>
      <c r="C9" s="8" t="n"/>
      <c r="D9" s="8" t="n"/>
      <c r="E9" s="8" t="n"/>
      <c r="F9" s="8" t="n"/>
      <c r="G9" s="8" t="n"/>
      <c r="H9" s="8" t="n"/>
      <c r="I9" s="8" t="n"/>
      <c r="J9" s="8" t="n"/>
      <c r="K9" s="8" t="n"/>
      <c r="L9" s="8" t="n"/>
      <c r="M9" s="8" t="n"/>
      <c r="N9" s="8" t="n"/>
      <c r="O9" s="8" t="n"/>
      <c r="P9" s="8" t="n"/>
    </row>
    <row r="10">
      <c r="A10" s="8" t="n"/>
      <c r="B10" s="8" t="n"/>
      <c r="C10" s="8" t="n"/>
      <c r="D10" s="8" t="n"/>
      <c r="E10" s="8" t="n"/>
      <c r="F10" s="8" t="n"/>
      <c r="G10" s="8" t="n"/>
      <c r="H10" s="8" t="n"/>
      <c r="I10" s="8" t="n"/>
      <c r="J10" s="8" t="n"/>
      <c r="K10" s="8" t="n"/>
      <c r="L10" s="8" t="n"/>
      <c r="M10" s="8" t="n"/>
      <c r="N10" s="8" t="n"/>
      <c r="O10" s="8" t="n"/>
      <c r="P10" s="8" t="n"/>
    </row>
    <row r="11">
      <c r="A11" s="8" t="n"/>
      <c r="B11" s="8" t="n"/>
      <c r="C11" s="8" t="n"/>
      <c r="D11" s="8" t="n"/>
      <c r="E11" s="8" t="n"/>
      <c r="F11" s="8" t="n"/>
      <c r="G11" s="8" t="n"/>
      <c r="H11" s="8" t="n"/>
      <c r="I11" s="8" t="n"/>
      <c r="J11" s="8" t="n"/>
      <c r="K11" s="8" t="n"/>
      <c r="L11" s="8" t="n"/>
      <c r="M11" s="8" t="n"/>
      <c r="N11" s="8" t="n"/>
      <c r="O11" s="8" t="n"/>
      <c r="P11" s="8" t="n"/>
    </row>
    <row r="12">
      <c r="A12" s="8" t="n"/>
      <c r="B12" s="8" t="n"/>
      <c r="C12" s="8" t="n"/>
      <c r="D12" s="8" t="n"/>
      <c r="E12" s="8" t="n"/>
      <c r="F12" s="8" t="n"/>
      <c r="G12" s="8" t="n"/>
      <c r="H12" s="8" t="n"/>
      <c r="I12" s="8" t="n"/>
      <c r="J12" s="8" t="n"/>
      <c r="K12" s="8" t="n"/>
      <c r="L12" s="8" t="n"/>
      <c r="M12" s="8" t="n"/>
      <c r="N12" s="8" t="n"/>
      <c r="O12" s="8" t="n"/>
      <c r="P12" s="8" t="n"/>
    </row>
    <row r="13">
      <c r="A13" s="8" t="n"/>
      <c r="B13" s="8" t="n"/>
      <c r="C13" s="8" t="n"/>
      <c r="D13" s="8" t="n"/>
      <c r="E13" s="8" t="n"/>
      <c r="F13" s="8" t="n"/>
      <c r="G13" s="8" t="n"/>
      <c r="H13" s="8" t="n"/>
      <c r="I13" s="8" t="n"/>
      <c r="J13" s="8" t="n"/>
      <c r="K13" s="8" t="n"/>
      <c r="L13" s="8" t="n"/>
      <c r="M13" s="8" t="n"/>
      <c r="N13" s="8" t="n"/>
      <c r="O13" s="8" t="n"/>
      <c r="P13" s="8" t="n"/>
    </row>
    <row r="14">
      <c r="A14" s="8" t="n"/>
      <c r="B14" s="8" t="n"/>
      <c r="C14" s="8" t="n"/>
      <c r="D14" s="8" t="n"/>
      <c r="E14" s="8" t="n"/>
      <c r="F14" s="8" t="n"/>
      <c r="G14" s="8" t="n"/>
      <c r="H14" s="8" t="n"/>
      <c r="I14" s="8" t="n"/>
      <c r="J14" s="8" t="n"/>
      <c r="K14" s="8" t="n"/>
      <c r="L14" s="8" t="n"/>
      <c r="M14" s="8" t="n"/>
      <c r="N14" s="8" t="n"/>
      <c r="O14" s="8" t="n"/>
      <c r="P14" s="8" t="n"/>
    </row>
    <row r="15">
      <c r="A15" s="8" t="n"/>
      <c r="B15" s="8" t="n"/>
      <c r="C15" s="8" t="n"/>
      <c r="D15" s="8" t="n"/>
      <c r="E15" s="8" t="n"/>
      <c r="F15" s="8" t="n"/>
      <c r="G15" s="8" t="n"/>
      <c r="H15" s="8" t="n"/>
      <c r="I15" s="8" t="n"/>
      <c r="J15" s="8" t="n"/>
      <c r="K15" s="8" t="n"/>
      <c r="L15" s="8" t="n"/>
      <c r="M15" s="8" t="n"/>
      <c r="N15" s="8" t="n"/>
      <c r="O15" s="8" t="n"/>
      <c r="P15" s="8" t="n"/>
    </row>
    <row r="16">
      <c r="A16" s="8" t="n"/>
      <c r="B16" s="8" t="n"/>
      <c r="C16" s="8" t="n"/>
      <c r="D16" s="8" t="n"/>
      <c r="E16" s="8" t="n"/>
      <c r="F16" s="8" t="n"/>
      <c r="G16" s="8" t="n"/>
      <c r="H16" s="8" t="n"/>
      <c r="I16" s="8" t="n"/>
      <c r="J16" s="8" t="n"/>
      <c r="K16" s="8" t="n"/>
      <c r="L16" s="8" t="n"/>
      <c r="M16" s="8" t="n"/>
      <c r="N16" s="8" t="n"/>
      <c r="O16" s="8" t="n"/>
      <c r="P16" s="8" t="n"/>
    </row>
    <row r="17">
      <c r="A17" s="8" t="n"/>
      <c r="B17" s="8" t="n"/>
      <c r="C17" s="8" t="n"/>
      <c r="D17" s="8" t="n"/>
      <c r="E17" s="8" t="n"/>
      <c r="F17" s="8" t="n"/>
      <c r="G17" s="8" t="n"/>
      <c r="H17" s="8" t="n"/>
      <c r="I17" s="8" t="n"/>
      <c r="J17" s="8" t="n"/>
      <c r="K17" s="8" t="n"/>
      <c r="L17" s="8" t="n"/>
      <c r="M17" s="8" t="n"/>
      <c r="N17" s="8" t="n"/>
      <c r="O17" s="8" t="n"/>
      <c r="P17" s="8" t="n"/>
    </row>
    <row r="18">
      <c r="A18" s="8" t="n"/>
      <c r="B18" s="8" t="n"/>
      <c r="C18" s="8" t="n"/>
      <c r="D18" s="8" t="n"/>
      <c r="E18" s="8" t="n"/>
      <c r="F18" s="8" t="n"/>
      <c r="G18" s="8" t="n"/>
      <c r="H18" s="8" t="n"/>
      <c r="I18" s="8" t="n"/>
      <c r="J18" s="8" t="n"/>
      <c r="K18" s="8" t="n"/>
      <c r="L18" s="8" t="n"/>
      <c r="M18" s="8" t="n"/>
      <c r="N18" s="8" t="n"/>
      <c r="O18" s="8" t="n"/>
      <c r="P18" s="8" t="n"/>
    </row>
    <row r="19">
      <c r="A19" s="8" t="n"/>
      <c r="B19" s="8" t="n"/>
      <c r="C19" s="8" t="n"/>
      <c r="D19" s="8" t="n"/>
      <c r="E19" s="8" t="n"/>
      <c r="F19" s="8" t="n"/>
      <c r="G19" s="8" t="n"/>
      <c r="H19" s="8" t="n"/>
      <c r="I19" s="8" t="n"/>
      <c r="J19" s="8" t="n"/>
      <c r="K19" s="8" t="n"/>
      <c r="L19" s="8" t="n"/>
      <c r="M19" s="8" t="n"/>
      <c r="N19" s="8" t="n"/>
      <c r="O19" s="8" t="n"/>
      <c r="P19" s="8" t="n"/>
    </row>
    <row r="20">
      <c r="A20" s="8" t="n"/>
      <c r="B20" s="8" t="n"/>
      <c r="C20" s="8" t="n"/>
      <c r="D20" s="8" t="n"/>
      <c r="E20" s="8" t="n"/>
      <c r="F20" s="8" t="n"/>
      <c r="G20" s="8" t="n"/>
      <c r="H20" s="8" t="n"/>
      <c r="I20" s="8" t="n"/>
      <c r="J20" s="8" t="n"/>
      <c r="K20" s="8" t="n"/>
      <c r="L20" s="8" t="n"/>
      <c r="M20" s="8" t="n"/>
      <c r="N20" s="8" t="n"/>
      <c r="O20" s="8" t="n"/>
      <c r="P20" s="8" t="n"/>
    </row>
    <row r="21">
      <c r="A21" s="8" t="n"/>
      <c r="B21" s="8" t="n"/>
      <c r="C21" s="8" t="n"/>
      <c r="D21" s="8" t="n"/>
      <c r="E21" s="8" t="n"/>
      <c r="F21" s="8" t="n"/>
      <c r="G21" s="8" t="n"/>
      <c r="H21" s="8" t="n"/>
      <c r="I21" s="8" t="n"/>
      <c r="J21" s="8" t="n"/>
      <c r="K21" s="8" t="n"/>
      <c r="L21" s="8" t="n"/>
      <c r="M21" s="8" t="n"/>
      <c r="N21" s="8" t="n"/>
      <c r="O21" s="8" t="n"/>
      <c r="P21" s="8" t="n"/>
    </row>
    <row r="22">
      <c r="A22" s="8" t="n"/>
      <c r="B22" s="8" t="n"/>
      <c r="C22" s="8" t="n"/>
      <c r="D22" s="8" t="n"/>
      <c r="E22" s="8" t="n"/>
      <c r="F22" s="8" t="n"/>
      <c r="G22" s="8" t="n"/>
      <c r="H22" s="8" t="n"/>
      <c r="I22" s="8" t="n"/>
      <c r="J22" s="8" t="n"/>
      <c r="K22" s="8" t="n"/>
      <c r="L22" s="8" t="n"/>
      <c r="M22" s="8" t="n"/>
      <c r="N22" s="8" t="n"/>
      <c r="O22" s="8" t="n"/>
      <c r="P22" s="8" t="n"/>
    </row>
    <row r="23">
      <c r="A23" s="8" t="n"/>
      <c r="B23" s="8" t="n"/>
      <c r="C23" s="8" t="n"/>
      <c r="D23" s="8" t="n"/>
      <c r="E23" s="8" t="n"/>
      <c r="F23" s="8" t="n"/>
      <c r="G23" s="8" t="n"/>
      <c r="H23" s="8" t="n"/>
      <c r="I23" s="8" t="n"/>
      <c r="J23" s="8" t="n"/>
      <c r="K23" s="8" t="n"/>
      <c r="L23" s="8" t="n"/>
      <c r="M23" s="8" t="n"/>
      <c r="N23" s="8" t="n"/>
      <c r="O23" s="8" t="n"/>
      <c r="P23" s="8" t="n"/>
    </row>
    <row r="24">
      <c r="A24" s="8" t="n"/>
      <c r="B24" s="8" t="n"/>
      <c r="C24" s="8" t="n"/>
      <c r="D24" s="8" t="n"/>
      <c r="E24" s="8" t="n"/>
      <c r="F24" s="8" t="n"/>
      <c r="G24" s="8" t="n"/>
      <c r="H24" s="8" t="n"/>
      <c r="I24" s="8" t="n"/>
      <c r="J24" s="8" t="n"/>
      <c r="K24" s="8" t="n"/>
      <c r="L24" s="8" t="n"/>
      <c r="M24" s="8" t="n"/>
      <c r="N24" s="8" t="n"/>
      <c r="O24" s="8" t="n"/>
      <c r="P24" s="8" t="n"/>
    </row>
    <row r="25">
      <c r="A25" s="8" t="n"/>
      <c r="B25" s="8" t="n"/>
      <c r="C25" s="8" t="n"/>
      <c r="D25" s="8" t="n"/>
      <c r="E25" s="8" t="n"/>
      <c r="F25" s="8" t="n"/>
      <c r="G25" s="8" t="n"/>
      <c r="H25" s="8" t="n"/>
      <c r="I25" s="8" t="n"/>
      <c r="J25" s="8" t="n"/>
      <c r="K25" s="8" t="n"/>
      <c r="L25" s="8" t="n"/>
      <c r="M25" s="8" t="n"/>
      <c r="N25" s="8" t="n"/>
      <c r="O25" s="8" t="n"/>
      <c r="P25" s="8" t="n"/>
    </row>
    <row r="26">
      <c r="A26" s="8" t="n"/>
      <c r="B26" s="8" t="n"/>
      <c r="C26" s="8" t="n"/>
      <c r="D26" s="8" t="n"/>
      <c r="E26" s="8" t="n"/>
      <c r="F26" s="8" t="n"/>
      <c r="G26" s="8" t="n"/>
      <c r="H26" s="8" t="n"/>
      <c r="I26" s="8" t="n"/>
      <c r="J26" s="8" t="n"/>
      <c r="K26" s="8" t="n"/>
      <c r="L26" s="8" t="n"/>
      <c r="M26" s="8" t="n"/>
      <c r="N26" s="8" t="n"/>
      <c r="O26" s="8" t="n"/>
      <c r="P26" s="8" t="n"/>
    </row>
    <row r="27">
      <c r="A27" s="8" t="n"/>
      <c r="B27" s="8" t="n"/>
      <c r="C27" s="8" t="n"/>
      <c r="D27" s="8" t="n"/>
      <c r="E27" s="8" t="n"/>
      <c r="F27" s="8" t="n"/>
      <c r="G27" s="8" t="n"/>
      <c r="H27" s="8" t="n"/>
      <c r="I27" s="8" t="n"/>
      <c r="J27" s="8" t="n"/>
      <c r="K27" s="8" t="n"/>
      <c r="L27" s="8" t="n"/>
      <c r="M27" s="8" t="n"/>
      <c r="N27" s="8" t="n"/>
      <c r="O27" s="8" t="n"/>
      <c r="P27" s="8" t="n"/>
    </row>
    <row r="28">
      <c r="A28" s="8" t="n"/>
      <c r="B28" s="8" t="n"/>
      <c r="C28" s="8" t="n"/>
      <c r="D28" s="8" t="n"/>
      <c r="E28" s="8" t="n"/>
      <c r="F28" s="8" t="n"/>
      <c r="G28" s="8" t="n"/>
      <c r="H28" s="8" t="n"/>
      <c r="I28" s="8" t="n"/>
      <c r="J28" s="8" t="n"/>
      <c r="K28" s="8" t="n"/>
      <c r="L28" s="8" t="n"/>
      <c r="M28" s="8" t="n"/>
      <c r="N28" s="8" t="n"/>
      <c r="O28" s="8" t="n"/>
      <c r="P28" s="8" t="n"/>
    </row>
    <row r="29">
      <c r="A29" s="8" t="n"/>
      <c r="B29" s="8" t="n"/>
      <c r="C29" s="8" t="n"/>
      <c r="D29" s="8" t="n"/>
      <c r="E29" s="8" t="n"/>
      <c r="F29" s="8" t="n"/>
      <c r="G29" s="8" t="n"/>
      <c r="H29" s="8" t="n"/>
      <c r="I29" s="8" t="n"/>
      <c r="J29" s="8" t="n"/>
      <c r="K29" s="8" t="n"/>
      <c r="L29" s="8" t="n"/>
      <c r="M29" s="8" t="n"/>
      <c r="N29" s="8" t="n"/>
      <c r="O29" s="8" t="n"/>
      <c r="P29" s="8" t="n"/>
    </row>
    <row r="30">
      <c r="A30" s="8" t="n"/>
      <c r="B30" s="8" t="n"/>
      <c r="C30" s="8" t="n"/>
      <c r="D30" s="8" t="n"/>
      <c r="E30" s="8" t="n"/>
      <c r="F30" s="8" t="n"/>
      <c r="G30" s="8" t="n"/>
      <c r="H30" s="8" t="n"/>
      <c r="I30" s="8" t="n"/>
      <c r="J30" s="8" t="n"/>
      <c r="K30" s="8" t="n"/>
      <c r="L30" s="8" t="n"/>
      <c r="M30" s="8" t="n"/>
      <c r="N30" s="8" t="n"/>
      <c r="O30" s="8" t="n"/>
      <c r="P30" s="8" t="n"/>
    </row>
    <row r="31">
      <c r="A31" s="8" t="n"/>
      <c r="B31" s="8" t="n"/>
      <c r="C31" s="8" t="n"/>
      <c r="D31" s="8" t="n"/>
      <c r="E31" s="8" t="n"/>
      <c r="F31" s="8" t="n"/>
      <c r="G31" s="8" t="n"/>
      <c r="H31" s="8" t="n"/>
      <c r="I31" s="8" t="n"/>
      <c r="J31" s="8" t="n"/>
      <c r="K31" s="8" t="n"/>
      <c r="L31" s="8" t="n"/>
      <c r="M31" s="8" t="n"/>
      <c r="N31" s="8" t="n"/>
      <c r="O31" s="8" t="n"/>
      <c r="P31" s="8" t="n"/>
    </row>
    <row r="32">
      <c r="A32" s="8" t="n"/>
      <c r="B32" s="8" t="n"/>
      <c r="C32" s="8" t="n"/>
      <c r="D32" s="8" t="n"/>
      <c r="E32" s="8" t="n"/>
      <c r="F32" s="8" t="n"/>
      <c r="G32" s="8" t="n"/>
      <c r="H32" s="8" t="n"/>
      <c r="I32" s="8" t="n"/>
      <c r="J32" s="8" t="n"/>
      <c r="K32" s="8" t="n"/>
      <c r="L32" s="8" t="n"/>
      <c r="M32" s="8" t="n"/>
      <c r="N32" s="8" t="n"/>
      <c r="O32" s="8" t="n"/>
      <c r="P32" s="8" t="n"/>
    </row>
    <row r="33">
      <c r="K33" s="2" t="inlineStr">
        <is>
          <t>TOTAL:</t>
        </is>
      </c>
      <c r="L33" s="10">
        <f>SUM(L3:L32)</f>
        <v/>
      </c>
    </row>
  </sheetData>
  <mergeCells count="1">
    <mergeCell ref="A1:P1"/>
  </mergeCells>
  <conditionalFormatting sqref="H3:H32">
    <cfRule type="cellIs" priority="1" operator="equal" dxfId="4">
      <formula>"Active"</formula>
    </cfRule>
    <cfRule type="cellIs" priority="2" operator="equal" dxfId="2">
      <formula>"Degraded"</formula>
    </cfRule>
    <cfRule type="cellIs" priority="3" operator="equal" dxfId="5">
      <formula>"Offline"</formula>
    </cfRule>
  </conditionalFormatting>
  <dataValidations count="4">
    <dataValidation sqref="D3:D32" showDropDown="0" showInputMessage="0" showErrorMessage="0" allowBlank="0" errorTitle="Invalid Entry" error="Invalid entry" promptTitle="Selection Required" prompt="Please select from the dropdown" type="list">
      <formula1>"Agent-Based,Agentless,Network Scanner,Script/Custom,Cloud-Native,SIEM Integration"</formula1>
    </dataValidation>
    <dataValidation sqref="H3:H32" showDropDown="0" showInputMessage="0" showErrorMessage="0" allowBlank="0" errorTitle="Invalid Entry" error="Invalid entry" promptTitle="Selection Required" prompt="Please select from the dropdown" type="list">
      <formula1>"✅ Active,⚠️ Degraded,❌ Offline,🧪 Pilot,⏸️ Decommissioned"</formula1>
    </dataValidation>
    <dataValidation sqref="J3:J32" showDropDown="0" showInputMessage="0" showErrorMessage="0" allowBlank="1" errorTitle="Invalid Entry" error="Invalid entry" promptTitle="Selection Required" prompt="Please select from the dropdown" type="list">
      <formula1>"Email,SIEM,Webhook,Dashboard Only,Ticketing System,Multiple"</formula1>
    </dataValidation>
    <dataValidation sqref="K3:K32" showDropDown="0" showInputMessage="0" showErrorMessage="0" allowBlank="1" errorTitle="Invalid Entry" error="Invalid entry" promptTitle="Selection Required" prompt="Please select from the dropdown" type="list">
      <formula1>"Commercial,Open Source,Subscription,Perpetual,In-House Developed"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5" customWidth="1" min="3" max="3"/>
    <col width="15" customWidth="1" min="4" max="4"/>
    <col width="20" customWidth="1" min="5" max="5"/>
    <col width="15" customWidth="1" min="6" max="6"/>
    <col width="25" customWidth="1" min="7" max="7"/>
    <col width="40" customWidth="1" min="8" max="8"/>
    <col width="15" customWidth="1" min="9" max="9"/>
    <col width="12" customWidth="1" min="10" max="10"/>
    <col width="25" customWidth="1" min="11" max="11"/>
    <col width="15" customWidth="1" min="12" max="12"/>
    <col width="18" customWidth="1" min="13" max="13"/>
    <col width="35" customWidth="1" min="14" max="14"/>
    <col width="25" customWidth="1" min="15" max="15"/>
    <col width="18" customWidth="1" min="16" max="16"/>
    <col width="15" customWidth="1" min="17" max="17"/>
    <col width="35" customWidth="1" min="18" max="18"/>
  </cols>
  <sheetData>
    <row r="1" ht="30" customHeight="1">
      <c r="A1" s="7" t="inlineStr">
        <is>
          <t>Drift Remediation Tracking</t>
        </is>
      </c>
    </row>
    <row r="2" ht="30" customHeight="1">
      <c r="A2" s="6" t="inlineStr">
        <is>
          <t>Drift Incident ID</t>
        </is>
      </c>
      <c r="B2" s="6" t="inlineStr">
        <is>
          <t>Asset Name</t>
        </is>
      </c>
      <c r="C2" s="6" t="inlineStr">
        <is>
          <t>Drift Category</t>
        </is>
      </c>
      <c r="D2" s="6" t="inlineStr">
        <is>
          <t>Detection Date</t>
        </is>
      </c>
      <c r="E2" s="6" t="inlineStr">
        <is>
          <t>Remediation Owner</t>
        </is>
      </c>
      <c r="F2" s="6" t="inlineStr">
        <is>
          <t>Remediation Started Date</t>
        </is>
      </c>
      <c r="G2" s="6" t="inlineStr">
        <is>
          <t>Remediation Action Taken</t>
        </is>
      </c>
      <c r="H2" s="6" t="inlineStr">
        <is>
          <t>Remediation Action Detail</t>
        </is>
      </c>
      <c r="I2" s="6" t="inlineStr">
        <is>
          <t>Remediation Completed Date</t>
        </is>
      </c>
      <c r="J2" s="6" t="inlineStr">
        <is>
          <t>Time to Remediate (Days)</t>
        </is>
      </c>
      <c r="K2" s="6" t="inlineStr">
        <is>
          <t>Verification Method</t>
        </is>
      </c>
      <c r="L2" s="6" t="inlineStr">
        <is>
          <t>Verification Date</t>
        </is>
      </c>
      <c r="M2" s="6" t="inlineStr">
        <is>
          <t>Verification Result</t>
        </is>
      </c>
      <c r="N2" s="6" t="inlineStr">
        <is>
          <t>Recurrence Prevention</t>
        </is>
      </c>
      <c r="O2" s="6" t="inlineStr">
        <is>
          <t>Root Cause Remediation</t>
        </is>
      </c>
      <c r="P2" s="6" t="inlineStr">
        <is>
          <t>Remediation Status</t>
        </is>
      </c>
      <c r="Q2" s="6" t="inlineStr">
        <is>
          <t>SLA Compliance</t>
        </is>
      </c>
      <c r="R2" s="6" t="inlineStr">
        <is>
          <t>Notes</t>
        </is>
      </c>
    </row>
    <row r="3">
      <c r="A3" s="8" t="n"/>
      <c r="B3" s="8" t="n"/>
      <c r="C3" s="8" t="n"/>
      <c r="D3" s="8" t="n"/>
      <c r="E3" s="8" t="n"/>
      <c r="F3" s="8" t="n"/>
      <c r="G3" s="8" t="n"/>
      <c r="H3" s="8" t="n"/>
      <c r="I3" s="8" t="n"/>
      <c r="J3" s="9">
        <f>IF(OR(D3="",I3=""),"",I3-D3)</f>
        <v/>
      </c>
      <c r="K3" s="8" t="n"/>
      <c r="L3" s="8" t="n"/>
      <c r="M3" s="8" t="n"/>
      <c r="N3" s="8" t="n"/>
      <c r="O3" s="8" t="n"/>
      <c r="P3" s="9">
        <f>IF(I3&lt;&gt;"","Complete",IF(J3="","Not Started",IF(C3="Critical",IF(J3&lt;1,"On-Time","Overdue"),IF(C3="High",IF(J3&lt;2,"On-Time",IF(J3&lt;3,"At Risk","Overdue")),IF(J3&lt;8,"On-Time","At Risk")))))</f>
        <v/>
      </c>
      <c r="Q3" s="9">
        <f>IF(P3="Complete",IF(C3="Critical",IF(J3&lt;=0.17,"Met","Missed"),IF(C3="High",IF(J3&lt;=1,"Met","Missed"),IF(C3="Medium",IF(J3&lt;=7,"Met","Missed"),"N/A"))),"In Progress")</f>
        <v/>
      </c>
      <c r="R3" s="8" t="n"/>
    </row>
    <row r="4">
      <c r="A4" s="8" t="n"/>
      <c r="B4" s="8" t="n"/>
      <c r="C4" s="8" t="n"/>
      <c r="D4" s="8" t="n"/>
      <c r="E4" s="8" t="n"/>
      <c r="F4" s="8" t="n"/>
      <c r="G4" s="8" t="n"/>
      <c r="H4" s="8" t="n"/>
      <c r="I4" s="8" t="n"/>
      <c r="J4" s="9">
        <f>IF(OR(D4="",I4=""),"",I4-D4)</f>
        <v/>
      </c>
      <c r="K4" s="8" t="n"/>
      <c r="L4" s="8" t="n"/>
      <c r="M4" s="8" t="n"/>
      <c r="N4" s="8" t="n"/>
      <c r="O4" s="8" t="n"/>
      <c r="P4" s="9">
        <f>IF(I4&lt;&gt;"","Complete",IF(J4="","Not Started",IF(C4="Critical",IF(J4&lt;1,"On-Time","Overdue"),IF(C4="High",IF(J4&lt;2,"On-Time",IF(J4&lt;3,"At Risk","Overdue")),IF(J4&lt;8,"On-Time","At Risk")))))</f>
        <v/>
      </c>
      <c r="Q4" s="9">
        <f>IF(P4="Complete",IF(C4="Critical",IF(J4&lt;=0.17,"Met","Missed"),IF(C4="High",IF(J4&lt;=1,"Met","Missed"),IF(C4="Medium",IF(J4&lt;=7,"Met","Missed"),"N/A"))),"In Progress")</f>
        <v/>
      </c>
      <c r="R4" s="8" t="n"/>
    </row>
    <row r="5">
      <c r="A5" s="8" t="n"/>
      <c r="B5" s="8" t="n"/>
      <c r="C5" s="8" t="n"/>
      <c r="D5" s="8" t="n"/>
      <c r="E5" s="8" t="n"/>
      <c r="F5" s="8" t="n"/>
      <c r="G5" s="8" t="n"/>
      <c r="H5" s="8" t="n"/>
      <c r="I5" s="8" t="n"/>
      <c r="J5" s="9">
        <f>IF(OR(D5="",I5=""),"",I5-D5)</f>
        <v/>
      </c>
      <c r="K5" s="8" t="n"/>
      <c r="L5" s="8" t="n"/>
      <c r="M5" s="8" t="n"/>
      <c r="N5" s="8" t="n"/>
      <c r="O5" s="8" t="n"/>
      <c r="P5" s="9">
        <f>IF(I5&lt;&gt;"","Complete",IF(J5="","Not Started",IF(C5="Critical",IF(J5&lt;1,"On-Time","Overdue"),IF(C5="High",IF(J5&lt;2,"On-Time",IF(J5&lt;3,"At Risk","Overdue")),IF(J5&lt;8,"On-Time","At Risk")))))</f>
        <v/>
      </c>
      <c r="Q5" s="9">
        <f>IF(P5="Complete",IF(C5="Critical",IF(J5&lt;=0.17,"Met","Missed"),IF(C5="High",IF(J5&lt;=1,"Met","Missed"),IF(C5="Medium",IF(J5&lt;=7,"Met","Missed"),"N/A"))),"In Progress")</f>
        <v/>
      </c>
      <c r="R5" s="8" t="n"/>
    </row>
    <row r="6">
      <c r="A6" s="8" t="n"/>
      <c r="B6" s="8" t="n"/>
      <c r="C6" s="8" t="n"/>
      <c r="D6" s="8" t="n"/>
      <c r="E6" s="8" t="n"/>
      <c r="F6" s="8" t="n"/>
      <c r="G6" s="8" t="n"/>
      <c r="H6" s="8" t="n"/>
      <c r="I6" s="8" t="n"/>
      <c r="J6" s="9">
        <f>IF(OR(D6="",I6=""),"",I6-D6)</f>
        <v/>
      </c>
      <c r="K6" s="8" t="n"/>
      <c r="L6" s="8" t="n"/>
      <c r="M6" s="8" t="n"/>
      <c r="N6" s="8" t="n"/>
      <c r="O6" s="8" t="n"/>
      <c r="P6" s="9">
        <f>IF(I6&lt;&gt;"","Complete",IF(J6="","Not Started",IF(C6="Critical",IF(J6&lt;1,"On-Time","Overdue"),IF(C6="High",IF(J6&lt;2,"On-Time",IF(J6&lt;3,"At Risk","Overdue")),IF(J6&lt;8,"On-Time","At Risk")))))</f>
        <v/>
      </c>
      <c r="Q6" s="9">
        <f>IF(P6="Complete",IF(C6="Critical",IF(J6&lt;=0.17,"Met","Missed"),IF(C6="High",IF(J6&lt;=1,"Met","Missed"),IF(C6="Medium",IF(J6&lt;=7,"Met","Missed"),"N/A"))),"In Progress")</f>
        <v/>
      </c>
      <c r="R6" s="8" t="n"/>
    </row>
    <row r="7">
      <c r="A7" s="8" t="n"/>
      <c r="B7" s="8" t="n"/>
      <c r="C7" s="8" t="n"/>
      <c r="D7" s="8" t="n"/>
      <c r="E7" s="8" t="n"/>
      <c r="F7" s="8" t="n"/>
      <c r="G7" s="8" t="n"/>
      <c r="H7" s="8" t="n"/>
      <c r="I7" s="8" t="n"/>
      <c r="J7" s="9">
        <f>IF(OR(D7="",I7=""),"",I7-D7)</f>
        <v/>
      </c>
      <c r="K7" s="8" t="n"/>
      <c r="L7" s="8" t="n"/>
      <c r="M7" s="8" t="n"/>
      <c r="N7" s="8" t="n"/>
      <c r="O7" s="8" t="n"/>
      <c r="P7" s="9">
        <f>IF(I7&lt;&gt;"","Complete",IF(J7="","Not Started",IF(C7="Critical",IF(J7&lt;1,"On-Time","Overdue"),IF(C7="High",IF(J7&lt;2,"On-Time",IF(J7&lt;3,"At Risk","Overdue")),IF(J7&lt;8,"On-Time","At Risk")))))</f>
        <v/>
      </c>
      <c r="Q7" s="9">
        <f>IF(P7="Complete",IF(C7="Critical",IF(J7&lt;=0.17,"Met","Missed"),IF(C7="High",IF(J7&lt;=1,"Met","Missed"),IF(C7="Medium",IF(J7&lt;=7,"Met","Missed"),"N/A"))),"In Progress")</f>
        <v/>
      </c>
      <c r="R7" s="8" t="n"/>
    </row>
    <row r="8">
      <c r="A8" s="8" t="n"/>
      <c r="B8" s="8" t="n"/>
      <c r="C8" s="8" t="n"/>
      <c r="D8" s="8" t="n"/>
      <c r="E8" s="8" t="n"/>
      <c r="F8" s="8" t="n"/>
      <c r="G8" s="8" t="n"/>
      <c r="H8" s="8" t="n"/>
      <c r="I8" s="8" t="n"/>
      <c r="J8" s="9">
        <f>IF(OR(D8="",I8=""),"",I8-D8)</f>
        <v/>
      </c>
      <c r="K8" s="8" t="n"/>
      <c r="L8" s="8" t="n"/>
      <c r="M8" s="8" t="n"/>
      <c r="N8" s="8" t="n"/>
      <c r="O8" s="8" t="n"/>
      <c r="P8" s="9">
        <f>IF(I8&lt;&gt;"","Complete",IF(J8="","Not Started",IF(C8="Critical",IF(J8&lt;1,"On-Time","Overdue"),IF(C8="High",IF(J8&lt;2,"On-Time",IF(J8&lt;3,"At Risk","Overdue")),IF(J8&lt;8,"On-Time","At Risk")))))</f>
        <v/>
      </c>
      <c r="Q8" s="9">
        <f>IF(P8="Complete",IF(C8="Critical",IF(J8&lt;=0.17,"Met","Missed"),IF(C8="High",IF(J8&lt;=1,"Met","Missed"),IF(C8="Medium",IF(J8&lt;=7,"Met","Missed"),"N/A"))),"In Progress")</f>
        <v/>
      </c>
      <c r="R8" s="8" t="n"/>
    </row>
    <row r="9">
      <c r="A9" s="8" t="n"/>
      <c r="B9" s="8" t="n"/>
      <c r="C9" s="8" t="n"/>
      <c r="D9" s="8" t="n"/>
      <c r="E9" s="8" t="n"/>
      <c r="F9" s="8" t="n"/>
      <c r="G9" s="8" t="n"/>
      <c r="H9" s="8" t="n"/>
      <c r="I9" s="8" t="n"/>
      <c r="J9" s="9">
        <f>IF(OR(D9="",I9=""),"",I9-D9)</f>
        <v/>
      </c>
      <c r="K9" s="8" t="n"/>
      <c r="L9" s="8" t="n"/>
      <c r="M9" s="8" t="n"/>
      <c r="N9" s="8" t="n"/>
      <c r="O9" s="8" t="n"/>
      <c r="P9" s="9">
        <f>IF(I9&lt;&gt;"","Complete",IF(J9="","Not Started",IF(C9="Critical",IF(J9&lt;1,"On-Time","Overdue"),IF(C9="High",IF(J9&lt;2,"On-Time",IF(J9&lt;3,"At Risk","Overdue")),IF(J9&lt;8,"On-Time","At Risk")))))</f>
        <v/>
      </c>
      <c r="Q9" s="9">
        <f>IF(P9="Complete",IF(C9="Critical",IF(J9&lt;=0.17,"Met","Missed"),IF(C9="High",IF(J9&lt;=1,"Met","Missed"),IF(C9="Medium",IF(J9&lt;=7,"Met","Missed"),"N/A"))),"In Progress")</f>
        <v/>
      </c>
      <c r="R9" s="8" t="n"/>
    </row>
    <row r="10">
      <c r="A10" s="8" t="n"/>
      <c r="B10" s="8" t="n"/>
      <c r="C10" s="8" t="n"/>
      <c r="D10" s="8" t="n"/>
      <c r="E10" s="8" t="n"/>
      <c r="F10" s="8" t="n"/>
      <c r="G10" s="8" t="n"/>
      <c r="H10" s="8" t="n"/>
      <c r="I10" s="8" t="n"/>
      <c r="J10" s="9">
        <f>IF(OR(D10="",I10=""),"",I10-D10)</f>
        <v/>
      </c>
      <c r="K10" s="8" t="n"/>
      <c r="L10" s="8" t="n"/>
      <c r="M10" s="8" t="n"/>
      <c r="N10" s="8" t="n"/>
      <c r="O10" s="8" t="n"/>
      <c r="P10" s="9">
        <f>IF(I10&lt;&gt;"","Complete",IF(J10="","Not Started",IF(C10="Critical",IF(J10&lt;1,"On-Time","Overdue"),IF(C10="High",IF(J10&lt;2,"On-Time",IF(J10&lt;3,"At Risk","Overdue")),IF(J10&lt;8,"On-Time","At Risk")))))</f>
        <v/>
      </c>
      <c r="Q10" s="9">
        <f>IF(P10="Complete",IF(C10="Critical",IF(J10&lt;=0.17,"Met","Missed"),IF(C10="High",IF(J10&lt;=1,"Met","Missed"),IF(C10="Medium",IF(J10&lt;=7,"Met","Missed"),"N/A"))),"In Progress")</f>
        <v/>
      </c>
      <c r="R10" s="8" t="n"/>
    </row>
    <row r="11">
      <c r="A11" s="8" t="n"/>
      <c r="B11" s="8" t="n"/>
      <c r="C11" s="8" t="n"/>
      <c r="D11" s="8" t="n"/>
      <c r="E11" s="8" t="n"/>
      <c r="F11" s="8" t="n"/>
      <c r="G11" s="8" t="n"/>
      <c r="H11" s="8" t="n"/>
      <c r="I11" s="8" t="n"/>
      <c r="J11" s="9">
        <f>IF(OR(D11="",I11=""),"",I11-D11)</f>
        <v/>
      </c>
      <c r="K11" s="8" t="n"/>
      <c r="L11" s="8" t="n"/>
      <c r="M11" s="8" t="n"/>
      <c r="N11" s="8" t="n"/>
      <c r="O11" s="8" t="n"/>
      <c r="P11" s="9">
        <f>IF(I11&lt;&gt;"","Complete",IF(J11="","Not Started",IF(C11="Critical",IF(J11&lt;1,"On-Time","Overdue"),IF(C11="High",IF(J11&lt;2,"On-Time",IF(J11&lt;3,"At Risk","Overdue")),IF(J11&lt;8,"On-Time","At Risk")))))</f>
        <v/>
      </c>
      <c r="Q11" s="9">
        <f>IF(P11="Complete",IF(C11="Critical",IF(J11&lt;=0.17,"Met","Missed"),IF(C11="High",IF(J11&lt;=1,"Met","Missed"),IF(C11="Medium",IF(J11&lt;=7,"Met","Missed"),"N/A"))),"In Progress")</f>
        <v/>
      </c>
      <c r="R11" s="8" t="n"/>
    </row>
    <row r="12">
      <c r="A12" s="8" t="n"/>
      <c r="B12" s="8" t="n"/>
      <c r="C12" s="8" t="n"/>
      <c r="D12" s="8" t="n"/>
      <c r="E12" s="8" t="n"/>
      <c r="F12" s="8" t="n"/>
      <c r="G12" s="8" t="n"/>
      <c r="H12" s="8" t="n"/>
      <c r="I12" s="8" t="n"/>
      <c r="J12" s="9">
        <f>IF(OR(D12="",I12=""),"",I12-D12)</f>
        <v/>
      </c>
      <c r="K12" s="8" t="n"/>
      <c r="L12" s="8" t="n"/>
      <c r="M12" s="8" t="n"/>
      <c r="N12" s="8" t="n"/>
      <c r="O12" s="8" t="n"/>
      <c r="P12" s="9">
        <f>IF(I12&lt;&gt;"","Complete",IF(J12="","Not Started",IF(C12="Critical",IF(J12&lt;1,"On-Time","Overdue"),IF(C12="High",IF(J12&lt;2,"On-Time",IF(J12&lt;3,"At Risk","Overdue")),IF(J12&lt;8,"On-Time","At Risk")))))</f>
        <v/>
      </c>
      <c r="Q12" s="9">
        <f>IF(P12="Complete",IF(C12="Critical",IF(J12&lt;=0.17,"Met","Missed"),IF(C12="High",IF(J12&lt;=1,"Met","Missed"),IF(C12="Medium",IF(J12&lt;=7,"Met","Missed"),"N/A"))),"In Progress")</f>
        <v/>
      </c>
      <c r="R12" s="8" t="n"/>
    </row>
    <row r="13">
      <c r="A13" s="8" t="n"/>
      <c r="B13" s="8" t="n"/>
      <c r="C13" s="8" t="n"/>
      <c r="D13" s="8" t="n"/>
      <c r="E13" s="8" t="n"/>
      <c r="F13" s="8" t="n"/>
      <c r="G13" s="8" t="n"/>
      <c r="H13" s="8" t="n"/>
      <c r="I13" s="8" t="n"/>
      <c r="J13" s="9">
        <f>IF(OR(D13="",I13=""),"",I13-D13)</f>
        <v/>
      </c>
      <c r="K13" s="8" t="n"/>
      <c r="L13" s="8" t="n"/>
      <c r="M13" s="8" t="n"/>
      <c r="N13" s="8" t="n"/>
      <c r="O13" s="8" t="n"/>
      <c r="P13" s="9">
        <f>IF(I13&lt;&gt;"","Complete",IF(J13="","Not Started",IF(C13="Critical",IF(J13&lt;1,"On-Time","Overdue"),IF(C13="High",IF(J13&lt;2,"On-Time",IF(J13&lt;3,"At Risk","Overdue")),IF(J13&lt;8,"On-Time","At Risk")))))</f>
        <v/>
      </c>
      <c r="Q13" s="9">
        <f>IF(P13="Complete",IF(C13="Critical",IF(J13&lt;=0.17,"Met","Missed"),IF(C13="High",IF(J13&lt;=1,"Met","Missed"),IF(C13="Medium",IF(J13&lt;=7,"Met","Missed"),"N/A"))),"In Progress")</f>
        <v/>
      </c>
      <c r="R13" s="8" t="n"/>
    </row>
    <row r="14">
      <c r="A14" s="8" t="n"/>
      <c r="B14" s="8" t="n"/>
      <c r="C14" s="8" t="n"/>
      <c r="D14" s="8" t="n"/>
      <c r="E14" s="8" t="n"/>
      <c r="F14" s="8" t="n"/>
      <c r="G14" s="8" t="n"/>
      <c r="H14" s="8" t="n"/>
      <c r="I14" s="8" t="n"/>
      <c r="J14" s="9">
        <f>IF(OR(D14="",I14=""),"",I14-D14)</f>
        <v/>
      </c>
      <c r="K14" s="8" t="n"/>
      <c r="L14" s="8" t="n"/>
      <c r="M14" s="8" t="n"/>
      <c r="N14" s="8" t="n"/>
      <c r="O14" s="8" t="n"/>
      <c r="P14" s="9">
        <f>IF(I14&lt;&gt;"","Complete",IF(J14="","Not Started",IF(C14="Critical",IF(J14&lt;1,"On-Time","Overdue"),IF(C14="High",IF(J14&lt;2,"On-Time",IF(J14&lt;3,"At Risk","Overdue")),IF(J14&lt;8,"On-Time","At Risk")))))</f>
        <v/>
      </c>
      <c r="Q14" s="9">
        <f>IF(P14="Complete",IF(C14="Critical",IF(J14&lt;=0.17,"Met","Missed"),IF(C14="High",IF(J14&lt;=1,"Met","Missed"),IF(C14="Medium",IF(J14&lt;=7,"Met","Missed"),"N/A"))),"In Progress")</f>
        <v/>
      </c>
      <c r="R14" s="8" t="n"/>
    </row>
    <row r="15">
      <c r="A15" s="8" t="n"/>
      <c r="B15" s="8" t="n"/>
      <c r="C15" s="8" t="n"/>
      <c r="D15" s="8" t="n"/>
      <c r="E15" s="8" t="n"/>
      <c r="F15" s="8" t="n"/>
      <c r="G15" s="8" t="n"/>
      <c r="H15" s="8" t="n"/>
      <c r="I15" s="8" t="n"/>
      <c r="J15" s="9">
        <f>IF(OR(D15="",I15=""),"",I15-D15)</f>
        <v/>
      </c>
      <c r="K15" s="8" t="n"/>
      <c r="L15" s="8" t="n"/>
      <c r="M15" s="8" t="n"/>
      <c r="N15" s="8" t="n"/>
      <c r="O15" s="8" t="n"/>
      <c r="P15" s="9">
        <f>IF(I15&lt;&gt;"","Complete",IF(J15="","Not Started",IF(C15="Critical",IF(J15&lt;1,"On-Time","Overdue"),IF(C15="High",IF(J15&lt;2,"On-Time",IF(J15&lt;3,"At Risk","Overdue")),IF(J15&lt;8,"On-Time","At Risk")))))</f>
        <v/>
      </c>
      <c r="Q15" s="9">
        <f>IF(P15="Complete",IF(C15="Critical",IF(J15&lt;=0.17,"Met","Missed"),IF(C15="High",IF(J15&lt;=1,"Met","Missed"),IF(C15="Medium",IF(J15&lt;=7,"Met","Missed"),"N/A"))),"In Progress")</f>
        <v/>
      </c>
      <c r="R15" s="8" t="n"/>
    </row>
    <row r="16">
      <c r="A16" s="8" t="n"/>
      <c r="B16" s="8" t="n"/>
      <c r="C16" s="8" t="n"/>
      <c r="D16" s="8" t="n"/>
      <c r="E16" s="8" t="n"/>
      <c r="F16" s="8" t="n"/>
      <c r="G16" s="8" t="n"/>
      <c r="H16" s="8" t="n"/>
      <c r="I16" s="8" t="n"/>
      <c r="J16" s="9">
        <f>IF(OR(D16="",I16=""),"",I16-D16)</f>
        <v/>
      </c>
      <c r="K16" s="8" t="n"/>
      <c r="L16" s="8" t="n"/>
      <c r="M16" s="8" t="n"/>
      <c r="N16" s="8" t="n"/>
      <c r="O16" s="8" t="n"/>
      <c r="P16" s="9">
        <f>IF(I16&lt;&gt;"","Complete",IF(J16="","Not Started",IF(C16="Critical",IF(J16&lt;1,"On-Time","Overdue"),IF(C16="High",IF(J16&lt;2,"On-Time",IF(J16&lt;3,"At Risk","Overdue")),IF(J16&lt;8,"On-Time","At Risk")))))</f>
        <v/>
      </c>
      <c r="Q16" s="9">
        <f>IF(P16="Complete",IF(C16="Critical",IF(J16&lt;=0.17,"Met","Missed"),IF(C16="High",IF(J16&lt;=1,"Met","Missed"),IF(C16="Medium",IF(J16&lt;=7,"Met","Missed"),"N/A"))),"In Progress")</f>
        <v/>
      </c>
      <c r="R16" s="8" t="n"/>
    </row>
    <row r="17">
      <c r="A17" s="8" t="n"/>
      <c r="B17" s="8" t="n"/>
      <c r="C17" s="8" t="n"/>
      <c r="D17" s="8" t="n"/>
      <c r="E17" s="8" t="n"/>
      <c r="F17" s="8" t="n"/>
      <c r="G17" s="8" t="n"/>
      <c r="H17" s="8" t="n"/>
      <c r="I17" s="8" t="n"/>
      <c r="J17" s="9">
        <f>IF(OR(D17="",I17=""),"",I17-D17)</f>
        <v/>
      </c>
      <c r="K17" s="8" t="n"/>
      <c r="L17" s="8" t="n"/>
      <c r="M17" s="8" t="n"/>
      <c r="N17" s="8" t="n"/>
      <c r="O17" s="8" t="n"/>
      <c r="P17" s="9">
        <f>IF(I17&lt;&gt;"","Complete",IF(J17="","Not Started",IF(C17="Critical",IF(J17&lt;1,"On-Time","Overdue"),IF(C17="High",IF(J17&lt;2,"On-Time",IF(J17&lt;3,"At Risk","Overdue")),IF(J17&lt;8,"On-Time","At Risk")))))</f>
        <v/>
      </c>
      <c r="Q17" s="9">
        <f>IF(P17="Complete",IF(C17="Critical",IF(J17&lt;=0.17,"Met","Missed"),IF(C17="High",IF(J17&lt;=1,"Met","Missed"),IF(C17="Medium",IF(J17&lt;=7,"Met","Missed"),"N/A"))),"In Progress")</f>
        <v/>
      </c>
      <c r="R17" s="8" t="n"/>
    </row>
    <row r="18">
      <c r="A18" s="8" t="n"/>
      <c r="B18" s="8" t="n"/>
      <c r="C18" s="8" t="n"/>
      <c r="D18" s="8" t="n"/>
      <c r="E18" s="8" t="n"/>
      <c r="F18" s="8" t="n"/>
      <c r="G18" s="8" t="n"/>
      <c r="H18" s="8" t="n"/>
      <c r="I18" s="8" t="n"/>
      <c r="J18" s="9">
        <f>IF(OR(D18="",I18=""),"",I18-D18)</f>
        <v/>
      </c>
      <c r="K18" s="8" t="n"/>
      <c r="L18" s="8" t="n"/>
      <c r="M18" s="8" t="n"/>
      <c r="N18" s="8" t="n"/>
      <c r="O18" s="8" t="n"/>
      <c r="P18" s="9">
        <f>IF(I18&lt;&gt;"","Complete",IF(J18="","Not Started",IF(C18="Critical",IF(J18&lt;1,"On-Time","Overdue"),IF(C18="High",IF(J18&lt;2,"On-Time",IF(J18&lt;3,"At Risk","Overdue")),IF(J18&lt;8,"On-Time","At Risk")))))</f>
        <v/>
      </c>
      <c r="Q18" s="9">
        <f>IF(P18="Complete",IF(C18="Critical",IF(J18&lt;=0.17,"Met","Missed"),IF(C18="High",IF(J18&lt;=1,"Met","Missed"),IF(C18="Medium",IF(J18&lt;=7,"Met","Missed"),"N/A"))),"In Progress")</f>
        <v/>
      </c>
      <c r="R18" s="8" t="n"/>
    </row>
    <row r="19">
      <c r="A19" s="8" t="n"/>
      <c r="B19" s="8" t="n"/>
      <c r="C19" s="8" t="n"/>
      <c r="D19" s="8" t="n"/>
      <c r="E19" s="8" t="n"/>
      <c r="F19" s="8" t="n"/>
      <c r="G19" s="8" t="n"/>
      <c r="H19" s="8" t="n"/>
      <c r="I19" s="8" t="n"/>
      <c r="J19" s="9">
        <f>IF(OR(D19="",I19=""),"",I19-D19)</f>
        <v/>
      </c>
      <c r="K19" s="8" t="n"/>
      <c r="L19" s="8" t="n"/>
      <c r="M19" s="8" t="n"/>
      <c r="N19" s="8" t="n"/>
      <c r="O19" s="8" t="n"/>
      <c r="P19" s="9">
        <f>IF(I19&lt;&gt;"","Complete",IF(J19="","Not Started",IF(C19="Critical",IF(J19&lt;1,"On-Time","Overdue"),IF(C19="High",IF(J19&lt;2,"On-Time",IF(J19&lt;3,"At Risk","Overdue")),IF(J19&lt;8,"On-Time","At Risk")))))</f>
        <v/>
      </c>
      <c r="Q19" s="9">
        <f>IF(P19="Complete",IF(C19="Critical",IF(J19&lt;=0.17,"Met","Missed"),IF(C19="High",IF(J19&lt;=1,"Met","Missed"),IF(C19="Medium",IF(J19&lt;=7,"Met","Missed"),"N/A"))),"In Progress")</f>
        <v/>
      </c>
      <c r="R19" s="8" t="n"/>
    </row>
    <row r="20">
      <c r="A20" s="8" t="n"/>
      <c r="B20" s="8" t="n"/>
      <c r="C20" s="8" t="n"/>
      <c r="D20" s="8" t="n"/>
      <c r="E20" s="8" t="n"/>
      <c r="F20" s="8" t="n"/>
      <c r="G20" s="8" t="n"/>
      <c r="H20" s="8" t="n"/>
      <c r="I20" s="8" t="n"/>
      <c r="J20" s="9">
        <f>IF(OR(D20="",I20=""),"",I20-D20)</f>
        <v/>
      </c>
      <c r="K20" s="8" t="n"/>
      <c r="L20" s="8" t="n"/>
      <c r="M20" s="8" t="n"/>
      <c r="N20" s="8" t="n"/>
      <c r="O20" s="8" t="n"/>
      <c r="P20" s="9">
        <f>IF(I20&lt;&gt;"","Complete",IF(J20="","Not Started",IF(C20="Critical",IF(J20&lt;1,"On-Time","Overdue"),IF(C20="High",IF(J20&lt;2,"On-Time",IF(J20&lt;3,"At Risk","Overdue")),IF(J20&lt;8,"On-Time","At Risk")))))</f>
        <v/>
      </c>
      <c r="Q20" s="9">
        <f>IF(P20="Complete",IF(C20="Critical",IF(J20&lt;=0.17,"Met","Missed"),IF(C20="High",IF(J20&lt;=1,"Met","Missed"),IF(C20="Medium",IF(J20&lt;=7,"Met","Missed"),"N/A"))),"In Progress")</f>
        <v/>
      </c>
      <c r="R20" s="8" t="n"/>
    </row>
    <row r="21">
      <c r="A21" s="8" t="n"/>
      <c r="B21" s="8" t="n"/>
      <c r="C21" s="8" t="n"/>
      <c r="D21" s="8" t="n"/>
      <c r="E21" s="8" t="n"/>
      <c r="F21" s="8" t="n"/>
      <c r="G21" s="8" t="n"/>
      <c r="H21" s="8" t="n"/>
      <c r="I21" s="8" t="n"/>
      <c r="J21" s="9">
        <f>IF(OR(D21="",I21=""),"",I21-D21)</f>
        <v/>
      </c>
      <c r="K21" s="8" t="n"/>
      <c r="L21" s="8" t="n"/>
      <c r="M21" s="8" t="n"/>
      <c r="N21" s="8" t="n"/>
      <c r="O21" s="8" t="n"/>
      <c r="P21" s="9">
        <f>IF(I21&lt;&gt;"","Complete",IF(J21="","Not Started",IF(C21="Critical",IF(J21&lt;1,"On-Time","Overdue"),IF(C21="High",IF(J21&lt;2,"On-Time",IF(J21&lt;3,"At Risk","Overdue")),IF(J21&lt;8,"On-Time","At Risk")))))</f>
        <v/>
      </c>
      <c r="Q21" s="9">
        <f>IF(P21="Complete",IF(C21="Critical",IF(J21&lt;=0.17,"Met","Missed"),IF(C21="High",IF(J21&lt;=1,"Met","Missed"),IF(C21="Medium",IF(J21&lt;=7,"Met","Missed"),"N/A"))),"In Progress")</f>
        <v/>
      </c>
      <c r="R21" s="8" t="n"/>
    </row>
    <row r="22">
      <c r="A22" s="8" t="n"/>
      <c r="B22" s="8" t="n"/>
      <c r="C22" s="8" t="n"/>
      <c r="D22" s="8" t="n"/>
      <c r="E22" s="8" t="n"/>
      <c r="F22" s="8" t="n"/>
      <c r="G22" s="8" t="n"/>
      <c r="H22" s="8" t="n"/>
      <c r="I22" s="8" t="n"/>
      <c r="J22" s="9">
        <f>IF(OR(D22="",I22=""),"",I22-D22)</f>
        <v/>
      </c>
      <c r="K22" s="8" t="n"/>
      <c r="L22" s="8" t="n"/>
      <c r="M22" s="8" t="n"/>
      <c r="N22" s="8" t="n"/>
      <c r="O22" s="8" t="n"/>
      <c r="P22" s="9">
        <f>IF(I22&lt;&gt;"","Complete",IF(J22="","Not Started",IF(C22="Critical",IF(J22&lt;1,"On-Time","Overdue"),IF(C22="High",IF(J22&lt;2,"On-Time",IF(J22&lt;3,"At Risk","Overdue")),IF(J22&lt;8,"On-Time","At Risk")))))</f>
        <v/>
      </c>
      <c r="Q22" s="9">
        <f>IF(P22="Complete",IF(C22="Critical",IF(J22&lt;=0.17,"Met","Missed"),IF(C22="High",IF(J22&lt;=1,"Met","Missed"),IF(C22="Medium",IF(J22&lt;=7,"Met","Missed"),"N/A"))),"In Progress")</f>
        <v/>
      </c>
      <c r="R22" s="8" t="n"/>
    </row>
    <row r="23">
      <c r="A23" s="8" t="n"/>
      <c r="B23" s="8" t="n"/>
      <c r="C23" s="8" t="n"/>
      <c r="D23" s="8" t="n"/>
      <c r="E23" s="8" t="n"/>
      <c r="F23" s="8" t="n"/>
      <c r="G23" s="8" t="n"/>
      <c r="H23" s="8" t="n"/>
      <c r="I23" s="8" t="n"/>
      <c r="J23" s="9">
        <f>IF(OR(D23="",I23=""),"",I23-D23)</f>
        <v/>
      </c>
      <c r="K23" s="8" t="n"/>
      <c r="L23" s="8" t="n"/>
      <c r="M23" s="8" t="n"/>
      <c r="N23" s="8" t="n"/>
      <c r="O23" s="8" t="n"/>
      <c r="P23" s="9">
        <f>IF(I23&lt;&gt;"","Complete",IF(J23="","Not Started",IF(C23="Critical",IF(J23&lt;1,"On-Time","Overdue"),IF(C23="High",IF(J23&lt;2,"On-Time",IF(J23&lt;3,"At Risk","Overdue")),IF(J23&lt;8,"On-Time","At Risk")))))</f>
        <v/>
      </c>
      <c r="Q23" s="9">
        <f>IF(P23="Complete",IF(C23="Critical",IF(J23&lt;=0.17,"Met","Missed"),IF(C23="High",IF(J23&lt;=1,"Met","Missed"),IF(C23="Medium",IF(J23&lt;=7,"Met","Missed"),"N/A"))),"In Progress")</f>
        <v/>
      </c>
      <c r="R23" s="8" t="n"/>
    </row>
    <row r="24">
      <c r="A24" s="8" t="n"/>
      <c r="B24" s="8" t="n"/>
      <c r="C24" s="8" t="n"/>
      <c r="D24" s="8" t="n"/>
      <c r="E24" s="8" t="n"/>
      <c r="F24" s="8" t="n"/>
      <c r="G24" s="8" t="n"/>
      <c r="H24" s="8" t="n"/>
      <c r="I24" s="8" t="n"/>
      <c r="J24" s="9">
        <f>IF(OR(D24="",I24=""),"",I24-D24)</f>
        <v/>
      </c>
      <c r="K24" s="8" t="n"/>
      <c r="L24" s="8" t="n"/>
      <c r="M24" s="8" t="n"/>
      <c r="N24" s="8" t="n"/>
      <c r="O24" s="8" t="n"/>
      <c r="P24" s="9">
        <f>IF(I24&lt;&gt;"","Complete",IF(J24="","Not Started",IF(C24="Critical",IF(J24&lt;1,"On-Time","Overdue"),IF(C24="High",IF(J24&lt;2,"On-Time",IF(J24&lt;3,"At Risk","Overdue")),IF(J24&lt;8,"On-Time","At Risk")))))</f>
        <v/>
      </c>
      <c r="Q24" s="9">
        <f>IF(P24="Complete",IF(C24="Critical",IF(J24&lt;=0.17,"Met","Missed"),IF(C24="High",IF(J24&lt;=1,"Met","Missed"),IF(C24="Medium",IF(J24&lt;=7,"Met","Missed"),"N/A"))),"In Progress")</f>
        <v/>
      </c>
      <c r="R24" s="8" t="n"/>
    </row>
    <row r="25">
      <c r="A25" s="8" t="n"/>
      <c r="B25" s="8" t="n"/>
      <c r="C25" s="8" t="n"/>
      <c r="D25" s="8" t="n"/>
      <c r="E25" s="8" t="n"/>
      <c r="F25" s="8" t="n"/>
      <c r="G25" s="8" t="n"/>
      <c r="H25" s="8" t="n"/>
      <c r="I25" s="8" t="n"/>
      <c r="J25" s="9">
        <f>IF(OR(D25="",I25=""),"",I25-D25)</f>
        <v/>
      </c>
      <c r="K25" s="8" t="n"/>
      <c r="L25" s="8" t="n"/>
      <c r="M25" s="8" t="n"/>
      <c r="N25" s="8" t="n"/>
      <c r="O25" s="8" t="n"/>
      <c r="P25" s="9">
        <f>IF(I25&lt;&gt;"","Complete",IF(J25="","Not Started",IF(C25="Critical",IF(J25&lt;1,"On-Time","Overdue"),IF(C25="High",IF(J25&lt;2,"On-Time",IF(J25&lt;3,"At Risk","Overdue")),IF(J25&lt;8,"On-Time","At Risk")))))</f>
        <v/>
      </c>
      <c r="Q25" s="9">
        <f>IF(P25="Complete",IF(C25="Critical",IF(J25&lt;=0.17,"Met","Missed"),IF(C25="High",IF(J25&lt;=1,"Met","Missed"),IF(C25="Medium",IF(J25&lt;=7,"Met","Missed"),"N/A"))),"In Progress")</f>
        <v/>
      </c>
      <c r="R25" s="8" t="n"/>
    </row>
    <row r="26">
      <c r="A26" s="8" t="n"/>
      <c r="B26" s="8" t="n"/>
      <c r="C26" s="8" t="n"/>
      <c r="D26" s="8" t="n"/>
      <c r="E26" s="8" t="n"/>
      <c r="F26" s="8" t="n"/>
      <c r="G26" s="8" t="n"/>
      <c r="H26" s="8" t="n"/>
      <c r="I26" s="8" t="n"/>
      <c r="J26" s="9">
        <f>IF(OR(D26="",I26=""),"",I26-D26)</f>
        <v/>
      </c>
      <c r="K26" s="8" t="n"/>
      <c r="L26" s="8" t="n"/>
      <c r="M26" s="8" t="n"/>
      <c r="N26" s="8" t="n"/>
      <c r="O26" s="8" t="n"/>
      <c r="P26" s="9">
        <f>IF(I26&lt;&gt;"","Complete",IF(J26="","Not Started",IF(C26="Critical",IF(J26&lt;1,"On-Time","Overdue"),IF(C26="High",IF(J26&lt;2,"On-Time",IF(J26&lt;3,"At Risk","Overdue")),IF(J26&lt;8,"On-Time","At Risk")))))</f>
        <v/>
      </c>
      <c r="Q26" s="9">
        <f>IF(P26="Complete",IF(C26="Critical",IF(J26&lt;=0.17,"Met","Missed"),IF(C26="High",IF(J26&lt;=1,"Met","Missed"),IF(C26="Medium",IF(J26&lt;=7,"Met","Missed"),"N/A"))),"In Progress")</f>
        <v/>
      </c>
      <c r="R26" s="8" t="n"/>
    </row>
    <row r="27">
      <c r="A27" s="8" t="n"/>
      <c r="B27" s="8" t="n"/>
      <c r="C27" s="8" t="n"/>
      <c r="D27" s="8" t="n"/>
      <c r="E27" s="8" t="n"/>
      <c r="F27" s="8" t="n"/>
      <c r="G27" s="8" t="n"/>
      <c r="H27" s="8" t="n"/>
      <c r="I27" s="8" t="n"/>
      <c r="J27" s="9">
        <f>IF(OR(D27="",I27=""),"",I27-D27)</f>
        <v/>
      </c>
      <c r="K27" s="8" t="n"/>
      <c r="L27" s="8" t="n"/>
      <c r="M27" s="8" t="n"/>
      <c r="N27" s="8" t="n"/>
      <c r="O27" s="8" t="n"/>
      <c r="P27" s="9">
        <f>IF(I27&lt;&gt;"","Complete",IF(J27="","Not Started",IF(C27="Critical",IF(J27&lt;1,"On-Time","Overdue"),IF(C27="High",IF(J27&lt;2,"On-Time",IF(J27&lt;3,"At Risk","Overdue")),IF(J27&lt;8,"On-Time","At Risk")))))</f>
        <v/>
      </c>
      <c r="Q27" s="9">
        <f>IF(P27="Complete",IF(C27="Critical",IF(J27&lt;=0.17,"Met","Missed"),IF(C27="High",IF(J27&lt;=1,"Met","Missed"),IF(C27="Medium",IF(J27&lt;=7,"Met","Missed"),"N/A"))),"In Progress")</f>
        <v/>
      </c>
      <c r="R27" s="8" t="n"/>
    </row>
    <row r="28">
      <c r="A28" s="8" t="n"/>
      <c r="B28" s="8" t="n"/>
      <c r="C28" s="8" t="n"/>
      <c r="D28" s="8" t="n"/>
      <c r="E28" s="8" t="n"/>
      <c r="F28" s="8" t="n"/>
      <c r="G28" s="8" t="n"/>
      <c r="H28" s="8" t="n"/>
      <c r="I28" s="8" t="n"/>
      <c r="J28" s="9">
        <f>IF(OR(D28="",I28=""),"",I28-D28)</f>
        <v/>
      </c>
      <c r="K28" s="8" t="n"/>
      <c r="L28" s="8" t="n"/>
      <c r="M28" s="8" t="n"/>
      <c r="N28" s="8" t="n"/>
      <c r="O28" s="8" t="n"/>
      <c r="P28" s="9">
        <f>IF(I28&lt;&gt;"","Complete",IF(J28="","Not Started",IF(C28="Critical",IF(J28&lt;1,"On-Time","Overdue"),IF(C28="High",IF(J28&lt;2,"On-Time",IF(J28&lt;3,"At Risk","Overdue")),IF(J28&lt;8,"On-Time","At Risk")))))</f>
        <v/>
      </c>
      <c r="Q28" s="9">
        <f>IF(P28="Complete",IF(C28="Critical",IF(J28&lt;=0.17,"Met","Missed"),IF(C28="High",IF(J28&lt;=1,"Met","Missed"),IF(C28="Medium",IF(J28&lt;=7,"Met","Missed"),"N/A"))),"In Progress")</f>
        <v/>
      </c>
      <c r="R28" s="8" t="n"/>
    </row>
    <row r="29">
      <c r="A29" s="8" t="n"/>
      <c r="B29" s="8" t="n"/>
      <c r="C29" s="8" t="n"/>
      <c r="D29" s="8" t="n"/>
      <c r="E29" s="8" t="n"/>
      <c r="F29" s="8" t="n"/>
      <c r="G29" s="8" t="n"/>
      <c r="H29" s="8" t="n"/>
      <c r="I29" s="8" t="n"/>
      <c r="J29" s="9">
        <f>IF(OR(D29="",I29=""),"",I29-D29)</f>
        <v/>
      </c>
      <c r="K29" s="8" t="n"/>
      <c r="L29" s="8" t="n"/>
      <c r="M29" s="8" t="n"/>
      <c r="N29" s="8" t="n"/>
      <c r="O29" s="8" t="n"/>
      <c r="P29" s="9">
        <f>IF(I29&lt;&gt;"","Complete",IF(J29="","Not Started",IF(C29="Critical",IF(J29&lt;1,"On-Time","Overdue"),IF(C29="High",IF(J29&lt;2,"On-Time",IF(J29&lt;3,"At Risk","Overdue")),IF(J29&lt;8,"On-Time","At Risk")))))</f>
        <v/>
      </c>
      <c r="Q29" s="9">
        <f>IF(P29="Complete",IF(C29="Critical",IF(J29&lt;=0.17,"Met","Missed"),IF(C29="High",IF(J29&lt;=1,"Met","Missed"),IF(C29="Medium",IF(J29&lt;=7,"Met","Missed"),"N/A"))),"In Progress")</f>
        <v/>
      </c>
      <c r="R29" s="8" t="n"/>
    </row>
    <row r="30">
      <c r="A30" s="8" t="n"/>
      <c r="B30" s="8" t="n"/>
      <c r="C30" s="8" t="n"/>
      <c r="D30" s="8" t="n"/>
      <c r="E30" s="8" t="n"/>
      <c r="F30" s="8" t="n"/>
      <c r="G30" s="8" t="n"/>
      <c r="H30" s="8" t="n"/>
      <c r="I30" s="8" t="n"/>
      <c r="J30" s="9">
        <f>IF(OR(D30="",I30=""),"",I30-D30)</f>
        <v/>
      </c>
      <c r="K30" s="8" t="n"/>
      <c r="L30" s="8" t="n"/>
      <c r="M30" s="8" t="n"/>
      <c r="N30" s="8" t="n"/>
      <c r="O30" s="8" t="n"/>
      <c r="P30" s="9">
        <f>IF(I30&lt;&gt;"","Complete",IF(J30="","Not Started",IF(C30="Critical",IF(J30&lt;1,"On-Time","Overdue"),IF(C30="High",IF(J30&lt;2,"On-Time",IF(J30&lt;3,"At Risk","Overdue")),IF(J30&lt;8,"On-Time","At Risk")))))</f>
        <v/>
      </c>
      <c r="Q30" s="9">
        <f>IF(P30="Complete",IF(C30="Critical",IF(J30&lt;=0.17,"Met","Missed"),IF(C30="High",IF(J30&lt;=1,"Met","Missed"),IF(C30="Medium",IF(J30&lt;=7,"Met","Missed"),"N/A"))),"In Progress")</f>
        <v/>
      </c>
      <c r="R30" s="8" t="n"/>
    </row>
    <row r="31">
      <c r="A31" s="8" t="n"/>
      <c r="B31" s="8" t="n"/>
      <c r="C31" s="8" t="n"/>
      <c r="D31" s="8" t="n"/>
      <c r="E31" s="8" t="n"/>
      <c r="F31" s="8" t="n"/>
      <c r="G31" s="8" t="n"/>
      <c r="H31" s="8" t="n"/>
      <c r="I31" s="8" t="n"/>
      <c r="J31" s="9">
        <f>IF(OR(D31="",I31=""),"",I31-D31)</f>
        <v/>
      </c>
      <c r="K31" s="8" t="n"/>
      <c r="L31" s="8" t="n"/>
      <c r="M31" s="8" t="n"/>
      <c r="N31" s="8" t="n"/>
      <c r="O31" s="8" t="n"/>
      <c r="P31" s="9">
        <f>IF(I31&lt;&gt;"","Complete",IF(J31="","Not Started",IF(C31="Critical",IF(J31&lt;1,"On-Time","Overdue"),IF(C31="High",IF(J31&lt;2,"On-Time",IF(J31&lt;3,"At Risk","Overdue")),IF(J31&lt;8,"On-Time","At Risk")))))</f>
        <v/>
      </c>
      <c r="Q31" s="9">
        <f>IF(P31="Complete",IF(C31="Critical",IF(J31&lt;=0.17,"Met","Missed"),IF(C31="High",IF(J31&lt;=1,"Met","Missed"),IF(C31="Medium",IF(J31&lt;=7,"Met","Missed"),"N/A"))),"In Progress")</f>
        <v/>
      </c>
      <c r="R31" s="8" t="n"/>
    </row>
    <row r="32">
      <c r="A32" s="8" t="n"/>
      <c r="B32" s="8" t="n"/>
      <c r="C32" s="8" t="n"/>
      <c r="D32" s="8" t="n"/>
      <c r="E32" s="8" t="n"/>
      <c r="F32" s="8" t="n"/>
      <c r="G32" s="8" t="n"/>
      <c r="H32" s="8" t="n"/>
      <c r="I32" s="8" t="n"/>
      <c r="J32" s="9">
        <f>IF(OR(D32="",I32=""),"",I32-D32)</f>
        <v/>
      </c>
      <c r="K32" s="8" t="n"/>
      <c r="L32" s="8" t="n"/>
      <c r="M32" s="8" t="n"/>
      <c r="N32" s="8" t="n"/>
      <c r="O32" s="8" t="n"/>
      <c r="P32" s="9">
        <f>IF(I32&lt;&gt;"","Complete",IF(J32="","Not Started",IF(C32="Critical",IF(J32&lt;1,"On-Time","Overdue"),IF(C32="High",IF(J32&lt;2,"On-Time",IF(J32&lt;3,"At Risk","Overdue")),IF(J32&lt;8,"On-Time","At Risk")))))</f>
        <v/>
      </c>
      <c r="Q32" s="9">
        <f>IF(P32="Complete",IF(C32="Critical",IF(J32&lt;=0.17,"Met","Missed"),IF(C32="High",IF(J32&lt;=1,"Met","Missed"),IF(C32="Medium",IF(J32&lt;=7,"Met","Missed"),"N/A"))),"In Progress")</f>
        <v/>
      </c>
      <c r="R32" s="8" t="n"/>
    </row>
    <row r="33">
      <c r="A33" s="8" t="n"/>
      <c r="B33" s="8" t="n"/>
      <c r="C33" s="8" t="n"/>
      <c r="D33" s="8" t="n"/>
      <c r="E33" s="8" t="n"/>
      <c r="F33" s="8" t="n"/>
      <c r="G33" s="8" t="n"/>
      <c r="H33" s="8" t="n"/>
      <c r="I33" s="8" t="n"/>
      <c r="J33" s="9">
        <f>IF(OR(D33="",I33=""),"",I33-D33)</f>
        <v/>
      </c>
      <c r="K33" s="8" t="n"/>
      <c r="L33" s="8" t="n"/>
      <c r="M33" s="8" t="n"/>
      <c r="N33" s="8" t="n"/>
      <c r="O33" s="8" t="n"/>
      <c r="P33" s="9">
        <f>IF(I33&lt;&gt;"","Complete",IF(J33="","Not Started",IF(C33="Critical",IF(J33&lt;1,"On-Time","Overdue"),IF(C33="High",IF(J33&lt;2,"On-Time",IF(J33&lt;3,"At Risk","Overdue")),IF(J33&lt;8,"On-Time","At Risk")))))</f>
        <v/>
      </c>
      <c r="Q33" s="9">
        <f>IF(P33="Complete",IF(C33="Critical",IF(J33&lt;=0.17,"Met","Missed"),IF(C33="High",IF(J33&lt;=1,"Met","Missed"),IF(C33="Medium",IF(J33&lt;=7,"Met","Missed"),"N/A"))),"In Progress")</f>
        <v/>
      </c>
      <c r="R33" s="8" t="n"/>
    </row>
    <row r="34">
      <c r="A34" s="8" t="n"/>
      <c r="B34" s="8" t="n"/>
      <c r="C34" s="8" t="n"/>
      <c r="D34" s="8" t="n"/>
      <c r="E34" s="8" t="n"/>
      <c r="F34" s="8" t="n"/>
      <c r="G34" s="8" t="n"/>
      <c r="H34" s="8" t="n"/>
      <c r="I34" s="8" t="n"/>
      <c r="J34" s="9">
        <f>IF(OR(D34="",I34=""),"",I34-D34)</f>
        <v/>
      </c>
      <c r="K34" s="8" t="n"/>
      <c r="L34" s="8" t="n"/>
      <c r="M34" s="8" t="n"/>
      <c r="N34" s="8" t="n"/>
      <c r="O34" s="8" t="n"/>
      <c r="P34" s="9">
        <f>IF(I34&lt;&gt;"","Complete",IF(J34="","Not Started",IF(C34="Critical",IF(J34&lt;1,"On-Time","Overdue"),IF(C34="High",IF(J34&lt;2,"On-Time",IF(J34&lt;3,"At Risk","Overdue")),IF(J34&lt;8,"On-Time","At Risk")))))</f>
        <v/>
      </c>
      <c r="Q34" s="9">
        <f>IF(P34="Complete",IF(C34="Critical",IF(J34&lt;=0.17,"Met","Missed"),IF(C34="High",IF(J34&lt;=1,"Met","Missed"),IF(C34="Medium",IF(J34&lt;=7,"Met","Missed"),"N/A"))),"In Progress")</f>
        <v/>
      </c>
      <c r="R34" s="8" t="n"/>
    </row>
    <row r="35">
      <c r="A35" s="8" t="n"/>
      <c r="B35" s="8" t="n"/>
      <c r="C35" s="8" t="n"/>
      <c r="D35" s="8" t="n"/>
      <c r="E35" s="8" t="n"/>
      <c r="F35" s="8" t="n"/>
      <c r="G35" s="8" t="n"/>
      <c r="H35" s="8" t="n"/>
      <c r="I35" s="8" t="n"/>
      <c r="J35" s="9">
        <f>IF(OR(D35="",I35=""),"",I35-D35)</f>
        <v/>
      </c>
      <c r="K35" s="8" t="n"/>
      <c r="L35" s="8" t="n"/>
      <c r="M35" s="8" t="n"/>
      <c r="N35" s="8" t="n"/>
      <c r="O35" s="8" t="n"/>
      <c r="P35" s="9">
        <f>IF(I35&lt;&gt;"","Complete",IF(J35="","Not Started",IF(C35="Critical",IF(J35&lt;1,"On-Time","Overdue"),IF(C35="High",IF(J35&lt;2,"On-Time",IF(J35&lt;3,"At Risk","Overdue")),IF(J35&lt;8,"On-Time","At Risk")))))</f>
        <v/>
      </c>
      <c r="Q35" s="9">
        <f>IF(P35="Complete",IF(C35="Critical",IF(J35&lt;=0.17,"Met","Missed"),IF(C35="High",IF(J35&lt;=1,"Met","Missed"),IF(C35="Medium",IF(J35&lt;=7,"Met","Missed"),"N/A"))),"In Progress")</f>
        <v/>
      </c>
      <c r="R35" s="8" t="n"/>
    </row>
    <row r="36">
      <c r="A36" s="8" t="n"/>
      <c r="B36" s="8" t="n"/>
      <c r="C36" s="8" t="n"/>
      <c r="D36" s="8" t="n"/>
      <c r="E36" s="8" t="n"/>
      <c r="F36" s="8" t="n"/>
      <c r="G36" s="8" t="n"/>
      <c r="H36" s="8" t="n"/>
      <c r="I36" s="8" t="n"/>
      <c r="J36" s="9">
        <f>IF(OR(D36="",I36=""),"",I36-D36)</f>
        <v/>
      </c>
      <c r="K36" s="8" t="n"/>
      <c r="L36" s="8" t="n"/>
      <c r="M36" s="8" t="n"/>
      <c r="N36" s="8" t="n"/>
      <c r="O36" s="8" t="n"/>
      <c r="P36" s="9">
        <f>IF(I36&lt;&gt;"","Complete",IF(J36="","Not Started",IF(C36="Critical",IF(J36&lt;1,"On-Time","Overdue"),IF(C36="High",IF(J36&lt;2,"On-Time",IF(J36&lt;3,"At Risk","Overdue")),IF(J36&lt;8,"On-Time","At Risk")))))</f>
        <v/>
      </c>
      <c r="Q36" s="9">
        <f>IF(P36="Complete",IF(C36="Critical",IF(J36&lt;=0.17,"Met","Missed"),IF(C36="High",IF(J36&lt;=1,"Met","Missed"),IF(C36="Medium",IF(J36&lt;=7,"Met","Missed"),"N/A"))),"In Progress")</f>
        <v/>
      </c>
      <c r="R36" s="8" t="n"/>
    </row>
    <row r="37">
      <c r="A37" s="8" t="n"/>
      <c r="B37" s="8" t="n"/>
      <c r="C37" s="8" t="n"/>
      <c r="D37" s="8" t="n"/>
      <c r="E37" s="8" t="n"/>
      <c r="F37" s="8" t="n"/>
      <c r="G37" s="8" t="n"/>
      <c r="H37" s="8" t="n"/>
      <c r="I37" s="8" t="n"/>
      <c r="J37" s="9">
        <f>IF(OR(D37="",I37=""),"",I37-D37)</f>
        <v/>
      </c>
      <c r="K37" s="8" t="n"/>
      <c r="L37" s="8" t="n"/>
      <c r="M37" s="8" t="n"/>
      <c r="N37" s="8" t="n"/>
      <c r="O37" s="8" t="n"/>
      <c r="P37" s="9">
        <f>IF(I37&lt;&gt;"","Complete",IF(J37="","Not Started",IF(C37="Critical",IF(J37&lt;1,"On-Time","Overdue"),IF(C37="High",IF(J37&lt;2,"On-Time",IF(J37&lt;3,"At Risk","Overdue")),IF(J37&lt;8,"On-Time","At Risk")))))</f>
        <v/>
      </c>
      <c r="Q37" s="9">
        <f>IF(P37="Complete",IF(C37="Critical",IF(J37&lt;=0.17,"Met","Missed"),IF(C37="High",IF(J37&lt;=1,"Met","Missed"),IF(C37="Medium",IF(J37&lt;=7,"Met","Missed"),"N/A"))),"In Progress")</f>
        <v/>
      </c>
      <c r="R37" s="8" t="n"/>
    </row>
    <row r="38">
      <c r="A38" s="8" t="n"/>
      <c r="B38" s="8" t="n"/>
      <c r="C38" s="8" t="n"/>
      <c r="D38" s="8" t="n"/>
      <c r="E38" s="8" t="n"/>
      <c r="F38" s="8" t="n"/>
      <c r="G38" s="8" t="n"/>
      <c r="H38" s="8" t="n"/>
      <c r="I38" s="8" t="n"/>
      <c r="J38" s="9">
        <f>IF(OR(D38="",I38=""),"",I38-D38)</f>
        <v/>
      </c>
      <c r="K38" s="8" t="n"/>
      <c r="L38" s="8" t="n"/>
      <c r="M38" s="8" t="n"/>
      <c r="N38" s="8" t="n"/>
      <c r="O38" s="8" t="n"/>
      <c r="P38" s="9">
        <f>IF(I38&lt;&gt;"","Complete",IF(J38="","Not Started",IF(C38="Critical",IF(J38&lt;1,"On-Time","Overdue"),IF(C38="High",IF(J38&lt;2,"On-Time",IF(J38&lt;3,"At Risk","Overdue")),IF(J38&lt;8,"On-Time","At Risk")))))</f>
        <v/>
      </c>
      <c r="Q38" s="9">
        <f>IF(P38="Complete",IF(C38="Critical",IF(J38&lt;=0.17,"Met","Missed"),IF(C38="High",IF(J38&lt;=1,"Met","Missed"),IF(C38="Medium",IF(J38&lt;=7,"Met","Missed"),"N/A"))),"In Progress")</f>
        <v/>
      </c>
      <c r="R38" s="8" t="n"/>
    </row>
    <row r="39">
      <c r="A39" s="8" t="n"/>
      <c r="B39" s="8" t="n"/>
      <c r="C39" s="8" t="n"/>
      <c r="D39" s="8" t="n"/>
      <c r="E39" s="8" t="n"/>
      <c r="F39" s="8" t="n"/>
      <c r="G39" s="8" t="n"/>
      <c r="H39" s="8" t="n"/>
      <c r="I39" s="8" t="n"/>
      <c r="J39" s="9">
        <f>IF(OR(D39="",I39=""),"",I39-D39)</f>
        <v/>
      </c>
      <c r="K39" s="8" t="n"/>
      <c r="L39" s="8" t="n"/>
      <c r="M39" s="8" t="n"/>
      <c r="N39" s="8" t="n"/>
      <c r="O39" s="8" t="n"/>
      <c r="P39" s="9">
        <f>IF(I39&lt;&gt;"","Complete",IF(J39="","Not Started",IF(C39="Critical",IF(J39&lt;1,"On-Time","Overdue"),IF(C39="High",IF(J39&lt;2,"On-Time",IF(J39&lt;3,"At Risk","Overdue")),IF(J39&lt;8,"On-Time","At Risk")))))</f>
        <v/>
      </c>
      <c r="Q39" s="9">
        <f>IF(P39="Complete",IF(C39="Critical",IF(J39&lt;=0.17,"Met","Missed"),IF(C39="High",IF(J39&lt;=1,"Met","Missed"),IF(C39="Medium",IF(J39&lt;=7,"Met","Missed"),"N/A"))),"In Progress")</f>
        <v/>
      </c>
      <c r="R39" s="8" t="n"/>
    </row>
    <row r="40">
      <c r="A40" s="8" t="n"/>
      <c r="B40" s="8" t="n"/>
      <c r="C40" s="8" t="n"/>
      <c r="D40" s="8" t="n"/>
      <c r="E40" s="8" t="n"/>
      <c r="F40" s="8" t="n"/>
      <c r="G40" s="8" t="n"/>
      <c r="H40" s="8" t="n"/>
      <c r="I40" s="8" t="n"/>
      <c r="J40" s="9">
        <f>IF(OR(D40="",I40=""),"",I40-D40)</f>
        <v/>
      </c>
      <c r="K40" s="8" t="n"/>
      <c r="L40" s="8" t="n"/>
      <c r="M40" s="8" t="n"/>
      <c r="N40" s="8" t="n"/>
      <c r="O40" s="8" t="n"/>
      <c r="P40" s="9">
        <f>IF(I40&lt;&gt;"","Complete",IF(J40="","Not Started",IF(C40="Critical",IF(J40&lt;1,"On-Time","Overdue"),IF(C40="High",IF(J40&lt;2,"On-Time",IF(J40&lt;3,"At Risk","Overdue")),IF(J40&lt;8,"On-Time","At Risk")))))</f>
        <v/>
      </c>
      <c r="Q40" s="9">
        <f>IF(P40="Complete",IF(C40="Critical",IF(J40&lt;=0.17,"Met","Missed"),IF(C40="High",IF(J40&lt;=1,"Met","Missed"),IF(C40="Medium",IF(J40&lt;=7,"Met","Missed"),"N/A"))),"In Progress")</f>
        <v/>
      </c>
      <c r="R40" s="8" t="n"/>
    </row>
    <row r="41">
      <c r="A41" s="8" t="n"/>
      <c r="B41" s="8" t="n"/>
      <c r="C41" s="8" t="n"/>
      <c r="D41" s="8" t="n"/>
      <c r="E41" s="8" t="n"/>
      <c r="F41" s="8" t="n"/>
      <c r="G41" s="8" t="n"/>
      <c r="H41" s="8" t="n"/>
      <c r="I41" s="8" t="n"/>
      <c r="J41" s="9">
        <f>IF(OR(D41="",I41=""),"",I41-D41)</f>
        <v/>
      </c>
      <c r="K41" s="8" t="n"/>
      <c r="L41" s="8" t="n"/>
      <c r="M41" s="8" t="n"/>
      <c r="N41" s="8" t="n"/>
      <c r="O41" s="8" t="n"/>
      <c r="P41" s="9">
        <f>IF(I41&lt;&gt;"","Complete",IF(J41="","Not Started",IF(C41="Critical",IF(J41&lt;1,"On-Time","Overdue"),IF(C41="High",IF(J41&lt;2,"On-Time",IF(J41&lt;3,"At Risk","Overdue")),IF(J41&lt;8,"On-Time","At Risk")))))</f>
        <v/>
      </c>
      <c r="Q41" s="9">
        <f>IF(P41="Complete",IF(C41="Critical",IF(J41&lt;=0.17,"Met","Missed"),IF(C41="High",IF(J41&lt;=1,"Met","Missed"),IF(C41="Medium",IF(J41&lt;=7,"Met","Missed"),"N/A"))),"In Progress")</f>
        <v/>
      </c>
      <c r="R41" s="8" t="n"/>
    </row>
    <row r="42">
      <c r="A42" s="8" t="n"/>
      <c r="B42" s="8" t="n"/>
      <c r="C42" s="8" t="n"/>
      <c r="D42" s="8" t="n"/>
      <c r="E42" s="8" t="n"/>
      <c r="F42" s="8" t="n"/>
      <c r="G42" s="8" t="n"/>
      <c r="H42" s="8" t="n"/>
      <c r="I42" s="8" t="n"/>
      <c r="J42" s="9">
        <f>IF(OR(D42="",I42=""),"",I42-D42)</f>
        <v/>
      </c>
      <c r="K42" s="8" t="n"/>
      <c r="L42" s="8" t="n"/>
      <c r="M42" s="8" t="n"/>
      <c r="N42" s="8" t="n"/>
      <c r="O42" s="8" t="n"/>
      <c r="P42" s="9">
        <f>IF(I42&lt;&gt;"","Complete",IF(J42="","Not Started",IF(C42="Critical",IF(J42&lt;1,"On-Time","Overdue"),IF(C42="High",IF(J42&lt;2,"On-Time",IF(J42&lt;3,"At Risk","Overdue")),IF(J42&lt;8,"On-Time","At Risk")))))</f>
        <v/>
      </c>
      <c r="Q42" s="9">
        <f>IF(P42="Complete",IF(C42="Critical",IF(J42&lt;=0.17,"Met","Missed"),IF(C42="High",IF(J42&lt;=1,"Met","Missed"),IF(C42="Medium",IF(J42&lt;=7,"Met","Missed"),"N/A"))),"In Progress")</f>
        <v/>
      </c>
      <c r="R42" s="8" t="n"/>
    </row>
    <row r="43">
      <c r="A43" s="8" t="n"/>
      <c r="B43" s="8" t="n"/>
      <c r="C43" s="8" t="n"/>
      <c r="D43" s="8" t="n"/>
      <c r="E43" s="8" t="n"/>
      <c r="F43" s="8" t="n"/>
      <c r="G43" s="8" t="n"/>
      <c r="H43" s="8" t="n"/>
      <c r="I43" s="8" t="n"/>
      <c r="J43" s="9">
        <f>IF(OR(D43="",I43=""),"",I43-D43)</f>
        <v/>
      </c>
      <c r="K43" s="8" t="n"/>
      <c r="L43" s="8" t="n"/>
      <c r="M43" s="8" t="n"/>
      <c r="N43" s="8" t="n"/>
      <c r="O43" s="8" t="n"/>
      <c r="P43" s="9">
        <f>IF(I43&lt;&gt;"","Complete",IF(J43="","Not Started",IF(C43="Critical",IF(J43&lt;1,"On-Time","Overdue"),IF(C43="High",IF(J43&lt;2,"On-Time",IF(J43&lt;3,"At Risk","Overdue")),IF(J43&lt;8,"On-Time","At Risk")))))</f>
        <v/>
      </c>
      <c r="Q43" s="9">
        <f>IF(P43="Complete",IF(C43="Critical",IF(J43&lt;=0.17,"Met","Missed"),IF(C43="High",IF(J43&lt;=1,"Met","Missed"),IF(C43="Medium",IF(J43&lt;=7,"Met","Missed"),"N/A"))),"In Progress")</f>
        <v/>
      </c>
      <c r="R43" s="8" t="n"/>
    </row>
    <row r="44">
      <c r="A44" s="8" t="n"/>
      <c r="B44" s="8" t="n"/>
      <c r="C44" s="8" t="n"/>
      <c r="D44" s="8" t="n"/>
      <c r="E44" s="8" t="n"/>
      <c r="F44" s="8" t="n"/>
      <c r="G44" s="8" t="n"/>
      <c r="H44" s="8" t="n"/>
      <c r="I44" s="8" t="n"/>
      <c r="J44" s="9">
        <f>IF(OR(D44="",I44=""),"",I44-D44)</f>
        <v/>
      </c>
      <c r="K44" s="8" t="n"/>
      <c r="L44" s="8" t="n"/>
      <c r="M44" s="8" t="n"/>
      <c r="N44" s="8" t="n"/>
      <c r="O44" s="8" t="n"/>
      <c r="P44" s="9">
        <f>IF(I44&lt;&gt;"","Complete",IF(J44="","Not Started",IF(C44="Critical",IF(J44&lt;1,"On-Time","Overdue"),IF(C44="High",IF(J44&lt;2,"On-Time",IF(J44&lt;3,"At Risk","Overdue")),IF(J44&lt;8,"On-Time","At Risk")))))</f>
        <v/>
      </c>
      <c r="Q44" s="9">
        <f>IF(P44="Complete",IF(C44="Critical",IF(J44&lt;=0.17,"Met","Missed"),IF(C44="High",IF(J44&lt;=1,"Met","Missed"),IF(C44="Medium",IF(J44&lt;=7,"Met","Missed"),"N/A"))),"In Progress")</f>
        <v/>
      </c>
      <c r="R44" s="8" t="n"/>
    </row>
    <row r="45">
      <c r="A45" s="8" t="n"/>
      <c r="B45" s="8" t="n"/>
      <c r="C45" s="8" t="n"/>
      <c r="D45" s="8" t="n"/>
      <c r="E45" s="8" t="n"/>
      <c r="F45" s="8" t="n"/>
      <c r="G45" s="8" t="n"/>
      <c r="H45" s="8" t="n"/>
      <c r="I45" s="8" t="n"/>
      <c r="J45" s="9">
        <f>IF(OR(D45="",I45=""),"",I45-D45)</f>
        <v/>
      </c>
      <c r="K45" s="8" t="n"/>
      <c r="L45" s="8" t="n"/>
      <c r="M45" s="8" t="n"/>
      <c r="N45" s="8" t="n"/>
      <c r="O45" s="8" t="n"/>
      <c r="P45" s="9">
        <f>IF(I45&lt;&gt;"","Complete",IF(J45="","Not Started",IF(C45="Critical",IF(J45&lt;1,"On-Time","Overdue"),IF(C45="High",IF(J45&lt;2,"On-Time",IF(J45&lt;3,"At Risk","Overdue")),IF(J45&lt;8,"On-Time","At Risk")))))</f>
        <v/>
      </c>
      <c r="Q45" s="9">
        <f>IF(P45="Complete",IF(C45="Critical",IF(J45&lt;=0.17,"Met","Missed"),IF(C45="High",IF(J45&lt;=1,"Met","Missed"),IF(C45="Medium",IF(J45&lt;=7,"Met","Missed"),"N/A"))),"In Progress")</f>
        <v/>
      </c>
      <c r="R45" s="8" t="n"/>
    </row>
    <row r="46">
      <c r="A46" s="8" t="n"/>
      <c r="B46" s="8" t="n"/>
      <c r="C46" s="8" t="n"/>
      <c r="D46" s="8" t="n"/>
      <c r="E46" s="8" t="n"/>
      <c r="F46" s="8" t="n"/>
      <c r="G46" s="8" t="n"/>
      <c r="H46" s="8" t="n"/>
      <c r="I46" s="8" t="n"/>
      <c r="J46" s="9">
        <f>IF(OR(D46="",I46=""),"",I46-D46)</f>
        <v/>
      </c>
      <c r="K46" s="8" t="n"/>
      <c r="L46" s="8" t="n"/>
      <c r="M46" s="8" t="n"/>
      <c r="N46" s="8" t="n"/>
      <c r="O46" s="8" t="n"/>
      <c r="P46" s="9">
        <f>IF(I46&lt;&gt;"","Complete",IF(J46="","Not Started",IF(C46="Critical",IF(J46&lt;1,"On-Time","Overdue"),IF(C46="High",IF(J46&lt;2,"On-Time",IF(J46&lt;3,"At Risk","Overdue")),IF(J46&lt;8,"On-Time","At Risk")))))</f>
        <v/>
      </c>
      <c r="Q46" s="9">
        <f>IF(P46="Complete",IF(C46="Critical",IF(J46&lt;=0.17,"Met","Missed"),IF(C46="High",IF(J46&lt;=1,"Met","Missed"),IF(C46="Medium",IF(J46&lt;=7,"Met","Missed"),"N/A"))),"In Progress")</f>
        <v/>
      </c>
      <c r="R46" s="8" t="n"/>
    </row>
    <row r="47">
      <c r="A47" s="8" t="n"/>
      <c r="B47" s="8" t="n"/>
      <c r="C47" s="8" t="n"/>
      <c r="D47" s="8" t="n"/>
      <c r="E47" s="8" t="n"/>
      <c r="F47" s="8" t="n"/>
      <c r="G47" s="8" t="n"/>
      <c r="H47" s="8" t="n"/>
      <c r="I47" s="8" t="n"/>
      <c r="J47" s="9">
        <f>IF(OR(D47="",I47=""),"",I47-D47)</f>
        <v/>
      </c>
      <c r="K47" s="8" t="n"/>
      <c r="L47" s="8" t="n"/>
      <c r="M47" s="8" t="n"/>
      <c r="N47" s="8" t="n"/>
      <c r="O47" s="8" t="n"/>
      <c r="P47" s="9">
        <f>IF(I47&lt;&gt;"","Complete",IF(J47="","Not Started",IF(C47="Critical",IF(J47&lt;1,"On-Time","Overdue"),IF(C47="High",IF(J47&lt;2,"On-Time",IF(J47&lt;3,"At Risk","Overdue")),IF(J47&lt;8,"On-Time","At Risk")))))</f>
        <v/>
      </c>
      <c r="Q47" s="9">
        <f>IF(P47="Complete",IF(C47="Critical",IF(J47&lt;=0.17,"Met","Missed"),IF(C47="High",IF(J47&lt;=1,"Met","Missed"),IF(C47="Medium",IF(J47&lt;=7,"Met","Missed"),"N/A"))),"In Progress")</f>
        <v/>
      </c>
      <c r="R47" s="8" t="n"/>
    </row>
    <row r="48">
      <c r="A48" s="8" t="n"/>
      <c r="B48" s="8" t="n"/>
      <c r="C48" s="8" t="n"/>
      <c r="D48" s="8" t="n"/>
      <c r="E48" s="8" t="n"/>
      <c r="F48" s="8" t="n"/>
      <c r="G48" s="8" t="n"/>
      <c r="H48" s="8" t="n"/>
      <c r="I48" s="8" t="n"/>
      <c r="J48" s="9">
        <f>IF(OR(D48="",I48=""),"",I48-D48)</f>
        <v/>
      </c>
      <c r="K48" s="8" t="n"/>
      <c r="L48" s="8" t="n"/>
      <c r="M48" s="8" t="n"/>
      <c r="N48" s="8" t="n"/>
      <c r="O48" s="8" t="n"/>
      <c r="P48" s="9">
        <f>IF(I48&lt;&gt;"","Complete",IF(J48="","Not Started",IF(C48="Critical",IF(J48&lt;1,"On-Time","Overdue"),IF(C48="High",IF(J48&lt;2,"On-Time",IF(J48&lt;3,"At Risk","Overdue")),IF(J48&lt;8,"On-Time","At Risk")))))</f>
        <v/>
      </c>
      <c r="Q48" s="9">
        <f>IF(P48="Complete",IF(C48="Critical",IF(J48&lt;=0.17,"Met","Missed"),IF(C48="High",IF(J48&lt;=1,"Met","Missed"),IF(C48="Medium",IF(J48&lt;=7,"Met","Missed"),"N/A"))),"In Progress")</f>
        <v/>
      </c>
      <c r="R48" s="8" t="n"/>
    </row>
    <row r="49">
      <c r="A49" s="8" t="n"/>
      <c r="B49" s="8" t="n"/>
      <c r="C49" s="8" t="n"/>
      <c r="D49" s="8" t="n"/>
      <c r="E49" s="8" t="n"/>
      <c r="F49" s="8" t="n"/>
      <c r="G49" s="8" t="n"/>
      <c r="H49" s="8" t="n"/>
      <c r="I49" s="8" t="n"/>
      <c r="J49" s="9">
        <f>IF(OR(D49="",I49=""),"",I49-D49)</f>
        <v/>
      </c>
      <c r="K49" s="8" t="n"/>
      <c r="L49" s="8" t="n"/>
      <c r="M49" s="8" t="n"/>
      <c r="N49" s="8" t="n"/>
      <c r="O49" s="8" t="n"/>
      <c r="P49" s="9">
        <f>IF(I49&lt;&gt;"","Complete",IF(J49="","Not Started",IF(C49="Critical",IF(J49&lt;1,"On-Time","Overdue"),IF(C49="High",IF(J49&lt;2,"On-Time",IF(J49&lt;3,"At Risk","Overdue")),IF(J49&lt;8,"On-Time","At Risk")))))</f>
        <v/>
      </c>
      <c r="Q49" s="9">
        <f>IF(P49="Complete",IF(C49="Critical",IF(J49&lt;=0.17,"Met","Missed"),IF(C49="High",IF(J49&lt;=1,"Met","Missed"),IF(C49="Medium",IF(J49&lt;=7,"Met","Missed"),"N/A"))),"In Progress")</f>
        <v/>
      </c>
      <c r="R49" s="8" t="n"/>
    </row>
    <row r="50">
      <c r="A50" s="8" t="n"/>
      <c r="B50" s="8" t="n"/>
      <c r="C50" s="8" t="n"/>
      <c r="D50" s="8" t="n"/>
      <c r="E50" s="8" t="n"/>
      <c r="F50" s="8" t="n"/>
      <c r="G50" s="8" t="n"/>
      <c r="H50" s="8" t="n"/>
      <c r="I50" s="8" t="n"/>
      <c r="J50" s="9">
        <f>IF(OR(D50="",I50=""),"",I50-D50)</f>
        <v/>
      </c>
      <c r="K50" s="8" t="n"/>
      <c r="L50" s="8" t="n"/>
      <c r="M50" s="8" t="n"/>
      <c r="N50" s="8" t="n"/>
      <c r="O50" s="8" t="n"/>
      <c r="P50" s="9">
        <f>IF(I50&lt;&gt;"","Complete",IF(J50="","Not Started",IF(C50="Critical",IF(J50&lt;1,"On-Time","Overdue"),IF(C50="High",IF(J50&lt;2,"On-Time",IF(J50&lt;3,"At Risk","Overdue")),IF(J50&lt;8,"On-Time","At Risk")))))</f>
        <v/>
      </c>
      <c r="Q50" s="9">
        <f>IF(P50="Complete",IF(C50="Critical",IF(J50&lt;=0.17,"Met","Missed"),IF(C50="High",IF(J50&lt;=1,"Met","Missed"),IF(C50="Medium",IF(J50&lt;=7,"Met","Missed"),"N/A"))),"In Progress")</f>
        <v/>
      </c>
      <c r="R50" s="8" t="n"/>
    </row>
    <row r="51">
      <c r="A51" s="8" t="n"/>
      <c r="B51" s="8" t="n"/>
      <c r="C51" s="8" t="n"/>
      <c r="D51" s="8" t="n"/>
      <c r="E51" s="8" t="n"/>
      <c r="F51" s="8" t="n"/>
      <c r="G51" s="8" t="n"/>
      <c r="H51" s="8" t="n"/>
      <c r="I51" s="8" t="n"/>
      <c r="J51" s="9">
        <f>IF(OR(D51="",I51=""),"",I51-D51)</f>
        <v/>
      </c>
      <c r="K51" s="8" t="n"/>
      <c r="L51" s="8" t="n"/>
      <c r="M51" s="8" t="n"/>
      <c r="N51" s="8" t="n"/>
      <c r="O51" s="8" t="n"/>
      <c r="P51" s="9">
        <f>IF(I51&lt;&gt;"","Complete",IF(J51="","Not Started",IF(C51="Critical",IF(J51&lt;1,"On-Time","Overdue"),IF(C51="High",IF(J51&lt;2,"On-Time",IF(J51&lt;3,"At Risk","Overdue")),IF(J51&lt;8,"On-Time","At Risk")))))</f>
        <v/>
      </c>
      <c r="Q51" s="9">
        <f>IF(P51="Complete",IF(C51="Critical",IF(J51&lt;=0.17,"Met","Missed"),IF(C51="High",IF(J51&lt;=1,"Met","Missed"),IF(C51="Medium",IF(J51&lt;=7,"Met","Missed"),"N/A"))),"In Progress")</f>
        <v/>
      </c>
      <c r="R51" s="8" t="n"/>
    </row>
    <row r="52">
      <c r="A52" s="8" t="n"/>
      <c r="B52" s="8" t="n"/>
      <c r="C52" s="8" t="n"/>
      <c r="D52" s="8" t="n"/>
      <c r="E52" s="8" t="n"/>
      <c r="F52" s="8" t="n"/>
      <c r="G52" s="8" t="n"/>
      <c r="H52" s="8" t="n"/>
      <c r="I52" s="8" t="n"/>
      <c r="J52" s="9">
        <f>IF(OR(D52="",I52=""),"",I52-D52)</f>
        <v/>
      </c>
      <c r="K52" s="8" t="n"/>
      <c r="L52" s="8" t="n"/>
      <c r="M52" s="8" t="n"/>
      <c r="N52" s="8" t="n"/>
      <c r="O52" s="8" t="n"/>
      <c r="P52" s="9">
        <f>IF(I52&lt;&gt;"","Complete",IF(J52="","Not Started",IF(C52="Critical",IF(J52&lt;1,"On-Time","Overdue"),IF(C52="High",IF(J52&lt;2,"On-Time",IF(J52&lt;3,"At Risk","Overdue")),IF(J52&lt;8,"On-Time","At Risk")))))</f>
        <v/>
      </c>
      <c r="Q52" s="9">
        <f>IF(P52="Complete",IF(C52="Critical",IF(J52&lt;=0.17,"Met","Missed"),IF(C52="High",IF(J52&lt;=1,"Met","Missed"),IF(C52="Medium",IF(J52&lt;=7,"Met","Missed"),"N/A"))),"In Progress")</f>
        <v/>
      </c>
      <c r="R52" s="8" t="n"/>
    </row>
    <row r="53">
      <c r="A53" s="8" t="n"/>
      <c r="B53" s="8" t="n"/>
      <c r="C53" s="8" t="n"/>
      <c r="D53" s="8" t="n"/>
      <c r="E53" s="8" t="n"/>
      <c r="F53" s="8" t="n"/>
      <c r="G53" s="8" t="n"/>
      <c r="H53" s="8" t="n"/>
      <c r="I53" s="8" t="n"/>
      <c r="J53" s="9">
        <f>IF(OR(D53="",I53=""),"",I53-D53)</f>
        <v/>
      </c>
      <c r="K53" s="8" t="n"/>
      <c r="L53" s="8" t="n"/>
      <c r="M53" s="8" t="n"/>
      <c r="N53" s="8" t="n"/>
      <c r="O53" s="8" t="n"/>
      <c r="P53" s="9">
        <f>IF(I53&lt;&gt;"","Complete",IF(J53="","Not Started",IF(C53="Critical",IF(J53&lt;1,"On-Time","Overdue"),IF(C53="High",IF(J53&lt;2,"On-Time",IF(J53&lt;3,"At Risk","Overdue")),IF(J53&lt;8,"On-Time","At Risk")))))</f>
        <v/>
      </c>
      <c r="Q53" s="9">
        <f>IF(P53="Complete",IF(C53="Critical",IF(J53&lt;=0.17,"Met","Missed"),IF(C53="High",IF(J53&lt;=1,"Met","Missed"),IF(C53="Medium",IF(J53&lt;=7,"Met","Missed"),"N/A"))),"In Progress")</f>
        <v/>
      </c>
      <c r="R53" s="8" t="n"/>
    </row>
    <row r="54">
      <c r="A54" s="8" t="n"/>
      <c r="B54" s="8" t="n"/>
      <c r="C54" s="8" t="n"/>
      <c r="D54" s="8" t="n"/>
      <c r="E54" s="8" t="n"/>
      <c r="F54" s="8" t="n"/>
      <c r="G54" s="8" t="n"/>
      <c r="H54" s="8" t="n"/>
      <c r="I54" s="8" t="n"/>
      <c r="J54" s="9">
        <f>IF(OR(D54="",I54=""),"",I54-D54)</f>
        <v/>
      </c>
      <c r="K54" s="8" t="n"/>
      <c r="L54" s="8" t="n"/>
      <c r="M54" s="8" t="n"/>
      <c r="N54" s="8" t="n"/>
      <c r="O54" s="8" t="n"/>
      <c r="P54" s="9">
        <f>IF(I54&lt;&gt;"","Complete",IF(J54="","Not Started",IF(C54="Critical",IF(J54&lt;1,"On-Time","Overdue"),IF(C54="High",IF(J54&lt;2,"On-Time",IF(J54&lt;3,"At Risk","Overdue")),IF(J54&lt;8,"On-Time","At Risk")))))</f>
        <v/>
      </c>
      <c r="Q54" s="9">
        <f>IF(P54="Complete",IF(C54="Critical",IF(J54&lt;=0.17,"Met","Missed"),IF(C54="High",IF(J54&lt;=1,"Met","Missed"),IF(C54="Medium",IF(J54&lt;=7,"Met","Missed"),"N/A"))),"In Progress")</f>
        <v/>
      </c>
      <c r="R54" s="8" t="n"/>
    </row>
    <row r="55">
      <c r="A55" s="8" t="n"/>
      <c r="B55" s="8" t="n"/>
      <c r="C55" s="8" t="n"/>
      <c r="D55" s="8" t="n"/>
      <c r="E55" s="8" t="n"/>
      <c r="F55" s="8" t="n"/>
      <c r="G55" s="8" t="n"/>
      <c r="H55" s="8" t="n"/>
      <c r="I55" s="8" t="n"/>
      <c r="J55" s="9">
        <f>IF(OR(D55="",I55=""),"",I55-D55)</f>
        <v/>
      </c>
      <c r="K55" s="8" t="n"/>
      <c r="L55" s="8" t="n"/>
      <c r="M55" s="8" t="n"/>
      <c r="N55" s="8" t="n"/>
      <c r="O55" s="8" t="n"/>
      <c r="P55" s="9">
        <f>IF(I55&lt;&gt;"","Complete",IF(J55="","Not Started",IF(C55="Critical",IF(J55&lt;1,"On-Time","Overdue"),IF(C55="High",IF(J55&lt;2,"On-Time",IF(J55&lt;3,"At Risk","Overdue")),IF(J55&lt;8,"On-Time","At Risk")))))</f>
        <v/>
      </c>
      <c r="Q55" s="9">
        <f>IF(P55="Complete",IF(C55="Critical",IF(J55&lt;=0.17,"Met","Missed"),IF(C55="High",IF(J55&lt;=1,"Met","Missed"),IF(C55="Medium",IF(J55&lt;=7,"Met","Missed"),"N/A"))),"In Progress")</f>
        <v/>
      </c>
      <c r="R55" s="8" t="n"/>
    </row>
    <row r="56">
      <c r="A56" s="8" t="n"/>
      <c r="B56" s="8" t="n"/>
      <c r="C56" s="8" t="n"/>
      <c r="D56" s="8" t="n"/>
      <c r="E56" s="8" t="n"/>
      <c r="F56" s="8" t="n"/>
      <c r="G56" s="8" t="n"/>
      <c r="H56" s="8" t="n"/>
      <c r="I56" s="8" t="n"/>
      <c r="J56" s="9">
        <f>IF(OR(D56="",I56=""),"",I56-D56)</f>
        <v/>
      </c>
      <c r="K56" s="8" t="n"/>
      <c r="L56" s="8" t="n"/>
      <c r="M56" s="8" t="n"/>
      <c r="N56" s="8" t="n"/>
      <c r="O56" s="8" t="n"/>
      <c r="P56" s="9">
        <f>IF(I56&lt;&gt;"","Complete",IF(J56="","Not Started",IF(C56="Critical",IF(J56&lt;1,"On-Time","Overdue"),IF(C56="High",IF(J56&lt;2,"On-Time",IF(J56&lt;3,"At Risk","Overdue")),IF(J56&lt;8,"On-Time","At Risk")))))</f>
        <v/>
      </c>
      <c r="Q56" s="9">
        <f>IF(P56="Complete",IF(C56="Critical",IF(J56&lt;=0.17,"Met","Missed"),IF(C56="High",IF(J56&lt;=1,"Met","Missed"),IF(C56="Medium",IF(J56&lt;=7,"Met","Missed"),"N/A"))),"In Progress")</f>
        <v/>
      </c>
      <c r="R56" s="8" t="n"/>
    </row>
    <row r="57">
      <c r="A57" s="8" t="n"/>
      <c r="B57" s="8" t="n"/>
      <c r="C57" s="8" t="n"/>
      <c r="D57" s="8" t="n"/>
      <c r="E57" s="8" t="n"/>
      <c r="F57" s="8" t="n"/>
      <c r="G57" s="8" t="n"/>
      <c r="H57" s="8" t="n"/>
      <c r="I57" s="8" t="n"/>
      <c r="J57" s="9">
        <f>IF(OR(D57="",I57=""),"",I57-D57)</f>
        <v/>
      </c>
      <c r="K57" s="8" t="n"/>
      <c r="L57" s="8" t="n"/>
      <c r="M57" s="8" t="n"/>
      <c r="N57" s="8" t="n"/>
      <c r="O57" s="8" t="n"/>
      <c r="P57" s="9">
        <f>IF(I57&lt;&gt;"","Complete",IF(J57="","Not Started",IF(C57="Critical",IF(J57&lt;1,"On-Time","Overdue"),IF(C57="High",IF(J57&lt;2,"On-Time",IF(J57&lt;3,"At Risk","Overdue")),IF(J57&lt;8,"On-Time","At Risk")))))</f>
        <v/>
      </c>
      <c r="Q57" s="9">
        <f>IF(P57="Complete",IF(C57="Critical",IF(J57&lt;=0.17,"Met","Missed"),IF(C57="High",IF(J57&lt;=1,"Met","Missed"),IF(C57="Medium",IF(J57&lt;=7,"Met","Missed"),"N/A"))),"In Progress")</f>
        <v/>
      </c>
      <c r="R57" s="8" t="n"/>
    </row>
    <row r="58">
      <c r="A58" s="8" t="n"/>
      <c r="B58" s="8" t="n"/>
      <c r="C58" s="8" t="n"/>
      <c r="D58" s="8" t="n"/>
      <c r="E58" s="8" t="n"/>
      <c r="F58" s="8" t="n"/>
      <c r="G58" s="8" t="n"/>
      <c r="H58" s="8" t="n"/>
      <c r="I58" s="8" t="n"/>
      <c r="J58" s="9">
        <f>IF(OR(D58="",I58=""),"",I58-D58)</f>
        <v/>
      </c>
      <c r="K58" s="8" t="n"/>
      <c r="L58" s="8" t="n"/>
      <c r="M58" s="8" t="n"/>
      <c r="N58" s="8" t="n"/>
      <c r="O58" s="8" t="n"/>
      <c r="P58" s="9">
        <f>IF(I58&lt;&gt;"","Complete",IF(J58="","Not Started",IF(C58="Critical",IF(J58&lt;1,"On-Time","Overdue"),IF(C58="High",IF(J58&lt;2,"On-Time",IF(J58&lt;3,"At Risk","Overdue")),IF(J58&lt;8,"On-Time","At Risk")))))</f>
        <v/>
      </c>
      <c r="Q58" s="9">
        <f>IF(P58="Complete",IF(C58="Critical",IF(J58&lt;=0.17,"Met","Missed"),IF(C58="High",IF(J58&lt;=1,"Met","Missed"),IF(C58="Medium",IF(J58&lt;=7,"Met","Missed"),"N/A"))),"In Progress")</f>
        <v/>
      </c>
      <c r="R58" s="8" t="n"/>
    </row>
    <row r="59">
      <c r="A59" s="8" t="n"/>
      <c r="B59" s="8" t="n"/>
      <c r="C59" s="8" t="n"/>
      <c r="D59" s="8" t="n"/>
      <c r="E59" s="8" t="n"/>
      <c r="F59" s="8" t="n"/>
      <c r="G59" s="8" t="n"/>
      <c r="H59" s="8" t="n"/>
      <c r="I59" s="8" t="n"/>
      <c r="J59" s="9">
        <f>IF(OR(D59="",I59=""),"",I59-D59)</f>
        <v/>
      </c>
      <c r="K59" s="8" t="n"/>
      <c r="L59" s="8" t="n"/>
      <c r="M59" s="8" t="n"/>
      <c r="N59" s="8" t="n"/>
      <c r="O59" s="8" t="n"/>
      <c r="P59" s="9">
        <f>IF(I59&lt;&gt;"","Complete",IF(J59="","Not Started",IF(C59="Critical",IF(J59&lt;1,"On-Time","Overdue"),IF(C59="High",IF(J59&lt;2,"On-Time",IF(J59&lt;3,"At Risk","Overdue")),IF(J59&lt;8,"On-Time","At Risk")))))</f>
        <v/>
      </c>
      <c r="Q59" s="9">
        <f>IF(P59="Complete",IF(C59="Critical",IF(J59&lt;=0.17,"Met","Missed"),IF(C59="High",IF(J59&lt;=1,"Met","Missed"),IF(C59="Medium",IF(J59&lt;=7,"Met","Missed"),"N/A"))),"In Progress")</f>
        <v/>
      </c>
      <c r="R59" s="8" t="n"/>
    </row>
    <row r="60">
      <c r="A60" s="8" t="n"/>
      <c r="B60" s="8" t="n"/>
      <c r="C60" s="8" t="n"/>
      <c r="D60" s="8" t="n"/>
      <c r="E60" s="8" t="n"/>
      <c r="F60" s="8" t="n"/>
      <c r="G60" s="8" t="n"/>
      <c r="H60" s="8" t="n"/>
      <c r="I60" s="8" t="n"/>
      <c r="J60" s="9">
        <f>IF(OR(D60="",I60=""),"",I60-D60)</f>
        <v/>
      </c>
      <c r="K60" s="8" t="n"/>
      <c r="L60" s="8" t="n"/>
      <c r="M60" s="8" t="n"/>
      <c r="N60" s="8" t="n"/>
      <c r="O60" s="8" t="n"/>
      <c r="P60" s="9">
        <f>IF(I60&lt;&gt;"","Complete",IF(J60="","Not Started",IF(C60="Critical",IF(J60&lt;1,"On-Time","Overdue"),IF(C60="High",IF(J60&lt;2,"On-Time",IF(J60&lt;3,"At Risk","Overdue")),IF(J60&lt;8,"On-Time","At Risk")))))</f>
        <v/>
      </c>
      <c r="Q60" s="9">
        <f>IF(P60="Complete",IF(C60="Critical",IF(J60&lt;=0.17,"Met","Missed"),IF(C60="High",IF(J60&lt;=1,"Met","Missed"),IF(C60="Medium",IF(J60&lt;=7,"Met","Missed"),"N/A"))),"In Progress")</f>
        <v/>
      </c>
      <c r="R60" s="8" t="n"/>
    </row>
    <row r="61">
      <c r="A61" s="8" t="n"/>
      <c r="B61" s="8" t="n"/>
      <c r="C61" s="8" t="n"/>
      <c r="D61" s="8" t="n"/>
      <c r="E61" s="8" t="n"/>
      <c r="F61" s="8" t="n"/>
      <c r="G61" s="8" t="n"/>
      <c r="H61" s="8" t="n"/>
      <c r="I61" s="8" t="n"/>
      <c r="J61" s="9">
        <f>IF(OR(D61="",I61=""),"",I61-D61)</f>
        <v/>
      </c>
      <c r="K61" s="8" t="n"/>
      <c r="L61" s="8" t="n"/>
      <c r="M61" s="8" t="n"/>
      <c r="N61" s="8" t="n"/>
      <c r="O61" s="8" t="n"/>
      <c r="P61" s="9">
        <f>IF(I61&lt;&gt;"","Complete",IF(J61="","Not Started",IF(C61="Critical",IF(J61&lt;1,"On-Time","Overdue"),IF(C61="High",IF(J61&lt;2,"On-Time",IF(J61&lt;3,"At Risk","Overdue")),IF(J61&lt;8,"On-Time","At Risk")))))</f>
        <v/>
      </c>
      <c r="Q61" s="9">
        <f>IF(P61="Complete",IF(C61="Critical",IF(J61&lt;=0.17,"Met","Missed"),IF(C61="High",IF(J61&lt;=1,"Met","Missed"),IF(C61="Medium",IF(J61&lt;=7,"Met","Missed"),"N/A"))),"In Progress")</f>
        <v/>
      </c>
      <c r="R61" s="8" t="n"/>
    </row>
    <row r="62">
      <c r="A62" s="8" t="n"/>
      <c r="B62" s="8" t="n"/>
      <c r="C62" s="8" t="n"/>
      <c r="D62" s="8" t="n"/>
      <c r="E62" s="8" t="n"/>
      <c r="F62" s="8" t="n"/>
      <c r="G62" s="8" t="n"/>
      <c r="H62" s="8" t="n"/>
      <c r="I62" s="8" t="n"/>
      <c r="J62" s="9">
        <f>IF(OR(D62="",I62=""),"",I62-D62)</f>
        <v/>
      </c>
      <c r="K62" s="8" t="n"/>
      <c r="L62" s="8" t="n"/>
      <c r="M62" s="8" t="n"/>
      <c r="N62" s="8" t="n"/>
      <c r="O62" s="8" t="n"/>
      <c r="P62" s="9">
        <f>IF(I62&lt;&gt;"","Complete",IF(J62="","Not Started",IF(C62="Critical",IF(J62&lt;1,"On-Time","Overdue"),IF(C62="High",IF(J62&lt;2,"On-Time",IF(J62&lt;3,"At Risk","Overdue")),IF(J62&lt;8,"On-Time","At Risk")))))</f>
        <v/>
      </c>
      <c r="Q62" s="9">
        <f>IF(P62="Complete",IF(C62="Critical",IF(J62&lt;=0.17,"Met","Missed"),IF(C62="High",IF(J62&lt;=1,"Met","Missed"),IF(C62="Medium",IF(J62&lt;=7,"Met","Missed"),"N/A"))),"In Progress")</f>
        <v/>
      </c>
      <c r="R62" s="8" t="n"/>
    </row>
    <row r="63">
      <c r="A63" s="8" t="n"/>
      <c r="B63" s="8" t="n"/>
      <c r="C63" s="8" t="n"/>
      <c r="D63" s="8" t="n"/>
      <c r="E63" s="8" t="n"/>
      <c r="F63" s="8" t="n"/>
      <c r="G63" s="8" t="n"/>
      <c r="H63" s="8" t="n"/>
      <c r="I63" s="8" t="n"/>
      <c r="J63" s="9">
        <f>IF(OR(D63="",I63=""),"",I63-D63)</f>
        <v/>
      </c>
      <c r="K63" s="8" t="n"/>
      <c r="L63" s="8" t="n"/>
      <c r="M63" s="8" t="n"/>
      <c r="N63" s="8" t="n"/>
      <c r="O63" s="8" t="n"/>
      <c r="P63" s="9">
        <f>IF(I63&lt;&gt;"","Complete",IF(J63="","Not Started",IF(C63="Critical",IF(J63&lt;1,"On-Time","Overdue"),IF(C63="High",IF(J63&lt;2,"On-Time",IF(J63&lt;3,"At Risk","Overdue")),IF(J63&lt;8,"On-Time","At Risk")))))</f>
        <v/>
      </c>
      <c r="Q63" s="9">
        <f>IF(P63="Complete",IF(C63="Critical",IF(J63&lt;=0.17,"Met","Missed"),IF(C63="High",IF(J63&lt;=1,"Met","Missed"),IF(C63="Medium",IF(J63&lt;=7,"Met","Missed"),"N/A"))),"In Progress")</f>
        <v/>
      </c>
      <c r="R63" s="8" t="n"/>
    </row>
    <row r="64">
      <c r="A64" s="8" t="n"/>
      <c r="B64" s="8" t="n"/>
      <c r="C64" s="8" t="n"/>
      <c r="D64" s="8" t="n"/>
      <c r="E64" s="8" t="n"/>
      <c r="F64" s="8" t="n"/>
      <c r="G64" s="8" t="n"/>
      <c r="H64" s="8" t="n"/>
      <c r="I64" s="8" t="n"/>
      <c r="J64" s="9">
        <f>IF(OR(D64="",I64=""),"",I64-D64)</f>
        <v/>
      </c>
      <c r="K64" s="8" t="n"/>
      <c r="L64" s="8" t="n"/>
      <c r="M64" s="8" t="n"/>
      <c r="N64" s="8" t="n"/>
      <c r="O64" s="8" t="n"/>
      <c r="P64" s="9">
        <f>IF(I64&lt;&gt;"","Complete",IF(J64="","Not Started",IF(C64="Critical",IF(J64&lt;1,"On-Time","Overdue"),IF(C64="High",IF(J64&lt;2,"On-Time",IF(J64&lt;3,"At Risk","Overdue")),IF(J64&lt;8,"On-Time","At Risk")))))</f>
        <v/>
      </c>
      <c r="Q64" s="9">
        <f>IF(P64="Complete",IF(C64="Critical",IF(J64&lt;=0.17,"Met","Missed"),IF(C64="High",IF(J64&lt;=1,"Met","Missed"),IF(C64="Medium",IF(J64&lt;=7,"Met","Missed"),"N/A"))),"In Progress")</f>
        <v/>
      </c>
      <c r="R64" s="8" t="n"/>
    </row>
    <row r="65">
      <c r="A65" s="8" t="n"/>
      <c r="B65" s="8" t="n"/>
      <c r="C65" s="8" t="n"/>
      <c r="D65" s="8" t="n"/>
      <c r="E65" s="8" t="n"/>
      <c r="F65" s="8" t="n"/>
      <c r="G65" s="8" t="n"/>
      <c r="H65" s="8" t="n"/>
      <c r="I65" s="8" t="n"/>
      <c r="J65" s="9">
        <f>IF(OR(D65="",I65=""),"",I65-D65)</f>
        <v/>
      </c>
      <c r="K65" s="8" t="n"/>
      <c r="L65" s="8" t="n"/>
      <c r="M65" s="8" t="n"/>
      <c r="N65" s="8" t="n"/>
      <c r="O65" s="8" t="n"/>
      <c r="P65" s="9">
        <f>IF(I65&lt;&gt;"","Complete",IF(J65="","Not Started",IF(C65="Critical",IF(J65&lt;1,"On-Time","Overdue"),IF(C65="High",IF(J65&lt;2,"On-Time",IF(J65&lt;3,"At Risk","Overdue")),IF(J65&lt;8,"On-Time","At Risk")))))</f>
        <v/>
      </c>
      <c r="Q65" s="9">
        <f>IF(P65="Complete",IF(C65="Critical",IF(J65&lt;=0.17,"Met","Missed"),IF(C65="High",IF(J65&lt;=1,"Met","Missed"),IF(C65="Medium",IF(J65&lt;=7,"Met","Missed"),"N/A"))),"In Progress")</f>
        <v/>
      </c>
      <c r="R65" s="8" t="n"/>
    </row>
    <row r="66">
      <c r="A66" s="8" t="n"/>
      <c r="B66" s="8" t="n"/>
      <c r="C66" s="8" t="n"/>
      <c r="D66" s="8" t="n"/>
      <c r="E66" s="8" t="n"/>
      <c r="F66" s="8" t="n"/>
      <c r="G66" s="8" t="n"/>
      <c r="H66" s="8" t="n"/>
      <c r="I66" s="8" t="n"/>
      <c r="J66" s="9">
        <f>IF(OR(D66="",I66=""),"",I66-D66)</f>
        <v/>
      </c>
      <c r="K66" s="8" t="n"/>
      <c r="L66" s="8" t="n"/>
      <c r="M66" s="8" t="n"/>
      <c r="N66" s="8" t="n"/>
      <c r="O66" s="8" t="n"/>
      <c r="P66" s="9">
        <f>IF(I66&lt;&gt;"","Complete",IF(J66="","Not Started",IF(C66="Critical",IF(J66&lt;1,"On-Time","Overdue"),IF(C66="High",IF(J66&lt;2,"On-Time",IF(J66&lt;3,"At Risk","Overdue")),IF(J66&lt;8,"On-Time","At Risk")))))</f>
        <v/>
      </c>
      <c r="Q66" s="9">
        <f>IF(P66="Complete",IF(C66="Critical",IF(J66&lt;=0.17,"Met","Missed"),IF(C66="High",IF(J66&lt;=1,"Met","Missed"),IF(C66="Medium",IF(J66&lt;=7,"Met","Missed"),"N/A"))),"In Progress")</f>
        <v/>
      </c>
      <c r="R66" s="8" t="n"/>
    </row>
    <row r="67">
      <c r="A67" s="8" t="n"/>
      <c r="B67" s="8" t="n"/>
      <c r="C67" s="8" t="n"/>
      <c r="D67" s="8" t="n"/>
      <c r="E67" s="8" t="n"/>
      <c r="F67" s="8" t="n"/>
      <c r="G67" s="8" t="n"/>
      <c r="H67" s="8" t="n"/>
      <c r="I67" s="8" t="n"/>
      <c r="J67" s="9">
        <f>IF(OR(D67="",I67=""),"",I67-D67)</f>
        <v/>
      </c>
      <c r="K67" s="8" t="n"/>
      <c r="L67" s="8" t="n"/>
      <c r="M67" s="8" t="n"/>
      <c r="N67" s="8" t="n"/>
      <c r="O67" s="8" t="n"/>
      <c r="P67" s="9">
        <f>IF(I67&lt;&gt;"","Complete",IF(J67="","Not Started",IF(C67="Critical",IF(J67&lt;1,"On-Time","Overdue"),IF(C67="High",IF(J67&lt;2,"On-Time",IF(J67&lt;3,"At Risk","Overdue")),IF(J67&lt;8,"On-Time","At Risk")))))</f>
        <v/>
      </c>
      <c r="Q67" s="9">
        <f>IF(P67="Complete",IF(C67="Critical",IF(J67&lt;=0.17,"Met","Missed"),IF(C67="High",IF(J67&lt;=1,"Met","Missed"),IF(C67="Medium",IF(J67&lt;=7,"Met","Missed"),"N/A"))),"In Progress")</f>
        <v/>
      </c>
      <c r="R67" s="8" t="n"/>
    </row>
    <row r="68">
      <c r="A68" s="8" t="n"/>
      <c r="B68" s="8" t="n"/>
      <c r="C68" s="8" t="n"/>
      <c r="D68" s="8" t="n"/>
      <c r="E68" s="8" t="n"/>
      <c r="F68" s="8" t="n"/>
      <c r="G68" s="8" t="n"/>
      <c r="H68" s="8" t="n"/>
      <c r="I68" s="8" t="n"/>
      <c r="J68" s="9">
        <f>IF(OR(D68="",I68=""),"",I68-D68)</f>
        <v/>
      </c>
      <c r="K68" s="8" t="n"/>
      <c r="L68" s="8" t="n"/>
      <c r="M68" s="8" t="n"/>
      <c r="N68" s="8" t="n"/>
      <c r="O68" s="8" t="n"/>
      <c r="P68" s="9">
        <f>IF(I68&lt;&gt;"","Complete",IF(J68="","Not Started",IF(C68="Critical",IF(J68&lt;1,"On-Time","Overdue"),IF(C68="High",IF(J68&lt;2,"On-Time",IF(J68&lt;3,"At Risk","Overdue")),IF(J68&lt;8,"On-Time","At Risk")))))</f>
        <v/>
      </c>
      <c r="Q68" s="9">
        <f>IF(P68="Complete",IF(C68="Critical",IF(J68&lt;=0.17,"Met","Missed"),IF(C68="High",IF(J68&lt;=1,"Met","Missed"),IF(C68="Medium",IF(J68&lt;=7,"Met","Missed"),"N/A"))),"In Progress")</f>
        <v/>
      </c>
      <c r="R68" s="8" t="n"/>
    </row>
    <row r="69">
      <c r="A69" s="8" t="n"/>
      <c r="B69" s="8" t="n"/>
      <c r="C69" s="8" t="n"/>
      <c r="D69" s="8" t="n"/>
      <c r="E69" s="8" t="n"/>
      <c r="F69" s="8" t="n"/>
      <c r="G69" s="8" t="n"/>
      <c r="H69" s="8" t="n"/>
      <c r="I69" s="8" t="n"/>
      <c r="J69" s="9">
        <f>IF(OR(D69="",I69=""),"",I69-D69)</f>
        <v/>
      </c>
      <c r="K69" s="8" t="n"/>
      <c r="L69" s="8" t="n"/>
      <c r="M69" s="8" t="n"/>
      <c r="N69" s="8" t="n"/>
      <c r="O69" s="8" t="n"/>
      <c r="P69" s="9">
        <f>IF(I69&lt;&gt;"","Complete",IF(J69="","Not Started",IF(C69="Critical",IF(J69&lt;1,"On-Time","Overdue"),IF(C69="High",IF(J69&lt;2,"On-Time",IF(J69&lt;3,"At Risk","Overdue")),IF(J69&lt;8,"On-Time","At Risk")))))</f>
        <v/>
      </c>
      <c r="Q69" s="9">
        <f>IF(P69="Complete",IF(C69="Critical",IF(J69&lt;=0.17,"Met","Missed"),IF(C69="High",IF(J69&lt;=1,"Met","Missed"),IF(C69="Medium",IF(J69&lt;=7,"Met","Missed"),"N/A"))),"In Progress")</f>
        <v/>
      </c>
      <c r="R69" s="8" t="n"/>
    </row>
    <row r="70">
      <c r="A70" s="8" t="n"/>
      <c r="B70" s="8" t="n"/>
      <c r="C70" s="8" t="n"/>
      <c r="D70" s="8" t="n"/>
      <c r="E70" s="8" t="n"/>
      <c r="F70" s="8" t="n"/>
      <c r="G70" s="8" t="n"/>
      <c r="H70" s="8" t="n"/>
      <c r="I70" s="8" t="n"/>
      <c r="J70" s="9">
        <f>IF(OR(D70="",I70=""),"",I70-D70)</f>
        <v/>
      </c>
      <c r="K70" s="8" t="n"/>
      <c r="L70" s="8" t="n"/>
      <c r="M70" s="8" t="n"/>
      <c r="N70" s="8" t="n"/>
      <c r="O70" s="8" t="n"/>
      <c r="P70" s="9">
        <f>IF(I70&lt;&gt;"","Complete",IF(J70="","Not Started",IF(C70="Critical",IF(J70&lt;1,"On-Time","Overdue"),IF(C70="High",IF(J70&lt;2,"On-Time",IF(J70&lt;3,"At Risk","Overdue")),IF(J70&lt;8,"On-Time","At Risk")))))</f>
        <v/>
      </c>
      <c r="Q70" s="9">
        <f>IF(P70="Complete",IF(C70="Critical",IF(J70&lt;=0.17,"Met","Missed"),IF(C70="High",IF(J70&lt;=1,"Met","Missed"),IF(C70="Medium",IF(J70&lt;=7,"Met","Missed"),"N/A"))),"In Progress")</f>
        <v/>
      </c>
      <c r="R70" s="8" t="n"/>
    </row>
    <row r="71">
      <c r="A71" s="8" t="n"/>
      <c r="B71" s="8" t="n"/>
      <c r="C71" s="8" t="n"/>
      <c r="D71" s="8" t="n"/>
      <c r="E71" s="8" t="n"/>
      <c r="F71" s="8" t="n"/>
      <c r="G71" s="8" t="n"/>
      <c r="H71" s="8" t="n"/>
      <c r="I71" s="8" t="n"/>
      <c r="J71" s="9">
        <f>IF(OR(D71="",I71=""),"",I71-D71)</f>
        <v/>
      </c>
      <c r="K71" s="8" t="n"/>
      <c r="L71" s="8" t="n"/>
      <c r="M71" s="8" t="n"/>
      <c r="N71" s="8" t="n"/>
      <c r="O71" s="8" t="n"/>
      <c r="P71" s="9">
        <f>IF(I71&lt;&gt;"","Complete",IF(J71="","Not Started",IF(C71="Critical",IF(J71&lt;1,"On-Time","Overdue"),IF(C71="High",IF(J71&lt;2,"On-Time",IF(J71&lt;3,"At Risk","Overdue")),IF(J71&lt;8,"On-Time","At Risk")))))</f>
        <v/>
      </c>
      <c r="Q71" s="9">
        <f>IF(P71="Complete",IF(C71="Critical",IF(J71&lt;=0.17,"Met","Missed"),IF(C71="High",IF(J71&lt;=1,"Met","Missed"),IF(C71="Medium",IF(J71&lt;=7,"Met","Missed"),"N/A"))),"In Progress")</f>
        <v/>
      </c>
      <c r="R71" s="8" t="n"/>
    </row>
    <row r="72">
      <c r="A72" s="8" t="n"/>
      <c r="B72" s="8" t="n"/>
      <c r="C72" s="8" t="n"/>
      <c r="D72" s="8" t="n"/>
      <c r="E72" s="8" t="n"/>
      <c r="F72" s="8" t="n"/>
      <c r="G72" s="8" t="n"/>
      <c r="H72" s="8" t="n"/>
      <c r="I72" s="8" t="n"/>
      <c r="J72" s="9">
        <f>IF(OR(D72="",I72=""),"",I72-D72)</f>
        <v/>
      </c>
      <c r="K72" s="8" t="n"/>
      <c r="L72" s="8" t="n"/>
      <c r="M72" s="8" t="n"/>
      <c r="N72" s="8" t="n"/>
      <c r="O72" s="8" t="n"/>
      <c r="P72" s="9">
        <f>IF(I72&lt;&gt;"","Complete",IF(J72="","Not Started",IF(C72="Critical",IF(J72&lt;1,"On-Time","Overdue"),IF(C72="High",IF(J72&lt;2,"On-Time",IF(J72&lt;3,"At Risk","Overdue")),IF(J72&lt;8,"On-Time","At Risk")))))</f>
        <v/>
      </c>
      <c r="Q72" s="9">
        <f>IF(P72="Complete",IF(C72="Critical",IF(J72&lt;=0.17,"Met","Missed"),IF(C72="High",IF(J72&lt;=1,"Met","Missed"),IF(C72="Medium",IF(J72&lt;=7,"Met","Missed"),"N/A"))),"In Progress")</f>
        <v/>
      </c>
      <c r="R72" s="8" t="n"/>
    </row>
    <row r="73">
      <c r="A73" s="8" t="n"/>
      <c r="B73" s="8" t="n"/>
      <c r="C73" s="8" t="n"/>
      <c r="D73" s="8" t="n"/>
      <c r="E73" s="8" t="n"/>
      <c r="F73" s="8" t="n"/>
      <c r="G73" s="8" t="n"/>
      <c r="H73" s="8" t="n"/>
      <c r="I73" s="8" t="n"/>
      <c r="J73" s="9">
        <f>IF(OR(D73="",I73=""),"",I73-D73)</f>
        <v/>
      </c>
      <c r="K73" s="8" t="n"/>
      <c r="L73" s="8" t="n"/>
      <c r="M73" s="8" t="n"/>
      <c r="N73" s="8" t="n"/>
      <c r="O73" s="8" t="n"/>
      <c r="P73" s="9">
        <f>IF(I73&lt;&gt;"","Complete",IF(J73="","Not Started",IF(C73="Critical",IF(J73&lt;1,"On-Time","Overdue"),IF(C73="High",IF(J73&lt;2,"On-Time",IF(J73&lt;3,"At Risk","Overdue")),IF(J73&lt;8,"On-Time","At Risk")))))</f>
        <v/>
      </c>
      <c r="Q73" s="9">
        <f>IF(P73="Complete",IF(C73="Critical",IF(J73&lt;=0.17,"Met","Missed"),IF(C73="High",IF(J73&lt;=1,"Met","Missed"),IF(C73="Medium",IF(J73&lt;=7,"Met","Missed"),"N/A"))),"In Progress")</f>
        <v/>
      </c>
      <c r="R73" s="8" t="n"/>
    </row>
    <row r="74">
      <c r="A74" s="8" t="n"/>
      <c r="B74" s="8" t="n"/>
      <c r="C74" s="8" t="n"/>
      <c r="D74" s="8" t="n"/>
      <c r="E74" s="8" t="n"/>
      <c r="F74" s="8" t="n"/>
      <c r="G74" s="8" t="n"/>
      <c r="H74" s="8" t="n"/>
      <c r="I74" s="8" t="n"/>
      <c r="J74" s="9">
        <f>IF(OR(D74="",I74=""),"",I74-D74)</f>
        <v/>
      </c>
      <c r="K74" s="8" t="n"/>
      <c r="L74" s="8" t="n"/>
      <c r="M74" s="8" t="n"/>
      <c r="N74" s="8" t="n"/>
      <c r="O74" s="8" t="n"/>
      <c r="P74" s="9">
        <f>IF(I74&lt;&gt;"","Complete",IF(J74="","Not Started",IF(C74="Critical",IF(J74&lt;1,"On-Time","Overdue"),IF(C74="High",IF(J74&lt;2,"On-Time",IF(J74&lt;3,"At Risk","Overdue")),IF(J74&lt;8,"On-Time","At Risk")))))</f>
        <v/>
      </c>
      <c r="Q74" s="9">
        <f>IF(P74="Complete",IF(C74="Critical",IF(J74&lt;=0.17,"Met","Missed"),IF(C74="High",IF(J74&lt;=1,"Met","Missed"),IF(C74="Medium",IF(J74&lt;=7,"Met","Missed"),"N/A"))),"In Progress")</f>
        <v/>
      </c>
      <c r="R74" s="8" t="n"/>
    </row>
    <row r="75">
      <c r="A75" s="8" t="n"/>
      <c r="B75" s="8" t="n"/>
      <c r="C75" s="8" t="n"/>
      <c r="D75" s="8" t="n"/>
      <c r="E75" s="8" t="n"/>
      <c r="F75" s="8" t="n"/>
      <c r="G75" s="8" t="n"/>
      <c r="H75" s="8" t="n"/>
      <c r="I75" s="8" t="n"/>
      <c r="J75" s="9">
        <f>IF(OR(D75="",I75=""),"",I75-D75)</f>
        <v/>
      </c>
      <c r="K75" s="8" t="n"/>
      <c r="L75" s="8" t="n"/>
      <c r="M75" s="8" t="n"/>
      <c r="N75" s="8" t="n"/>
      <c r="O75" s="8" t="n"/>
      <c r="P75" s="9">
        <f>IF(I75&lt;&gt;"","Complete",IF(J75="","Not Started",IF(C75="Critical",IF(J75&lt;1,"On-Time","Overdue"),IF(C75="High",IF(J75&lt;2,"On-Time",IF(J75&lt;3,"At Risk","Overdue")),IF(J75&lt;8,"On-Time","At Risk")))))</f>
        <v/>
      </c>
      <c r="Q75" s="9">
        <f>IF(P75="Complete",IF(C75="Critical",IF(J75&lt;=0.17,"Met","Missed"),IF(C75="High",IF(J75&lt;=1,"Met","Missed"),IF(C75="Medium",IF(J75&lt;=7,"Met","Missed"),"N/A"))),"In Progress")</f>
        <v/>
      </c>
      <c r="R75" s="8" t="n"/>
    </row>
    <row r="76">
      <c r="A76" s="8" t="n"/>
      <c r="B76" s="8" t="n"/>
      <c r="C76" s="8" t="n"/>
      <c r="D76" s="8" t="n"/>
      <c r="E76" s="8" t="n"/>
      <c r="F76" s="8" t="n"/>
      <c r="G76" s="8" t="n"/>
      <c r="H76" s="8" t="n"/>
      <c r="I76" s="8" t="n"/>
      <c r="J76" s="9">
        <f>IF(OR(D76="",I76=""),"",I76-D76)</f>
        <v/>
      </c>
      <c r="K76" s="8" t="n"/>
      <c r="L76" s="8" t="n"/>
      <c r="M76" s="8" t="n"/>
      <c r="N76" s="8" t="n"/>
      <c r="O76" s="8" t="n"/>
      <c r="P76" s="9">
        <f>IF(I76&lt;&gt;"","Complete",IF(J76="","Not Started",IF(C76="Critical",IF(J76&lt;1,"On-Time","Overdue"),IF(C76="High",IF(J76&lt;2,"On-Time",IF(J76&lt;3,"At Risk","Overdue")),IF(J76&lt;8,"On-Time","At Risk")))))</f>
        <v/>
      </c>
      <c r="Q76" s="9">
        <f>IF(P76="Complete",IF(C76="Critical",IF(J76&lt;=0.17,"Met","Missed"),IF(C76="High",IF(J76&lt;=1,"Met","Missed"),IF(C76="Medium",IF(J76&lt;=7,"Met","Missed"),"N/A"))),"In Progress")</f>
        <v/>
      </c>
      <c r="R76" s="8" t="n"/>
    </row>
    <row r="77">
      <c r="A77" s="8" t="n"/>
      <c r="B77" s="8" t="n"/>
      <c r="C77" s="8" t="n"/>
      <c r="D77" s="8" t="n"/>
      <c r="E77" s="8" t="n"/>
      <c r="F77" s="8" t="n"/>
      <c r="G77" s="8" t="n"/>
      <c r="H77" s="8" t="n"/>
      <c r="I77" s="8" t="n"/>
      <c r="J77" s="9">
        <f>IF(OR(D77="",I77=""),"",I77-D77)</f>
        <v/>
      </c>
      <c r="K77" s="8" t="n"/>
      <c r="L77" s="8" t="n"/>
      <c r="M77" s="8" t="n"/>
      <c r="N77" s="8" t="n"/>
      <c r="O77" s="8" t="n"/>
      <c r="P77" s="9">
        <f>IF(I77&lt;&gt;"","Complete",IF(J77="","Not Started",IF(C77="Critical",IF(J77&lt;1,"On-Time","Overdue"),IF(C77="High",IF(J77&lt;2,"On-Time",IF(J77&lt;3,"At Risk","Overdue")),IF(J77&lt;8,"On-Time","At Risk")))))</f>
        <v/>
      </c>
      <c r="Q77" s="9">
        <f>IF(P77="Complete",IF(C77="Critical",IF(J77&lt;=0.17,"Met","Missed"),IF(C77="High",IF(J77&lt;=1,"Met","Missed"),IF(C77="Medium",IF(J77&lt;=7,"Met","Missed"),"N/A"))),"In Progress")</f>
        <v/>
      </c>
      <c r="R77" s="8" t="n"/>
    </row>
    <row r="78">
      <c r="A78" s="8" t="n"/>
      <c r="B78" s="8" t="n"/>
      <c r="C78" s="8" t="n"/>
      <c r="D78" s="8" t="n"/>
      <c r="E78" s="8" t="n"/>
      <c r="F78" s="8" t="n"/>
      <c r="G78" s="8" t="n"/>
      <c r="H78" s="8" t="n"/>
      <c r="I78" s="8" t="n"/>
      <c r="J78" s="9">
        <f>IF(OR(D78="",I78=""),"",I78-D78)</f>
        <v/>
      </c>
      <c r="K78" s="8" t="n"/>
      <c r="L78" s="8" t="n"/>
      <c r="M78" s="8" t="n"/>
      <c r="N78" s="8" t="n"/>
      <c r="O78" s="8" t="n"/>
      <c r="P78" s="9">
        <f>IF(I78&lt;&gt;"","Complete",IF(J78="","Not Started",IF(C78="Critical",IF(J78&lt;1,"On-Time","Overdue"),IF(C78="High",IF(J78&lt;2,"On-Time",IF(J78&lt;3,"At Risk","Overdue")),IF(J78&lt;8,"On-Time","At Risk")))))</f>
        <v/>
      </c>
      <c r="Q78" s="9">
        <f>IF(P78="Complete",IF(C78="Critical",IF(J78&lt;=0.17,"Met","Missed"),IF(C78="High",IF(J78&lt;=1,"Met","Missed"),IF(C78="Medium",IF(J78&lt;=7,"Met","Missed"),"N/A"))),"In Progress")</f>
        <v/>
      </c>
      <c r="R78" s="8" t="n"/>
    </row>
    <row r="79">
      <c r="A79" s="8" t="n"/>
      <c r="B79" s="8" t="n"/>
      <c r="C79" s="8" t="n"/>
      <c r="D79" s="8" t="n"/>
      <c r="E79" s="8" t="n"/>
      <c r="F79" s="8" t="n"/>
      <c r="G79" s="8" t="n"/>
      <c r="H79" s="8" t="n"/>
      <c r="I79" s="8" t="n"/>
      <c r="J79" s="9">
        <f>IF(OR(D79="",I79=""),"",I79-D79)</f>
        <v/>
      </c>
      <c r="K79" s="8" t="n"/>
      <c r="L79" s="8" t="n"/>
      <c r="M79" s="8" t="n"/>
      <c r="N79" s="8" t="n"/>
      <c r="O79" s="8" t="n"/>
      <c r="P79" s="9">
        <f>IF(I79&lt;&gt;"","Complete",IF(J79="","Not Started",IF(C79="Critical",IF(J79&lt;1,"On-Time","Overdue"),IF(C79="High",IF(J79&lt;2,"On-Time",IF(J79&lt;3,"At Risk","Overdue")),IF(J79&lt;8,"On-Time","At Risk")))))</f>
        <v/>
      </c>
      <c r="Q79" s="9">
        <f>IF(P79="Complete",IF(C79="Critical",IF(J79&lt;=0.17,"Met","Missed"),IF(C79="High",IF(J79&lt;=1,"Met","Missed"),IF(C79="Medium",IF(J79&lt;=7,"Met","Missed"),"N/A"))),"In Progress")</f>
        <v/>
      </c>
      <c r="R79" s="8" t="n"/>
    </row>
    <row r="80">
      <c r="A80" s="8" t="n"/>
      <c r="B80" s="8" t="n"/>
      <c r="C80" s="8" t="n"/>
      <c r="D80" s="8" t="n"/>
      <c r="E80" s="8" t="n"/>
      <c r="F80" s="8" t="n"/>
      <c r="G80" s="8" t="n"/>
      <c r="H80" s="8" t="n"/>
      <c r="I80" s="8" t="n"/>
      <c r="J80" s="9">
        <f>IF(OR(D80="",I80=""),"",I80-D80)</f>
        <v/>
      </c>
      <c r="K80" s="8" t="n"/>
      <c r="L80" s="8" t="n"/>
      <c r="M80" s="8" t="n"/>
      <c r="N80" s="8" t="n"/>
      <c r="O80" s="8" t="n"/>
      <c r="P80" s="9">
        <f>IF(I80&lt;&gt;"","Complete",IF(J80="","Not Started",IF(C80="Critical",IF(J80&lt;1,"On-Time","Overdue"),IF(C80="High",IF(J80&lt;2,"On-Time",IF(J80&lt;3,"At Risk","Overdue")),IF(J80&lt;8,"On-Time","At Risk")))))</f>
        <v/>
      </c>
      <c r="Q80" s="9">
        <f>IF(P80="Complete",IF(C80="Critical",IF(J80&lt;=0.17,"Met","Missed"),IF(C80="High",IF(J80&lt;=1,"Met","Missed"),IF(C80="Medium",IF(J80&lt;=7,"Met","Missed"),"N/A"))),"In Progress")</f>
        <v/>
      </c>
      <c r="R80" s="8" t="n"/>
    </row>
    <row r="81">
      <c r="A81" s="8" t="n"/>
      <c r="B81" s="8" t="n"/>
      <c r="C81" s="8" t="n"/>
      <c r="D81" s="8" t="n"/>
      <c r="E81" s="8" t="n"/>
      <c r="F81" s="8" t="n"/>
      <c r="G81" s="8" t="n"/>
      <c r="H81" s="8" t="n"/>
      <c r="I81" s="8" t="n"/>
      <c r="J81" s="9">
        <f>IF(OR(D81="",I81=""),"",I81-D81)</f>
        <v/>
      </c>
      <c r="K81" s="8" t="n"/>
      <c r="L81" s="8" t="n"/>
      <c r="M81" s="8" t="n"/>
      <c r="N81" s="8" t="n"/>
      <c r="O81" s="8" t="n"/>
      <c r="P81" s="9">
        <f>IF(I81&lt;&gt;"","Complete",IF(J81="","Not Started",IF(C81="Critical",IF(J81&lt;1,"On-Time","Overdue"),IF(C81="High",IF(J81&lt;2,"On-Time",IF(J81&lt;3,"At Risk","Overdue")),IF(J81&lt;8,"On-Time","At Risk")))))</f>
        <v/>
      </c>
      <c r="Q81" s="9">
        <f>IF(P81="Complete",IF(C81="Critical",IF(J81&lt;=0.17,"Met","Missed"),IF(C81="High",IF(J81&lt;=1,"Met","Missed"),IF(C81="Medium",IF(J81&lt;=7,"Met","Missed"),"N/A"))),"In Progress")</f>
        <v/>
      </c>
      <c r="R81" s="8" t="n"/>
    </row>
    <row r="82">
      <c r="A82" s="8" t="n"/>
      <c r="B82" s="8" t="n"/>
      <c r="C82" s="8" t="n"/>
      <c r="D82" s="8" t="n"/>
      <c r="E82" s="8" t="n"/>
      <c r="F82" s="8" t="n"/>
      <c r="G82" s="8" t="n"/>
      <c r="H82" s="8" t="n"/>
      <c r="I82" s="8" t="n"/>
      <c r="J82" s="9">
        <f>IF(OR(D82="",I82=""),"",I82-D82)</f>
        <v/>
      </c>
      <c r="K82" s="8" t="n"/>
      <c r="L82" s="8" t="n"/>
      <c r="M82" s="8" t="n"/>
      <c r="N82" s="8" t="n"/>
      <c r="O82" s="8" t="n"/>
      <c r="P82" s="9">
        <f>IF(I82&lt;&gt;"","Complete",IF(J82="","Not Started",IF(C82="Critical",IF(J82&lt;1,"On-Time","Overdue"),IF(C82="High",IF(J82&lt;2,"On-Time",IF(J82&lt;3,"At Risk","Overdue")),IF(J82&lt;8,"On-Time","At Risk")))))</f>
        <v/>
      </c>
      <c r="Q82" s="9">
        <f>IF(P82="Complete",IF(C82="Critical",IF(J82&lt;=0.17,"Met","Missed"),IF(C82="High",IF(J82&lt;=1,"Met","Missed"),IF(C82="Medium",IF(J82&lt;=7,"Met","Missed"),"N/A"))),"In Progress")</f>
        <v/>
      </c>
      <c r="R82" s="8" t="n"/>
    </row>
    <row r="83">
      <c r="A83" s="8" t="n"/>
      <c r="B83" s="8" t="n"/>
      <c r="C83" s="8" t="n"/>
      <c r="D83" s="8" t="n"/>
      <c r="E83" s="8" t="n"/>
      <c r="F83" s="8" t="n"/>
      <c r="G83" s="8" t="n"/>
      <c r="H83" s="8" t="n"/>
      <c r="I83" s="8" t="n"/>
      <c r="J83" s="9">
        <f>IF(OR(D83="",I83=""),"",I83-D83)</f>
        <v/>
      </c>
      <c r="K83" s="8" t="n"/>
      <c r="L83" s="8" t="n"/>
      <c r="M83" s="8" t="n"/>
      <c r="N83" s="8" t="n"/>
      <c r="O83" s="8" t="n"/>
      <c r="P83" s="9">
        <f>IF(I83&lt;&gt;"","Complete",IF(J83="","Not Started",IF(C83="Critical",IF(J83&lt;1,"On-Time","Overdue"),IF(C83="High",IF(J83&lt;2,"On-Time",IF(J83&lt;3,"At Risk","Overdue")),IF(J83&lt;8,"On-Time","At Risk")))))</f>
        <v/>
      </c>
      <c r="Q83" s="9">
        <f>IF(P83="Complete",IF(C83="Critical",IF(J83&lt;=0.17,"Met","Missed"),IF(C83="High",IF(J83&lt;=1,"Met","Missed"),IF(C83="Medium",IF(J83&lt;=7,"Met","Missed"),"N/A"))),"In Progress")</f>
        <v/>
      </c>
      <c r="R83" s="8" t="n"/>
    </row>
    <row r="84">
      <c r="A84" s="8" t="n"/>
      <c r="B84" s="8" t="n"/>
      <c r="C84" s="8" t="n"/>
      <c r="D84" s="8" t="n"/>
      <c r="E84" s="8" t="n"/>
      <c r="F84" s="8" t="n"/>
      <c r="G84" s="8" t="n"/>
      <c r="H84" s="8" t="n"/>
      <c r="I84" s="8" t="n"/>
      <c r="J84" s="9">
        <f>IF(OR(D84="",I84=""),"",I84-D84)</f>
        <v/>
      </c>
      <c r="K84" s="8" t="n"/>
      <c r="L84" s="8" t="n"/>
      <c r="M84" s="8" t="n"/>
      <c r="N84" s="8" t="n"/>
      <c r="O84" s="8" t="n"/>
      <c r="P84" s="9">
        <f>IF(I84&lt;&gt;"","Complete",IF(J84="","Not Started",IF(C84="Critical",IF(J84&lt;1,"On-Time","Overdue"),IF(C84="High",IF(J84&lt;2,"On-Time",IF(J84&lt;3,"At Risk","Overdue")),IF(J84&lt;8,"On-Time","At Risk")))))</f>
        <v/>
      </c>
      <c r="Q84" s="9">
        <f>IF(P84="Complete",IF(C84="Critical",IF(J84&lt;=0.17,"Met","Missed"),IF(C84="High",IF(J84&lt;=1,"Met","Missed"),IF(C84="Medium",IF(J84&lt;=7,"Met","Missed"),"N/A"))),"In Progress")</f>
        <v/>
      </c>
      <c r="R84" s="8" t="n"/>
    </row>
    <row r="85">
      <c r="A85" s="8" t="n"/>
      <c r="B85" s="8" t="n"/>
      <c r="C85" s="8" t="n"/>
      <c r="D85" s="8" t="n"/>
      <c r="E85" s="8" t="n"/>
      <c r="F85" s="8" t="n"/>
      <c r="G85" s="8" t="n"/>
      <c r="H85" s="8" t="n"/>
      <c r="I85" s="8" t="n"/>
      <c r="J85" s="9">
        <f>IF(OR(D85="",I85=""),"",I85-D85)</f>
        <v/>
      </c>
      <c r="K85" s="8" t="n"/>
      <c r="L85" s="8" t="n"/>
      <c r="M85" s="8" t="n"/>
      <c r="N85" s="8" t="n"/>
      <c r="O85" s="8" t="n"/>
      <c r="P85" s="9">
        <f>IF(I85&lt;&gt;"","Complete",IF(J85="","Not Started",IF(C85="Critical",IF(J85&lt;1,"On-Time","Overdue"),IF(C85="High",IF(J85&lt;2,"On-Time",IF(J85&lt;3,"At Risk","Overdue")),IF(J85&lt;8,"On-Time","At Risk")))))</f>
        <v/>
      </c>
      <c r="Q85" s="9">
        <f>IF(P85="Complete",IF(C85="Critical",IF(J85&lt;=0.17,"Met","Missed"),IF(C85="High",IF(J85&lt;=1,"Met","Missed"),IF(C85="Medium",IF(J85&lt;=7,"Met","Missed"),"N/A"))),"In Progress")</f>
        <v/>
      </c>
      <c r="R85" s="8" t="n"/>
    </row>
    <row r="86">
      <c r="A86" s="8" t="n"/>
      <c r="B86" s="8" t="n"/>
      <c r="C86" s="8" t="n"/>
      <c r="D86" s="8" t="n"/>
      <c r="E86" s="8" t="n"/>
      <c r="F86" s="8" t="n"/>
      <c r="G86" s="8" t="n"/>
      <c r="H86" s="8" t="n"/>
      <c r="I86" s="8" t="n"/>
      <c r="J86" s="9">
        <f>IF(OR(D86="",I86=""),"",I86-D86)</f>
        <v/>
      </c>
      <c r="K86" s="8" t="n"/>
      <c r="L86" s="8" t="n"/>
      <c r="M86" s="8" t="n"/>
      <c r="N86" s="8" t="n"/>
      <c r="O86" s="8" t="n"/>
      <c r="P86" s="9">
        <f>IF(I86&lt;&gt;"","Complete",IF(J86="","Not Started",IF(C86="Critical",IF(J86&lt;1,"On-Time","Overdue"),IF(C86="High",IF(J86&lt;2,"On-Time",IF(J86&lt;3,"At Risk","Overdue")),IF(J86&lt;8,"On-Time","At Risk")))))</f>
        <v/>
      </c>
      <c r="Q86" s="9">
        <f>IF(P86="Complete",IF(C86="Critical",IF(J86&lt;=0.17,"Met","Missed"),IF(C86="High",IF(J86&lt;=1,"Met","Missed"),IF(C86="Medium",IF(J86&lt;=7,"Met","Missed"),"N/A"))),"In Progress")</f>
        <v/>
      </c>
      <c r="R86" s="8" t="n"/>
    </row>
    <row r="87">
      <c r="A87" s="8" t="n"/>
      <c r="B87" s="8" t="n"/>
      <c r="C87" s="8" t="n"/>
      <c r="D87" s="8" t="n"/>
      <c r="E87" s="8" t="n"/>
      <c r="F87" s="8" t="n"/>
      <c r="G87" s="8" t="n"/>
      <c r="H87" s="8" t="n"/>
      <c r="I87" s="8" t="n"/>
      <c r="J87" s="9">
        <f>IF(OR(D87="",I87=""),"",I87-D87)</f>
        <v/>
      </c>
      <c r="K87" s="8" t="n"/>
      <c r="L87" s="8" t="n"/>
      <c r="M87" s="8" t="n"/>
      <c r="N87" s="8" t="n"/>
      <c r="O87" s="8" t="n"/>
      <c r="P87" s="9">
        <f>IF(I87&lt;&gt;"","Complete",IF(J87="","Not Started",IF(C87="Critical",IF(J87&lt;1,"On-Time","Overdue"),IF(C87="High",IF(J87&lt;2,"On-Time",IF(J87&lt;3,"At Risk","Overdue")),IF(J87&lt;8,"On-Time","At Risk")))))</f>
        <v/>
      </c>
      <c r="Q87" s="9">
        <f>IF(P87="Complete",IF(C87="Critical",IF(J87&lt;=0.17,"Met","Missed"),IF(C87="High",IF(J87&lt;=1,"Met","Missed"),IF(C87="Medium",IF(J87&lt;=7,"Met","Missed"),"N/A"))),"In Progress")</f>
        <v/>
      </c>
      <c r="R87" s="8" t="n"/>
    </row>
    <row r="88">
      <c r="A88" s="8" t="n"/>
      <c r="B88" s="8" t="n"/>
      <c r="C88" s="8" t="n"/>
      <c r="D88" s="8" t="n"/>
      <c r="E88" s="8" t="n"/>
      <c r="F88" s="8" t="n"/>
      <c r="G88" s="8" t="n"/>
      <c r="H88" s="8" t="n"/>
      <c r="I88" s="8" t="n"/>
      <c r="J88" s="9">
        <f>IF(OR(D88="",I88=""),"",I88-D88)</f>
        <v/>
      </c>
      <c r="K88" s="8" t="n"/>
      <c r="L88" s="8" t="n"/>
      <c r="M88" s="8" t="n"/>
      <c r="N88" s="8" t="n"/>
      <c r="O88" s="8" t="n"/>
      <c r="P88" s="9">
        <f>IF(I88&lt;&gt;"","Complete",IF(J88="","Not Started",IF(C88="Critical",IF(J88&lt;1,"On-Time","Overdue"),IF(C88="High",IF(J88&lt;2,"On-Time",IF(J88&lt;3,"At Risk","Overdue")),IF(J88&lt;8,"On-Time","At Risk")))))</f>
        <v/>
      </c>
      <c r="Q88" s="9">
        <f>IF(P88="Complete",IF(C88="Critical",IF(J88&lt;=0.17,"Met","Missed"),IF(C88="High",IF(J88&lt;=1,"Met","Missed"),IF(C88="Medium",IF(J88&lt;=7,"Met","Missed"),"N/A"))),"In Progress")</f>
        <v/>
      </c>
      <c r="R88" s="8" t="n"/>
    </row>
    <row r="89">
      <c r="A89" s="8" t="n"/>
      <c r="B89" s="8" t="n"/>
      <c r="C89" s="8" t="n"/>
      <c r="D89" s="8" t="n"/>
      <c r="E89" s="8" t="n"/>
      <c r="F89" s="8" t="n"/>
      <c r="G89" s="8" t="n"/>
      <c r="H89" s="8" t="n"/>
      <c r="I89" s="8" t="n"/>
      <c r="J89" s="9">
        <f>IF(OR(D89="",I89=""),"",I89-D89)</f>
        <v/>
      </c>
      <c r="K89" s="8" t="n"/>
      <c r="L89" s="8" t="n"/>
      <c r="M89" s="8" t="n"/>
      <c r="N89" s="8" t="n"/>
      <c r="O89" s="8" t="n"/>
      <c r="P89" s="9">
        <f>IF(I89&lt;&gt;"","Complete",IF(J89="","Not Started",IF(C89="Critical",IF(J89&lt;1,"On-Time","Overdue"),IF(C89="High",IF(J89&lt;2,"On-Time",IF(J89&lt;3,"At Risk","Overdue")),IF(J89&lt;8,"On-Time","At Risk")))))</f>
        <v/>
      </c>
      <c r="Q89" s="9">
        <f>IF(P89="Complete",IF(C89="Critical",IF(J89&lt;=0.17,"Met","Missed"),IF(C89="High",IF(J89&lt;=1,"Met","Missed"),IF(C89="Medium",IF(J89&lt;=7,"Met","Missed"),"N/A"))),"In Progress")</f>
        <v/>
      </c>
      <c r="R89" s="8" t="n"/>
    </row>
    <row r="90">
      <c r="A90" s="8" t="n"/>
      <c r="B90" s="8" t="n"/>
      <c r="C90" s="8" t="n"/>
      <c r="D90" s="8" t="n"/>
      <c r="E90" s="8" t="n"/>
      <c r="F90" s="8" t="n"/>
      <c r="G90" s="8" t="n"/>
      <c r="H90" s="8" t="n"/>
      <c r="I90" s="8" t="n"/>
      <c r="J90" s="9">
        <f>IF(OR(D90="",I90=""),"",I90-D90)</f>
        <v/>
      </c>
      <c r="K90" s="8" t="n"/>
      <c r="L90" s="8" t="n"/>
      <c r="M90" s="8" t="n"/>
      <c r="N90" s="8" t="n"/>
      <c r="O90" s="8" t="n"/>
      <c r="P90" s="9">
        <f>IF(I90&lt;&gt;"","Complete",IF(J90="","Not Started",IF(C90="Critical",IF(J90&lt;1,"On-Time","Overdue"),IF(C90="High",IF(J90&lt;2,"On-Time",IF(J90&lt;3,"At Risk","Overdue")),IF(J90&lt;8,"On-Time","At Risk")))))</f>
        <v/>
      </c>
      <c r="Q90" s="9">
        <f>IF(P90="Complete",IF(C90="Critical",IF(J90&lt;=0.17,"Met","Missed"),IF(C90="High",IF(J90&lt;=1,"Met","Missed"),IF(C90="Medium",IF(J90&lt;=7,"Met","Missed"),"N/A"))),"In Progress")</f>
        <v/>
      </c>
      <c r="R90" s="8" t="n"/>
    </row>
    <row r="91">
      <c r="A91" s="8" t="n"/>
      <c r="B91" s="8" t="n"/>
      <c r="C91" s="8" t="n"/>
      <c r="D91" s="8" t="n"/>
      <c r="E91" s="8" t="n"/>
      <c r="F91" s="8" t="n"/>
      <c r="G91" s="8" t="n"/>
      <c r="H91" s="8" t="n"/>
      <c r="I91" s="8" t="n"/>
      <c r="J91" s="9">
        <f>IF(OR(D91="",I91=""),"",I91-D91)</f>
        <v/>
      </c>
      <c r="K91" s="8" t="n"/>
      <c r="L91" s="8" t="n"/>
      <c r="M91" s="8" t="n"/>
      <c r="N91" s="8" t="n"/>
      <c r="O91" s="8" t="n"/>
      <c r="P91" s="9">
        <f>IF(I91&lt;&gt;"","Complete",IF(J91="","Not Started",IF(C91="Critical",IF(J91&lt;1,"On-Time","Overdue"),IF(C91="High",IF(J91&lt;2,"On-Time",IF(J91&lt;3,"At Risk","Overdue")),IF(J91&lt;8,"On-Time","At Risk")))))</f>
        <v/>
      </c>
      <c r="Q91" s="9">
        <f>IF(P91="Complete",IF(C91="Critical",IF(J91&lt;=0.17,"Met","Missed"),IF(C91="High",IF(J91&lt;=1,"Met","Missed"),IF(C91="Medium",IF(J91&lt;=7,"Met","Missed"),"N/A"))),"In Progress")</f>
        <v/>
      </c>
      <c r="R91" s="8" t="n"/>
    </row>
    <row r="92">
      <c r="A92" s="8" t="n"/>
      <c r="B92" s="8" t="n"/>
      <c r="C92" s="8" t="n"/>
      <c r="D92" s="8" t="n"/>
      <c r="E92" s="8" t="n"/>
      <c r="F92" s="8" t="n"/>
      <c r="G92" s="8" t="n"/>
      <c r="H92" s="8" t="n"/>
      <c r="I92" s="8" t="n"/>
      <c r="J92" s="9">
        <f>IF(OR(D92="",I92=""),"",I92-D92)</f>
        <v/>
      </c>
      <c r="K92" s="8" t="n"/>
      <c r="L92" s="8" t="n"/>
      <c r="M92" s="8" t="n"/>
      <c r="N92" s="8" t="n"/>
      <c r="O92" s="8" t="n"/>
      <c r="P92" s="9">
        <f>IF(I92&lt;&gt;"","Complete",IF(J92="","Not Started",IF(C92="Critical",IF(J92&lt;1,"On-Time","Overdue"),IF(C92="High",IF(J92&lt;2,"On-Time",IF(J92&lt;3,"At Risk","Overdue")),IF(J92&lt;8,"On-Time","At Risk")))))</f>
        <v/>
      </c>
      <c r="Q92" s="9">
        <f>IF(P92="Complete",IF(C92="Critical",IF(J92&lt;=0.17,"Met","Missed"),IF(C92="High",IF(J92&lt;=1,"Met","Missed"),IF(C92="Medium",IF(J92&lt;=7,"Met","Missed"),"N/A"))),"In Progress")</f>
        <v/>
      </c>
      <c r="R92" s="8" t="n"/>
    </row>
    <row r="93">
      <c r="A93" s="8" t="n"/>
      <c r="B93" s="8" t="n"/>
      <c r="C93" s="8" t="n"/>
      <c r="D93" s="8" t="n"/>
      <c r="E93" s="8" t="n"/>
      <c r="F93" s="8" t="n"/>
      <c r="G93" s="8" t="n"/>
      <c r="H93" s="8" t="n"/>
      <c r="I93" s="8" t="n"/>
      <c r="J93" s="9">
        <f>IF(OR(D93="",I93=""),"",I93-D93)</f>
        <v/>
      </c>
      <c r="K93" s="8" t="n"/>
      <c r="L93" s="8" t="n"/>
      <c r="M93" s="8" t="n"/>
      <c r="N93" s="8" t="n"/>
      <c r="O93" s="8" t="n"/>
      <c r="P93" s="9">
        <f>IF(I93&lt;&gt;"","Complete",IF(J93="","Not Started",IF(C93="Critical",IF(J93&lt;1,"On-Time","Overdue"),IF(C93="High",IF(J93&lt;2,"On-Time",IF(J93&lt;3,"At Risk","Overdue")),IF(J93&lt;8,"On-Time","At Risk")))))</f>
        <v/>
      </c>
      <c r="Q93" s="9">
        <f>IF(P93="Complete",IF(C93="Critical",IF(J93&lt;=0.17,"Met","Missed"),IF(C93="High",IF(J93&lt;=1,"Met","Missed"),IF(C93="Medium",IF(J93&lt;=7,"Met","Missed"),"N/A"))),"In Progress")</f>
        <v/>
      </c>
      <c r="R93" s="8" t="n"/>
    </row>
    <row r="94">
      <c r="A94" s="8" t="n"/>
      <c r="B94" s="8" t="n"/>
      <c r="C94" s="8" t="n"/>
      <c r="D94" s="8" t="n"/>
      <c r="E94" s="8" t="n"/>
      <c r="F94" s="8" t="n"/>
      <c r="G94" s="8" t="n"/>
      <c r="H94" s="8" t="n"/>
      <c r="I94" s="8" t="n"/>
      <c r="J94" s="9">
        <f>IF(OR(D94="",I94=""),"",I94-D94)</f>
        <v/>
      </c>
      <c r="K94" s="8" t="n"/>
      <c r="L94" s="8" t="n"/>
      <c r="M94" s="8" t="n"/>
      <c r="N94" s="8" t="n"/>
      <c r="O94" s="8" t="n"/>
      <c r="P94" s="9">
        <f>IF(I94&lt;&gt;"","Complete",IF(J94="","Not Started",IF(C94="Critical",IF(J94&lt;1,"On-Time","Overdue"),IF(C94="High",IF(J94&lt;2,"On-Time",IF(J94&lt;3,"At Risk","Overdue")),IF(J94&lt;8,"On-Time","At Risk")))))</f>
        <v/>
      </c>
      <c r="Q94" s="9">
        <f>IF(P94="Complete",IF(C94="Critical",IF(J94&lt;=0.17,"Met","Missed"),IF(C94="High",IF(J94&lt;=1,"Met","Missed"),IF(C94="Medium",IF(J94&lt;=7,"Met","Missed"),"N/A"))),"In Progress")</f>
        <v/>
      </c>
      <c r="R94" s="8" t="n"/>
    </row>
    <row r="95">
      <c r="A95" s="8" t="n"/>
      <c r="B95" s="8" t="n"/>
      <c r="C95" s="8" t="n"/>
      <c r="D95" s="8" t="n"/>
      <c r="E95" s="8" t="n"/>
      <c r="F95" s="8" t="n"/>
      <c r="G95" s="8" t="n"/>
      <c r="H95" s="8" t="n"/>
      <c r="I95" s="8" t="n"/>
      <c r="J95" s="9">
        <f>IF(OR(D95="",I95=""),"",I95-D95)</f>
        <v/>
      </c>
      <c r="K95" s="8" t="n"/>
      <c r="L95" s="8" t="n"/>
      <c r="M95" s="8" t="n"/>
      <c r="N95" s="8" t="n"/>
      <c r="O95" s="8" t="n"/>
      <c r="P95" s="9">
        <f>IF(I95&lt;&gt;"","Complete",IF(J95="","Not Started",IF(C95="Critical",IF(J95&lt;1,"On-Time","Overdue"),IF(C95="High",IF(J95&lt;2,"On-Time",IF(J95&lt;3,"At Risk","Overdue")),IF(J95&lt;8,"On-Time","At Risk")))))</f>
        <v/>
      </c>
      <c r="Q95" s="9">
        <f>IF(P95="Complete",IF(C95="Critical",IF(J95&lt;=0.17,"Met","Missed"),IF(C95="High",IF(J95&lt;=1,"Met","Missed"),IF(C95="Medium",IF(J95&lt;=7,"Met","Missed"),"N/A"))),"In Progress")</f>
        <v/>
      </c>
      <c r="R95" s="8" t="n"/>
    </row>
    <row r="96">
      <c r="A96" s="8" t="n"/>
      <c r="B96" s="8" t="n"/>
      <c r="C96" s="8" t="n"/>
      <c r="D96" s="8" t="n"/>
      <c r="E96" s="8" t="n"/>
      <c r="F96" s="8" t="n"/>
      <c r="G96" s="8" t="n"/>
      <c r="H96" s="8" t="n"/>
      <c r="I96" s="8" t="n"/>
      <c r="J96" s="9">
        <f>IF(OR(D96="",I96=""),"",I96-D96)</f>
        <v/>
      </c>
      <c r="K96" s="8" t="n"/>
      <c r="L96" s="8" t="n"/>
      <c r="M96" s="8" t="n"/>
      <c r="N96" s="8" t="n"/>
      <c r="O96" s="8" t="n"/>
      <c r="P96" s="9">
        <f>IF(I96&lt;&gt;"","Complete",IF(J96="","Not Started",IF(C96="Critical",IF(J96&lt;1,"On-Time","Overdue"),IF(C96="High",IF(J96&lt;2,"On-Time",IF(J96&lt;3,"At Risk","Overdue")),IF(J96&lt;8,"On-Time","At Risk")))))</f>
        <v/>
      </c>
      <c r="Q96" s="9">
        <f>IF(P96="Complete",IF(C96="Critical",IF(J96&lt;=0.17,"Met","Missed"),IF(C96="High",IF(J96&lt;=1,"Met","Missed"),IF(C96="Medium",IF(J96&lt;=7,"Met","Missed"),"N/A"))),"In Progress")</f>
        <v/>
      </c>
      <c r="R96" s="8" t="n"/>
    </row>
    <row r="97">
      <c r="A97" s="8" t="n"/>
      <c r="B97" s="8" t="n"/>
      <c r="C97" s="8" t="n"/>
      <c r="D97" s="8" t="n"/>
      <c r="E97" s="8" t="n"/>
      <c r="F97" s="8" t="n"/>
      <c r="G97" s="8" t="n"/>
      <c r="H97" s="8" t="n"/>
      <c r="I97" s="8" t="n"/>
      <c r="J97" s="9">
        <f>IF(OR(D97="",I97=""),"",I97-D97)</f>
        <v/>
      </c>
      <c r="K97" s="8" t="n"/>
      <c r="L97" s="8" t="n"/>
      <c r="M97" s="8" t="n"/>
      <c r="N97" s="8" t="n"/>
      <c r="O97" s="8" t="n"/>
      <c r="P97" s="9">
        <f>IF(I97&lt;&gt;"","Complete",IF(J97="","Not Started",IF(C97="Critical",IF(J97&lt;1,"On-Time","Overdue"),IF(C97="High",IF(J97&lt;2,"On-Time",IF(J97&lt;3,"At Risk","Overdue")),IF(J97&lt;8,"On-Time","At Risk")))))</f>
        <v/>
      </c>
      <c r="Q97" s="9">
        <f>IF(P97="Complete",IF(C97="Critical",IF(J97&lt;=0.17,"Met","Missed"),IF(C97="High",IF(J97&lt;=1,"Met","Missed"),IF(C97="Medium",IF(J97&lt;=7,"Met","Missed"),"N/A"))),"In Progress")</f>
        <v/>
      </c>
      <c r="R97" s="8" t="n"/>
    </row>
    <row r="98">
      <c r="A98" s="8" t="n"/>
      <c r="B98" s="8" t="n"/>
      <c r="C98" s="8" t="n"/>
      <c r="D98" s="8" t="n"/>
      <c r="E98" s="8" t="n"/>
      <c r="F98" s="8" t="n"/>
      <c r="G98" s="8" t="n"/>
      <c r="H98" s="8" t="n"/>
      <c r="I98" s="8" t="n"/>
      <c r="J98" s="9">
        <f>IF(OR(D98="",I98=""),"",I98-D98)</f>
        <v/>
      </c>
      <c r="K98" s="8" t="n"/>
      <c r="L98" s="8" t="n"/>
      <c r="M98" s="8" t="n"/>
      <c r="N98" s="8" t="n"/>
      <c r="O98" s="8" t="n"/>
      <c r="P98" s="9">
        <f>IF(I98&lt;&gt;"","Complete",IF(J98="","Not Started",IF(C98="Critical",IF(J98&lt;1,"On-Time","Overdue"),IF(C98="High",IF(J98&lt;2,"On-Time",IF(J98&lt;3,"At Risk","Overdue")),IF(J98&lt;8,"On-Time","At Risk")))))</f>
        <v/>
      </c>
      <c r="Q98" s="9">
        <f>IF(P98="Complete",IF(C98="Critical",IF(J98&lt;=0.17,"Met","Missed"),IF(C98="High",IF(J98&lt;=1,"Met","Missed"),IF(C98="Medium",IF(J98&lt;=7,"Met","Missed"),"N/A"))),"In Progress")</f>
        <v/>
      </c>
      <c r="R98" s="8" t="n"/>
    </row>
    <row r="99">
      <c r="A99" s="8" t="n"/>
      <c r="B99" s="8" t="n"/>
      <c r="C99" s="8" t="n"/>
      <c r="D99" s="8" t="n"/>
      <c r="E99" s="8" t="n"/>
      <c r="F99" s="8" t="n"/>
      <c r="G99" s="8" t="n"/>
      <c r="H99" s="8" t="n"/>
      <c r="I99" s="8" t="n"/>
      <c r="J99" s="9">
        <f>IF(OR(D99="",I99=""),"",I99-D99)</f>
        <v/>
      </c>
      <c r="K99" s="8" t="n"/>
      <c r="L99" s="8" t="n"/>
      <c r="M99" s="8" t="n"/>
      <c r="N99" s="8" t="n"/>
      <c r="O99" s="8" t="n"/>
      <c r="P99" s="9">
        <f>IF(I99&lt;&gt;"","Complete",IF(J99="","Not Started",IF(C99="Critical",IF(J99&lt;1,"On-Time","Overdue"),IF(C99="High",IF(J99&lt;2,"On-Time",IF(J99&lt;3,"At Risk","Overdue")),IF(J99&lt;8,"On-Time","At Risk")))))</f>
        <v/>
      </c>
      <c r="Q99" s="9">
        <f>IF(P99="Complete",IF(C99="Critical",IF(J99&lt;=0.17,"Met","Missed"),IF(C99="High",IF(J99&lt;=1,"Met","Missed"),IF(C99="Medium",IF(J99&lt;=7,"Met","Missed"),"N/A"))),"In Progress")</f>
        <v/>
      </c>
      <c r="R99" s="8" t="n"/>
    </row>
    <row r="100">
      <c r="A100" s="8" t="n"/>
      <c r="B100" s="8" t="n"/>
      <c r="C100" s="8" t="n"/>
      <c r="D100" s="8" t="n"/>
      <c r="E100" s="8" t="n"/>
      <c r="F100" s="8" t="n"/>
      <c r="G100" s="8" t="n"/>
      <c r="H100" s="8" t="n"/>
      <c r="I100" s="8" t="n"/>
      <c r="J100" s="9">
        <f>IF(OR(D100="",I100=""),"",I100-D100)</f>
        <v/>
      </c>
      <c r="K100" s="8" t="n"/>
      <c r="L100" s="8" t="n"/>
      <c r="M100" s="8" t="n"/>
      <c r="N100" s="8" t="n"/>
      <c r="O100" s="8" t="n"/>
      <c r="P100" s="9">
        <f>IF(I100&lt;&gt;"","Complete",IF(J100="","Not Started",IF(C100="Critical",IF(J100&lt;1,"On-Time","Overdue"),IF(C100="High",IF(J100&lt;2,"On-Time",IF(J100&lt;3,"At Risk","Overdue")),IF(J100&lt;8,"On-Time","At Risk")))))</f>
        <v/>
      </c>
      <c r="Q100" s="9">
        <f>IF(P100="Complete",IF(C100="Critical",IF(J100&lt;=0.17,"Met","Missed"),IF(C100="High",IF(J100&lt;=1,"Met","Missed"),IF(C100="Medium",IF(J100&lt;=7,"Met","Missed"),"N/A"))),"In Progress")</f>
        <v/>
      </c>
      <c r="R100" s="8" t="n"/>
    </row>
    <row r="101">
      <c r="A101" s="8" t="n"/>
      <c r="B101" s="8" t="n"/>
      <c r="C101" s="8" t="n"/>
      <c r="D101" s="8" t="n"/>
      <c r="E101" s="8" t="n"/>
      <c r="F101" s="8" t="n"/>
      <c r="G101" s="8" t="n"/>
      <c r="H101" s="8" t="n"/>
      <c r="I101" s="8" t="n"/>
      <c r="J101" s="9">
        <f>IF(OR(D101="",I101=""),"",I101-D101)</f>
        <v/>
      </c>
      <c r="K101" s="8" t="n"/>
      <c r="L101" s="8" t="n"/>
      <c r="M101" s="8" t="n"/>
      <c r="N101" s="8" t="n"/>
      <c r="O101" s="8" t="n"/>
      <c r="P101" s="9">
        <f>IF(I101&lt;&gt;"","Complete",IF(J101="","Not Started",IF(C101="Critical",IF(J101&lt;1,"On-Time","Overdue"),IF(C101="High",IF(J101&lt;2,"On-Time",IF(J101&lt;3,"At Risk","Overdue")),IF(J101&lt;8,"On-Time","At Risk")))))</f>
        <v/>
      </c>
      <c r="Q101" s="9">
        <f>IF(P101="Complete",IF(C101="Critical",IF(J101&lt;=0.17,"Met","Missed"),IF(C101="High",IF(J101&lt;=1,"Met","Missed"),IF(C101="Medium",IF(J101&lt;=7,"Met","Missed"),"N/A"))),"In Progress")</f>
        <v/>
      </c>
      <c r="R101" s="8" t="n"/>
    </row>
    <row r="102">
      <c r="A102" s="8" t="n"/>
      <c r="B102" s="8" t="n"/>
      <c r="C102" s="8" t="n"/>
      <c r="D102" s="8" t="n"/>
      <c r="E102" s="8" t="n"/>
      <c r="F102" s="8" t="n"/>
      <c r="G102" s="8" t="n"/>
      <c r="H102" s="8" t="n"/>
      <c r="I102" s="8" t="n"/>
      <c r="J102" s="9">
        <f>IF(OR(D102="",I102=""),"",I102-D102)</f>
        <v/>
      </c>
      <c r="K102" s="8" t="n"/>
      <c r="L102" s="8" t="n"/>
      <c r="M102" s="8" t="n"/>
      <c r="N102" s="8" t="n"/>
      <c r="O102" s="8" t="n"/>
      <c r="P102" s="9">
        <f>IF(I102&lt;&gt;"","Complete",IF(J102="","Not Started",IF(C102="Critical",IF(J102&lt;1,"On-Time","Overdue"),IF(C102="High",IF(J102&lt;2,"On-Time",IF(J102&lt;3,"At Risk","Overdue")),IF(J102&lt;8,"On-Time","At Risk")))))</f>
        <v/>
      </c>
      <c r="Q102" s="9">
        <f>IF(P102="Complete",IF(C102="Critical",IF(J102&lt;=0.17,"Met","Missed"),IF(C102="High",IF(J102&lt;=1,"Met","Missed"),IF(C102="Medium",IF(J102&lt;=7,"Met","Missed"),"N/A"))),"In Progress")</f>
        <v/>
      </c>
      <c r="R102" s="8" t="n"/>
    </row>
    <row r="103">
      <c r="A103" s="8" t="n"/>
      <c r="B103" s="8" t="n"/>
      <c r="C103" s="8" t="n"/>
      <c r="D103" s="8" t="n"/>
      <c r="E103" s="8" t="n"/>
      <c r="F103" s="8" t="n"/>
      <c r="G103" s="8" t="n"/>
      <c r="H103" s="8" t="n"/>
      <c r="I103" s="8" t="n"/>
      <c r="J103" s="9">
        <f>IF(OR(D103="",I103=""),"",I103-D103)</f>
        <v/>
      </c>
      <c r="K103" s="8" t="n"/>
      <c r="L103" s="8" t="n"/>
      <c r="M103" s="8" t="n"/>
      <c r="N103" s="8" t="n"/>
      <c r="O103" s="8" t="n"/>
      <c r="P103" s="9">
        <f>IF(I103&lt;&gt;"","Complete",IF(J103="","Not Started",IF(C103="Critical",IF(J103&lt;1,"On-Time","Overdue"),IF(C103="High",IF(J103&lt;2,"On-Time",IF(J103&lt;3,"At Risk","Overdue")),IF(J103&lt;8,"On-Time","At Risk")))))</f>
        <v/>
      </c>
      <c r="Q103" s="9">
        <f>IF(P103="Complete",IF(C103="Critical",IF(J103&lt;=0.17,"Met","Missed"),IF(C103="High",IF(J103&lt;=1,"Met","Missed"),IF(C103="Medium",IF(J103&lt;=7,"Met","Missed"),"N/A"))),"In Progress")</f>
        <v/>
      </c>
      <c r="R103" s="8" t="n"/>
    </row>
    <row r="104">
      <c r="A104" s="8" t="n"/>
      <c r="B104" s="8" t="n"/>
      <c r="C104" s="8" t="n"/>
      <c r="D104" s="8" t="n"/>
      <c r="E104" s="8" t="n"/>
      <c r="F104" s="8" t="n"/>
      <c r="G104" s="8" t="n"/>
      <c r="H104" s="8" t="n"/>
      <c r="I104" s="8" t="n"/>
      <c r="J104" s="9">
        <f>IF(OR(D104="",I104=""),"",I104-D104)</f>
        <v/>
      </c>
      <c r="K104" s="8" t="n"/>
      <c r="L104" s="8" t="n"/>
      <c r="M104" s="8" t="n"/>
      <c r="N104" s="8" t="n"/>
      <c r="O104" s="8" t="n"/>
      <c r="P104" s="9">
        <f>IF(I104&lt;&gt;"","Complete",IF(J104="","Not Started",IF(C104="Critical",IF(J104&lt;1,"On-Time","Overdue"),IF(C104="High",IF(J104&lt;2,"On-Time",IF(J104&lt;3,"At Risk","Overdue")),IF(J104&lt;8,"On-Time","At Risk")))))</f>
        <v/>
      </c>
      <c r="Q104" s="9">
        <f>IF(P104="Complete",IF(C104="Critical",IF(J104&lt;=0.17,"Met","Missed"),IF(C104="High",IF(J104&lt;=1,"Met","Missed"),IF(C104="Medium",IF(J104&lt;=7,"Met","Missed"),"N/A"))),"In Progress")</f>
        <v/>
      </c>
      <c r="R104" s="8" t="n"/>
    </row>
    <row r="105">
      <c r="A105" s="8" t="n"/>
      <c r="B105" s="8" t="n"/>
      <c r="C105" s="8" t="n"/>
      <c r="D105" s="8" t="n"/>
      <c r="E105" s="8" t="n"/>
      <c r="F105" s="8" t="n"/>
      <c r="G105" s="8" t="n"/>
      <c r="H105" s="8" t="n"/>
      <c r="I105" s="8" t="n"/>
      <c r="J105" s="9">
        <f>IF(OR(D105="",I105=""),"",I105-D105)</f>
        <v/>
      </c>
      <c r="K105" s="8" t="n"/>
      <c r="L105" s="8" t="n"/>
      <c r="M105" s="8" t="n"/>
      <c r="N105" s="8" t="n"/>
      <c r="O105" s="8" t="n"/>
      <c r="P105" s="9">
        <f>IF(I105&lt;&gt;"","Complete",IF(J105="","Not Started",IF(C105="Critical",IF(J105&lt;1,"On-Time","Overdue"),IF(C105="High",IF(J105&lt;2,"On-Time",IF(J105&lt;3,"At Risk","Overdue")),IF(J105&lt;8,"On-Time","At Risk")))))</f>
        <v/>
      </c>
      <c r="Q105" s="9">
        <f>IF(P105="Complete",IF(C105="Critical",IF(J105&lt;=0.17,"Met","Missed"),IF(C105="High",IF(J105&lt;=1,"Met","Missed"),IF(C105="Medium",IF(J105&lt;=7,"Met","Missed"),"N/A"))),"In Progress")</f>
        <v/>
      </c>
      <c r="R105" s="8" t="n"/>
    </row>
    <row r="106">
      <c r="A106" s="8" t="n"/>
      <c r="B106" s="8" t="n"/>
      <c r="C106" s="8" t="n"/>
      <c r="D106" s="8" t="n"/>
      <c r="E106" s="8" t="n"/>
      <c r="F106" s="8" t="n"/>
      <c r="G106" s="8" t="n"/>
      <c r="H106" s="8" t="n"/>
      <c r="I106" s="8" t="n"/>
      <c r="J106" s="9">
        <f>IF(OR(D106="",I106=""),"",I106-D106)</f>
        <v/>
      </c>
      <c r="K106" s="8" t="n"/>
      <c r="L106" s="8" t="n"/>
      <c r="M106" s="8" t="n"/>
      <c r="N106" s="8" t="n"/>
      <c r="O106" s="8" t="n"/>
      <c r="P106" s="9">
        <f>IF(I106&lt;&gt;"","Complete",IF(J106="","Not Started",IF(C106="Critical",IF(J106&lt;1,"On-Time","Overdue"),IF(C106="High",IF(J106&lt;2,"On-Time",IF(J106&lt;3,"At Risk","Overdue")),IF(J106&lt;8,"On-Time","At Risk")))))</f>
        <v/>
      </c>
      <c r="Q106" s="9">
        <f>IF(P106="Complete",IF(C106="Critical",IF(J106&lt;=0.17,"Met","Missed"),IF(C106="High",IF(J106&lt;=1,"Met","Missed"),IF(C106="Medium",IF(J106&lt;=7,"Met","Missed"),"N/A"))),"In Progress")</f>
        <v/>
      </c>
      <c r="R106" s="8" t="n"/>
    </row>
    <row r="107">
      <c r="A107" s="8" t="n"/>
      <c r="B107" s="8" t="n"/>
      <c r="C107" s="8" t="n"/>
      <c r="D107" s="8" t="n"/>
      <c r="E107" s="8" t="n"/>
      <c r="F107" s="8" t="n"/>
      <c r="G107" s="8" t="n"/>
      <c r="H107" s="8" t="n"/>
      <c r="I107" s="8" t="n"/>
      <c r="J107" s="9">
        <f>IF(OR(D107="",I107=""),"",I107-D107)</f>
        <v/>
      </c>
      <c r="K107" s="8" t="n"/>
      <c r="L107" s="8" t="n"/>
      <c r="M107" s="8" t="n"/>
      <c r="N107" s="8" t="n"/>
      <c r="O107" s="8" t="n"/>
      <c r="P107" s="9">
        <f>IF(I107&lt;&gt;"","Complete",IF(J107="","Not Started",IF(C107="Critical",IF(J107&lt;1,"On-Time","Overdue"),IF(C107="High",IF(J107&lt;2,"On-Time",IF(J107&lt;3,"At Risk","Overdue")),IF(J107&lt;8,"On-Time","At Risk")))))</f>
        <v/>
      </c>
      <c r="Q107" s="9">
        <f>IF(P107="Complete",IF(C107="Critical",IF(J107&lt;=0.17,"Met","Missed"),IF(C107="High",IF(J107&lt;=1,"Met","Missed"),IF(C107="Medium",IF(J107&lt;=7,"Met","Missed"),"N/A"))),"In Progress")</f>
        <v/>
      </c>
      <c r="R107" s="8" t="n"/>
    </row>
    <row r="108">
      <c r="A108" s="8" t="n"/>
      <c r="B108" s="8" t="n"/>
      <c r="C108" s="8" t="n"/>
      <c r="D108" s="8" t="n"/>
      <c r="E108" s="8" t="n"/>
      <c r="F108" s="8" t="n"/>
      <c r="G108" s="8" t="n"/>
      <c r="H108" s="8" t="n"/>
      <c r="I108" s="8" t="n"/>
      <c r="J108" s="9">
        <f>IF(OR(D108="",I108=""),"",I108-D108)</f>
        <v/>
      </c>
      <c r="K108" s="8" t="n"/>
      <c r="L108" s="8" t="n"/>
      <c r="M108" s="8" t="n"/>
      <c r="N108" s="8" t="n"/>
      <c r="O108" s="8" t="n"/>
      <c r="P108" s="9">
        <f>IF(I108&lt;&gt;"","Complete",IF(J108="","Not Started",IF(C108="Critical",IF(J108&lt;1,"On-Time","Overdue"),IF(C108="High",IF(J108&lt;2,"On-Time",IF(J108&lt;3,"At Risk","Overdue")),IF(J108&lt;8,"On-Time","At Risk")))))</f>
        <v/>
      </c>
      <c r="Q108" s="9">
        <f>IF(P108="Complete",IF(C108="Critical",IF(J108&lt;=0.17,"Met","Missed"),IF(C108="High",IF(J108&lt;=1,"Met","Missed"),IF(C108="Medium",IF(J108&lt;=7,"Met","Missed"),"N/A"))),"In Progress")</f>
        <v/>
      </c>
      <c r="R108" s="8" t="n"/>
    </row>
    <row r="109">
      <c r="A109" s="8" t="n"/>
      <c r="B109" s="8" t="n"/>
      <c r="C109" s="8" t="n"/>
      <c r="D109" s="8" t="n"/>
      <c r="E109" s="8" t="n"/>
      <c r="F109" s="8" t="n"/>
      <c r="G109" s="8" t="n"/>
      <c r="H109" s="8" t="n"/>
      <c r="I109" s="8" t="n"/>
      <c r="J109" s="9">
        <f>IF(OR(D109="",I109=""),"",I109-D109)</f>
        <v/>
      </c>
      <c r="K109" s="8" t="n"/>
      <c r="L109" s="8" t="n"/>
      <c r="M109" s="8" t="n"/>
      <c r="N109" s="8" t="n"/>
      <c r="O109" s="8" t="n"/>
      <c r="P109" s="9">
        <f>IF(I109&lt;&gt;"","Complete",IF(J109="","Not Started",IF(C109="Critical",IF(J109&lt;1,"On-Time","Overdue"),IF(C109="High",IF(J109&lt;2,"On-Time",IF(J109&lt;3,"At Risk","Overdue")),IF(J109&lt;8,"On-Time","At Risk")))))</f>
        <v/>
      </c>
      <c r="Q109" s="9">
        <f>IF(P109="Complete",IF(C109="Critical",IF(J109&lt;=0.17,"Met","Missed"),IF(C109="High",IF(J109&lt;=1,"Met","Missed"),IF(C109="Medium",IF(J109&lt;=7,"Met","Missed"),"N/A"))),"In Progress")</f>
        <v/>
      </c>
      <c r="R109" s="8" t="n"/>
    </row>
    <row r="110">
      <c r="A110" s="8" t="n"/>
      <c r="B110" s="8" t="n"/>
      <c r="C110" s="8" t="n"/>
      <c r="D110" s="8" t="n"/>
      <c r="E110" s="8" t="n"/>
      <c r="F110" s="8" t="n"/>
      <c r="G110" s="8" t="n"/>
      <c r="H110" s="8" t="n"/>
      <c r="I110" s="8" t="n"/>
      <c r="J110" s="9">
        <f>IF(OR(D110="",I110=""),"",I110-D110)</f>
        <v/>
      </c>
      <c r="K110" s="8" t="n"/>
      <c r="L110" s="8" t="n"/>
      <c r="M110" s="8" t="n"/>
      <c r="N110" s="8" t="n"/>
      <c r="O110" s="8" t="n"/>
      <c r="P110" s="9">
        <f>IF(I110&lt;&gt;"","Complete",IF(J110="","Not Started",IF(C110="Critical",IF(J110&lt;1,"On-Time","Overdue"),IF(C110="High",IF(J110&lt;2,"On-Time",IF(J110&lt;3,"At Risk","Overdue")),IF(J110&lt;8,"On-Time","At Risk")))))</f>
        <v/>
      </c>
      <c r="Q110" s="9">
        <f>IF(P110="Complete",IF(C110="Critical",IF(J110&lt;=0.17,"Met","Missed"),IF(C110="High",IF(J110&lt;=1,"Met","Missed"),IF(C110="Medium",IF(J110&lt;=7,"Met","Missed"),"N/A"))),"In Progress")</f>
        <v/>
      </c>
      <c r="R110" s="8" t="n"/>
    </row>
    <row r="111">
      <c r="A111" s="8" t="n"/>
      <c r="B111" s="8" t="n"/>
      <c r="C111" s="8" t="n"/>
      <c r="D111" s="8" t="n"/>
      <c r="E111" s="8" t="n"/>
      <c r="F111" s="8" t="n"/>
      <c r="G111" s="8" t="n"/>
      <c r="H111" s="8" t="n"/>
      <c r="I111" s="8" t="n"/>
      <c r="J111" s="9">
        <f>IF(OR(D111="",I111=""),"",I111-D111)</f>
        <v/>
      </c>
      <c r="K111" s="8" t="n"/>
      <c r="L111" s="8" t="n"/>
      <c r="M111" s="8" t="n"/>
      <c r="N111" s="8" t="n"/>
      <c r="O111" s="8" t="n"/>
      <c r="P111" s="9">
        <f>IF(I111&lt;&gt;"","Complete",IF(J111="","Not Started",IF(C111="Critical",IF(J111&lt;1,"On-Time","Overdue"),IF(C111="High",IF(J111&lt;2,"On-Time",IF(J111&lt;3,"At Risk","Overdue")),IF(J111&lt;8,"On-Time","At Risk")))))</f>
        <v/>
      </c>
      <c r="Q111" s="9">
        <f>IF(P111="Complete",IF(C111="Critical",IF(J111&lt;=0.17,"Met","Missed"),IF(C111="High",IF(J111&lt;=1,"Met","Missed"),IF(C111="Medium",IF(J111&lt;=7,"Met","Missed"),"N/A"))),"In Progress")</f>
        <v/>
      </c>
      <c r="R111" s="8" t="n"/>
    </row>
    <row r="112">
      <c r="A112" s="8" t="n"/>
      <c r="B112" s="8" t="n"/>
      <c r="C112" s="8" t="n"/>
      <c r="D112" s="8" t="n"/>
      <c r="E112" s="8" t="n"/>
      <c r="F112" s="8" t="n"/>
      <c r="G112" s="8" t="n"/>
      <c r="H112" s="8" t="n"/>
      <c r="I112" s="8" t="n"/>
      <c r="J112" s="9">
        <f>IF(OR(D112="",I112=""),"",I112-D112)</f>
        <v/>
      </c>
      <c r="K112" s="8" t="n"/>
      <c r="L112" s="8" t="n"/>
      <c r="M112" s="8" t="n"/>
      <c r="N112" s="8" t="n"/>
      <c r="O112" s="8" t="n"/>
      <c r="P112" s="9">
        <f>IF(I112&lt;&gt;"","Complete",IF(J112="","Not Started",IF(C112="Critical",IF(J112&lt;1,"On-Time","Overdue"),IF(C112="High",IF(J112&lt;2,"On-Time",IF(J112&lt;3,"At Risk","Overdue")),IF(J112&lt;8,"On-Time","At Risk")))))</f>
        <v/>
      </c>
      <c r="Q112" s="9">
        <f>IF(P112="Complete",IF(C112="Critical",IF(J112&lt;=0.17,"Met","Missed"),IF(C112="High",IF(J112&lt;=1,"Met","Missed"),IF(C112="Medium",IF(J112&lt;=7,"Met","Missed"),"N/A"))),"In Progress")</f>
        <v/>
      </c>
      <c r="R112" s="8" t="n"/>
    </row>
    <row r="113">
      <c r="A113" s="8" t="n"/>
      <c r="B113" s="8" t="n"/>
      <c r="C113" s="8" t="n"/>
      <c r="D113" s="8" t="n"/>
      <c r="E113" s="8" t="n"/>
      <c r="F113" s="8" t="n"/>
      <c r="G113" s="8" t="n"/>
      <c r="H113" s="8" t="n"/>
      <c r="I113" s="8" t="n"/>
      <c r="J113" s="9">
        <f>IF(OR(D113="",I113=""),"",I113-D113)</f>
        <v/>
      </c>
      <c r="K113" s="8" t="n"/>
      <c r="L113" s="8" t="n"/>
      <c r="M113" s="8" t="n"/>
      <c r="N113" s="8" t="n"/>
      <c r="O113" s="8" t="n"/>
      <c r="P113" s="9">
        <f>IF(I113&lt;&gt;"","Complete",IF(J113="","Not Started",IF(C113="Critical",IF(J113&lt;1,"On-Time","Overdue"),IF(C113="High",IF(J113&lt;2,"On-Time",IF(J113&lt;3,"At Risk","Overdue")),IF(J113&lt;8,"On-Time","At Risk")))))</f>
        <v/>
      </c>
      <c r="Q113" s="9">
        <f>IF(P113="Complete",IF(C113="Critical",IF(J113&lt;=0.17,"Met","Missed"),IF(C113="High",IF(J113&lt;=1,"Met","Missed"),IF(C113="Medium",IF(J113&lt;=7,"Met","Missed"),"N/A"))),"In Progress")</f>
        <v/>
      </c>
      <c r="R113" s="8" t="n"/>
    </row>
    <row r="114">
      <c r="A114" s="8" t="n"/>
      <c r="B114" s="8" t="n"/>
      <c r="C114" s="8" t="n"/>
      <c r="D114" s="8" t="n"/>
      <c r="E114" s="8" t="n"/>
      <c r="F114" s="8" t="n"/>
      <c r="G114" s="8" t="n"/>
      <c r="H114" s="8" t="n"/>
      <c r="I114" s="8" t="n"/>
      <c r="J114" s="9">
        <f>IF(OR(D114="",I114=""),"",I114-D114)</f>
        <v/>
      </c>
      <c r="K114" s="8" t="n"/>
      <c r="L114" s="8" t="n"/>
      <c r="M114" s="8" t="n"/>
      <c r="N114" s="8" t="n"/>
      <c r="O114" s="8" t="n"/>
      <c r="P114" s="9">
        <f>IF(I114&lt;&gt;"","Complete",IF(J114="","Not Started",IF(C114="Critical",IF(J114&lt;1,"On-Time","Overdue"),IF(C114="High",IF(J114&lt;2,"On-Time",IF(J114&lt;3,"At Risk","Overdue")),IF(J114&lt;8,"On-Time","At Risk")))))</f>
        <v/>
      </c>
      <c r="Q114" s="9">
        <f>IF(P114="Complete",IF(C114="Critical",IF(J114&lt;=0.17,"Met","Missed"),IF(C114="High",IF(J114&lt;=1,"Met","Missed"),IF(C114="Medium",IF(J114&lt;=7,"Met","Missed"),"N/A"))),"In Progress")</f>
        <v/>
      </c>
      <c r="R114" s="8" t="n"/>
    </row>
    <row r="115">
      <c r="A115" s="8" t="n"/>
      <c r="B115" s="8" t="n"/>
      <c r="C115" s="8" t="n"/>
      <c r="D115" s="8" t="n"/>
      <c r="E115" s="8" t="n"/>
      <c r="F115" s="8" t="n"/>
      <c r="G115" s="8" t="n"/>
      <c r="H115" s="8" t="n"/>
      <c r="I115" s="8" t="n"/>
      <c r="J115" s="9">
        <f>IF(OR(D115="",I115=""),"",I115-D115)</f>
        <v/>
      </c>
      <c r="K115" s="8" t="n"/>
      <c r="L115" s="8" t="n"/>
      <c r="M115" s="8" t="n"/>
      <c r="N115" s="8" t="n"/>
      <c r="O115" s="8" t="n"/>
      <c r="P115" s="9">
        <f>IF(I115&lt;&gt;"","Complete",IF(J115="","Not Started",IF(C115="Critical",IF(J115&lt;1,"On-Time","Overdue"),IF(C115="High",IF(J115&lt;2,"On-Time",IF(J115&lt;3,"At Risk","Overdue")),IF(J115&lt;8,"On-Time","At Risk")))))</f>
        <v/>
      </c>
      <c r="Q115" s="9">
        <f>IF(P115="Complete",IF(C115="Critical",IF(J115&lt;=0.17,"Met","Missed"),IF(C115="High",IF(J115&lt;=1,"Met","Missed"),IF(C115="Medium",IF(J115&lt;=7,"Met","Missed"),"N/A"))),"In Progress")</f>
        <v/>
      </c>
      <c r="R115" s="8" t="n"/>
    </row>
    <row r="116">
      <c r="A116" s="8" t="n"/>
      <c r="B116" s="8" t="n"/>
      <c r="C116" s="8" t="n"/>
      <c r="D116" s="8" t="n"/>
      <c r="E116" s="8" t="n"/>
      <c r="F116" s="8" t="n"/>
      <c r="G116" s="8" t="n"/>
      <c r="H116" s="8" t="n"/>
      <c r="I116" s="8" t="n"/>
      <c r="J116" s="9">
        <f>IF(OR(D116="",I116=""),"",I116-D116)</f>
        <v/>
      </c>
      <c r="K116" s="8" t="n"/>
      <c r="L116" s="8" t="n"/>
      <c r="M116" s="8" t="n"/>
      <c r="N116" s="8" t="n"/>
      <c r="O116" s="8" t="n"/>
      <c r="P116" s="9">
        <f>IF(I116&lt;&gt;"","Complete",IF(J116="","Not Started",IF(C116="Critical",IF(J116&lt;1,"On-Time","Overdue"),IF(C116="High",IF(J116&lt;2,"On-Time",IF(J116&lt;3,"At Risk","Overdue")),IF(J116&lt;8,"On-Time","At Risk")))))</f>
        <v/>
      </c>
      <c r="Q116" s="9">
        <f>IF(P116="Complete",IF(C116="Critical",IF(J116&lt;=0.17,"Met","Missed"),IF(C116="High",IF(J116&lt;=1,"Met","Missed"),IF(C116="Medium",IF(J116&lt;=7,"Met","Missed"),"N/A"))),"In Progress")</f>
        <v/>
      </c>
      <c r="R116" s="8" t="n"/>
    </row>
    <row r="117">
      <c r="A117" s="8" t="n"/>
      <c r="B117" s="8" t="n"/>
      <c r="C117" s="8" t="n"/>
      <c r="D117" s="8" t="n"/>
      <c r="E117" s="8" t="n"/>
      <c r="F117" s="8" t="n"/>
      <c r="G117" s="8" t="n"/>
      <c r="H117" s="8" t="n"/>
      <c r="I117" s="8" t="n"/>
      <c r="J117" s="9">
        <f>IF(OR(D117="",I117=""),"",I117-D117)</f>
        <v/>
      </c>
      <c r="K117" s="8" t="n"/>
      <c r="L117" s="8" t="n"/>
      <c r="M117" s="8" t="n"/>
      <c r="N117" s="8" t="n"/>
      <c r="O117" s="8" t="n"/>
      <c r="P117" s="9">
        <f>IF(I117&lt;&gt;"","Complete",IF(J117="","Not Started",IF(C117="Critical",IF(J117&lt;1,"On-Time","Overdue"),IF(C117="High",IF(J117&lt;2,"On-Time",IF(J117&lt;3,"At Risk","Overdue")),IF(J117&lt;8,"On-Time","At Risk")))))</f>
        <v/>
      </c>
      <c r="Q117" s="9">
        <f>IF(P117="Complete",IF(C117="Critical",IF(J117&lt;=0.17,"Met","Missed"),IF(C117="High",IF(J117&lt;=1,"Met","Missed"),IF(C117="Medium",IF(J117&lt;=7,"Met","Missed"),"N/A"))),"In Progress")</f>
        <v/>
      </c>
      <c r="R117" s="8" t="n"/>
    </row>
    <row r="118">
      <c r="A118" s="8" t="n"/>
      <c r="B118" s="8" t="n"/>
      <c r="C118" s="8" t="n"/>
      <c r="D118" s="8" t="n"/>
      <c r="E118" s="8" t="n"/>
      <c r="F118" s="8" t="n"/>
      <c r="G118" s="8" t="n"/>
      <c r="H118" s="8" t="n"/>
      <c r="I118" s="8" t="n"/>
      <c r="J118" s="9">
        <f>IF(OR(D118="",I118=""),"",I118-D118)</f>
        <v/>
      </c>
      <c r="K118" s="8" t="n"/>
      <c r="L118" s="8" t="n"/>
      <c r="M118" s="8" t="n"/>
      <c r="N118" s="8" t="n"/>
      <c r="O118" s="8" t="n"/>
      <c r="P118" s="9">
        <f>IF(I118&lt;&gt;"","Complete",IF(J118="","Not Started",IF(C118="Critical",IF(J118&lt;1,"On-Time","Overdue"),IF(C118="High",IF(J118&lt;2,"On-Time",IF(J118&lt;3,"At Risk","Overdue")),IF(J118&lt;8,"On-Time","At Risk")))))</f>
        <v/>
      </c>
      <c r="Q118" s="9">
        <f>IF(P118="Complete",IF(C118="Critical",IF(J118&lt;=0.17,"Met","Missed"),IF(C118="High",IF(J118&lt;=1,"Met","Missed"),IF(C118="Medium",IF(J118&lt;=7,"Met","Missed"),"N/A"))),"In Progress")</f>
        <v/>
      </c>
      <c r="R118" s="8" t="n"/>
    </row>
    <row r="119">
      <c r="A119" s="8" t="n"/>
      <c r="B119" s="8" t="n"/>
      <c r="C119" s="8" t="n"/>
      <c r="D119" s="8" t="n"/>
      <c r="E119" s="8" t="n"/>
      <c r="F119" s="8" t="n"/>
      <c r="G119" s="8" t="n"/>
      <c r="H119" s="8" t="n"/>
      <c r="I119" s="8" t="n"/>
      <c r="J119" s="9">
        <f>IF(OR(D119="",I119=""),"",I119-D119)</f>
        <v/>
      </c>
      <c r="K119" s="8" t="n"/>
      <c r="L119" s="8" t="n"/>
      <c r="M119" s="8" t="n"/>
      <c r="N119" s="8" t="n"/>
      <c r="O119" s="8" t="n"/>
      <c r="P119" s="9">
        <f>IF(I119&lt;&gt;"","Complete",IF(J119="","Not Started",IF(C119="Critical",IF(J119&lt;1,"On-Time","Overdue"),IF(C119="High",IF(J119&lt;2,"On-Time",IF(J119&lt;3,"At Risk","Overdue")),IF(J119&lt;8,"On-Time","At Risk")))))</f>
        <v/>
      </c>
      <c r="Q119" s="9">
        <f>IF(P119="Complete",IF(C119="Critical",IF(J119&lt;=0.17,"Met","Missed"),IF(C119="High",IF(J119&lt;=1,"Met","Missed"),IF(C119="Medium",IF(J119&lt;=7,"Met","Missed"),"N/A"))),"In Progress")</f>
        <v/>
      </c>
      <c r="R119" s="8" t="n"/>
    </row>
    <row r="120">
      <c r="A120" s="8" t="n"/>
      <c r="B120" s="8" t="n"/>
      <c r="C120" s="8" t="n"/>
      <c r="D120" s="8" t="n"/>
      <c r="E120" s="8" t="n"/>
      <c r="F120" s="8" t="n"/>
      <c r="G120" s="8" t="n"/>
      <c r="H120" s="8" t="n"/>
      <c r="I120" s="8" t="n"/>
      <c r="J120" s="9">
        <f>IF(OR(D120="",I120=""),"",I120-D120)</f>
        <v/>
      </c>
      <c r="K120" s="8" t="n"/>
      <c r="L120" s="8" t="n"/>
      <c r="M120" s="8" t="n"/>
      <c r="N120" s="8" t="n"/>
      <c r="O120" s="8" t="n"/>
      <c r="P120" s="9">
        <f>IF(I120&lt;&gt;"","Complete",IF(J120="","Not Started",IF(C120="Critical",IF(J120&lt;1,"On-Time","Overdue"),IF(C120="High",IF(J120&lt;2,"On-Time",IF(J120&lt;3,"At Risk","Overdue")),IF(J120&lt;8,"On-Time","At Risk")))))</f>
        <v/>
      </c>
      <c r="Q120" s="9">
        <f>IF(P120="Complete",IF(C120="Critical",IF(J120&lt;=0.17,"Met","Missed"),IF(C120="High",IF(J120&lt;=1,"Met","Missed"),IF(C120="Medium",IF(J120&lt;=7,"Met","Missed"),"N/A"))),"In Progress")</f>
        <v/>
      </c>
      <c r="R120" s="8" t="n"/>
    </row>
    <row r="121">
      <c r="A121" s="8" t="n"/>
      <c r="B121" s="8" t="n"/>
      <c r="C121" s="8" t="n"/>
      <c r="D121" s="8" t="n"/>
      <c r="E121" s="8" t="n"/>
      <c r="F121" s="8" t="n"/>
      <c r="G121" s="8" t="n"/>
      <c r="H121" s="8" t="n"/>
      <c r="I121" s="8" t="n"/>
      <c r="J121" s="9">
        <f>IF(OR(D121="",I121=""),"",I121-D121)</f>
        <v/>
      </c>
      <c r="K121" s="8" t="n"/>
      <c r="L121" s="8" t="n"/>
      <c r="M121" s="8" t="n"/>
      <c r="N121" s="8" t="n"/>
      <c r="O121" s="8" t="n"/>
      <c r="P121" s="9">
        <f>IF(I121&lt;&gt;"","Complete",IF(J121="","Not Started",IF(C121="Critical",IF(J121&lt;1,"On-Time","Overdue"),IF(C121="High",IF(J121&lt;2,"On-Time",IF(J121&lt;3,"At Risk","Overdue")),IF(J121&lt;8,"On-Time","At Risk")))))</f>
        <v/>
      </c>
      <c r="Q121" s="9">
        <f>IF(P121="Complete",IF(C121="Critical",IF(J121&lt;=0.17,"Met","Missed"),IF(C121="High",IF(J121&lt;=1,"Met","Missed"),IF(C121="Medium",IF(J121&lt;=7,"Met","Missed"),"N/A"))),"In Progress")</f>
        <v/>
      </c>
      <c r="R121" s="8" t="n"/>
    </row>
    <row r="122">
      <c r="A122" s="8" t="n"/>
      <c r="B122" s="8" t="n"/>
      <c r="C122" s="8" t="n"/>
      <c r="D122" s="8" t="n"/>
      <c r="E122" s="8" t="n"/>
      <c r="F122" s="8" t="n"/>
      <c r="G122" s="8" t="n"/>
      <c r="H122" s="8" t="n"/>
      <c r="I122" s="8" t="n"/>
      <c r="J122" s="9">
        <f>IF(OR(D122="",I122=""),"",I122-D122)</f>
        <v/>
      </c>
      <c r="K122" s="8" t="n"/>
      <c r="L122" s="8" t="n"/>
      <c r="M122" s="8" t="n"/>
      <c r="N122" s="8" t="n"/>
      <c r="O122" s="8" t="n"/>
      <c r="P122" s="9">
        <f>IF(I122&lt;&gt;"","Complete",IF(J122="","Not Started",IF(C122="Critical",IF(J122&lt;1,"On-Time","Overdue"),IF(C122="High",IF(J122&lt;2,"On-Time",IF(J122&lt;3,"At Risk","Overdue")),IF(J122&lt;8,"On-Time","At Risk")))))</f>
        <v/>
      </c>
      <c r="Q122" s="9">
        <f>IF(P122="Complete",IF(C122="Critical",IF(J122&lt;=0.17,"Met","Missed"),IF(C122="High",IF(J122&lt;=1,"Met","Missed"),IF(C122="Medium",IF(J122&lt;=7,"Met","Missed"),"N/A"))),"In Progress")</f>
        <v/>
      </c>
      <c r="R122" s="8" t="n"/>
    </row>
    <row r="123">
      <c r="A123" s="8" t="n"/>
      <c r="B123" s="8" t="n"/>
      <c r="C123" s="8" t="n"/>
      <c r="D123" s="8" t="n"/>
      <c r="E123" s="8" t="n"/>
      <c r="F123" s="8" t="n"/>
      <c r="G123" s="8" t="n"/>
      <c r="H123" s="8" t="n"/>
      <c r="I123" s="8" t="n"/>
      <c r="J123" s="9">
        <f>IF(OR(D123="",I123=""),"",I123-D123)</f>
        <v/>
      </c>
      <c r="K123" s="8" t="n"/>
      <c r="L123" s="8" t="n"/>
      <c r="M123" s="8" t="n"/>
      <c r="N123" s="8" t="n"/>
      <c r="O123" s="8" t="n"/>
      <c r="P123" s="9">
        <f>IF(I123&lt;&gt;"","Complete",IF(J123="","Not Started",IF(C123="Critical",IF(J123&lt;1,"On-Time","Overdue"),IF(C123="High",IF(J123&lt;2,"On-Time",IF(J123&lt;3,"At Risk","Overdue")),IF(J123&lt;8,"On-Time","At Risk")))))</f>
        <v/>
      </c>
      <c r="Q123" s="9">
        <f>IF(P123="Complete",IF(C123="Critical",IF(J123&lt;=0.17,"Met","Missed"),IF(C123="High",IF(J123&lt;=1,"Met","Missed"),IF(C123="Medium",IF(J123&lt;=7,"Met","Missed"),"N/A"))),"In Progress")</f>
        <v/>
      </c>
      <c r="R123" s="8" t="n"/>
    </row>
    <row r="124">
      <c r="A124" s="8" t="n"/>
      <c r="B124" s="8" t="n"/>
      <c r="C124" s="8" t="n"/>
      <c r="D124" s="8" t="n"/>
      <c r="E124" s="8" t="n"/>
      <c r="F124" s="8" t="n"/>
      <c r="G124" s="8" t="n"/>
      <c r="H124" s="8" t="n"/>
      <c r="I124" s="8" t="n"/>
      <c r="J124" s="9">
        <f>IF(OR(D124="",I124=""),"",I124-D124)</f>
        <v/>
      </c>
      <c r="K124" s="8" t="n"/>
      <c r="L124" s="8" t="n"/>
      <c r="M124" s="8" t="n"/>
      <c r="N124" s="8" t="n"/>
      <c r="O124" s="8" t="n"/>
      <c r="P124" s="9">
        <f>IF(I124&lt;&gt;"","Complete",IF(J124="","Not Started",IF(C124="Critical",IF(J124&lt;1,"On-Time","Overdue"),IF(C124="High",IF(J124&lt;2,"On-Time",IF(J124&lt;3,"At Risk","Overdue")),IF(J124&lt;8,"On-Time","At Risk")))))</f>
        <v/>
      </c>
      <c r="Q124" s="9">
        <f>IF(P124="Complete",IF(C124="Critical",IF(J124&lt;=0.17,"Met","Missed"),IF(C124="High",IF(J124&lt;=1,"Met","Missed"),IF(C124="Medium",IF(J124&lt;=7,"Met","Missed"),"N/A"))),"In Progress")</f>
        <v/>
      </c>
      <c r="R124" s="8" t="n"/>
    </row>
    <row r="125">
      <c r="A125" s="8" t="n"/>
      <c r="B125" s="8" t="n"/>
      <c r="C125" s="8" t="n"/>
      <c r="D125" s="8" t="n"/>
      <c r="E125" s="8" t="n"/>
      <c r="F125" s="8" t="n"/>
      <c r="G125" s="8" t="n"/>
      <c r="H125" s="8" t="n"/>
      <c r="I125" s="8" t="n"/>
      <c r="J125" s="9">
        <f>IF(OR(D125="",I125=""),"",I125-D125)</f>
        <v/>
      </c>
      <c r="K125" s="8" t="n"/>
      <c r="L125" s="8" t="n"/>
      <c r="M125" s="8" t="n"/>
      <c r="N125" s="8" t="n"/>
      <c r="O125" s="8" t="n"/>
      <c r="P125" s="9">
        <f>IF(I125&lt;&gt;"","Complete",IF(J125="","Not Started",IF(C125="Critical",IF(J125&lt;1,"On-Time","Overdue"),IF(C125="High",IF(J125&lt;2,"On-Time",IF(J125&lt;3,"At Risk","Overdue")),IF(J125&lt;8,"On-Time","At Risk")))))</f>
        <v/>
      </c>
      <c r="Q125" s="9">
        <f>IF(P125="Complete",IF(C125="Critical",IF(J125&lt;=0.17,"Met","Missed"),IF(C125="High",IF(J125&lt;=1,"Met","Missed"),IF(C125="Medium",IF(J125&lt;=7,"Met","Missed"),"N/A"))),"In Progress")</f>
        <v/>
      </c>
      <c r="R125" s="8" t="n"/>
    </row>
    <row r="126">
      <c r="A126" s="8" t="n"/>
      <c r="B126" s="8" t="n"/>
      <c r="C126" s="8" t="n"/>
      <c r="D126" s="8" t="n"/>
      <c r="E126" s="8" t="n"/>
      <c r="F126" s="8" t="n"/>
      <c r="G126" s="8" t="n"/>
      <c r="H126" s="8" t="n"/>
      <c r="I126" s="8" t="n"/>
      <c r="J126" s="9">
        <f>IF(OR(D126="",I126=""),"",I126-D126)</f>
        <v/>
      </c>
      <c r="K126" s="8" t="n"/>
      <c r="L126" s="8" t="n"/>
      <c r="M126" s="8" t="n"/>
      <c r="N126" s="8" t="n"/>
      <c r="O126" s="8" t="n"/>
      <c r="P126" s="9">
        <f>IF(I126&lt;&gt;"","Complete",IF(J126="","Not Started",IF(C126="Critical",IF(J126&lt;1,"On-Time","Overdue"),IF(C126="High",IF(J126&lt;2,"On-Time",IF(J126&lt;3,"At Risk","Overdue")),IF(J126&lt;8,"On-Time","At Risk")))))</f>
        <v/>
      </c>
      <c r="Q126" s="9">
        <f>IF(P126="Complete",IF(C126="Critical",IF(J126&lt;=0.17,"Met","Missed"),IF(C126="High",IF(J126&lt;=1,"Met","Missed"),IF(C126="Medium",IF(J126&lt;=7,"Met","Missed"),"N/A"))),"In Progress")</f>
        <v/>
      </c>
      <c r="R126" s="8" t="n"/>
    </row>
    <row r="127">
      <c r="A127" s="8" t="n"/>
      <c r="B127" s="8" t="n"/>
      <c r="C127" s="8" t="n"/>
      <c r="D127" s="8" t="n"/>
      <c r="E127" s="8" t="n"/>
      <c r="F127" s="8" t="n"/>
      <c r="G127" s="8" t="n"/>
      <c r="H127" s="8" t="n"/>
      <c r="I127" s="8" t="n"/>
      <c r="J127" s="9">
        <f>IF(OR(D127="",I127=""),"",I127-D127)</f>
        <v/>
      </c>
      <c r="K127" s="8" t="n"/>
      <c r="L127" s="8" t="n"/>
      <c r="M127" s="8" t="n"/>
      <c r="N127" s="8" t="n"/>
      <c r="O127" s="8" t="n"/>
      <c r="P127" s="9">
        <f>IF(I127&lt;&gt;"","Complete",IF(J127="","Not Started",IF(C127="Critical",IF(J127&lt;1,"On-Time","Overdue"),IF(C127="High",IF(J127&lt;2,"On-Time",IF(J127&lt;3,"At Risk","Overdue")),IF(J127&lt;8,"On-Time","At Risk")))))</f>
        <v/>
      </c>
      <c r="Q127" s="9">
        <f>IF(P127="Complete",IF(C127="Critical",IF(J127&lt;=0.17,"Met","Missed"),IF(C127="High",IF(J127&lt;=1,"Met","Missed"),IF(C127="Medium",IF(J127&lt;=7,"Met","Missed"),"N/A"))),"In Progress")</f>
        <v/>
      </c>
      <c r="R127" s="8" t="n"/>
    </row>
    <row r="128">
      <c r="A128" s="8" t="n"/>
      <c r="B128" s="8" t="n"/>
      <c r="C128" s="8" t="n"/>
      <c r="D128" s="8" t="n"/>
      <c r="E128" s="8" t="n"/>
      <c r="F128" s="8" t="n"/>
      <c r="G128" s="8" t="n"/>
      <c r="H128" s="8" t="n"/>
      <c r="I128" s="8" t="n"/>
      <c r="J128" s="9">
        <f>IF(OR(D128="",I128=""),"",I128-D128)</f>
        <v/>
      </c>
      <c r="K128" s="8" t="n"/>
      <c r="L128" s="8" t="n"/>
      <c r="M128" s="8" t="n"/>
      <c r="N128" s="8" t="n"/>
      <c r="O128" s="8" t="n"/>
      <c r="P128" s="9">
        <f>IF(I128&lt;&gt;"","Complete",IF(J128="","Not Started",IF(C128="Critical",IF(J128&lt;1,"On-Time","Overdue"),IF(C128="High",IF(J128&lt;2,"On-Time",IF(J128&lt;3,"At Risk","Overdue")),IF(J128&lt;8,"On-Time","At Risk")))))</f>
        <v/>
      </c>
      <c r="Q128" s="9">
        <f>IF(P128="Complete",IF(C128="Critical",IF(J128&lt;=0.17,"Met","Missed"),IF(C128="High",IF(J128&lt;=1,"Met","Missed"),IF(C128="Medium",IF(J128&lt;=7,"Met","Missed"),"N/A"))),"In Progress")</f>
        <v/>
      </c>
      <c r="R128" s="8" t="n"/>
    </row>
    <row r="129">
      <c r="A129" s="8" t="n"/>
      <c r="B129" s="8" t="n"/>
      <c r="C129" s="8" t="n"/>
      <c r="D129" s="8" t="n"/>
      <c r="E129" s="8" t="n"/>
      <c r="F129" s="8" t="n"/>
      <c r="G129" s="8" t="n"/>
      <c r="H129" s="8" t="n"/>
      <c r="I129" s="8" t="n"/>
      <c r="J129" s="9">
        <f>IF(OR(D129="",I129=""),"",I129-D129)</f>
        <v/>
      </c>
      <c r="K129" s="8" t="n"/>
      <c r="L129" s="8" t="n"/>
      <c r="M129" s="8" t="n"/>
      <c r="N129" s="8" t="n"/>
      <c r="O129" s="8" t="n"/>
      <c r="P129" s="9">
        <f>IF(I129&lt;&gt;"","Complete",IF(J129="","Not Started",IF(C129="Critical",IF(J129&lt;1,"On-Time","Overdue"),IF(C129="High",IF(J129&lt;2,"On-Time",IF(J129&lt;3,"At Risk","Overdue")),IF(J129&lt;8,"On-Time","At Risk")))))</f>
        <v/>
      </c>
      <c r="Q129" s="9">
        <f>IF(P129="Complete",IF(C129="Critical",IF(J129&lt;=0.17,"Met","Missed"),IF(C129="High",IF(J129&lt;=1,"Met","Missed"),IF(C129="Medium",IF(J129&lt;=7,"Met","Missed"),"N/A"))),"In Progress")</f>
        <v/>
      </c>
      <c r="R129" s="8" t="n"/>
    </row>
    <row r="130">
      <c r="A130" s="8" t="n"/>
      <c r="B130" s="8" t="n"/>
      <c r="C130" s="8" t="n"/>
      <c r="D130" s="8" t="n"/>
      <c r="E130" s="8" t="n"/>
      <c r="F130" s="8" t="n"/>
      <c r="G130" s="8" t="n"/>
      <c r="H130" s="8" t="n"/>
      <c r="I130" s="8" t="n"/>
      <c r="J130" s="9">
        <f>IF(OR(D130="",I130=""),"",I130-D130)</f>
        <v/>
      </c>
      <c r="K130" s="8" t="n"/>
      <c r="L130" s="8" t="n"/>
      <c r="M130" s="8" t="n"/>
      <c r="N130" s="8" t="n"/>
      <c r="O130" s="8" t="n"/>
      <c r="P130" s="9">
        <f>IF(I130&lt;&gt;"","Complete",IF(J130="","Not Started",IF(C130="Critical",IF(J130&lt;1,"On-Time","Overdue"),IF(C130="High",IF(J130&lt;2,"On-Time",IF(J130&lt;3,"At Risk","Overdue")),IF(J130&lt;8,"On-Time","At Risk")))))</f>
        <v/>
      </c>
      <c r="Q130" s="9">
        <f>IF(P130="Complete",IF(C130="Critical",IF(J130&lt;=0.17,"Met","Missed"),IF(C130="High",IF(J130&lt;=1,"Met","Missed"),IF(C130="Medium",IF(J130&lt;=7,"Met","Missed"),"N/A"))),"In Progress")</f>
        <v/>
      </c>
      <c r="R130" s="8" t="n"/>
    </row>
    <row r="131">
      <c r="A131" s="8" t="n"/>
      <c r="B131" s="8" t="n"/>
      <c r="C131" s="8" t="n"/>
      <c r="D131" s="8" t="n"/>
      <c r="E131" s="8" t="n"/>
      <c r="F131" s="8" t="n"/>
      <c r="G131" s="8" t="n"/>
      <c r="H131" s="8" t="n"/>
      <c r="I131" s="8" t="n"/>
      <c r="J131" s="9">
        <f>IF(OR(D131="",I131=""),"",I131-D131)</f>
        <v/>
      </c>
      <c r="K131" s="8" t="n"/>
      <c r="L131" s="8" t="n"/>
      <c r="M131" s="8" t="n"/>
      <c r="N131" s="8" t="n"/>
      <c r="O131" s="8" t="n"/>
      <c r="P131" s="9">
        <f>IF(I131&lt;&gt;"","Complete",IF(J131="","Not Started",IF(C131="Critical",IF(J131&lt;1,"On-Time","Overdue"),IF(C131="High",IF(J131&lt;2,"On-Time",IF(J131&lt;3,"At Risk","Overdue")),IF(J131&lt;8,"On-Time","At Risk")))))</f>
        <v/>
      </c>
      <c r="Q131" s="9">
        <f>IF(P131="Complete",IF(C131="Critical",IF(J131&lt;=0.17,"Met","Missed"),IF(C131="High",IF(J131&lt;=1,"Met","Missed"),IF(C131="Medium",IF(J131&lt;=7,"Met","Missed"),"N/A"))),"In Progress")</f>
        <v/>
      </c>
      <c r="R131" s="8" t="n"/>
    </row>
    <row r="132">
      <c r="A132" s="8" t="n"/>
      <c r="B132" s="8" t="n"/>
      <c r="C132" s="8" t="n"/>
      <c r="D132" s="8" t="n"/>
      <c r="E132" s="8" t="n"/>
      <c r="F132" s="8" t="n"/>
      <c r="G132" s="8" t="n"/>
      <c r="H132" s="8" t="n"/>
      <c r="I132" s="8" t="n"/>
      <c r="J132" s="9">
        <f>IF(OR(D132="",I132=""),"",I132-D132)</f>
        <v/>
      </c>
      <c r="K132" s="8" t="n"/>
      <c r="L132" s="8" t="n"/>
      <c r="M132" s="8" t="n"/>
      <c r="N132" s="8" t="n"/>
      <c r="O132" s="8" t="n"/>
      <c r="P132" s="9">
        <f>IF(I132&lt;&gt;"","Complete",IF(J132="","Not Started",IF(C132="Critical",IF(J132&lt;1,"On-Time","Overdue"),IF(C132="High",IF(J132&lt;2,"On-Time",IF(J132&lt;3,"At Risk","Overdue")),IF(J132&lt;8,"On-Time","At Risk")))))</f>
        <v/>
      </c>
      <c r="Q132" s="9">
        <f>IF(P132="Complete",IF(C132="Critical",IF(J132&lt;=0.17,"Met","Missed"),IF(C132="High",IF(J132&lt;=1,"Met","Missed"),IF(C132="Medium",IF(J132&lt;=7,"Met","Missed"),"N/A"))),"In Progress")</f>
        <v/>
      </c>
      <c r="R132" s="8" t="n"/>
    </row>
    <row r="133">
      <c r="A133" s="8" t="n"/>
      <c r="B133" s="8" t="n"/>
      <c r="C133" s="8" t="n"/>
      <c r="D133" s="8" t="n"/>
      <c r="E133" s="8" t="n"/>
      <c r="F133" s="8" t="n"/>
      <c r="G133" s="8" t="n"/>
      <c r="H133" s="8" t="n"/>
      <c r="I133" s="8" t="n"/>
      <c r="J133" s="9">
        <f>IF(OR(D133="",I133=""),"",I133-D133)</f>
        <v/>
      </c>
      <c r="K133" s="8" t="n"/>
      <c r="L133" s="8" t="n"/>
      <c r="M133" s="8" t="n"/>
      <c r="N133" s="8" t="n"/>
      <c r="O133" s="8" t="n"/>
      <c r="P133" s="9">
        <f>IF(I133&lt;&gt;"","Complete",IF(J133="","Not Started",IF(C133="Critical",IF(J133&lt;1,"On-Time","Overdue"),IF(C133="High",IF(J133&lt;2,"On-Time",IF(J133&lt;3,"At Risk","Overdue")),IF(J133&lt;8,"On-Time","At Risk")))))</f>
        <v/>
      </c>
      <c r="Q133" s="9">
        <f>IF(P133="Complete",IF(C133="Critical",IF(J133&lt;=0.17,"Met","Missed"),IF(C133="High",IF(J133&lt;=1,"Met","Missed"),IF(C133="Medium",IF(J133&lt;=7,"Met","Missed"),"N/A"))),"In Progress")</f>
        <v/>
      </c>
      <c r="R133" s="8" t="n"/>
    </row>
    <row r="134">
      <c r="A134" s="8" t="n"/>
      <c r="B134" s="8" t="n"/>
      <c r="C134" s="8" t="n"/>
      <c r="D134" s="8" t="n"/>
      <c r="E134" s="8" t="n"/>
      <c r="F134" s="8" t="n"/>
      <c r="G134" s="8" t="n"/>
      <c r="H134" s="8" t="n"/>
      <c r="I134" s="8" t="n"/>
      <c r="J134" s="9">
        <f>IF(OR(D134="",I134=""),"",I134-D134)</f>
        <v/>
      </c>
      <c r="K134" s="8" t="n"/>
      <c r="L134" s="8" t="n"/>
      <c r="M134" s="8" t="n"/>
      <c r="N134" s="8" t="n"/>
      <c r="O134" s="8" t="n"/>
      <c r="P134" s="9">
        <f>IF(I134&lt;&gt;"","Complete",IF(J134="","Not Started",IF(C134="Critical",IF(J134&lt;1,"On-Time","Overdue"),IF(C134="High",IF(J134&lt;2,"On-Time",IF(J134&lt;3,"At Risk","Overdue")),IF(J134&lt;8,"On-Time","At Risk")))))</f>
        <v/>
      </c>
      <c r="Q134" s="9">
        <f>IF(P134="Complete",IF(C134="Critical",IF(J134&lt;=0.17,"Met","Missed"),IF(C134="High",IF(J134&lt;=1,"Met","Missed"),IF(C134="Medium",IF(J134&lt;=7,"Met","Missed"),"N/A"))),"In Progress")</f>
        <v/>
      </c>
      <c r="R134" s="8" t="n"/>
    </row>
    <row r="135">
      <c r="A135" s="8" t="n"/>
      <c r="B135" s="8" t="n"/>
      <c r="C135" s="8" t="n"/>
      <c r="D135" s="8" t="n"/>
      <c r="E135" s="8" t="n"/>
      <c r="F135" s="8" t="n"/>
      <c r="G135" s="8" t="n"/>
      <c r="H135" s="8" t="n"/>
      <c r="I135" s="8" t="n"/>
      <c r="J135" s="9">
        <f>IF(OR(D135="",I135=""),"",I135-D135)</f>
        <v/>
      </c>
      <c r="K135" s="8" t="n"/>
      <c r="L135" s="8" t="n"/>
      <c r="M135" s="8" t="n"/>
      <c r="N135" s="8" t="n"/>
      <c r="O135" s="8" t="n"/>
      <c r="P135" s="9">
        <f>IF(I135&lt;&gt;"","Complete",IF(J135="","Not Started",IF(C135="Critical",IF(J135&lt;1,"On-Time","Overdue"),IF(C135="High",IF(J135&lt;2,"On-Time",IF(J135&lt;3,"At Risk","Overdue")),IF(J135&lt;8,"On-Time","At Risk")))))</f>
        <v/>
      </c>
      <c r="Q135" s="9">
        <f>IF(P135="Complete",IF(C135="Critical",IF(J135&lt;=0.17,"Met","Missed"),IF(C135="High",IF(J135&lt;=1,"Met","Missed"),IF(C135="Medium",IF(J135&lt;=7,"Met","Missed"),"N/A"))),"In Progress")</f>
        <v/>
      </c>
      <c r="R135" s="8" t="n"/>
    </row>
    <row r="136">
      <c r="A136" s="8" t="n"/>
      <c r="B136" s="8" t="n"/>
      <c r="C136" s="8" t="n"/>
      <c r="D136" s="8" t="n"/>
      <c r="E136" s="8" t="n"/>
      <c r="F136" s="8" t="n"/>
      <c r="G136" s="8" t="n"/>
      <c r="H136" s="8" t="n"/>
      <c r="I136" s="8" t="n"/>
      <c r="J136" s="9">
        <f>IF(OR(D136="",I136=""),"",I136-D136)</f>
        <v/>
      </c>
      <c r="K136" s="8" t="n"/>
      <c r="L136" s="8" t="n"/>
      <c r="M136" s="8" t="n"/>
      <c r="N136" s="8" t="n"/>
      <c r="O136" s="8" t="n"/>
      <c r="P136" s="9">
        <f>IF(I136&lt;&gt;"","Complete",IF(J136="","Not Started",IF(C136="Critical",IF(J136&lt;1,"On-Time","Overdue"),IF(C136="High",IF(J136&lt;2,"On-Time",IF(J136&lt;3,"At Risk","Overdue")),IF(J136&lt;8,"On-Time","At Risk")))))</f>
        <v/>
      </c>
      <c r="Q136" s="9">
        <f>IF(P136="Complete",IF(C136="Critical",IF(J136&lt;=0.17,"Met","Missed"),IF(C136="High",IF(J136&lt;=1,"Met","Missed"),IF(C136="Medium",IF(J136&lt;=7,"Met","Missed"),"N/A"))),"In Progress")</f>
        <v/>
      </c>
      <c r="R136" s="8" t="n"/>
    </row>
    <row r="137">
      <c r="A137" s="8" t="n"/>
      <c r="B137" s="8" t="n"/>
      <c r="C137" s="8" t="n"/>
      <c r="D137" s="8" t="n"/>
      <c r="E137" s="8" t="n"/>
      <c r="F137" s="8" t="n"/>
      <c r="G137" s="8" t="n"/>
      <c r="H137" s="8" t="n"/>
      <c r="I137" s="8" t="n"/>
      <c r="J137" s="9">
        <f>IF(OR(D137="",I137=""),"",I137-D137)</f>
        <v/>
      </c>
      <c r="K137" s="8" t="n"/>
      <c r="L137" s="8" t="n"/>
      <c r="M137" s="8" t="n"/>
      <c r="N137" s="8" t="n"/>
      <c r="O137" s="8" t="n"/>
      <c r="P137" s="9">
        <f>IF(I137&lt;&gt;"","Complete",IF(J137="","Not Started",IF(C137="Critical",IF(J137&lt;1,"On-Time","Overdue"),IF(C137="High",IF(J137&lt;2,"On-Time",IF(J137&lt;3,"At Risk","Overdue")),IF(J137&lt;8,"On-Time","At Risk")))))</f>
        <v/>
      </c>
      <c r="Q137" s="9">
        <f>IF(P137="Complete",IF(C137="Critical",IF(J137&lt;=0.17,"Met","Missed"),IF(C137="High",IF(J137&lt;=1,"Met","Missed"),IF(C137="Medium",IF(J137&lt;=7,"Met","Missed"),"N/A"))),"In Progress")</f>
        <v/>
      </c>
      <c r="R137" s="8" t="n"/>
    </row>
    <row r="138">
      <c r="A138" s="8" t="n"/>
      <c r="B138" s="8" t="n"/>
      <c r="C138" s="8" t="n"/>
      <c r="D138" s="8" t="n"/>
      <c r="E138" s="8" t="n"/>
      <c r="F138" s="8" t="n"/>
      <c r="G138" s="8" t="n"/>
      <c r="H138" s="8" t="n"/>
      <c r="I138" s="8" t="n"/>
      <c r="J138" s="9">
        <f>IF(OR(D138="",I138=""),"",I138-D138)</f>
        <v/>
      </c>
      <c r="K138" s="8" t="n"/>
      <c r="L138" s="8" t="n"/>
      <c r="M138" s="8" t="n"/>
      <c r="N138" s="8" t="n"/>
      <c r="O138" s="8" t="n"/>
      <c r="P138" s="9">
        <f>IF(I138&lt;&gt;"","Complete",IF(J138="","Not Started",IF(C138="Critical",IF(J138&lt;1,"On-Time","Overdue"),IF(C138="High",IF(J138&lt;2,"On-Time",IF(J138&lt;3,"At Risk","Overdue")),IF(J138&lt;8,"On-Time","At Risk")))))</f>
        <v/>
      </c>
      <c r="Q138" s="9">
        <f>IF(P138="Complete",IF(C138="Critical",IF(J138&lt;=0.17,"Met","Missed"),IF(C138="High",IF(J138&lt;=1,"Met","Missed"),IF(C138="Medium",IF(J138&lt;=7,"Met","Missed"),"N/A"))),"In Progress")</f>
        <v/>
      </c>
      <c r="R138" s="8" t="n"/>
    </row>
    <row r="139">
      <c r="A139" s="8" t="n"/>
      <c r="B139" s="8" t="n"/>
      <c r="C139" s="8" t="n"/>
      <c r="D139" s="8" t="n"/>
      <c r="E139" s="8" t="n"/>
      <c r="F139" s="8" t="n"/>
      <c r="G139" s="8" t="n"/>
      <c r="H139" s="8" t="n"/>
      <c r="I139" s="8" t="n"/>
      <c r="J139" s="9">
        <f>IF(OR(D139="",I139=""),"",I139-D139)</f>
        <v/>
      </c>
      <c r="K139" s="8" t="n"/>
      <c r="L139" s="8" t="n"/>
      <c r="M139" s="8" t="n"/>
      <c r="N139" s="8" t="n"/>
      <c r="O139" s="8" t="n"/>
      <c r="P139" s="9">
        <f>IF(I139&lt;&gt;"","Complete",IF(J139="","Not Started",IF(C139="Critical",IF(J139&lt;1,"On-Time","Overdue"),IF(C139="High",IF(J139&lt;2,"On-Time",IF(J139&lt;3,"At Risk","Overdue")),IF(J139&lt;8,"On-Time","At Risk")))))</f>
        <v/>
      </c>
      <c r="Q139" s="9">
        <f>IF(P139="Complete",IF(C139="Critical",IF(J139&lt;=0.17,"Met","Missed"),IF(C139="High",IF(J139&lt;=1,"Met","Missed"),IF(C139="Medium",IF(J139&lt;=7,"Met","Missed"),"N/A"))),"In Progress")</f>
        <v/>
      </c>
      <c r="R139" s="8" t="n"/>
    </row>
    <row r="140">
      <c r="A140" s="8" t="n"/>
      <c r="B140" s="8" t="n"/>
      <c r="C140" s="8" t="n"/>
      <c r="D140" s="8" t="n"/>
      <c r="E140" s="8" t="n"/>
      <c r="F140" s="8" t="n"/>
      <c r="G140" s="8" t="n"/>
      <c r="H140" s="8" t="n"/>
      <c r="I140" s="8" t="n"/>
      <c r="J140" s="9">
        <f>IF(OR(D140="",I140=""),"",I140-D140)</f>
        <v/>
      </c>
      <c r="K140" s="8" t="n"/>
      <c r="L140" s="8" t="n"/>
      <c r="M140" s="8" t="n"/>
      <c r="N140" s="8" t="n"/>
      <c r="O140" s="8" t="n"/>
      <c r="P140" s="9">
        <f>IF(I140&lt;&gt;"","Complete",IF(J140="","Not Started",IF(C140="Critical",IF(J140&lt;1,"On-Time","Overdue"),IF(C140="High",IF(J140&lt;2,"On-Time",IF(J140&lt;3,"At Risk","Overdue")),IF(J140&lt;8,"On-Time","At Risk")))))</f>
        <v/>
      </c>
      <c r="Q140" s="9">
        <f>IF(P140="Complete",IF(C140="Critical",IF(J140&lt;=0.17,"Met","Missed"),IF(C140="High",IF(J140&lt;=1,"Met","Missed"),IF(C140="Medium",IF(J140&lt;=7,"Met","Missed"),"N/A"))),"In Progress")</f>
        <v/>
      </c>
      <c r="R140" s="8" t="n"/>
    </row>
    <row r="141">
      <c r="A141" s="8" t="n"/>
      <c r="B141" s="8" t="n"/>
      <c r="C141" s="8" t="n"/>
      <c r="D141" s="8" t="n"/>
      <c r="E141" s="8" t="n"/>
      <c r="F141" s="8" t="n"/>
      <c r="G141" s="8" t="n"/>
      <c r="H141" s="8" t="n"/>
      <c r="I141" s="8" t="n"/>
      <c r="J141" s="9">
        <f>IF(OR(D141="",I141=""),"",I141-D141)</f>
        <v/>
      </c>
      <c r="K141" s="8" t="n"/>
      <c r="L141" s="8" t="n"/>
      <c r="M141" s="8" t="n"/>
      <c r="N141" s="8" t="n"/>
      <c r="O141" s="8" t="n"/>
      <c r="P141" s="9">
        <f>IF(I141&lt;&gt;"","Complete",IF(J141="","Not Started",IF(C141="Critical",IF(J141&lt;1,"On-Time","Overdue"),IF(C141="High",IF(J141&lt;2,"On-Time",IF(J141&lt;3,"At Risk","Overdue")),IF(J141&lt;8,"On-Time","At Risk")))))</f>
        <v/>
      </c>
      <c r="Q141" s="9">
        <f>IF(P141="Complete",IF(C141="Critical",IF(J141&lt;=0.17,"Met","Missed"),IF(C141="High",IF(J141&lt;=1,"Met","Missed"),IF(C141="Medium",IF(J141&lt;=7,"Met","Missed"),"N/A"))),"In Progress")</f>
        <v/>
      </c>
      <c r="R141" s="8" t="n"/>
    </row>
    <row r="142">
      <c r="A142" s="8" t="n"/>
      <c r="B142" s="8" t="n"/>
      <c r="C142" s="8" t="n"/>
      <c r="D142" s="8" t="n"/>
      <c r="E142" s="8" t="n"/>
      <c r="F142" s="8" t="n"/>
      <c r="G142" s="8" t="n"/>
      <c r="H142" s="8" t="n"/>
      <c r="I142" s="8" t="n"/>
      <c r="J142" s="9">
        <f>IF(OR(D142="",I142=""),"",I142-D142)</f>
        <v/>
      </c>
      <c r="K142" s="8" t="n"/>
      <c r="L142" s="8" t="n"/>
      <c r="M142" s="8" t="n"/>
      <c r="N142" s="8" t="n"/>
      <c r="O142" s="8" t="n"/>
      <c r="P142" s="9">
        <f>IF(I142&lt;&gt;"","Complete",IF(J142="","Not Started",IF(C142="Critical",IF(J142&lt;1,"On-Time","Overdue"),IF(C142="High",IF(J142&lt;2,"On-Time",IF(J142&lt;3,"At Risk","Overdue")),IF(J142&lt;8,"On-Time","At Risk")))))</f>
        <v/>
      </c>
      <c r="Q142" s="9">
        <f>IF(P142="Complete",IF(C142="Critical",IF(J142&lt;=0.17,"Met","Missed"),IF(C142="High",IF(J142&lt;=1,"Met","Missed"),IF(C142="Medium",IF(J142&lt;=7,"Met","Missed"),"N/A"))),"In Progress")</f>
        <v/>
      </c>
      <c r="R142" s="8" t="n"/>
    </row>
    <row r="143">
      <c r="A143" s="8" t="n"/>
      <c r="B143" s="8" t="n"/>
      <c r="C143" s="8" t="n"/>
      <c r="D143" s="8" t="n"/>
      <c r="E143" s="8" t="n"/>
      <c r="F143" s="8" t="n"/>
      <c r="G143" s="8" t="n"/>
      <c r="H143" s="8" t="n"/>
      <c r="I143" s="8" t="n"/>
      <c r="J143" s="9">
        <f>IF(OR(D143="",I143=""),"",I143-D143)</f>
        <v/>
      </c>
      <c r="K143" s="8" t="n"/>
      <c r="L143" s="8" t="n"/>
      <c r="M143" s="8" t="n"/>
      <c r="N143" s="8" t="n"/>
      <c r="O143" s="8" t="n"/>
      <c r="P143" s="9">
        <f>IF(I143&lt;&gt;"","Complete",IF(J143="","Not Started",IF(C143="Critical",IF(J143&lt;1,"On-Time","Overdue"),IF(C143="High",IF(J143&lt;2,"On-Time",IF(J143&lt;3,"At Risk","Overdue")),IF(J143&lt;8,"On-Time","At Risk")))))</f>
        <v/>
      </c>
      <c r="Q143" s="9">
        <f>IF(P143="Complete",IF(C143="Critical",IF(J143&lt;=0.17,"Met","Missed"),IF(C143="High",IF(J143&lt;=1,"Met","Missed"),IF(C143="Medium",IF(J143&lt;=7,"Met","Missed"),"N/A"))),"In Progress")</f>
        <v/>
      </c>
      <c r="R143" s="8" t="n"/>
    </row>
    <row r="144">
      <c r="A144" s="8" t="n"/>
      <c r="B144" s="8" t="n"/>
      <c r="C144" s="8" t="n"/>
      <c r="D144" s="8" t="n"/>
      <c r="E144" s="8" t="n"/>
      <c r="F144" s="8" t="n"/>
      <c r="G144" s="8" t="n"/>
      <c r="H144" s="8" t="n"/>
      <c r="I144" s="8" t="n"/>
      <c r="J144" s="9">
        <f>IF(OR(D144="",I144=""),"",I144-D144)</f>
        <v/>
      </c>
      <c r="K144" s="8" t="n"/>
      <c r="L144" s="8" t="n"/>
      <c r="M144" s="8" t="n"/>
      <c r="N144" s="8" t="n"/>
      <c r="O144" s="8" t="n"/>
      <c r="P144" s="9">
        <f>IF(I144&lt;&gt;"","Complete",IF(J144="","Not Started",IF(C144="Critical",IF(J144&lt;1,"On-Time","Overdue"),IF(C144="High",IF(J144&lt;2,"On-Time",IF(J144&lt;3,"At Risk","Overdue")),IF(J144&lt;8,"On-Time","At Risk")))))</f>
        <v/>
      </c>
      <c r="Q144" s="9">
        <f>IF(P144="Complete",IF(C144="Critical",IF(J144&lt;=0.17,"Met","Missed"),IF(C144="High",IF(J144&lt;=1,"Met","Missed"),IF(C144="Medium",IF(J144&lt;=7,"Met","Missed"),"N/A"))),"In Progress")</f>
        <v/>
      </c>
      <c r="R144" s="8" t="n"/>
    </row>
    <row r="145">
      <c r="A145" s="8" t="n"/>
      <c r="B145" s="8" t="n"/>
      <c r="C145" s="8" t="n"/>
      <c r="D145" s="8" t="n"/>
      <c r="E145" s="8" t="n"/>
      <c r="F145" s="8" t="n"/>
      <c r="G145" s="8" t="n"/>
      <c r="H145" s="8" t="n"/>
      <c r="I145" s="8" t="n"/>
      <c r="J145" s="9">
        <f>IF(OR(D145="",I145=""),"",I145-D145)</f>
        <v/>
      </c>
      <c r="K145" s="8" t="n"/>
      <c r="L145" s="8" t="n"/>
      <c r="M145" s="8" t="n"/>
      <c r="N145" s="8" t="n"/>
      <c r="O145" s="8" t="n"/>
      <c r="P145" s="9">
        <f>IF(I145&lt;&gt;"","Complete",IF(J145="","Not Started",IF(C145="Critical",IF(J145&lt;1,"On-Time","Overdue"),IF(C145="High",IF(J145&lt;2,"On-Time",IF(J145&lt;3,"At Risk","Overdue")),IF(J145&lt;8,"On-Time","At Risk")))))</f>
        <v/>
      </c>
      <c r="Q145" s="9">
        <f>IF(P145="Complete",IF(C145="Critical",IF(J145&lt;=0.17,"Met","Missed"),IF(C145="High",IF(J145&lt;=1,"Met","Missed"),IF(C145="Medium",IF(J145&lt;=7,"Met","Missed"),"N/A"))),"In Progress")</f>
        <v/>
      </c>
      <c r="R145" s="8" t="n"/>
    </row>
    <row r="146">
      <c r="A146" s="8" t="n"/>
      <c r="B146" s="8" t="n"/>
      <c r="C146" s="8" t="n"/>
      <c r="D146" s="8" t="n"/>
      <c r="E146" s="8" t="n"/>
      <c r="F146" s="8" t="n"/>
      <c r="G146" s="8" t="n"/>
      <c r="H146" s="8" t="n"/>
      <c r="I146" s="8" t="n"/>
      <c r="J146" s="9">
        <f>IF(OR(D146="",I146=""),"",I146-D146)</f>
        <v/>
      </c>
      <c r="K146" s="8" t="n"/>
      <c r="L146" s="8" t="n"/>
      <c r="M146" s="8" t="n"/>
      <c r="N146" s="8" t="n"/>
      <c r="O146" s="8" t="n"/>
      <c r="P146" s="9">
        <f>IF(I146&lt;&gt;"","Complete",IF(J146="","Not Started",IF(C146="Critical",IF(J146&lt;1,"On-Time","Overdue"),IF(C146="High",IF(J146&lt;2,"On-Time",IF(J146&lt;3,"At Risk","Overdue")),IF(J146&lt;8,"On-Time","At Risk")))))</f>
        <v/>
      </c>
      <c r="Q146" s="9">
        <f>IF(P146="Complete",IF(C146="Critical",IF(J146&lt;=0.17,"Met","Missed"),IF(C146="High",IF(J146&lt;=1,"Met","Missed"),IF(C146="Medium",IF(J146&lt;=7,"Met","Missed"),"N/A"))),"In Progress")</f>
        <v/>
      </c>
      <c r="R146" s="8" t="n"/>
    </row>
    <row r="147">
      <c r="A147" s="8" t="n"/>
      <c r="B147" s="8" t="n"/>
      <c r="C147" s="8" t="n"/>
      <c r="D147" s="8" t="n"/>
      <c r="E147" s="8" t="n"/>
      <c r="F147" s="8" t="n"/>
      <c r="G147" s="8" t="n"/>
      <c r="H147" s="8" t="n"/>
      <c r="I147" s="8" t="n"/>
      <c r="J147" s="9">
        <f>IF(OR(D147="",I147=""),"",I147-D147)</f>
        <v/>
      </c>
      <c r="K147" s="8" t="n"/>
      <c r="L147" s="8" t="n"/>
      <c r="M147" s="8" t="n"/>
      <c r="N147" s="8" t="n"/>
      <c r="O147" s="8" t="n"/>
      <c r="P147" s="9">
        <f>IF(I147&lt;&gt;"","Complete",IF(J147="","Not Started",IF(C147="Critical",IF(J147&lt;1,"On-Time","Overdue"),IF(C147="High",IF(J147&lt;2,"On-Time",IF(J147&lt;3,"At Risk","Overdue")),IF(J147&lt;8,"On-Time","At Risk")))))</f>
        <v/>
      </c>
      <c r="Q147" s="9">
        <f>IF(P147="Complete",IF(C147="Critical",IF(J147&lt;=0.17,"Met","Missed"),IF(C147="High",IF(J147&lt;=1,"Met","Missed"),IF(C147="Medium",IF(J147&lt;=7,"Met","Missed"),"N/A"))),"In Progress")</f>
        <v/>
      </c>
      <c r="R147" s="8" t="n"/>
    </row>
    <row r="148">
      <c r="A148" s="8" t="n"/>
      <c r="B148" s="8" t="n"/>
      <c r="C148" s="8" t="n"/>
      <c r="D148" s="8" t="n"/>
      <c r="E148" s="8" t="n"/>
      <c r="F148" s="8" t="n"/>
      <c r="G148" s="8" t="n"/>
      <c r="H148" s="8" t="n"/>
      <c r="I148" s="8" t="n"/>
      <c r="J148" s="9">
        <f>IF(OR(D148="",I148=""),"",I148-D148)</f>
        <v/>
      </c>
      <c r="K148" s="8" t="n"/>
      <c r="L148" s="8" t="n"/>
      <c r="M148" s="8" t="n"/>
      <c r="N148" s="8" t="n"/>
      <c r="O148" s="8" t="n"/>
      <c r="P148" s="9">
        <f>IF(I148&lt;&gt;"","Complete",IF(J148="","Not Started",IF(C148="Critical",IF(J148&lt;1,"On-Time","Overdue"),IF(C148="High",IF(J148&lt;2,"On-Time",IF(J148&lt;3,"At Risk","Overdue")),IF(J148&lt;8,"On-Time","At Risk")))))</f>
        <v/>
      </c>
      <c r="Q148" s="9">
        <f>IF(P148="Complete",IF(C148="Critical",IF(J148&lt;=0.17,"Met","Missed"),IF(C148="High",IF(J148&lt;=1,"Met","Missed"),IF(C148="Medium",IF(J148&lt;=7,"Met","Missed"),"N/A"))),"In Progress")</f>
        <v/>
      </c>
      <c r="R148" s="8" t="n"/>
    </row>
    <row r="149">
      <c r="A149" s="8" t="n"/>
      <c r="B149" s="8" t="n"/>
      <c r="C149" s="8" t="n"/>
      <c r="D149" s="8" t="n"/>
      <c r="E149" s="8" t="n"/>
      <c r="F149" s="8" t="n"/>
      <c r="G149" s="8" t="n"/>
      <c r="H149" s="8" t="n"/>
      <c r="I149" s="8" t="n"/>
      <c r="J149" s="9">
        <f>IF(OR(D149="",I149=""),"",I149-D149)</f>
        <v/>
      </c>
      <c r="K149" s="8" t="n"/>
      <c r="L149" s="8" t="n"/>
      <c r="M149" s="8" t="n"/>
      <c r="N149" s="8" t="n"/>
      <c r="O149" s="8" t="n"/>
      <c r="P149" s="9">
        <f>IF(I149&lt;&gt;"","Complete",IF(J149="","Not Started",IF(C149="Critical",IF(J149&lt;1,"On-Time","Overdue"),IF(C149="High",IF(J149&lt;2,"On-Time",IF(J149&lt;3,"At Risk","Overdue")),IF(J149&lt;8,"On-Time","At Risk")))))</f>
        <v/>
      </c>
      <c r="Q149" s="9">
        <f>IF(P149="Complete",IF(C149="Critical",IF(J149&lt;=0.17,"Met","Missed"),IF(C149="High",IF(J149&lt;=1,"Met","Missed"),IF(C149="Medium",IF(J149&lt;=7,"Met","Missed"),"N/A"))),"In Progress")</f>
        <v/>
      </c>
      <c r="R149" s="8" t="n"/>
    </row>
    <row r="150">
      <c r="A150" s="8" t="n"/>
      <c r="B150" s="8" t="n"/>
      <c r="C150" s="8" t="n"/>
      <c r="D150" s="8" t="n"/>
      <c r="E150" s="8" t="n"/>
      <c r="F150" s="8" t="n"/>
      <c r="G150" s="8" t="n"/>
      <c r="H150" s="8" t="n"/>
      <c r="I150" s="8" t="n"/>
      <c r="J150" s="9">
        <f>IF(OR(D150="",I150=""),"",I150-D150)</f>
        <v/>
      </c>
      <c r="K150" s="8" t="n"/>
      <c r="L150" s="8" t="n"/>
      <c r="M150" s="8" t="n"/>
      <c r="N150" s="8" t="n"/>
      <c r="O150" s="8" t="n"/>
      <c r="P150" s="9">
        <f>IF(I150&lt;&gt;"","Complete",IF(J150="","Not Started",IF(C150="Critical",IF(J150&lt;1,"On-Time","Overdue"),IF(C150="High",IF(J150&lt;2,"On-Time",IF(J150&lt;3,"At Risk","Overdue")),IF(J150&lt;8,"On-Time","At Risk")))))</f>
        <v/>
      </c>
      <c r="Q150" s="9">
        <f>IF(P150="Complete",IF(C150="Critical",IF(J150&lt;=0.17,"Met","Missed"),IF(C150="High",IF(J150&lt;=1,"Met","Missed"),IF(C150="Medium",IF(J150&lt;=7,"Met","Missed"),"N/A"))),"In Progress")</f>
        <v/>
      </c>
      <c r="R150" s="8" t="n"/>
    </row>
    <row r="151">
      <c r="A151" s="8" t="n"/>
      <c r="B151" s="8" t="n"/>
      <c r="C151" s="8" t="n"/>
      <c r="D151" s="8" t="n"/>
      <c r="E151" s="8" t="n"/>
      <c r="F151" s="8" t="n"/>
      <c r="G151" s="8" t="n"/>
      <c r="H151" s="8" t="n"/>
      <c r="I151" s="8" t="n"/>
      <c r="J151" s="9">
        <f>IF(OR(D151="",I151=""),"",I151-D151)</f>
        <v/>
      </c>
      <c r="K151" s="8" t="n"/>
      <c r="L151" s="8" t="n"/>
      <c r="M151" s="8" t="n"/>
      <c r="N151" s="8" t="n"/>
      <c r="O151" s="8" t="n"/>
      <c r="P151" s="9">
        <f>IF(I151&lt;&gt;"","Complete",IF(J151="","Not Started",IF(C151="Critical",IF(J151&lt;1,"On-Time","Overdue"),IF(C151="High",IF(J151&lt;2,"On-Time",IF(J151&lt;3,"At Risk","Overdue")),IF(J151&lt;8,"On-Time","At Risk")))))</f>
        <v/>
      </c>
      <c r="Q151" s="9">
        <f>IF(P151="Complete",IF(C151="Critical",IF(J151&lt;=0.17,"Met","Missed"),IF(C151="High",IF(J151&lt;=1,"Met","Missed"),IF(C151="Medium",IF(J151&lt;=7,"Met","Missed"),"N/A"))),"In Progress")</f>
        <v/>
      </c>
      <c r="R151" s="8" t="n"/>
    </row>
    <row r="152">
      <c r="A152" s="8" t="n"/>
      <c r="B152" s="8" t="n"/>
      <c r="C152" s="8" t="n"/>
      <c r="D152" s="8" t="n"/>
      <c r="E152" s="8" t="n"/>
      <c r="F152" s="8" t="n"/>
      <c r="G152" s="8" t="n"/>
      <c r="H152" s="8" t="n"/>
      <c r="I152" s="8" t="n"/>
      <c r="J152" s="9">
        <f>IF(OR(D152="",I152=""),"",I152-D152)</f>
        <v/>
      </c>
      <c r="K152" s="8" t="n"/>
      <c r="L152" s="8" t="n"/>
      <c r="M152" s="8" t="n"/>
      <c r="N152" s="8" t="n"/>
      <c r="O152" s="8" t="n"/>
      <c r="P152" s="9">
        <f>IF(I152&lt;&gt;"","Complete",IF(J152="","Not Started",IF(C152="Critical",IF(J152&lt;1,"On-Time","Overdue"),IF(C152="High",IF(J152&lt;2,"On-Time",IF(J152&lt;3,"At Risk","Overdue")),IF(J152&lt;8,"On-Time","At Risk")))))</f>
        <v/>
      </c>
      <c r="Q152" s="9">
        <f>IF(P152="Complete",IF(C152="Critical",IF(J152&lt;=0.17,"Met","Missed"),IF(C152="High",IF(J152&lt;=1,"Met","Missed"),IF(C152="Medium",IF(J152&lt;=7,"Met","Missed"),"N/A"))),"In Progress")</f>
        <v/>
      </c>
      <c r="R152" s="8" t="n"/>
    </row>
  </sheetData>
  <mergeCells count="1">
    <mergeCell ref="A1:R1"/>
  </mergeCells>
  <conditionalFormatting sqref="C3:C152">
    <cfRule type="cellIs" priority="1" operator="equal" dxfId="0">
      <formula>"Critical"</formula>
    </cfRule>
  </conditionalFormatting>
  <conditionalFormatting sqref="P3:P152">
    <cfRule type="cellIs" priority="2" operator="equal" dxfId="3">
      <formula>"Complete"</formula>
    </cfRule>
    <cfRule type="cellIs" priority="3" operator="equal" dxfId="5">
      <formula>"Overdue"</formula>
    </cfRule>
  </conditionalFormatting>
  <conditionalFormatting sqref="Q3:Q152">
    <cfRule type="cellIs" priority="4" operator="equal" dxfId="6">
      <formula>"Met"</formula>
    </cfRule>
    <cfRule type="cellIs" priority="5" operator="equal" dxfId="7">
      <formula>"Missed"</formula>
    </cfRule>
  </conditionalFormatting>
  <conditionalFormatting sqref="M3:M152">
    <cfRule type="cellIs" priority="6" operator="equal" dxfId="3">
      <formula>"Passed"</formula>
    </cfRule>
    <cfRule type="cellIs" priority="7" operator="equal" dxfId="1">
      <formula>"Failed"</formula>
    </cfRule>
  </conditionalFormatting>
  <dataValidations count="5">
    <dataValidation sqref="C3:C152" showDropDown="0" showInputMessage="0" showErrorMessage="0" allowBlank="0" errorTitle="Invalid Entry" error="Invalid entry" promptTitle="Selection Required" prompt="Please select from the dropdown" type="list">
      <formula1>"🔴 Critical,🟡 High,🟢 Medium,⭕ Low,ℹ️ Informational"</formula1>
    </dataValidation>
    <dataValidation sqref="G3:G152" showDropDown="0" showInputMessage="0" showErrorMessage="0" allowBlank="0" errorTitle="Invalid Entry" error="Invalid entry" promptTitle="Selection Required" prompt="Please select from the dropdown" type="list">
      <formula1>"Reverted to Baseline,Updated Baseline,Authorized Retroactively,No Action (False Positive),Other"</formula1>
    </dataValidation>
    <dataValidation sqref="K3:K152" showDropDown="0" showInputMessage="0" showErrorMessage="0" allowBlank="1" errorTitle="Invalid Entry" error="Invalid entry" promptTitle="Selection Required" prompt="Please select from the dropdown" type="list">
      <formula1>"Automated Re-Scan,Manual Verification,Monitoring Tool Confirmation,User Validation"</formula1>
    </dataValidation>
    <dataValidation sqref="M3:M152" showDropDown="0" showInputMessage="0" showErrorMessage="0" allowBlank="1" errorTitle="Invalid Entry" error="Invalid entry" promptTitle="Selection Required" prompt="Please select from the dropdown" type="list">
      <formula1>"✅ Passed,❌ Failed,⚠️ Partially Successful,❓ Not Yet Verified"</formula1>
    </dataValidation>
    <dataValidation sqref="O3:O152" showDropDown="0" showInputMessage="0" showErrorMessage="0" allowBlank="1" errorTitle="Invalid Entry" error="Invalid entry" promptTitle="Selection Required" prompt="Please select from the dropdown" type="list">
      <formula1>"Baseline Updated,Change Control Enforced,Tool Fixed,Process Improved,Training Provided,Other"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18" customWidth="1" min="4" max="4"/>
    <col width="25" customWidth="1" min="5" max="5"/>
    <col width="40" customWidth="1" min="6" max="6"/>
    <col width="25" customWidth="1" min="7" max="7"/>
    <col width="40" customWidth="1" min="8" max="8"/>
    <col width="15" customWidth="1" min="9" max="9"/>
    <col width="20" customWidth="1" min="10" max="10"/>
    <col width="25" customWidth="1" min="11" max="11"/>
    <col width="35" customWidth="1" min="12" max="12"/>
    <col width="15" customWidth="1" min="13" max="13"/>
    <col width="20" customWidth="1" min="14" max="14"/>
    <col width="15" customWidth="1" min="15" max="15"/>
    <col width="25" customWidth="1" min="16" max="16"/>
    <col width="35" customWidth="1" min="17" max="17"/>
  </cols>
  <sheetData>
    <row r="1" ht="30" customHeight="1">
      <c r="A1" s="7" t="inlineStr">
        <is>
          <t>False Positive Register - Alert Quality Tracking</t>
        </is>
      </c>
    </row>
    <row r="2" ht="30" customHeight="1">
      <c r="A2" s="6" t="inlineStr">
        <is>
          <t>False Positive ID</t>
        </is>
      </c>
      <c r="B2" s="6" t="inlineStr">
        <is>
          <t>Alert Date</t>
        </is>
      </c>
      <c r="C2" s="6" t="inlineStr">
        <is>
          <t>Monitoring Tool</t>
        </is>
      </c>
      <c r="D2" s="6" t="inlineStr">
        <is>
          <t>Asset ID</t>
        </is>
      </c>
      <c r="E2" s="6" t="inlineStr">
        <is>
          <t>Alert Type</t>
        </is>
      </c>
      <c r="F2" s="6" t="inlineStr">
        <is>
          <t>Alert Message</t>
        </is>
      </c>
      <c r="G2" s="6" t="inlineStr">
        <is>
          <t>False Positive Reason</t>
        </is>
      </c>
      <c r="H2" s="6" t="inlineStr">
        <is>
          <t>False Positive Detail</t>
        </is>
      </c>
      <c r="I2" s="6" t="inlineStr">
        <is>
          <t>Investigation Date</t>
        </is>
      </c>
      <c r="J2" s="6" t="inlineStr">
        <is>
          <t>Investigated By</t>
        </is>
      </c>
      <c r="K2" s="6" t="inlineStr">
        <is>
          <t>Tuning Action Taken</t>
        </is>
      </c>
      <c r="L2" s="6" t="inlineStr">
        <is>
          <t>Tuning Action Detail</t>
        </is>
      </c>
      <c r="M2" s="6" t="inlineStr">
        <is>
          <t>Tuning Completed Date</t>
        </is>
      </c>
      <c r="N2" s="6" t="inlineStr">
        <is>
          <t>Recurrence Status</t>
        </is>
      </c>
      <c r="O2" s="6" t="inlineStr">
        <is>
          <t>Last Recurrence Date</t>
        </is>
      </c>
      <c r="P2" s="6" t="inlineStr">
        <is>
          <t>False Positive Category</t>
        </is>
      </c>
      <c r="Q2" s="6" t="inlineStr">
        <is>
          <t>Notes</t>
        </is>
      </c>
    </row>
    <row r="3">
      <c r="A3" s="8" t="n"/>
      <c r="B3" s="8" t="n"/>
      <c r="C3" s="8" t="n"/>
      <c r="D3" s="8" t="n"/>
      <c r="E3" s="8" t="n"/>
      <c r="F3" s="8" t="n"/>
      <c r="G3" s="8" t="n"/>
      <c r="H3" s="8" t="n"/>
      <c r="I3" s="8" t="n"/>
      <c r="J3" s="8" t="n"/>
      <c r="K3" s="8" t="n"/>
      <c r="L3" s="8" t="n"/>
      <c r="M3" s="8" t="n"/>
      <c r="N3" s="8" t="n"/>
      <c r="O3" s="8" t="n"/>
      <c r="P3" s="9">
        <f>IF(OR(G3="Tool Misconfiguration",G3="Tool Bug"),"Systemic (tool issue)",IF(G3="Incorrect Baseline","Baseline Issue","One-Time (environmental)"))</f>
        <v/>
      </c>
      <c r="Q3" s="8" t="n"/>
    </row>
    <row r="4">
      <c r="A4" s="8" t="n"/>
      <c r="B4" s="8" t="n"/>
      <c r="C4" s="8" t="n"/>
      <c r="D4" s="8" t="n"/>
      <c r="E4" s="8" t="n"/>
      <c r="F4" s="8" t="n"/>
      <c r="G4" s="8" t="n"/>
      <c r="H4" s="8" t="n"/>
      <c r="I4" s="8" t="n"/>
      <c r="J4" s="8" t="n"/>
      <c r="K4" s="8" t="n"/>
      <c r="L4" s="8" t="n"/>
      <c r="M4" s="8" t="n"/>
      <c r="N4" s="8" t="n"/>
      <c r="O4" s="8" t="n"/>
      <c r="P4" s="9">
        <f>IF(OR(G4="Tool Misconfiguration",G4="Tool Bug"),"Systemic (tool issue)",IF(G4="Incorrect Baseline","Baseline Issue","One-Time (environmental)"))</f>
        <v/>
      </c>
      <c r="Q4" s="8" t="n"/>
    </row>
    <row r="5">
      <c r="A5" s="8" t="n"/>
      <c r="B5" s="8" t="n"/>
      <c r="C5" s="8" t="n"/>
      <c r="D5" s="8" t="n"/>
      <c r="E5" s="8" t="n"/>
      <c r="F5" s="8" t="n"/>
      <c r="G5" s="8" t="n"/>
      <c r="H5" s="8" t="n"/>
      <c r="I5" s="8" t="n"/>
      <c r="J5" s="8" t="n"/>
      <c r="K5" s="8" t="n"/>
      <c r="L5" s="8" t="n"/>
      <c r="M5" s="8" t="n"/>
      <c r="N5" s="8" t="n"/>
      <c r="O5" s="8" t="n"/>
      <c r="P5" s="9">
        <f>IF(OR(G5="Tool Misconfiguration",G5="Tool Bug"),"Systemic (tool issue)",IF(G5="Incorrect Baseline","Baseline Issue","One-Time (environmental)"))</f>
        <v/>
      </c>
      <c r="Q5" s="8" t="n"/>
    </row>
    <row r="6">
      <c r="A6" s="8" t="n"/>
      <c r="B6" s="8" t="n"/>
      <c r="C6" s="8" t="n"/>
      <c r="D6" s="8" t="n"/>
      <c r="E6" s="8" t="n"/>
      <c r="F6" s="8" t="n"/>
      <c r="G6" s="8" t="n"/>
      <c r="H6" s="8" t="n"/>
      <c r="I6" s="8" t="n"/>
      <c r="J6" s="8" t="n"/>
      <c r="K6" s="8" t="n"/>
      <c r="L6" s="8" t="n"/>
      <c r="M6" s="8" t="n"/>
      <c r="N6" s="8" t="n"/>
      <c r="O6" s="8" t="n"/>
      <c r="P6" s="9">
        <f>IF(OR(G6="Tool Misconfiguration",G6="Tool Bug"),"Systemic (tool issue)",IF(G6="Incorrect Baseline","Baseline Issue","One-Time (environmental)"))</f>
        <v/>
      </c>
      <c r="Q6" s="8" t="n"/>
    </row>
    <row r="7">
      <c r="A7" s="8" t="n"/>
      <c r="B7" s="8" t="n"/>
      <c r="C7" s="8" t="n"/>
      <c r="D7" s="8" t="n"/>
      <c r="E7" s="8" t="n"/>
      <c r="F7" s="8" t="n"/>
      <c r="G7" s="8" t="n"/>
      <c r="H7" s="8" t="n"/>
      <c r="I7" s="8" t="n"/>
      <c r="J7" s="8" t="n"/>
      <c r="K7" s="8" t="n"/>
      <c r="L7" s="8" t="n"/>
      <c r="M7" s="8" t="n"/>
      <c r="N7" s="8" t="n"/>
      <c r="O7" s="8" t="n"/>
      <c r="P7" s="9">
        <f>IF(OR(G7="Tool Misconfiguration",G7="Tool Bug"),"Systemic (tool issue)",IF(G7="Incorrect Baseline","Baseline Issue","One-Time (environmental)"))</f>
        <v/>
      </c>
      <c r="Q7" s="8" t="n"/>
    </row>
    <row r="8">
      <c r="A8" s="8" t="n"/>
      <c r="B8" s="8" t="n"/>
      <c r="C8" s="8" t="n"/>
      <c r="D8" s="8" t="n"/>
      <c r="E8" s="8" t="n"/>
      <c r="F8" s="8" t="n"/>
      <c r="G8" s="8" t="n"/>
      <c r="H8" s="8" t="n"/>
      <c r="I8" s="8" t="n"/>
      <c r="J8" s="8" t="n"/>
      <c r="K8" s="8" t="n"/>
      <c r="L8" s="8" t="n"/>
      <c r="M8" s="8" t="n"/>
      <c r="N8" s="8" t="n"/>
      <c r="O8" s="8" t="n"/>
      <c r="P8" s="9">
        <f>IF(OR(G8="Tool Misconfiguration",G8="Tool Bug"),"Systemic (tool issue)",IF(G8="Incorrect Baseline","Baseline Issue","One-Time (environmental)"))</f>
        <v/>
      </c>
      <c r="Q8" s="8" t="n"/>
    </row>
    <row r="9">
      <c r="A9" s="8" t="n"/>
      <c r="B9" s="8" t="n"/>
      <c r="C9" s="8" t="n"/>
      <c r="D9" s="8" t="n"/>
      <c r="E9" s="8" t="n"/>
      <c r="F9" s="8" t="n"/>
      <c r="G9" s="8" t="n"/>
      <c r="H9" s="8" t="n"/>
      <c r="I9" s="8" t="n"/>
      <c r="J9" s="8" t="n"/>
      <c r="K9" s="8" t="n"/>
      <c r="L9" s="8" t="n"/>
      <c r="M9" s="8" t="n"/>
      <c r="N9" s="8" t="n"/>
      <c r="O9" s="8" t="n"/>
      <c r="P9" s="9">
        <f>IF(OR(G9="Tool Misconfiguration",G9="Tool Bug"),"Systemic (tool issue)",IF(G9="Incorrect Baseline","Baseline Issue","One-Time (environmental)"))</f>
        <v/>
      </c>
      <c r="Q9" s="8" t="n"/>
    </row>
    <row r="10">
      <c r="A10" s="8" t="n"/>
      <c r="B10" s="8" t="n"/>
      <c r="C10" s="8" t="n"/>
      <c r="D10" s="8" t="n"/>
      <c r="E10" s="8" t="n"/>
      <c r="F10" s="8" t="n"/>
      <c r="G10" s="8" t="n"/>
      <c r="H10" s="8" t="n"/>
      <c r="I10" s="8" t="n"/>
      <c r="J10" s="8" t="n"/>
      <c r="K10" s="8" t="n"/>
      <c r="L10" s="8" t="n"/>
      <c r="M10" s="8" t="n"/>
      <c r="N10" s="8" t="n"/>
      <c r="O10" s="8" t="n"/>
      <c r="P10" s="9">
        <f>IF(OR(G10="Tool Misconfiguration",G10="Tool Bug"),"Systemic (tool issue)",IF(G10="Incorrect Baseline","Baseline Issue","One-Time (environmental)"))</f>
        <v/>
      </c>
      <c r="Q10" s="8" t="n"/>
    </row>
    <row r="11">
      <c r="A11" s="8" t="n"/>
      <c r="B11" s="8" t="n"/>
      <c r="C11" s="8" t="n"/>
      <c r="D11" s="8" t="n"/>
      <c r="E11" s="8" t="n"/>
      <c r="F11" s="8" t="n"/>
      <c r="G11" s="8" t="n"/>
      <c r="H11" s="8" t="n"/>
      <c r="I11" s="8" t="n"/>
      <c r="J11" s="8" t="n"/>
      <c r="K11" s="8" t="n"/>
      <c r="L11" s="8" t="n"/>
      <c r="M11" s="8" t="n"/>
      <c r="N11" s="8" t="n"/>
      <c r="O11" s="8" t="n"/>
      <c r="P11" s="9">
        <f>IF(OR(G11="Tool Misconfiguration",G11="Tool Bug"),"Systemic (tool issue)",IF(G11="Incorrect Baseline","Baseline Issue","One-Time (environmental)"))</f>
        <v/>
      </c>
      <c r="Q11" s="8" t="n"/>
    </row>
    <row r="12">
      <c r="A12" s="8" t="n"/>
      <c r="B12" s="8" t="n"/>
      <c r="C12" s="8" t="n"/>
      <c r="D12" s="8" t="n"/>
      <c r="E12" s="8" t="n"/>
      <c r="F12" s="8" t="n"/>
      <c r="G12" s="8" t="n"/>
      <c r="H12" s="8" t="n"/>
      <c r="I12" s="8" t="n"/>
      <c r="J12" s="8" t="n"/>
      <c r="K12" s="8" t="n"/>
      <c r="L12" s="8" t="n"/>
      <c r="M12" s="8" t="n"/>
      <c r="N12" s="8" t="n"/>
      <c r="O12" s="8" t="n"/>
      <c r="P12" s="9">
        <f>IF(OR(G12="Tool Misconfiguration",G12="Tool Bug"),"Systemic (tool issue)",IF(G12="Incorrect Baseline","Baseline Issue","One-Time (environmental)"))</f>
        <v/>
      </c>
      <c r="Q12" s="8" t="n"/>
    </row>
    <row r="13">
      <c r="A13" s="8" t="n"/>
      <c r="B13" s="8" t="n"/>
      <c r="C13" s="8" t="n"/>
      <c r="D13" s="8" t="n"/>
      <c r="E13" s="8" t="n"/>
      <c r="F13" s="8" t="n"/>
      <c r="G13" s="8" t="n"/>
      <c r="H13" s="8" t="n"/>
      <c r="I13" s="8" t="n"/>
      <c r="J13" s="8" t="n"/>
      <c r="K13" s="8" t="n"/>
      <c r="L13" s="8" t="n"/>
      <c r="M13" s="8" t="n"/>
      <c r="N13" s="8" t="n"/>
      <c r="O13" s="8" t="n"/>
      <c r="P13" s="9">
        <f>IF(OR(G13="Tool Misconfiguration",G13="Tool Bug"),"Systemic (tool issue)",IF(G13="Incorrect Baseline","Baseline Issue","One-Time (environmental)"))</f>
        <v/>
      </c>
      <c r="Q13" s="8" t="n"/>
    </row>
    <row r="14">
      <c r="A14" s="8" t="n"/>
      <c r="B14" s="8" t="n"/>
      <c r="C14" s="8" t="n"/>
      <c r="D14" s="8" t="n"/>
      <c r="E14" s="8" t="n"/>
      <c r="F14" s="8" t="n"/>
      <c r="G14" s="8" t="n"/>
      <c r="H14" s="8" t="n"/>
      <c r="I14" s="8" t="n"/>
      <c r="J14" s="8" t="n"/>
      <c r="K14" s="8" t="n"/>
      <c r="L14" s="8" t="n"/>
      <c r="M14" s="8" t="n"/>
      <c r="N14" s="8" t="n"/>
      <c r="O14" s="8" t="n"/>
      <c r="P14" s="9">
        <f>IF(OR(G14="Tool Misconfiguration",G14="Tool Bug"),"Systemic (tool issue)",IF(G14="Incorrect Baseline","Baseline Issue","One-Time (environmental)"))</f>
        <v/>
      </c>
      <c r="Q14" s="8" t="n"/>
    </row>
    <row r="15">
      <c r="A15" s="8" t="n"/>
      <c r="B15" s="8" t="n"/>
      <c r="C15" s="8" t="n"/>
      <c r="D15" s="8" t="n"/>
      <c r="E15" s="8" t="n"/>
      <c r="F15" s="8" t="n"/>
      <c r="G15" s="8" t="n"/>
      <c r="H15" s="8" t="n"/>
      <c r="I15" s="8" t="n"/>
      <c r="J15" s="8" t="n"/>
      <c r="K15" s="8" t="n"/>
      <c r="L15" s="8" t="n"/>
      <c r="M15" s="8" t="n"/>
      <c r="N15" s="8" t="n"/>
      <c r="O15" s="8" t="n"/>
      <c r="P15" s="9">
        <f>IF(OR(G15="Tool Misconfiguration",G15="Tool Bug"),"Systemic (tool issue)",IF(G15="Incorrect Baseline","Baseline Issue","One-Time (environmental)"))</f>
        <v/>
      </c>
      <c r="Q15" s="8" t="n"/>
    </row>
    <row r="16">
      <c r="A16" s="8" t="n"/>
      <c r="B16" s="8" t="n"/>
      <c r="C16" s="8" t="n"/>
      <c r="D16" s="8" t="n"/>
      <c r="E16" s="8" t="n"/>
      <c r="F16" s="8" t="n"/>
      <c r="G16" s="8" t="n"/>
      <c r="H16" s="8" t="n"/>
      <c r="I16" s="8" t="n"/>
      <c r="J16" s="8" t="n"/>
      <c r="K16" s="8" t="n"/>
      <c r="L16" s="8" t="n"/>
      <c r="M16" s="8" t="n"/>
      <c r="N16" s="8" t="n"/>
      <c r="O16" s="8" t="n"/>
      <c r="P16" s="9">
        <f>IF(OR(G16="Tool Misconfiguration",G16="Tool Bug"),"Systemic (tool issue)",IF(G16="Incorrect Baseline","Baseline Issue","One-Time (environmental)"))</f>
        <v/>
      </c>
      <c r="Q16" s="8" t="n"/>
    </row>
    <row r="17">
      <c r="A17" s="8" t="n"/>
      <c r="B17" s="8" t="n"/>
      <c r="C17" s="8" t="n"/>
      <c r="D17" s="8" t="n"/>
      <c r="E17" s="8" t="n"/>
      <c r="F17" s="8" t="n"/>
      <c r="G17" s="8" t="n"/>
      <c r="H17" s="8" t="n"/>
      <c r="I17" s="8" t="n"/>
      <c r="J17" s="8" t="n"/>
      <c r="K17" s="8" t="n"/>
      <c r="L17" s="8" t="n"/>
      <c r="M17" s="8" t="n"/>
      <c r="N17" s="8" t="n"/>
      <c r="O17" s="8" t="n"/>
      <c r="P17" s="9">
        <f>IF(OR(G17="Tool Misconfiguration",G17="Tool Bug"),"Systemic (tool issue)",IF(G17="Incorrect Baseline","Baseline Issue","One-Time (environmental)"))</f>
        <v/>
      </c>
      <c r="Q17" s="8" t="n"/>
    </row>
    <row r="18">
      <c r="A18" s="8" t="n"/>
      <c r="B18" s="8" t="n"/>
      <c r="C18" s="8" t="n"/>
      <c r="D18" s="8" t="n"/>
      <c r="E18" s="8" t="n"/>
      <c r="F18" s="8" t="n"/>
      <c r="G18" s="8" t="n"/>
      <c r="H18" s="8" t="n"/>
      <c r="I18" s="8" t="n"/>
      <c r="J18" s="8" t="n"/>
      <c r="K18" s="8" t="n"/>
      <c r="L18" s="8" t="n"/>
      <c r="M18" s="8" t="n"/>
      <c r="N18" s="8" t="n"/>
      <c r="O18" s="8" t="n"/>
      <c r="P18" s="9">
        <f>IF(OR(G18="Tool Misconfiguration",G18="Tool Bug"),"Systemic (tool issue)",IF(G18="Incorrect Baseline","Baseline Issue","One-Time (environmental)"))</f>
        <v/>
      </c>
      <c r="Q18" s="8" t="n"/>
    </row>
    <row r="19">
      <c r="A19" s="8" t="n"/>
      <c r="B19" s="8" t="n"/>
      <c r="C19" s="8" t="n"/>
      <c r="D19" s="8" t="n"/>
      <c r="E19" s="8" t="n"/>
      <c r="F19" s="8" t="n"/>
      <c r="G19" s="8" t="n"/>
      <c r="H19" s="8" t="n"/>
      <c r="I19" s="8" t="n"/>
      <c r="J19" s="8" t="n"/>
      <c r="K19" s="8" t="n"/>
      <c r="L19" s="8" t="n"/>
      <c r="M19" s="8" t="n"/>
      <c r="N19" s="8" t="n"/>
      <c r="O19" s="8" t="n"/>
      <c r="P19" s="9">
        <f>IF(OR(G19="Tool Misconfiguration",G19="Tool Bug"),"Systemic (tool issue)",IF(G19="Incorrect Baseline","Baseline Issue","One-Time (environmental)"))</f>
        <v/>
      </c>
      <c r="Q19" s="8" t="n"/>
    </row>
    <row r="20">
      <c r="A20" s="8" t="n"/>
      <c r="B20" s="8" t="n"/>
      <c r="C20" s="8" t="n"/>
      <c r="D20" s="8" t="n"/>
      <c r="E20" s="8" t="n"/>
      <c r="F20" s="8" t="n"/>
      <c r="G20" s="8" t="n"/>
      <c r="H20" s="8" t="n"/>
      <c r="I20" s="8" t="n"/>
      <c r="J20" s="8" t="n"/>
      <c r="K20" s="8" t="n"/>
      <c r="L20" s="8" t="n"/>
      <c r="M20" s="8" t="n"/>
      <c r="N20" s="8" t="n"/>
      <c r="O20" s="8" t="n"/>
      <c r="P20" s="9">
        <f>IF(OR(G20="Tool Misconfiguration",G20="Tool Bug"),"Systemic (tool issue)",IF(G20="Incorrect Baseline","Baseline Issue","One-Time (environmental)"))</f>
        <v/>
      </c>
      <c r="Q20" s="8" t="n"/>
    </row>
    <row r="21">
      <c r="A21" s="8" t="n"/>
      <c r="B21" s="8" t="n"/>
      <c r="C21" s="8" t="n"/>
      <c r="D21" s="8" t="n"/>
      <c r="E21" s="8" t="n"/>
      <c r="F21" s="8" t="n"/>
      <c r="G21" s="8" t="n"/>
      <c r="H21" s="8" t="n"/>
      <c r="I21" s="8" t="n"/>
      <c r="J21" s="8" t="n"/>
      <c r="K21" s="8" t="n"/>
      <c r="L21" s="8" t="n"/>
      <c r="M21" s="8" t="n"/>
      <c r="N21" s="8" t="n"/>
      <c r="O21" s="8" t="n"/>
      <c r="P21" s="9">
        <f>IF(OR(G21="Tool Misconfiguration",G21="Tool Bug"),"Systemic (tool issue)",IF(G21="Incorrect Baseline","Baseline Issue","One-Time (environmental)"))</f>
        <v/>
      </c>
      <c r="Q21" s="8" t="n"/>
    </row>
    <row r="22">
      <c r="A22" s="8" t="n"/>
      <c r="B22" s="8" t="n"/>
      <c r="C22" s="8" t="n"/>
      <c r="D22" s="8" t="n"/>
      <c r="E22" s="8" t="n"/>
      <c r="F22" s="8" t="n"/>
      <c r="G22" s="8" t="n"/>
      <c r="H22" s="8" t="n"/>
      <c r="I22" s="8" t="n"/>
      <c r="J22" s="8" t="n"/>
      <c r="K22" s="8" t="n"/>
      <c r="L22" s="8" t="n"/>
      <c r="M22" s="8" t="n"/>
      <c r="N22" s="8" t="n"/>
      <c r="O22" s="8" t="n"/>
      <c r="P22" s="9">
        <f>IF(OR(G22="Tool Misconfiguration",G22="Tool Bug"),"Systemic (tool issue)",IF(G22="Incorrect Baseline","Baseline Issue","One-Time (environmental)"))</f>
        <v/>
      </c>
      <c r="Q22" s="8" t="n"/>
    </row>
    <row r="23">
      <c r="A23" s="8" t="n"/>
      <c r="B23" s="8" t="n"/>
      <c r="C23" s="8" t="n"/>
      <c r="D23" s="8" t="n"/>
      <c r="E23" s="8" t="n"/>
      <c r="F23" s="8" t="n"/>
      <c r="G23" s="8" t="n"/>
      <c r="H23" s="8" t="n"/>
      <c r="I23" s="8" t="n"/>
      <c r="J23" s="8" t="n"/>
      <c r="K23" s="8" t="n"/>
      <c r="L23" s="8" t="n"/>
      <c r="M23" s="8" t="n"/>
      <c r="N23" s="8" t="n"/>
      <c r="O23" s="8" t="n"/>
      <c r="P23" s="9">
        <f>IF(OR(G23="Tool Misconfiguration",G23="Tool Bug"),"Systemic (tool issue)",IF(G23="Incorrect Baseline","Baseline Issue","One-Time (environmental)"))</f>
        <v/>
      </c>
      <c r="Q23" s="8" t="n"/>
    </row>
    <row r="24">
      <c r="A24" s="8" t="n"/>
      <c r="B24" s="8" t="n"/>
      <c r="C24" s="8" t="n"/>
      <c r="D24" s="8" t="n"/>
      <c r="E24" s="8" t="n"/>
      <c r="F24" s="8" t="n"/>
      <c r="G24" s="8" t="n"/>
      <c r="H24" s="8" t="n"/>
      <c r="I24" s="8" t="n"/>
      <c r="J24" s="8" t="n"/>
      <c r="K24" s="8" t="n"/>
      <c r="L24" s="8" t="n"/>
      <c r="M24" s="8" t="n"/>
      <c r="N24" s="8" t="n"/>
      <c r="O24" s="8" t="n"/>
      <c r="P24" s="9">
        <f>IF(OR(G24="Tool Misconfiguration",G24="Tool Bug"),"Systemic (tool issue)",IF(G24="Incorrect Baseline","Baseline Issue","One-Time (environmental)"))</f>
        <v/>
      </c>
      <c r="Q24" s="8" t="n"/>
    </row>
    <row r="25">
      <c r="A25" s="8" t="n"/>
      <c r="B25" s="8" t="n"/>
      <c r="C25" s="8" t="n"/>
      <c r="D25" s="8" t="n"/>
      <c r="E25" s="8" t="n"/>
      <c r="F25" s="8" t="n"/>
      <c r="G25" s="8" t="n"/>
      <c r="H25" s="8" t="n"/>
      <c r="I25" s="8" t="n"/>
      <c r="J25" s="8" t="n"/>
      <c r="K25" s="8" t="n"/>
      <c r="L25" s="8" t="n"/>
      <c r="M25" s="8" t="n"/>
      <c r="N25" s="8" t="n"/>
      <c r="O25" s="8" t="n"/>
      <c r="P25" s="9">
        <f>IF(OR(G25="Tool Misconfiguration",G25="Tool Bug"),"Systemic (tool issue)",IF(G25="Incorrect Baseline","Baseline Issue","One-Time (environmental)"))</f>
        <v/>
      </c>
      <c r="Q25" s="8" t="n"/>
    </row>
    <row r="26">
      <c r="A26" s="8" t="n"/>
      <c r="B26" s="8" t="n"/>
      <c r="C26" s="8" t="n"/>
      <c r="D26" s="8" t="n"/>
      <c r="E26" s="8" t="n"/>
      <c r="F26" s="8" t="n"/>
      <c r="G26" s="8" t="n"/>
      <c r="H26" s="8" t="n"/>
      <c r="I26" s="8" t="n"/>
      <c r="J26" s="8" t="n"/>
      <c r="K26" s="8" t="n"/>
      <c r="L26" s="8" t="n"/>
      <c r="M26" s="8" t="n"/>
      <c r="N26" s="8" t="n"/>
      <c r="O26" s="8" t="n"/>
      <c r="P26" s="9">
        <f>IF(OR(G26="Tool Misconfiguration",G26="Tool Bug"),"Systemic (tool issue)",IF(G26="Incorrect Baseline","Baseline Issue","One-Time (environmental)"))</f>
        <v/>
      </c>
      <c r="Q26" s="8" t="n"/>
    </row>
    <row r="27">
      <c r="A27" s="8" t="n"/>
      <c r="B27" s="8" t="n"/>
      <c r="C27" s="8" t="n"/>
      <c r="D27" s="8" t="n"/>
      <c r="E27" s="8" t="n"/>
      <c r="F27" s="8" t="n"/>
      <c r="G27" s="8" t="n"/>
      <c r="H27" s="8" t="n"/>
      <c r="I27" s="8" t="n"/>
      <c r="J27" s="8" t="n"/>
      <c r="K27" s="8" t="n"/>
      <c r="L27" s="8" t="n"/>
      <c r="M27" s="8" t="n"/>
      <c r="N27" s="8" t="n"/>
      <c r="O27" s="8" t="n"/>
      <c r="P27" s="9">
        <f>IF(OR(G27="Tool Misconfiguration",G27="Tool Bug"),"Systemic (tool issue)",IF(G27="Incorrect Baseline","Baseline Issue","One-Time (environmental)"))</f>
        <v/>
      </c>
      <c r="Q27" s="8" t="n"/>
    </row>
    <row r="28">
      <c r="A28" s="8" t="n"/>
      <c r="B28" s="8" t="n"/>
      <c r="C28" s="8" t="n"/>
      <c r="D28" s="8" t="n"/>
      <c r="E28" s="8" t="n"/>
      <c r="F28" s="8" t="n"/>
      <c r="G28" s="8" t="n"/>
      <c r="H28" s="8" t="n"/>
      <c r="I28" s="8" t="n"/>
      <c r="J28" s="8" t="n"/>
      <c r="K28" s="8" t="n"/>
      <c r="L28" s="8" t="n"/>
      <c r="M28" s="8" t="n"/>
      <c r="N28" s="8" t="n"/>
      <c r="O28" s="8" t="n"/>
      <c r="P28" s="9">
        <f>IF(OR(G28="Tool Misconfiguration",G28="Tool Bug"),"Systemic (tool issue)",IF(G28="Incorrect Baseline","Baseline Issue","One-Time (environmental)"))</f>
        <v/>
      </c>
      <c r="Q28" s="8" t="n"/>
    </row>
    <row r="29">
      <c r="A29" s="8" t="n"/>
      <c r="B29" s="8" t="n"/>
      <c r="C29" s="8" t="n"/>
      <c r="D29" s="8" t="n"/>
      <c r="E29" s="8" t="n"/>
      <c r="F29" s="8" t="n"/>
      <c r="G29" s="8" t="n"/>
      <c r="H29" s="8" t="n"/>
      <c r="I29" s="8" t="n"/>
      <c r="J29" s="8" t="n"/>
      <c r="K29" s="8" t="n"/>
      <c r="L29" s="8" t="n"/>
      <c r="M29" s="8" t="n"/>
      <c r="N29" s="8" t="n"/>
      <c r="O29" s="8" t="n"/>
      <c r="P29" s="9">
        <f>IF(OR(G29="Tool Misconfiguration",G29="Tool Bug"),"Systemic (tool issue)",IF(G29="Incorrect Baseline","Baseline Issue","One-Time (environmental)"))</f>
        <v/>
      </c>
      <c r="Q29" s="8" t="n"/>
    </row>
    <row r="30">
      <c r="A30" s="8" t="n"/>
      <c r="B30" s="8" t="n"/>
      <c r="C30" s="8" t="n"/>
      <c r="D30" s="8" t="n"/>
      <c r="E30" s="8" t="n"/>
      <c r="F30" s="8" t="n"/>
      <c r="G30" s="8" t="n"/>
      <c r="H30" s="8" t="n"/>
      <c r="I30" s="8" t="n"/>
      <c r="J30" s="8" t="n"/>
      <c r="K30" s="8" t="n"/>
      <c r="L30" s="8" t="n"/>
      <c r="M30" s="8" t="n"/>
      <c r="N30" s="8" t="n"/>
      <c r="O30" s="8" t="n"/>
      <c r="P30" s="9">
        <f>IF(OR(G30="Tool Misconfiguration",G30="Tool Bug"),"Systemic (tool issue)",IF(G30="Incorrect Baseline","Baseline Issue","One-Time (environmental)"))</f>
        <v/>
      </c>
      <c r="Q30" s="8" t="n"/>
    </row>
    <row r="31">
      <c r="A31" s="8" t="n"/>
      <c r="B31" s="8" t="n"/>
      <c r="C31" s="8" t="n"/>
      <c r="D31" s="8" t="n"/>
      <c r="E31" s="8" t="n"/>
      <c r="F31" s="8" t="n"/>
      <c r="G31" s="8" t="n"/>
      <c r="H31" s="8" t="n"/>
      <c r="I31" s="8" t="n"/>
      <c r="J31" s="8" t="n"/>
      <c r="K31" s="8" t="n"/>
      <c r="L31" s="8" t="n"/>
      <c r="M31" s="8" t="n"/>
      <c r="N31" s="8" t="n"/>
      <c r="O31" s="8" t="n"/>
      <c r="P31" s="9">
        <f>IF(OR(G31="Tool Misconfiguration",G31="Tool Bug"),"Systemic (tool issue)",IF(G31="Incorrect Baseline","Baseline Issue","One-Time (environmental)"))</f>
        <v/>
      </c>
      <c r="Q31" s="8" t="n"/>
    </row>
    <row r="32">
      <c r="A32" s="8" t="n"/>
      <c r="B32" s="8" t="n"/>
      <c r="C32" s="8" t="n"/>
      <c r="D32" s="8" t="n"/>
      <c r="E32" s="8" t="n"/>
      <c r="F32" s="8" t="n"/>
      <c r="G32" s="8" t="n"/>
      <c r="H32" s="8" t="n"/>
      <c r="I32" s="8" t="n"/>
      <c r="J32" s="8" t="n"/>
      <c r="K32" s="8" t="n"/>
      <c r="L32" s="8" t="n"/>
      <c r="M32" s="8" t="n"/>
      <c r="N32" s="8" t="n"/>
      <c r="O32" s="8" t="n"/>
      <c r="P32" s="9">
        <f>IF(OR(G32="Tool Misconfiguration",G32="Tool Bug"),"Systemic (tool issue)",IF(G32="Incorrect Baseline","Baseline Issue","One-Time (environmental)"))</f>
        <v/>
      </c>
      <c r="Q32" s="8" t="n"/>
    </row>
    <row r="33">
      <c r="A33" s="8" t="n"/>
      <c r="B33" s="8" t="n"/>
      <c r="C33" s="8" t="n"/>
      <c r="D33" s="8" t="n"/>
      <c r="E33" s="8" t="n"/>
      <c r="F33" s="8" t="n"/>
      <c r="G33" s="8" t="n"/>
      <c r="H33" s="8" t="n"/>
      <c r="I33" s="8" t="n"/>
      <c r="J33" s="8" t="n"/>
      <c r="K33" s="8" t="n"/>
      <c r="L33" s="8" t="n"/>
      <c r="M33" s="8" t="n"/>
      <c r="N33" s="8" t="n"/>
      <c r="O33" s="8" t="n"/>
      <c r="P33" s="9">
        <f>IF(OR(G33="Tool Misconfiguration",G33="Tool Bug"),"Systemic (tool issue)",IF(G33="Incorrect Baseline","Baseline Issue","One-Time (environmental)"))</f>
        <v/>
      </c>
      <c r="Q33" s="8" t="n"/>
    </row>
    <row r="34">
      <c r="A34" s="8" t="n"/>
      <c r="B34" s="8" t="n"/>
      <c r="C34" s="8" t="n"/>
      <c r="D34" s="8" t="n"/>
      <c r="E34" s="8" t="n"/>
      <c r="F34" s="8" t="n"/>
      <c r="G34" s="8" t="n"/>
      <c r="H34" s="8" t="n"/>
      <c r="I34" s="8" t="n"/>
      <c r="J34" s="8" t="n"/>
      <c r="K34" s="8" t="n"/>
      <c r="L34" s="8" t="n"/>
      <c r="M34" s="8" t="n"/>
      <c r="N34" s="8" t="n"/>
      <c r="O34" s="8" t="n"/>
      <c r="P34" s="9">
        <f>IF(OR(G34="Tool Misconfiguration",G34="Tool Bug"),"Systemic (tool issue)",IF(G34="Incorrect Baseline","Baseline Issue","One-Time (environmental)"))</f>
        <v/>
      </c>
      <c r="Q34" s="8" t="n"/>
    </row>
    <row r="35">
      <c r="A35" s="8" t="n"/>
      <c r="B35" s="8" t="n"/>
      <c r="C35" s="8" t="n"/>
      <c r="D35" s="8" t="n"/>
      <c r="E35" s="8" t="n"/>
      <c r="F35" s="8" t="n"/>
      <c r="G35" s="8" t="n"/>
      <c r="H35" s="8" t="n"/>
      <c r="I35" s="8" t="n"/>
      <c r="J35" s="8" t="n"/>
      <c r="K35" s="8" t="n"/>
      <c r="L35" s="8" t="n"/>
      <c r="M35" s="8" t="n"/>
      <c r="N35" s="8" t="n"/>
      <c r="O35" s="8" t="n"/>
      <c r="P35" s="9">
        <f>IF(OR(G35="Tool Misconfiguration",G35="Tool Bug"),"Systemic (tool issue)",IF(G35="Incorrect Baseline","Baseline Issue","One-Time (environmental)"))</f>
        <v/>
      </c>
      <c r="Q35" s="8" t="n"/>
    </row>
    <row r="36">
      <c r="A36" s="8" t="n"/>
      <c r="B36" s="8" t="n"/>
      <c r="C36" s="8" t="n"/>
      <c r="D36" s="8" t="n"/>
      <c r="E36" s="8" t="n"/>
      <c r="F36" s="8" t="n"/>
      <c r="G36" s="8" t="n"/>
      <c r="H36" s="8" t="n"/>
      <c r="I36" s="8" t="n"/>
      <c r="J36" s="8" t="n"/>
      <c r="K36" s="8" t="n"/>
      <c r="L36" s="8" t="n"/>
      <c r="M36" s="8" t="n"/>
      <c r="N36" s="8" t="n"/>
      <c r="O36" s="8" t="n"/>
      <c r="P36" s="9">
        <f>IF(OR(G36="Tool Misconfiguration",G36="Tool Bug"),"Systemic (tool issue)",IF(G36="Incorrect Baseline","Baseline Issue","One-Time (environmental)"))</f>
        <v/>
      </c>
      <c r="Q36" s="8" t="n"/>
    </row>
    <row r="37">
      <c r="A37" s="8" t="n"/>
      <c r="B37" s="8" t="n"/>
      <c r="C37" s="8" t="n"/>
      <c r="D37" s="8" t="n"/>
      <c r="E37" s="8" t="n"/>
      <c r="F37" s="8" t="n"/>
      <c r="G37" s="8" t="n"/>
      <c r="H37" s="8" t="n"/>
      <c r="I37" s="8" t="n"/>
      <c r="J37" s="8" t="n"/>
      <c r="K37" s="8" t="n"/>
      <c r="L37" s="8" t="n"/>
      <c r="M37" s="8" t="n"/>
      <c r="N37" s="8" t="n"/>
      <c r="O37" s="8" t="n"/>
      <c r="P37" s="9">
        <f>IF(OR(G37="Tool Misconfiguration",G37="Tool Bug"),"Systemic (tool issue)",IF(G37="Incorrect Baseline","Baseline Issue","One-Time (environmental)"))</f>
        <v/>
      </c>
      <c r="Q37" s="8" t="n"/>
    </row>
    <row r="38">
      <c r="A38" s="8" t="n"/>
      <c r="B38" s="8" t="n"/>
      <c r="C38" s="8" t="n"/>
      <c r="D38" s="8" t="n"/>
      <c r="E38" s="8" t="n"/>
      <c r="F38" s="8" t="n"/>
      <c r="G38" s="8" t="n"/>
      <c r="H38" s="8" t="n"/>
      <c r="I38" s="8" t="n"/>
      <c r="J38" s="8" t="n"/>
      <c r="K38" s="8" t="n"/>
      <c r="L38" s="8" t="n"/>
      <c r="M38" s="8" t="n"/>
      <c r="N38" s="8" t="n"/>
      <c r="O38" s="8" t="n"/>
      <c r="P38" s="9">
        <f>IF(OR(G38="Tool Misconfiguration",G38="Tool Bug"),"Systemic (tool issue)",IF(G38="Incorrect Baseline","Baseline Issue","One-Time (environmental)"))</f>
        <v/>
      </c>
      <c r="Q38" s="8" t="n"/>
    </row>
    <row r="39">
      <c r="A39" s="8" t="n"/>
      <c r="B39" s="8" t="n"/>
      <c r="C39" s="8" t="n"/>
      <c r="D39" s="8" t="n"/>
      <c r="E39" s="8" t="n"/>
      <c r="F39" s="8" t="n"/>
      <c r="G39" s="8" t="n"/>
      <c r="H39" s="8" t="n"/>
      <c r="I39" s="8" t="n"/>
      <c r="J39" s="8" t="n"/>
      <c r="K39" s="8" t="n"/>
      <c r="L39" s="8" t="n"/>
      <c r="M39" s="8" t="n"/>
      <c r="N39" s="8" t="n"/>
      <c r="O39" s="8" t="n"/>
      <c r="P39" s="9">
        <f>IF(OR(G39="Tool Misconfiguration",G39="Tool Bug"),"Systemic (tool issue)",IF(G39="Incorrect Baseline","Baseline Issue","One-Time (environmental)"))</f>
        <v/>
      </c>
      <c r="Q39" s="8" t="n"/>
    </row>
    <row r="40">
      <c r="A40" s="8" t="n"/>
      <c r="B40" s="8" t="n"/>
      <c r="C40" s="8" t="n"/>
      <c r="D40" s="8" t="n"/>
      <c r="E40" s="8" t="n"/>
      <c r="F40" s="8" t="n"/>
      <c r="G40" s="8" t="n"/>
      <c r="H40" s="8" t="n"/>
      <c r="I40" s="8" t="n"/>
      <c r="J40" s="8" t="n"/>
      <c r="K40" s="8" t="n"/>
      <c r="L40" s="8" t="n"/>
      <c r="M40" s="8" t="n"/>
      <c r="N40" s="8" t="n"/>
      <c r="O40" s="8" t="n"/>
      <c r="P40" s="9">
        <f>IF(OR(G40="Tool Misconfiguration",G40="Tool Bug"),"Systemic (tool issue)",IF(G40="Incorrect Baseline","Baseline Issue","One-Time (environmental)"))</f>
        <v/>
      </c>
      <c r="Q40" s="8" t="n"/>
    </row>
    <row r="41">
      <c r="A41" s="8" t="n"/>
      <c r="B41" s="8" t="n"/>
      <c r="C41" s="8" t="n"/>
      <c r="D41" s="8" t="n"/>
      <c r="E41" s="8" t="n"/>
      <c r="F41" s="8" t="n"/>
      <c r="G41" s="8" t="n"/>
      <c r="H41" s="8" t="n"/>
      <c r="I41" s="8" t="n"/>
      <c r="J41" s="8" t="n"/>
      <c r="K41" s="8" t="n"/>
      <c r="L41" s="8" t="n"/>
      <c r="M41" s="8" t="n"/>
      <c r="N41" s="8" t="n"/>
      <c r="O41" s="8" t="n"/>
      <c r="P41" s="9">
        <f>IF(OR(G41="Tool Misconfiguration",G41="Tool Bug"),"Systemic (tool issue)",IF(G41="Incorrect Baseline","Baseline Issue","One-Time (environmental)"))</f>
        <v/>
      </c>
      <c r="Q41" s="8" t="n"/>
    </row>
    <row r="42">
      <c r="A42" s="8" t="n"/>
      <c r="B42" s="8" t="n"/>
      <c r="C42" s="8" t="n"/>
      <c r="D42" s="8" t="n"/>
      <c r="E42" s="8" t="n"/>
      <c r="F42" s="8" t="n"/>
      <c r="G42" s="8" t="n"/>
      <c r="H42" s="8" t="n"/>
      <c r="I42" s="8" t="n"/>
      <c r="J42" s="8" t="n"/>
      <c r="K42" s="8" t="n"/>
      <c r="L42" s="8" t="n"/>
      <c r="M42" s="8" t="n"/>
      <c r="N42" s="8" t="n"/>
      <c r="O42" s="8" t="n"/>
      <c r="P42" s="9">
        <f>IF(OR(G42="Tool Misconfiguration",G42="Tool Bug"),"Systemic (tool issue)",IF(G42="Incorrect Baseline","Baseline Issue","One-Time (environmental)"))</f>
        <v/>
      </c>
      <c r="Q42" s="8" t="n"/>
    </row>
    <row r="43">
      <c r="A43" s="8" t="n"/>
      <c r="B43" s="8" t="n"/>
      <c r="C43" s="8" t="n"/>
      <c r="D43" s="8" t="n"/>
      <c r="E43" s="8" t="n"/>
      <c r="F43" s="8" t="n"/>
      <c r="G43" s="8" t="n"/>
      <c r="H43" s="8" t="n"/>
      <c r="I43" s="8" t="n"/>
      <c r="J43" s="8" t="n"/>
      <c r="K43" s="8" t="n"/>
      <c r="L43" s="8" t="n"/>
      <c r="M43" s="8" t="n"/>
      <c r="N43" s="8" t="n"/>
      <c r="O43" s="8" t="n"/>
      <c r="P43" s="9">
        <f>IF(OR(G43="Tool Misconfiguration",G43="Tool Bug"),"Systemic (tool issue)",IF(G43="Incorrect Baseline","Baseline Issue","One-Time (environmental)"))</f>
        <v/>
      </c>
      <c r="Q43" s="8" t="n"/>
    </row>
    <row r="44">
      <c r="A44" s="8" t="n"/>
      <c r="B44" s="8" t="n"/>
      <c r="C44" s="8" t="n"/>
      <c r="D44" s="8" t="n"/>
      <c r="E44" s="8" t="n"/>
      <c r="F44" s="8" t="n"/>
      <c r="G44" s="8" t="n"/>
      <c r="H44" s="8" t="n"/>
      <c r="I44" s="8" t="n"/>
      <c r="J44" s="8" t="n"/>
      <c r="K44" s="8" t="n"/>
      <c r="L44" s="8" t="n"/>
      <c r="M44" s="8" t="n"/>
      <c r="N44" s="8" t="n"/>
      <c r="O44" s="8" t="n"/>
      <c r="P44" s="9">
        <f>IF(OR(G44="Tool Misconfiguration",G44="Tool Bug"),"Systemic (tool issue)",IF(G44="Incorrect Baseline","Baseline Issue","One-Time (environmental)"))</f>
        <v/>
      </c>
      <c r="Q44" s="8" t="n"/>
    </row>
    <row r="45">
      <c r="A45" s="8" t="n"/>
      <c r="B45" s="8" t="n"/>
      <c r="C45" s="8" t="n"/>
      <c r="D45" s="8" t="n"/>
      <c r="E45" s="8" t="n"/>
      <c r="F45" s="8" t="n"/>
      <c r="G45" s="8" t="n"/>
      <c r="H45" s="8" t="n"/>
      <c r="I45" s="8" t="n"/>
      <c r="J45" s="8" t="n"/>
      <c r="K45" s="8" t="n"/>
      <c r="L45" s="8" t="n"/>
      <c r="M45" s="8" t="n"/>
      <c r="N45" s="8" t="n"/>
      <c r="O45" s="8" t="n"/>
      <c r="P45" s="9">
        <f>IF(OR(G45="Tool Misconfiguration",G45="Tool Bug"),"Systemic (tool issue)",IF(G45="Incorrect Baseline","Baseline Issue","One-Time (environmental)"))</f>
        <v/>
      </c>
      <c r="Q45" s="8" t="n"/>
    </row>
    <row r="46">
      <c r="A46" s="8" t="n"/>
      <c r="B46" s="8" t="n"/>
      <c r="C46" s="8" t="n"/>
      <c r="D46" s="8" t="n"/>
      <c r="E46" s="8" t="n"/>
      <c r="F46" s="8" t="n"/>
      <c r="G46" s="8" t="n"/>
      <c r="H46" s="8" t="n"/>
      <c r="I46" s="8" t="n"/>
      <c r="J46" s="8" t="n"/>
      <c r="K46" s="8" t="n"/>
      <c r="L46" s="8" t="n"/>
      <c r="M46" s="8" t="n"/>
      <c r="N46" s="8" t="n"/>
      <c r="O46" s="8" t="n"/>
      <c r="P46" s="9">
        <f>IF(OR(G46="Tool Misconfiguration",G46="Tool Bug"),"Systemic (tool issue)",IF(G46="Incorrect Baseline","Baseline Issue","One-Time (environmental)"))</f>
        <v/>
      </c>
      <c r="Q46" s="8" t="n"/>
    </row>
    <row r="47">
      <c r="A47" s="8" t="n"/>
      <c r="B47" s="8" t="n"/>
      <c r="C47" s="8" t="n"/>
      <c r="D47" s="8" t="n"/>
      <c r="E47" s="8" t="n"/>
      <c r="F47" s="8" t="n"/>
      <c r="G47" s="8" t="n"/>
      <c r="H47" s="8" t="n"/>
      <c r="I47" s="8" t="n"/>
      <c r="J47" s="8" t="n"/>
      <c r="K47" s="8" t="n"/>
      <c r="L47" s="8" t="n"/>
      <c r="M47" s="8" t="n"/>
      <c r="N47" s="8" t="n"/>
      <c r="O47" s="8" t="n"/>
      <c r="P47" s="9">
        <f>IF(OR(G47="Tool Misconfiguration",G47="Tool Bug"),"Systemic (tool issue)",IF(G47="Incorrect Baseline","Baseline Issue","One-Time (environmental)"))</f>
        <v/>
      </c>
      <c r="Q47" s="8" t="n"/>
    </row>
    <row r="48">
      <c r="A48" s="8" t="n"/>
      <c r="B48" s="8" t="n"/>
      <c r="C48" s="8" t="n"/>
      <c r="D48" s="8" t="n"/>
      <c r="E48" s="8" t="n"/>
      <c r="F48" s="8" t="n"/>
      <c r="G48" s="8" t="n"/>
      <c r="H48" s="8" t="n"/>
      <c r="I48" s="8" t="n"/>
      <c r="J48" s="8" t="n"/>
      <c r="K48" s="8" t="n"/>
      <c r="L48" s="8" t="n"/>
      <c r="M48" s="8" t="n"/>
      <c r="N48" s="8" t="n"/>
      <c r="O48" s="8" t="n"/>
      <c r="P48" s="9">
        <f>IF(OR(G48="Tool Misconfiguration",G48="Tool Bug"),"Systemic (tool issue)",IF(G48="Incorrect Baseline","Baseline Issue","One-Time (environmental)"))</f>
        <v/>
      </c>
      <c r="Q48" s="8" t="n"/>
    </row>
    <row r="49">
      <c r="A49" s="8" t="n"/>
      <c r="B49" s="8" t="n"/>
      <c r="C49" s="8" t="n"/>
      <c r="D49" s="8" t="n"/>
      <c r="E49" s="8" t="n"/>
      <c r="F49" s="8" t="n"/>
      <c r="G49" s="8" t="n"/>
      <c r="H49" s="8" t="n"/>
      <c r="I49" s="8" t="n"/>
      <c r="J49" s="8" t="n"/>
      <c r="K49" s="8" t="n"/>
      <c r="L49" s="8" t="n"/>
      <c r="M49" s="8" t="n"/>
      <c r="N49" s="8" t="n"/>
      <c r="O49" s="8" t="n"/>
      <c r="P49" s="9">
        <f>IF(OR(G49="Tool Misconfiguration",G49="Tool Bug"),"Systemic (tool issue)",IF(G49="Incorrect Baseline","Baseline Issue","One-Time (environmental)"))</f>
        <v/>
      </c>
      <c r="Q49" s="8" t="n"/>
    </row>
    <row r="50">
      <c r="A50" s="8" t="n"/>
      <c r="B50" s="8" t="n"/>
      <c r="C50" s="8" t="n"/>
      <c r="D50" s="8" t="n"/>
      <c r="E50" s="8" t="n"/>
      <c r="F50" s="8" t="n"/>
      <c r="G50" s="8" t="n"/>
      <c r="H50" s="8" t="n"/>
      <c r="I50" s="8" t="n"/>
      <c r="J50" s="8" t="n"/>
      <c r="K50" s="8" t="n"/>
      <c r="L50" s="8" t="n"/>
      <c r="M50" s="8" t="n"/>
      <c r="N50" s="8" t="n"/>
      <c r="O50" s="8" t="n"/>
      <c r="P50" s="9">
        <f>IF(OR(G50="Tool Misconfiguration",G50="Tool Bug"),"Systemic (tool issue)",IF(G50="Incorrect Baseline","Baseline Issue","One-Time (environmental)"))</f>
        <v/>
      </c>
      <c r="Q50" s="8" t="n"/>
    </row>
    <row r="51">
      <c r="A51" s="8" t="n"/>
      <c r="B51" s="8" t="n"/>
      <c r="C51" s="8" t="n"/>
      <c r="D51" s="8" t="n"/>
      <c r="E51" s="8" t="n"/>
      <c r="F51" s="8" t="n"/>
      <c r="G51" s="8" t="n"/>
      <c r="H51" s="8" t="n"/>
      <c r="I51" s="8" t="n"/>
      <c r="J51" s="8" t="n"/>
      <c r="K51" s="8" t="n"/>
      <c r="L51" s="8" t="n"/>
      <c r="M51" s="8" t="n"/>
      <c r="N51" s="8" t="n"/>
      <c r="O51" s="8" t="n"/>
      <c r="P51" s="9">
        <f>IF(OR(G51="Tool Misconfiguration",G51="Tool Bug"),"Systemic (tool issue)",IF(G51="Incorrect Baseline","Baseline Issue","One-Time (environmental)"))</f>
        <v/>
      </c>
      <c r="Q51" s="8" t="n"/>
    </row>
    <row r="52">
      <c r="A52" s="8" t="n"/>
      <c r="B52" s="8" t="n"/>
      <c r="C52" s="8" t="n"/>
      <c r="D52" s="8" t="n"/>
      <c r="E52" s="8" t="n"/>
      <c r="F52" s="8" t="n"/>
      <c r="G52" s="8" t="n"/>
      <c r="H52" s="8" t="n"/>
      <c r="I52" s="8" t="n"/>
      <c r="J52" s="8" t="n"/>
      <c r="K52" s="8" t="n"/>
      <c r="L52" s="8" t="n"/>
      <c r="M52" s="8" t="n"/>
      <c r="N52" s="8" t="n"/>
      <c r="O52" s="8" t="n"/>
      <c r="P52" s="9">
        <f>IF(OR(G52="Tool Misconfiguration",G52="Tool Bug"),"Systemic (tool issue)",IF(G52="Incorrect Baseline","Baseline Issue","One-Time (environmental)"))</f>
        <v/>
      </c>
      <c r="Q52" s="8" t="n"/>
    </row>
    <row r="53">
      <c r="A53" s="8" t="n"/>
      <c r="B53" s="8" t="n"/>
      <c r="C53" s="8" t="n"/>
      <c r="D53" s="8" t="n"/>
      <c r="E53" s="8" t="n"/>
      <c r="F53" s="8" t="n"/>
      <c r="G53" s="8" t="n"/>
      <c r="H53" s="8" t="n"/>
      <c r="I53" s="8" t="n"/>
      <c r="J53" s="8" t="n"/>
      <c r="K53" s="8" t="n"/>
      <c r="L53" s="8" t="n"/>
      <c r="M53" s="8" t="n"/>
      <c r="N53" s="8" t="n"/>
      <c r="O53" s="8" t="n"/>
      <c r="P53" s="9">
        <f>IF(OR(G53="Tool Misconfiguration",G53="Tool Bug"),"Systemic (tool issue)",IF(G53="Incorrect Baseline","Baseline Issue","One-Time (environmental)"))</f>
        <v/>
      </c>
      <c r="Q53" s="8" t="n"/>
    </row>
    <row r="54">
      <c r="A54" s="8" t="n"/>
      <c r="B54" s="8" t="n"/>
      <c r="C54" s="8" t="n"/>
      <c r="D54" s="8" t="n"/>
      <c r="E54" s="8" t="n"/>
      <c r="F54" s="8" t="n"/>
      <c r="G54" s="8" t="n"/>
      <c r="H54" s="8" t="n"/>
      <c r="I54" s="8" t="n"/>
      <c r="J54" s="8" t="n"/>
      <c r="K54" s="8" t="n"/>
      <c r="L54" s="8" t="n"/>
      <c r="M54" s="8" t="n"/>
      <c r="N54" s="8" t="n"/>
      <c r="O54" s="8" t="n"/>
      <c r="P54" s="9">
        <f>IF(OR(G54="Tool Misconfiguration",G54="Tool Bug"),"Systemic (tool issue)",IF(G54="Incorrect Baseline","Baseline Issue","One-Time (environmental)"))</f>
        <v/>
      </c>
      <c r="Q54" s="8" t="n"/>
    </row>
    <row r="55">
      <c r="A55" s="8" t="n"/>
      <c r="B55" s="8" t="n"/>
      <c r="C55" s="8" t="n"/>
      <c r="D55" s="8" t="n"/>
      <c r="E55" s="8" t="n"/>
      <c r="F55" s="8" t="n"/>
      <c r="G55" s="8" t="n"/>
      <c r="H55" s="8" t="n"/>
      <c r="I55" s="8" t="n"/>
      <c r="J55" s="8" t="n"/>
      <c r="K55" s="8" t="n"/>
      <c r="L55" s="8" t="n"/>
      <c r="M55" s="8" t="n"/>
      <c r="N55" s="8" t="n"/>
      <c r="O55" s="8" t="n"/>
      <c r="P55" s="9">
        <f>IF(OR(G55="Tool Misconfiguration",G55="Tool Bug"),"Systemic (tool issue)",IF(G55="Incorrect Baseline","Baseline Issue","One-Time (environmental)"))</f>
        <v/>
      </c>
      <c r="Q55" s="8" t="n"/>
    </row>
    <row r="56">
      <c r="A56" s="8" t="n"/>
      <c r="B56" s="8" t="n"/>
      <c r="C56" s="8" t="n"/>
      <c r="D56" s="8" t="n"/>
      <c r="E56" s="8" t="n"/>
      <c r="F56" s="8" t="n"/>
      <c r="G56" s="8" t="n"/>
      <c r="H56" s="8" t="n"/>
      <c r="I56" s="8" t="n"/>
      <c r="J56" s="8" t="n"/>
      <c r="K56" s="8" t="n"/>
      <c r="L56" s="8" t="n"/>
      <c r="M56" s="8" t="n"/>
      <c r="N56" s="8" t="n"/>
      <c r="O56" s="8" t="n"/>
      <c r="P56" s="9">
        <f>IF(OR(G56="Tool Misconfiguration",G56="Tool Bug"),"Systemic (tool issue)",IF(G56="Incorrect Baseline","Baseline Issue","One-Time (environmental)"))</f>
        <v/>
      </c>
      <c r="Q56" s="8" t="n"/>
    </row>
    <row r="57">
      <c r="A57" s="8" t="n"/>
      <c r="B57" s="8" t="n"/>
      <c r="C57" s="8" t="n"/>
      <c r="D57" s="8" t="n"/>
      <c r="E57" s="8" t="n"/>
      <c r="F57" s="8" t="n"/>
      <c r="G57" s="8" t="n"/>
      <c r="H57" s="8" t="n"/>
      <c r="I57" s="8" t="n"/>
      <c r="J57" s="8" t="n"/>
      <c r="K57" s="8" t="n"/>
      <c r="L57" s="8" t="n"/>
      <c r="M57" s="8" t="n"/>
      <c r="N57" s="8" t="n"/>
      <c r="O57" s="8" t="n"/>
      <c r="P57" s="9">
        <f>IF(OR(G57="Tool Misconfiguration",G57="Tool Bug"),"Systemic (tool issue)",IF(G57="Incorrect Baseline","Baseline Issue","One-Time (environmental)"))</f>
        <v/>
      </c>
      <c r="Q57" s="8" t="n"/>
    </row>
    <row r="58">
      <c r="A58" s="8" t="n"/>
      <c r="B58" s="8" t="n"/>
      <c r="C58" s="8" t="n"/>
      <c r="D58" s="8" t="n"/>
      <c r="E58" s="8" t="n"/>
      <c r="F58" s="8" t="n"/>
      <c r="G58" s="8" t="n"/>
      <c r="H58" s="8" t="n"/>
      <c r="I58" s="8" t="n"/>
      <c r="J58" s="8" t="n"/>
      <c r="K58" s="8" t="n"/>
      <c r="L58" s="8" t="n"/>
      <c r="M58" s="8" t="n"/>
      <c r="N58" s="8" t="n"/>
      <c r="O58" s="8" t="n"/>
      <c r="P58" s="9">
        <f>IF(OR(G58="Tool Misconfiguration",G58="Tool Bug"),"Systemic (tool issue)",IF(G58="Incorrect Baseline","Baseline Issue","One-Time (environmental)"))</f>
        <v/>
      </c>
      <c r="Q58" s="8" t="n"/>
    </row>
    <row r="59">
      <c r="A59" s="8" t="n"/>
      <c r="B59" s="8" t="n"/>
      <c r="C59" s="8" t="n"/>
      <c r="D59" s="8" t="n"/>
      <c r="E59" s="8" t="n"/>
      <c r="F59" s="8" t="n"/>
      <c r="G59" s="8" t="n"/>
      <c r="H59" s="8" t="n"/>
      <c r="I59" s="8" t="n"/>
      <c r="J59" s="8" t="n"/>
      <c r="K59" s="8" t="n"/>
      <c r="L59" s="8" t="n"/>
      <c r="M59" s="8" t="n"/>
      <c r="N59" s="8" t="n"/>
      <c r="O59" s="8" t="n"/>
      <c r="P59" s="9">
        <f>IF(OR(G59="Tool Misconfiguration",G59="Tool Bug"),"Systemic (tool issue)",IF(G59="Incorrect Baseline","Baseline Issue","One-Time (environmental)"))</f>
        <v/>
      </c>
      <c r="Q59" s="8" t="n"/>
    </row>
    <row r="60">
      <c r="A60" s="8" t="n"/>
      <c r="B60" s="8" t="n"/>
      <c r="C60" s="8" t="n"/>
      <c r="D60" s="8" t="n"/>
      <c r="E60" s="8" t="n"/>
      <c r="F60" s="8" t="n"/>
      <c r="G60" s="8" t="n"/>
      <c r="H60" s="8" t="n"/>
      <c r="I60" s="8" t="n"/>
      <c r="J60" s="8" t="n"/>
      <c r="K60" s="8" t="n"/>
      <c r="L60" s="8" t="n"/>
      <c r="M60" s="8" t="n"/>
      <c r="N60" s="8" t="n"/>
      <c r="O60" s="8" t="n"/>
      <c r="P60" s="9">
        <f>IF(OR(G60="Tool Misconfiguration",G60="Tool Bug"),"Systemic (tool issue)",IF(G60="Incorrect Baseline","Baseline Issue","One-Time (environmental)"))</f>
        <v/>
      </c>
      <c r="Q60" s="8" t="n"/>
    </row>
    <row r="61">
      <c r="A61" s="8" t="n"/>
      <c r="B61" s="8" t="n"/>
      <c r="C61" s="8" t="n"/>
      <c r="D61" s="8" t="n"/>
      <c r="E61" s="8" t="n"/>
      <c r="F61" s="8" t="n"/>
      <c r="G61" s="8" t="n"/>
      <c r="H61" s="8" t="n"/>
      <c r="I61" s="8" t="n"/>
      <c r="J61" s="8" t="n"/>
      <c r="K61" s="8" t="n"/>
      <c r="L61" s="8" t="n"/>
      <c r="M61" s="8" t="n"/>
      <c r="N61" s="8" t="n"/>
      <c r="O61" s="8" t="n"/>
      <c r="P61" s="9">
        <f>IF(OR(G61="Tool Misconfiguration",G61="Tool Bug"),"Systemic (tool issue)",IF(G61="Incorrect Baseline","Baseline Issue","One-Time (environmental)"))</f>
        <v/>
      </c>
      <c r="Q61" s="8" t="n"/>
    </row>
    <row r="62">
      <c r="A62" s="8" t="n"/>
      <c r="B62" s="8" t="n"/>
      <c r="C62" s="8" t="n"/>
      <c r="D62" s="8" t="n"/>
      <c r="E62" s="8" t="n"/>
      <c r="F62" s="8" t="n"/>
      <c r="G62" s="8" t="n"/>
      <c r="H62" s="8" t="n"/>
      <c r="I62" s="8" t="n"/>
      <c r="J62" s="8" t="n"/>
      <c r="K62" s="8" t="n"/>
      <c r="L62" s="8" t="n"/>
      <c r="M62" s="8" t="n"/>
      <c r="N62" s="8" t="n"/>
      <c r="O62" s="8" t="n"/>
      <c r="P62" s="9">
        <f>IF(OR(G62="Tool Misconfiguration",G62="Tool Bug"),"Systemic (tool issue)",IF(G62="Incorrect Baseline","Baseline Issue","One-Time (environmental)"))</f>
        <v/>
      </c>
      <c r="Q62" s="8" t="n"/>
    </row>
    <row r="63">
      <c r="A63" s="8" t="n"/>
      <c r="B63" s="8" t="n"/>
      <c r="C63" s="8" t="n"/>
      <c r="D63" s="8" t="n"/>
      <c r="E63" s="8" t="n"/>
      <c r="F63" s="8" t="n"/>
      <c r="G63" s="8" t="n"/>
      <c r="H63" s="8" t="n"/>
      <c r="I63" s="8" t="n"/>
      <c r="J63" s="8" t="n"/>
      <c r="K63" s="8" t="n"/>
      <c r="L63" s="8" t="n"/>
      <c r="M63" s="8" t="n"/>
      <c r="N63" s="8" t="n"/>
      <c r="O63" s="8" t="n"/>
      <c r="P63" s="9">
        <f>IF(OR(G63="Tool Misconfiguration",G63="Tool Bug"),"Systemic (tool issue)",IF(G63="Incorrect Baseline","Baseline Issue","One-Time (environmental)"))</f>
        <v/>
      </c>
      <c r="Q63" s="8" t="n"/>
    </row>
    <row r="64">
      <c r="A64" s="8" t="n"/>
      <c r="B64" s="8" t="n"/>
      <c r="C64" s="8" t="n"/>
      <c r="D64" s="8" t="n"/>
      <c r="E64" s="8" t="n"/>
      <c r="F64" s="8" t="n"/>
      <c r="G64" s="8" t="n"/>
      <c r="H64" s="8" t="n"/>
      <c r="I64" s="8" t="n"/>
      <c r="J64" s="8" t="n"/>
      <c r="K64" s="8" t="n"/>
      <c r="L64" s="8" t="n"/>
      <c r="M64" s="8" t="n"/>
      <c r="N64" s="8" t="n"/>
      <c r="O64" s="8" t="n"/>
      <c r="P64" s="9">
        <f>IF(OR(G64="Tool Misconfiguration",G64="Tool Bug"),"Systemic (tool issue)",IF(G64="Incorrect Baseline","Baseline Issue","One-Time (environmental)"))</f>
        <v/>
      </c>
      <c r="Q64" s="8" t="n"/>
    </row>
    <row r="65">
      <c r="A65" s="8" t="n"/>
      <c r="B65" s="8" t="n"/>
      <c r="C65" s="8" t="n"/>
      <c r="D65" s="8" t="n"/>
      <c r="E65" s="8" t="n"/>
      <c r="F65" s="8" t="n"/>
      <c r="G65" s="8" t="n"/>
      <c r="H65" s="8" t="n"/>
      <c r="I65" s="8" t="n"/>
      <c r="J65" s="8" t="n"/>
      <c r="K65" s="8" t="n"/>
      <c r="L65" s="8" t="n"/>
      <c r="M65" s="8" t="n"/>
      <c r="N65" s="8" t="n"/>
      <c r="O65" s="8" t="n"/>
      <c r="P65" s="9">
        <f>IF(OR(G65="Tool Misconfiguration",G65="Tool Bug"),"Systemic (tool issue)",IF(G65="Incorrect Baseline","Baseline Issue","One-Time (environmental)"))</f>
        <v/>
      </c>
      <c r="Q65" s="8" t="n"/>
    </row>
    <row r="66">
      <c r="A66" s="8" t="n"/>
      <c r="B66" s="8" t="n"/>
      <c r="C66" s="8" t="n"/>
      <c r="D66" s="8" t="n"/>
      <c r="E66" s="8" t="n"/>
      <c r="F66" s="8" t="n"/>
      <c r="G66" s="8" t="n"/>
      <c r="H66" s="8" t="n"/>
      <c r="I66" s="8" t="n"/>
      <c r="J66" s="8" t="n"/>
      <c r="K66" s="8" t="n"/>
      <c r="L66" s="8" t="n"/>
      <c r="M66" s="8" t="n"/>
      <c r="N66" s="8" t="n"/>
      <c r="O66" s="8" t="n"/>
      <c r="P66" s="9">
        <f>IF(OR(G66="Tool Misconfiguration",G66="Tool Bug"),"Systemic (tool issue)",IF(G66="Incorrect Baseline","Baseline Issue","One-Time (environmental)"))</f>
        <v/>
      </c>
      <c r="Q66" s="8" t="n"/>
    </row>
    <row r="67">
      <c r="A67" s="8" t="n"/>
      <c r="B67" s="8" t="n"/>
      <c r="C67" s="8" t="n"/>
      <c r="D67" s="8" t="n"/>
      <c r="E67" s="8" t="n"/>
      <c r="F67" s="8" t="n"/>
      <c r="G67" s="8" t="n"/>
      <c r="H67" s="8" t="n"/>
      <c r="I67" s="8" t="n"/>
      <c r="J67" s="8" t="n"/>
      <c r="K67" s="8" t="n"/>
      <c r="L67" s="8" t="n"/>
      <c r="M67" s="8" t="n"/>
      <c r="N67" s="8" t="n"/>
      <c r="O67" s="8" t="n"/>
      <c r="P67" s="9">
        <f>IF(OR(G67="Tool Misconfiguration",G67="Tool Bug"),"Systemic (tool issue)",IF(G67="Incorrect Baseline","Baseline Issue","One-Time (environmental)"))</f>
        <v/>
      </c>
      <c r="Q67" s="8" t="n"/>
    </row>
    <row r="68">
      <c r="A68" s="8" t="n"/>
      <c r="B68" s="8" t="n"/>
      <c r="C68" s="8" t="n"/>
      <c r="D68" s="8" t="n"/>
      <c r="E68" s="8" t="n"/>
      <c r="F68" s="8" t="n"/>
      <c r="G68" s="8" t="n"/>
      <c r="H68" s="8" t="n"/>
      <c r="I68" s="8" t="n"/>
      <c r="J68" s="8" t="n"/>
      <c r="K68" s="8" t="n"/>
      <c r="L68" s="8" t="n"/>
      <c r="M68" s="8" t="n"/>
      <c r="N68" s="8" t="n"/>
      <c r="O68" s="8" t="n"/>
      <c r="P68" s="9">
        <f>IF(OR(G68="Tool Misconfiguration",G68="Tool Bug"),"Systemic (tool issue)",IF(G68="Incorrect Baseline","Baseline Issue","One-Time (environmental)"))</f>
        <v/>
      </c>
      <c r="Q68" s="8" t="n"/>
    </row>
    <row r="69">
      <c r="A69" s="8" t="n"/>
      <c r="B69" s="8" t="n"/>
      <c r="C69" s="8" t="n"/>
      <c r="D69" s="8" t="n"/>
      <c r="E69" s="8" t="n"/>
      <c r="F69" s="8" t="n"/>
      <c r="G69" s="8" t="n"/>
      <c r="H69" s="8" t="n"/>
      <c r="I69" s="8" t="n"/>
      <c r="J69" s="8" t="n"/>
      <c r="K69" s="8" t="n"/>
      <c r="L69" s="8" t="n"/>
      <c r="M69" s="8" t="n"/>
      <c r="N69" s="8" t="n"/>
      <c r="O69" s="8" t="n"/>
      <c r="P69" s="9">
        <f>IF(OR(G69="Tool Misconfiguration",G69="Tool Bug"),"Systemic (tool issue)",IF(G69="Incorrect Baseline","Baseline Issue","One-Time (environmental)"))</f>
        <v/>
      </c>
      <c r="Q69" s="8" t="n"/>
    </row>
    <row r="70">
      <c r="A70" s="8" t="n"/>
      <c r="B70" s="8" t="n"/>
      <c r="C70" s="8" t="n"/>
      <c r="D70" s="8" t="n"/>
      <c r="E70" s="8" t="n"/>
      <c r="F70" s="8" t="n"/>
      <c r="G70" s="8" t="n"/>
      <c r="H70" s="8" t="n"/>
      <c r="I70" s="8" t="n"/>
      <c r="J70" s="8" t="n"/>
      <c r="K70" s="8" t="n"/>
      <c r="L70" s="8" t="n"/>
      <c r="M70" s="8" t="n"/>
      <c r="N70" s="8" t="n"/>
      <c r="O70" s="8" t="n"/>
      <c r="P70" s="9">
        <f>IF(OR(G70="Tool Misconfiguration",G70="Tool Bug"),"Systemic (tool issue)",IF(G70="Incorrect Baseline","Baseline Issue","One-Time (environmental)"))</f>
        <v/>
      </c>
      <c r="Q70" s="8" t="n"/>
    </row>
    <row r="71">
      <c r="A71" s="8" t="n"/>
      <c r="B71" s="8" t="n"/>
      <c r="C71" s="8" t="n"/>
      <c r="D71" s="8" t="n"/>
      <c r="E71" s="8" t="n"/>
      <c r="F71" s="8" t="n"/>
      <c r="G71" s="8" t="n"/>
      <c r="H71" s="8" t="n"/>
      <c r="I71" s="8" t="n"/>
      <c r="J71" s="8" t="n"/>
      <c r="K71" s="8" t="n"/>
      <c r="L71" s="8" t="n"/>
      <c r="M71" s="8" t="n"/>
      <c r="N71" s="8" t="n"/>
      <c r="O71" s="8" t="n"/>
      <c r="P71" s="9">
        <f>IF(OR(G71="Tool Misconfiguration",G71="Tool Bug"),"Systemic (tool issue)",IF(G71="Incorrect Baseline","Baseline Issue","One-Time (environmental)"))</f>
        <v/>
      </c>
      <c r="Q71" s="8" t="n"/>
    </row>
    <row r="72">
      <c r="A72" s="8" t="n"/>
      <c r="B72" s="8" t="n"/>
      <c r="C72" s="8" t="n"/>
      <c r="D72" s="8" t="n"/>
      <c r="E72" s="8" t="n"/>
      <c r="F72" s="8" t="n"/>
      <c r="G72" s="8" t="n"/>
      <c r="H72" s="8" t="n"/>
      <c r="I72" s="8" t="n"/>
      <c r="J72" s="8" t="n"/>
      <c r="K72" s="8" t="n"/>
      <c r="L72" s="8" t="n"/>
      <c r="M72" s="8" t="n"/>
      <c r="N72" s="8" t="n"/>
      <c r="O72" s="8" t="n"/>
      <c r="P72" s="9">
        <f>IF(OR(G72="Tool Misconfiguration",G72="Tool Bug"),"Systemic (tool issue)",IF(G72="Incorrect Baseline","Baseline Issue","One-Time (environmental)"))</f>
        <v/>
      </c>
      <c r="Q72" s="8" t="n"/>
    </row>
    <row r="73">
      <c r="A73" s="8" t="n"/>
      <c r="B73" s="8" t="n"/>
      <c r="C73" s="8" t="n"/>
      <c r="D73" s="8" t="n"/>
      <c r="E73" s="8" t="n"/>
      <c r="F73" s="8" t="n"/>
      <c r="G73" s="8" t="n"/>
      <c r="H73" s="8" t="n"/>
      <c r="I73" s="8" t="n"/>
      <c r="J73" s="8" t="n"/>
      <c r="K73" s="8" t="n"/>
      <c r="L73" s="8" t="n"/>
      <c r="M73" s="8" t="n"/>
      <c r="N73" s="8" t="n"/>
      <c r="O73" s="8" t="n"/>
      <c r="P73" s="9">
        <f>IF(OR(G73="Tool Misconfiguration",G73="Tool Bug"),"Systemic (tool issue)",IF(G73="Incorrect Baseline","Baseline Issue","One-Time (environmental)"))</f>
        <v/>
      </c>
      <c r="Q73" s="8" t="n"/>
    </row>
    <row r="74">
      <c r="A74" s="8" t="n"/>
      <c r="B74" s="8" t="n"/>
      <c r="C74" s="8" t="n"/>
      <c r="D74" s="8" t="n"/>
      <c r="E74" s="8" t="n"/>
      <c r="F74" s="8" t="n"/>
      <c r="G74" s="8" t="n"/>
      <c r="H74" s="8" t="n"/>
      <c r="I74" s="8" t="n"/>
      <c r="J74" s="8" t="n"/>
      <c r="K74" s="8" t="n"/>
      <c r="L74" s="8" t="n"/>
      <c r="M74" s="8" t="n"/>
      <c r="N74" s="8" t="n"/>
      <c r="O74" s="8" t="n"/>
      <c r="P74" s="9">
        <f>IF(OR(G74="Tool Misconfiguration",G74="Tool Bug"),"Systemic (tool issue)",IF(G74="Incorrect Baseline","Baseline Issue","One-Time (environmental)"))</f>
        <v/>
      </c>
      <c r="Q74" s="8" t="n"/>
    </row>
    <row r="75">
      <c r="A75" s="8" t="n"/>
      <c r="B75" s="8" t="n"/>
      <c r="C75" s="8" t="n"/>
      <c r="D75" s="8" t="n"/>
      <c r="E75" s="8" t="n"/>
      <c r="F75" s="8" t="n"/>
      <c r="G75" s="8" t="n"/>
      <c r="H75" s="8" t="n"/>
      <c r="I75" s="8" t="n"/>
      <c r="J75" s="8" t="n"/>
      <c r="K75" s="8" t="n"/>
      <c r="L75" s="8" t="n"/>
      <c r="M75" s="8" t="n"/>
      <c r="N75" s="8" t="n"/>
      <c r="O75" s="8" t="n"/>
      <c r="P75" s="9">
        <f>IF(OR(G75="Tool Misconfiguration",G75="Tool Bug"),"Systemic (tool issue)",IF(G75="Incorrect Baseline","Baseline Issue","One-Time (environmental)"))</f>
        <v/>
      </c>
      <c r="Q75" s="8" t="n"/>
    </row>
    <row r="76">
      <c r="A76" s="8" t="n"/>
      <c r="B76" s="8" t="n"/>
      <c r="C76" s="8" t="n"/>
      <c r="D76" s="8" t="n"/>
      <c r="E76" s="8" t="n"/>
      <c r="F76" s="8" t="n"/>
      <c r="G76" s="8" t="n"/>
      <c r="H76" s="8" t="n"/>
      <c r="I76" s="8" t="n"/>
      <c r="J76" s="8" t="n"/>
      <c r="K76" s="8" t="n"/>
      <c r="L76" s="8" t="n"/>
      <c r="M76" s="8" t="n"/>
      <c r="N76" s="8" t="n"/>
      <c r="O76" s="8" t="n"/>
      <c r="P76" s="9">
        <f>IF(OR(G76="Tool Misconfiguration",G76="Tool Bug"),"Systemic (tool issue)",IF(G76="Incorrect Baseline","Baseline Issue","One-Time (environmental)"))</f>
        <v/>
      </c>
      <c r="Q76" s="8" t="n"/>
    </row>
    <row r="77">
      <c r="A77" s="8" t="n"/>
      <c r="B77" s="8" t="n"/>
      <c r="C77" s="8" t="n"/>
      <c r="D77" s="8" t="n"/>
      <c r="E77" s="8" t="n"/>
      <c r="F77" s="8" t="n"/>
      <c r="G77" s="8" t="n"/>
      <c r="H77" s="8" t="n"/>
      <c r="I77" s="8" t="n"/>
      <c r="J77" s="8" t="n"/>
      <c r="K77" s="8" t="n"/>
      <c r="L77" s="8" t="n"/>
      <c r="M77" s="8" t="n"/>
      <c r="N77" s="8" t="n"/>
      <c r="O77" s="8" t="n"/>
      <c r="P77" s="9">
        <f>IF(OR(G77="Tool Misconfiguration",G77="Tool Bug"),"Systemic (tool issue)",IF(G77="Incorrect Baseline","Baseline Issue","One-Time (environmental)"))</f>
        <v/>
      </c>
      <c r="Q77" s="8" t="n"/>
    </row>
  </sheetData>
  <mergeCells count="1">
    <mergeCell ref="A1:Q1"/>
  </mergeCells>
  <conditionalFormatting sqref="N3:N77">
    <cfRule type="cellIs" priority="1" operator="equal" dxfId="3">
      <formula>"Not Seen Again"</formula>
    </cfRule>
    <cfRule type="cellIs" priority="2" operator="equal" dxfId="1">
      <formula>"Recurring (Needs Further Tuning)"</formula>
    </cfRule>
  </conditionalFormatting>
  <conditionalFormatting sqref="P3:P77">
    <cfRule type="cellIs" priority="3" operator="equal" dxfId="8">
      <formula>"Systemic (tool issue)"</formula>
    </cfRule>
    <cfRule type="cellIs" priority="4" operator="equal" dxfId="9">
      <formula>"Baseline Issue"</formula>
    </cfRule>
  </conditionalFormatting>
  <dataValidations count="3">
    <dataValidation sqref="G3:G77" showDropDown="0" showInputMessage="0" showErrorMessage="0" allowBlank="0" errorTitle="Invalid Entry" error="Invalid entry" promptTitle="Selection Required" prompt="Please select from the dropdown" type="list">
      <formula1>"Incorrect Baseline,Tool Misconfiguration,Expected Variation,Timing Issue,Tool Bug,Other"</formula1>
    </dataValidation>
    <dataValidation sqref="K3:K77" showDropDown="0" showInputMessage="0" showErrorMessage="0" allowBlank="0" errorTitle="Invalid Entry" error="Invalid entry" promptTitle="Selection Required" prompt="Please select from the dropdown" type="list">
      <formula1>"Baseline Updated,Monitoring Rule Adjusted,Alert Threshold Changed,Exception Added,Tool Updated,No Action (Acceptable)"</formula1>
    </dataValidation>
    <dataValidation sqref="N3:N77" showDropDown="0" showInputMessage="0" showErrorMessage="0" allowBlank="0" errorTitle="Invalid Entry" error="Invalid entry" promptTitle="Selection Required" prompt="Please select from the dropdown" type="list">
      <formula1>"Not Seen Again,Recurred Once,Recurring (Needs Further Tuning),Monitoring"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7" t="inlineStr">
        <is>
          <t>Monitoring Effectiveness Metrics Dashboard</t>
        </is>
      </c>
    </row>
    <row r="3" ht="25" customHeight="1">
      <c r="A3" s="4" t="inlineStr">
        <is>
          <t>OVERALL MONITORING COVERAGE</t>
        </is>
      </c>
    </row>
    <row r="4">
      <c r="A4" s="6" t="inlineStr">
        <is>
          <t>Metric</t>
        </is>
      </c>
      <c r="B4" s="6" t="inlineStr">
        <is>
          <t>Value</t>
        </is>
      </c>
      <c r="C4" s="6" t="inlineStr">
        <is>
          <t>Target</t>
        </is>
      </c>
      <c r="D4" s="6" t="inlineStr">
        <is>
          <t>Status</t>
        </is>
      </c>
    </row>
    <row r="5">
      <c r="A5" s="11" t="inlineStr">
        <is>
          <t>Total Assets in Scope</t>
        </is>
      </c>
      <c r="B5" s="9">
        <f>COUNTA(Monitoring_Coverage_Register!A3:A102)-COUNTBLANK(Monitoring_Coverage_Register!A3:A102)</f>
        <v/>
      </c>
      <c r="C5" s="12" t="inlineStr">
        <is>
          <t>N/A</t>
        </is>
      </c>
    </row>
    <row r="6">
      <c r="A6" s="11" t="inlineStr">
        <is>
          <t>Assets Monitored</t>
        </is>
      </c>
      <c r="B6" s="9">
        <f>COUNTIF(Monitoring_Coverage_Register!G3:G102,"Monitored")</f>
        <v/>
      </c>
      <c r="C6" s="12" t="inlineStr">
        <is>
          <t>≥85%</t>
        </is>
      </c>
    </row>
    <row r="7">
      <c r="A7" s="11" t="inlineStr">
        <is>
          <t>Overall Monitoring Coverage %</t>
        </is>
      </c>
      <c r="B7" s="13">
        <f>IF(B5=0,0,B6/B5*100)</f>
        <v/>
      </c>
      <c r="C7" s="12" t="inlineStr">
        <is>
          <t>≥85%</t>
        </is>
      </c>
      <c r="D7" s="9">
        <f>IF(B7&gt;=85,"✓ Compliant",IF(B7&gt;=70,"⚠ Partial","✗ Non-Compliant"))</f>
        <v/>
      </c>
    </row>
    <row r="8">
      <c r="A8" s="11" t="inlineStr">
        <is>
          <t>Tier 1 (Critical) Coverage %</t>
        </is>
      </c>
      <c r="B8" s="13">
        <f>IF(COUNTIF(Monitoring_Coverage_Register!F3:F102,"Tier 1*")=0,0,COUNTIFS(Monitoring_Coverage_Register!F3:F102,"Tier 1*",Monitoring_Coverage_Register!G3:G102,"Monitored")/COUNTIF(Monitoring_Coverage_Register!F3:F102,"Tier 1*")*100)</f>
        <v/>
      </c>
      <c r="C8" s="12" t="inlineStr">
        <is>
          <t>100%</t>
        </is>
      </c>
      <c r="D8" s="9">
        <f>IF(B8&gt;=100,"✓","✗")</f>
        <v/>
      </c>
    </row>
    <row r="9">
      <c r="A9" s="11" t="inlineStr">
        <is>
          <t>Tier 2 (High) Coverage %</t>
        </is>
      </c>
      <c r="B9" s="13">
        <f>IF(COUNTIF(Monitoring_Coverage_Register!F3:F102,"Tier 2*")=0,0,COUNTIFS(Monitoring_Coverage_Register!F3:F102,"Tier 2*",Monitoring_Coverage_Register!G3:G102,"Monitored")/COUNTIF(Monitoring_Coverage_Register!F3:F102,"Tier 2*")*100)</f>
        <v/>
      </c>
      <c r="C9" s="12" t="inlineStr">
        <is>
          <t>≥95%</t>
        </is>
      </c>
      <c r="D9" s="9">
        <f>IF(B9&gt;=95,"✓","✗")</f>
        <v/>
      </c>
    </row>
    <row r="10">
      <c r="A10" s="11" t="inlineStr">
        <is>
          <t>Tier 3 (Standard) Coverage %</t>
        </is>
      </c>
      <c r="B10" s="13">
        <f>IF(COUNTIF(Monitoring_Coverage_Register!F3:F102,"Tier 3*")=0,0,COUNTIFS(Monitoring_Coverage_Register!F3:F102,"Tier 3*",Monitoring_Coverage_Register!G3:G102,"Monitored")/COUNTIF(Monitoring_Coverage_Register!F3:F102,"Tier 3*")*100)</f>
        <v/>
      </c>
      <c r="C10" s="12" t="inlineStr">
        <is>
          <t>≥85%</t>
        </is>
      </c>
      <c r="D10" s="9">
        <f>IF(B10&gt;=85,"✓","✗")</f>
        <v/>
      </c>
    </row>
    <row r="11">
      <c r="A11" s="11" t="inlineStr">
        <is>
          <t>Non-Compliant Coverage</t>
        </is>
      </c>
      <c r="B11" s="9">
        <f>COUNTIF(Monitoring_Coverage_Register!N3:N102,"Non-Compliant")</f>
        <v/>
      </c>
      <c r="C11" s="12" t="inlineStr">
        <is>
          <t>0</t>
        </is>
      </c>
      <c r="D11" s="9">
        <f>IF(B11=0,"✓ None","✗ "&amp;B11&amp;" Assets")</f>
        <v/>
      </c>
    </row>
    <row r="12">
      <c r="A12" s="11" t="inlineStr">
        <is>
          <t>Monitoring Tools Active</t>
        </is>
      </c>
      <c r="B12" s="9">
        <f>COUNTIF(Monitoring_Tool_Inventory!H3:H32,"Active")</f>
        <v/>
      </c>
      <c r="C12" s="12" t="inlineStr">
        <is>
          <t>All</t>
        </is>
      </c>
    </row>
    <row r="13">
      <c r="A13" s="11" t="inlineStr">
        <is>
          <t>Tools Offline/Degraded</t>
        </is>
      </c>
      <c r="B13" s="9">
        <f>COUNTIF(Monitoring_Tool_Inventory!H3:H32,"Offline")+COUNTIF(Monitoring_Tool_Inventory!H3:H32,"Degraded")</f>
        <v/>
      </c>
      <c r="C13" s="12" t="inlineStr">
        <is>
          <t>0</t>
        </is>
      </c>
      <c r="D13" s="9">
        <f>IF(B13=0,"✓ None","✗ "&amp;B13&amp;" Issues")</f>
        <v/>
      </c>
    </row>
    <row r="15" ht="25" customHeight="1">
      <c r="A15" s="4" t="inlineStr">
        <is>
          <t>DRIFT DETECTION METRICS</t>
        </is>
      </c>
    </row>
    <row r="16">
      <c r="A16" s="6" t="inlineStr">
        <is>
          <t>Metric</t>
        </is>
      </c>
      <c r="B16" s="6" t="inlineStr">
        <is>
          <t>Value</t>
        </is>
      </c>
      <c r="C16" s="6" t="inlineStr">
        <is>
          <t>Target</t>
        </is>
      </c>
      <c r="D16" s="6" t="inlineStr">
        <is>
          <t>Status</t>
        </is>
      </c>
    </row>
    <row r="17">
      <c r="A17" s="11" t="inlineStr">
        <is>
          <t>Total Drift Incidents (All Time)</t>
        </is>
      </c>
      <c r="B17" s="9">
        <f>COUNTA(Drift_Detection_Log!A3:A152)-COUNTBLANK(Drift_Detection_Log!A3:A152)</f>
        <v/>
      </c>
      <c r="C17" s="12" t="inlineStr">
        <is>
          <t>N/A</t>
        </is>
      </c>
    </row>
    <row r="18">
      <c r="A18" s="11" t="inlineStr">
        <is>
          <t>Critical Drift Incidents</t>
        </is>
      </c>
      <c r="B18" s="9">
        <f>COUNTIF(Drift_Detection_Log!H3:H152,"Critical")</f>
        <v/>
      </c>
      <c r="C18" s="12" t="inlineStr">
        <is>
          <t>0</t>
        </is>
      </c>
      <c r="D18" s="9">
        <f>IF(B18=0,"✓ None","✗ "&amp;B18&amp;" CRITICAL")</f>
        <v/>
      </c>
    </row>
    <row r="19">
      <c r="A19" s="11" t="inlineStr">
        <is>
          <t>High Drift Incidents</t>
        </is>
      </c>
      <c r="B19" s="9">
        <f>COUNTIF(Drift_Detection_Log!H3:H152,"High")</f>
        <v/>
      </c>
      <c r="C19" s="12" t="inlineStr">
        <is>
          <t>&lt;5/month</t>
        </is>
      </c>
    </row>
    <row r="20">
      <c r="A20" s="11" t="inlineStr">
        <is>
          <t>Unauthorized Changes Detected</t>
        </is>
      </c>
      <c r="B20" s="9">
        <f>COUNTIF(Drift_Detection_Log!K3:K152,"No (Unauthorized)")</f>
        <v/>
      </c>
      <c r="C20" s="12" t="inlineStr">
        <is>
          <t>Detect all</t>
        </is>
      </c>
    </row>
    <row r="21">
      <c r="A21" s="11" t="inlineStr">
        <is>
          <t>False Positive Rate %</t>
        </is>
      </c>
      <c r="B21" s="13">
        <f>IF(B13=0,0,COUNTIF(Drift_Detection_Log!O3:O152,"False Positive")/B13*100)</f>
        <v/>
      </c>
      <c r="C21" s="12" t="inlineStr">
        <is>
          <t>&lt;10%</t>
        </is>
      </c>
      <c r="D21" s="9">
        <f>IF(B21&lt;10,"✓ Good",IF(B21&lt;20,"⚠ Warning","✗ Critical"))</f>
        <v/>
      </c>
    </row>
    <row r="23" ht="25" customHeight="1">
      <c r="A23" s="4" t="inlineStr">
        <is>
          <t>REMEDIATION PERFORMANCE</t>
        </is>
      </c>
    </row>
    <row r="24">
      <c r="A24" s="6" t="inlineStr">
        <is>
          <t>Metric</t>
        </is>
      </c>
      <c r="B24" s="6" t="inlineStr">
        <is>
          <t>Value</t>
        </is>
      </c>
      <c r="C24" s="6" t="inlineStr">
        <is>
          <t>Target</t>
        </is>
      </c>
      <c r="D24" s="6" t="inlineStr">
        <is>
          <t>Status</t>
        </is>
      </c>
    </row>
    <row r="25">
      <c r="A25" s="11" t="inlineStr">
        <is>
          <t>Open Drift Incidents</t>
        </is>
      </c>
      <c r="B25" s="9">
        <f>COUNTIFS(Drift_Detection_Log!O3:O152,"&lt;&gt;Closed",Drift_Detection_Log!O3:O152,"&lt;&gt;False Positive")</f>
        <v/>
      </c>
      <c r="C25" s="12" t="inlineStr">
        <is>
          <t>Minimize</t>
        </is>
      </c>
    </row>
    <row r="26">
      <c r="A26" s="11" t="inlineStr">
        <is>
          <t>Overdue Critical Drift</t>
        </is>
      </c>
      <c r="B26" s="9">
        <f>COUNTIFS(Drift_Remediation_Tracking!C3:C152,"Critical",Drift_Remediation_Tracking!P3:P152,"Overdue")</f>
        <v/>
      </c>
      <c r="C26" s="12" t="inlineStr">
        <is>
          <t>0</t>
        </is>
      </c>
      <c r="D26" s="9">
        <f>IF(B26=0,"✓ None","✗ "&amp;B26&amp;" OVERDUE")</f>
        <v/>
      </c>
    </row>
    <row r="27">
      <c r="A27" s="11" t="inlineStr">
        <is>
          <t>Mean Time to Remediate (Days)</t>
        </is>
      </c>
      <c r="B27" s="13">
        <f>IFERROR(AVERAGE(Drift_Remediation_Tracking!J3:J152),0)</f>
        <v/>
      </c>
      <c r="C27" s="12" t="inlineStr">
        <is>
          <t>&lt;1 day</t>
        </is>
      </c>
    </row>
    <row r="28">
      <c r="A28" s="11" t="inlineStr">
        <is>
          <t>SLA Compliance - Critical %</t>
        </is>
      </c>
      <c r="B28" s="13">
        <f>IF(COUNTIF(Drift_Remediation_Tracking!C3:C152,"Critical")=0,100,COUNTIFS(Drift_Remediation_Tracking!C3:C152,"Critical",Drift_Remediation_Tracking!Q3:Q152,"Met")/COUNTIF(Drift_Remediation_Tracking!C3:C152,"Critical")*100)</f>
        <v/>
      </c>
      <c r="C28" s="12" t="inlineStr">
        <is>
          <t>100%</t>
        </is>
      </c>
      <c r="D28" s="9">
        <f>IF(B28&gt;=100,"✓","✗")</f>
        <v/>
      </c>
    </row>
    <row r="29">
      <c r="A29" s="11" t="inlineStr">
        <is>
          <t>Overall Remediation Success Rate %</t>
        </is>
      </c>
      <c r="B29" s="13">
        <f>IF(COUNTA(Drift_Remediation_Tracking!M3:M152)=0,0,COUNTIF(Drift_Remediation_Tracking!M3:M152,"Passed")/COUNTA(Drift_Remediation_Tracking!M3:M152)*100)</f>
        <v/>
      </c>
      <c r="C29" s="12" t="inlineStr">
        <is>
          <t>≥98%</t>
        </is>
      </c>
      <c r="D29" s="9">
        <f>IF(B29&gt;=98,"✓ Excellent",IF(B29&gt;=90,"⚠ Good","✗ Needs Improvement"))</f>
        <v/>
      </c>
    </row>
    <row r="32">
      <c r="A32" s="14" t="inlineStr">
        <is>
          <t>NOTE: All metrics auto-calculated. Review monthly. Critical drift = absolute zero tolerance.</t>
        </is>
      </c>
    </row>
  </sheetData>
  <mergeCells count="5">
    <mergeCell ref="A1:D1"/>
    <mergeCell ref="A23:D23"/>
    <mergeCell ref="A3:D3"/>
    <mergeCell ref="A15:D15"/>
    <mergeCell ref="A32:D32"/>
  </mergeCells>
  <conditionalFormatting sqref="B7:B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20" customWidth="1" min="5" max="5"/>
  </cols>
  <sheetData>
    <row r="1" ht="35" customHeight="1">
      <c r="A1" s="7" t="inlineStr">
        <is>
          <t>Monitoring Coverage Gap Analysis</t>
        </is>
      </c>
    </row>
    <row r="3" ht="25" customHeight="1">
      <c r="A3" s="4" t="inlineStr">
        <is>
          <t>COVERAGE BY ASSET CATEGORY</t>
        </is>
      </c>
    </row>
    <row r="4">
      <c r="A4" s="6" t="inlineStr">
        <is>
          <t>Asset Category</t>
        </is>
      </c>
      <c r="B4" s="6" t="inlineStr">
        <is>
          <t>Total Assets</t>
        </is>
      </c>
      <c r="C4" s="6" t="inlineStr">
        <is>
          <t>Monitored</t>
        </is>
      </c>
      <c r="D4" s="6" t="inlineStr">
        <is>
          <t>Coverage %</t>
        </is>
      </c>
      <c r="E4" s="6" t="inlineStr">
        <is>
          <t>Gap Priority</t>
        </is>
      </c>
    </row>
    <row r="5">
      <c r="A5" s="11" t="inlineStr">
        <is>
          <t>Infrastructure</t>
        </is>
      </c>
      <c r="B5" s="9">
        <f>COUNTIF(Monitoring_Coverage_Register!$D$3:$D$102,"Infrastructure")</f>
        <v/>
      </c>
      <c r="C5" s="9">
        <f>COUNTIFS(Monitoring_Coverage_Register!$D$3:$D$102,"Infrastructure",Monitoring_Coverage_Register!$G$3:$G$102,"Monitored")</f>
        <v/>
      </c>
      <c r="D5" s="13">
        <f>IF(B5=0,0,C5/B5*100)</f>
        <v/>
      </c>
      <c r="E5" s="9">
        <f>IF(D5&lt;70,"Critical Gap",IF(D5&lt;85,"High Priority","Acceptable"))</f>
        <v/>
      </c>
    </row>
    <row r="6">
      <c r="A6" s="11" t="inlineStr">
        <is>
          <t>Endpoint</t>
        </is>
      </c>
      <c r="B6" s="9">
        <f>COUNTIF(Monitoring_Coverage_Register!$D$3:$D$102,"Endpoint")</f>
        <v/>
      </c>
      <c r="C6" s="9">
        <f>COUNTIFS(Monitoring_Coverage_Register!$D$3:$D$102,"Endpoint",Monitoring_Coverage_Register!$G$3:$G$102,"Monitored")</f>
        <v/>
      </c>
      <c r="D6" s="13">
        <f>IF(B6=0,0,C6/B6*100)</f>
        <v/>
      </c>
      <c r="E6" s="9">
        <f>IF(D6&lt;70,"Critical Gap",IF(D6&lt;85,"High Priority","Acceptable"))</f>
        <v/>
      </c>
    </row>
    <row r="7">
      <c r="A7" s="11" t="inlineStr">
        <is>
          <t>Network Services</t>
        </is>
      </c>
      <c r="B7" s="9">
        <f>COUNTIF(Monitoring_Coverage_Register!$D$3:$D$102,"Network Services")</f>
        <v/>
      </c>
      <c r="C7" s="9">
        <f>COUNTIFS(Monitoring_Coverage_Register!$D$3:$D$102,"Network Services",Monitoring_Coverage_Register!$G$3:$G$102,"Monitored")</f>
        <v/>
      </c>
      <c r="D7" s="13">
        <f>IF(B7=0,0,C7/B7*100)</f>
        <v/>
      </c>
      <c r="E7" s="9">
        <f>IF(D7&lt;70,"Critical Gap",IF(D7&lt;85,"High Priority","Acceptable"))</f>
        <v/>
      </c>
    </row>
    <row r="8">
      <c r="A8" s="11" t="inlineStr">
        <is>
          <t>Applications</t>
        </is>
      </c>
      <c r="B8" s="9">
        <f>COUNTIF(Monitoring_Coverage_Register!$D$3:$D$102,"Applications")</f>
        <v/>
      </c>
      <c r="C8" s="9">
        <f>COUNTIFS(Monitoring_Coverage_Register!$D$3:$D$102,"Applications",Monitoring_Coverage_Register!$G$3:$G$102,"Monitored")</f>
        <v/>
      </c>
      <c r="D8" s="13">
        <f>IF(B8=0,0,C8/B8*100)</f>
        <v/>
      </c>
      <c r="E8" s="9">
        <f>IF(D8&lt;70,"Critical Gap",IF(D8&lt;85,"High Priority","Acceptable"))</f>
        <v/>
      </c>
    </row>
    <row r="9">
      <c r="A9" s="11" t="inlineStr">
        <is>
          <t>Cloud</t>
        </is>
      </c>
      <c r="B9" s="9">
        <f>COUNTIF(Monitoring_Coverage_Register!$D$3:$D$102,"Cloud")</f>
        <v/>
      </c>
      <c r="C9" s="9">
        <f>COUNTIFS(Monitoring_Coverage_Register!$D$3:$D$102,"Cloud",Monitoring_Coverage_Register!$G$3:$G$102,"Monitored")</f>
        <v/>
      </c>
      <c r="D9" s="13">
        <f>IF(B9=0,0,C9/B9*100)</f>
        <v/>
      </c>
      <c r="E9" s="9">
        <f>IF(D9&lt;70,"Critical Gap",IF(D9&lt;85,"High Priority","Acceptable"))</f>
        <v/>
      </c>
    </row>
    <row r="10">
      <c r="A10" s="11" t="inlineStr">
        <is>
          <t>IoT/OT</t>
        </is>
      </c>
      <c r="B10" s="9">
        <f>COUNTIF(Monitoring_Coverage_Register!$D$3:$D$102,"IoT/OT")</f>
        <v/>
      </c>
      <c r="C10" s="9">
        <f>COUNTIFS(Monitoring_Coverage_Register!$D$3:$D$102,"IoT/OT",Monitoring_Coverage_Register!$G$3:$G$102,"Monitored")</f>
        <v/>
      </c>
      <c r="D10" s="13">
        <f>IF(B10=0,0,C10/B10*100)</f>
        <v/>
      </c>
      <c r="E10" s="9">
        <f>IF(D10&lt;70,"Critical Gap",IF(D10&lt;85,"High Priority","Acceptable"))</f>
        <v/>
      </c>
    </row>
    <row r="12" ht="25" customHeight="1">
      <c r="A12" s="4" t="inlineStr">
        <is>
          <t>COVERAGE BY ASSET CRITICALITY</t>
        </is>
      </c>
    </row>
    <row r="13">
      <c r="A13" s="6" t="inlineStr">
        <is>
          <t>Criticality</t>
        </is>
      </c>
      <c r="B13" s="6" t="inlineStr">
        <is>
          <t>Total Assets</t>
        </is>
      </c>
      <c r="C13" s="6" t="inlineStr">
        <is>
          <t>Monitored</t>
        </is>
      </c>
      <c r="D13" s="6" t="inlineStr">
        <is>
          <t>Coverage %</t>
        </is>
      </c>
      <c r="E13" s="6" t="inlineStr">
        <is>
          <t>Status</t>
        </is>
      </c>
    </row>
    <row r="14">
      <c r="A14" s="11" t="inlineStr">
        <is>
          <t>Critical</t>
        </is>
      </c>
      <c r="B14" s="9">
        <f>COUNTIF(Monitoring_Coverage_Register!$E$3:$E$102,"Critical")</f>
        <v/>
      </c>
      <c r="C14" s="9">
        <f>COUNTIFS(Monitoring_Coverage_Register!$E$3:$E$102,"Critical",Monitoring_Coverage_Register!$G$3:$G$102,"Monitored")</f>
        <v/>
      </c>
      <c r="D14" s="13">
        <f>IF(B14=0,0,C14/B14*100)</f>
        <v/>
      </c>
      <c r="E14" s="9">
        <f>IF(D14&gt;=100,"✓","✗")</f>
        <v/>
      </c>
    </row>
    <row r="15">
      <c r="A15" s="11" t="inlineStr">
        <is>
          <t>High</t>
        </is>
      </c>
      <c r="B15" s="9">
        <f>COUNTIF(Monitoring_Coverage_Register!$E$3:$E$102,"High")</f>
        <v/>
      </c>
      <c r="C15" s="9">
        <f>COUNTIFS(Monitoring_Coverage_Register!$E$3:$E$102,"High",Monitoring_Coverage_Register!$G$3:$G$102,"Monitored")</f>
        <v/>
      </c>
      <c r="D15" s="13">
        <f>IF(B15=0,0,C15/B15*100)</f>
        <v/>
      </c>
      <c r="E15" s="9">
        <f>IF(D15&gt;=95,"✓","✗")</f>
        <v/>
      </c>
    </row>
    <row r="16">
      <c r="A16" s="11" t="inlineStr">
        <is>
          <t>Medium</t>
        </is>
      </c>
      <c r="B16" s="9">
        <f>COUNTIF(Monitoring_Coverage_Register!$E$3:$E$102,"Medium")</f>
        <v/>
      </c>
      <c r="C16" s="9">
        <f>COUNTIFS(Monitoring_Coverage_Register!$E$3:$E$102,"Medium",Monitoring_Coverage_Register!$G$3:$G$102,"Monitored")</f>
        <v/>
      </c>
      <c r="D16" s="13">
        <f>IF(B16=0,0,C16/B16*100)</f>
        <v/>
      </c>
      <c r="E16" s="9">
        <f>IF(D16&gt;=85,"✓","✗")</f>
        <v/>
      </c>
    </row>
    <row r="17">
      <c r="A17" s="11" t="inlineStr">
        <is>
          <t>Low</t>
        </is>
      </c>
      <c r="B17" s="9">
        <f>COUNTIF(Monitoring_Coverage_Register!$E$3:$E$102,"Low")</f>
        <v/>
      </c>
      <c r="C17" s="9">
        <f>COUNTIFS(Monitoring_Coverage_Register!$E$3:$E$102,"Low",Monitoring_Coverage_Register!$G$3:$G$102,"Monitored")</f>
        <v/>
      </c>
      <c r="D17" s="13">
        <f>IF(B17=0,0,C17/B17*100)</f>
        <v/>
      </c>
      <c r="E17" s="9">
        <f>IF(D17&gt;=70,"✓","✗")</f>
        <v/>
      </c>
    </row>
  </sheetData>
  <mergeCells count="3">
    <mergeCell ref="A1:E1"/>
    <mergeCell ref="A12:E12"/>
    <mergeCell ref="A3:E3"/>
  </mergeCells>
  <conditionalFormatting sqref="D5:D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conditionalFormatting sqref="E5:E10">
    <cfRule type="cellIs" priority="4" operator="equal" dxfId="7">
      <formula>"Critical Gap"</formula>
    </cfRule>
    <cfRule type="cellIs" priority="5" operator="equal" dxfId="10">
      <formula>"High Priority"</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5" customWidth="1" min="6" max="6"/>
  </cols>
  <sheetData>
    <row r="1" ht="35" customHeight="1">
      <c r="A1" s="7" t="inlineStr">
        <is>
          <t>Configuration Drift Trend Analysis</t>
        </is>
      </c>
    </row>
    <row r="3" ht="25" customHeight="1">
      <c r="A3" s="4" t="inlineStr">
        <is>
          <t>DRIFT DISTRIBUTION BY CATEGORY</t>
        </is>
      </c>
    </row>
    <row r="4">
      <c r="A4" s="6" t="inlineStr">
        <is>
          <t>Drift Category</t>
        </is>
      </c>
      <c r="B4" s="6" t="inlineStr">
        <is>
          <t>Total</t>
        </is>
      </c>
      <c r="C4" s="6" t="inlineStr">
        <is>
          <t>Open</t>
        </is>
      </c>
      <c r="D4" s="6" t="inlineStr">
        <is>
          <t>Closed</t>
        </is>
      </c>
      <c r="E4" s="6" t="inlineStr">
        <is>
          <t>Percentage</t>
        </is>
      </c>
      <c r="F4" s="6" t="inlineStr">
        <is>
          <t>Trend</t>
        </is>
      </c>
    </row>
    <row r="5">
      <c r="A5" s="11" t="inlineStr">
        <is>
          <t>Critical</t>
        </is>
      </c>
      <c r="B5" s="9">
        <f>COUNTIF(Drift_Detection_Log!$H$3:$H$152,"Critical")</f>
        <v/>
      </c>
      <c r="C5" s="9">
        <f>COUNTIFS(Drift_Detection_Log!$H$3:$H$152,"Critical",Drift_Detection_Log!$O$3:$O$152,"&lt;&gt;Closed",Drift_Detection_Log!$O$3:$O$152,"&lt;&gt;False Positive")</f>
        <v/>
      </c>
      <c r="D5" s="9">
        <f>COUNTIFS(Drift_Detection_Log!$H$3:$H$152,"Critical",Drift_Detection_Log!$O$3:$O$152,"Closed")</f>
        <v/>
      </c>
      <c r="E5" s="13">
        <f>IF(SUM(B$5:B$9)=0,0,B5/SUM(B$5:B$9)*100)</f>
        <v/>
      </c>
      <c r="F5" s="11" t="inlineStr">
        <is>
          <t>Monitor</t>
        </is>
      </c>
    </row>
    <row r="6">
      <c r="A6" s="11" t="inlineStr">
        <is>
          <t>High</t>
        </is>
      </c>
      <c r="B6" s="9">
        <f>COUNTIF(Drift_Detection_Log!$H$3:$H$152,"High")</f>
        <v/>
      </c>
      <c r="C6" s="9">
        <f>COUNTIFS(Drift_Detection_Log!$H$3:$H$152,"High",Drift_Detection_Log!$O$3:$O$152,"&lt;&gt;Closed",Drift_Detection_Log!$O$3:$O$152,"&lt;&gt;False Positive")</f>
        <v/>
      </c>
      <c r="D6" s="9">
        <f>COUNTIFS(Drift_Detection_Log!$H$3:$H$152,"High",Drift_Detection_Log!$O$3:$O$152,"Closed")</f>
        <v/>
      </c>
      <c r="E6" s="13">
        <f>IF(SUM(B$5:B$9)=0,0,B6/SUM(B$5:B$9)*100)</f>
        <v/>
      </c>
      <c r="F6" s="11" t="inlineStr">
        <is>
          <t>Monitor</t>
        </is>
      </c>
    </row>
    <row r="7">
      <c r="A7" s="11" t="inlineStr">
        <is>
          <t>Medium</t>
        </is>
      </c>
      <c r="B7" s="9">
        <f>COUNTIF(Drift_Detection_Log!$H$3:$H$152,"Medium")</f>
        <v/>
      </c>
      <c r="C7" s="9">
        <f>COUNTIFS(Drift_Detection_Log!$H$3:$H$152,"Medium",Drift_Detection_Log!$O$3:$O$152,"&lt;&gt;Closed",Drift_Detection_Log!$O$3:$O$152,"&lt;&gt;False Positive")</f>
        <v/>
      </c>
      <c r="D7" s="9">
        <f>COUNTIFS(Drift_Detection_Log!$H$3:$H$152,"Medium",Drift_Detection_Log!$O$3:$O$152,"Closed")</f>
        <v/>
      </c>
      <c r="E7" s="13">
        <f>IF(SUM(B$5:B$9)=0,0,B7/SUM(B$5:B$9)*100)</f>
        <v/>
      </c>
      <c r="F7" s="11" t="inlineStr">
        <is>
          <t>Monitor</t>
        </is>
      </c>
    </row>
    <row r="8">
      <c r="A8" s="11" t="inlineStr">
        <is>
          <t>Low</t>
        </is>
      </c>
      <c r="B8" s="9">
        <f>COUNTIF(Drift_Detection_Log!$H$3:$H$152,"Low")</f>
        <v/>
      </c>
      <c r="C8" s="9">
        <f>COUNTIFS(Drift_Detection_Log!$H$3:$H$152,"Low",Drift_Detection_Log!$O$3:$O$152,"&lt;&gt;Closed",Drift_Detection_Log!$O$3:$O$152,"&lt;&gt;False Positive")</f>
        <v/>
      </c>
      <c r="D8" s="9">
        <f>COUNTIFS(Drift_Detection_Log!$H$3:$H$152,"Low",Drift_Detection_Log!$O$3:$O$152,"Closed")</f>
        <v/>
      </c>
      <c r="E8" s="13">
        <f>IF(SUM(B$5:B$9)=0,0,B8/SUM(B$5:B$9)*100)</f>
        <v/>
      </c>
      <c r="F8" s="11" t="inlineStr">
        <is>
          <t>Monitor</t>
        </is>
      </c>
    </row>
    <row r="9">
      <c r="A9" s="11" t="inlineStr">
        <is>
          <t>Informational</t>
        </is>
      </c>
      <c r="B9" s="9">
        <f>COUNTIF(Drift_Detection_Log!$H$3:$H$152,"Informational")</f>
        <v/>
      </c>
      <c r="C9" s="9">
        <f>COUNTIFS(Drift_Detection_Log!$H$3:$H$152,"Informational",Drift_Detection_Log!$O$3:$O$152,"&lt;&gt;Closed",Drift_Detection_Log!$O$3:$O$152,"&lt;&gt;False Positive")</f>
        <v/>
      </c>
      <c r="D9" s="9">
        <f>COUNTIFS(Drift_Detection_Log!$H$3:$H$152,"Informational",Drift_Detection_Log!$O$3:$O$152,"Closed")</f>
        <v/>
      </c>
      <c r="E9" s="13">
        <f>IF(SUM(B$5:B$9)=0,0,B9/SUM(B$5:B$9)*100)</f>
        <v/>
      </c>
      <c r="F9" s="11" t="inlineStr">
        <is>
          <t>Monitor</t>
        </is>
      </c>
    </row>
    <row r="12">
      <c r="A12" s="14" t="inlineStr">
        <is>
          <t>NOTE: Use this data to identify drift patterns. High Critical/High drift = environmental instability.</t>
        </is>
      </c>
    </row>
  </sheetData>
  <mergeCells count="3">
    <mergeCell ref="A3:F3"/>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20" customWidth="1" min="4" max="4"/>
    <col width="25" customWidth="1" min="5" max="5"/>
    <col width="15" customWidth="1" min="6" max="6"/>
    <col width="40" customWidth="1" min="7" max="7"/>
    <col width="20" customWidth="1" min="8" max="8"/>
    <col width="15" customWidth="1" min="9" max="9"/>
    <col width="15" customWidth="1" min="10" max="10"/>
    <col width="15" customWidth="1" min="11" max="11"/>
    <col width="18" customWidth="1" min="12" max="12"/>
    <col width="25" customWidth="1" min="13" max="13"/>
    <col width="35" customWidth="1" min="14" max="14"/>
  </cols>
  <sheetData>
    <row r="1" ht="30" customHeight="1">
      <c r="A1" s="7" t="inlineStr">
        <is>
          <t>Evidence Register - Configuration Monitoring Assessment</t>
        </is>
      </c>
    </row>
    <row r="2" ht="30" customHeight="1">
      <c r="A2" s="6" t="inlineStr">
        <is>
          <t>Evidence ID</t>
        </is>
      </c>
      <c r="B2" s="6" t="inlineStr">
        <is>
          <t>Evidence Type</t>
        </is>
      </c>
      <c r="C2" s="6" t="inlineStr">
        <is>
          <t>Evidence Description</t>
        </is>
      </c>
      <c r="D2" s="6" t="inlineStr">
        <is>
          <t>Related Asset(s)</t>
        </is>
      </c>
      <c r="E2" s="6" t="inlineStr">
        <is>
          <t>Related Drift Incident ID(s)</t>
        </is>
      </c>
      <c r="F2" s="6" t="inlineStr">
        <is>
          <t>Evidence Date</t>
        </is>
      </c>
      <c r="G2" s="6" t="inlineStr">
        <is>
          <t>Evidence Location</t>
        </is>
      </c>
      <c r="H2" s="6" t="inlineStr">
        <is>
          <t>Evidence Owner</t>
        </is>
      </c>
      <c r="I2" s="6" t="inlineStr">
        <is>
          <t>Evidence Classification</t>
        </is>
      </c>
      <c r="J2" s="6" t="inlineStr">
        <is>
          <t>Retention Period</t>
        </is>
      </c>
      <c r="K2" s="6" t="inlineStr">
        <is>
          <t>Last Verified Date</t>
        </is>
      </c>
      <c r="L2" s="6" t="inlineStr">
        <is>
          <t>Verification Status</t>
        </is>
      </c>
      <c r="M2" s="6" t="inlineStr">
        <is>
          <t>Linked Control Requirement</t>
        </is>
      </c>
      <c r="N2" s="6" t="inlineStr">
        <is>
          <t>Notes</t>
        </is>
      </c>
    </row>
    <row r="3">
      <c r="A3" s="8" t="n"/>
      <c r="B3" s="8" t="n"/>
      <c r="C3" s="8" t="n"/>
      <c r="D3" s="8" t="n"/>
      <c r="E3" s="8" t="n"/>
      <c r="F3" s="8" t="n"/>
      <c r="G3" s="8" t="n"/>
      <c r="H3" s="8" t="n"/>
      <c r="I3" s="8" t="n"/>
      <c r="J3" s="8" t="n"/>
      <c r="K3" s="8" t="n"/>
      <c r="L3" s="8" t="n"/>
      <c r="M3" s="8" t="n"/>
      <c r="N3" s="8" t="n"/>
    </row>
    <row r="4">
      <c r="A4" s="8" t="n"/>
      <c r="B4" s="8" t="n"/>
      <c r="C4" s="8" t="n"/>
      <c r="D4" s="8" t="n"/>
      <c r="E4" s="8" t="n"/>
      <c r="F4" s="8" t="n"/>
      <c r="G4" s="8" t="n"/>
      <c r="H4" s="8" t="n"/>
      <c r="I4" s="8" t="n"/>
      <c r="J4" s="8" t="n"/>
      <c r="K4" s="8" t="n"/>
      <c r="L4" s="8" t="n"/>
      <c r="M4" s="8" t="n"/>
      <c r="N4" s="8" t="n"/>
    </row>
    <row r="5">
      <c r="A5" s="8" t="n"/>
      <c r="B5" s="8" t="n"/>
      <c r="C5" s="8" t="n"/>
      <c r="D5" s="8" t="n"/>
      <c r="E5" s="8" t="n"/>
      <c r="F5" s="8" t="n"/>
      <c r="G5" s="8" t="n"/>
      <c r="H5" s="8" t="n"/>
      <c r="I5" s="8" t="n"/>
      <c r="J5" s="8" t="n"/>
      <c r="K5" s="8" t="n"/>
      <c r="L5" s="8" t="n"/>
      <c r="M5" s="8" t="n"/>
      <c r="N5" s="8" t="n"/>
    </row>
    <row r="6">
      <c r="A6" s="8" t="n"/>
      <c r="B6" s="8" t="n"/>
      <c r="C6" s="8" t="n"/>
      <c r="D6" s="8" t="n"/>
      <c r="E6" s="8" t="n"/>
      <c r="F6" s="8" t="n"/>
      <c r="G6" s="8" t="n"/>
      <c r="H6" s="8" t="n"/>
      <c r="I6" s="8" t="n"/>
      <c r="J6" s="8" t="n"/>
      <c r="K6" s="8" t="n"/>
      <c r="L6" s="8" t="n"/>
      <c r="M6" s="8" t="n"/>
      <c r="N6" s="8" t="n"/>
    </row>
    <row r="7">
      <c r="A7" s="8" t="n"/>
      <c r="B7" s="8" t="n"/>
      <c r="C7" s="8" t="n"/>
      <c r="D7" s="8" t="n"/>
      <c r="E7" s="8" t="n"/>
      <c r="F7" s="8" t="n"/>
      <c r="G7" s="8" t="n"/>
      <c r="H7" s="8" t="n"/>
      <c r="I7" s="8" t="n"/>
      <c r="J7" s="8" t="n"/>
      <c r="K7" s="8" t="n"/>
      <c r="L7" s="8" t="n"/>
      <c r="M7" s="8" t="n"/>
      <c r="N7" s="8" t="n"/>
    </row>
    <row r="8">
      <c r="A8" s="8" t="n"/>
      <c r="B8" s="8" t="n"/>
      <c r="C8" s="8" t="n"/>
      <c r="D8" s="8" t="n"/>
      <c r="E8" s="8" t="n"/>
      <c r="F8" s="8" t="n"/>
      <c r="G8" s="8" t="n"/>
      <c r="H8" s="8" t="n"/>
      <c r="I8" s="8" t="n"/>
      <c r="J8" s="8" t="n"/>
      <c r="K8" s="8" t="n"/>
      <c r="L8" s="8" t="n"/>
      <c r="M8" s="8" t="n"/>
      <c r="N8" s="8" t="n"/>
    </row>
    <row r="9">
      <c r="A9" s="8" t="n"/>
      <c r="B9" s="8" t="n"/>
      <c r="C9" s="8" t="n"/>
      <c r="D9" s="8" t="n"/>
      <c r="E9" s="8" t="n"/>
      <c r="F9" s="8" t="n"/>
      <c r="G9" s="8" t="n"/>
      <c r="H9" s="8" t="n"/>
      <c r="I9" s="8" t="n"/>
      <c r="J9" s="8" t="n"/>
      <c r="K9" s="8" t="n"/>
      <c r="L9" s="8" t="n"/>
      <c r="M9" s="8" t="n"/>
      <c r="N9" s="8" t="n"/>
    </row>
    <row r="10">
      <c r="A10" s="8" t="n"/>
      <c r="B10" s="8" t="n"/>
      <c r="C10" s="8" t="n"/>
      <c r="D10" s="8" t="n"/>
      <c r="E10" s="8" t="n"/>
      <c r="F10" s="8" t="n"/>
      <c r="G10" s="8" t="n"/>
      <c r="H10" s="8" t="n"/>
      <c r="I10" s="8" t="n"/>
      <c r="J10" s="8" t="n"/>
      <c r="K10" s="8" t="n"/>
      <c r="L10" s="8" t="n"/>
      <c r="M10" s="8" t="n"/>
      <c r="N10" s="8" t="n"/>
    </row>
    <row r="11">
      <c r="A11" s="8" t="n"/>
      <c r="B11" s="8" t="n"/>
      <c r="C11" s="8" t="n"/>
      <c r="D11" s="8" t="n"/>
      <c r="E11" s="8" t="n"/>
      <c r="F11" s="8" t="n"/>
      <c r="G11" s="8" t="n"/>
      <c r="H11" s="8" t="n"/>
      <c r="I11" s="8" t="n"/>
      <c r="J11" s="8" t="n"/>
      <c r="K11" s="8" t="n"/>
      <c r="L11" s="8" t="n"/>
      <c r="M11" s="8" t="n"/>
      <c r="N11" s="8" t="n"/>
    </row>
    <row r="12">
      <c r="A12" s="8" t="n"/>
      <c r="B12" s="8" t="n"/>
      <c r="C12" s="8" t="n"/>
      <c r="D12" s="8" t="n"/>
      <c r="E12" s="8" t="n"/>
      <c r="F12" s="8" t="n"/>
      <c r="G12" s="8" t="n"/>
      <c r="H12" s="8" t="n"/>
      <c r="I12" s="8" t="n"/>
      <c r="J12" s="8" t="n"/>
      <c r="K12" s="8" t="n"/>
      <c r="L12" s="8" t="n"/>
      <c r="M12" s="8" t="n"/>
      <c r="N12" s="8" t="n"/>
    </row>
    <row r="13">
      <c r="A13" s="8" t="n"/>
      <c r="B13" s="8" t="n"/>
      <c r="C13" s="8" t="n"/>
      <c r="D13" s="8" t="n"/>
      <c r="E13" s="8" t="n"/>
      <c r="F13" s="8" t="n"/>
      <c r="G13" s="8" t="n"/>
      <c r="H13" s="8" t="n"/>
      <c r="I13" s="8" t="n"/>
      <c r="J13" s="8" t="n"/>
      <c r="K13" s="8" t="n"/>
      <c r="L13" s="8" t="n"/>
      <c r="M13" s="8" t="n"/>
      <c r="N13" s="8" t="n"/>
    </row>
    <row r="14">
      <c r="A14" s="8" t="n"/>
      <c r="B14" s="8" t="n"/>
      <c r="C14" s="8" t="n"/>
      <c r="D14" s="8" t="n"/>
      <c r="E14" s="8" t="n"/>
      <c r="F14" s="8" t="n"/>
      <c r="G14" s="8" t="n"/>
      <c r="H14" s="8" t="n"/>
      <c r="I14" s="8" t="n"/>
      <c r="J14" s="8" t="n"/>
      <c r="K14" s="8" t="n"/>
      <c r="L14" s="8" t="n"/>
      <c r="M14" s="8" t="n"/>
      <c r="N14" s="8" t="n"/>
    </row>
    <row r="15">
      <c r="A15" s="8" t="n"/>
      <c r="B15" s="8" t="n"/>
      <c r="C15" s="8" t="n"/>
      <c r="D15" s="8" t="n"/>
      <c r="E15" s="8" t="n"/>
      <c r="F15" s="8" t="n"/>
      <c r="G15" s="8" t="n"/>
      <c r="H15" s="8" t="n"/>
      <c r="I15" s="8" t="n"/>
      <c r="J15" s="8" t="n"/>
      <c r="K15" s="8" t="n"/>
      <c r="L15" s="8" t="n"/>
      <c r="M15" s="8" t="n"/>
      <c r="N15" s="8" t="n"/>
    </row>
    <row r="16">
      <c r="A16" s="8" t="n"/>
      <c r="B16" s="8" t="n"/>
      <c r="C16" s="8" t="n"/>
      <c r="D16" s="8" t="n"/>
      <c r="E16" s="8" t="n"/>
      <c r="F16" s="8" t="n"/>
      <c r="G16" s="8" t="n"/>
      <c r="H16" s="8" t="n"/>
      <c r="I16" s="8" t="n"/>
      <c r="J16" s="8" t="n"/>
      <c r="K16" s="8" t="n"/>
      <c r="L16" s="8" t="n"/>
      <c r="M16" s="8" t="n"/>
      <c r="N16" s="8" t="n"/>
    </row>
    <row r="17">
      <c r="A17" s="8" t="n"/>
      <c r="B17" s="8" t="n"/>
      <c r="C17" s="8" t="n"/>
      <c r="D17" s="8" t="n"/>
      <c r="E17" s="8" t="n"/>
      <c r="F17" s="8" t="n"/>
      <c r="G17" s="8" t="n"/>
      <c r="H17" s="8" t="n"/>
      <c r="I17" s="8" t="n"/>
      <c r="J17" s="8" t="n"/>
      <c r="K17" s="8" t="n"/>
      <c r="L17" s="8" t="n"/>
      <c r="M17" s="8" t="n"/>
      <c r="N17" s="8" t="n"/>
    </row>
    <row r="18">
      <c r="A18" s="8" t="n"/>
      <c r="B18" s="8" t="n"/>
      <c r="C18" s="8" t="n"/>
      <c r="D18" s="8" t="n"/>
      <c r="E18" s="8" t="n"/>
      <c r="F18" s="8" t="n"/>
      <c r="G18" s="8" t="n"/>
      <c r="H18" s="8" t="n"/>
      <c r="I18" s="8" t="n"/>
      <c r="J18" s="8" t="n"/>
      <c r="K18" s="8" t="n"/>
      <c r="L18" s="8" t="n"/>
      <c r="M18" s="8" t="n"/>
      <c r="N18" s="8" t="n"/>
    </row>
    <row r="19">
      <c r="A19" s="8" t="n"/>
      <c r="B19" s="8" t="n"/>
      <c r="C19" s="8" t="n"/>
      <c r="D19" s="8" t="n"/>
      <c r="E19" s="8" t="n"/>
      <c r="F19" s="8" t="n"/>
      <c r="G19" s="8" t="n"/>
      <c r="H19" s="8" t="n"/>
      <c r="I19" s="8" t="n"/>
      <c r="J19" s="8" t="n"/>
      <c r="K19" s="8" t="n"/>
      <c r="L19" s="8" t="n"/>
      <c r="M19" s="8" t="n"/>
      <c r="N19" s="8" t="n"/>
    </row>
    <row r="20">
      <c r="A20" s="8" t="n"/>
      <c r="B20" s="8" t="n"/>
      <c r="C20" s="8" t="n"/>
      <c r="D20" s="8" t="n"/>
      <c r="E20" s="8" t="n"/>
      <c r="F20" s="8" t="n"/>
      <c r="G20" s="8" t="n"/>
      <c r="H20" s="8" t="n"/>
      <c r="I20" s="8" t="n"/>
      <c r="J20" s="8" t="n"/>
      <c r="K20" s="8" t="n"/>
      <c r="L20" s="8" t="n"/>
      <c r="M20" s="8" t="n"/>
      <c r="N20" s="8" t="n"/>
    </row>
    <row r="21">
      <c r="A21" s="8" t="n"/>
      <c r="B21" s="8" t="n"/>
      <c r="C21" s="8" t="n"/>
      <c r="D21" s="8" t="n"/>
      <c r="E21" s="8" t="n"/>
      <c r="F21" s="8" t="n"/>
      <c r="G21" s="8" t="n"/>
      <c r="H21" s="8" t="n"/>
      <c r="I21" s="8" t="n"/>
      <c r="J21" s="8" t="n"/>
      <c r="K21" s="8" t="n"/>
      <c r="L21" s="8" t="n"/>
      <c r="M21" s="8" t="n"/>
      <c r="N21" s="8" t="n"/>
    </row>
    <row r="22">
      <c r="A22" s="8" t="n"/>
      <c r="B22" s="8" t="n"/>
      <c r="C22" s="8" t="n"/>
      <c r="D22" s="8" t="n"/>
      <c r="E22" s="8" t="n"/>
      <c r="F22" s="8" t="n"/>
      <c r="G22" s="8" t="n"/>
      <c r="H22" s="8" t="n"/>
      <c r="I22" s="8" t="n"/>
      <c r="J22" s="8" t="n"/>
      <c r="K22" s="8" t="n"/>
      <c r="L22" s="8" t="n"/>
      <c r="M22" s="8" t="n"/>
      <c r="N22" s="8" t="n"/>
    </row>
    <row r="23">
      <c r="A23" s="8" t="n"/>
      <c r="B23" s="8" t="n"/>
      <c r="C23" s="8" t="n"/>
      <c r="D23" s="8" t="n"/>
      <c r="E23" s="8" t="n"/>
      <c r="F23" s="8" t="n"/>
      <c r="G23" s="8" t="n"/>
      <c r="H23" s="8" t="n"/>
      <c r="I23" s="8" t="n"/>
      <c r="J23" s="8" t="n"/>
      <c r="K23" s="8" t="n"/>
      <c r="L23" s="8" t="n"/>
      <c r="M23" s="8" t="n"/>
      <c r="N23" s="8" t="n"/>
    </row>
    <row r="24">
      <c r="A24" s="8" t="n"/>
      <c r="B24" s="8" t="n"/>
      <c r="C24" s="8" t="n"/>
      <c r="D24" s="8" t="n"/>
      <c r="E24" s="8" t="n"/>
      <c r="F24" s="8" t="n"/>
      <c r="G24" s="8" t="n"/>
      <c r="H24" s="8" t="n"/>
      <c r="I24" s="8" t="n"/>
      <c r="J24" s="8" t="n"/>
      <c r="K24" s="8" t="n"/>
      <c r="L24" s="8" t="n"/>
      <c r="M24" s="8" t="n"/>
      <c r="N24" s="8" t="n"/>
    </row>
    <row r="25">
      <c r="A25" s="8" t="n"/>
      <c r="B25" s="8" t="n"/>
      <c r="C25" s="8" t="n"/>
      <c r="D25" s="8" t="n"/>
      <c r="E25" s="8" t="n"/>
      <c r="F25" s="8" t="n"/>
      <c r="G25" s="8" t="n"/>
      <c r="H25" s="8" t="n"/>
      <c r="I25" s="8" t="n"/>
      <c r="J25" s="8" t="n"/>
      <c r="K25" s="8" t="n"/>
      <c r="L25" s="8" t="n"/>
      <c r="M25" s="8" t="n"/>
      <c r="N25" s="8" t="n"/>
    </row>
    <row r="26">
      <c r="A26" s="8" t="n"/>
      <c r="B26" s="8" t="n"/>
      <c r="C26" s="8" t="n"/>
      <c r="D26" s="8" t="n"/>
      <c r="E26" s="8" t="n"/>
      <c r="F26" s="8" t="n"/>
      <c r="G26" s="8" t="n"/>
      <c r="H26" s="8" t="n"/>
      <c r="I26" s="8" t="n"/>
      <c r="J26" s="8" t="n"/>
      <c r="K26" s="8" t="n"/>
      <c r="L26" s="8" t="n"/>
      <c r="M26" s="8" t="n"/>
      <c r="N26" s="8" t="n"/>
    </row>
    <row r="27">
      <c r="A27" s="8" t="n"/>
      <c r="B27" s="8" t="n"/>
      <c r="C27" s="8" t="n"/>
      <c r="D27" s="8" t="n"/>
      <c r="E27" s="8" t="n"/>
      <c r="F27" s="8" t="n"/>
      <c r="G27" s="8" t="n"/>
      <c r="H27" s="8" t="n"/>
      <c r="I27" s="8" t="n"/>
      <c r="J27" s="8" t="n"/>
      <c r="K27" s="8" t="n"/>
      <c r="L27" s="8" t="n"/>
      <c r="M27" s="8" t="n"/>
      <c r="N27" s="8" t="n"/>
    </row>
    <row r="28">
      <c r="A28" s="8" t="n"/>
      <c r="B28" s="8" t="n"/>
      <c r="C28" s="8" t="n"/>
      <c r="D28" s="8" t="n"/>
      <c r="E28" s="8" t="n"/>
      <c r="F28" s="8" t="n"/>
      <c r="G28" s="8" t="n"/>
      <c r="H28" s="8" t="n"/>
      <c r="I28" s="8" t="n"/>
      <c r="J28" s="8" t="n"/>
      <c r="K28" s="8" t="n"/>
      <c r="L28" s="8" t="n"/>
      <c r="M28" s="8" t="n"/>
      <c r="N28" s="8" t="n"/>
    </row>
    <row r="29">
      <c r="A29" s="8" t="n"/>
      <c r="B29" s="8" t="n"/>
      <c r="C29" s="8" t="n"/>
      <c r="D29" s="8" t="n"/>
      <c r="E29" s="8" t="n"/>
      <c r="F29" s="8" t="n"/>
      <c r="G29" s="8" t="n"/>
      <c r="H29" s="8" t="n"/>
      <c r="I29" s="8" t="n"/>
      <c r="J29" s="8" t="n"/>
      <c r="K29" s="8" t="n"/>
      <c r="L29" s="8" t="n"/>
      <c r="M29" s="8" t="n"/>
      <c r="N29" s="8" t="n"/>
    </row>
    <row r="30">
      <c r="A30" s="8" t="n"/>
      <c r="B30" s="8" t="n"/>
      <c r="C30" s="8" t="n"/>
      <c r="D30" s="8" t="n"/>
      <c r="E30" s="8" t="n"/>
      <c r="F30" s="8" t="n"/>
      <c r="G30" s="8" t="n"/>
      <c r="H30" s="8" t="n"/>
      <c r="I30" s="8" t="n"/>
      <c r="J30" s="8" t="n"/>
      <c r="K30" s="8" t="n"/>
      <c r="L30" s="8" t="n"/>
      <c r="M30" s="8" t="n"/>
      <c r="N30" s="8" t="n"/>
    </row>
    <row r="31">
      <c r="A31" s="8" t="n"/>
      <c r="B31" s="8" t="n"/>
      <c r="C31" s="8" t="n"/>
      <c r="D31" s="8" t="n"/>
      <c r="E31" s="8" t="n"/>
      <c r="F31" s="8" t="n"/>
      <c r="G31" s="8" t="n"/>
      <c r="H31" s="8" t="n"/>
      <c r="I31" s="8" t="n"/>
      <c r="J31" s="8" t="n"/>
      <c r="K31" s="8" t="n"/>
      <c r="L31" s="8" t="n"/>
      <c r="M31" s="8" t="n"/>
      <c r="N31" s="8" t="n"/>
    </row>
    <row r="32">
      <c r="A32" s="8" t="n"/>
      <c r="B32" s="8" t="n"/>
      <c r="C32" s="8" t="n"/>
      <c r="D32" s="8" t="n"/>
      <c r="E32" s="8" t="n"/>
      <c r="F32" s="8" t="n"/>
      <c r="G32" s="8" t="n"/>
      <c r="H32" s="8" t="n"/>
      <c r="I32" s="8" t="n"/>
      <c r="J32" s="8" t="n"/>
      <c r="K32" s="8" t="n"/>
      <c r="L32" s="8" t="n"/>
      <c r="M32" s="8" t="n"/>
      <c r="N32" s="8" t="n"/>
    </row>
    <row r="33">
      <c r="A33" s="8" t="n"/>
      <c r="B33" s="8" t="n"/>
      <c r="C33" s="8" t="n"/>
      <c r="D33" s="8" t="n"/>
      <c r="E33" s="8" t="n"/>
      <c r="F33" s="8" t="n"/>
      <c r="G33" s="8" t="n"/>
      <c r="H33" s="8" t="n"/>
      <c r="I33" s="8" t="n"/>
      <c r="J33" s="8" t="n"/>
      <c r="K33" s="8" t="n"/>
      <c r="L33" s="8" t="n"/>
      <c r="M33" s="8" t="n"/>
      <c r="N33" s="8" t="n"/>
    </row>
    <row r="34">
      <c r="A34" s="8" t="n"/>
      <c r="B34" s="8" t="n"/>
      <c r="C34" s="8" t="n"/>
      <c r="D34" s="8" t="n"/>
      <c r="E34" s="8" t="n"/>
      <c r="F34" s="8" t="n"/>
      <c r="G34" s="8" t="n"/>
      <c r="H34" s="8" t="n"/>
      <c r="I34" s="8" t="n"/>
      <c r="J34" s="8" t="n"/>
      <c r="K34" s="8" t="n"/>
      <c r="L34" s="8" t="n"/>
      <c r="M34" s="8" t="n"/>
      <c r="N34" s="8" t="n"/>
    </row>
    <row r="35">
      <c r="A35" s="8" t="n"/>
      <c r="B35" s="8" t="n"/>
      <c r="C35" s="8" t="n"/>
      <c r="D35" s="8" t="n"/>
      <c r="E35" s="8" t="n"/>
      <c r="F35" s="8" t="n"/>
      <c r="G35" s="8" t="n"/>
      <c r="H35" s="8" t="n"/>
      <c r="I35" s="8" t="n"/>
      <c r="J35" s="8" t="n"/>
      <c r="K35" s="8" t="n"/>
      <c r="L35" s="8" t="n"/>
      <c r="M35" s="8" t="n"/>
      <c r="N35" s="8" t="n"/>
    </row>
    <row r="36">
      <c r="A36" s="8" t="n"/>
      <c r="B36" s="8" t="n"/>
      <c r="C36" s="8" t="n"/>
      <c r="D36" s="8" t="n"/>
      <c r="E36" s="8" t="n"/>
      <c r="F36" s="8" t="n"/>
      <c r="G36" s="8" t="n"/>
      <c r="H36" s="8" t="n"/>
      <c r="I36" s="8" t="n"/>
      <c r="J36" s="8" t="n"/>
      <c r="K36" s="8" t="n"/>
      <c r="L36" s="8" t="n"/>
      <c r="M36" s="8" t="n"/>
      <c r="N36" s="8" t="n"/>
    </row>
    <row r="37">
      <c r="A37" s="8" t="n"/>
      <c r="B37" s="8" t="n"/>
      <c r="C37" s="8" t="n"/>
      <c r="D37" s="8" t="n"/>
      <c r="E37" s="8" t="n"/>
      <c r="F37" s="8" t="n"/>
      <c r="G37" s="8" t="n"/>
      <c r="H37" s="8" t="n"/>
      <c r="I37" s="8" t="n"/>
      <c r="J37" s="8" t="n"/>
      <c r="K37" s="8" t="n"/>
      <c r="L37" s="8" t="n"/>
      <c r="M37" s="8" t="n"/>
      <c r="N37" s="8" t="n"/>
    </row>
    <row r="38">
      <c r="A38" s="8" t="n"/>
      <c r="B38" s="8" t="n"/>
      <c r="C38" s="8" t="n"/>
      <c r="D38" s="8" t="n"/>
      <c r="E38" s="8" t="n"/>
      <c r="F38" s="8" t="n"/>
      <c r="G38" s="8" t="n"/>
      <c r="H38" s="8" t="n"/>
      <c r="I38" s="8" t="n"/>
      <c r="J38" s="8" t="n"/>
      <c r="K38" s="8" t="n"/>
      <c r="L38" s="8" t="n"/>
      <c r="M38" s="8" t="n"/>
      <c r="N38" s="8" t="n"/>
    </row>
    <row r="39">
      <c r="A39" s="8" t="n"/>
      <c r="B39" s="8" t="n"/>
      <c r="C39" s="8" t="n"/>
      <c r="D39" s="8" t="n"/>
      <c r="E39" s="8" t="n"/>
      <c r="F39" s="8" t="n"/>
      <c r="G39" s="8" t="n"/>
      <c r="H39" s="8" t="n"/>
      <c r="I39" s="8" t="n"/>
      <c r="J39" s="8" t="n"/>
      <c r="K39" s="8" t="n"/>
      <c r="L39" s="8" t="n"/>
      <c r="M39" s="8" t="n"/>
      <c r="N39" s="8" t="n"/>
    </row>
    <row r="40">
      <c r="A40" s="8" t="n"/>
      <c r="B40" s="8" t="n"/>
      <c r="C40" s="8" t="n"/>
      <c r="D40" s="8" t="n"/>
      <c r="E40" s="8" t="n"/>
      <c r="F40" s="8" t="n"/>
      <c r="G40" s="8" t="n"/>
      <c r="H40" s="8" t="n"/>
      <c r="I40" s="8" t="n"/>
      <c r="J40" s="8" t="n"/>
      <c r="K40" s="8" t="n"/>
      <c r="L40" s="8" t="n"/>
      <c r="M40" s="8" t="n"/>
      <c r="N40" s="8" t="n"/>
    </row>
    <row r="41">
      <c r="A41" s="8" t="n"/>
      <c r="B41" s="8" t="n"/>
      <c r="C41" s="8" t="n"/>
      <c r="D41" s="8" t="n"/>
      <c r="E41" s="8" t="n"/>
      <c r="F41" s="8" t="n"/>
      <c r="G41" s="8" t="n"/>
      <c r="H41" s="8" t="n"/>
      <c r="I41" s="8" t="n"/>
      <c r="J41" s="8" t="n"/>
      <c r="K41" s="8" t="n"/>
      <c r="L41" s="8" t="n"/>
      <c r="M41" s="8" t="n"/>
      <c r="N41" s="8" t="n"/>
    </row>
    <row r="42">
      <c r="A42" s="8" t="n"/>
      <c r="B42" s="8" t="n"/>
      <c r="C42" s="8" t="n"/>
      <c r="D42" s="8" t="n"/>
      <c r="E42" s="8" t="n"/>
      <c r="F42" s="8" t="n"/>
      <c r="G42" s="8" t="n"/>
      <c r="H42" s="8" t="n"/>
      <c r="I42" s="8" t="n"/>
      <c r="J42" s="8" t="n"/>
      <c r="K42" s="8" t="n"/>
      <c r="L42" s="8" t="n"/>
      <c r="M42" s="8" t="n"/>
      <c r="N42" s="8" t="n"/>
    </row>
    <row r="43">
      <c r="A43" s="8" t="n"/>
      <c r="B43" s="8" t="n"/>
      <c r="C43" s="8" t="n"/>
      <c r="D43" s="8" t="n"/>
      <c r="E43" s="8" t="n"/>
      <c r="F43" s="8" t="n"/>
      <c r="G43" s="8" t="n"/>
      <c r="H43" s="8" t="n"/>
      <c r="I43" s="8" t="n"/>
      <c r="J43" s="8" t="n"/>
      <c r="K43" s="8" t="n"/>
      <c r="L43" s="8" t="n"/>
      <c r="M43" s="8" t="n"/>
      <c r="N43" s="8" t="n"/>
    </row>
    <row r="44">
      <c r="A44" s="8" t="n"/>
      <c r="B44" s="8" t="n"/>
      <c r="C44" s="8" t="n"/>
      <c r="D44" s="8" t="n"/>
      <c r="E44" s="8" t="n"/>
      <c r="F44" s="8" t="n"/>
      <c r="G44" s="8" t="n"/>
      <c r="H44" s="8" t="n"/>
      <c r="I44" s="8" t="n"/>
      <c r="J44" s="8" t="n"/>
      <c r="K44" s="8" t="n"/>
      <c r="L44" s="8" t="n"/>
      <c r="M44" s="8" t="n"/>
      <c r="N44" s="8" t="n"/>
    </row>
    <row r="45">
      <c r="A45" s="8" t="n"/>
      <c r="B45" s="8" t="n"/>
      <c r="C45" s="8" t="n"/>
      <c r="D45" s="8" t="n"/>
      <c r="E45" s="8" t="n"/>
      <c r="F45" s="8" t="n"/>
      <c r="G45" s="8" t="n"/>
      <c r="H45" s="8" t="n"/>
      <c r="I45" s="8" t="n"/>
      <c r="J45" s="8" t="n"/>
      <c r="K45" s="8" t="n"/>
      <c r="L45" s="8" t="n"/>
      <c r="M45" s="8" t="n"/>
      <c r="N45" s="8" t="n"/>
    </row>
    <row r="46">
      <c r="A46" s="8" t="n"/>
      <c r="B46" s="8" t="n"/>
      <c r="C46" s="8" t="n"/>
      <c r="D46" s="8" t="n"/>
      <c r="E46" s="8" t="n"/>
      <c r="F46" s="8" t="n"/>
      <c r="G46" s="8" t="n"/>
      <c r="H46" s="8" t="n"/>
      <c r="I46" s="8" t="n"/>
      <c r="J46" s="8" t="n"/>
      <c r="K46" s="8" t="n"/>
      <c r="L46" s="8" t="n"/>
      <c r="M46" s="8" t="n"/>
      <c r="N46" s="8" t="n"/>
    </row>
    <row r="47">
      <c r="A47" s="8" t="n"/>
      <c r="B47" s="8" t="n"/>
      <c r="C47" s="8" t="n"/>
      <c r="D47" s="8" t="n"/>
      <c r="E47" s="8" t="n"/>
      <c r="F47" s="8" t="n"/>
      <c r="G47" s="8" t="n"/>
      <c r="H47" s="8" t="n"/>
      <c r="I47" s="8" t="n"/>
      <c r="J47" s="8" t="n"/>
      <c r="K47" s="8" t="n"/>
      <c r="L47" s="8" t="n"/>
      <c r="M47" s="8" t="n"/>
      <c r="N47" s="8" t="n"/>
    </row>
    <row r="48">
      <c r="A48" s="8" t="n"/>
      <c r="B48" s="8" t="n"/>
      <c r="C48" s="8" t="n"/>
      <c r="D48" s="8" t="n"/>
      <c r="E48" s="8" t="n"/>
      <c r="F48" s="8" t="n"/>
      <c r="G48" s="8" t="n"/>
      <c r="H48" s="8" t="n"/>
      <c r="I48" s="8" t="n"/>
      <c r="J48" s="8" t="n"/>
      <c r="K48" s="8" t="n"/>
      <c r="L48" s="8" t="n"/>
      <c r="M48" s="8" t="n"/>
      <c r="N48" s="8" t="n"/>
    </row>
    <row r="49">
      <c r="A49" s="8" t="n"/>
      <c r="B49" s="8" t="n"/>
      <c r="C49" s="8" t="n"/>
      <c r="D49" s="8" t="n"/>
      <c r="E49" s="8" t="n"/>
      <c r="F49" s="8" t="n"/>
      <c r="G49" s="8" t="n"/>
      <c r="H49" s="8" t="n"/>
      <c r="I49" s="8" t="n"/>
      <c r="J49" s="8" t="n"/>
      <c r="K49" s="8" t="n"/>
      <c r="L49" s="8" t="n"/>
      <c r="M49" s="8" t="n"/>
      <c r="N49" s="8" t="n"/>
    </row>
    <row r="50">
      <c r="A50" s="8" t="n"/>
      <c r="B50" s="8" t="n"/>
      <c r="C50" s="8" t="n"/>
      <c r="D50" s="8" t="n"/>
      <c r="E50" s="8" t="n"/>
      <c r="F50" s="8" t="n"/>
      <c r="G50" s="8" t="n"/>
      <c r="H50" s="8" t="n"/>
      <c r="I50" s="8" t="n"/>
      <c r="J50" s="8" t="n"/>
      <c r="K50" s="8" t="n"/>
      <c r="L50" s="8" t="n"/>
      <c r="M50" s="8" t="n"/>
      <c r="N50" s="8" t="n"/>
    </row>
    <row r="51">
      <c r="A51" s="8" t="n"/>
      <c r="B51" s="8" t="n"/>
      <c r="C51" s="8" t="n"/>
      <c r="D51" s="8" t="n"/>
      <c r="E51" s="8" t="n"/>
      <c r="F51" s="8" t="n"/>
      <c r="G51" s="8" t="n"/>
      <c r="H51" s="8" t="n"/>
      <c r="I51" s="8" t="n"/>
      <c r="J51" s="8" t="n"/>
      <c r="K51" s="8" t="n"/>
      <c r="L51" s="8" t="n"/>
      <c r="M51" s="8" t="n"/>
      <c r="N51" s="8" t="n"/>
    </row>
    <row r="52">
      <c r="A52" s="8" t="n"/>
      <c r="B52" s="8" t="n"/>
      <c r="C52" s="8" t="n"/>
      <c r="D52" s="8" t="n"/>
      <c r="E52" s="8" t="n"/>
      <c r="F52" s="8" t="n"/>
      <c r="G52" s="8" t="n"/>
      <c r="H52" s="8" t="n"/>
      <c r="I52" s="8" t="n"/>
      <c r="J52" s="8" t="n"/>
      <c r="K52" s="8" t="n"/>
      <c r="L52" s="8" t="n"/>
      <c r="M52" s="8" t="n"/>
      <c r="N52" s="8" t="n"/>
    </row>
    <row r="53">
      <c r="A53" s="8" t="n"/>
      <c r="B53" s="8" t="n"/>
      <c r="C53" s="8" t="n"/>
      <c r="D53" s="8" t="n"/>
      <c r="E53" s="8" t="n"/>
      <c r="F53" s="8" t="n"/>
      <c r="G53" s="8" t="n"/>
      <c r="H53" s="8" t="n"/>
      <c r="I53" s="8" t="n"/>
      <c r="J53" s="8" t="n"/>
      <c r="K53" s="8" t="n"/>
      <c r="L53" s="8" t="n"/>
      <c r="M53" s="8" t="n"/>
      <c r="N53" s="8" t="n"/>
    </row>
    <row r="54">
      <c r="A54" s="8" t="n"/>
      <c r="B54" s="8" t="n"/>
      <c r="C54" s="8" t="n"/>
      <c r="D54" s="8" t="n"/>
      <c r="E54" s="8" t="n"/>
      <c r="F54" s="8" t="n"/>
      <c r="G54" s="8" t="n"/>
      <c r="H54" s="8" t="n"/>
      <c r="I54" s="8" t="n"/>
      <c r="J54" s="8" t="n"/>
      <c r="K54" s="8" t="n"/>
      <c r="L54" s="8" t="n"/>
      <c r="M54" s="8" t="n"/>
      <c r="N54" s="8" t="n"/>
    </row>
    <row r="55">
      <c r="A55" s="8" t="n"/>
      <c r="B55" s="8" t="n"/>
      <c r="C55" s="8" t="n"/>
      <c r="D55" s="8" t="n"/>
      <c r="E55" s="8" t="n"/>
      <c r="F55" s="8" t="n"/>
      <c r="G55" s="8" t="n"/>
      <c r="H55" s="8" t="n"/>
      <c r="I55" s="8" t="n"/>
      <c r="J55" s="8" t="n"/>
      <c r="K55" s="8" t="n"/>
      <c r="L55" s="8" t="n"/>
      <c r="M55" s="8" t="n"/>
      <c r="N55" s="8" t="n"/>
    </row>
    <row r="56">
      <c r="A56" s="8" t="n"/>
      <c r="B56" s="8" t="n"/>
      <c r="C56" s="8" t="n"/>
      <c r="D56" s="8" t="n"/>
      <c r="E56" s="8" t="n"/>
      <c r="F56" s="8" t="n"/>
      <c r="G56" s="8" t="n"/>
      <c r="H56" s="8" t="n"/>
      <c r="I56" s="8" t="n"/>
      <c r="J56" s="8" t="n"/>
      <c r="K56" s="8" t="n"/>
      <c r="L56" s="8" t="n"/>
      <c r="M56" s="8" t="n"/>
      <c r="N56" s="8" t="n"/>
    </row>
    <row r="57">
      <c r="A57" s="8" t="n"/>
      <c r="B57" s="8" t="n"/>
      <c r="C57" s="8" t="n"/>
      <c r="D57" s="8" t="n"/>
      <c r="E57" s="8" t="n"/>
      <c r="F57" s="8" t="n"/>
      <c r="G57" s="8" t="n"/>
      <c r="H57" s="8" t="n"/>
      <c r="I57" s="8" t="n"/>
      <c r="J57" s="8" t="n"/>
      <c r="K57" s="8" t="n"/>
      <c r="L57" s="8" t="n"/>
      <c r="M57" s="8" t="n"/>
      <c r="N57" s="8" t="n"/>
    </row>
    <row r="58">
      <c r="A58" s="8" t="n"/>
      <c r="B58" s="8" t="n"/>
      <c r="C58" s="8" t="n"/>
      <c r="D58" s="8" t="n"/>
      <c r="E58" s="8" t="n"/>
      <c r="F58" s="8" t="n"/>
      <c r="G58" s="8" t="n"/>
      <c r="H58" s="8" t="n"/>
      <c r="I58" s="8" t="n"/>
      <c r="J58" s="8" t="n"/>
      <c r="K58" s="8" t="n"/>
      <c r="L58" s="8" t="n"/>
      <c r="M58" s="8" t="n"/>
      <c r="N58" s="8" t="n"/>
    </row>
    <row r="59">
      <c r="A59" s="8" t="n"/>
      <c r="B59" s="8" t="n"/>
      <c r="C59" s="8" t="n"/>
      <c r="D59" s="8" t="n"/>
      <c r="E59" s="8" t="n"/>
      <c r="F59" s="8" t="n"/>
      <c r="G59" s="8" t="n"/>
      <c r="H59" s="8" t="n"/>
      <c r="I59" s="8" t="n"/>
      <c r="J59" s="8" t="n"/>
      <c r="K59" s="8" t="n"/>
      <c r="L59" s="8" t="n"/>
      <c r="M59" s="8" t="n"/>
      <c r="N59" s="8" t="n"/>
    </row>
    <row r="60">
      <c r="A60" s="8" t="n"/>
      <c r="B60" s="8" t="n"/>
      <c r="C60" s="8" t="n"/>
      <c r="D60" s="8" t="n"/>
      <c r="E60" s="8" t="n"/>
      <c r="F60" s="8" t="n"/>
      <c r="G60" s="8" t="n"/>
      <c r="H60" s="8" t="n"/>
      <c r="I60" s="8" t="n"/>
      <c r="J60" s="8" t="n"/>
      <c r="K60" s="8" t="n"/>
      <c r="L60" s="8" t="n"/>
      <c r="M60" s="8" t="n"/>
      <c r="N60" s="8" t="n"/>
    </row>
    <row r="61">
      <c r="A61" s="8" t="n"/>
      <c r="B61" s="8" t="n"/>
      <c r="C61" s="8" t="n"/>
      <c r="D61" s="8" t="n"/>
      <c r="E61" s="8" t="n"/>
      <c r="F61" s="8" t="n"/>
      <c r="G61" s="8" t="n"/>
      <c r="H61" s="8" t="n"/>
      <c r="I61" s="8" t="n"/>
      <c r="J61" s="8" t="n"/>
      <c r="K61" s="8" t="n"/>
      <c r="L61" s="8" t="n"/>
      <c r="M61" s="8" t="n"/>
      <c r="N61" s="8" t="n"/>
    </row>
    <row r="62">
      <c r="A62" s="8" t="n"/>
      <c r="B62" s="8" t="n"/>
      <c r="C62" s="8" t="n"/>
      <c r="D62" s="8" t="n"/>
      <c r="E62" s="8" t="n"/>
      <c r="F62" s="8" t="n"/>
      <c r="G62" s="8" t="n"/>
      <c r="H62" s="8" t="n"/>
      <c r="I62" s="8" t="n"/>
      <c r="J62" s="8" t="n"/>
      <c r="K62" s="8" t="n"/>
      <c r="L62" s="8" t="n"/>
      <c r="M62" s="8" t="n"/>
      <c r="N62" s="8" t="n"/>
    </row>
    <row r="63">
      <c r="A63" s="8" t="n"/>
      <c r="B63" s="8" t="n"/>
      <c r="C63" s="8" t="n"/>
      <c r="D63" s="8" t="n"/>
      <c r="E63" s="8" t="n"/>
      <c r="F63" s="8" t="n"/>
      <c r="G63" s="8" t="n"/>
      <c r="H63" s="8" t="n"/>
      <c r="I63" s="8" t="n"/>
      <c r="J63" s="8" t="n"/>
      <c r="K63" s="8" t="n"/>
      <c r="L63" s="8" t="n"/>
      <c r="M63" s="8" t="n"/>
      <c r="N63" s="8" t="n"/>
    </row>
    <row r="64">
      <c r="A64" s="8" t="n"/>
      <c r="B64" s="8" t="n"/>
      <c r="C64" s="8" t="n"/>
      <c r="D64" s="8" t="n"/>
      <c r="E64" s="8" t="n"/>
      <c r="F64" s="8" t="n"/>
      <c r="G64" s="8" t="n"/>
      <c r="H64" s="8" t="n"/>
      <c r="I64" s="8" t="n"/>
      <c r="J64" s="8" t="n"/>
      <c r="K64" s="8" t="n"/>
      <c r="L64" s="8" t="n"/>
      <c r="M64" s="8" t="n"/>
      <c r="N64" s="8" t="n"/>
    </row>
    <row r="65">
      <c r="A65" s="8" t="n"/>
      <c r="B65" s="8" t="n"/>
      <c r="C65" s="8" t="n"/>
      <c r="D65" s="8" t="n"/>
      <c r="E65" s="8" t="n"/>
      <c r="F65" s="8" t="n"/>
      <c r="G65" s="8" t="n"/>
      <c r="H65" s="8" t="n"/>
      <c r="I65" s="8" t="n"/>
      <c r="J65" s="8" t="n"/>
      <c r="K65" s="8" t="n"/>
      <c r="L65" s="8" t="n"/>
      <c r="M65" s="8" t="n"/>
      <c r="N65" s="8" t="n"/>
    </row>
    <row r="66">
      <c r="A66" s="8" t="n"/>
      <c r="B66" s="8" t="n"/>
      <c r="C66" s="8" t="n"/>
      <c r="D66" s="8" t="n"/>
      <c r="E66" s="8" t="n"/>
      <c r="F66" s="8" t="n"/>
      <c r="G66" s="8" t="n"/>
      <c r="H66" s="8" t="n"/>
      <c r="I66" s="8" t="n"/>
      <c r="J66" s="8" t="n"/>
      <c r="K66" s="8" t="n"/>
      <c r="L66" s="8" t="n"/>
      <c r="M66" s="8" t="n"/>
      <c r="N66" s="8" t="n"/>
    </row>
    <row r="67">
      <c r="A67" s="8" t="n"/>
      <c r="B67" s="8" t="n"/>
      <c r="C67" s="8" t="n"/>
      <c r="D67" s="8" t="n"/>
      <c r="E67" s="8" t="n"/>
      <c r="F67" s="8" t="n"/>
      <c r="G67" s="8" t="n"/>
      <c r="H67" s="8" t="n"/>
      <c r="I67" s="8" t="n"/>
      <c r="J67" s="8" t="n"/>
      <c r="K67" s="8" t="n"/>
      <c r="L67" s="8" t="n"/>
      <c r="M67" s="8" t="n"/>
      <c r="N67" s="8" t="n"/>
    </row>
    <row r="68">
      <c r="A68" s="8" t="n"/>
      <c r="B68" s="8" t="n"/>
      <c r="C68" s="8" t="n"/>
      <c r="D68" s="8" t="n"/>
      <c r="E68" s="8" t="n"/>
      <c r="F68" s="8" t="n"/>
      <c r="G68" s="8" t="n"/>
      <c r="H68" s="8" t="n"/>
      <c r="I68" s="8" t="n"/>
      <c r="J68" s="8" t="n"/>
      <c r="K68" s="8" t="n"/>
      <c r="L68" s="8" t="n"/>
      <c r="M68" s="8" t="n"/>
      <c r="N68" s="8" t="n"/>
    </row>
    <row r="69">
      <c r="A69" s="8" t="n"/>
      <c r="B69" s="8" t="n"/>
      <c r="C69" s="8" t="n"/>
      <c r="D69" s="8" t="n"/>
      <c r="E69" s="8" t="n"/>
      <c r="F69" s="8" t="n"/>
      <c r="G69" s="8" t="n"/>
      <c r="H69" s="8" t="n"/>
      <c r="I69" s="8" t="n"/>
      <c r="J69" s="8" t="n"/>
      <c r="K69" s="8" t="n"/>
      <c r="L69" s="8" t="n"/>
      <c r="M69" s="8" t="n"/>
      <c r="N69" s="8" t="n"/>
    </row>
    <row r="70">
      <c r="A70" s="8" t="n"/>
      <c r="B70" s="8" t="n"/>
      <c r="C70" s="8" t="n"/>
      <c r="D70" s="8" t="n"/>
      <c r="E70" s="8" t="n"/>
      <c r="F70" s="8" t="n"/>
      <c r="G70" s="8" t="n"/>
      <c r="H70" s="8" t="n"/>
      <c r="I70" s="8" t="n"/>
      <c r="J70" s="8" t="n"/>
      <c r="K70" s="8" t="n"/>
      <c r="L70" s="8" t="n"/>
      <c r="M70" s="8" t="n"/>
      <c r="N70" s="8" t="n"/>
    </row>
    <row r="71">
      <c r="A71" s="8" t="n"/>
      <c r="B71" s="8" t="n"/>
      <c r="C71" s="8" t="n"/>
      <c r="D71" s="8" t="n"/>
      <c r="E71" s="8" t="n"/>
      <c r="F71" s="8" t="n"/>
      <c r="G71" s="8" t="n"/>
      <c r="H71" s="8" t="n"/>
      <c r="I71" s="8" t="n"/>
      <c r="J71" s="8" t="n"/>
      <c r="K71" s="8" t="n"/>
      <c r="L71" s="8" t="n"/>
      <c r="M71" s="8" t="n"/>
      <c r="N71" s="8" t="n"/>
    </row>
    <row r="72">
      <c r="A72" s="8" t="n"/>
      <c r="B72" s="8" t="n"/>
      <c r="C72" s="8" t="n"/>
      <c r="D72" s="8" t="n"/>
      <c r="E72" s="8" t="n"/>
      <c r="F72" s="8" t="n"/>
      <c r="G72" s="8" t="n"/>
      <c r="H72" s="8" t="n"/>
      <c r="I72" s="8" t="n"/>
      <c r="J72" s="8" t="n"/>
      <c r="K72" s="8" t="n"/>
      <c r="L72" s="8" t="n"/>
      <c r="M72" s="8" t="n"/>
      <c r="N72" s="8" t="n"/>
    </row>
    <row r="73">
      <c r="A73" s="8" t="n"/>
      <c r="B73" s="8" t="n"/>
      <c r="C73" s="8" t="n"/>
      <c r="D73" s="8" t="n"/>
      <c r="E73" s="8" t="n"/>
      <c r="F73" s="8" t="n"/>
      <c r="G73" s="8" t="n"/>
      <c r="H73" s="8" t="n"/>
      <c r="I73" s="8" t="n"/>
      <c r="J73" s="8" t="n"/>
      <c r="K73" s="8" t="n"/>
      <c r="L73" s="8" t="n"/>
      <c r="M73" s="8" t="n"/>
      <c r="N73" s="8" t="n"/>
    </row>
    <row r="74">
      <c r="A74" s="8" t="n"/>
      <c r="B74" s="8" t="n"/>
      <c r="C74" s="8" t="n"/>
      <c r="D74" s="8" t="n"/>
      <c r="E74" s="8" t="n"/>
      <c r="F74" s="8" t="n"/>
      <c r="G74" s="8" t="n"/>
      <c r="H74" s="8" t="n"/>
      <c r="I74" s="8" t="n"/>
      <c r="J74" s="8" t="n"/>
      <c r="K74" s="8" t="n"/>
      <c r="L74" s="8" t="n"/>
      <c r="M74" s="8" t="n"/>
      <c r="N74" s="8" t="n"/>
    </row>
    <row r="75">
      <c r="A75" s="8" t="n"/>
      <c r="B75" s="8" t="n"/>
      <c r="C75" s="8" t="n"/>
      <c r="D75" s="8" t="n"/>
      <c r="E75" s="8" t="n"/>
      <c r="F75" s="8" t="n"/>
      <c r="G75" s="8" t="n"/>
      <c r="H75" s="8" t="n"/>
      <c r="I75" s="8" t="n"/>
      <c r="J75" s="8" t="n"/>
      <c r="K75" s="8" t="n"/>
      <c r="L75" s="8" t="n"/>
      <c r="M75" s="8" t="n"/>
      <c r="N75" s="8" t="n"/>
    </row>
    <row r="76">
      <c r="A76" s="8" t="n"/>
      <c r="B76" s="8" t="n"/>
      <c r="C76" s="8" t="n"/>
      <c r="D76" s="8" t="n"/>
      <c r="E76" s="8" t="n"/>
      <c r="F76" s="8" t="n"/>
      <c r="G76" s="8" t="n"/>
      <c r="H76" s="8" t="n"/>
      <c r="I76" s="8" t="n"/>
      <c r="J76" s="8" t="n"/>
      <c r="K76" s="8" t="n"/>
      <c r="L76" s="8" t="n"/>
      <c r="M76" s="8" t="n"/>
      <c r="N76" s="8" t="n"/>
    </row>
    <row r="77">
      <c r="A77" s="8" t="n"/>
      <c r="B77" s="8" t="n"/>
      <c r="C77" s="8" t="n"/>
      <c r="D77" s="8" t="n"/>
      <c r="E77" s="8" t="n"/>
      <c r="F77" s="8" t="n"/>
      <c r="G77" s="8" t="n"/>
      <c r="H77" s="8" t="n"/>
      <c r="I77" s="8" t="n"/>
      <c r="J77" s="8" t="n"/>
      <c r="K77" s="8" t="n"/>
      <c r="L77" s="8" t="n"/>
      <c r="M77" s="8" t="n"/>
      <c r="N77" s="8" t="n"/>
    </row>
    <row r="78">
      <c r="A78" s="8" t="n"/>
      <c r="B78" s="8" t="n"/>
      <c r="C78" s="8" t="n"/>
      <c r="D78" s="8" t="n"/>
      <c r="E78" s="8" t="n"/>
      <c r="F78" s="8" t="n"/>
      <c r="G78" s="8" t="n"/>
      <c r="H78" s="8" t="n"/>
      <c r="I78" s="8" t="n"/>
      <c r="J78" s="8" t="n"/>
      <c r="K78" s="8" t="n"/>
      <c r="L78" s="8" t="n"/>
      <c r="M78" s="8" t="n"/>
      <c r="N78" s="8" t="n"/>
    </row>
    <row r="79">
      <c r="A79" s="8" t="n"/>
      <c r="B79" s="8" t="n"/>
      <c r="C79" s="8" t="n"/>
      <c r="D79" s="8" t="n"/>
      <c r="E79" s="8" t="n"/>
      <c r="F79" s="8" t="n"/>
      <c r="G79" s="8" t="n"/>
      <c r="H79" s="8" t="n"/>
      <c r="I79" s="8" t="n"/>
      <c r="J79" s="8" t="n"/>
      <c r="K79" s="8" t="n"/>
      <c r="L79" s="8" t="n"/>
      <c r="M79" s="8" t="n"/>
      <c r="N79" s="8" t="n"/>
    </row>
    <row r="80">
      <c r="A80" s="8" t="n"/>
      <c r="B80" s="8" t="n"/>
      <c r="C80" s="8" t="n"/>
      <c r="D80" s="8" t="n"/>
      <c r="E80" s="8" t="n"/>
      <c r="F80" s="8" t="n"/>
      <c r="G80" s="8" t="n"/>
      <c r="H80" s="8" t="n"/>
      <c r="I80" s="8" t="n"/>
      <c r="J80" s="8" t="n"/>
      <c r="K80" s="8" t="n"/>
      <c r="L80" s="8" t="n"/>
      <c r="M80" s="8" t="n"/>
      <c r="N80" s="8" t="n"/>
    </row>
    <row r="81">
      <c r="A81" s="8" t="n"/>
      <c r="B81" s="8" t="n"/>
      <c r="C81" s="8" t="n"/>
      <c r="D81" s="8" t="n"/>
      <c r="E81" s="8" t="n"/>
      <c r="F81" s="8" t="n"/>
      <c r="G81" s="8" t="n"/>
      <c r="H81" s="8" t="n"/>
      <c r="I81" s="8" t="n"/>
      <c r="J81" s="8" t="n"/>
      <c r="K81" s="8" t="n"/>
      <c r="L81" s="8" t="n"/>
      <c r="M81" s="8" t="n"/>
      <c r="N81" s="8" t="n"/>
    </row>
    <row r="82">
      <c r="A82" s="8" t="n"/>
      <c r="B82" s="8" t="n"/>
      <c r="C82" s="8" t="n"/>
      <c r="D82" s="8" t="n"/>
      <c r="E82" s="8" t="n"/>
      <c r="F82" s="8" t="n"/>
      <c r="G82" s="8" t="n"/>
      <c r="H82" s="8" t="n"/>
      <c r="I82" s="8" t="n"/>
      <c r="J82" s="8" t="n"/>
      <c r="K82" s="8" t="n"/>
      <c r="L82" s="8" t="n"/>
      <c r="M82" s="8" t="n"/>
      <c r="N82" s="8" t="n"/>
    </row>
    <row r="83">
      <c r="A83" s="8" t="n"/>
      <c r="B83" s="8" t="n"/>
      <c r="C83" s="8" t="n"/>
      <c r="D83" s="8" t="n"/>
      <c r="E83" s="8" t="n"/>
      <c r="F83" s="8" t="n"/>
      <c r="G83" s="8" t="n"/>
      <c r="H83" s="8" t="n"/>
      <c r="I83" s="8" t="n"/>
      <c r="J83" s="8" t="n"/>
      <c r="K83" s="8" t="n"/>
      <c r="L83" s="8" t="n"/>
      <c r="M83" s="8" t="n"/>
      <c r="N83" s="8" t="n"/>
    </row>
    <row r="84">
      <c r="A84" s="8" t="n"/>
      <c r="B84" s="8" t="n"/>
      <c r="C84" s="8" t="n"/>
      <c r="D84" s="8" t="n"/>
      <c r="E84" s="8" t="n"/>
      <c r="F84" s="8" t="n"/>
      <c r="G84" s="8" t="n"/>
      <c r="H84" s="8" t="n"/>
      <c r="I84" s="8" t="n"/>
      <c r="J84" s="8" t="n"/>
      <c r="K84" s="8" t="n"/>
      <c r="L84" s="8" t="n"/>
      <c r="M84" s="8" t="n"/>
      <c r="N84" s="8" t="n"/>
    </row>
    <row r="85">
      <c r="A85" s="8" t="n"/>
      <c r="B85" s="8" t="n"/>
      <c r="C85" s="8" t="n"/>
      <c r="D85" s="8" t="n"/>
      <c r="E85" s="8" t="n"/>
      <c r="F85" s="8" t="n"/>
      <c r="G85" s="8" t="n"/>
      <c r="H85" s="8" t="n"/>
      <c r="I85" s="8" t="n"/>
      <c r="J85" s="8" t="n"/>
      <c r="K85" s="8" t="n"/>
      <c r="L85" s="8" t="n"/>
      <c r="M85" s="8" t="n"/>
      <c r="N85" s="8" t="n"/>
    </row>
    <row r="86">
      <c r="A86" s="8" t="n"/>
      <c r="B86" s="8" t="n"/>
      <c r="C86" s="8" t="n"/>
      <c r="D86" s="8" t="n"/>
      <c r="E86" s="8" t="n"/>
      <c r="F86" s="8" t="n"/>
      <c r="G86" s="8" t="n"/>
      <c r="H86" s="8" t="n"/>
      <c r="I86" s="8" t="n"/>
      <c r="J86" s="8" t="n"/>
      <c r="K86" s="8" t="n"/>
      <c r="L86" s="8" t="n"/>
      <c r="M86" s="8" t="n"/>
      <c r="N86" s="8" t="n"/>
    </row>
    <row r="87">
      <c r="A87" s="8" t="n"/>
      <c r="B87" s="8" t="n"/>
      <c r="C87" s="8" t="n"/>
      <c r="D87" s="8" t="n"/>
      <c r="E87" s="8" t="n"/>
      <c r="F87" s="8" t="n"/>
      <c r="G87" s="8" t="n"/>
      <c r="H87" s="8" t="n"/>
      <c r="I87" s="8" t="n"/>
      <c r="J87" s="8" t="n"/>
      <c r="K87" s="8" t="n"/>
      <c r="L87" s="8" t="n"/>
      <c r="M87" s="8" t="n"/>
      <c r="N87" s="8" t="n"/>
    </row>
    <row r="88">
      <c r="A88" s="8" t="n"/>
      <c r="B88" s="8" t="n"/>
      <c r="C88" s="8" t="n"/>
      <c r="D88" s="8" t="n"/>
      <c r="E88" s="8" t="n"/>
      <c r="F88" s="8" t="n"/>
      <c r="G88" s="8" t="n"/>
      <c r="H88" s="8" t="n"/>
      <c r="I88" s="8" t="n"/>
      <c r="J88" s="8" t="n"/>
      <c r="K88" s="8" t="n"/>
      <c r="L88" s="8" t="n"/>
      <c r="M88" s="8" t="n"/>
      <c r="N88" s="8" t="n"/>
    </row>
    <row r="89">
      <c r="A89" s="8" t="n"/>
      <c r="B89" s="8" t="n"/>
      <c r="C89" s="8" t="n"/>
      <c r="D89" s="8" t="n"/>
      <c r="E89" s="8" t="n"/>
      <c r="F89" s="8" t="n"/>
      <c r="G89" s="8" t="n"/>
      <c r="H89" s="8" t="n"/>
      <c r="I89" s="8" t="n"/>
      <c r="J89" s="8" t="n"/>
      <c r="K89" s="8" t="n"/>
      <c r="L89" s="8" t="n"/>
      <c r="M89" s="8" t="n"/>
      <c r="N89" s="8" t="n"/>
    </row>
    <row r="90">
      <c r="A90" s="8" t="n"/>
      <c r="B90" s="8" t="n"/>
      <c r="C90" s="8" t="n"/>
      <c r="D90" s="8" t="n"/>
      <c r="E90" s="8" t="n"/>
      <c r="F90" s="8" t="n"/>
      <c r="G90" s="8" t="n"/>
      <c r="H90" s="8" t="n"/>
      <c r="I90" s="8" t="n"/>
      <c r="J90" s="8" t="n"/>
      <c r="K90" s="8" t="n"/>
      <c r="L90" s="8" t="n"/>
      <c r="M90" s="8" t="n"/>
      <c r="N90" s="8" t="n"/>
    </row>
    <row r="91">
      <c r="A91" s="8" t="n"/>
      <c r="B91" s="8" t="n"/>
      <c r="C91" s="8" t="n"/>
      <c r="D91" s="8" t="n"/>
      <c r="E91" s="8" t="n"/>
      <c r="F91" s="8" t="n"/>
      <c r="G91" s="8" t="n"/>
      <c r="H91" s="8" t="n"/>
      <c r="I91" s="8" t="n"/>
      <c r="J91" s="8" t="n"/>
      <c r="K91" s="8" t="n"/>
      <c r="L91" s="8" t="n"/>
      <c r="M91" s="8" t="n"/>
      <c r="N91" s="8" t="n"/>
    </row>
    <row r="92">
      <c r="A92" s="8" t="n"/>
      <c r="B92" s="8" t="n"/>
      <c r="C92" s="8" t="n"/>
      <c r="D92" s="8" t="n"/>
      <c r="E92" s="8" t="n"/>
      <c r="F92" s="8" t="n"/>
      <c r="G92" s="8" t="n"/>
      <c r="H92" s="8" t="n"/>
      <c r="I92" s="8" t="n"/>
      <c r="J92" s="8" t="n"/>
      <c r="K92" s="8" t="n"/>
      <c r="L92" s="8" t="n"/>
      <c r="M92" s="8" t="n"/>
      <c r="N92" s="8" t="n"/>
    </row>
    <row r="93">
      <c r="A93" s="8" t="n"/>
      <c r="B93" s="8" t="n"/>
      <c r="C93" s="8" t="n"/>
      <c r="D93" s="8" t="n"/>
      <c r="E93" s="8" t="n"/>
      <c r="F93" s="8" t="n"/>
      <c r="G93" s="8" t="n"/>
      <c r="H93" s="8" t="n"/>
      <c r="I93" s="8" t="n"/>
      <c r="J93" s="8" t="n"/>
      <c r="K93" s="8" t="n"/>
      <c r="L93" s="8" t="n"/>
      <c r="M93" s="8" t="n"/>
      <c r="N93" s="8" t="n"/>
    </row>
    <row r="94">
      <c r="A94" s="8" t="n"/>
      <c r="B94" s="8" t="n"/>
      <c r="C94" s="8" t="n"/>
      <c r="D94" s="8" t="n"/>
      <c r="E94" s="8" t="n"/>
      <c r="F94" s="8" t="n"/>
      <c r="G94" s="8" t="n"/>
      <c r="H94" s="8" t="n"/>
      <c r="I94" s="8" t="n"/>
      <c r="J94" s="8" t="n"/>
      <c r="K94" s="8" t="n"/>
      <c r="L94" s="8" t="n"/>
      <c r="M94" s="8" t="n"/>
      <c r="N94" s="8" t="n"/>
    </row>
    <row r="95">
      <c r="A95" s="8" t="n"/>
      <c r="B95" s="8" t="n"/>
      <c r="C95" s="8" t="n"/>
      <c r="D95" s="8" t="n"/>
      <c r="E95" s="8" t="n"/>
      <c r="F95" s="8" t="n"/>
      <c r="G95" s="8" t="n"/>
      <c r="H95" s="8" t="n"/>
      <c r="I95" s="8" t="n"/>
      <c r="J95" s="8" t="n"/>
      <c r="K95" s="8" t="n"/>
      <c r="L95" s="8" t="n"/>
      <c r="M95" s="8" t="n"/>
      <c r="N95" s="8" t="n"/>
    </row>
    <row r="96">
      <c r="A96" s="8" t="n"/>
      <c r="B96" s="8" t="n"/>
      <c r="C96" s="8" t="n"/>
      <c r="D96" s="8" t="n"/>
      <c r="E96" s="8" t="n"/>
      <c r="F96" s="8" t="n"/>
      <c r="G96" s="8" t="n"/>
      <c r="H96" s="8" t="n"/>
      <c r="I96" s="8" t="n"/>
      <c r="J96" s="8" t="n"/>
      <c r="K96" s="8" t="n"/>
      <c r="L96" s="8" t="n"/>
      <c r="M96" s="8" t="n"/>
      <c r="N96" s="8" t="n"/>
    </row>
    <row r="97">
      <c r="A97" s="8" t="n"/>
      <c r="B97" s="8" t="n"/>
      <c r="C97" s="8" t="n"/>
      <c r="D97" s="8" t="n"/>
      <c r="E97" s="8" t="n"/>
      <c r="F97" s="8" t="n"/>
      <c r="G97" s="8" t="n"/>
      <c r="H97" s="8" t="n"/>
      <c r="I97" s="8" t="n"/>
      <c r="J97" s="8" t="n"/>
      <c r="K97" s="8" t="n"/>
      <c r="L97" s="8" t="n"/>
      <c r="M97" s="8" t="n"/>
      <c r="N97" s="8" t="n"/>
    </row>
    <row r="98">
      <c r="A98" s="8" t="n"/>
      <c r="B98" s="8" t="n"/>
      <c r="C98" s="8" t="n"/>
      <c r="D98" s="8" t="n"/>
      <c r="E98" s="8" t="n"/>
      <c r="F98" s="8" t="n"/>
      <c r="G98" s="8" t="n"/>
      <c r="H98" s="8" t="n"/>
      <c r="I98" s="8" t="n"/>
      <c r="J98" s="8" t="n"/>
      <c r="K98" s="8" t="n"/>
      <c r="L98" s="8" t="n"/>
      <c r="M98" s="8" t="n"/>
      <c r="N98" s="8" t="n"/>
    </row>
    <row r="99">
      <c r="A99" s="8" t="n"/>
      <c r="B99" s="8" t="n"/>
      <c r="C99" s="8" t="n"/>
      <c r="D99" s="8" t="n"/>
      <c r="E99" s="8" t="n"/>
      <c r="F99" s="8" t="n"/>
      <c r="G99" s="8" t="n"/>
      <c r="H99" s="8" t="n"/>
      <c r="I99" s="8" t="n"/>
      <c r="J99" s="8" t="n"/>
      <c r="K99" s="8" t="n"/>
      <c r="L99" s="8" t="n"/>
      <c r="M99" s="8" t="n"/>
      <c r="N99" s="8" t="n"/>
    </row>
    <row r="100">
      <c r="A100" s="8" t="n"/>
      <c r="B100" s="8" t="n"/>
      <c r="C100" s="8" t="n"/>
      <c r="D100" s="8" t="n"/>
      <c r="E100" s="8" t="n"/>
      <c r="F100" s="8" t="n"/>
      <c r="G100" s="8" t="n"/>
      <c r="H100" s="8" t="n"/>
      <c r="I100" s="8" t="n"/>
      <c r="J100" s="8" t="n"/>
      <c r="K100" s="8" t="n"/>
      <c r="L100" s="8" t="n"/>
      <c r="M100" s="8" t="n"/>
      <c r="N100" s="8" t="n"/>
    </row>
    <row r="101">
      <c r="A101" s="8" t="n"/>
      <c r="B101" s="8" t="n"/>
      <c r="C101" s="8" t="n"/>
      <c r="D101" s="8" t="n"/>
      <c r="E101" s="8" t="n"/>
      <c r="F101" s="8" t="n"/>
      <c r="G101" s="8" t="n"/>
      <c r="H101" s="8" t="n"/>
      <c r="I101" s="8" t="n"/>
      <c r="J101" s="8" t="n"/>
      <c r="K101" s="8" t="n"/>
      <c r="L101" s="8" t="n"/>
      <c r="M101" s="8" t="n"/>
      <c r="N101" s="8" t="n"/>
    </row>
    <row r="102">
      <c r="A102" s="8" t="n"/>
      <c r="B102" s="8" t="n"/>
      <c r="C102" s="8" t="n"/>
      <c r="D102" s="8" t="n"/>
      <c r="E102" s="8" t="n"/>
      <c r="F102" s="8" t="n"/>
      <c r="G102" s="8" t="n"/>
      <c r="H102" s="8" t="n"/>
      <c r="I102" s="8" t="n"/>
      <c r="J102" s="8" t="n"/>
      <c r="K102" s="8" t="n"/>
      <c r="L102" s="8" t="n"/>
      <c r="M102" s="8" t="n"/>
      <c r="N102" s="8" t="n"/>
    </row>
  </sheetData>
  <mergeCells count="1">
    <mergeCell ref="A1:N1"/>
  </mergeCells>
  <conditionalFormatting sqref="L3:L102">
    <cfRule type="cellIs" priority="1" operator="equal" dxfId="3">
      <formula>"Verified"</formula>
    </cfRule>
    <cfRule type="cellIs" priority="2" operator="equal" dxfId="5">
      <formula>"Missing"</formula>
    </cfRule>
  </conditionalFormatting>
  <conditionalFormatting sqref="I3:I102">
    <cfRule type="cellIs" priority="3" operator="equal" dxfId="8">
      <formula>"Restricted"</formula>
    </cfRule>
  </conditionalFormatting>
  <dataValidations count="4">
    <dataValidation sqref="B3:B102" showDropDown="0" showInputMessage="0" showErrorMessage="0" allowBlank="0" errorTitle="Invalid Entry" error="Invalid entry" promptTitle="Selection Required" prompt="Please select from the dropdown" type="list">
      <formula1>"Monitoring Configuration,Drift Alert Screenshot,Remediation Record,Tool Health Check,Coverage Report,Scan Output,Other"</formula1>
    </dataValidation>
    <dataValidation sqref="I3:I102" showDropDown="0" showInputMessage="0" showErrorMessage="0" allowBlank="0" errorTitle="Invalid Entry" error="Invalid entry" promptTitle="Selection Required" prompt="Please select from the dropdown" type="list">
      <formula1>"Public,Internal,Confidential,Restricted"</formula1>
    </dataValidation>
    <dataValidation sqref="J3:J102" showDropDown="0" showInputMessage="0" showErrorMessage="0" allowBlank="0" errorTitle="Invalid Entry" error="Invalid entry" promptTitle="Selection Required" prompt="Please select from the dropdown" type="list">
      <formula1>"1 Year,3 Years,5 Years,7 Years,Indefinite"</formula1>
    </dataValidation>
    <dataValidation sqref="L3:L102" showDropDown="0" showInputMessage="0" showErrorMessage="0" allowBlank="0" errorTitle="Invalid Entry" error="Invalid entry" promptTitle="Selection Required" prompt="Please select from the dropdown" type="list">
      <formula1>"Verified,Needs Verification,Missing,Outdated"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5" customWidth="1" min="1" max="1"/>
    <col width="60" customWidth="1" min="2" max="2"/>
  </cols>
  <sheetData>
    <row r="1" ht="35" customHeight="1">
      <c r="A1" s="7" t="inlineStr">
        <is>
          <t>Assessment Approval Sign-Off</t>
        </is>
      </c>
    </row>
    <row r="3" ht="25" customHeight="1">
      <c r="A3" s="4" t="inlineStr">
        <is>
          <t>DOCUMENT INFORMATION</t>
        </is>
      </c>
    </row>
    <row r="4">
      <c r="A4" s="15" t="inlineStr">
        <is>
          <t>Assessment Title</t>
        </is>
      </c>
      <c r="B4" s="11" t="inlineStr">
        <is>
          <t>Configuration Monitoring Assessment - Control A.8.9</t>
        </is>
      </c>
    </row>
    <row r="5">
      <c r="A5" s="15" t="inlineStr">
        <is>
          <t>Assessment Period</t>
        </is>
      </c>
      <c r="B5" s="11" t="inlineStr">
        <is>
          <t>[Start Date DD.MM.YYYY] to [End Date DD.MM.YYYY]</t>
        </is>
      </c>
    </row>
    <row r="6">
      <c r="A6" s="15" t="inlineStr">
        <is>
          <t>Document ID</t>
        </is>
      </c>
      <c r="B6" s="11" t="inlineStr">
        <is>
          <t>ISMS-IMP-A.8.9.3</t>
        </is>
      </c>
    </row>
    <row r="7">
      <c r="A7" s="15" t="inlineStr">
        <is>
          <t>Version</t>
        </is>
      </c>
      <c r="B7" s="11" t="inlineStr">
        <is>
          <t>1.0</t>
        </is>
      </c>
    </row>
    <row r="8">
      <c r="A8" s="15" t="inlineStr">
        <is>
          <t>Assessment Date</t>
        </is>
      </c>
      <c r="B8" s="11" t="inlineStr">
        <is>
          <t>08.02.2026</t>
        </is>
      </c>
    </row>
    <row r="10" ht="25" customHeight="1">
      <c r="A10" s="4" t="inlineStr">
        <is>
          <t>PREPARER SIGN-OFF</t>
        </is>
      </c>
    </row>
    <row r="11">
      <c r="A11" s="15" t="inlineStr">
        <is>
          <t>Preparer Name</t>
        </is>
      </c>
      <c r="B11" s="11" t="inlineStr"/>
    </row>
    <row r="12">
      <c r="A12" s="15" t="inlineStr">
        <is>
          <t>Preparer Role</t>
        </is>
      </c>
      <c r="B12" s="11" t="inlineStr"/>
    </row>
    <row r="13">
      <c r="A13" s="15" t="inlineStr">
        <is>
          <t>Preparer Signature</t>
        </is>
      </c>
      <c r="B13" s="11" t="inlineStr"/>
    </row>
    <row r="14">
      <c r="A14" s="15" t="inlineStr">
        <is>
          <t>Date Prepared</t>
        </is>
      </c>
      <c r="B14" s="11" t="inlineStr"/>
    </row>
    <row r="15" ht="40" customHeight="1">
      <c r="A15" s="15" t="inlineStr">
        <is>
          <t>Completeness Attestation</t>
        </is>
      </c>
      <c r="B15" s="16" t="inlineStr">
        <is>
          <t>I attest that monitoring coverage has been documented accurately and drift incidents have been tracked completely.</t>
        </is>
      </c>
    </row>
    <row r="17" ht="25" customHeight="1">
      <c r="A17" s="4" t="inlineStr">
        <is>
          <t>REVIEWER SIGN-OFF</t>
        </is>
      </c>
    </row>
    <row r="18">
      <c r="A18" s="15" t="inlineStr">
        <is>
          <t>Reviewer Name</t>
        </is>
      </c>
      <c r="B18" s="11" t="inlineStr"/>
    </row>
    <row r="19">
      <c r="A19" s="15" t="inlineStr">
        <is>
          <t>Reviewer Role</t>
        </is>
      </c>
      <c r="B19" s="11" t="inlineStr"/>
    </row>
    <row r="20">
      <c r="A20" s="15" t="inlineStr">
        <is>
          <t>Reviewer Signature</t>
        </is>
      </c>
      <c r="B20" s="11" t="inlineStr"/>
    </row>
    <row r="21">
      <c r="A21" s="15" t="inlineStr">
        <is>
          <t>Date Reviewed</t>
        </is>
      </c>
      <c r="B21" s="11" t="inlineStr"/>
    </row>
    <row r="22" ht="30" customHeight="1">
      <c r="A22" s="15" t="inlineStr">
        <is>
          <t>Review Findings</t>
        </is>
      </c>
      <c r="B22" s="17" t="inlineStr"/>
    </row>
    <row r="23" ht="30" customHeight="1">
      <c r="A23" s="15" t="inlineStr">
        <is>
          <t>Gaps Identified</t>
        </is>
      </c>
      <c r="B23" s="17" t="inlineStr"/>
    </row>
    <row r="24" ht="40" customHeight="1">
      <c r="A24" s="15" t="inlineStr">
        <is>
          <t>Review Attestation</t>
        </is>
      </c>
      <c r="B24" s="16" t="inlineStr">
        <is>
          <t>I have reviewed monitoring effectiveness and verified drift detection capabilities. Coverage gaps and remediation improvements have been identified.</t>
        </is>
      </c>
    </row>
    <row r="26" ht="25" customHeight="1">
      <c r="A26" s="4" t="inlineStr">
        <is>
          <t>APPROVER SIGN-OFF</t>
        </is>
      </c>
    </row>
    <row r="27">
      <c r="A27" s="15" t="inlineStr">
        <is>
          <t>Approver Name</t>
        </is>
      </c>
      <c r="B27" s="11" t="inlineStr"/>
    </row>
    <row r="28">
      <c r="A28" s="15" t="inlineStr">
        <is>
          <t>Approver Role</t>
        </is>
      </c>
      <c r="B28" s="11" t="inlineStr"/>
    </row>
    <row r="29">
      <c r="A29" s="15" t="inlineStr">
        <is>
          <t>Approver Signature</t>
        </is>
      </c>
      <c r="B29" s="11" t="inlineStr"/>
    </row>
    <row r="30">
      <c r="A30" s="15" t="inlineStr">
        <is>
          <t>Date Approved</t>
        </is>
      </c>
      <c r="B30" s="11" t="inlineStr"/>
    </row>
    <row r="31">
      <c r="A31" s="15" t="inlineStr">
        <is>
          <t>Approval Decision</t>
        </is>
      </c>
      <c r="B31" s="11" t="inlineStr"/>
    </row>
    <row r="32" ht="30" customHeight="1">
      <c r="A32" s="15" t="inlineStr">
        <is>
          <t>Conditions/Comments</t>
        </is>
      </c>
      <c r="B32" s="17" t="inlineStr"/>
    </row>
    <row r="33">
      <c r="A33" s="15" t="inlineStr">
        <is>
          <t>Next Assessment Due</t>
        </is>
      </c>
      <c r="B33" s="11" t="inlineStr"/>
    </row>
    <row r="34" ht="40" customHeight="1">
      <c r="A34" s="15" t="inlineStr">
        <is>
          <t>Approver Attestation</t>
        </is>
      </c>
      <c r="B34" s="16" t="inlineStr">
        <is>
          <t>I approve this monitoring assessment and authorize budget for monitoring tool expansion and gap remediation.</t>
        </is>
      </c>
    </row>
  </sheetData>
  <mergeCells count="5">
    <mergeCell ref="A26:B26"/>
    <mergeCell ref="A10:B10"/>
    <mergeCell ref="A1:B1"/>
    <mergeCell ref="A17:B17"/>
    <mergeCell ref="A3:B3"/>
  </mergeCells>
  <conditionalFormatting sqref="B31">
    <cfRule type="cellIs" priority="1" operator="equal" dxfId="3">
      <formula>"Approved"</formula>
    </cfRule>
    <cfRule type="cellIs" priority="2" operator="equal" dxfId="2">
      <formula>"Approved with Conditions"</formula>
    </cfRule>
    <cfRule type="cellIs" priority="3" operator="equal" dxfId="1">
      <formula>"Not Approved - Revisions Required"</formula>
    </cfRule>
  </conditionalFormatting>
  <dataValidations count="1">
    <dataValidation sqref="B31" showDropDown="0" showInputMessage="0" showErrorMessage="0" allowBlank="1" errorTitle="Invalid Entry" error="Invalid entry" promptTitle="Selection Required" prompt="Please select from the dropdown" type="list">
      <formula1>"Approved,Approved with Conditions,Not Approved - Revisions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[Organization] ISMS Implementation Team</dc:creator>
  <dc:title xmlns:dc="http://purl.org/dc/elements/1.1/">Configuration Monitoring Assessment</dc:title>
  <dc:description xmlns:dc="http://purl.org/dc/elements/1.1/">Assessment workbook for ISO 27001:2022 Control A.8.9 Configuration Monitoring requirements</dc:description>
  <dc:subject xmlns:dc="http://purl.org/dc/elements/1.1/">ISMS Control A.8.9 - Configuration Monitoring Assessment</dc:subject>
  <dcterms:created xmlns:dcterms="http://purl.org/dc/terms/" xmlns:xsi="http://www.w3.org/2001/XMLSchema-instance" xsi:type="dcterms:W3CDTF">2026-02-08T12:26:40Z</dcterms:created>
  <dcterms:modified xmlns:dcterms="http://purl.org/dc/terms/" xmlns:xsi="http://www.w3.org/2001/XMLSchema-instance" xsi:type="dcterms:W3CDTF">2026-02-08T11:26:40Z</dcterms:modified>
</cp:coreProperties>
</file>